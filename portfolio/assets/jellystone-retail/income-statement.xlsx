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aveP\Downloads\CRE Analyst Portfolio\4. Income Statements\"/>
    </mc:Choice>
  </mc:AlternateContent>
  <xr:revisionPtr revIDLastSave="0" documentId="8_{65C05DDB-9A63-4B39-B8DC-DC1EEE02BE4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tail" sheetId="2" r:id="rId1"/>
    <sheet name="Detailed OpSt" sheetId="1" r:id="rId2"/>
  </sheets>
  <definedNames>
    <definedName name="_xlnm.Print_Titles" localSheetId="1">'Detailed OpSt'!$1:$4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54" i="1" l="1"/>
  <c r="V54" i="1"/>
  <c r="U54" i="1"/>
  <c r="W53" i="1"/>
  <c r="W55" i="1" s="1"/>
  <c r="V53" i="1"/>
  <c r="U53" i="1"/>
  <c r="W50" i="1"/>
  <c r="V50" i="1"/>
  <c r="U50" i="1"/>
  <c r="W49" i="1"/>
  <c r="V49" i="1"/>
  <c r="U49" i="1"/>
  <c r="W48" i="1"/>
  <c r="V48" i="1"/>
  <c r="U48" i="1"/>
  <c r="W47" i="1"/>
  <c r="V47" i="1"/>
  <c r="U47" i="1"/>
  <c r="W46" i="1"/>
  <c r="V46" i="1"/>
  <c r="U46" i="1"/>
  <c r="W45" i="1"/>
  <c r="V45" i="1"/>
  <c r="U45" i="1"/>
  <c r="W44" i="1"/>
  <c r="V44" i="1"/>
  <c r="U44" i="1"/>
  <c r="W37" i="1"/>
  <c r="V37" i="1"/>
  <c r="U37" i="1"/>
  <c r="W36" i="1"/>
  <c r="V36" i="1"/>
  <c r="U36" i="1"/>
  <c r="W33" i="1"/>
  <c r="V33" i="1"/>
  <c r="U33" i="1"/>
  <c r="W32" i="1"/>
  <c r="V32" i="1"/>
  <c r="U32" i="1"/>
  <c r="W31" i="1"/>
  <c r="V31" i="1"/>
  <c r="U31" i="1"/>
  <c r="W30" i="1"/>
  <c r="V30" i="1"/>
  <c r="U30" i="1"/>
  <c r="W29" i="1"/>
  <c r="V29" i="1"/>
  <c r="U29" i="1"/>
  <c r="W28" i="1"/>
  <c r="V28" i="1"/>
  <c r="U28" i="1"/>
  <c r="W27" i="1"/>
  <c r="V27" i="1"/>
  <c r="U27" i="1"/>
  <c r="W26" i="1"/>
  <c r="V26" i="1"/>
  <c r="U26" i="1"/>
  <c r="W16" i="1"/>
  <c r="V16" i="1"/>
  <c r="U16" i="1"/>
  <c r="W15" i="1"/>
  <c r="V15" i="1"/>
  <c r="U15" i="1"/>
  <c r="W14" i="1"/>
  <c r="V14" i="1"/>
  <c r="U14" i="1"/>
  <c r="W13" i="1"/>
  <c r="V13" i="1"/>
  <c r="U13" i="1"/>
  <c r="W12" i="1"/>
  <c r="V12" i="1"/>
  <c r="U12" i="1"/>
  <c r="W8" i="1"/>
  <c r="V8" i="1"/>
  <c r="U8" i="1"/>
  <c r="W7" i="1"/>
  <c r="V7" i="1"/>
  <c r="U7" i="1"/>
  <c r="W6" i="1"/>
  <c r="V6" i="1"/>
  <c r="U6" i="1"/>
  <c r="W5" i="1"/>
  <c r="V5" i="1"/>
  <c r="U5" i="1"/>
  <c r="N161" i="1"/>
  <c r="M161" i="1"/>
  <c r="L161" i="1"/>
  <c r="N165" i="1"/>
  <c r="M165" i="1"/>
  <c r="L165" i="1"/>
  <c r="N163" i="1"/>
  <c r="M163" i="1"/>
  <c r="L163" i="1"/>
  <c r="N158" i="1"/>
  <c r="M158" i="1"/>
  <c r="L158" i="1"/>
  <c r="N156" i="1"/>
  <c r="M156" i="1"/>
  <c r="L156" i="1"/>
  <c r="N154" i="1"/>
  <c r="M154" i="1"/>
  <c r="L154" i="1"/>
  <c r="N151" i="1"/>
  <c r="M151" i="1"/>
  <c r="L151" i="1"/>
  <c r="N149" i="1"/>
  <c r="M149" i="1"/>
  <c r="L149" i="1"/>
  <c r="N148" i="1"/>
  <c r="M148" i="1"/>
  <c r="L148" i="1"/>
  <c r="N147" i="1"/>
  <c r="M147" i="1"/>
  <c r="L147" i="1"/>
  <c r="N146" i="1"/>
  <c r="M146" i="1"/>
  <c r="L146" i="1"/>
  <c r="N144" i="1"/>
  <c r="M144" i="1"/>
  <c r="L144" i="1"/>
  <c r="N142" i="1"/>
  <c r="M142" i="1"/>
  <c r="L142" i="1"/>
  <c r="N141" i="1"/>
  <c r="M141" i="1"/>
  <c r="L141" i="1"/>
  <c r="N140" i="1"/>
  <c r="M140" i="1"/>
  <c r="L140" i="1"/>
  <c r="N139" i="1"/>
  <c r="M139" i="1"/>
  <c r="L139" i="1"/>
  <c r="N138" i="1"/>
  <c r="M138" i="1"/>
  <c r="L138" i="1"/>
  <c r="N137" i="1"/>
  <c r="M137" i="1"/>
  <c r="L137" i="1"/>
  <c r="N136" i="1"/>
  <c r="M136" i="1"/>
  <c r="L136" i="1"/>
  <c r="N135" i="1"/>
  <c r="M135" i="1"/>
  <c r="L135" i="1"/>
  <c r="N134" i="1"/>
  <c r="M134" i="1"/>
  <c r="L134" i="1"/>
  <c r="N133" i="1"/>
  <c r="M133" i="1"/>
  <c r="L133" i="1"/>
  <c r="N132" i="1"/>
  <c r="M132" i="1"/>
  <c r="L132" i="1"/>
  <c r="N131" i="1"/>
  <c r="M131" i="1"/>
  <c r="L131" i="1"/>
  <c r="N130" i="1"/>
  <c r="M130" i="1"/>
  <c r="L130" i="1"/>
  <c r="N129" i="1"/>
  <c r="M129" i="1"/>
  <c r="L129" i="1"/>
  <c r="N128" i="1"/>
  <c r="M128" i="1"/>
  <c r="L128" i="1"/>
  <c r="N127" i="1"/>
  <c r="M127" i="1"/>
  <c r="L127" i="1"/>
  <c r="N126" i="1"/>
  <c r="M126" i="1"/>
  <c r="L126" i="1"/>
  <c r="N125" i="1"/>
  <c r="M125" i="1"/>
  <c r="L125" i="1"/>
  <c r="N123" i="1"/>
  <c r="M123" i="1"/>
  <c r="L123" i="1"/>
  <c r="N122" i="1"/>
  <c r="M122" i="1"/>
  <c r="L122" i="1"/>
  <c r="N119" i="1"/>
  <c r="M119" i="1"/>
  <c r="L119" i="1"/>
  <c r="N118" i="1"/>
  <c r="M118" i="1"/>
  <c r="L118" i="1"/>
  <c r="N117" i="1"/>
  <c r="M117" i="1"/>
  <c r="L117" i="1"/>
  <c r="N116" i="1"/>
  <c r="M116" i="1"/>
  <c r="L116" i="1"/>
  <c r="N115" i="1"/>
  <c r="M115" i="1"/>
  <c r="L115" i="1"/>
  <c r="N114" i="1"/>
  <c r="M114" i="1"/>
  <c r="L114" i="1"/>
  <c r="N112" i="1"/>
  <c r="M112" i="1"/>
  <c r="L112" i="1"/>
  <c r="N111" i="1"/>
  <c r="M111" i="1"/>
  <c r="L111" i="1"/>
  <c r="N110" i="1"/>
  <c r="M110" i="1"/>
  <c r="L110" i="1"/>
  <c r="N109" i="1"/>
  <c r="M109" i="1"/>
  <c r="L109" i="1"/>
  <c r="N108" i="1"/>
  <c r="M108" i="1"/>
  <c r="L108" i="1"/>
  <c r="N107" i="1"/>
  <c r="M107" i="1"/>
  <c r="L107" i="1"/>
  <c r="N105" i="1"/>
  <c r="M105" i="1"/>
  <c r="L105" i="1"/>
  <c r="N103" i="1"/>
  <c r="M103" i="1"/>
  <c r="L103" i="1"/>
  <c r="N102" i="1"/>
  <c r="M102" i="1"/>
  <c r="L102" i="1"/>
  <c r="N100" i="1"/>
  <c r="M100" i="1"/>
  <c r="L100" i="1"/>
  <c r="N98" i="1"/>
  <c r="M98" i="1"/>
  <c r="L98" i="1"/>
  <c r="N96" i="1"/>
  <c r="M96" i="1"/>
  <c r="L96" i="1"/>
  <c r="N94" i="1"/>
  <c r="M94" i="1"/>
  <c r="L94" i="1"/>
  <c r="N92" i="1"/>
  <c r="M92" i="1"/>
  <c r="L92" i="1"/>
  <c r="N91" i="1"/>
  <c r="M91" i="1"/>
  <c r="L91" i="1"/>
  <c r="N90" i="1"/>
  <c r="M90" i="1"/>
  <c r="L90" i="1"/>
  <c r="N89" i="1"/>
  <c r="M89" i="1"/>
  <c r="L89" i="1"/>
  <c r="N88" i="1"/>
  <c r="M88" i="1"/>
  <c r="L88" i="1"/>
  <c r="N87" i="1"/>
  <c r="M87" i="1"/>
  <c r="L87" i="1"/>
  <c r="N86" i="1"/>
  <c r="M86" i="1"/>
  <c r="L86" i="1"/>
  <c r="N85" i="1"/>
  <c r="M85" i="1"/>
  <c r="L85" i="1"/>
  <c r="N84" i="1"/>
  <c r="M84" i="1"/>
  <c r="L84" i="1"/>
  <c r="N83" i="1"/>
  <c r="M83" i="1"/>
  <c r="L83" i="1"/>
  <c r="N82" i="1"/>
  <c r="M82" i="1"/>
  <c r="L82" i="1"/>
  <c r="N81" i="1"/>
  <c r="M81" i="1"/>
  <c r="L81" i="1"/>
  <c r="N80" i="1"/>
  <c r="M80" i="1"/>
  <c r="L80" i="1"/>
  <c r="N79" i="1"/>
  <c r="M79" i="1"/>
  <c r="L79" i="1"/>
  <c r="N78" i="1"/>
  <c r="M78" i="1"/>
  <c r="L78" i="1"/>
  <c r="N77" i="1"/>
  <c r="M77" i="1"/>
  <c r="L77" i="1"/>
  <c r="N76" i="1"/>
  <c r="M76" i="1"/>
  <c r="L76" i="1"/>
  <c r="N75" i="1"/>
  <c r="M75" i="1"/>
  <c r="L75" i="1"/>
  <c r="N74" i="1"/>
  <c r="M74" i="1"/>
  <c r="L74" i="1"/>
  <c r="N73" i="1"/>
  <c r="M73" i="1"/>
  <c r="L73" i="1"/>
  <c r="N71" i="1"/>
  <c r="M71" i="1"/>
  <c r="L71" i="1"/>
  <c r="N69" i="1"/>
  <c r="M69" i="1"/>
  <c r="L69" i="1"/>
  <c r="N68" i="1"/>
  <c r="M68" i="1"/>
  <c r="L68" i="1"/>
  <c r="N67" i="1"/>
  <c r="M67" i="1"/>
  <c r="L67" i="1"/>
  <c r="N66" i="1"/>
  <c r="M66" i="1"/>
  <c r="L66" i="1"/>
  <c r="N64" i="1"/>
  <c r="M64" i="1"/>
  <c r="L64" i="1"/>
  <c r="N62" i="1"/>
  <c r="M62" i="1"/>
  <c r="L62" i="1"/>
  <c r="N61" i="1"/>
  <c r="M61" i="1"/>
  <c r="L61" i="1"/>
  <c r="N60" i="1"/>
  <c r="M60" i="1"/>
  <c r="L60" i="1"/>
  <c r="N59" i="1"/>
  <c r="M59" i="1"/>
  <c r="L59" i="1"/>
  <c r="N57" i="1"/>
  <c r="M57" i="1"/>
  <c r="L57" i="1"/>
  <c r="N55" i="1"/>
  <c r="M55" i="1"/>
  <c r="L55" i="1"/>
  <c r="N54" i="1"/>
  <c r="M54" i="1"/>
  <c r="L54" i="1"/>
  <c r="N53" i="1"/>
  <c r="M53" i="1"/>
  <c r="L53" i="1"/>
  <c r="N52" i="1"/>
  <c r="M52" i="1"/>
  <c r="L52" i="1"/>
  <c r="N51" i="1"/>
  <c r="M51" i="1"/>
  <c r="L51" i="1"/>
  <c r="N50" i="1"/>
  <c r="M50" i="1"/>
  <c r="L50" i="1"/>
  <c r="N49" i="1"/>
  <c r="M49" i="1"/>
  <c r="L49" i="1"/>
  <c r="N48" i="1"/>
  <c r="M48" i="1"/>
  <c r="L48" i="1"/>
  <c r="N47" i="1"/>
  <c r="M47" i="1"/>
  <c r="L47" i="1"/>
  <c r="N46" i="1"/>
  <c r="M46" i="1"/>
  <c r="L46" i="1"/>
  <c r="N45" i="1"/>
  <c r="M45" i="1"/>
  <c r="L45" i="1"/>
  <c r="N44" i="1"/>
  <c r="M44" i="1"/>
  <c r="L44" i="1"/>
  <c r="N41" i="1"/>
  <c r="M41" i="1"/>
  <c r="L41" i="1"/>
  <c r="N39" i="1"/>
  <c r="M39" i="1"/>
  <c r="L39" i="1"/>
  <c r="N38" i="1"/>
  <c r="M38" i="1"/>
  <c r="L38" i="1"/>
  <c r="N37" i="1"/>
  <c r="M37" i="1"/>
  <c r="L37" i="1"/>
  <c r="N36" i="1"/>
  <c r="M36" i="1"/>
  <c r="L36" i="1"/>
  <c r="N35" i="1"/>
  <c r="M35" i="1"/>
  <c r="L35" i="1"/>
  <c r="N30" i="1"/>
  <c r="M30" i="1"/>
  <c r="L30" i="1"/>
  <c r="N28" i="1"/>
  <c r="M28" i="1"/>
  <c r="L28" i="1"/>
  <c r="N26" i="1"/>
  <c r="M26" i="1"/>
  <c r="L26" i="1"/>
  <c r="N25" i="1"/>
  <c r="M25" i="1"/>
  <c r="L25" i="1"/>
  <c r="N24" i="1"/>
  <c r="M24" i="1"/>
  <c r="L24" i="1"/>
  <c r="N23" i="1"/>
  <c r="M23" i="1"/>
  <c r="L23" i="1"/>
  <c r="N22" i="1"/>
  <c r="M22" i="1"/>
  <c r="L22" i="1"/>
  <c r="N20" i="1"/>
  <c r="M20" i="1"/>
  <c r="L20" i="1"/>
  <c r="N18" i="1"/>
  <c r="M18" i="1"/>
  <c r="L18" i="1"/>
  <c r="N17" i="1"/>
  <c r="M17" i="1"/>
  <c r="L17" i="1"/>
  <c r="N16" i="1"/>
  <c r="M16" i="1"/>
  <c r="L16" i="1"/>
  <c r="N15" i="1"/>
  <c r="M15" i="1"/>
  <c r="L15" i="1"/>
  <c r="N14" i="1"/>
  <c r="M14" i="1"/>
  <c r="L14" i="1"/>
  <c r="N12" i="1"/>
  <c r="M12" i="1"/>
  <c r="L12" i="1"/>
  <c r="N10" i="1"/>
  <c r="M10" i="1"/>
  <c r="L10" i="1"/>
  <c r="N9" i="1"/>
  <c r="M9" i="1"/>
  <c r="L9" i="1"/>
  <c r="N8" i="1"/>
  <c r="M8" i="1"/>
  <c r="L8" i="1"/>
  <c r="N7" i="1"/>
  <c r="M7" i="1"/>
  <c r="L7" i="1"/>
  <c r="U55" i="1" l="1"/>
  <c r="V55" i="1"/>
  <c r="V51" i="1"/>
  <c r="U51" i="1"/>
  <c r="U57" i="1" s="1"/>
  <c r="W51" i="1"/>
  <c r="V57" i="1"/>
  <c r="W57" i="1"/>
  <c r="V38" i="1"/>
  <c r="U38" i="1"/>
  <c r="W38" i="1"/>
  <c r="U34" i="1"/>
  <c r="U40" i="1" s="1"/>
  <c r="W34" i="1"/>
  <c r="W40" i="1" s="1"/>
  <c r="W59" i="1" s="1"/>
  <c r="V34" i="1"/>
  <c r="V40" i="1" s="1"/>
  <c r="V59" i="1" s="1"/>
  <c r="V17" i="1"/>
  <c r="W17" i="1"/>
  <c r="U17" i="1"/>
  <c r="V9" i="1"/>
  <c r="W9" i="1"/>
  <c r="U9" i="1"/>
  <c r="T61" i="1"/>
  <c r="T59" i="1"/>
  <c r="T22" i="1"/>
  <c r="S54" i="1"/>
  <c r="S50" i="1"/>
  <c r="S49" i="1"/>
  <c r="S48" i="1"/>
  <c r="S47" i="1"/>
  <c r="S46" i="1"/>
  <c r="S45" i="1"/>
  <c r="S44" i="1"/>
  <c r="S37" i="1"/>
  <c r="S36" i="1"/>
  <c r="S33" i="1"/>
  <c r="S32" i="1"/>
  <c r="S31" i="1"/>
  <c r="S30" i="1"/>
  <c r="S29" i="1"/>
  <c r="S28" i="1"/>
  <c r="S27" i="1"/>
  <c r="S26" i="1"/>
  <c r="S16" i="1"/>
  <c r="S15" i="1"/>
  <c r="S14" i="1"/>
  <c r="S13" i="1"/>
  <c r="S12" i="1"/>
  <c r="S8" i="1"/>
  <c r="S7" i="1"/>
  <c r="S6" i="1"/>
  <c r="S5" i="1"/>
  <c r="U59" i="1" l="1"/>
  <c r="W20" i="1"/>
  <c r="W22" i="1" s="1"/>
  <c r="U20" i="1"/>
  <c r="U22" i="1" s="1"/>
  <c r="U61" i="1" s="1"/>
  <c r="W61" i="1"/>
  <c r="V20" i="1"/>
  <c r="V22" i="1" s="1"/>
  <c r="V61" i="1" s="1"/>
  <c r="S55" i="1"/>
  <c r="S51" i="1"/>
  <c r="S38" i="1"/>
  <c r="S17" i="1"/>
  <c r="S9" i="1"/>
  <c r="C8" i="2"/>
  <c r="C9" i="2"/>
  <c r="C10" i="2"/>
  <c r="C11" i="2"/>
  <c r="C12" i="2"/>
  <c r="D12" i="2"/>
  <c r="C15" i="2"/>
  <c r="C16" i="2"/>
  <c r="C17" i="2"/>
  <c r="C18" i="2"/>
  <c r="C19" i="2"/>
  <c r="C20" i="2"/>
  <c r="D20" i="2"/>
  <c r="D23" i="2"/>
  <c r="D25" i="2" s="1"/>
  <c r="C24" i="2"/>
  <c r="C29" i="2"/>
  <c r="C30" i="2"/>
  <c r="C31" i="2"/>
  <c r="C32" i="2"/>
  <c r="C33" i="2"/>
  <c r="C35" i="2"/>
  <c r="C36" i="2"/>
  <c r="C39" i="2"/>
  <c r="C40" i="2"/>
  <c r="C41" i="2" s="1"/>
  <c r="D41" i="2"/>
  <c r="C47" i="2"/>
  <c r="C48" i="2"/>
  <c r="C49" i="2"/>
  <c r="C50" i="2"/>
  <c r="C51" i="2"/>
  <c r="C52" i="2"/>
  <c r="C53" i="2"/>
  <c r="C54" i="2"/>
  <c r="D54" i="2"/>
  <c r="C56" i="2"/>
  <c r="C57" i="2"/>
  <c r="C58" i="2"/>
  <c r="D58" i="2"/>
  <c r="D60" i="2" s="1"/>
  <c r="C66" i="2"/>
  <c r="C67" i="2"/>
  <c r="C68" i="2"/>
  <c r="D69" i="2"/>
  <c r="C69" i="2" s="1"/>
  <c r="C70" i="2" s="1"/>
  <c r="D70" i="2"/>
  <c r="S20" i="1" l="1"/>
  <c r="S22" i="1" s="1"/>
  <c r="S57" i="1"/>
  <c r="D34" i="2"/>
  <c r="C60" i="2"/>
  <c r="C23" i="2"/>
  <c r="C25" i="2" s="1"/>
  <c r="D37" i="2" l="1"/>
  <c r="D43" i="2" s="1"/>
  <c r="C34" i="2"/>
  <c r="C37" i="2" s="1"/>
  <c r="S34" i="1" l="1"/>
  <c r="S40" i="1" s="1"/>
  <c r="C43" i="2"/>
  <c r="D62" i="2"/>
  <c r="S59" i="1" l="1"/>
  <c r="C62" i="2"/>
  <c r="D64" i="2"/>
  <c r="S61" i="1" l="1"/>
  <c r="C64" i="2"/>
  <c r="D72" i="2"/>
  <c r="D76" i="2" s="1"/>
</calcChain>
</file>

<file path=xl/sharedStrings.xml><?xml version="1.0" encoding="utf-8"?>
<sst xmlns="http://schemas.openxmlformats.org/spreadsheetml/2006/main" count="525" uniqueCount="400">
  <si>
    <t>Jan 2018</t>
  </si>
  <si>
    <t>Feb 2018</t>
  </si>
  <si>
    <t>Mar 2018</t>
  </si>
  <si>
    <t>Apr 2018</t>
  </si>
  <si>
    <t>May 2018</t>
  </si>
  <si>
    <t>Jun 2018</t>
  </si>
  <si>
    <t>Jul 2018</t>
  </si>
  <si>
    <t>Aug 2018</t>
  </si>
  <si>
    <t>Total</t>
  </si>
  <si>
    <t xml:space="preserve">400.0000 </t>
  </si>
  <si>
    <t xml:space="preserve"> INCOME</t>
  </si>
  <si>
    <t xml:space="preserve">400.0010 </t>
  </si>
  <si>
    <t xml:space="preserve"> RENTAL INCOME</t>
  </si>
  <si>
    <t xml:space="preserve">401.0000 </t>
  </si>
  <si>
    <t xml:space="preserve"> Base Rent</t>
  </si>
  <si>
    <t xml:space="preserve">401.0015 </t>
  </si>
  <si>
    <t xml:space="preserve"> Percentage Rent</t>
  </si>
  <si>
    <t xml:space="preserve">401.0040 </t>
  </si>
  <si>
    <t xml:space="preserve"> Rental Income - Storage</t>
  </si>
  <si>
    <t xml:space="preserve">401.9990 </t>
  </si>
  <si>
    <t xml:space="preserve">    NET RENTAL INCOME</t>
  </si>
  <si>
    <t xml:space="preserve">401.9999 </t>
  </si>
  <si>
    <t xml:space="preserve"> EXPENSE REIMBURSEMENT</t>
  </si>
  <si>
    <t xml:space="preserve">402.0000 </t>
  </si>
  <si>
    <t xml:space="preserve"> Cam</t>
  </si>
  <si>
    <t xml:space="preserve">402.0005 </t>
  </si>
  <si>
    <t xml:space="preserve">402.0010 </t>
  </si>
  <si>
    <t xml:space="preserve"> Property Taxes</t>
  </si>
  <si>
    <t xml:space="preserve">402.0015 </t>
  </si>
  <si>
    <t xml:space="preserve"> Insurance</t>
  </si>
  <si>
    <t xml:space="preserve">402.0055 </t>
  </si>
  <si>
    <t xml:space="preserve"> Marketing</t>
  </si>
  <si>
    <t xml:space="preserve">402.9990 </t>
  </si>
  <si>
    <t xml:space="preserve">    TOTAL REIMBURSEMENT</t>
  </si>
  <si>
    <t xml:space="preserve">402.9999 </t>
  </si>
  <si>
    <t xml:space="preserve"> OTHER INCOME</t>
  </si>
  <si>
    <t xml:space="preserve">403.0000 </t>
  </si>
  <si>
    <t xml:space="preserve"> Late Fees</t>
  </si>
  <si>
    <t xml:space="preserve">403.0005 </t>
  </si>
  <si>
    <t xml:space="preserve"> Signage Rental</t>
  </si>
  <si>
    <t xml:space="preserve">403.0020 </t>
  </si>
  <si>
    <t xml:space="preserve"> Lease Buyout/Termination Income</t>
  </si>
  <si>
    <t xml:space="preserve">403.0040 </t>
  </si>
  <si>
    <t xml:space="preserve"> Interest Income</t>
  </si>
  <si>
    <t xml:space="preserve">403.0050 </t>
  </si>
  <si>
    <t xml:space="preserve"> Miscellaneous Income</t>
  </si>
  <si>
    <t xml:space="preserve">403.0099 </t>
  </si>
  <si>
    <t xml:space="preserve">    TOTAL OTHER INCOME</t>
  </si>
  <si>
    <t xml:space="preserve">405.0000 </t>
  </si>
  <si>
    <t xml:space="preserve">        TOTAL INCOME</t>
  </si>
  <si>
    <t xml:space="preserve">499.9998 </t>
  </si>
  <si>
    <t xml:space="preserve">499.9999 </t>
  </si>
  <si>
    <t xml:space="preserve"> UTILITIES</t>
  </si>
  <si>
    <t xml:space="preserve">500.0000 </t>
  </si>
  <si>
    <t xml:space="preserve"> Gas</t>
  </si>
  <si>
    <t xml:space="preserve">500.0010 </t>
  </si>
  <si>
    <t xml:space="preserve"> Water/Waste Water</t>
  </si>
  <si>
    <t xml:space="preserve">500.0011 </t>
  </si>
  <si>
    <t xml:space="preserve"> Utilities Reimbursement</t>
  </si>
  <si>
    <t xml:space="preserve">500.0015 </t>
  </si>
  <si>
    <t xml:space="preserve"> Electricity</t>
  </si>
  <si>
    <t xml:space="preserve">500.0020 </t>
  </si>
  <si>
    <t xml:space="preserve"> Water and  Irrigation</t>
  </si>
  <si>
    <t xml:space="preserve">500.9990 </t>
  </si>
  <si>
    <t xml:space="preserve">    TOTAL UTILITIES</t>
  </si>
  <si>
    <t xml:space="preserve">500.9998 </t>
  </si>
  <si>
    <t xml:space="preserve"> REPAIRS and MAINTENANCE</t>
  </si>
  <si>
    <t xml:space="preserve">500.9999 </t>
  </si>
  <si>
    <t xml:space="preserve"> EQUIPMENT MAINTENANCE</t>
  </si>
  <si>
    <t xml:space="preserve">501.0000 </t>
  </si>
  <si>
    <t xml:space="preserve"> Fire System/Sprinkler - Contract</t>
  </si>
  <si>
    <t xml:space="preserve">501.0005 </t>
  </si>
  <si>
    <t xml:space="preserve">501.0020 </t>
  </si>
  <si>
    <t xml:space="preserve"> Fire System/Sprinkler - Repairs</t>
  </si>
  <si>
    <t xml:space="preserve">502.0010 </t>
  </si>
  <si>
    <t xml:space="preserve"> Electrical Repairs</t>
  </si>
  <si>
    <t xml:space="preserve">502.0020 </t>
  </si>
  <si>
    <t xml:space="preserve"> Electrical Supplies</t>
  </si>
  <si>
    <t xml:space="preserve">503.0020 </t>
  </si>
  <si>
    <t xml:space="preserve"> Lighting - Bulbs/Supplies</t>
  </si>
  <si>
    <t xml:space="preserve">503.0030 </t>
  </si>
  <si>
    <t xml:space="preserve"> Lighting - Parking</t>
  </si>
  <si>
    <t xml:space="preserve">504.0030 </t>
  </si>
  <si>
    <t xml:space="preserve"> Hvac Supplies</t>
  </si>
  <si>
    <t xml:space="preserve">504.0040 </t>
  </si>
  <si>
    <t xml:space="preserve"> Hvac Repairs</t>
  </si>
  <si>
    <t xml:space="preserve">505.0010 </t>
  </si>
  <si>
    <t xml:space="preserve"> Elevator - Contract</t>
  </si>
  <si>
    <t xml:space="preserve">506.0010 </t>
  </si>
  <si>
    <t xml:space="preserve"> Plumbing Repairs</t>
  </si>
  <si>
    <t xml:space="preserve">506.0020 </t>
  </si>
  <si>
    <t xml:space="preserve"> Plumbing Supplies</t>
  </si>
  <si>
    <t xml:space="preserve">506.0099 </t>
  </si>
  <si>
    <t xml:space="preserve">    TOTAL EQUIPMENT MAINTENANCE</t>
  </si>
  <si>
    <t xml:space="preserve">506.9999 </t>
  </si>
  <si>
    <t xml:space="preserve">507.0010 </t>
  </si>
  <si>
    <t xml:space="preserve"> Parking Sweeping</t>
  </si>
  <si>
    <t xml:space="preserve">507.0015 </t>
  </si>
  <si>
    <t xml:space="preserve"> Powerwashing</t>
  </si>
  <si>
    <t xml:space="preserve">507.0020 </t>
  </si>
  <si>
    <t xml:space="preserve"> Parking Striping</t>
  </si>
  <si>
    <t xml:space="preserve">507.0035 </t>
  </si>
  <si>
    <t xml:space="preserve"> Valet</t>
  </si>
  <si>
    <t xml:space="preserve">507.0099 </t>
  </si>
  <si>
    <t xml:space="preserve">    TOTAL PARKING EXPENSE</t>
  </si>
  <si>
    <t xml:space="preserve">507.9999 </t>
  </si>
  <si>
    <t xml:space="preserve"> LANDSCAPING/MOWING</t>
  </si>
  <si>
    <t xml:space="preserve">508.0010 </t>
  </si>
  <si>
    <t xml:space="preserve"> Landscaping - Exterior</t>
  </si>
  <si>
    <t xml:space="preserve">508.0020 </t>
  </si>
  <si>
    <t xml:space="preserve"> Landscaping - Interior</t>
  </si>
  <si>
    <t xml:space="preserve">508.0030 </t>
  </si>
  <si>
    <t xml:space="preserve"> Landscaping - Other</t>
  </si>
  <si>
    <t xml:space="preserve">508.0040 </t>
  </si>
  <si>
    <t xml:space="preserve"> Landscaping - Irrigation</t>
  </si>
  <si>
    <t xml:space="preserve">508.0099 </t>
  </si>
  <si>
    <t xml:space="preserve">    TOTAL LANDSCAPING/MOWING</t>
  </si>
  <si>
    <t xml:space="preserve">508.9999 </t>
  </si>
  <si>
    <t xml:space="preserve"> OTHER REPAIRS and MAINTENANCE</t>
  </si>
  <si>
    <t xml:space="preserve">509.0010 </t>
  </si>
  <si>
    <t xml:space="preserve"> Janitorial</t>
  </si>
  <si>
    <t xml:space="preserve">509.0015 </t>
  </si>
  <si>
    <t xml:space="preserve"> Janitorial Supplies</t>
  </si>
  <si>
    <t xml:space="preserve">509.0017 </t>
  </si>
  <si>
    <t xml:space="preserve"> Janitorial - Day Porter</t>
  </si>
  <si>
    <t xml:space="preserve">509.0020 </t>
  </si>
  <si>
    <t xml:space="preserve"> Roof Repair</t>
  </si>
  <si>
    <t xml:space="preserve">509.0030 </t>
  </si>
  <si>
    <t xml:space="preserve"> Trash Removal</t>
  </si>
  <si>
    <t xml:space="preserve">509.0040 </t>
  </si>
  <si>
    <t xml:space="preserve"> Common Areas</t>
  </si>
  <si>
    <t xml:space="preserve">509.0045 </t>
  </si>
  <si>
    <t xml:space="preserve"> Seasonal Decorating</t>
  </si>
  <si>
    <t xml:space="preserve">509.0050 </t>
  </si>
  <si>
    <t xml:space="preserve"> Pest Control</t>
  </si>
  <si>
    <t xml:space="preserve">509.0055 </t>
  </si>
  <si>
    <t xml:space="preserve"> Tools and Supplies</t>
  </si>
  <si>
    <t xml:space="preserve">509.0060 </t>
  </si>
  <si>
    <t xml:space="preserve"> Keys/Locks</t>
  </si>
  <si>
    <t xml:space="preserve">509.0065 </t>
  </si>
  <si>
    <t xml:space="preserve"> Common Area Signage</t>
  </si>
  <si>
    <t xml:space="preserve">509.0066 </t>
  </si>
  <si>
    <t xml:space="preserve"> Retail Parking Signage</t>
  </si>
  <si>
    <t xml:space="preserve">509.0070 </t>
  </si>
  <si>
    <t xml:space="preserve"> Exterior General Maint.</t>
  </si>
  <si>
    <t xml:space="preserve">509.0075 </t>
  </si>
  <si>
    <t xml:space="preserve"> Other Ground Maintenance</t>
  </si>
  <si>
    <t xml:space="preserve">509.0080 </t>
  </si>
  <si>
    <t xml:space="preserve"> Other Maintenance</t>
  </si>
  <si>
    <t xml:space="preserve">509.0090 </t>
  </si>
  <si>
    <t xml:space="preserve"> Interior Repairs and Maintenance</t>
  </si>
  <si>
    <t xml:space="preserve">509.0100 </t>
  </si>
  <si>
    <t xml:space="preserve"> Security</t>
  </si>
  <si>
    <t xml:space="preserve">509.0105 </t>
  </si>
  <si>
    <t xml:space="preserve"> Security - Telephone Monitoring</t>
  </si>
  <si>
    <t xml:space="preserve">509.0115 </t>
  </si>
  <si>
    <t xml:space="preserve"> Window Washing</t>
  </si>
  <si>
    <t xml:space="preserve">509.0125 </t>
  </si>
  <si>
    <t xml:space="preserve"> Painting</t>
  </si>
  <si>
    <t xml:space="preserve">509.0199 </t>
  </si>
  <si>
    <t xml:space="preserve">    TOTAL OTHER REPAIRS and MAINTENANCE</t>
  </si>
  <si>
    <t xml:space="preserve">509.0200 </t>
  </si>
  <si>
    <t xml:space="preserve">        TOTAL REPAIRS and MAINTENANCE</t>
  </si>
  <si>
    <t xml:space="preserve">509.9999 </t>
  </si>
  <si>
    <t xml:space="preserve"> PROPERTY TAXES</t>
  </si>
  <si>
    <t xml:space="preserve">510.0020 </t>
  </si>
  <si>
    <t xml:space="preserve"> Property Taxes - Building</t>
  </si>
  <si>
    <t xml:space="preserve">510.0099 </t>
  </si>
  <si>
    <t xml:space="preserve">    TOTAL PROPERTY TAX EXPENSE</t>
  </si>
  <si>
    <t xml:space="preserve">510.9999 </t>
  </si>
  <si>
    <t xml:space="preserve"> PROPERTY INSURANCE</t>
  </si>
  <si>
    <t xml:space="preserve">511.0010 </t>
  </si>
  <si>
    <t xml:space="preserve"> Building Insurance</t>
  </si>
  <si>
    <t xml:space="preserve">511.0020 </t>
  </si>
  <si>
    <t xml:space="preserve"> Building  Insurance - Liability</t>
  </si>
  <si>
    <t xml:space="preserve">511.0099 </t>
  </si>
  <si>
    <t xml:space="preserve">    TOTAL INSURANCE EXPENSE</t>
  </si>
  <si>
    <t xml:space="preserve">515.0000 </t>
  </si>
  <si>
    <t>MARKETING</t>
  </si>
  <si>
    <t xml:space="preserve">515.0010 </t>
  </si>
  <si>
    <t>Social Media</t>
  </si>
  <si>
    <t xml:space="preserve">515.0011 </t>
  </si>
  <si>
    <t>Events</t>
  </si>
  <si>
    <t xml:space="preserve">515.0012 </t>
  </si>
  <si>
    <t>Creative</t>
  </si>
  <si>
    <t xml:space="preserve">515.0013 </t>
  </si>
  <si>
    <t>Signage/Directories</t>
  </si>
  <si>
    <t xml:space="preserve">515.0014 </t>
  </si>
  <si>
    <t>Public Relations</t>
  </si>
  <si>
    <t xml:space="preserve">515.0015 </t>
  </si>
  <si>
    <t>Advertising/Marketing</t>
  </si>
  <si>
    <t xml:space="preserve">515.9999 </t>
  </si>
  <si>
    <t xml:space="preserve">    TOTAL MARKETING</t>
  </si>
  <si>
    <t xml:space="preserve">590.0000 </t>
  </si>
  <si>
    <t xml:space="preserve"> ASSOCIATION EXPENSES</t>
  </si>
  <si>
    <t xml:space="preserve">590.0035 </t>
  </si>
  <si>
    <t xml:space="preserve">590.0040 </t>
  </si>
  <si>
    <t xml:space="preserve"> Assoc. - Garage Dues</t>
  </si>
  <si>
    <t xml:space="preserve">590.9999 </t>
  </si>
  <si>
    <t xml:space="preserve">    TOTAL ASSOCIATION EXPENSES</t>
  </si>
  <si>
    <t xml:space="preserve">599.9998 </t>
  </si>
  <si>
    <t xml:space="preserve"> GENERAL and ADMINISTRATIVE EXPENSE</t>
  </si>
  <si>
    <t xml:space="preserve">599.9999 </t>
  </si>
  <si>
    <t xml:space="preserve">    PROFESSIONAL SERVICES</t>
  </si>
  <si>
    <t xml:space="preserve">600.0010 </t>
  </si>
  <si>
    <t xml:space="preserve"> Property Tax Services</t>
  </si>
  <si>
    <t xml:space="preserve">600.0060 </t>
  </si>
  <si>
    <t xml:space="preserve"> Professional Fees</t>
  </si>
  <si>
    <t xml:space="preserve">600.0099 </t>
  </si>
  <si>
    <t xml:space="preserve">    TOTAL PROFESSIONAL SERVICES</t>
  </si>
  <si>
    <t xml:space="preserve">601.0055 </t>
  </si>
  <si>
    <t xml:space="preserve"> Uniforms</t>
  </si>
  <si>
    <t xml:space="preserve">601.0065 </t>
  </si>
  <si>
    <t xml:space="preserve"> Mileage Reimbursement</t>
  </si>
  <si>
    <t xml:space="preserve">601.0070 </t>
  </si>
  <si>
    <t xml:space="preserve"> Travel</t>
  </si>
  <si>
    <t xml:space="preserve">601.0075 </t>
  </si>
  <si>
    <t xml:space="preserve"> Transportation</t>
  </si>
  <si>
    <t xml:space="preserve">601.0081 </t>
  </si>
  <si>
    <t xml:space="preserve"> Rent</t>
  </si>
  <si>
    <t xml:space="preserve">601.0085 </t>
  </si>
  <si>
    <t xml:space="preserve"> Office Supplies</t>
  </si>
  <si>
    <t xml:space="preserve">601.0090 </t>
  </si>
  <si>
    <t xml:space="preserve"> Forms and Stationery</t>
  </si>
  <si>
    <t xml:space="preserve">601.0095 </t>
  </si>
  <si>
    <t xml:space="preserve"> Office Equipment Expense</t>
  </si>
  <si>
    <t xml:space="preserve">601.0100 </t>
  </si>
  <si>
    <t xml:space="preserve"> Postage Delivery</t>
  </si>
  <si>
    <t xml:space="preserve">601.0105 </t>
  </si>
  <si>
    <t xml:space="preserve"> Overnight Delivery</t>
  </si>
  <si>
    <t xml:space="preserve">601.0110 </t>
  </si>
  <si>
    <t xml:space="preserve"> Copier/Printing</t>
  </si>
  <si>
    <t xml:space="preserve">601.0114 </t>
  </si>
  <si>
    <t xml:space="preserve"> Cell phones,pagers and radios</t>
  </si>
  <si>
    <t xml:space="preserve">601.0115 </t>
  </si>
  <si>
    <t xml:space="preserve"> Telephone</t>
  </si>
  <si>
    <t xml:space="preserve">601.0117 </t>
  </si>
  <si>
    <t xml:space="preserve"> Internet Expense</t>
  </si>
  <si>
    <t xml:space="preserve">601.0131 </t>
  </si>
  <si>
    <t xml:space="preserve"> Meals and Entertainment</t>
  </si>
  <si>
    <t xml:space="preserve">601.0135 </t>
  </si>
  <si>
    <t xml:space="preserve"> Dues and Subscriptions</t>
  </si>
  <si>
    <t xml:space="preserve">601.0141 </t>
  </si>
  <si>
    <t xml:space="preserve"> Bank Service Charges</t>
  </si>
  <si>
    <t xml:space="preserve">601.0999 </t>
  </si>
  <si>
    <t xml:space="preserve">    TOTAL OTHER GENERAL and ADMINISTRATIVE</t>
  </si>
  <si>
    <t xml:space="preserve">602.0000 </t>
  </si>
  <si>
    <t xml:space="preserve"> PAYROLL EXPENSE</t>
  </si>
  <si>
    <t xml:space="preserve">602.0010 </t>
  </si>
  <si>
    <t xml:space="preserve"> Salaries  - Administrative</t>
  </si>
  <si>
    <t xml:space="preserve">602.0015 </t>
  </si>
  <si>
    <t xml:space="preserve"> Salaries - Property Management</t>
  </si>
  <si>
    <t xml:space="preserve">602.0020 </t>
  </si>
  <si>
    <t xml:space="preserve"> Salaries - Maintenance</t>
  </si>
  <si>
    <t xml:space="preserve">602.0110 </t>
  </si>
  <si>
    <t xml:space="preserve"> Other Salary Related Expenses</t>
  </si>
  <si>
    <t xml:space="preserve">602.9998 </t>
  </si>
  <si>
    <t xml:space="preserve">    TOTAL PAYROLL EXPENSE</t>
  </si>
  <si>
    <t xml:space="preserve">602.9999 </t>
  </si>
  <si>
    <t xml:space="preserve"> MANAGEMENT FEES</t>
  </si>
  <si>
    <t xml:space="preserve">603.0000 </t>
  </si>
  <si>
    <t xml:space="preserve">603.0099 </t>
  </si>
  <si>
    <t xml:space="preserve">    TOTAL MANAGEMENT FEES</t>
  </si>
  <si>
    <t xml:space="preserve">603.0199 </t>
  </si>
  <si>
    <t xml:space="preserve">    TOTAL GENERAL and ADMIN EXPENSE</t>
  </si>
  <si>
    <t xml:space="preserve">    TOTAL OPERATING EXPENSES</t>
  </si>
  <si>
    <t xml:space="preserve">        NET OPERATING INCOME</t>
  </si>
  <si>
    <t>Statement (YTD)</t>
  </si>
  <si>
    <t>Jellystone Retail</t>
  </si>
  <si>
    <t xml:space="preserve"> Free Rent / Concessions</t>
  </si>
  <si>
    <t>Period = Jan 2019 through Aug 2019; Book = Accrual</t>
  </si>
  <si>
    <t xml:space="preserve"> Other Operating Expense</t>
  </si>
  <si>
    <t>REIMBURSABLE EXPENSES</t>
  </si>
  <si>
    <t>700.0000</t>
  </si>
  <si>
    <t xml:space="preserve">    TOTAL NON-REIMBURSABLE EXPENSES</t>
  </si>
  <si>
    <t xml:space="preserve">703.0200 </t>
  </si>
  <si>
    <t xml:space="preserve">703.9998 </t>
  </si>
  <si>
    <t>PARKING EXPENSE</t>
  </si>
  <si>
    <t>499.9999</t>
  </si>
  <si>
    <t>OPERATING EXPENSES</t>
  </si>
  <si>
    <t>NON-REIMBURSABLE EXPENSES</t>
  </si>
  <si>
    <t xml:space="preserve"> Fire System/Sprinkler - Monitoring</t>
  </si>
  <si>
    <t xml:space="preserve"> Assoc. - Repairs and Maintenance</t>
  </si>
  <si>
    <t xml:space="preserve"> Management Fees</t>
  </si>
  <si>
    <t>Cash flow from operations minus debt service and any ground lease payments, if applicable; commonly referred to as CFAF</t>
  </si>
  <si>
    <t>CASH FLOW AFTER FINANCING</t>
  </si>
  <si>
    <t>Payment to lender(s); payment is principal + interest unless loan is interest-only; commonly referred to as DS</t>
  </si>
  <si>
    <t>Debt Service</t>
  </si>
  <si>
    <t>Net operating income minus total capital expenditures; commonly referred to as CFO</t>
  </si>
  <si>
    <t>CASH FLOW FROM OPERATIONS</t>
  </si>
  <si>
    <t>Total Capital Expenditures</t>
  </si>
  <si>
    <t>Amount set aside for future capital improvements and/or leasing costs</t>
  </si>
  <si>
    <t>Capital Reserve</t>
  </si>
  <si>
    <t>Expenditures with a depreciable life greater than one year (e.g. roof repair, structural repairs, etc)</t>
  </si>
  <si>
    <t>Capital Improvements</t>
  </si>
  <si>
    <t>Allowances offered to tenants upon signing a new lease or lease renewal; used to improve the tenant's physical space</t>
  </si>
  <si>
    <t>Tenant Improvements</t>
  </si>
  <si>
    <t>Commissions paid to leasing brokers</t>
  </si>
  <si>
    <t>Leasing Commissions</t>
  </si>
  <si>
    <t>CAPITAL EXPENDITURES</t>
  </si>
  <si>
    <t>Effective gross income minus total operating expenses; commonly referred to as NOI</t>
  </si>
  <si>
    <t>NET OPERATING INCOME</t>
  </si>
  <si>
    <t>Sum of reimbursable and non-reimbursable operating expenses; commonly referred to as OpEx</t>
  </si>
  <si>
    <t>Total Operating Expenses</t>
  </si>
  <si>
    <t>Total operating expenses that are not reimbursable</t>
  </si>
  <si>
    <t>Total Non-Reimbursable OpEx</t>
  </si>
  <si>
    <t>Total Fixed Operating Expenses</t>
  </si>
  <si>
    <t>Property and casualty insurance</t>
  </si>
  <si>
    <t>Insurance</t>
  </si>
  <si>
    <t>Real estate taxes levied by the local government</t>
  </si>
  <si>
    <t>Real Estate Taxes</t>
  </si>
  <si>
    <t>Expense that are fixed regardless of occupancy</t>
  </si>
  <si>
    <t>Fixed Expenses</t>
  </si>
  <si>
    <t>Total Variable Expenses</t>
  </si>
  <si>
    <t>Other variable expenses that are not reimbursable</t>
  </si>
  <si>
    <t>Other Variable Expenses</t>
  </si>
  <si>
    <t>Costs related to marketing the property; does NOT include leasing commissions</t>
  </si>
  <si>
    <t>Marketing</t>
  </si>
  <si>
    <t>Electricity, gas, water, sewer, internet, and other utilities related to the common areas</t>
  </si>
  <si>
    <t>Utilities</t>
  </si>
  <si>
    <t>Expenses related to maintaining the landscaping in the common areas</t>
  </si>
  <si>
    <t>Landscaping</t>
  </si>
  <si>
    <t>Expenses related to securing the premises</t>
  </si>
  <si>
    <t>Security</t>
  </si>
  <si>
    <t>Expenses related to maintaining the general condition of the common areas</t>
  </si>
  <si>
    <t>Repairs and Maintenance</t>
  </si>
  <si>
    <t>Expenses related to cleaning the common areas</t>
  </si>
  <si>
    <t>Cleaning</t>
  </si>
  <si>
    <t>Expenses that fluctuate based on occupancy</t>
  </si>
  <si>
    <t>Variable Operating Expenses</t>
  </si>
  <si>
    <t>Operating expenses incurred by landlord that tenants are not obligated to reimburse</t>
  </si>
  <si>
    <t>Non-Reimbursable Operating Expenses</t>
  </si>
  <si>
    <t>Total operating expenses that are reimbursable</t>
  </si>
  <si>
    <t>Total Reimbursable OpEx</t>
  </si>
  <si>
    <t>Other variable expenses that are reimbursable</t>
  </si>
  <si>
    <t>Fee paid to professional property management</t>
  </si>
  <si>
    <t>Property Management</t>
  </si>
  <si>
    <t>Operating expenses incurred by landlord that tenants have agreed to reimburse</t>
  </si>
  <si>
    <t>Reimbursable Operating Expenses</t>
  </si>
  <si>
    <t>Gross revenue after adjusting for general vacancy and credit loss; commonly referred to as EGR</t>
  </si>
  <si>
    <t>Total Effective Gross Revenue</t>
  </si>
  <si>
    <t>Additional vacancy taken on gross Revenue to account for unforeseen vacancy or credit loss; used in forecasted periods</t>
  </si>
  <si>
    <t>General Vacancy and Credit Loss</t>
  </si>
  <si>
    <t>Sum of other income and rental revenue</t>
  </si>
  <si>
    <t>Gross Revenue</t>
  </si>
  <si>
    <t>Effective Gross Revenue</t>
  </si>
  <si>
    <t>Actual other Revenue</t>
  </si>
  <si>
    <t>Total Other Income</t>
  </si>
  <si>
    <t>Actual other income; such as signage, parking, misc</t>
  </si>
  <si>
    <t>Parking and Other Income</t>
  </si>
  <si>
    <t>Also referred to as "overage rent", percentage rent is addt'l rent paid by retail tenant when tenant sales exceed a certain mark</t>
  </si>
  <si>
    <t>Percentage Rent</t>
  </si>
  <si>
    <t>Actual tenant reimbursement of real estate taxes</t>
  </si>
  <si>
    <t>Real Estate Tax Reimbursement</t>
  </si>
  <si>
    <t>Actual tenant reimbursement of utility expenses</t>
  </si>
  <si>
    <t>Utility Reimbursement</t>
  </si>
  <si>
    <t>Actual tenant reimbursement of common area maintenance (security, repairs and maintenance, landscaping, etc)</t>
  </si>
  <si>
    <t>CAM Reimbursement</t>
  </si>
  <si>
    <t>Other Income</t>
  </si>
  <si>
    <t>Actual rental Revenue in period</t>
  </si>
  <si>
    <t>Total Rental Revenue</t>
  </si>
  <si>
    <t>Concessed space (e.g. free rent) at contract rate</t>
  </si>
  <si>
    <t>Concessions</t>
  </si>
  <si>
    <t>Loss due to tenants' nonpayment of rental obligations</t>
  </si>
  <si>
    <t>Actual Credit Loss</t>
  </si>
  <si>
    <t>Vacant space at market rent</t>
  </si>
  <si>
    <t>Actual Vacancy</t>
  </si>
  <si>
    <t>Sum of all contract rent plus vacant space at market rent; concessed space at contract rate</t>
  </si>
  <si>
    <t>Potential Base Rent</t>
  </si>
  <si>
    <t>Amount</t>
  </si>
  <si>
    <t>PSF</t>
  </si>
  <si>
    <t>Rental Revenue</t>
  </si>
  <si>
    <t>REVENUE</t>
  </si>
  <si>
    <t>Period Ending</t>
  </si>
  <si>
    <t>Net Rentable Area</t>
  </si>
  <si>
    <t>RETAIL - SUMMARY INCOME STATEMENT</t>
  </si>
  <si>
    <t>T1</t>
  </si>
  <si>
    <t>T3</t>
  </si>
  <si>
    <t>T6</t>
  </si>
  <si>
    <t>Label</t>
  </si>
  <si>
    <t>CREDIT</t>
  </si>
  <si>
    <t>CONC</t>
  </si>
  <si>
    <t>CAM</t>
  </si>
  <si>
    <t>U</t>
  </si>
  <si>
    <t>RET</t>
  </si>
  <si>
    <t>CLEAN</t>
  </si>
  <si>
    <t>RM</t>
  </si>
  <si>
    <t>LAND</t>
  </si>
  <si>
    <t>PM</t>
  </si>
  <si>
    <t>I</t>
  </si>
  <si>
    <t>RETR</t>
  </si>
  <si>
    <t>SEC</t>
  </si>
  <si>
    <t>ERROR CHECK</t>
  </si>
  <si>
    <t>VAC</t>
  </si>
  <si>
    <t>PERC</t>
  </si>
  <si>
    <t>OI</t>
  </si>
  <si>
    <t>M</t>
  </si>
  <si>
    <t>ADMIN</t>
  </si>
  <si>
    <t>Admin &amp; Payroll</t>
  </si>
  <si>
    <t>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</si>
</sst>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##0_);_(* \(###0\);_(* &quot;-&quot;_);_(@_)"/>
  </numFmts>
  <fonts count="27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color rgb="FF505050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indexed="12"/>
      <name val="Calibri"/>
      <family val="2"/>
      <scheme val="minor"/>
    </font>
    <font>
      <u val="singleAccounting"/>
      <sz val="11"/>
      <color indexed="12"/>
      <name val="Calibri"/>
      <family val="2"/>
      <scheme val="minor"/>
    </font>
    <font>
      <u val="singleAccounting"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indexed="12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i/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0"/>
      <name val="Calibri"/>
      <family val="2"/>
      <scheme val="minor"/>
    </font>
    <font>
      <b/>
      <u/>
      <sz val="10"/>
      <name val="Calibri"/>
      <family val="2"/>
      <scheme val="minor"/>
    </font>
    <font>
      <i/>
      <sz val="10"/>
      <name val="Calibri"/>
      <family val="2"/>
      <scheme val="minor"/>
    </font>
    <font>
      <u val="singleAccounting"/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7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1" fillId="0" borderId="0"/>
  </cellStyleXfs>
  <cellXfs count="78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4" fontId="3" fillId="0" borderId="0" xfId="0" applyNumberFormat="1" applyFont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4" fontId="4" fillId="0" borderId="2" xfId="0" applyNumberFormat="1" applyFont="1" applyBorder="1" applyAlignment="1">
      <alignment horizontal="right" vertical="center"/>
    </xf>
    <xf numFmtId="0" fontId="4" fillId="0" borderId="0" xfId="0" applyFont="1" applyAlignment="1">
      <alignment horizontal="right" vertical="center"/>
    </xf>
    <xf numFmtId="4" fontId="3" fillId="0" borderId="1" xfId="0" applyNumberFormat="1" applyFont="1" applyBorder="1" applyAlignment="1">
      <alignment horizontal="right" vertical="center"/>
    </xf>
    <xf numFmtId="4" fontId="4" fillId="0" borderId="3" xfId="0" applyNumberFormat="1" applyFont="1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4" fontId="4" fillId="0" borderId="0" xfId="0" applyNumberFormat="1" applyFont="1" applyAlignment="1">
      <alignment horizontal="right" vertical="center"/>
    </xf>
    <xf numFmtId="0" fontId="4" fillId="0" borderId="0" xfId="0" quotePrefix="1" applyFont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3" fontId="3" fillId="0" borderId="0" xfId="0" applyNumberFormat="1" applyFo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0" xfId="6"/>
    <xf numFmtId="0" fontId="9" fillId="0" borderId="0" xfId="6" applyFont="1"/>
    <xf numFmtId="164" fontId="1" fillId="0" borderId="0" xfId="6" applyNumberFormat="1"/>
    <xf numFmtId="43" fontId="10" fillId="0" borderId="0" xfId="6" applyNumberFormat="1" applyFont="1"/>
    <xf numFmtId="43" fontId="1" fillId="0" borderId="0" xfId="6" applyNumberFormat="1"/>
    <xf numFmtId="0" fontId="7" fillId="0" borderId="0" xfId="6" applyFont="1"/>
    <xf numFmtId="0" fontId="11" fillId="0" borderId="0" xfId="6" applyFont="1"/>
    <xf numFmtId="164" fontId="7" fillId="0" borderId="0" xfId="6" applyNumberFormat="1" applyFont="1"/>
    <xf numFmtId="43" fontId="12" fillId="0" borderId="0" xfId="6" applyNumberFormat="1" applyFont="1"/>
    <xf numFmtId="164" fontId="13" fillId="0" borderId="0" xfId="6" applyNumberFormat="1" applyFont="1"/>
    <xf numFmtId="43" fontId="10" fillId="0" borderId="0" xfId="6" applyNumberFormat="1" applyFont="1" applyAlignment="1">
      <alignment horizontal="left" indent="1"/>
    </xf>
    <xf numFmtId="0" fontId="1" fillId="3" borderId="0" xfId="6" applyFill="1"/>
    <xf numFmtId="0" fontId="9" fillId="3" borderId="0" xfId="6" applyFont="1" applyFill="1"/>
    <xf numFmtId="164" fontId="1" fillId="3" borderId="0" xfId="6" applyNumberFormat="1" applyFill="1"/>
    <xf numFmtId="43" fontId="10" fillId="3" borderId="0" xfId="6" applyNumberFormat="1" applyFont="1" applyFill="1"/>
    <xf numFmtId="43" fontId="9" fillId="0" borderId="0" xfId="6" applyNumberFormat="1" applyFont="1"/>
    <xf numFmtId="0" fontId="7" fillId="0" borderId="0" xfId="6" applyFont="1" applyAlignment="1">
      <alignment horizontal="left"/>
    </xf>
    <xf numFmtId="164" fontId="14" fillId="0" borderId="0" xfId="6" applyNumberFormat="1" applyFont="1"/>
    <xf numFmtId="43" fontId="15" fillId="0" borderId="0" xfId="6" applyNumberFormat="1" applyFont="1" applyAlignment="1">
      <alignment horizontal="left" indent="1"/>
    </xf>
    <xf numFmtId="0" fontId="1" fillId="0" borderId="0" xfId="6" applyAlignment="1">
      <alignment horizontal="left" indent="1"/>
    </xf>
    <xf numFmtId="0" fontId="7" fillId="3" borderId="0" xfId="6" applyFont="1" applyFill="1"/>
    <xf numFmtId="0" fontId="1" fillId="0" borderId="0" xfId="6" applyAlignment="1">
      <alignment horizontal="left"/>
    </xf>
    <xf numFmtId="0" fontId="16" fillId="0" borderId="0" xfId="6" applyFont="1"/>
    <xf numFmtId="3" fontId="9" fillId="0" borderId="0" xfId="6" applyNumberFormat="1" applyFont="1"/>
    <xf numFmtId="43" fontId="12" fillId="3" borderId="0" xfId="6" applyNumberFormat="1" applyFont="1" applyFill="1"/>
    <xf numFmtId="43" fontId="12" fillId="0" borderId="0" xfId="6" applyNumberFormat="1" applyFont="1" applyAlignment="1">
      <alignment horizontal="left" indent="1"/>
    </xf>
    <xf numFmtId="164" fontId="17" fillId="0" borderId="0" xfId="6" applyNumberFormat="1" applyFont="1"/>
    <xf numFmtId="43" fontId="18" fillId="0" borderId="0" xfId="6" applyNumberFormat="1" applyFont="1" applyAlignment="1">
      <alignment horizontal="right"/>
    </xf>
    <xf numFmtId="0" fontId="19" fillId="0" borderId="0" xfId="6" applyFont="1" applyAlignment="1">
      <alignment horizontal="right"/>
    </xf>
    <xf numFmtId="0" fontId="12" fillId="3" borderId="0" xfId="6" applyFont="1" applyFill="1"/>
    <xf numFmtId="0" fontId="12" fillId="0" borderId="0" xfId="6" applyFont="1"/>
    <xf numFmtId="165" fontId="13" fillId="0" borderId="0" xfId="6" applyNumberFormat="1" applyFont="1"/>
    <xf numFmtId="3" fontId="13" fillId="0" borderId="0" xfId="6" applyNumberFormat="1" applyFont="1"/>
    <xf numFmtId="0" fontId="10" fillId="0" borderId="0" xfId="6" applyFont="1"/>
    <xf numFmtId="0" fontId="8" fillId="4" borderId="0" xfId="6" applyFont="1" applyFill="1"/>
    <xf numFmtId="0" fontId="20" fillId="4" borderId="0" xfId="6" applyFont="1" applyFill="1"/>
    <xf numFmtId="0" fontId="21" fillId="4" borderId="0" xfId="6" applyFont="1" applyFill="1"/>
    <xf numFmtId="0" fontId="22" fillId="4" borderId="0" xfId="6" applyFont="1" applyFill="1"/>
    <xf numFmtId="0" fontId="4" fillId="2" borderId="0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right" vertical="center"/>
    </xf>
    <xf numFmtId="0" fontId="3" fillId="0" borderId="0" xfId="0" applyFont="1" applyBorder="1" applyAlignment="1">
      <alignment horizontal="center" vertical="center"/>
    </xf>
    <xf numFmtId="4" fontId="4" fillId="0" borderId="0" xfId="0" applyNumberFormat="1" applyFont="1" applyBorder="1" applyAlignment="1">
      <alignment horizontal="right" vertical="center"/>
    </xf>
    <xf numFmtId="4" fontId="3" fillId="0" borderId="0" xfId="0" applyNumberFormat="1" applyFont="1" applyBorder="1" applyAlignment="1">
      <alignment horizontal="center" vertical="center"/>
    </xf>
    <xf numFmtId="4" fontId="3" fillId="0" borderId="0" xfId="0" applyNumberFormat="1" applyFont="1" applyBorder="1" applyAlignment="1">
      <alignment horizontal="right" vertical="center"/>
    </xf>
    <xf numFmtId="0" fontId="23" fillId="0" borderId="0" xfId="0" applyFont="1"/>
    <xf numFmtId="0" fontId="3" fillId="0" borderId="0" xfId="0" applyFont="1" applyAlignment="1">
      <alignment horizontal="right"/>
    </xf>
    <xf numFmtId="0" fontId="23" fillId="0" borderId="0" xfId="0" applyFont="1" applyAlignment="1">
      <alignment horizontal="right"/>
    </xf>
    <xf numFmtId="0" fontId="24" fillId="0" borderId="0" xfId="0" applyFont="1" applyAlignment="1">
      <alignment horizontal="right"/>
    </xf>
    <xf numFmtId="4" fontId="3" fillId="0" borderId="0" xfId="0" applyNumberFormat="1" applyFont="1"/>
    <xf numFmtId="0" fontId="25" fillId="0" borderId="0" xfId="0" applyFont="1" applyAlignment="1">
      <alignment horizontal="right"/>
    </xf>
    <xf numFmtId="41" fontId="3" fillId="0" borderId="0" xfId="0" applyNumberFormat="1" applyFont="1"/>
    <xf numFmtId="41" fontId="26" fillId="0" borderId="0" xfId="0" applyNumberFormat="1" applyFont="1"/>
  </cellXfs>
  <cellStyles count="7">
    <cellStyle name="Comma" xfId="4" xr:uid="{00000000-0005-0000-0000-000000000000}"/>
    <cellStyle name="Comma [0]" xfId="5" xr:uid="{00000000-0005-0000-0000-000001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6" xr:uid="{A88E358A-6034-47AB-B5AA-C1BCE09C476B}"/>
    <cellStyle name="Percent" xfId="1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E779F-F8BC-42BA-93FC-2E8A5821B9AA}">
  <dimension ref="A1:O77"/>
  <sheetViews>
    <sheetView showGridLines="0" topLeftCell="A42" zoomScaleNormal="100" workbookViewId="0">
      <selection activeCell="B7" sqref="B7:D64"/>
    </sheetView>
  </sheetViews>
  <sheetFormatPr defaultColWidth="0" defaultRowHeight="14.4" zeroHeight="1" x14ac:dyDescent="0.3"/>
  <cols>
    <col min="1" max="1" width="1.6640625" style="26" customWidth="1"/>
    <col min="2" max="2" width="27.5546875" style="26" bestFit="1" customWidth="1"/>
    <col min="3" max="3" width="9.88671875" style="29" bestFit="1" customWidth="1"/>
    <col min="4" max="4" width="11" style="28" bestFit="1" customWidth="1"/>
    <col min="5" max="5" width="8.88671875" style="27" customWidth="1"/>
    <col min="6" max="14" width="8.88671875" style="26" customWidth="1"/>
    <col min="15" max="15" width="1.6640625" style="26" customWidth="1"/>
    <col min="16" max="16384" width="8.88671875" style="26" hidden="1"/>
  </cols>
  <sheetData>
    <row r="1" spans="2:14" ht="9.9" customHeight="1" x14ac:dyDescent="0.3">
      <c r="C1" s="59"/>
      <c r="D1" s="26"/>
    </row>
    <row r="2" spans="2:14" ht="15.6" x14ac:dyDescent="0.3">
      <c r="B2" s="63" t="s">
        <v>375</v>
      </c>
      <c r="C2" s="62"/>
      <c r="D2" s="60"/>
      <c r="E2" s="61"/>
      <c r="F2" s="60"/>
      <c r="G2" s="60"/>
      <c r="H2" s="60"/>
      <c r="I2" s="60"/>
      <c r="J2" s="60"/>
      <c r="K2" s="60"/>
      <c r="L2" s="60"/>
      <c r="M2" s="60"/>
      <c r="N2" s="60"/>
    </row>
    <row r="3" spans="2:14" ht="5.0999999999999996" customHeight="1" x14ac:dyDescent="0.3">
      <c r="C3" s="59"/>
      <c r="D3" s="26"/>
    </row>
    <row r="4" spans="2:14" x14ac:dyDescent="0.3">
      <c r="B4" s="56" t="s">
        <v>374</v>
      </c>
      <c r="D4" s="58">
        <v>200000</v>
      </c>
    </row>
    <row r="5" spans="2:14" s="56" customFormat="1" ht="15" customHeight="1" x14ac:dyDescent="0.3">
      <c r="B5" s="56" t="s">
        <v>373</v>
      </c>
      <c r="D5" s="57">
        <v>2019</v>
      </c>
      <c r="E5" s="32"/>
    </row>
    <row r="6" spans="2:14" x14ac:dyDescent="0.3">
      <c r="B6" s="46" t="s">
        <v>372</v>
      </c>
      <c r="C6" s="55"/>
      <c r="D6" s="37"/>
      <c r="E6" s="38"/>
      <c r="F6" s="37"/>
      <c r="G6" s="37"/>
      <c r="H6" s="37"/>
      <c r="I6" s="37"/>
      <c r="J6" s="37"/>
      <c r="K6" s="37"/>
      <c r="L6" s="37"/>
      <c r="M6" s="37"/>
      <c r="N6" s="37"/>
    </row>
    <row r="7" spans="2:14" x14ac:dyDescent="0.3">
      <c r="B7" s="31" t="s">
        <v>371</v>
      </c>
      <c r="C7" s="54" t="s">
        <v>370</v>
      </c>
      <c r="D7" s="53" t="s">
        <v>369</v>
      </c>
    </row>
    <row r="8" spans="2:14" x14ac:dyDescent="0.3">
      <c r="B8" s="45" t="s">
        <v>368</v>
      </c>
      <c r="C8" s="36">
        <f>+D8/$D$4</f>
        <v>20</v>
      </c>
      <c r="D8" s="35">
        <v>4000000</v>
      </c>
      <c r="E8" s="27" t="s">
        <v>367</v>
      </c>
    </row>
    <row r="9" spans="2:14" x14ac:dyDescent="0.3">
      <c r="B9" s="45" t="s">
        <v>366</v>
      </c>
      <c r="C9" s="36">
        <f>+D9/$D$4</f>
        <v>-0.75</v>
      </c>
      <c r="D9" s="35">
        <v>-150000</v>
      </c>
      <c r="E9" s="27" t="s">
        <v>365</v>
      </c>
    </row>
    <row r="10" spans="2:14" x14ac:dyDescent="0.3">
      <c r="B10" s="45" t="s">
        <v>364</v>
      </c>
      <c r="C10" s="36">
        <f>+D10/$D$4</f>
        <v>-7.4999999999999997E-2</v>
      </c>
      <c r="D10" s="35">
        <v>-15000</v>
      </c>
      <c r="E10" s="27" t="s">
        <v>363</v>
      </c>
    </row>
    <row r="11" spans="2:14" ht="16.2" x14ac:dyDescent="0.45">
      <c r="B11" s="45" t="s">
        <v>362</v>
      </c>
      <c r="C11" s="44">
        <f>+D11/$D$4</f>
        <v>-0.33500000000000002</v>
      </c>
      <c r="D11" s="52">
        <v>-67000</v>
      </c>
      <c r="E11" s="27" t="s">
        <v>361</v>
      </c>
    </row>
    <row r="12" spans="2:14" x14ac:dyDescent="0.3">
      <c r="B12" s="47" t="s">
        <v>360</v>
      </c>
      <c r="C12" s="36">
        <f>SUM(C8:C11)</f>
        <v>18.84</v>
      </c>
      <c r="D12" s="28">
        <f>SUM(D8:D11)</f>
        <v>3768000</v>
      </c>
      <c r="E12" s="27" t="s">
        <v>359</v>
      </c>
    </row>
    <row r="13" spans="2:14" ht="5.0999999999999996" customHeight="1" x14ac:dyDescent="0.3"/>
    <row r="14" spans="2:14" x14ac:dyDescent="0.3">
      <c r="B14" s="31" t="s">
        <v>358</v>
      </c>
      <c r="C14" s="34"/>
    </row>
    <row r="15" spans="2:14" x14ac:dyDescent="0.3">
      <c r="B15" s="45" t="s">
        <v>357</v>
      </c>
      <c r="C15" s="36">
        <f>+D15/$D$4</f>
        <v>6</v>
      </c>
      <c r="D15" s="35">
        <v>1200000</v>
      </c>
      <c r="E15" s="27" t="s">
        <v>356</v>
      </c>
    </row>
    <row r="16" spans="2:14" x14ac:dyDescent="0.3">
      <c r="B16" s="45" t="s">
        <v>355</v>
      </c>
      <c r="C16" s="36">
        <f>+D16/$D$4</f>
        <v>1.75</v>
      </c>
      <c r="D16" s="35">
        <v>350000</v>
      </c>
      <c r="E16" s="27" t="s">
        <v>354</v>
      </c>
    </row>
    <row r="17" spans="2:14" x14ac:dyDescent="0.3">
      <c r="B17" s="45" t="s">
        <v>353</v>
      </c>
      <c r="C17" s="36">
        <f>+D17/$D$4</f>
        <v>3.75</v>
      </c>
      <c r="D17" s="35">
        <v>750000</v>
      </c>
      <c r="E17" s="27" t="s">
        <v>352</v>
      </c>
    </row>
    <row r="18" spans="2:14" x14ac:dyDescent="0.3">
      <c r="B18" s="45" t="s">
        <v>351</v>
      </c>
      <c r="C18" s="36">
        <f>+D18/$D$4</f>
        <v>2.4</v>
      </c>
      <c r="D18" s="35">
        <v>480000</v>
      </c>
      <c r="E18" s="27" t="s">
        <v>350</v>
      </c>
    </row>
    <row r="19" spans="2:14" ht="16.2" x14ac:dyDescent="0.45">
      <c r="B19" s="45" t="s">
        <v>349</v>
      </c>
      <c r="C19" s="44">
        <f>+D19/$D$4</f>
        <v>0.27500000000000002</v>
      </c>
      <c r="D19" s="43">
        <v>55000</v>
      </c>
      <c r="E19" s="27" t="s">
        <v>348</v>
      </c>
    </row>
    <row r="20" spans="2:14" x14ac:dyDescent="0.3">
      <c r="B20" s="47" t="s">
        <v>347</v>
      </c>
      <c r="C20" s="36">
        <f>SUM(C15:C19)</f>
        <v>14.175000000000001</v>
      </c>
      <c r="D20" s="28">
        <f>SUM(D15:D19)</f>
        <v>2835000</v>
      </c>
      <c r="E20" s="27" t="s">
        <v>346</v>
      </c>
    </row>
    <row r="21" spans="2:14" ht="5.0999999999999996" customHeight="1" x14ac:dyDescent="0.3"/>
    <row r="22" spans="2:14" x14ac:dyDescent="0.3">
      <c r="B22" s="31" t="s">
        <v>345</v>
      </c>
      <c r="C22" s="34"/>
    </row>
    <row r="23" spans="2:14" x14ac:dyDescent="0.3">
      <c r="B23" s="45" t="s">
        <v>344</v>
      </c>
      <c r="C23" s="36">
        <f>+D23/$D$4</f>
        <v>33.015000000000001</v>
      </c>
      <c r="D23" s="28">
        <f>+D20+D12</f>
        <v>6603000</v>
      </c>
      <c r="E23" s="27" t="s">
        <v>343</v>
      </c>
    </row>
    <row r="24" spans="2:14" ht="16.2" x14ac:dyDescent="0.45">
      <c r="B24" s="45" t="s">
        <v>342</v>
      </c>
      <c r="C24" s="44">
        <f>+D24/$D$4</f>
        <v>0</v>
      </c>
      <c r="D24" s="43">
        <v>0</v>
      </c>
      <c r="E24" s="27" t="s">
        <v>341</v>
      </c>
    </row>
    <row r="25" spans="2:14" s="31" customFormat="1" x14ac:dyDescent="0.3">
      <c r="B25" s="42" t="s">
        <v>340</v>
      </c>
      <c r="C25" s="51">
        <f>SUM(C23:C24)</f>
        <v>33.015000000000001</v>
      </c>
      <c r="D25" s="33">
        <f>+D23+D24</f>
        <v>6603000</v>
      </c>
      <c r="E25" s="32" t="s">
        <v>339</v>
      </c>
    </row>
    <row r="26" spans="2:14" x14ac:dyDescent="0.3">
      <c r="B26" s="46" t="s">
        <v>279</v>
      </c>
      <c r="C26" s="50"/>
      <c r="D26" s="39"/>
      <c r="E26" s="38"/>
      <c r="F26" s="37"/>
      <c r="G26" s="37"/>
      <c r="H26" s="37"/>
      <c r="I26" s="37"/>
      <c r="J26" s="37"/>
      <c r="K26" s="37"/>
      <c r="L26" s="37"/>
      <c r="M26" s="37"/>
      <c r="N26" s="37"/>
    </row>
    <row r="27" spans="2:14" x14ac:dyDescent="0.3">
      <c r="B27" s="31" t="s">
        <v>338</v>
      </c>
      <c r="C27" s="34"/>
      <c r="E27" s="49" t="s">
        <v>337</v>
      </c>
    </row>
    <row r="28" spans="2:14" x14ac:dyDescent="0.3">
      <c r="B28" s="48" t="s">
        <v>329</v>
      </c>
      <c r="C28" s="41"/>
      <c r="E28" s="49" t="s">
        <v>328</v>
      </c>
    </row>
    <row r="29" spans="2:14" x14ac:dyDescent="0.3">
      <c r="B29" s="45" t="s">
        <v>327</v>
      </c>
      <c r="C29" s="36">
        <f>+D29/$D$4</f>
        <v>0.67500000000000004</v>
      </c>
      <c r="D29" s="35">
        <v>135000</v>
      </c>
      <c r="E29" s="49" t="s">
        <v>326</v>
      </c>
    </row>
    <row r="30" spans="2:14" x14ac:dyDescent="0.3">
      <c r="B30" s="45" t="s">
        <v>325</v>
      </c>
      <c r="C30" s="36">
        <f>+D30/$D$4</f>
        <v>3.375</v>
      </c>
      <c r="D30" s="35">
        <v>675000</v>
      </c>
      <c r="E30" s="49" t="s">
        <v>324</v>
      </c>
    </row>
    <row r="31" spans="2:14" x14ac:dyDescent="0.3">
      <c r="B31" s="45" t="s">
        <v>323</v>
      </c>
      <c r="C31" s="36">
        <f>+D31/$D$4</f>
        <v>0.95</v>
      </c>
      <c r="D31" s="35">
        <v>190000</v>
      </c>
      <c r="E31" s="49" t="s">
        <v>322</v>
      </c>
    </row>
    <row r="32" spans="2:14" x14ac:dyDescent="0.3">
      <c r="B32" s="45" t="s">
        <v>321</v>
      </c>
      <c r="C32" s="36">
        <f>+D32/$D$4</f>
        <v>0.95</v>
      </c>
      <c r="D32" s="35">
        <v>190000</v>
      </c>
      <c r="E32" s="49" t="s">
        <v>320</v>
      </c>
    </row>
    <row r="33" spans="2:5" x14ac:dyDescent="0.3">
      <c r="B33" s="45" t="s">
        <v>319</v>
      </c>
      <c r="C33" s="36">
        <f>+D33/$D$4</f>
        <v>1.875</v>
      </c>
      <c r="D33" s="35">
        <v>375000</v>
      </c>
      <c r="E33" s="49" t="s">
        <v>318</v>
      </c>
    </row>
    <row r="34" spans="2:5" x14ac:dyDescent="0.3">
      <c r="B34" s="45" t="s">
        <v>336</v>
      </c>
      <c r="C34" s="36">
        <f>+D34/$D$4</f>
        <v>0.99045000000000005</v>
      </c>
      <c r="D34" s="35">
        <f>+D25*0.03</f>
        <v>198090</v>
      </c>
      <c r="E34" s="49" t="s">
        <v>335</v>
      </c>
    </row>
    <row r="35" spans="2:5" x14ac:dyDescent="0.3">
      <c r="B35" s="45" t="s">
        <v>317</v>
      </c>
      <c r="C35" s="36">
        <f>+D35/$D$4</f>
        <v>0.22500000000000001</v>
      </c>
      <c r="D35" s="35">
        <v>45000</v>
      </c>
      <c r="E35" s="49" t="s">
        <v>316</v>
      </c>
    </row>
    <row r="36" spans="2:5" ht="16.2" x14ac:dyDescent="0.45">
      <c r="B36" s="45" t="s">
        <v>315</v>
      </c>
      <c r="C36" s="44">
        <f>+D36/$D$4</f>
        <v>0</v>
      </c>
      <c r="D36" s="43">
        <v>0</v>
      </c>
      <c r="E36" s="49" t="s">
        <v>334</v>
      </c>
    </row>
    <row r="37" spans="2:5" x14ac:dyDescent="0.3">
      <c r="B37" s="47" t="s">
        <v>313</v>
      </c>
      <c r="C37" s="36">
        <f>SUM(C29:C36)</f>
        <v>9.0404499999999999</v>
      </c>
      <c r="D37" s="28">
        <f>SUM(D29:D36)</f>
        <v>1808090</v>
      </c>
    </row>
    <row r="38" spans="2:5" x14ac:dyDescent="0.3">
      <c r="B38" s="48" t="s">
        <v>312</v>
      </c>
      <c r="C38" s="41"/>
      <c r="E38" s="27" t="s">
        <v>311</v>
      </c>
    </row>
    <row r="39" spans="2:5" x14ac:dyDescent="0.3">
      <c r="B39" s="45" t="s">
        <v>310</v>
      </c>
      <c r="C39" s="36">
        <f>+D39/$D$4</f>
        <v>4</v>
      </c>
      <c r="D39" s="35">
        <v>800000</v>
      </c>
      <c r="E39" s="27" t="s">
        <v>309</v>
      </c>
    </row>
    <row r="40" spans="2:5" ht="16.2" x14ac:dyDescent="0.45">
      <c r="B40" s="45" t="s">
        <v>308</v>
      </c>
      <c r="C40" s="44">
        <f>+D40/$D$4</f>
        <v>0.4</v>
      </c>
      <c r="D40" s="43">
        <v>80000</v>
      </c>
      <c r="E40" s="27" t="s">
        <v>307</v>
      </c>
    </row>
    <row r="41" spans="2:5" x14ac:dyDescent="0.3">
      <c r="B41" s="47" t="s">
        <v>306</v>
      </c>
      <c r="C41" s="36">
        <f>SUM(C39:C40)</f>
        <v>4.4000000000000004</v>
      </c>
      <c r="D41" s="28">
        <f>SUM(D39:D40)</f>
        <v>880000</v>
      </c>
    </row>
    <row r="42" spans="2:5" ht="5.0999999999999996" customHeight="1" x14ac:dyDescent="0.3"/>
    <row r="43" spans="2:5" x14ac:dyDescent="0.3">
      <c r="B43" s="26" t="s">
        <v>333</v>
      </c>
      <c r="C43" s="36">
        <f>+D43/$D$4</f>
        <v>13.44045</v>
      </c>
      <c r="D43" s="28">
        <f>+D41+D37</f>
        <v>2688090</v>
      </c>
      <c r="E43" s="27" t="s">
        <v>332</v>
      </c>
    </row>
    <row r="44" spans="2:5" ht="5.0999999999999996" customHeight="1" x14ac:dyDescent="0.3">
      <c r="C44" s="36"/>
    </row>
    <row r="45" spans="2:5" x14ac:dyDescent="0.3">
      <c r="B45" s="31" t="s">
        <v>331</v>
      </c>
      <c r="E45" s="27" t="s">
        <v>330</v>
      </c>
    </row>
    <row r="46" spans="2:5" x14ac:dyDescent="0.3">
      <c r="B46" s="48" t="s">
        <v>329</v>
      </c>
      <c r="E46" s="27" t="s">
        <v>328</v>
      </c>
    </row>
    <row r="47" spans="2:5" x14ac:dyDescent="0.3">
      <c r="B47" s="45" t="s">
        <v>327</v>
      </c>
      <c r="C47" s="36">
        <f>+D47/$D$4</f>
        <v>1.6875000000000001E-2</v>
      </c>
      <c r="D47" s="35">
        <v>3375</v>
      </c>
      <c r="E47" s="49" t="s">
        <v>326</v>
      </c>
    </row>
    <row r="48" spans="2:5" x14ac:dyDescent="0.3">
      <c r="B48" s="45" t="s">
        <v>325</v>
      </c>
      <c r="C48" s="36">
        <f>+D48/$D$4</f>
        <v>8.4375000000000006E-2</v>
      </c>
      <c r="D48" s="35">
        <v>16875</v>
      </c>
      <c r="E48" s="49" t="s">
        <v>324</v>
      </c>
    </row>
    <row r="49" spans="2:14" x14ac:dyDescent="0.3">
      <c r="B49" s="45" t="s">
        <v>323</v>
      </c>
      <c r="C49" s="36">
        <f>+D49/$D$4</f>
        <v>2.375E-2</v>
      </c>
      <c r="D49" s="35">
        <v>4750</v>
      </c>
      <c r="E49" s="49" t="s">
        <v>322</v>
      </c>
    </row>
    <row r="50" spans="2:14" x14ac:dyDescent="0.3">
      <c r="B50" s="45" t="s">
        <v>321</v>
      </c>
      <c r="C50" s="36">
        <f>+D50/$D$4</f>
        <v>2.375E-2</v>
      </c>
      <c r="D50" s="35">
        <v>4750</v>
      </c>
      <c r="E50" s="49" t="s">
        <v>320</v>
      </c>
    </row>
    <row r="51" spans="2:14" x14ac:dyDescent="0.3">
      <c r="B51" s="45" t="s">
        <v>319</v>
      </c>
      <c r="C51" s="36">
        <f>+D51/$D$4</f>
        <v>4.6875E-2</v>
      </c>
      <c r="D51" s="35">
        <v>9375</v>
      </c>
      <c r="E51" s="49" t="s">
        <v>318</v>
      </c>
    </row>
    <row r="52" spans="2:14" x14ac:dyDescent="0.3">
      <c r="B52" s="45" t="s">
        <v>317</v>
      </c>
      <c r="C52" s="36">
        <f>+D52/$D$4</f>
        <v>5.6249999999999998E-3</v>
      </c>
      <c r="D52" s="35">
        <v>1125</v>
      </c>
      <c r="E52" s="49" t="s">
        <v>316</v>
      </c>
    </row>
    <row r="53" spans="2:14" ht="16.2" x14ac:dyDescent="0.45">
      <c r="B53" s="45" t="s">
        <v>315</v>
      </c>
      <c r="C53" s="44">
        <f>+D53/$D$4</f>
        <v>1.7500000000000002E-2</v>
      </c>
      <c r="D53" s="43">
        <v>3500</v>
      </c>
      <c r="E53" s="49" t="s">
        <v>314</v>
      </c>
    </row>
    <row r="54" spans="2:14" x14ac:dyDescent="0.3">
      <c r="B54" s="47" t="s">
        <v>313</v>
      </c>
      <c r="C54" s="36">
        <f>SUM(C47:C53)</f>
        <v>0.21875</v>
      </c>
      <c r="D54" s="28">
        <f>SUM(D47:D53)</f>
        <v>43750</v>
      </c>
    </row>
    <row r="55" spans="2:14" x14ac:dyDescent="0.3">
      <c r="B55" s="48" t="s">
        <v>312</v>
      </c>
      <c r="C55" s="41"/>
      <c r="E55" s="27" t="s">
        <v>311</v>
      </c>
    </row>
    <row r="56" spans="2:14" x14ac:dyDescent="0.3">
      <c r="B56" s="45" t="s">
        <v>310</v>
      </c>
      <c r="C56" s="36">
        <f>+D56/$D$4</f>
        <v>0</v>
      </c>
      <c r="D56" s="35">
        <v>0</v>
      </c>
      <c r="E56" s="27" t="s">
        <v>309</v>
      </c>
    </row>
    <row r="57" spans="2:14" ht="16.2" x14ac:dyDescent="0.45">
      <c r="B57" s="45" t="s">
        <v>308</v>
      </c>
      <c r="C57" s="44">
        <f>+D57/$D$4</f>
        <v>0.01</v>
      </c>
      <c r="D57" s="43">
        <v>2000</v>
      </c>
      <c r="E57" s="27" t="s">
        <v>307</v>
      </c>
    </row>
    <row r="58" spans="2:14" x14ac:dyDescent="0.3">
      <c r="B58" s="47" t="s">
        <v>306</v>
      </c>
      <c r="C58" s="36">
        <f>SUM(C56:C57)</f>
        <v>0.01</v>
      </c>
      <c r="D58" s="28">
        <f>SUM(D56:D57)</f>
        <v>2000</v>
      </c>
    </row>
    <row r="59" spans="2:14" ht="5.0999999999999996" customHeight="1" x14ac:dyDescent="0.3"/>
    <row r="60" spans="2:14" x14ac:dyDescent="0.3">
      <c r="B60" s="26" t="s">
        <v>305</v>
      </c>
      <c r="C60" s="36">
        <f>+D60/$D$4</f>
        <v>0.22875000000000001</v>
      </c>
      <c r="D60" s="28">
        <f>+D58+D54</f>
        <v>45750</v>
      </c>
      <c r="E60" s="27" t="s">
        <v>304</v>
      </c>
    </row>
    <row r="61" spans="2:14" ht="5.0999999999999996" customHeight="1" x14ac:dyDescent="0.3"/>
    <row r="62" spans="2:14" s="31" customFormat="1" x14ac:dyDescent="0.3">
      <c r="B62" s="31" t="s">
        <v>303</v>
      </c>
      <c r="C62" s="34">
        <f>+D62/$D$4</f>
        <v>13.6692</v>
      </c>
      <c r="D62" s="33">
        <f>D60+D43</f>
        <v>2733840</v>
      </c>
      <c r="E62" s="32" t="s">
        <v>302</v>
      </c>
    </row>
    <row r="63" spans="2:14" ht="5.0999999999999996" customHeight="1" x14ac:dyDescent="0.3">
      <c r="B63" s="37"/>
      <c r="C63" s="40"/>
      <c r="D63" s="39"/>
      <c r="E63" s="38"/>
      <c r="F63" s="37"/>
      <c r="G63" s="37"/>
      <c r="H63" s="37"/>
      <c r="I63" s="37"/>
      <c r="J63" s="37"/>
      <c r="K63" s="37"/>
      <c r="L63" s="37"/>
      <c r="M63" s="37"/>
      <c r="N63" s="37"/>
    </row>
    <row r="64" spans="2:14" s="31" customFormat="1" x14ac:dyDescent="0.3">
      <c r="B64" s="31" t="s">
        <v>301</v>
      </c>
      <c r="C64" s="34">
        <f>+D64/$D$4</f>
        <v>19.345800000000001</v>
      </c>
      <c r="D64" s="33">
        <f>+D25-D62</f>
        <v>3869160</v>
      </c>
      <c r="E64" s="32" t="s">
        <v>300</v>
      </c>
    </row>
    <row r="65" spans="2:14" x14ac:dyDescent="0.3">
      <c r="B65" s="46" t="s">
        <v>299</v>
      </c>
      <c r="C65" s="40"/>
      <c r="D65" s="39"/>
      <c r="E65" s="38"/>
      <c r="F65" s="37"/>
      <c r="G65" s="37"/>
      <c r="H65" s="37"/>
      <c r="I65" s="37"/>
      <c r="J65" s="37"/>
      <c r="K65" s="37"/>
      <c r="L65" s="37"/>
      <c r="M65" s="37"/>
      <c r="N65" s="37"/>
    </row>
    <row r="66" spans="2:14" x14ac:dyDescent="0.3">
      <c r="B66" s="45" t="s">
        <v>298</v>
      </c>
      <c r="C66" s="36">
        <f>+D66/$D$4</f>
        <v>0.25</v>
      </c>
      <c r="D66" s="35">
        <v>50000</v>
      </c>
      <c r="E66" s="27" t="s">
        <v>297</v>
      </c>
    </row>
    <row r="67" spans="2:14" x14ac:dyDescent="0.3">
      <c r="B67" s="45" t="s">
        <v>296</v>
      </c>
      <c r="C67" s="36">
        <f>+D67/$D$4</f>
        <v>0.75</v>
      </c>
      <c r="D67" s="35">
        <v>150000</v>
      </c>
      <c r="E67" s="27" t="s">
        <v>295</v>
      </c>
    </row>
    <row r="68" spans="2:14" x14ac:dyDescent="0.3">
      <c r="B68" s="45" t="s">
        <v>294</v>
      </c>
      <c r="C68" s="36">
        <f>+D68/$D$4</f>
        <v>0.85</v>
      </c>
      <c r="D68" s="35">
        <v>170000</v>
      </c>
      <c r="E68" s="27" t="s">
        <v>293</v>
      </c>
    </row>
    <row r="69" spans="2:14" ht="16.2" x14ac:dyDescent="0.45">
      <c r="B69" s="45" t="s">
        <v>292</v>
      </c>
      <c r="C69" s="44">
        <f>+D69/$D$4</f>
        <v>0.5</v>
      </c>
      <c r="D69" s="43">
        <f>200000*0.5</f>
        <v>100000</v>
      </c>
      <c r="E69" s="27" t="s">
        <v>291</v>
      </c>
    </row>
    <row r="70" spans="2:14" x14ac:dyDescent="0.3">
      <c r="B70" s="42" t="s">
        <v>290</v>
      </c>
      <c r="C70" s="36">
        <f>SUM(C66:C69)</f>
        <v>2.35</v>
      </c>
      <c r="D70" s="28">
        <f>SUM(D66:D69)</f>
        <v>470000</v>
      </c>
      <c r="E70" s="41"/>
    </row>
    <row r="71" spans="2:14" ht="5.0999999999999996" customHeight="1" x14ac:dyDescent="0.3">
      <c r="B71" s="37"/>
      <c r="C71" s="40"/>
      <c r="D71" s="39"/>
      <c r="E71" s="38"/>
      <c r="F71" s="37"/>
      <c r="G71" s="37"/>
      <c r="H71" s="37"/>
      <c r="I71" s="37"/>
      <c r="J71" s="37"/>
      <c r="K71" s="37"/>
      <c r="L71" s="37"/>
      <c r="M71" s="37"/>
      <c r="N71" s="37"/>
    </row>
    <row r="72" spans="2:14" s="31" customFormat="1" x14ac:dyDescent="0.3">
      <c r="B72" s="31" t="s">
        <v>289</v>
      </c>
      <c r="C72" s="34"/>
      <c r="D72" s="33">
        <f>+D64-D70</f>
        <v>3399160</v>
      </c>
      <c r="E72" s="32" t="s">
        <v>288</v>
      </c>
    </row>
    <row r="73" spans="2:14" ht="5.0999999999999996" customHeight="1" x14ac:dyDescent="0.3"/>
    <row r="74" spans="2:14" x14ac:dyDescent="0.3">
      <c r="B74" s="26" t="s">
        <v>287</v>
      </c>
      <c r="C74" s="36"/>
      <c r="D74" s="35">
        <v>2850000</v>
      </c>
      <c r="E74" s="27" t="s">
        <v>286</v>
      </c>
    </row>
    <row r="75" spans="2:14" ht="5.0999999999999996" customHeight="1" x14ac:dyDescent="0.3"/>
    <row r="76" spans="2:14" s="31" customFormat="1" x14ac:dyDescent="0.3">
      <c r="B76" s="31" t="s">
        <v>285</v>
      </c>
      <c r="C76" s="34"/>
      <c r="D76" s="33">
        <f>+D72-D74</f>
        <v>549160</v>
      </c>
      <c r="E76" s="32" t="s">
        <v>284</v>
      </c>
    </row>
    <row r="77" spans="2:14" ht="9.9" customHeight="1" x14ac:dyDescent="0.3">
      <c r="D77" s="30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165"/>
  <sheetViews>
    <sheetView showGridLines="0" tabSelected="1" zoomScaleNormal="100" workbookViewId="0">
      <selection activeCell="W5" sqref="W5"/>
    </sheetView>
  </sheetViews>
  <sheetFormatPr defaultColWidth="9.109375" defaultRowHeight="13.8" x14ac:dyDescent="0.3"/>
  <cols>
    <col min="1" max="1" width="10.109375" style="1" bestFit="1" customWidth="1"/>
    <col min="2" max="2" width="38.6640625" style="1" bestFit="1" customWidth="1"/>
    <col min="3" max="4" width="11.33203125" style="1" hidden="1" customWidth="1"/>
    <col min="5" max="10" width="11.33203125" style="1" bestFit="1" customWidth="1"/>
    <col min="11" max="11" width="12.33203125" style="1" bestFit="1" customWidth="1"/>
    <col min="12" max="14" width="12.33203125" style="1" customWidth="1"/>
    <col min="15" max="15" width="5.33203125" style="1" customWidth="1"/>
    <col min="16" max="16" width="3.109375" style="1" customWidth="1"/>
    <col min="17" max="17" width="9.109375" style="71"/>
    <col min="18" max="18" width="34.21875" style="1" bestFit="1" customWidth="1"/>
    <col min="19" max="19" width="11.44140625" style="1" bestFit="1" customWidth="1"/>
    <col min="20" max="23" width="12.33203125" style="1" bestFit="1" customWidth="1"/>
    <col min="24" max="16384" width="9.109375" style="1"/>
  </cols>
  <sheetData>
    <row r="1" spans="1:23" ht="15" customHeight="1" x14ac:dyDescent="0.3">
      <c r="A1" s="24" t="s">
        <v>268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18"/>
      <c r="M1" s="18"/>
      <c r="N1" s="18"/>
    </row>
    <row r="2" spans="1:23" ht="15.75" customHeight="1" x14ac:dyDescent="0.3">
      <c r="A2" s="25" t="s">
        <v>267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19"/>
      <c r="M2" s="19"/>
      <c r="N2" s="19"/>
    </row>
    <row r="3" spans="1:23" ht="15" customHeight="1" x14ac:dyDescent="0.3">
      <c r="A3" s="24" t="s">
        <v>270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18"/>
      <c r="M3" s="18"/>
      <c r="N3" s="18"/>
    </row>
    <row r="4" spans="1:23" ht="15" customHeight="1" x14ac:dyDescent="0.3">
      <c r="A4" s="2"/>
      <c r="B4" s="3"/>
      <c r="C4" s="2" t="s">
        <v>0</v>
      </c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2" t="s">
        <v>6</v>
      </c>
      <c r="J4" s="2" t="s">
        <v>7</v>
      </c>
      <c r="K4" s="2" t="s">
        <v>8</v>
      </c>
      <c r="L4" s="64" t="s">
        <v>376</v>
      </c>
      <c r="M4" s="64" t="s">
        <v>377</v>
      </c>
      <c r="N4" s="64" t="s">
        <v>378</v>
      </c>
      <c r="O4" s="70" t="s">
        <v>379</v>
      </c>
      <c r="Q4" s="72" t="s">
        <v>379</v>
      </c>
      <c r="R4" s="31" t="s">
        <v>371</v>
      </c>
      <c r="S4" s="53" t="s">
        <v>369</v>
      </c>
      <c r="T4" s="75" t="s">
        <v>392</v>
      </c>
      <c r="U4" s="73" t="s">
        <v>376</v>
      </c>
      <c r="V4" s="73" t="s">
        <v>377</v>
      </c>
      <c r="W4" s="73" t="s">
        <v>378</v>
      </c>
    </row>
    <row r="5" spans="1:23" ht="15" customHeight="1" x14ac:dyDescent="0.3">
      <c r="A5" s="4" t="s">
        <v>9</v>
      </c>
      <c r="B5" s="5" t="s">
        <v>10</v>
      </c>
      <c r="C5" s="6"/>
      <c r="D5" s="6"/>
      <c r="E5" s="6"/>
      <c r="F5" s="6"/>
      <c r="G5" s="6"/>
      <c r="H5" s="6"/>
      <c r="I5" s="6"/>
      <c r="J5" s="6"/>
      <c r="K5" s="6"/>
      <c r="L5" s="65"/>
      <c r="M5" s="65"/>
      <c r="N5" s="65"/>
      <c r="Q5" s="71" t="s">
        <v>399</v>
      </c>
      <c r="R5" s="45" t="s">
        <v>368</v>
      </c>
      <c r="S5" s="35">
        <f>SUMIF($O$7:$O$165,$Q5,$K$7:$K$165)</f>
        <v>10646071.43</v>
      </c>
      <c r="U5" s="76">
        <f>SUMIF($O$5:$O$165,$Q5,$L$5:$L$165)</f>
        <v>16438622.640000001</v>
      </c>
      <c r="V5" s="76">
        <f>SUMIF($O$5:$O$165,$Q5,$M$5:$M$165)</f>
        <v>16516013.84</v>
      </c>
      <c r="W5" s="76">
        <f>SUMIF($O$5:$O$165,$Q5,$N$5:$N$165)</f>
        <v>16387442.6</v>
      </c>
    </row>
    <row r="6" spans="1:23" ht="15" customHeight="1" x14ac:dyDescent="0.3">
      <c r="A6" s="7" t="s">
        <v>11</v>
      </c>
      <c r="B6" s="8" t="s">
        <v>12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Q6" s="71" t="s">
        <v>393</v>
      </c>
      <c r="R6" s="45" t="s">
        <v>366</v>
      </c>
      <c r="S6" s="35">
        <f>SUMIF($O$7:$O$165,$Q6,$K$7:$K$165)</f>
        <v>0</v>
      </c>
      <c r="U6" s="76">
        <f t="shared" ref="U6:U8" si="0">SUMIF($O$5:$O$165,$Q6,$L$5:$L$165)</f>
        <v>0</v>
      </c>
      <c r="V6" s="76">
        <f t="shared" ref="V6:V8" si="1">SUMIF($O$5:$O$165,$Q6,$M$5:$M$165)</f>
        <v>0</v>
      </c>
      <c r="W6" s="76">
        <f t="shared" ref="W6:W8" si="2">SUMIF($O$5:$O$165,$Q6,$N$5:$N$165)</f>
        <v>0</v>
      </c>
    </row>
    <row r="7" spans="1:23" ht="15" customHeight="1" x14ac:dyDescent="0.3">
      <c r="A7" s="7" t="s">
        <v>13</v>
      </c>
      <c r="B7" s="8" t="s">
        <v>14</v>
      </c>
      <c r="C7" s="10">
        <v>1203776.02</v>
      </c>
      <c r="D7" s="10">
        <v>1240624.1100000001</v>
      </c>
      <c r="E7" s="10">
        <v>1343512.61</v>
      </c>
      <c r="F7" s="10">
        <v>1360607.85</v>
      </c>
      <c r="G7" s="10">
        <v>1348272.38</v>
      </c>
      <c r="H7" s="10">
        <v>1347659.71</v>
      </c>
      <c r="I7" s="10">
        <v>1403108.53</v>
      </c>
      <c r="J7" s="10">
        <v>1365310.22</v>
      </c>
      <c r="K7" s="10">
        <v>10612871.43</v>
      </c>
      <c r="L7" s="10">
        <f>IF($K$7="","",J7*12)</f>
        <v>16383722.640000001</v>
      </c>
      <c r="M7" s="10">
        <f>IF($K$7="","",SUM(H7:J7)*4)</f>
        <v>16464313.84</v>
      </c>
      <c r="N7" s="10">
        <f>IF($K$7="","",SUM(E7:J7)*2)</f>
        <v>16336942.6</v>
      </c>
      <c r="O7" s="1" t="s">
        <v>399</v>
      </c>
      <c r="Q7" s="71" t="s">
        <v>380</v>
      </c>
      <c r="R7" s="45" t="s">
        <v>364</v>
      </c>
      <c r="S7" s="35">
        <f>SUMIF($O$7:$O$165,$Q7,$K$7:$K$165)</f>
        <v>0</v>
      </c>
      <c r="U7" s="76">
        <f t="shared" si="0"/>
        <v>0</v>
      </c>
      <c r="V7" s="76">
        <f t="shared" si="1"/>
        <v>0</v>
      </c>
      <c r="W7" s="76">
        <f t="shared" si="2"/>
        <v>0</v>
      </c>
    </row>
    <row r="8" spans="1:23" ht="15" customHeight="1" x14ac:dyDescent="0.45">
      <c r="A8" s="7" t="s">
        <v>15</v>
      </c>
      <c r="B8" s="8" t="s">
        <v>16</v>
      </c>
      <c r="C8" s="10">
        <v>-10162.879999999999</v>
      </c>
      <c r="D8" s="10">
        <v>-579.72</v>
      </c>
      <c r="E8" s="10">
        <v>135859.03</v>
      </c>
      <c r="F8" s="10">
        <v>21925.13</v>
      </c>
      <c r="G8" s="10">
        <v>29585.35</v>
      </c>
      <c r="H8" s="10">
        <v>1767.02</v>
      </c>
      <c r="I8" s="10">
        <v>36362.28</v>
      </c>
      <c r="J8" s="10">
        <v>75180.25</v>
      </c>
      <c r="K8" s="10">
        <v>289936.45999999996</v>
      </c>
      <c r="L8" s="10">
        <f t="shared" ref="L8:L71" si="3">IF($K$7="","",J8*12)</f>
        <v>902163</v>
      </c>
      <c r="M8" s="10">
        <f t="shared" ref="M8:M71" si="4">IF($K$7="","",SUM(H8:J8)*4)</f>
        <v>453238.19999999995</v>
      </c>
      <c r="N8" s="10">
        <f t="shared" ref="N8:N71" si="5">IF($K$7="","",SUM(E8:J8)*2)</f>
        <v>601358.12</v>
      </c>
      <c r="O8" s="1" t="s">
        <v>394</v>
      </c>
      <c r="Q8" s="71" t="s">
        <v>381</v>
      </c>
      <c r="R8" s="45" t="s">
        <v>362</v>
      </c>
      <c r="S8" s="52">
        <f>SUMIF($O$7:$O$165,$Q8,$K$7:$K$165)</f>
        <v>-664551.40000000014</v>
      </c>
      <c r="U8" s="77">
        <f t="shared" si="0"/>
        <v>-877557.96</v>
      </c>
      <c r="V8" s="77">
        <f t="shared" si="1"/>
        <v>-878235.64000000013</v>
      </c>
      <c r="W8" s="77">
        <f t="shared" si="2"/>
        <v>-981446.3600000001</v>
      </c>
    </row>
    <row r="9" spans="1:23" ht="15" customHeight="1" x14ac:dyDescent="0.3">
      <c r="A9" s="7" t="s">
        <v>17</v>
      </c>
      <c r="B9" s="8" t="s">
        <v>18</v>
      </c>
      <c r="C9" s="10">
        <v>3975</v>
      </c>
      <c r="D9" s="10">
        <v>3975</v>
      </c>
      <c r="E9" s="10">
        <v>3975</v>
      </c>
      <c r="F9" s="10">
        <v>4175</v>
      </c>
      <c r="G9" s="10">
        <v>4175</v>
      </c>
      <c r="H9" s="10">
        <v>4175</v>
      </c>
      <c r="I9" s="10">
        <v>4175</v>
      </c>
      <c r="J9" s="10">
        <v>4575</v>
      </c>
      <c r="K9" s="10">
        <v>33200</v>
      </c>
      <c r="L9" s="10">
        <f t="shared" si="3"/>
        <v>54900</v>
      </c>
      <c r="M9" s="10">
        <f t="shared" si="4"/>
        <v>51700</v>
      </c>
      <c r="N9" s="10">
        <f t="shared" si="5"/>
        <v>50500</v>
      </c>
      <c r="O9" s="1" t="s">
        <v>399</v>
      </c>
      <c r="R9" s="47" t="s">
        <v>360</v>
      </c>
      <c r="S9" s="28">
        <f>SUM(S5:S8)</f>
        <v>9981520.0299999993</v>
      </c>
      <c r="U9" s="76">
        <f>SUM(U5:U8)</f>
        <v>15561064.68</v>
      </c>
      <c r="V9" s="1">
        <f t="shared" ref="V9:W9" si="6">SUM(V5:V8)</f>
        <v>15637778.199999999</v>
      </c>
      <c r="W9" s="1">
        <f t="shared" si="6"/>
        <v>15405996.24</v>
      </c>
    </row>
    <row r="10" spans="1:23" ht="15" customHeight="1" x14ac:dyDescent="0.3">
      <c r="A10" s="7">
        <v>401.005</v>
      </c>
      <c r="B10" s="8" t="s">
        <v>269</v>
      </c>
      <c r="C10" s="10">
        <v>-83182.61</v>
      </c>
      <c r="D10" s="10">
        <v>-90645.61</v>
      </c>
      <c r="E10" s="10">
        <v>-97496.11</v>
      </c>
      <c r="F10" s="10">
        <v>-90178.83</v>
      </c>
      <c r="G10" s="10">
        <v>-83489.33</v>
      </c>
      <c r="H10" s="10">
        <v>-73599.25</v>
      </c>
      <c r="I10" s="10">
        <v>-72829.83</v>
      </c>
      <c r="J10" s="10">
        <v>-73129.83</v>
      </c>
      <c r="K10" s="10">
        <v>-664551.40000000014</v>
      </c>
      <c r="L10" s="10">
        <f t="shared" si="3"/>
        <v>-877557.96</v>
      </c>
      <c r="M10" s="10">
        <f t="shared" si="4"/>
        <v>-878235.64000000013</v>
      </c>
      <c r="N10" s="10">
        <f t="shared" si="5"/>
        <v>-981446.3600000001</v>
      </c>
      <c r="O10" s="1" t="s">
        <v>381</v>
      </c>
      <c r="R10" s="26"/>
      <c r="S10" s="28"/>
    </row>
    <row r="11" spans="1:23" ht="15" customHeight="1" x14ac:dyDescent="0.3">
      <c r="A11" s="7"/>
      <c r="B11" s="7"/>
      <c r="C11" s="11"/>
      <c r="D11" s="11"/>
      <c r="E11" s="11"/>
      <c r="F11" s="11"/>
      <c r="G11" s="11"/>
      <c r="H11" s="11"/>
      <c r="I11" s="11"/>
      <c r="J11" s="11"/>
      <c r="K11" s="11"/>
      <c r="L11" s="66"/>
      <c r="M11" s="66"/>
      <c r="N11" s="66"/>
      <c r="R11" s="31" t="s">
        <v>358</v>
      </c>
      <c r="S11" s="28"/>
    </row>
    <row r="12" spans="1:23" ht="15" customHeight="1" x14ac:dyDescent="0.3">
      <c r="A12" s="12" t="s">
        <v>19</v>
      </c>
      <c r="B12" s="13" t="s">
        <v>20</v>
      </c>
      <c r="C12" s="14">
        <v>1114405.53</v>
      </c>
      <c r="D12" s="14">
        <v>1153373.78</v>
      </c>
      <c r="E12" s="14">
        <v>1385850.53</v>
      </c>
      <c r="F12" s="14">
        <v>1296529.1499999999</v>
      </c>
      <c r="G12" s="14">
        <v>1298543.3999999999</v>
      </c>
      <c r="H12" s="14">
        <v>1280002.48</v>
      </c>
      <c r="I12" s="14">
        <v>1370815.98</v>
      </c>
      <c r="J12" s="14">
        <v>1371935.64</v>
      </c>
      <c r="K12" s="14">
        <v>10271456.49</v>
      </c>
      <c r="L12" s="67">
        <f t="shared" si="3"/>
        <v>16463227.68</v>
      </c>
      <c r="M12" s="67">
        <f t="shared" si="4"/>
        <v>16091016.399999999</v>
      </c>
      <c r="N12" s="67">
        <f t="shared" si="5"/>
        <v>16007354.359999998</v>
      </c>
      <c r="Q12" s="71" t="s">
        <v>382</v>
      </c>
      <c r="R12" s="45" t="s">
        <v>357</v>
      </c>
      <c r="S12" s="35">
        <f>SUMIF($O$7:$O$165,$Q12,$K$7:$K$165)</f>
        <v>2751929.8699999996</v>
      </c>
      <c r="U12" s="76">
        <f t="shared" ref="U12:U16" si="7">SUMIF($O$5:$O$165,$Q12,$L$5:$L$165)</f>
        <v>4354216.8000000007</v>
      </c>
      <c r="V12" s="76">
        <f t="shared" ref="V12:V16" si="8">SUMIF($O$5:$O$165,$Q12,$M$5:$M$165)</f>
        <v>4254734.3599999994</v>
      </c>
      <c r="W12" s="76">
        <f t="shared" ref="W12:W16" si="9">SUMIF($O$5:$O$165,$Q12,$N$5:$N$165)</f>
        <v>4225927.5999999996</v>
      </c>
    </row>
    <row r="13" spans="1:23" ht="15" customHeight="1" x14ac:dyDescent="0.3">
      <c r="A13" s="7" t="s">
        <v>21</v>
      </c>
      <c r="B13" s="8" t="s">
        <v>22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R13" s="45" t="s">
        <v>355</v>
      </c>
      <c r="S13" s="35">
        <f>SUMIF($O$7:$O$165,$Q13,$K$7:$K$165)</f>
        <v>0</v>
      </c>
      <c r="U13" s="76">
        <f t="shared" si="7"/>
        <v>0</v>
      </c>
      <c r="V13" s="76">
        <f t="shared" si="8"/>
        <v>0</v>
      </c>
      <c r="W13" s="76">
        <f t="shared" si="9"/>
        <v>0</v>
      </c>
    </row>
    <row r="14" spans="1:23" ht="15" customHeight="1" x14ac:dyDescent="0.3">
      <c r="A14" s="7" t="s">
        <v>23</v>
      </c>
      <c r="B14" s="8" t="s">
        <v>24</v>
      </c>
      <c r="C14" s="10">
        <v>295721.48</v>
      </c>
      <c r="D14" s="10">
        <v>310775.15000000002</v>
      </c>
      <c r="E14" s="10">
        <v>326452.11</v>
      </c>
      <c r="F14" s="10">
        <v>331453.84999999998</v>
      </c>
      <c r="G14" s="10">
        <v>334831.82</v>
      </c>
      <c r="H14" s="10">
        <v>335994.86</v>
      </c>
      <c r="I14" s="10">
        <v>336325.07</v>
      </c>
      <c r="J14" s="10">
        <v>345088.91</v>
      </c>
      <c r="K14" s="10">
        <v>2616643.25</v>
      </c>
      <c r="L14" s="10">
        <f t="shared" si="3"/>
        <v>4141066.92</v>
      </c>
      <c r="M14" s="10">
        <f t="shared" si="4"/>
        <v>4069635.3599999994</v>
      </c>
      <c r="N14" s="10">
        <f t="shared" si="5"/>
        <v>4020293.24</v>
      </c>
      <c r="O14" s="1" t="s">
        <v>382</v>
      </c>
      <c r="Q14" s="71" t="s">
        <v>390</v>
      </c>
      <c r="R14" s="45" t="s">
        <v>353</v>
      </c>
      <c r="S14" s="35">
        <f>SUMIF($O$7:$O$165,$Q14,$K$7:$K$165)</f>
        <v>2562087.5699999998</v>
      </c>
      <c r="U14" s="76">
        <f t="shared" si="7"/>
        <v>4034353.68</v>
      </c>
      <c r="V14" s="76">
        <f t="shared" si="8"/>
        <v>3977813.52</v>
      </c>
      <c r="W14" s="76">
        <f t="shared" si="9"/>
        <v>3916337.58</v>
      </c>
    </row>
    <row r="15" spans="1:23" ht="15" customHeight="1" x14ac:dyDescent="0.3">
      <c r="A15" s="7" t="s">
        <v>25</v>
      </c>
      <c r="B15" s="8" t="s">
        <v>271</v>
      </c>
      <c r="C15" s="10">
        <v>0</v>
      </c>
      <c r="D15" s="10">
        <v>0</v>
      </c>
      <c r="E15" s="10">
        <v>3339.05</v>
      </c>
      <c r="F15" s="10">
        <v>5447.92</v>
      </c>
      <c r="G15" s="10">
        <v>5447.92</v>
      </c>
      <c r="H15" s="10">
        <v>5447.92</v>
      </c>
      <c r="I15" s="10">
        <v>5447.92</v>
      </c>
      <c r="J15" s="10">
        <v>5447.92</v>
      </c>
      <c r="K15" s="10">
        <v>30578.65</v>
      </c>
      <c r="L15" s="10">
        <f t="shared" si="3"/>
        <v>65375.040000000001</v>
      </c>
      <c r="M15" s="10">
        <f t="shared" si="4"/>
        <v>65375.040000000001</v>
      </c>
      <c r="N15" s="10">
        <f t="shared" si="5"/>
        <v>61157.3</v>
      </c>
      <c r="O15" s="1" t="s">
        <v>382</v>
      </c>
      <c r="Q15" s="71" t="s">
        <v>394</v>
      </c>
      <c r="R15" s="45" t="s">
        <v>351</v>
      </c>
      <c r="S15" s="35">
        <f>SUMIF($O$7:$O$165,$Q15,$K$7:$K$165)</f>
        <v>289936.45999999996</v>
      </c>
      <c r="U15" s="76">
        <f t="shared" si="7"/>
        <v>902163</v>
      </c>
      <c r="V15" s="76">
        <f t="shared" si="8"/>
        <v>453238.19999999995</v>
      </c>
      <c r="W15" s="76">
        <f t="shared" si="9"/>
        <v>601358.12</v>
      </c>
    </row>
    <row r="16" spans="1:23" ht="15" customHeight="1" x14ac:dyDescent="0.45">
      <c r="A16" s="7" t="s">
        <v>26</v>
      </c>
      <c r="B16" s="8" t="s">
        <v>27</v>
      </c>
      <c r="C16" s="10">
        <v>298297.13</v>
      </c>
      <c r="D16" s="10">
        <v>305621.65000000002</v>
      </c>
      <c r="E16" s="10">
        <v>315777.96000000002</v>
      </c>
      <c r="F16" s="10">
        <v>320394.94</v>
      </c>
      <c r="G16" s="10">
        <v>327542.51</v>
      </c>
      <c r="H16" s="10">
        <v>328442.51</v>
      </c>
      <c r="I16" s="10">
        <v>329814.73</v>
      </c>
      <c r="J16" s="10">
        <v>336196.14</v>
      </c>
      <c r="K16" s="10">
        <v>2562087.5699999998</v>
      </c>
      <c r="L16" s="10">
        <f t="shared" si="3"/>
        <v>4034353.68</v>
      </c>
      <c r="M16" s="10">
        <f t="shared" si="4"/>
        <v>3977813.52</v>
      </c>
      <c r="N16" s="10">
        <f t="shared" si="5"/>
        <v>3916337.58</v>
      </c>
      <c r="O16" s="1" t="s">
        <v>390</v>
      </c>
      <c r="Q16" s="71" t="s">
        <v>395</v>
      </c>
      <c r="R16" s="45" t="s">
        <v>349</v>
      </c>
      <c r="S16" s="43">
        <f>SUMIF($O$7:$O$165,$Q16,$K$7:$K$165)</f>
        <v>744991.16</v>
      </c>
      <c r="U16" s="77">
        <f t="shared" si="7"/>
        <v>742762.92</v>
      </c>
      <c r="V16" s="77">
        <f t="shared" si="8"/>
        <v>1543943.68</v>
      </c>
      <c r="W16" s="77">
        <f t="shared" si="9"/>
        <v>1267047.7</v>
      </c>
    </row>
    <row r="17" spans="1:23" ht="15" customHeight="1" x14ac:dyDescent="0.3">
      <c r="A17" s="7" t="s">
        <v>28</v>
      </c>
      <c r="B17" s="8" t="s">
        <v>29</v>
      </c>
      <c r="C17" s="10">
        <v>27.62</v>
      </c>
      <c r="D17" s="10">
        <v>27.62</v>
      </c>
      <c r="E17" s="10">
        <v>27.62</v>
      </c>
      <c r="F17" s="10">
        <v>27.62</v>
      </c>
      <c r="G17" s="10">
        <v>27.62</v>
      </c>
      <c r="H17" s="10">
        <v>27.62</v>
      </c>
      <c r="I17" s="10">
        <v>27.62</v>
      </c>
      <c r="J17" s="10">
        <v>27.62</v>
      </c>
      <c r="K17" s="10">
        <v>220.96</v>
      </c>
      <c r="L17" s="10">
        <f t="shared" si="3"/>
        <v>331.44</v>
      </c>
      <c r="M17" s="10">
        <f t="shared" si="4"/>
        <v>331.44</v>
      </c>
      <c r="N17" s="10">
        <f t="shared" si="5"/>
        <v>331.44</v>
      </c>
      <c r="O17" s="1" t="s">
        <v>382</v>
      </c>
      <c r="R17" s="47" t="s">
        <v>347</v>
      </c>
      <c r="S17" s="28">
        <f>SUM(S12:S16)</f>
        <v>6348945.0599999996</v>
      </c>
      <c r="U17" s="76">
        <f>SUM(U12:U16)</f>
        <v>10033496.4</v>
      </c>
      <c r="V17" s="76">
        <f>SUM(V12:V16)</f>
        <v>10229729.759999998</v>
      </c>
      <c r="W17" s="76">
        <f>SUM(W12:W16)</f>
        <v>10010670.999999998</v>
      </c>
    </row>
    <row r="18" spans="1:23" ht="15" customHeight="1" x14ac:dyDescent="0.3">
      <c r="A18" s="7" t="s">
        <v>30</v>
      </c>
      <c r="B18" s="8" t="s">
        <v>31</v>
      </c>
      <c r="C18" s="10">
        <v>12071.59</v>
      </c>
      <c r="D18" s="10">
        <v>20342.61</v>
      </c>
      <c r="E18" s="10">
        <v>15928.9</v>
      </c>
      <c r="F18" s="10">
        <v>14484.15</v>
      </c>
      <c r="G18" s="10">
        <v>11811.63</v>
      </c>
      <c r="H18" s="10">
        <v>6418.43</v>
      </c>
      <c r="I18" s="10">
        <v>11142.75</v>
      </c>
      <c r="J18" s="10">
        <v>12286.95</v>
      </c>
      <c r="K18" s="10">
        <v>104487.01</v>
      </c>
      <c r="L18" s="10">
        <f t="shared" si="3"/>
        <v>147443.40000000002</v>
      </c>
      <c r="M18" s="10">
        <f t="shared" si="4"/>
        <v>119392.52</v>
      </c>
      <c r="N18" s="10">
        <f t="shared" si="5"/>
        <v>144145.62</v>
      </c>
      <c r="O18" s="1" t="s">
        <v>382</v>
      </c>
      <c r="R18" s="26"/>
      <c r="S18" s="28"/>
    </row>
    <row r="19" spans="1:23" ht="15" customHeight="1" x14ac:dyDescent="0.3">
      <c r="A19" s="7"/>
      <c r="B19" s="7"/>
      <c r="C19" s="11"/>
      <c r="D19" s="11"/>
      <c r="E19" s="11"/>
      <c r="F19" s="11"/>
      <c r="G19" s="11"/>
      <c r="H19" s="11"/>
      <c r="I19" s="11"/>
      <c r="J19" s="11"/>
      <c r="K19" s="11"/>
      <c r="L19" s="66"/>
      <c r="M19" s="66"/>
      <c r="N19" s="66"/>
      <c r="R19" s="31" t="s">
        <v>345</v>
      </c>
      <c r="S19" s="28"/>
    </row>
    <row r="20" spans="1:23" ht="15" customHeight="1" x14ac:dyDescent="0.3">
      <c r="A20" s="12" t="s">
        <v>32</v>
      </c>
      <c r="B20" s="13" t="s">
        <v>33</v>
      </c>
      <c r="C20" s="14">
        <v>606117.81999999995</v>
      </c>
      <c r="D20" s="14">
        <v>636767.03</v>
      </c>
      <c r="E20" s="14">
        <v>661525.64</v>
      </c>
      <c r="F20" s="14">
        <v>671808.48</v>
      </c>
      <c r="G20" s="14">
        <v>679661.5</v>
      </c>
      <c r="H20" s="14">
        <v>676331.34</v>
      </c>
      <c r="I20" s="14">
        <v>682758.09</v>
      </c>
      <c r="J20" s="14">
        <v>699047.54</v>
      </c>
      <c r="K20" s="14">
        <v>5314017.4400000004</v>
      </c>
      <c r="L20" s="67">
        <f t="shared" si="3"/>
        <v>8388570.4800000004</v>
      </c>
      <c r="M20" s="67">
        <f t="shared" si="4"/>
        <v>8232547.8799999999</v>
      </c>
      <c r="N20" s="67">
        <f t="shared" si="5"/>
        <v>8142265.1799999997</v>
      </c>
      <c r="R20" s="45" t="s">
        <v>344</v>
      </c>
      <c r="S20" s="28">
        <f>+S17+S9</f>
        <v>16330465.09</v>
      </c>
      <c r="U20" s="76">
        <f>+U17+U9</f>
        <v>25594561.079999998</v>
      </c>
      <c r="V20" s="76">
        <f t="shared" ref="V20:W20" si="10">+V17+V9</f>
        <v>25867507.959999997</v>
      </c>
      <c r="W20" s="76">
        <f t="shared" si="10"/>
        <v>25416667.239999998</v>
      </c>
    </row>
    <row r="21" spans="1:23" ht="15" customHeight="1" x14ac:dyDescent="0.45">
      <c r="A21" s="7" t="s">
        <v>34</v>
      </c>
      <c r="B21" s="8" t="s">
        <v>35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R21" s="45" t="s">
        <v>342</v>
      </c>
      <c r="S21" s="43">
        <v>0</v>
      </c>
      <c r="U21" s="77">
        <v>0</v>
      </c>
      <c r="V21" s="77">
        <v>0</v>
      </c>
      <c r="W21" s="77">
        <v>0</v>
      </c>
    </row>
    <row r="22" spans="1:23" ht="15" customHeight="1" x14ac:dyDescent="0.3">
      <c r="A22" s="7" t="s">
        <v>36</v>
      </c>
      <c r="B22" s="8" t="s">
        <v>37</v>
      </c>
      <c r="C22" s="10">
        <v>8910.11</v>
      </c>
      <c r="D22" s="10">
        <v>4376.3999999999996</v>
      </c>
      <c r="E22" s="10">
        <v>11502.82</v>
      </c>
      <c r="F22" s="10">
        <v>11679.56</v>
      </c>
      <c r="G22" s="10">
        <v>3020.37</v>
      </c>
      <c r="H22" s="10">
        <v>6074.95</v>
      </c>
      <c r="I22" s="10">
        <v>703.4</v>
      </c>
      <c r="J22" s="10">
        <v>12992.94</v>
      </c>
      <c r="K22" s="10">
        <v>59260.55</v>
      </c>
      <c r="L22" s="10">
        <f t="shared" si="3"/>
        <v>155915.28</v>
      </c>
      <c r="M22" s="10">
        <f t="shared" si="4"/>
        <v>79085.16</v>
      </c>
      <c r="N22" s="10">
        <f t="shared" si="5"/>
        <v>91948.08</v>
      </c>
      <c r="O22" s="1" t="s">
        <v>395</v>
      </c>
      <c r="R22" s="42" t="s">
        <v>340</v>
      </c>
      <c r="S22" s="33">
        <f>+S20+S21</f>
        <v>16330465.09</v>
      </c>
      <c r="T22" s="74">
        <f>K30</f>
        <v>16330465.09</v>
      </c>
      <c r="U22" s="76">
        <f t="shared" ref="U22:W22" si="11">+U20+U21</f>
        <v>25594561.079999998</v>
      </c>
      <c r="V22" s="76">
        <f t="shared" si="11"/>
        <v>25867507.959999997</v>
      </c>
      <c r="W22" s="76">
        <f t="shared" si="11"/>
        <v>25416667.239999998</v>
      </c>
    </row>
    <row r="23" spans="1:23" ht="15" customHeight="1" x14ac:dyDescent="0.3">
      <c r="A23" s="7" t="s">
        <v>38</v>
      </c>
      <c r="B23" s="8" t="s">
        <v>39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237001.24</v>
      </c>
      <c r="I23" s="10">
        <v>80309.42</v>
      </c>
      <c r="J23" s="10">
        <v>42205.33</v>
      </c>
      <c r="K23" s="10">
        <v>359515.99</v>
      </c>
      <c r="L23" s="10">
        <f t="shared" si="3"/>
        <v>506463.96</v>
      </c>
      <c r="M23" s="10">
        <f t="shared" si="4"/>
        <v>1438063.96</v>
      </c>
      <c r="N23" s="10">
        <f t="shared" si="5"/>
        <v>719031.98</v>
      </c>
      <c r="O23" s="1" t="s">
        <v>395</v>
      </c>
      <c r="R23" s="46" t="s">
        <v>279</v>
      </c>
      <c r="S23" s="39"/>
    </row>
    <row r="24" spans="1:23" ht="15" customHeight="1" x14ac:dyDescent="0.3">
      <c r="A24" s="7" t="s">
        <v>40</v>
      </c>
      <c r="B24" s="8" t="s">
        <v>41</v>
      </c>
      <c r="C24" s="10">
        <v>0</v>
      </c>
      <c r="D24" s="10">
        <v>0</v>
      </c>
      <c r="E24" s="10">
        <v>205000</v>
      </c>
      <c r="F24" s="10">
        <v>0</v>
      </c>
      <c r="G24" s="10">
        <v>0</v>
      </c>
      <c r="H24" s="10">
        <v>0</v>
      </c>
      <c r="I24" s="10">
        <v>0</v>
      </c>
      <c r="J24" s="10">
        <v>6666.44</v>
      </c>
      <c r="K24" s="10">
        <v>211666.44</v>
      </c>
      <c r="L24" s="10">
        <f t="shared" si="3"/>
        <v>79997.279999999999</v>
      </c>
      <c r="M24" s="10">
        <f t="shared" si="4"/>
        <v>26665.759999999998</v>
      </c>
      <c r="N24" s="10">
        <f t="shared" si="5"/>
        <v>423332.88</v>
      </c>
      <c r="O24" s="1" t="s">
        <v>395</v>
      </c>
      <c r="R24" s="31" t="s">
        <v>338</v>
      </c>
      <c r="S24" s="28"/>
    </row>
    <row r="25" spans="1:23" ht="15" customHeight="1" x14ac:dyDescent="0.3">
      <c r="A25" s="7" t="s">
        <v>42</v>
      </c>
      <c r="B25" s="8" t="s">
        <v>43</v>
      </c>
      <c r="C25" s="10">
        <v>0</v>
      </c>
      <c r="D25" s="10">
        <v>286.47000000000003</v>
      </c>
      <c r="E25" s="10">
        <v>0</v>
      </c>
      <c r="F25" s="10">
        <v>0</v>
      </c>
      <c r="G25" s="10">
        <v>285.18</v>
      </c>
      <c r="H25" s="10">
        <v>0</v>
      </c>
      <c r="I25" s="10">
        <v>0</v>
      </c>
      <c r="J25" s="10">
        <v>0</v>
      </c>
      <c r="K25" s="10">
        <v>571.65000000000009</v>
      </c>
      <c r="L25" s="10">
        <f t="shared" si="3"/>
        <v>0</v>
      </c>
      <c r="M25" s="10">
        <f t="shared" si="4"/>
        <v>0</v>
      </c>
      <c r="N25" s="10">
        <f t="shared" si="5"/>
        <v>570.36</v>
      </c>
      <c r="O25" s="1" t="s">
        <v>395</v>
      </c>
      <c r="R25" s="48" t="s">
        <v>329</v>
      </c>
      <c r="S25" s="28"/>
    </row>
    <row r="26" spans="1:23" ht="15" customHeight="1" x14ac:dyDescent="0.3">
      <c r="A26" s="7" t="s">
        <v>44</v>
      </c>
      <c r="B26" s="8" t="s">
        <v>45</v>
      </c>
      <c r="C26" s="10">
        <v>50</v>
      </c>
      <c r="D26" s="10">
        <v>97844.33</v>
      </c>
      <c r="E26" s="10">
        <v>6050</v>
      </c>
      <c r="F26" s="10">
        <v>0</v>
      </c>
      <c r="G26" s="10">
        <v>10000</v>
      </c>
      <c r="H26" s="10">
        <v>0</v>
      </c>
      <c r="I26" s="10">
        <v>0</v>
      </c>
      <c r="J26" s="10">
        <v>32.200000000000003</v>
      </c>
      <c r="K26" s="10">
        <v>113976.53</v>
      </c>
      <c r="L26" s="10">
        <f t="shared" si="3"/>
        <v>386.40000000000003</v>
      </c>
      <c r="M26" s="10">
        <f t="shared" si="4"/>
        <v>128.80000000000001</v>
      </c>
      <c r="N26" s="10">
        <f t="shared" si="5"/>
        <v>32164.400000000001</v>
      </c>
      <c r="O26" s="1" t="s">
        <v>395</v>
      </c>
      <c r="Q26" s="71" t="s">
        <v>385</v>
      </c>
      <c r="R26" s="45" t="s">
        <v>327</v>
      </c>
      <c r="S26" s="35">
        <f t="shared" ref="S26:S33" si="12">SUMIF($O$7:$O$165,$Q26,$K$7:$K$165)</f>
        <v>167746.63999999998</v>
      </c>
      <c r="U26" s="76">
        <f t="shared" ref="U26:U33" si="13">SUMIF($O$5:$O$165,$Q26,$L$5:$L$165)</f>
        <v>249473.28</v>
      </c>
      <c r="V26" s="76">
        <f t="shared" ref="V26:V33" si="14">SUMIF($O$5:$O$165,$Q26,$M$5:$M$165)</f>
        <v>251313.56</v>
      </c>
      <c r="W26" s="76">
        <f t="shared" ref="W26:W33" si="15">SUMIF($O$5:$O$165,$Q26,$N$5:$N$165)</f>
        <v>251537.24</v>
      </c>
    </row>
    <row r="27" spans="1:23" ht="15" customHeight="1" x14ac:dyDescent="0.3">
      <c r="A27" s="7"/>
      <c r="B27" s="7"/>
      <c r="C27" s="11"/>
      <c r="D27" s="11"/>
      <c r="E27" s="11"/>
      <c r="F27" s="11"/>
      <c r="G27" s="11"/>
      <c r="H27" s="11"/>
      <c r="I27" s="11"/>
      <c r="J27" s="11"/>
      <c r="K27" s="11"/>
      <c r="L27" s="66"/>
      <c r="M27" s="66"/>
      <c r="N27" s="66"/>
      <c r="Q27" s="71" t="s">
        <v>386</v>
      </c>
      <c r="R27" s="45" t="s">
        <v>325</v>
      </c>
      <c r="S27" s="35">
        <f t="shared" si="12"/>
        <v>659959.06000000006</v>
      </c>
      <c r="U27" s="76">
        <f t="shared" si="13"/>
        <v>972808.92</v>
      </c>
      <c r="V27" s="76">
        <f t="shared" si="14"/>
        <v>1014719.0400000002</v>
      </c>
      <c r="W27" s="76">
        <f t="shared" si="15"/>
        <v>1016858.38</v>
      </c>
    </row>
    <row r="28" spans="1:23" ht="15" customHeight="1" x14ac:dyDescent="0.3">
      <c r="A28" s="12" t="s">
        <v>46</v>
      </c>
      <c r="B28" s="13" t="s">
        <v>47</v>
      </c>
      <c r="C28" s="14">
        <v>8960.11</v>
      </c>
      <c r="D28" s="14">
        <v>102507.2</v>
      </c>
      <c r="E28" s="14">
        <v>222552.82</v>
      </c>
      <c r="F28" s="14">
        <v>11679.56</v>
      </c>
      <c r="G28" s="14">
        <v>13305.55</v>
      </c>
      <c r="H28" s="14">
        <v>243076.19</v>
      </c>
      <c r="I28" s="14">
        <v>81012.820000000007</v>
      </c>
      <c r="J28" s="14">
        <v>61896.91</v>
      </c>
      <c r="K28" s="14">
        <v>744991.16</v>
      </c>
      <c r="L28" s="67">
        <f t="shared" si="3"/>
        <v>742762.92</v>
      </c>
      <c r="M28" s="67">
        <f t="shared" si="4"/>
        <v>1543943.6800000002</v>
      </c>
      <c r="N28" s="67">
        <f t="shared" si="5"/>
        <v>1267047.7</v>
      </c>
      <c r="O28" s="23"/>
      <c r="P28" s="23"/>
      <c r="Q28" s="71" t="s">
        <v>391</v>
      </c>
      <c r="R28" s="45" t="s">
        <v>323</v>
      </c>
      <c r="S28" s="35">
        <f t="shared" si="12"/>
        <v>312620.33</v>
      </c>
      <c r="U28" s="76">
        <f t="shared" si="13"/>
        <v>417113.4</v>
      </c>
      <c r="V28" s="76">
        <f t="shared" si="14"/>
        <v>423567.76</v>
      </c>
      <c r="W28" s="76">
        <f t="shared" si="15"/>
        <v>467447.26</v>
      </c>
    </row>
    <row r="29" spans="1:23" ht="15" customHeight="1" x14ac:dyDescent="0.3">
      <c r="A29" s="7"/>
      <c r="B29" s="7"/>
      <c r="C29" s="11"/>
      <c r="D29" s="11"/>
      <c r="E29" s="11"/>
      <c r="F29" s="11"/>
      <c r="G29" s="11"/>
      <c r="H29" s="11"/>
      <c r="I29" s="11"/>
      <c r="J29" s="11"/>
      <c r="K29" s="11"/>
      <c r="L29" s="66"/>
      <c r="M29" s="66"/>
      <c r="N29" s="66"/>
      <c r="Q29" s="71" t="s">
        <v>387</v>
      </c>
      <c r="R29" s="45" t="s">
        <v>321</v>
      </c>
      <c r="S29" s="35">
        <f t="shared" si="12"/>
        <v>446366.33</v>
      </c>
      <c r="U29" s="76">
        <f t="shared" si="13"/>
        <v>311913.96000000002</v>
      </c>
      <c r="V29" s="76">
        <f t="shared" si="14"/>
        <v>300009.64</v>
      </c>
      <c r="W29" s="76">
        <f t="shared" si="15"/>
        <v>815434.44000000006</v>
      </c>
    </row>
    <row r="30" spans="1:23" ht="15" customHeight="1" x14ac:dyDescent="0.3">
      <c r="A30" s="12" t="s">
        <v>48</v>
      </c>
      <c r="B30" s="13" t="s">
        <v>49</v>
      </c>
      <c r="C30" s="14">
        <v>1729483.46</v>
      </c>
      <c r="D30" s="14">
        <v>1892648.01</v>
      </c>
      <c r="E30" s="14">
        <v>2269928.9900000002</v>
      </c>
      <c r="F30" s="14">
        <v>1980017.19</v>
      </c>
      <c r="G30" s="14">
        <v>1991510.45</v>
      </c>
      <c r="H30" s="14">
        <v>2199410.0099999998</v>
      </c>
      <c r="I30" s="14">
        <v>2134586.8899999997</v>
      </c>
      <c r="J30" s="14">
        <v>2132880.09</v>
      </c>
      <c r="K30" s="14">
        <v>16330465.09</v>
      </c>
      <c r="L30" s="67">
        <f t="shared" si="3"/>
        <v>25594561.079999998</v>
      </c>
      <c r="M30" s="67">
        <f t="shared" si="4"/>
        <v>25867507.959999997</v>
      </c>
      <c r="N30" s="67">
        <f t="shared" si="5"/>
        <v>25416667.240000002</v>
      </c>
      <c r="Q30" s="71" t="s">
        <v>383</v>
      </c>
      <c r="R30" s="45" t="s">
        <v>319</v>
      </c>
      <c r="S30" s="35">
        <f t="shared" si="12"/>
        <v>191390.91</v>
      </c>
      <c r="U30" s="76">
        <f t="shared" si="13"/>
        <v>426913.55999999994</v>
      </c>
      <c r="V30" s="76">
        <f t="shared" si="14"/>
        <v>352350.88</v>
      </c>
      <c r="W30" s="76">
        <f t="shared" si="15"/>
        <v>310856.48000000004</v>
      </c>
    </row>
    <row r="31" spans="1:23" ht="15" customHeight="1" x14ac:dyDescent="0.3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Q31" s="71" t="s">
        <v>388</v>
      </c>
      <c r="R31" s="45" t="s">
        <v>336</v>
      </c>
      <c r="S31" s="35">
        <f t="shared" si="12"/>
        <v>478343.87</v>
      </c>
      <c r="U31" s="76">
        <f t="shared" si="13"/>
        <v>793998.11999999988</v>
      </c>
      <c r="V31" s="76">
        <f t="shared" si="14"/>
        <v>773471.15999999992</v>
      </c>
      <c r="W31" s="76">
        <f t="shared" si="15"/>
        <v>739732.1</v>
      </c>
    </row>
    <row r="32" spans="1:23" ht="15" customHeight="1" x14ac:dyDescent="0.3">
      <c r="A32" s="12" t="s">
        <v>50</v>
      </c>
      <c r="B32" s="13" t="s">
        <v>279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Q32" s="71" t="s">
        <v>396</v>
      </c>
      <c r="R32" s="45" t="s">
        <v>317</v>
      </c>
      <c r="S32" s="35">
        <f t="shared" si="12"/>
        <v>701549.23</v>
      </c>
      <c r="U32" s="76">
        <f t="shared" si="13"/>
        <v>738177</v>
      </c>
      <c r="V32" s="76">
        <f t="shared" si="14"/>
        <v>855191.04000000004</v>
      </c>
      <c r="W32" s="76">
        <f t="shared" si="15"/>
        <v>1239772.6200000001</v>
      </c>
    </row>
    <row r="33" spans="1:23" ht="15" customHeight="1" x14ac:dyDescent="0.45">
      <c r="A33" s="21" t="s">
        <v>278</v>
      </c>
      <c r="B33" s="13" t="s">
        <v>272</v>
      </c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Q33" s="71" t="s">
        <v>397</v>
      </c>
      <c r="R33" s="45" t="s">
        <v>398</v>
      </c>
      <c r="S33" s="43">
        <f t="shared" si="12"/>
        <v>1344145.4200000002</v>
      </c>
      <c r="U33" s="77">
        <f t="shared" si="13"/>
        <v>2057445.8400000003</v>
      </c>
      <c r="V33" s="77">
        <f t="shared" si="14"/>
        <v>2324207.56</v>
      </c>
      <c r="W33" s="77">
        <f t="shared" si="15"/>
        <v>1979025.72</v>
      </c>
    </row>
    <row r="34" spans="1:23" ht="15" customHeight="1" x14ac:dyDescent="0.3">
      <c r="A34" s="7" t="s">
        <v>51</v>
      </c>
      <c r="B34" s="8" t="s">
        <v>52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R34" s="47" t="s">
        <v>313</v>
      </c>
      <c r="S34" s="28">
        <f>SUM(S26:S33)</f>
        <v>4302121.79</v>
      </c>
      <c r="U34" s="76">
        <f>SUM(U26:U33)</f>
        <v>5967844.0800000001</v>
      </c>
      <c r="V34" s="76">
        <f>SUM(V26:V33)</f>
        <v>6294830.6400000006</v>
      </c>
      <c r="W34" s="76">
        <f>SUM(W26:W33)</f>
        <v>6820664.2400000002</v>
      </c>
    </row>
    <row r="35" spans="1:23" ht="15" customHeight="1" x14ac:dyDescent="0.3">
      <c r="A35" s="7" t="s">
        <v>53</v>
      </c>
      <c r="B35" s="8" t="s">
        <v>54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f t="shared" si="3"/>
        <v>0</v>
      </c>
      <c r="M35" s="10">
        <f t="shared" si="4"/>
        <v>0</v>
      </c>
      <c r="N35" s="10">
        <f t="shared" si="5"/>
        <v>0</v>
      </c>
      <c r="R35" s="48" t="s">
        <v>312</v>
      </c>
      <c r="S35" s="28"/>
    </row>
    <row r="36" spans="1:23" ht="15" customHeight="1" x14ac:dyDescent="0.3">
      <c r="A36" s="7" t="s">
        <v>55</v>
      </c>
      <c r="B36" s="8" t="s">
        <v>56</v>
      </c>
      <c r="C36" s="10">
        <v>10601.61</v>
      </c>
      <c r="D36" s="10">
        <v>-7726.91</v>
      </c>
      <c r="E36" s="10">
        <v>10192.31</v>
      </c>
      <c r="F36" s="10">
        <v>9458.74</v>
      </c>
      <c r="G36" s="10">
        <v>9256.14</v>
      </c>
      <c r="H36" s="10">
        <v>8177.02</v>
      </c>
      <c r="I36" s="10">
        <v>9292.27</v>
      </c>
      <c r="J36" s="10">
        <v>16633.419999999998</v>
      </c>
      <c r="K36" s="10">
        <v>65884.600000000006</v>
      </c>
      <c r="L36" s="10">
        <f t="shared" si="3"/>
        <v>199601.03999999998</v>
      </c>
      <c r="M36" s="10">
        <f t="shared" si="4"/>
        <v>136410.84</v>
      </c>
      <c r="N36" s="10">
        <f t="shared" si="5"/>
        <v>126019.79999999999</v>
      </c>
      <c r="Q36" s="71" t="s">
        <v>384</v>
      </c>
      <c r="R36" s="45" t="s">
        <v>310</v>
      </c>
      <c r="S36" s="35">
        <f>SUMIF($O$7:$O$165,$Q36,$K$7:$K$165)</f>
        <v>4914907.3600000003</v>
      </c>
      <c r="U36" s="76">
        <f t="shared" ref="U36:U37" si="16">SUMIF($O$5:$O$165,$Q36,$L$5:$L$165)</f>
        <v>7372361.040000001</v>
      </c>
      <c r="V36" s="76">
        <f t="shared" ref="V36:V37" si="17">SUMIF($O$5:$O$165,$Q36,$M$5:$M$165)</f>
        <v>7372361.040000001</v>
      </c>
      <c r="W36" s="76">
        <f t="shared" ref="W36:W37" si="18">SUMIF($O$5:$O$165,$Q36,$N$5:$N$165)</f>
        <v>7372361.04</v>
      </c>
    </row>
    <row r="37" spans="1:23" ht="15" customHeight="1" x14ac:dyDescent="0.45">
      <c r="A37" s="7" t="s">
        <v>57</v>
      </c>
      <c r="B37" s="8" t="s">
        <v>58</v>
      </c>
      <c r="C37" s="10">
        <v>0</v>
      </c>
      <c r="D37" s="10">
        <v>0</v>
      </c>
      <c r="E37" s="10">
        <v>0</v>
      </c>
      <c r="F37" s="10">
        <v>0</v>
      </c>
      <c r="G37" s="10">
        <v>-8502.42</v>
      </c>
      <c r="H37" s="10">
        <v>0</v>
      </c>
      <c r="I37" s="10">
        <v>0</v>
      </c>
      <c r="J37" s="10">
        <v>1732.27</v>
      </c>
      <c r="K37" s="10">
        <v>-6770.15</v>
      </c>
      <c r="L37" s="10">
        <f t="shared" si="3"/>
        <v>20787.239999999998</v>
      </c>
      <c r="M37" s="10">
        <f t="shared" si="4"/>
        <v>6929.08</v>
      </c>
      <c r="N37" s="10">
        <f t="shared" si="5"/>
        <v>-13540.3</v>
      </c>
      <c r="Q37" s="71" t="s">
        <v>389</v>
      </c>
      <c r="R37" s="45" t="s">
        <v>308</v>
      </c>
      <c r="S37" s="43">
        <f>SUMIF($O$7:$O$165,$Q37,$K$7:$K$165)</f>
        <v>40714.799999999996</v>
      </c>
      <c r="U37" s="77">
        <f t="shared" si="16"/>
        <v>55178.879999999997</v>
      </c>
      <c r="V37" s="77">
        <f t="shared" si="17"/>
        <v>55178.879999999997</v>
      </c>
      <c r="W37" s="77">
        <f t="shared" si="18"/>
        <v>62756.2</v>
      </c>
    </row>
    <row r="38" spans="1:23" ht="15" customHeight="1" x14ac:dyDescent="0.3">
      <c r="A38" s="7" t="s">
        <v>59</v>
      </c>
      <c r="B38" s="8" t="s">
        <v>60</v>
      </c>
      <c r="C38" s="10">
        <v>16421.32</v>
      </c>
      <c r="D38" s="10">
        <v>12647.39</v>
      </c>
      <c r="E38" s="10">
        <v>14265.67</v>
      </c>
      <c r="F38" s="10">
        <v>11129.4</v>
      </c>
      <c r="G38" s="10">
        <v>13857.51</v>
      </c>
      <c r="H38" s="10">
        <v>12149.8</v>
      </c>
      <c r="I38" s="10">
        <v>12553.49</v>
      </c>
      <c r="J38" s="10">
        <v>11554.19</v>
      </c>
      <c r="K38" s="10">
        <v>104578.77</v>
      </c>
      <c r="L38" s="10">
        <f t="shared" si="3"/>
        <v>138650.28</v>
      </c>
      <c r="M38" s="10">
        <f t="shared" si="4"/>
        <v>145029.92000000001</v>
      </c>
      <c r="N38" s="10">
        <f t="shared" si="5"/>
        <v>151020.12</v>
      </c>
      <c r="R38" s="47" t="s">
        <v>306</v>
      </c>
      <c r="S38" s="28">
        <f>SUM(S36:S37)</f>
        <v>4955622.16</v>
      </c>
      <c r="U38" s="76">
        <f>SUM(U36:U37)</f>
        <v>7427539.9200000009</v>
      </c>
      <c r="V38" s="76">
        <f>SUM(V36:V37)</f>
        <v>7427539.9200000009</v>
      </c>
      <c r="W38" s="76">
        <f>SUM(W36:W37)</f>
        <v>7435117.2400000002</v>
      </c>
    </row>
    <row r="39" spans="1:23" ht="15" customHeight="1" x14ac:dyDescent="0.3">
      <c r="A39" s="7" t="s">
        <v>61</v>
      </c>
      <c r="B39" s="8" t="s">
        <v>62</v>
      </c>
      <c r="C39" s="10">
        <v>1553</v>
      </c>
      <c r="D39" s="10">
        <v>2466.2600000000002</v>
      </c>
      <c r="E39" s="10">
        <v>1002.47</v>
      </c>
      <c r="F39" s="10">
        <v>3110.16</v>
      </c>
      <c r="G39" s="10">
        <v>3570.54</v>
      </c>
      <c r="H39" s="10">
        <v>4086.42</v>
      </c>
      <c r="I39" s="10">
        <v>6252.59</v>
      </c>
      <c r="J39" s="10">
        <v>5656.25</v>
      </c>
      <c r="K39" s="10">
        <v>27697.690000000002</v>
      </c>
      <c r="L39" s="10">
        <f t="shared" si="3"/>
        <v>67875</v>
      </c>
      <c r="M39" s="10">
        <f t="shared" si="4"/>
        <v>63981.04</v>
      </c>
      <c r="N39" s="10">
        <f t="shared" si="5"/>
        <v>47356.86</v>
      </c>
      <c r="R39" s="26"/>
      <c r="S39" s="28"/>
    </row>
    <row r="40" spans="1:23" ht="15" customHeight="1" x14ac:dyDescent="0.3">
      <c r="A40" s="7"/>
      <c r="B40" s="7"/>
      <c r="C40" s="11"/>
      <c r="D40" s="11"/>
      <c r="E40" s="11"/>
      <c r="F40" s="11"/>
      <c r="G40" s="11"/>
      <c r="H40" s="11"/>
      <c r="I40" s="11"/>
      <c r="J40" s="11"/>
      <c r="K40" s="11"/>
      <c r="L40" s="66"/>
      <c r="M40" s="66"/>
      <c r="N40" s="66"/>
      <c r="R40" s="26" t="s">
        <v>333</v>
      </c>
      <c r="S40" s="28">
        <f>+S38+S34</f>
        <v>9257743.9499999993</v>
      </c>
      <c r="U40" s="28">
        <f t="shared" ref="U40:W40" si="19">+U38+U34</f>
        <v>13395384</v>
      </c>
      <c r="V40" s="28">
        <f t="shared" si="19"/>
        <v>13722370.560000002</v>
      </c>
      <c r="W40" s="28">
        <f t="shared" si="19"/>
        <v>14255781.48</v>
      </c>
    </row>
    <row r="41" spans="1:23" ht="15" customHeight="1" x14ac:dyDescent="0.3">
      <c r="A41" s="12" t="s">
        <v>63</v>
      </c>
      <c r="B41" s="13" t="s">
        <v>64</v>
      </c>
      <c r="C41" s="14">
        <v>28575.93</v>
      </c>
      <c r="D41" s="14">
        <v>7386.74</v>
      </c>
      <c r="E41" s="14">
        <v>25460.45</v>
      </c>
      <c r="F41" s="14">
        <v>23698.3</v>
      </c>
      <c r="G41" s="14">
        <v>18181.77</v>
      </c>
      <c r="H41" s="14">
        <v>24413.24</v>
      </c>
      <c r="I41" s="14">
        <v>28098.35</v>
      </c>
      <c r="J41" s="14">
        <v>35576.129999999997</v>
      </c>
      <c r="K41" s="14">
        <v>191390.91</v>
      </c>
      <c r="L41" s="67">
        <f t="shared" si="3"/>
        <v>426913.55999999994</v>
      </c>
      <c r="M41" s="67">
        <f t="shared" si="4"/>
        <v>352350.88</v>
      </c>
      <c r="N41" s="67">
        <f t="shared" si="5"/>
        <v>310856.48000000004</v>
      </c>
      <c r="O41" s="1" t="s">
        <v>383</v>
      </c>
      <c r="R41" s="26"/>
      <c r="S41" s="28"/>
    </row>
    <row r="42" spans="1:23" ht="15" customHeight="1" x14ac:dyDescent="0.3">
      <c r="A42" s="7" t="s">
        <v>65</v>
      </c>
      <c r="B42" s="8" t="s">
        <v>66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R42" s="31" t="s">
        <v>331</v>
      </c>
      <c r="S42" s="28"/>
    </row>
    <row r="43" spans="1:23" ht="15" customHeight="1" x14ac:dyDescent="0.3">
      <c r="A43" s="7" t="s">
        <v>67</v>
      </c>
      <c r="B43" s="8" t="s">
        <v>68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R43" s="48" t="s">
        <v>329</v>
      </c>
      <c r="S43" s="28"/>
    </row>
    <row r="44" spans="1:23" ht="15" customHeight="1" x14ac:dyDescent="0.3">
      <c r="A44" s="7" t="s">
        <v>69</v>
      </c>
      <c r="B44" s="8" t="s">
        <v>70</v>
      </c>
      <c r="C44" s="10">
        <v>0</v>
      </c>
      <c r="D44" s="10">
        <v>0</v>
      </c>
      <c r="E44" s="10">
        <v>0</v>
      </c>
      <c r="F44" s="10">
        <v>0</v>
      </c>
      <c r="G44" s="10">
        <v>2260</v>
      </c>
      <c r="H44" s="10">
        <v>1080</v>
      </c>
      <c r="I44" s="10">
        <v>0</v>
      </c>
      <c r="J44" s="10">
        <v>0</v>
      </c>
      <c r="K44" s="10">
        <v>3340</v>
      </c>
      <c r="L44" s="10">
        <f t="shared" si="3"/>
        <v>0</v>
      </c>
      <c r="M44" s="10">
        <f t="shared" si="4"/>
        <v>4320</v>
      </c>
      <c r="N44" s="10">
        <f t="shared" si="5"/>
        <v>6680</v>
      </c>
      <c r="R44" s="45" t="s">
        <v>327</v>
      </c>
      <c r="S44" s="35">
        <f t="shared" ref="S44:S50" si="20">SUMIF($O$7:$O$165,$Q44,$K$7:$K$165)</f>
        <v>0</v>
      </c>
      <c r="U44" s="76">
        <f t="shared" ref="U44:U50" si="21">SUMIF($O$5:$O$165,$Q44,$L$5:$L$165)</f>
        <v>0</v>
      </c>
      <c r="V44" s="76">
        <f t="shared" ref="V44:V50" si="22">SUMIF($O$5:$O$165,$Q44,$M$5:$M$165)</f>
        <v>0</v>
      </c>
      <c r="W44" s="76">
        <f t="shared" ref="W44:W50" si="23">SUMIF($O$5:$O$165,$Q44,$N$5:$N$165)</f>
        <v>0</v>
      </c>
    </row>
    <row r="45" spans="1:23" ht="15" customHeight="1" x14ac:dyDescent="0.3">
      <c r="A45" s="7" t="s">
        <v>71</v>
      </c>
      <c r="B45" s="8" t="s">
        <v>281</v>
      </c>
      <c r="C45" s="10">
        <v>4122.0600000000004</v>
      </c>
      <c r="D45" s="10">
        <v>3649.26</v>
      </c>
      <c r="E45" s="10">
        <v>2714.18</v>
      </c>
      <c r="F45" s="10">
        <v>2232.4499999999998</v>
      </c>
      <c r="G45" s="10">
        <v>2141.8200000000002</v>
      </c>
      <c r="H45" s="10">
        <v>4168.53</v>
      </c>
      <c r="I45" s="10">
        <v>3112.03</v>
      </c>
      <c r="J45" s="10">
        <v>2479.41</v>
      </c>
      <c r="K45" s="10">
        <v>24619.739999999998</v>
      </c>
      <c r="L45" s="10">
        <f t="shared" si="3"/>
        <v>29752.92</v>
      </c>
      <c r="M45" s="10">
        <f t="shared" si="4"/>
        <v>39039.879999999997</v>
      </c>
      <c r="N45" s="10">
        <f t="shared" si="5"/>
        <v>33696.839999999997</v>
      </c>
      <c r="R45" s="45" t="s">
        <v>325</v>
      </c>
      <c r="S45" s="35">
        <f t="shared" si="20"/>
        <v>0</v>
      </c>
      <c r="U45" s="76">
        <f t="shared" si="21"/>
        <v>0</v>
      </c>
      <c r="V45" s="76">
        <f t="shared" si="22"/>
        <v>0</v>
      </c>
      <c r="W45" s="76">
        <f t="shared" si="23"/>
        <v>0</v>
      </c>
    </row>
    <row r="46" spans="1:23" ht="15" customHeight="1" x14ac:dyDescent="0.3">
      <c r="A46" s="7" t="s">
        <v>72</v>
      </c>
      <c r="B46" s="8" t="s">
        <v>73</v>
      </c>
      <c r="C46" s="10">
        <v>270.63</v>
      </c>
      <c r="D46" s="10">
        <v>0</v>
      </c>
      <c r="E46" s="10">
        <v>0</v>
      </c>
      <c r="F46" s="10">
        <v>650</v>
      </c>
      <c r="G46" s="10">
        <v>876.83</v>
      </c>
      <c r="H46" s="10">
        <v>0</v>
      </c>
      <c r="I46" s="10">
        <v>0</v>
      </c>
      <c r="J46" s="10">
        <v>0</v>
      </c>
      <c r="K46" s="10">
        <v>1797.46</v>
      </c>
      <c r="L46" s="10">
        <f t="shared" si="3"/>
        <v>0</v>
      </c>
      <c r="M46" s="10">
        <f t="shared" si="4"/>
        <v>0</v>
      </c>
      <c r="N46" s="10">
        <f t="shared" si="5"/>
        <v>3053.66</v>
      </c>
      <c r="R46" s="45" t="s">
        <v>323</v>
      </c>
      <c r="S46" s="35">
        <f t="shared" si="20"/>
        <v>0</v>
      </c>
      <c r="U46" s="76">
        <f t="shared" si="21"/>
        <v>0</v>
      </c>
      <c r="V46" s="76">
        <f t="shared" si="22"/>
        <v>0</v>
      </c>
      <c r="W46" s="76">
        <f t="shared" si="23"/>
        <v>0</v>
      </c>
    </row>
    <row r="47" spans="1:23" ht="15" customHeight="1" x14ac:dyDescent="0.3">
      <c r="A47" s="7" t="s">
        <v>74</v>
      </c>
      <c r="B47" s="8" t="s">
        <v>75</v>
      </c>
      <c r="C47" s="10">
        <v>1501.84</v>
      </c>
      <c r="D47" s="10">
        <v>32661.01</v>
      </c>
      <c r="E47" s="10">
        <v>15410</v>
      </c>
      <c r="F47" s="10">
        <v>1837.7</v>
      </c>
      <c r="G47" s="10">
        <v>10885.51</v>
      </c>
      <c r="H47" s="10">
        <v>19965.5</v>
      </c>
      <c r="I47" s="10">
        <v>1326.35</v>
      </c>
      <c r="J47" s="10">
        <v>4075.77</v>
      </c>
      <c r="K47" s="10">
        <v>87663.680000000008</v>
      </c>
      <c r="L47" s="10">
        <f t="shared" si="3"/>
        <v>48909.24</v>
      </c>
      <c r="M47" s="10">
        <f t="shared" si="4"/>
        <v>101470.48</v>
      </c>
      <c r="N47" s="10">
        <f t="shared" si="5"/>
        <v>107001.65999999999</v>
      </c>
      <c r="R47" s="45" t="s">
        <v>321</v>
      </c>
      <c r="S47" s="35">
        <f t="shared" si="20"/>
        <v>0</v>
      </c>
      <c r="U47" s="76">
        <f t="shared" si="21"/>
        <v>0</v>
      </c>
      <c r="V47" s="76">
        <f t="shared" si="22"/>
        <v>0</v>
      </c>
      <c r="W47" s="76">
        <f t="shared" si="23"/>
        <v>0</v>
      </c>
    </row>
    <row r="48" spans="1:23" ht="15" customHeight="1" x14ac:dyDescent="0.3">
      <c r="A48" s="7" t="s">
        <v>76</v>
      </c>
      <c r="B48" s="8" t="s">
        <v>77</v>
      </c>
      <c r="C48" s="10">
        <v>432.07</v>
      </c>
      <c r="D48" s="10">
        <v>12.77</v>
      </c>
      <c r="E48" s="10">
        <v>0</v>
      </c>
      <c r="F48" s="10">
        <v>0</v>
      </c>
      <c r="G48" s="10">
        <v>129.9</v>
      </c>
      <c r="H48" s="10">
        <v>0</v>
      </c>
      <c r="I48" s="10">
        <v>0</v>
      </c>
      <c r="J48" s="10">
        <v>0</v>
      </c>
      <c r="K48" s="10">
        <v>574.74</v>
      </c>
      <c r="L48" s="10">
        <f t="shared" si="3"/>
        <v>0</v>
      </c>
      <c r="M48" s="10">
        <f t="shared" si="4"/>
        <v>0</v>
      </c>
      <c r="N48" s="10">
        <f t="shared" si="5"/>
        <v>259.8</v>
      </c>
      <c r="R48" s="45" t="s">
        <v>319</v>
      </c>
      <c r="S48" s="35">
        <f t="shared" si="20"/>
        <v>0</v>
      </c>
      <c r="U48" s="76">
        <f t="shared" si="21"/>
        <v>0</v>
      </c>
      <c r="V48" s="76">
        <f t="shared" si="22"/>
        <v>0</v>
      </c>
      <c r="W48" s="76">
        <f t="shared" si="23"/>
        <v>0</v>
      </c>
    </row>
    <row r="49" spans="1:23" ht="15" customHeight="1" x14ac:dyDescent="0.3">
      <c r="A49" s="7" t="s">
        <v>78</v>
      </c>
      <c r="B49" s="8" t="s">
        <v>79</v>
      </c>
      <c r="C49" s="10">
        <v>0</v>
      </c>
      <c r="D49" s="10">
        <v>119.08</v>
      </c>
      <c r="E49" s="10">
        <v>251.04</v>
      </c>
      <c r="F49" s="10">
        <v>234.95</v>
      </c>
      <c r="G49" s="10">
        <v>1563.35</v>
      </c>
      <c r="H49" s="10">
        <v>163.9</v>
      </c>
      <c r="I49" s="10">
        <v>1390.51</v>
      </c>
      <c r="J49" s="10">
        <v>2136.39</v>
      </c>
      <c r="K49" s="10">
        <v>5859.2199999999993</v>
      </c>
      <c r="L49" s="10">
        <f t="shared" si="3"/>
        <v>25636.68</v>
      </c>
      <c r="M49" s="10">
        <f t="shared" si="4"/>
        <v>14763.2</v>
      </c>
      <c r="N49" s="10">
        <f t="shared" si="5"/>
        <v>11480.279999999999</v>
      </c>
      <c r="R49" s="45" t="s">
        <v>317</v>
      </c>
      <c r="S49" s="35">
        <f t="shared" si="20"/>
        <v>0</v>
      </c>
      <c r="U49" s="76">
        <f t="shared" si="21"/>
        <v>0</v>
      </c>
      <c r="V49" s="76">
        <f t="shared" si="22"/>
        <v>0</v>
      </c>
      <c r="W49" s="76">
        <f t="shared" si="23"/>
        <v>0</v>
      </c>
    </row>
    <row r="50" spans="1:23" ht="15" customHeight="1" x14ac:dyDescent="0.45">
      <c r="A50" s="7" t="s">
        <v>80</v>
      </c>
      <c r="B50" s="8" t="s">
        <v>81</v>
      </c>
      <c r="C50" s="10">
        <v>0</v>
      </c>
      <c r="D50" s="10">
        <v>15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15</v>
      </c>
      <c r="L50" s="10">
        <f t="shared" si="3"/>
        <v>0</v>
      </c>
      <c r="M50" s="10">
        <f t="shared" si="4"/>
        <v>0</v>
      </c>
      <c r="N50" s="10">
        <f t="shared" si="5"/>
        <v>0</v>
      </c>
      <c r="R50" s="45" t="s">
        <v>315</v>
      </c>
      <c r="S50" s="43">
        <f t="shared" si="20"/>
        <v>0</v>
      </c>
      <c r="U50" s="77">
        <f t="shared" si="21"/>
        <v>0</v>
      </c>
      <c r="V50" s="77">
        <f t="shared" si="22"/>
        <v>0</v>
      </c>
      <c r="W50" s="77">
        <f t="shared" si="23"/>
        <v>0</v>
      </c>
    </row>
    <row r="51" spans="1:23" ht="15" customHeight="1" x14ac:dyDescent="0.3">
      <c r="A51" s="7" t="s">
        <v>82</v>
      </c>
      <c r="B51" s="8" t="s">
        <v>83</v>
      </c>
      <c r="C51" s="10">
        <v>0</v>
      </c>
      <c r="D51" s="10">
        <v>0</v>
      </c>
      <c r="E51" s="10">
        <v>26.92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26.92</v>
      </c>
      <c r="L51" s="10">
        <f t="shared" si="3"/>
        <v>0</v>
      </c>
      <c r="M51" s="10">
        <f t="shared" si="4"/>
        <v>0</v>
      </c>
      <c r="N51" s="10">
        <f t="shared" si="5"/>
        <v>53.84</v>
      </c>
      <c r="R51" s="47" t="s">
        <v>313</v>
      </c>
      <c r="S51" s="28">
        <f>SUM(S44:S50)</f>
        <v>0</v>
      </c>
      <c r="U51" s="76">
        <f>SUM(U44:U50)</f>
        <v>0</v>
      </c>
      <c r="V51" s="76">
        <f>SUM(V44:V50)</f>
        <v>0</v>
      </c>
      <c r="W51" s="76">
        <f>SUM(W44:W50)</f>
        <v>0</v>
      </c>
    </row>
    <row r="52" spans="1:23" ht="15" customHeight="1" x14ac:dyDescent="0.3">
      <c r="A52" s="7" t="s">
        <v>84</v>
      </c>
      <c r="B52" s="8" t="s">
        <v>85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389.7</v>
      </c>
      <c r="K52" s="10">
        <v>389.7</v>
      </c>
      <c r="L52" s="10">
        <f t="shared" si="3"/>
        <v>4676.3999999999996</v>
      </c>
      <c r="M52" s="10">
        <f t="shared" si="4"/>
        <v>1558.8</v>
      </c>
      <c r="N52" s="10">
        <f t="shared" si="5"/>
        <v>779.4</v>
      </c>
      <c r="R52" s="48" t="s">
        <v>312</v>
      </c>
      <c r="S52" s="28"/>
    </row>
    <row r="53" spans="1:23" ht="15" customHeight="1" x14ac:dyDescent="0.3">
      <c r="A53" s="7" t="s">
        <v>86</v>
      </c>
      <c r="B53" s="8" t="s">
        <v>87</v>
      </c>
      <c r="C53" s="10">
        <v>0</v>
      </c>
      <c r="D53" s="10">
        <v>104.4</v>
      </c>
      <c r="E53" s="10">
        <v>78.75</v>
      </c>
      <c r="F53" s="10">
        <v>0</v>
      </c>
      <c r="G53" s="10">
        <v>163.24</v>
      </c>
      <c r="H53" s="10">
        <v>78.69</v>
      </c>
      <c r="I53" s="10">
        <v>0</v>
      </c>
      <c r="J53" s="10">
        <v>79.040000000000006</v>
      </c>
      <c r="K53" s="10">
        <v>504.12</v>
      </c>
      <c r="L53" s="10">
        <f t="shared" si="3"/>
        <v>948.48</v>
      </c>
      <c r="M53" s="10">
        <f t="shared" si="4"/>
        <v>630.92000000000007</v>
      </c>
      <c r="N53" s="10">
        <f t="shared" si="5"/>
        <v>799.44</v>
      </c>
      <c r="R53" s="45" t="s">
        <v>310</v>
      </c>
      <c r="S53" s="35">
        <v>0</v>
      </c>
      <c r="U53" s="76">
        <f t="shared" ref="U53:U54" si="24">SUMIF($O$5:$O$165,$Q53,$L$5:$L$165)</f>
        <v>0</v>
      </c>
      <c r="V53" s="76">
        <f t="shared" ref="V53:V54" si="25">SUMIF($O$5:$O$165,$Q53,$M$5:$M$165)</f>
        <v>0</v>
      </c>
      <c r="W53" s="76">
        <f t="shared" ref="W53:W54" si="26">SUMIF($O$5:$O$165,$Q53,$N$5:$N$165)</f>
        <v>0</v>
      </c>
    </row>
    <row r="54" spans="1:23" ht="15" customHeight="1" x14ac:dyDescent="0.45">
      <c r="A54" s="7" t="s">
        <v>88</v>
      </c>
      <c r="B54" s="8" t="s">
        <v>89</v>
      </c>
      <c r="C54" s="10">
        <v>425.74</v>
      </c>
      <c r="D54" s="10">
        <v>851.48</v>
      </c>
      <c r="E54" s="10">
        <v>392.23</v>
      </c>
      <c r="F54" s="10">
        <v>584.85</v>
      </c>
      <c r="G54" s="10">
        <v>0</v>
      </c>
      <c r="H54" s="10">
        <v>915.74</v>
      </c>
      <c r="I54" s="10">
        <v>0</v>
      </c>
      <c r="J54" s="10">
        <v>170</v>
      </c>
      <c r="K54" s="10">
        <v>3340.04</v>
      </c>
      <c r="L54" s="10">
        <f t="shared" si="3"/>
        <v>2040</v>
      </c>
      <c r="M54" s="10">
        <f t="shared" si="4"/>
        <v>4342.96</v>
      </c>
      <c r="N54" s="10">
        <f t="shared" si="5"/>
        <v>4125.6400000000003</v>
      </c>
      <c r="R54" s="45" t="s">
        <v>308</v>
      </c>
      <c r="S54" s="43">
        <f>SUMIF($O$7:$O$165,$Q54,$K$7:$K$165)</f>
        <v>0</v>
      </c>
      <c r="U54" s="77">
        <f t="shared" si="24"/>
        <v>0</v>
      </c>
      <c r="V54" s="77">
        <f t="shared" si="25"/>
        <v>0</v>
      </c>
      <c r="W54" s="77">
        <f t="shared" si="26"/>
        <v>0</v>
      </c>
    </row>
    <row r="55" spans="1:23" ht="15" customHeight="1" x14ac:dyDescent="0.3">
      <c r="A55" s="7" t="s">
        <v>90</v>
      </c>
      <c r="B55" s="8" t="s">
        <v>91</v>
      </c>
      <c r="C55" s="10">
        <v>0</v>
      </c>
      <c r="D55" s="10">
        <v>77.16</v>
      </c>
      <c r="E55" s="10">
        <v>55.83</v>
      </c>
      <c r="F55" s="10">
        <v>0</v>
      </c>
      <c r="G55" s="10">
        <v>131.18</v>
      </c>
      <c r="H55" s="10">
        <v>0</v>
      </c>
      <c r="I55" s="10">
        <v>0</v>
      </c>
      <c r="J55" s="10">
        <v>84.17</v>
      </c>
      <c r="K55" s="10">
        <v>348.34000000000003</v>
      </c>
      <c r="L55" s="10">
        <f t="shared" si="3"/>
        <v>1010.04</v>
      </c>
      <c r="M55" s="10">
        <f t="shared" si="4"/>
        <v>336.68</v>
      </c>
      <c r="N55" s="10">
        <f t="shared" si="5"/>
        <v>542.36</v>
      </c>
      <c r="R55" s="47" t="s">
        <v>306</v>
      </c>
      <c r="S55" s="28">
        <f>SUM(S53:S54)</f>
        <v>0</v>
      </c>
      <c r="U55" s="76">
        <f>SUM(U53:U54)</f>
        <v>0</v>
      </c>
      <c r="V55" s="76">
        <f>SUM(V53:V54)</f>
        <v>0</v>
      </c>
      <c r="W55" s="76">
        <f>SUM(W53:W54)</f>
        <v>0</v>
      </c>
    </row>
    <row r="56" spans="1:23" ht="15" customHeight="1" x14ac:dyDescent="0.3">
      <c r="A56" s="7"/>
      <c r="B56" s="7"/>
      <c r="C56" s="11"/>
      <c r="D56" s="11"/>
      <c r="E56" s="11"/>
      <c r="F56" s="11"/>
      <c r="G56" s="11"/>
      <c r="H56" s="11"/>
      <c r="I56" s="11"/>
      <c r="J56" s="11"/>
      <c r="K56" s="11"/>
      <c r="L56" s="66"/>
      <c r="M56" s="66"/>
      <c r="N56" s="66"/>
      <c r="R56" s="26"/>
      <c r="S56" s="28"/>
    </row>
    <row r="57" spans="1:23" ht="15" customHeight="1" x14ac:dyDescent="0.3">
      <c r="A57" s="12" t="s">
        <v>92</v>
      </c>
      <c r="B57" s="13" t="s">
        <v>93</v>
      </c>
      <c r="C57" s="14">
        <v>6752.34</v>
      </c>
      <c r="D57" s="14">
        <v>37490.160000000003</v>
      </c>
      <c r="E57" s="14">
        <v>18928.95</v>
      </c>
      <c r="F57" s="14">
        <v>5539.95</v>
      </c>
      <c r="G57" s="14">
        <v>18151.830000000002</v>
      </c>
      <c r="H57" s="14">
        <v>26372.36</v>
      </c>
      <c r="I57" s="14">
        <v>5828.89</v>
      </c>
      <c r="J57" s="14">
        <v>9414.48</v>
      </c>
      <c r="K57" s="14">
        <v>128478.95999999999</v>
      </c>
      <c r="L57" s="67">
        <f t="shared" si="3"/>
        <v>112973.75999999999</v>
      </c>
      <c r="M57" s="67">
        <f t="shared" si="4"/>
        <v>166462.91999999998</v>
      </c>
      <c r="N57" s="67">
        <f t="shared" si="5"/>
        <v>168472.91999999998</v>
      </c>
      <c r="O57" s="1" t="s">
        <v>386</v>
      </c>
      <c r="R57" s="26" t="s">
        <v>305</v>
      </c>
      <c r="S57" s="28">
        <f>+S55+S51</f>
        <v>0</v>
      </c>
      <c r="U57" s="28">
        <f t="shared" ref="U57:W57" si="27">+U55+U51</f>
        <v>0</v>
      </c>
      <c r="V57" s="28">
        <f t="shared" si="27"/>
        <v>0</v>
      </c>
      <c r="W57" s="28">
        <f t="shared" si="27"/>
        <v>0</v>
      </c>
    </row>
    <row r="58" spans="1:23" ht="15" customHeight="1" x14ac:dyDescent="0.3">
      <c r="A58" s="7" t="s">
        <v>94</v>
      </c>
      <c r="B58" s="8" t="s">
        <v>277</v>
      </c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R58" s="26"/>
      <c r="S58" s="28"/>
    </row>
    <row r="59" spans="1:23" ht="15" customHeight="1" x14ac:dyDescent="0.3">
      <c r="A59" s="7" t="s">
        <v>95</v>
      </c>
      <c r="B59" s="8" t="s">
        <v>96</v>
      </c>
      <c r="C59" s="10">
        <v>545.58000000000004</v>
      </c>
      <c r="D59" s="10">
        <v>81.19</v>
      </c>
      <c r="E59" s="10">
        <v>545.58000000000004</v>
      </c>
      <c r="F59" s="10">
        <v>81.19</v>
      </c>
      <c r="G59" s="10">
        <v>81.19</v>
      </c>
      <c r="H59" s="10">
        <v>545.58000000000004</v>
      </c>
      <c r="I59" s="10">
        <v>81.19</v>
      </c>
      <c r="J59" s="10">
        <v>81.19</v>
      </c>
      <c r="K59" s="10">
        <v>2042.69</v>
      </c>
      <c r="L59" s="10">
        <f t="shared" si="3"/>
        <v>974.28</v>
      </c>
      <c r="M59" s="10">
        <f t="shared" si="4"/>
        <v>2831.84</v>
      </c>
      <c r="N59" s="10">
        <f t="shared" si="5"/>
        <v>2831.84</v>
      </c>
      <c r="R59" s="31" t="s">
        <v>303</v>
      </c>
      <c r="S59" s="33">
        <f>S57+S40</f>
        <v>9257743.9499999993</v>
      </c>
      <c r="T59" s="74">
        <f>K163</f>
        <v>9257743.9499999993</v>
      </c>
      <c r="U59" s="33">
        <f t="shared" ref="U59:W59" si="28">U57+U40</f>
        <v>13395384</v>
      </c>
      <c r="V59" s="33">
        <f t="shared" si="28"/>
        <v>13722370.560000002</v>
      </c>
      <c r="W59" s="33">
        <f t="shared" si="28"/>
        <v>14255781.48</v>
      </c>
    </row>
    <row r="60" spans="1:23" ht="15" customHeight="1" x14ac:dyDescent="0.3">
      <c r="A60" s="7" t="s">
        <v>97</v>
      </c>
      <c r="B60" s="8" t="s">
        <v>98</v>
      </c>
      <c r="C60" s="10">
        <v>14927.67</v>
      </c>
      <c r="D60" s="10">
        <v>1650.81</v>
      </c>
      <c r="E60" s="10">
        <v>11763.52</v>
      </c>
      <c r="F60" s="10">
        <v>14846.49</v>
      </c>
      <c r="G60" s="10">
        <v>1243.79</v>
      </c>
      <c r="H60" s="10">
        <v>10682.11</v>
      </c>
      <c r="I60" s="10">
        <v>13266.55</v>
      </c>
      <c r="J60" s="10">
        <v>7276.81</v>
      </c>
      <c r="K60" s="10">
        <v>75657.75</v>
      </c>
      <c r="L60" s="10">
        <f t="shared" si="3"/>
        <v>87321.72</v>
      </c>
      <c r="M60" s="10">
        <f t="shared" si="4"/>
        <v>124901.88</v>
      </c>
      <c r="N60" s="10">
        <f t="shared" si="5"/>
        <v>118158.54000000001</v>
      </c>
      <c r="R60" s="37"/>
      <c r="S60" s="39"/>
    </row>
    <row r="61" spans="1:23" ht="15" customHeight="1" x14ac:dyDescent="0.3">
      <c r="A61" s="7" t="s">
        <v>99</v>
      </c>
      <c r="B61" s="8" t="s">
        <v>100</v>
      </c>
      <c r="C61" s="10">
        <v>0</v>
      </c>
      <c r="D61" s="10">
        <v>0</v>
      </c>
      <c r="E61" s="10">
        <v>0</v>
      </c>
      <c r="F61" s="10">
        <v>0</v>
      </c>
      <c r="G61" s="10">
        <v>21108.75</v>
      </c>
      <c r="H61" s="10">
        <v>0</v>
      </c>
      <c r="I61" s="10">
        <v>0</v>
      </c>
      <c r="J61" s="10">
        <v>0</v>
      </c>
      <c r="K61" s="10">
        <v>21108.75</v>
      </c>
      <c r="L61" s="10">
        <f t="shared" si="3"/>
        <v>0</v>
      </c>
      <c r="M61" s="10">
        <f t="shared" si="4"/>
        <v>0</v>
      </c>
      <c r="N61" s="10">
        <f t="shared" si="5"/>
        <v>42217.5</v>
      </c>
      <c r="R61" s="31" t="s">
        <v>301</v>
      </c>
      <c r="S61" s="33">
        <f>+S22-S59</f>
        <v>7072721.1400000006</v>
      </c>
      <c r="T61" s="74">
        <f>K165</f>
        <v>7072721.1399999997</v>
      </c>
      <c r="U61" s="33">
        <f t="shared" ref="U61:W61" si="29">+U22-U59</f>
        <v>12199177.079999998</v>
      </c>
      <c r="V61" s="33">
        <f t="shared" si="29"/>
        <v>12145137.399999995</v>
      </c>
      <c r="W61" s="33">
        <f t="shared" si="29"/>
        <v>11160885.759999998</v>
      </c>
    </row>
    <row r="62" spans="1:23" ht="15" customHeight="1" x14ac:dyDescent="0.3">
      <c r="A62" s="7" t="s">
        <v>101</v>
      </c>
      <c r="B62" s="8" t="s">
        <v>102</v>
      </c>
      <c r="C62" s="10">
        <v>8911</v>
      </c>
      <c r="D62" s="10">
        <v>9210</v>
      </c>
      <c r="E62" s="10">
        <v>-2604</v>
      </c>
      <c r="F62" s="10">
        <v>10659</v>
      </c>
      <c r="G62" s="10">
        <v>9860</v>
      </c>
      <c r="H62" s="10">
        <v>6990</v>
      </c>
      <c r="I62" s="10">
        <v>6507</v>
      </c>
      <c r="J62" s="10">
        <v>7015</v>
      </c>
      <c r="K62" s="10">
        <v>56548</v>
      </c>
      <c r="L62" s="10">
        <f t="shared" si="3"/>
        <v>84180</v>
      </c>
      <c r="M62" s="10">
        <f t="shared" si="4"/>
        <v>82048</v>
      </c>
      <c r="N62" s="10">
        <f t="shared" si="5"/>
        <v>76854</v>
      </c>
    </row>
    <row r="63" spans="1:23" ht="15" customHeight="1" x14ac:dyDescent="0.3">
      <c r="A63" s="7"/>
      <c r="B63" s="7"/>
      <c r="C63" s="11"/>
      <c r="D63" s="11"/>
      <c r="E63" s="11"/>
      <c r="F63" s="11"/>
      <c r="G63" s="11"/>
      <c r="H63" s="11"/>
      <c r="I63" s="11"/>
      <c r="J63" s="11"/>
      <c r="K63" s="11"/>
      <c r="L63" s="66"/>
      <c r="M63" s="66"/>
      <c r="N63" s="66"/>
    </row>
    <row r="64" spans="1:23" ht="15" customHeight="1" x14ac:dyDescent="0.3">
      <c r="A64" s="12" t="s">
        <v>103</v>
      </c>
      <c r="B64" s="13" t="s">
        <v>104</v>
      </c>
      <c r="C64" s="14">
        <v>24384.25</v>
      </c>
      <c r="D64" s="14">
        <v>10942</v>
      </c>
      <c r="E64" s="14">
        <v>9705.1</v>
      </c>
      <c r="F64" s="14">
        <v>25586.68</v>
      </c>
      <c r="G64" s="14">
        <v>32293.73</v>
      </c>
      <c r="H64" s="14">
        <v>18217.689999999999</v>
      </c>
      <c r="I64" s="14">
        <v>19854.740000000002</v>
      </c>
      <c r="J64" s="14">
        <v>14373</v>
      </c>
      <c r="K64" s="14">
        <v>155357.19</v>
      </c>
      <c r="L64" s="67">
        <f t="shared" si="3"/>
        <v>172476</v>
      </c>
      <c r="M64" s="67">
        <f t="shared" si="4"/>
        <v>209781.72</v>
      </c>
      <c r="N64" s="67">
        <f t="shared" si="5"/>
        <v>240061.88</v>
      </c>
      <c r="O64" s="1" t="s">
        <v>386</v>
      </c>
    </row>
    <row r="65" spans="1:15" ht="15" customHeight="1" x14ac:dyDescent="0.3">
      <c r="A65" s="7" t="s">
        <v>105</v>
      </c>
      <c r="B65" s="8" t="s">
        <v>106</v>
      </c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5" ht="15" customHeight="1" x14ac:dyDescent="0.3">
      <c r="A66" s="7" t="s">
        <v>107</v>
      </c>
      <c r="B66" s="8" t="s">
        <v>108</v>
      </c>
      <c r="C66" s="10">
        <v>18765.71</v>
      </c>
      <c r="D66" s="10">
        <v>18765.71</v>
      </c>
      <c r="E66" s="10">
        <v>48114.37</v>
      </c>
      <c r="F66" s="10">
        <v>31197.47</v>
      </c>
      <c r="G66" s="10">
        <v>233666.68</v>
      </c>
      <c r="H66" s="10">
        <v>30190.21</v>
      </c>
      <c r="I66" s="10">
        <v>17787.46</v>
      </c>
      <c r="J66" s="10">
        <v>21586.5</v>
      </c>
      <c r="K66" s="10">
        <v>420074.11000000004</v>
      </c>
      <c r="L66" s="10">
        <f t="shared" si="3"/>
        <v>259038</v>
      </c>
      <c r="M66" s="10">
        <f t="shared" si="4"/>
        <v>278256.68</v>
      </c>
      <c r="N66" s="10">
        <f t="shared" si="5"/>
        <v>765085.38000000012</v>
      </c>
    </row>
    <row r="67" spans="1:15" ht="15" customHeight="1" x14ac:dyDescent="0.3">
      <c r="A67" s="7" t="s">
        <v>109</v>
      </c>
      <c r="B67" s="8" t="s">
        <v>110</v>
      </c>
      <c r="C67" s="10">
        <v>189.44</v>
      </c>
      <c r="D67" s="10">
        <v>189.44</v>
      </c>
      <c r="E67" s="10">
        <v>189.44</v>
      </c>
      <c r="F67" s="10">
        <v>189.44</v>
      </c>
      <c r="G67" s="10">
        <v>189.44</v>
      </c>
      <c r="H67" s="10">
        <v>189.44</v>
      </c>
      <c r="I67" s="10">
        <v>189.44</v>
      </c>
      <c r="J67" s="10">
        <v>189.44</v>
      </c>
      <c r="K67" s="10">
        <v>1515.5200000000002</v>
      </c>
      <c r="L67" s="10">
        <f t="shared" si="3"/>
        <v>2273.2799999999997</v>
      </c>
      <c r="M67" s="10">
        <f t="shared" si="4"/>
        <v>2273.2799999999997</v>
      </c>
      <c r="N67" s="10">
        <f t="shared" si="5"/>
        <v>2273.2800000000002</v>
      </c>
    </row>
    <row r="68" spans="1:15" ht="15" customHeight="1" x14ac:dyDescent="0.3">
      <c r="A68" s="7" t="s">
        <v>111</v>
      </c>
      <c r="B68" s="8" t="s">
        <v>112</v>
      </c>
      <c r="C68" s="10">
        <v>514.19000000000005</v>
      </c>
      <c r="D68" s="10">
        <v>0</v>
      </c>
      <c r="E68" s="10">
        <v>2773.83</v>
      </c>
      <c r="F68" s="10">
        <v>607.54</v>
      </c>
      <c r="G68" s="10">
        <v>7904.69</v>
      </c>
      <c r="H68" s="10">
        <v>0</v>
      </c>
      <c r="I68" s="10">
        <v>653.03</v>
      </c>
      <c r="J68" s="10">
        <v>3337.9</v>
      </c>
      <c r="K68" s="10">
        <v>15791.18</v>
      </c>
      <c r="L68" s="10">
        <f t="shared" si="3"/>
        <v>40054.800000000003</v>
      </c>
      <c r="M68" s="10">
        <f t="shared" si="4"/>
        <v>15963.720000000001</v>
      </c>
      <c r="N68" s="10">
        <f t="shared" si="5"/>
        <v>30553.98</v>
      </c>
    </row>
    <row r="69" spans="1:15" ht="15" customHeight="1" x14ac:dyDescent="0.3">
      <c r="A69" s="7" t="s">
        <v>113</v>
      </c>
      <c r="B69" s="8" t="s">
        <v>114</v>
      </c>
      <c r="C69" s="10">
        <v>224.62</v>
      </c>
      <c r="D69" s="10">
        <v>0</v>
      </c>
      <c r="E69" s="10">
        <v>6779.15</v>
      </c>
      <c r="F69" s="10">
        <v>0</v>
      </c>
      <c r="G69" s="10">
        <v>1102.76</v>
      </c>
      <c r="H69" s="10">
        <v>0</v>
      </c>
      <c r="I69" s="10">
        <v>0</v>
      </c>
      <c r="J69" s="10">
        <v>878.99</v>
      </c>
      <c r="K69" s="10">
        <v>8985.52</v>
      </c>
      <c r="L69" s="10">
        <f t="shared" si="3"/>
        <v>10547.880000000001</v>
      </c>
      <c r="M69" s="10">
        <f t="shared" si="4"/>
        <v>3515.96</v>
      </c>
      <c r="N69" s="10">
        <f t="shared" si="5"/>
        <v>17521.8</v>
      </c>
    </row>
    <row r="70" spans="1:15" ht="15" customHeight="1" x14ac:dyDescent="0.3">
      <c r="A70" s="7"/>
      <c r="B70" s="7"/>
      <c r="C70" s="11"/>
      <c r="D70" s="11"/>
      <c r="E70" s="11"/>
      <c r="F70" s="11"/>
      <c r="G70" s="11"/>
      <c r="H70" s="11"/>
      <c r="I70" s="11"/>
      <c r="J70" s="11"/>
      <c r="K70" s="11"/>
      <c r="L70" s="66"/>
      <c r="M70" s="66"/>
      <c r="N70" s="66"/>
    </row>
    <row r="71" spans="1:15" ht="15" customHeight="1" x14ac:dyDescent="0.3">
      <c r="A71" s="12" t="s">
        <v>115</v>
      </c>
      <c r="B71" s="13" t="s">
        <v>116</v>
      </c>
      <c r="C71" s="14">
        <v>19693.96</v>
      </c>
      <c r="D71" s="14">
        <v>18955.150000000001</v>
      </c>
      <c r="E71" s="14">
        <v>57856.79</v>
      </c>
      <c r="F71" s="14">
        <v>31994.45</v>
      </c>
      <c r="G71" s="14">
        <v>242863.57</v>
      </c>
      <c r="H71" s="14">
        <v>30379.65</v>
      </c>
      <c r="I71" s="14">
        <v>18629.93</v>
      </c>
      <c r="J71" s="14">
        <v>25992.83</v>
      </c>
      <c r="K71" s="14">
        <v>446366.33</v>
      </c>
      <c r="L71" s="67">
        <f t="shared" si="3"/>
        <v>311913.96000000002</v>
      </c>
      <c r="M71" s="67">
        <f t="shared" si="4"/>
        <v>300009.64</v>
      </c>
      <c r="N71" s="67">
        <f t="shared" si="5"/>
        <v>815434.44000000006</v>
      </c>
      <c r="O71" s="1" t="s">
        <v>387</v>
      </c>
    </row>
    <row r="72" spans="1:15" ht="15" customHeight="1" x14ac:dyDescent="0.3">
      <c r="A72" s="7" t="s">
        <v>117</v>
      </c>
      <c r="B72" s="8" t="s">
        <v>118</v>
      </c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</row>
    <row r="73" spans="1:15" ht="15" customHeight="1" x14ac:dyDescent="0.3">
      <c r="A73" s="7" t="s">
        <v>119</v>
      </c>
      <c r="B73" s="8" t="s">
        <v>120</v>
      </c>
      <c r="C73" s="10">
        <v>21079.08</v>
      </c>
      <c r="D73" s="10">
        <v>20790.7</v>
      </c>
      <c r="E73" s="10">
        <v>20790.7</v>
      </c>
      <c r="F73" s="10">
        <v>21176.07</v>
      </c>
      <c r="G73" s="10">
        <v>20735.32</v>
      </c>
      <c r="H73" s="10">
        <v>20735.32</v>
      </c>
      <c r="I73" s="10">
        <v>21146.67</v>
      </c>
      <c r="J73" s="10">
        <v>20735.32</v>
      </c>
      <c r="K73" s="10">
        <v>167189.18</v>
      </c>
      <c r="L73" s="10">
        <f t="shared" ref="L72:L135" si="30">IF($K$7="","",J73*12)</f>
        <v>248823.84</v>
      </c>
      <c r="M73" s="10">
        <f t="shared" ref="M72:M135" si="31">IF($K$7="","",SUM(H73:J73)*4)</f>
        <v>250469.24</v>
      </c>
      <c r="N73" s="10">
        <f t="shared" ref="N72:N135" si="32">IF($K$7="","",SUM(E73:J73)*2)</f>
        <v>250638.8</v>
      </c>
      <c r="O73" s="1" t="s">
        <v>385</v>
      </c>
    </row>
    <row r="74" spans="1:15" ht="15" customHeight="1" x14ac:dyDescent="0.3">
      <c r="A74" s="7" t="s">
        <v>121</v>
      </c>
      <c r="B74" s="8" t="s">
        <v>122</v>
      </c>
      <c r="C74" s="10">
        <v>0</v>
      </c>
      <c r="D74" s="10">
        <v>0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f t="shared" si="30"/>
        <v>0</v>
      </c>
      <c r="M74" s="10">
        <f t="shared" si="31"/>
        <v>0</v>
      </c>
      <c r="N74" s="10">
        <f t="shared" si="32"/>
        <v>0</v>
      </c>
      <c r="O74" s="1" t="s">
        <v>385</v>
      </c>
    </row>
    <row r="75" spans="1:15" ht="15" customHeight="1" x14ac:dyDescent="0.3">
      <c r="A75" s="7" t="s">
        <v>123</v>
      </c>
      <c r="B75" s="8" t="s">
        <v>124</v>
      </c>
      <c r="C75" s="10">
        <v>0</v>
      </c>
      <c r="D75" s="10">
        <v>0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f t="shared" si="30"/>
        <v>0</v>
      </c>
      <c r="M75" s="10">
        <f t="shared" si="31"/>
        <v>0</v>
      </c>
      <c r="N75" s="10">
        <f t="shared" si="32"/>
        <v>0</v>
      </c>
      <c r="O75" s="1" t="s">
        <v>385</v>
      </c>
    </row>
    <row r="76" spans="1:15" ht="15" customHeight="1" x14ac:dyDescent="0.3">
      <c r="A76" s="7" t="s">
        <v>125</v>
      </c>
      <c r="B76" s="8" t="s">
        <v>126</v>
      </c>
      <c r="C76" s="10">
        <v>0</v>
      </c>
      <c r="D76" s="10">
        <v>0</v>
      </c>
      <c r="E76" s="10">
        <v>0</v>
      </c>
      <c r="F76" s="10">
        <v>0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0">
        <f t="shared" si="30"/>
        <v>0</v>
      </c>
      <c r="M76" s="10">
        <f t="shared" si="31"/>
        <v>0</v>
      </c>
      <c r="N76" s="10">
        <f t="shared" si="32"/>
        <v>0</v>
      </c>
      <c r="O76" s="1" t="s">
        <v>386</v>
      </c>
    </row>
    <row r="77" spans="1:15" ht="15" customHeight="1" x14ac:dyDescent="0.3">
      <c r="A77" s="7" t="s">
        <v>127</v>
      </c>
      <c r="B77" s="8" t="s">
        <v>128</v>
      </c>
      <c r="C77" s="10">
        <v>22441.51</v>
      </c>
      <c r="D77" s="10">
        <v>22479.68</v>
      </c>
      <c r="E77" s="10">
        <v>21414.97</v>
      </c>
      <c r="F77" s="10">
        <v>42458.84</v>
      </c>
      <c r="G77" s="10">
        <v>29149.01</v>
      </c>
      <c r="H77" s="10">
        <v>32159.93</v>
      </c>
      <c r="I77" s="10">
        <v>31507.16</v>
      </c>
      <c r="J77" s="10">
        <v>42934.57</v>
      </c>
      <c r="K77" s="10">
        <v>244545.67</v>
      </c>
      <c r="L77" s="10">
        <f t="shared" si="30"/>
        <v>515214.83999999997</v>
      </c>
      <c r="M77" s="10">
        <f t="shared" si="31"/>
        <v>426406.64</v>
      </c>
      <c r="N77" s="10">
        <f t="shared" si="32"/>
        <v>399248.96</v>
      </c>
      <c r="O77" s="1" t="s">
        <v>386</v>
      </c>
    </row>
    <row r="78" spans="1:15" ht="15" customHeight="1" x14ac:dyDescent="0.3">
      <c r="A78" s="7" t="s">
        <v>129</v>
      </c>
      <c r="B78" s="8" t="s">
        <v>130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3863.26</v>
      </c>
      <c r="K78" s="10">
        <v>3863.26</v>
      </c>
      <c r="L78" s="10">
        <f t="shared" si="30"/>
        <v>46359.12</v>
      </c>
      <c r="M78" s="10">
        <f t="shared" si="31"/>
        <v>15453.04</v>
      </c>
      <c r="N78" s="10">
        <f t="shared" si="32"/>
        <v>7726.52</v>
      </c>
      <c r="O78" s="1" t="s">
        <v>386</v>
      </c>
    </row>
    <row r="79" spans="1:15" ht="15" customHeight="1" x14ac:dyDescent="0.3">
      <c r="A79" s="7" t="s">
        <v>131</v>
      </c>
      <c r="B79" s="8" t="s">
        <v>132</v>
      </c>
      <c r="C79" s="10">
        <v>431.7</v>
      </c>
      <c r="D79" s="10">
        <v>0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431.7</v>
      </c>
      <c r="L79" s="10">
        <f t="shared" si="30"/>
        <v>0</v>
      </c>
      <c r="M79" s="10">
        <f t="shared" si="31"/>
        <v>0</v>
      </c>
      <c r="N79" s="10">
        <f t="shared" si="32"/>
        <v>0</v>
      </c>
      <c r="O79" s="1" t="s">
        <v>386</v>
      </c>
    </row>
    <row r="80" spans="1:15" ht="15" customHeight="1" x14ac:dyDescent="0.3">
      <c r="A80" s="7" t="s">
        <v>133</v>
      </c>
      <c r="B80" s="8" t="s">
        <v>134</v>
      </c>
      <c r="C80" s="10">
        <v>1273.57</v>
      </c>
      <c r="D80" s="10">
        <v>881.16</v>
      </c>
      <c r="E80" s="10">
        <v>162.38</v>
      </c>
      <c r="F80" s="10">
        <v>881.16</v>
      </c>
      <c r="G80" s="10">
        <v>162.38</v>
      </c>
      <c r="H80" s="10">
        <v>0</v>
      </c>
      <c r="I80" s="10">
        <v>13763.36</v>
      </c>
      <c r="J80" s="10">
        <v>1015.32</v>
      </c>
      <c r="K80" s="10">
        <v>18139.330000000002</v>
      </c>
      <c r="L80" s="10">
        <f t="shared" si="30"/>
        <v>12183.84</v>
      </c>
      <c r="M80" s="10">
        <f t="shared" si="31"/>
        <v>59114.720000000001</v>
      </c>
      <c r="N80" s="10">
        <f t="shared" si="32"/>
        <v>31969.200000000001</v>
      </c>
      <c r="O80" s="1" t="s">
        <v>386</v>
      </c>
    </row>
    <row r="81" spans="1:15" ht="15" customHeight="1" x14ac:dyDescent="0.3">
      <c r="A81" s="7" t="s">
        <v>135</v>
      </c>
      <c r="B81" s="8" t="s">
        <v>136</v>
      </c>
      <c r="C81" s="10">
        <v>890.04</v>
      </c>
      <c r="D81" s="10">
        <v>682.62</v>
      </c>
      <c r="E81" s="10">
        <v>1279.3399999999999</v>
      </c>
      <c r="F81" s="10">
        <v>0</v>
      </c>
      <c r="G81" s="10">
        <v>3041.87</v>
      </c>
      <c r="H81" s="10">
        <v>4030.01</v>
      </c>
      <c r="I81" s="10">
        <v>723.86</v>
      </c>
      <c r="J81" s="10">
        <v>-101.12</v>
      </c>
      <c r="K81" s="10">
        <v>10546.62</v>
      </c>
      <c r="L81" s="10">
        <f t="shared" si="30"/>
        <v>-1213.44</v>
      </c>
      <c r="M81" s="10">
        <f t="shared" si="31"/>
        <v>18611</v>
      </c>
      <c r="N81" s="10">
        <f t="shared" si="32"/>
        <v>17947.920000000002</v>
      </c>
      <c r="O81" s="1" t="s">
        <v>386</v>
      </c>
    </row>
    <row r="82" spans="1:15" ht="15" customHeight="1" x14ac:dyDescent="0.3">
      <c r="A82" s="7" t="s">
        <v>137</v>
      </c>
      <c r="B82" s="8" t="s">
        <v>138</v>
      </c>
      <c r="C82" s="10">
        <v>428.25</v>
      </c>
      <c r="D82" s="10">
        <v>856.13</v>
      </c>
      <c r="E82" s="10">
        <v>97.43</v>
      </c>
      <c r="F82" s="10">
        <v>456.12</v>
      </c>
      <c r="G82" s="10">
        <v>60.3</v>
      </c>
      <c r="H82" s="10">
        <v>505.38</v>
      </c>
      <c r="I82" s="10">
        <v>312.75</v>
      </c>
      <c r="J82" s="10">
        <v>999.82</v>
      </c>
      <c r="K82" s="10">
        <v>3716.1800000000003</v>
      </c>
      <c r="L82" s="10">
        <f t="shared" si="30"/>
        <v>11997.84</v>
      </c>
      <c r="M82" s="10">
        <f t="shared" si="31"/>
        <v>7271.8</v>
      </c>
      <c r="N82" s="10">
        <f t="shared" si="32"/>
        <v>4863.6000000000004</v>
      </c>
      <c r="O82" s="1" t="s">
        <v>386</v>
      </c>
    </row>
    <row r="83" spans="1:15" ht="15" customHeight="1" x14ac:dyDescent="0.3">
      <c r="A83" s="7" t="s">
        <v>139</v>
      </c>
      <c r="B83" s="8" t="s">
        <v>140</v>
      </c>
      <c r="C83" s="10">
        <v>999.51</v>
      </c>
      <c r="D83" s="10">
        <v>0</v>
      </c>
      <c r="E83" s="10">
        <v>1187.83</v>
      </c>
      <c r="F83" s="10">
        <v>154.04</v>
      </c>
      <c r="G83" s="10">
        <v>0</v>
      </c>
      <c r="H83" s="10">
        <v>0</v>
      </c>
      <c r="I83" s="10">
        <v>0</v>
      </c>
      <c r="J83" s="10">
        <v>0</v>
      </c>
      <c r="K83" s="10">
        <v>2341.38</v>
      </c>
      <c r="L83" s="10">
        <f t="shared" si="30"/>
        <v>0</v>
      </c>
      <c r="M83" s="10">
        <f t="shared" si="31"/>
        <v>0</v>
      </c>
      <c r="N83" s="10">
        <f t="shared" si="32"/>
        <v>2683.74</v>
      </c>
      <c r="O83" s="1" t="s">
        <v>386</v>
      </c>
    </row>
    <row r="84" spans="1:15" ht="15" customHeight="1" x14ac:dyDescent="0.3">
      <c r="A84" s="7" t="s">
        <v>141</v>
      </c>
      <c r="B84" s="8" t="s">
        <v>142</v>
      </c>
      <c r="C84" s="10">
        <v>0</v>
      </c>
      <c r="D84" s="10">
        <v>0</v>
      </c>
      <c r="E84" s="10">
        <v>666.81</v>
      </c>
      <c r="F84" s="10">
        <v>674.99</v>
      </c>
      <c r="G84" s="10">
        <v>904.48</v>
      </c>
      <c r="H84" s="10">
        <v>0</v>
      </c>
      <c r="I84" s="10">
        <v>757.64</v>
      </c>
      <c r="J84" s="10">
        <v>0</v>
      </c>
      <c r="K84" s="10">
        <v>3003.9199999999996</v>
      </c>
      <c r="L84" s="10">
        <f t="shared" si="30"/>
        <v>0</v>
      </c>
      <c r="M84" s="10">
        <f t="shared" si="31"/>
        <v>3030.56</v>
      </c>
      <c r="N84" s="10">
        <f t="shared" si="32"/>
        <v>6007.8399999999992</v>
      </c>
      <c r="O84" s="1" t="s">
        <v>386</v>
      </c>
    </row>
    <row r="85" spans="1:15" ht="15" customHeight="1" x14ac:dyDescent="0.3">
      <c r="A85" s="7" t="s">
        <v>143</v>
      </c>
      <c r="B85" s="8" t="s">
        <v>144</v>
      </c>
      <c r="C85" s="10">
        <v>16161.24</v>
      </c>
      <c r="D85" s="10">
        <v>0</v>
      </c>
      <c r="E85" s="10">
        <v>2449.48</v>
      </c>
      <c r="F85" s="10">
        <v>4073.15</v>
      </c>
      <c r="G85" s="10">
        <v>17678.849999999999</v>
      </c>
      <c r="H85" s="10">
        <v>649.5</v>
      </c>
      <c r="I85" s="10">
        <v>4262.7700000000004</v>
      </c>
      <c r="J85" s="10">
        <v>4856.13</v>
      </c>
      <c r="K85" s="10">
        <v>50131.12</v>
      </c>
      <c r="L85" s="10">
        <f t="shared" si="30"/>
        <v>58273.56</v>
      </c>
      <c r="M85" s="10">
        <f t="shared" si="31"/>
        <v>39073.600000000006</v>
      </c>
      <c r="N85" s="10">
        <f t="shared" si="32"/>
        <v>67939.759999999995</v>
      </c>
      <c r="O85" s="1" t="s">
        <v>386</v>
      </c>
    </row>
    <row r="86" spans="1:15" ht="15" customHeight="1" x14ac:dyDescent="0.3">
      <c r="A86" s="7" t="s">
        <v>145</v>
      </c>
      <c r="B86" s="8" t="s">
        <v>146</v>
      </c>
      <c r="C86" s="10">
        <v>1596.58</v>
      </c>
      <c r="D86" s="10">
        <v>1520.8</v>
      </c>
      <c r="E86" s="10">
        <v>1573.85</v>
      </c>
      <c r="F86" s="10">
        <v>1574</v>
      </c>
      <c r="G86" s="10">
        <v>1755.78</v>
      </c>
      <c r="H86" s="10">
        <v>2000.54</v>
      </c>
      <c r="I86" s="10">
        <v>1877.28</v>
      </c>
      <c r="J86" s="10">
        <v>1946.74</v>
      </c>
      <c r="K86" s="10">
        <v>13845.57</v>
      </c>
      <c r="L86" s="10">
        <f t="shared" si="30"/>
        <v>23360.880000000001</v>
      </c>
      <c r="M86" s="10">
        <f t="shared" si="31"/>
        <v>23298.239999999998</v>
      </c>
      <c r="N86" s="10">
        <f t="shared" si="32"/>
        <v>21456.38</v>
      </c>
      <c r="O86" s="1" t="s">
        <v>386</v>
      </c>
    </row>
    <row r="87" spans="1:15" ht="15" customHeight="1" x14ac:dyDescent="0.3">
      <c r="A87" s="7" t="s">
        <v>147</v>
      </c>
      <c r="B87" s="8" t="s">
        <v>148</v>
      </c>
      <c r="C87" s="10">
        <v>582.70000000000005</v>
      </c>
      <c r="D87" s="10">
        <v>465</v>
      </c>
      <c r="E87" s="10">
        <v>3886.18</v>
      </c>
      <c r="F87" s="10">
        <v>8578.2199999999993</v>
      </c>
      <c r="G87" s="10">
        <v>221.73</v>
      </c>
      <c r="H87" s="10">
        <v>3690.61</v>
      </c>
      <c r="I87" s="10">
        <v>4387.53</v>
      </c>
      <c r="J87" s="10">
        <v>1449.43</v>
      </c>
      <c r="K87" s="10">
        <v>23261.399999999998</v>
      </c>
      <c r="L87" s="10">
        <f t="shared" si="30"/>
        <v>17393.16</v>
      </c>
      <c r="M87" s="10">
        <f t="shared" si="31"/>
        <v>38110.28</v>
      </c>
      <c r="N87" s="10">
        <f t="shared" si="32"/>
        <v>44427.4</v>
      </c>
      <c r="O87" s="1" t="s">
        <v>386</v>
      </c>
    </row>
    <row r="88" spans="1:15" ht="15" customHeight="1" x14ac:dyDescent="0.3">
      <c r="A88" s="7" t="s">
        <v>149</v>
      </c>
      <c r="B88" s="8" t="s">
        <v>150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  <c r="H88" s="10">
        <v>0</v>
      </c>
      <c r="I88" s="10">
        <v>0</v>
      </c>
      <c r="J88" s="10">
        <v>315.77999999999997</v>
      </c>
      <c r="K88" s="10">
        <v>315.77999999999997</v>
      </c>
      <c r="L88" s="10">
        <f t="shared" si="30"/>
        <v>3789.3599999999997</v>
      </c>
      <c r="M88" s="10">
        <f t="shared" si="31"/>
        <v>1263.1199999999999</v>
      </c>
      <c r="N88" s="10">
        <f t="shared" si="32"/>
        <v>631.55999999999995</v>
      </c>
      <c r="O88" s="1" t="s">
        <v>386</v>
      </c>
    </row>
    <row r="89" spans="1:15" ht="15" customHeight="1" x14ac:dyDescent="0.3">
      <c r="A89" s="7" t="s">
        <v>151</v>
      </c>
      <c r="B89" s="8" t="s">
        <v>152</v>
      </c>
      <c r="C89" s="10">
        <v>42415.25</v>
      </c>
      <c r="D89" s="10">
        <v>32727.33</v>
      </c>
      <c r="E89" s="10">
        <v>40621.9</v>
      </c>
      <c r="F89" s="10">
        <v>38853.07</v>
      </c>
      <c r="G89" s="10">
        <v>42725.54</v>
      </c>
      <c r="H89" s="10">
        <v>29128.68</v>
      </c>
      <c r="I89" s="10">
        <v>38249.69</v>
      </c>
      <c r="J89" s="10">
        <v>32882.39</v>
      </c>
      <c r="K89" s="10">
        <v>297603.85000000003</v>
      </c>
      <c r="L89" s="10">
        <f t="shared" si="30"/>
        <v>394588.68</v>
      </c>
      <c r="M89" s="10">
        <f t="shared" si="31"/>
        <v>401043.04</v>
      </c>
      <c r="N89" s="10">
        <f t="shared" si="32"/>
        <v>444922.54000000004</v>
      </c>
      <c r="O89" s="1" t="s">
        <v>391</v>
      </c>
    </row>
    <row r="90" spans="1:15" ht="15" customHeight="1" x14ac:dyDescent="0.3">
      <c r="A90" s="7" t="s">
        <v>153</v>
      </c>
      <c r="B90" s="8" t="s">
        <v>154</v>
      </c>
      <c r="C90" s="10">
        <v>1877.06</v>
      </c>
      <c r="D90" s="10">
        <v>1877.06</v>
      </c>
      <c r="E90" s="10">
        <v>1877.06</v>
      </c>
      <c r="F90" s="10">
        <v>1877.06</v>
      </c>
      <c r="G90" s="10">
        <v>1877.06</v>
      </c>
      <c r="H90" s="10">
        <v>1877.06</v>
      </c>
      <c r="I90" s="10">
        <v>1877.06</v>
      </c>
      <c r="J90" s="10">
        <v>1877.06</v>
      </c>
      <c r="K90" s="10">
        <v>15016.479999999998</v>
      </c>
      <c r="L90" s="10">
        <f t="shared" si="30"/>
        <v>22524.720000000001</v>
      </c>
      <c r="M90" s="10">
        <f t="shared" si="31"/>
        <v>22524.720000000001</v>
      </c>
      <c r="N90" s="10">
        <f t="shared" si="32"/>
        <v>22524.719999999998</v>
      </c>
      <c r="O90" s="1" t="s">
        <v>391</v>
      </c>
    </row>
    <row r="91" spans="1:15" ht="15" customHeight="1" x14ac:dyDescent="0.3">
      <c r="A91" s="7" t="s">
        <v>155</v>
      </c>
      <c r="B91" s="8" t="s">
        <v>156</v>
      </c>
      <c r="C91" s="10">
        <v>54.12</v>
      </c>
      <c r="D91" s="10">
        <v>54.12</v>
      </c>
      <c r="E91" s="10">
        <v>54.12</v>
      </c>
      <c r="F91" s="10">
        <v>129.9</v>
      </c>
      <c r="G91" s="10">
        <v>54.12</v>
      </c>
      <c r="H91" s="10">
        <v>54.12</v>
      </c>
      <c r="I91" s="10">
        <v>102.84</v>
      </c>
      <c r="J91" s="10">
        <v>54.12</v>
      </c>
      <c r="K91" s="10">
        <v>557.46</v>
      </c>
      <c r="L91" s="10">
        <f t="shared" si="30"/>
        <v>649.43999999999994</v>
      </c>
      <c r="M91" s="10">
        <f t="shared" si="31"/>
        <v>844.32</v>
      </c>
      <c r="N91" s="10">
        <f t="shared" si="32"/>
        <v>898.44</v>
      </c>
      <c r="O91" s="1" t="s">
        <v>385</v>
      </c>
    </row>
    <row r="92" spans="1:15" ht="15" customHeight="1" x14ac:dyDescent="0.3">
      <c r="A92" s="7" t="s">
        <v>157</v>
      </c>
      <c r="B92" s="8" t="s">
        <v>158</v>
      </c>
      <c r="C92" s="10">
        <v>0</v>
      </c>
      <c r="D92" s="10">
        <v>270.63</v>
      </c>
      <c r="E92" s="10">
        <v>0</v>
      </c>
      <c r="F92" s="10">
        <v>0</v>
      </c>
      <c r="G92" s="10">
        <v>0</v>
      </c>
      <c r="H92" s="10">
        <v>0</v>
      </c>
      <c r="I92" s="10">
        <v>1710.35</v>
      </c>
      <c r="J92" s="10">
        <v>0</v>
      </c>
      <c r="K92" s="10">
        <v>1980.98</v>
      </c>
      <c r="L92" s="10">
        <f t="shared" si="30"/>
        <v>0</v>
      </c>
      <c r="M92" s="10">
        <f t="shared" si="31"/>
        <v>6841.4</v>
      </c>
      <c r="N92" s="10">
        <f t="shared" si="32"/>
        <v>3420.7</v>
      </c>
      <c r="O92" s="1" t="s">
        <v>386</v>
      </c>
    </row>
    <row r="93" spans="1:15" ht="15" customHeight="1" x14ac:dyDescent="0.3">
      <c r="A93" s="7"/>
      <c r="B93" s="7"/>
      <c r="C93" s="11"/>
      <c r="D93" s="11"/>
      <c r="E93" s="11"/>
      <c r="F93" s="11"/>
      <c r="G93" s="11"/>
      <c r="H93" s="11"/>
      <c r="I93" s="11"/>
      <c r="J93" s="11"/>
      <c r="K93" s="11"/>
      <c r="L93" s="66"/>
      <c r="M93" s="66"/>
      <c r="N93" s="66"/>
    </row>
    <row r="94" spans="1:15" ht="15" customHeight="1" x14ac:dyDescent="0.3">
      <c r="A94" s="12" t="s">
        <v>159</v>
      </c>
      <c r="B94" s="13" t="s">
        <v>160</v>
      </c>
      <c r="C94" s="14">
        <v>110230.61</v>
      </c>
      <c r="D94" s="14">
        <v>82605.23</v>
      </c>
      <c r="E94" s="14">
        <v>96062.05</v>
      </c>
      <c r="F94" s="14">
        <v>120886.62</v>
      </c>
      <c r="G94" s="14">
        <v>118366.44</v>
      </c>
      <c r="H94" s="14">
        <v>94831.15</v>
      </c>
      <c r="I94" s="14">
        <v>120678.96</v>
      </c>
      <c r="J94" s="14">
        <v>112828.82</v>
      </c>
      <c r="K94" s="14">
        <v>856489.87999999989</v>
      </c>
      <c r="L94" s="67">
        <f t="shared" si="30"/>
        <v>1353945.84</v>
      </c>
      <c r="M94" s="67">
        <f t="shared" si="31"/>
        <v>1313355.72</v>
      </c>
      <c r="N94" s="67">
        <f t="shared" si="32"/>
        <v>1327308.08</v>
      </c>
    </row>
    <row r="95" spans="1:15" ht="15" customHeight="1" x14ac:dyDescent="0.3">
      <c r="A95" s="7"/>
      <c r="B95" s="7"/>
      <c r="C95" s="11"/>
      <c r="D95" s="11"/>
      <c r="E95" s="11"/>
      <c r="F95" s="11"/>
      <c r="G95" s="11"/>
      <c r="H95" s="11"/>
      <c r="I95" s="11"/>
      <c r="J95" s="11"/>
      <c r="K95" s="11"/>
      <c r="L95" s="66"/>
      <c r="M95" s="66"/>
      <c r="N95" s="66"/>
    </row>
    <row r="96" spans="1:15" ht="15" customHeight="1" x14ac:dyDescent="0.3">
      <c r="A96" s="12" t="s">
        <v>161</v>
      </c>
      <c r="B96" s="13" t="s">
        <v>162</v>
      </c>
      <c r="C96" s="14">
        <v>161061.16</v>
      </c>
      <c r="D96" s="14">
        <v>149992.54</v>
      </c>
      <c r="E96" s="14">
        <v>182552.89</v>
      </c>
      <c r="F96" s="14">
        <v>184007.7</v>
      </c>
      <c r="G96" s="14">
        <v>411675.57</v>
      </c>
      <c r="H96" s="14">
        <v>169800.85</v>
      </c>
      <c r="I96" s="14">
        <v>164992.51999999999</v>
      </c>
      <c r="J96" s="14">
        <v>162609.13</v>
      </c>
      <c r="K96" s="14">
        <v>1586692.3600000003</v>
      </c>
      <c r="L96" s="67">
        <f t="shared" si="30"/>
        <v>1951309.56</v>
      </c>
      <c r="M96" s="67">
        <f t="shared" si="31"/>
        <v>1989610</v>
      </c>
      <c r="N96" s="67">
        <f t="shared" si="32"/>
        <v>2551277.3200000003</v>
      </c>
    </row>
    <row r="97" spans="1:15" ht="15" customHeight="1" x14ac:dyDescent="0.3">
      <c r="A97" s="7" t="s">
        <v>163</v>
      </c>
      <c r="B97" s="8" t="s">
        <v>164</v>
      </c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5" ht="15" customHeight="1" x14ac:dyDescent="0.3">
      <c r="A98" s="7" t="s">
        <v>165</v>
      </c>
      <c r="B98" s="8" t="s">
        <v>166</v>
      </c>
      <c r="C98" s="10">
        <v>614363.42000000004</v>
      </c>
      <c r="D98" s="10">
        <v>614363.42000000004</v>
      </c>
      <c r="E98" s="10">
        <v>614363.42000000004</v>
      </c>
      <c r="F98" s="10">
        <v>614363.42000000004</v>
      </c>
      <c r="G98" s="10">
        <v>614363.42000000004</v>
      </c>
      <c r="H98" s="10">
        <v>614363.42000000004</v>
      </c>
      <c r="I98" s="10">
        <v>614363.42000000004</v>
      </c>
      <c r="J98" s="10">
        <v>614363.42000000004</v>
      </c>
      <c r="K98" s="10">
        <v>4914907.3600000003</v>
      </c>
      <c r="L98" s="10">
        <f t="shared" si="30"/>
        <v>7372361.040000001</v>
      </c>
      <c r="M98" s="10">
        <f t="shared" si="31"/>
        <v>7372361.040000001</v>
      </c>
      <c r="N98" s="10">
        <f t="shared" si="32"/>
        <v>7372361.04</v>
      </c>
    </row>
    <row r="99" spans="1:15" ht="15" customHeight="1" x14ac:dyDescent="0.3">
      <c r="A99" s="7"/>
      <c r="B99" s="7"/>
      <c r="C99" s="11"/>
      <c r="D99" s="11"/>
      <c r="E99" s="11"/>
      <c r="F99" s="11"/>
      <c r="G99" s="11"/>
      <c r="H99" s="11"/>
      <c r="I99" s="11"/>
      <c r="J99" s="11"/>
      <c r="K99" s="11"/>
      <c r="L99" s="66"/>
      <c r="M99" s="66"/>
      <c r="N99" s="66"/>
    </row>
    <row r="100" spans="1:15" ht="15" customHeight="1" x14ac:dyDescent="0.3">
      <c r="A100" s="12" t="s">
        <v>167</v>
      </c>
      <c r="B100" s="13" t="s">
        <v>168</v>
      </c>
      <c r="C100" s="14">
        <v>614363.42000000004</v>
      </c>
      <c r="D100" s="14">
        <v>614363.42000000004</v>
      </c>
      <c r="E100" s="14">
        <v>614363.42000000004</v>
      </c>
      <c r="F100" s="14">
        <v>614363.42000000004</v>
      </c>
      <c r="G100" s="14">
        <v>614363.42000000004</v>
      </c>
      <c r="H100" s="14">
        <v>614363.42000000004</v>
      </c>
      <c r="I100" s="14">
        <v>614363.42000000004</v>
      </c>
      <c r="J100" s="14">
        <v>614363.42000000004</v>
      </c>
      <c r="K100" s="14">
        <v>4914907.3600000003</v>
      </c>
      <c r="L100" s="67">
        <f t="shared" si="30"/>
        <v>7372361.040000001</v>
      </c>
      <c r="M100" s="67">
        <f t="shared" si="31"/>
        <v>7372361.040000001</v>
      </c>
      <c r="N100" s="67">
        <f t="shared" si="32"/>
        <v>7372361.04</v>
      </c>
      <c r="O100" s="1" t="s">
        <v>384</v>
      </c>
    </row>
    <row r="101" spans="1:15" ht="15" customHeight="1" x14ac:dyDescent="0.3">
      <c r="A101" s="7" t="s">
        <v>169</v>
      </c>
      <c r="B101" s="8" t="s">
        <v>170</v>
      </c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</row>
    <row r="102" spans="1:15" ht="15" customHeight="1" x14ac:dyDescent="0.3">
      <c r="A102" s="7" t="s">
        <v>171</v>
      </c>
      <c r="B102" s="8" t="s">
        <v>172</v>
      </c>
      <c r="C102" s="10">
        <v>3263.22</v>
      </c>
      <c r="D102" s="10">
        <v>3263.22</v>
      </c>
      <c r="E102" s="10">
        <v>3263.22</v>
      </c>
      <c r="F102" s="10">
        <v>3263.22</v>
      </c>
      <c r="G102" s="10">
        <v>5142.6099999999997</v>
      </c>
      <c r="H102" s="10">
        <v>3208.66</v>
      </c>
      <c r="I102" s="10">
        <v>3208.66</v>
      </c>
      <c r="J102" s="10">
        <v>3208.66</v>
      </c>
      <c r="K102" s="10">
        <v>27821.469999999998</v>
      </c>
      <c r="L102" s="10">
        <f t="shared" si="30"/>
        <v>38503.919999999998</v>
      </c>
      <c r="M102" s="10">
        <f t="shared" si="31"/>
        <v>38503.919999999998</v>
      </c>
      <c r="N102" s="10">
        <f t="shared" si="32"/>
        <v>42590.06</v>
      </c>
    </row>
    <row r="103" spans="1:15" ht="15" customHeight="1" x14ac:dyDescent="0.3">
      <c r="A103" s="7" t="s">
        <v>173</v>
      </c>
      <c r="B103" s="8" t="s">
        <v>174</v>
      </c>
      <c r="C103" s="10">
        <v>1405.13</v>
      </c>
      <c r="D103" s="10">
        <v>1405.13</v>
      </c>
      <c r="E103" s="10">
        <v>1405.13</v>
      </c>
      <c r="F103" s="10">
        <v>1405.13</v>
      </c>
      <c r="G103" s="10">
        <v>3104.07</v>
      </c>
      <c r="H103" s="10">
        <v>1389.58</v>
      </c>
      <c r="I103" s="10">
        <v>1389.58</v>
      </c>
      <c r="J103" s="10">
        <v>1389.58</v>
      </c>
      <c r="K103" s="10">
        <v>12893.33</v>
      </c>
      <c r="L103" s="10">
        <f t="shared" si="30"/>
        <v>16674.96</v>
      </c>
      <c r="M103" s="10">
        <f t="shared" si="31"/>
        <v>16674.96</v>
      </c>
      <c r="N103" s="10">
        <f t="shared" si="32"/>
        <v>20166.14</v>
      </c>
    </row>
    <row r="104" spans="1:15" ht="15" customHeight="1" x14ac:dyDescent="0.3">
      <c r="A104" s="7"/>
      <c r="B104" s="7"/>
      <c r="C104" s="11"/>
      <c r="D104" s="11"/>
      <c r="E104" s="11"/>
      <c r="F104" s="11"/>
      <c r="G104" s="11"/>
      <c r="H104" s="11"/>
      <c r="I104" s="11"/>
      <c r="J104" s="11"/>
      <c r="K104" s="11"/>
      <c r="L104" s="66"/>
      <c r="M104" s="66"/>
      <c r="N104" s="66"/>
    </row>
    <row r="105" spans="1:15" ht="15" customHeight="1" x14ac:dyDescent="0.3">
      <c r="A105" s="12" t="s">
        <v>175</v>
      </c>
      <c r="B105" s="13" t="s">
        <v>176</v>
      </c>
      <c r="C105" s="14">
        <v>4668.3500000000004</v>
      </c>
      <c r="D105" s="14">
        <v>4668.3500000000004</v>
      </c>
      <c r="E105" s="14">
        <v>4668.3500000000004</v>
      </c>
      <c r="F105" s="14">
        <v>4668.3500000000004</v>
      </c>
      <c r="G105" s="14">
        <v>8246.68</v>
      </c>
      <c r="H105" s="14">
        <v>4598.24</v>
      </c>
      <c r="I105" s="14">
        <v>4598.24</v>
      </c>
      <c r="J105" s="14">
        <v>4598.24</v>
      </c>
      <c r="K105" s="14">
        <v>40714.799999999996</v>
      </c>
      <c r="L105" s="67">
        <f t="shared" si="30"/>
        <v>55178.879999999997</v>
      </c>
      <c r="M105" s="67">
        <f t="shared" si="31"/>
        <v>55178.879999999997</v>
      </c>
      <c r="N105" s="67">
        <f t="shared" si="32"/>
        <v>62756.2</v>
      </c>
      <c r="O105" s="1" t="s">
        <v>389</v>
      </c>
    </row>
    <row r="106" spans="1:15" ht="15" customHeight="1" x14ac:dyDescent="0.3">
      <c r="A106" s="7" t="s">
        <v>177</v>
      </c>
      <c r="B106" s="8" t="s">
        <v>178</v>
      </c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5" ht="15" customHeight="1" x14ac:dyDescent="0.3">
      <c r="A107" s="7" t="s">
        <v>179</v>
      </c>
      <c r="B107" s="8" t="s">
        <v>180</v>
      </c>
      <c r="C107" s="10">
        <v>3047.97</v>
      </c>
      <c r="D107" s="10">
        <v>6095.94</v>
      </c>
      <c r="E107" s="10">
        <v>7000</v>
      </c>
      <c r="F107" s="10">
        <v>29095.97</v>
      </c>
      <c r="G107" s="10">
        <v>10371.280000000001</v>
      </c>
      <c r="H107" s="10">
        <v>7436.12</v>
      </c>
      <c r="I107" s="10">
        <v>8572.9699999999993</v>
      </c>
      <c r="J107" s="10">
        <v>5572.97</v>
      </c>
      <c r="K107" s="10">
        <v>77193.22</v>
      </c>
      <c r="L107" s="10">
        <f t="shared" si="30"/>
        <v>66875.64</v>
      </c>
      <c r="M107" s="10">
        <f t="shared" si="31"/>
        <v>86328.24</v>
      </c>
      <c r="N107" s="10">
        <f t="shared" si="32"/>
        <v>136098.62</v>
      </c>
    </row>
    <row r="108" spans="1:15" ht="15" customHeight="1" x14ac:dyDescent="0.3">
      <c r="A108" s="7" t="s">
        <v>181</v>
      </c>
      <c r="B108" s="8" t="s">
        <v>182</v>
      </c>
      <c r="C108" s="10">
        <v>1125</v>
      </c>
      <c r="D108" s="10">
        <v>9025.07</v>
      </c>
      <c r="E108" s="10">
        <v>198477.69</v>
      </c>
      <c r="F108" s="10">
        <v>48781.33</v>
      </c>
      <c r="G108" s="10">
        <v>4600</v>
      </c>
      <c r="H108" s="10">
        <v>45963.199999999997</v>
      </c>
      <c r="I108" s="10">
        <v>34579.19</v>
      </c>
      <c r="J108" s="10">
        <v>38337.75</v>
      </c>
      <c r="K108" s="10">
        <v>380889.23000000004</v>
      </c>
      <c r="L108" s="10">
        <f t="shared" si="30"/>
        <v>460053</v>
      </c>
      <c r="M108" s="10">
        <f t="shared" si="31"/>
        <v>475520.56</v>
      </c>
      <c r="N108" s="10">
        <f t="shared" si="32"/>
        <v>741478.32000000007</v>
      </c>
    </row>
    <row r="109" spans="1:15" ht="15" customHeight="1" x14ac:dyDescent="0.3">
      <c r="A109" s="7" t="s">
        <v>183</v>
      </c>
      <c r="B109" s="8" t="s">
        <v>184</v>
      </c>
      <c r="C109" s="10">
        <v>6340</v>
      </c>
      <c r="D109" s="10">
        <v>13156.96</v>
      </c>
      <c r="E109" s="10">
        <v>5000</v>
      </c>
      <c r="F109" s="10">
        <v>12210</v>
      </c>
      <c r="G109" s="10">
        <v>5000</v>
      </c>
      <c r="H109" s="10">
        <v>5000.24</v>
      </c>
      <c r="I109" s="10">
        <v>5000</v>
      </c>
      <c r="J109" s="10">
        <v>5105.53</v>
      </c>
      <c r="K109" s="10">
        <v>56812.729999999996</v>
      </c>
      <c r="L109" s="10">
        <f t="shared" si="30"/>
        <v>61266.36</v>
      </c>
      <c r="M109" s="10">
        <f t="shared" si="31"/>
        <v>60423.08</v>
      </c>
      <c r="N109" s="10">
        <f t="shared" si="32"/>
        <v>74631.539999999994</v>
      </c>
    </row>
    <row r="110" spans="1:15" ht="15" customHeight="1" x14ac:dyDescent="0.3">
      <c r="A110" s="7" t="s">
        <v>185</v>
      </c>
      <c r="B110" s="8" t="s">
        <v>186</v>
      </c>
      <c r="C110" s="10">
        <v>6611</v>
      </c>
      <c r="D110" s="10">
        <v>6066.33</v>
      </c>
      <c r="E110" s="10">
        <v>7343.68</v>
      </c>
      <c r="F110" s="10">
        <v>12126.32</v>
      </c>
      <c r="G110" s="10">
        <v>4340.62</v>
      </c>
      <c r="H110" s="10">
        <v>818.64</v>
      </c>
      <c r="I110" s="10">
        <v>3702.15</v>
      </c>
      <c r="J110" s="10">
        <v>0</v>
      </c>
      <c r="K110" s="10">
        <v>41008.740000000005</v>
      </c>
      <c r="L110" s="10">
        <f t="shared" si="30"/>
        <v>0</v>
      </c>
      <c r="M110" s="10">
        <f t="shared" si="31"/>
        <v>18083.16</v>
      </c>
      <c r="N110" s="10">
        <f t="shared" si="32"/>
        <v>56662.82</v>
      </c>
    </row>
    <row r="111" spans="1:15" ht="15" customHeight="1" x14ac:dyDescent="0.3">
      <c r="A111" s="7" t="s">
        <v>187</v>
      </c>
      <c r="B111" s="8" t="s">
        <v>188</v>
      </c>
      <c r="C111" s="10">
        <v>8000</v>
      </c>
      <c r="D111" s="10">
        <v>8000</v>
      </c>
      <c r="E111" s="10">
        <v>8000</v>
      </c>
      <c r="F111" s="10">
        <v>8000</v>
      </c>
      <c r="G111" s="10">
        <v>8000</v>
      </c>
      <c r="H111" s="10">
        <v>8000</v>
      </c>
      <c r="I111" s="10">
        <v>8000</v>
      </c>
      <c r="J111" s="10">
        <v>8000</v>
      </c>
      <c r="K111" s="10">
        <v>64000</v>
      </c>
      <c r="L111" s="10">
        <f t="shared" si="30"/>
        <v>96000</v>
      </c>
      <c r="M111" s="10">
        <f t="shared" si="31"/>
        <v>96000</v>
      </c>
      <c r="N111" s="10">
        <f t="shared" si="32"/>
        <v>96000</v>
      </c>
    </row>
    <row r="112" spans="1:15" ht="15" customHeight="1" x14ac:dyDescent="0.3">
      <c r="A112" s="7" t="s">
        <v>189</v>
      </c>
      <c r="B112" s="8" t="s">
        <v>190</v>
      </c>
      <c r="C112" s="10">
        <v>7306</v>
      </c>
      <c r="D112" s="10">
        <v>6888.65</v>
      </c>
      <c r="E112" s="10">
        <v>21745.32</v>
      </c>
      <c r="F112" s="10">
        <v>7018.8</v>
      </c>
      <c r="G112" s="10">
        <v>8977.5400000000009</v>
      </c>
      <c r="H112" s="10">
        <v>10177.5</v>
      </c>
      <c r="I112" s="10">
        <v>15033</v>
      </c>
      <c r="J112" s="10">
        <v>4498.5</v>
      </c>
      <c r="K112" s="10">
        <v>81645.31</v>
      </c>
      <c r="L112" s="10">
        <f t="shared" si="30"/>
        <v>53982</v>
      </c>
      <c r="M112" s="10">
        <f t="shared" si="31"/>
        <v>118836</v>
      </c>
      <c r="N112" s="10">
        <f t="shared" si="32"/>
        <v>134901.32</v>
      </c>
    </row>
    <row r="113" spans="1:15" ht="15" customHeight="1" x14ac:dyDescent="0.3">
      <c r="A113" s="7"/>
      <c r="B113" s="7"/>
      <c r="C113" s="11"/>
      <c r="D113" s="11"/>
      <c r="E113" s="11"/>
      <c r="F113" s="11"/>
      <c r="G113" s="11"/>
      <c r="H113" s="11"/>
      <c r="I113" s="11"/>
      <c r="J113" s="11"/>
      <c r="K113" s="11"/>
      <c r="L113" s="66"/>
      <c r="M113" s="66"/>
      <c r="N113" s="66"/>
    </row>
    <row r="114" spans="1:15" ht="15" customHeight="1" x14ac:dyDescent="0.3">
      <c r="A114" s="12" t="s">
        <v>191</v>
      </c>
      <c r="B114" s="13" t="s">
        <v>192</v>
      </c>
      <c r="C114" s="14">
        <v>32429.97</v>
      </c>
      <c r="D114" s="14">
        <v>49232.95</v>
      </c>
      <c r="E114" s="14">
        <v>247566.69</v>
      </c>
      <c r="F114" s="14">
        <v>117232.42</v>
      </c>
      <c r="G114" s="14">
        <v>41289.440000000002</v>
      </c>
      <c r="H114" s="14">
        <v>77395.7</v>
      </c>
      <c r="I114" s="14">
        <v>74887.31</v>
      </c>
      <c r="J114" s="14">
        <v>61514.75</v>
      </c>
      <c r="K114" s="14">
        <v>701549.23</v>
      </c>
      <c r="L114" s="67">
        <f t="shared" si="30"/>
        <v>738177</v>
      </c>
      <c r="M114" s="67">
        <f t="shared" si="31"/>
        <v>855191.04000000004</v>
      </c>
      <c r="N114" s="67">
        <f t="shared" si="32"/>
        <v>1239772.6200000001</v>
      </c>
      <c r="O114" s="1" t="s">
        <v>396</v>
      </c>
    </row>
    <row r="115" spans="1:15" ht="15" customHeight="1" x14ac:dyDescent="0.3">
      <c r="A115" s="7" t="s">
        <v>193</v>
      </c>
      <c r="B115" s="8" t="s">
        <v>194</v>
      </c>
      <c r="C115" s="10"/>
      <c r="D115" s="10"/>
      <c r="E115" s="10"/>
      <c r="F115" s="10"/>
      <c r="G115" s="10"/>
      <c r="H115" s="10"/>
      <c r="I115" s="10"/>
      <c r="J115" s="10"/>
      <c r="K115" s="10"/>
      <c r="L115" s="10">
        <f t="shared" si="30"/>
        <v>0</v>
      </c>
      <c r="M115" s="10">
        <f t="shared" si="31"/>
        <v>0</v>
      </c>
      <c r="N115" s="10">
        <f t="shared" si="32"/>
        <v>0</v>
      </c>
    </row>
    <row r="116" spans="1:15" ht="15" customHeight="1" x14ac:dyDescent="0.3">
      <c r="A116" s="7" t="s">
        <v>195</v>
      </c>
      <c r="B116" s="8" t="s">
        <v>282</v>
      </c>
      <c r="C116" s="10">
        <v>16035.860000000004</v>
      </c>
      <c r="D116" s="10">
        <v>19147.84</v>
      </c>
      <c r="E116" s="10">
        <v>18586.84</v>
      </c>
      <c r="F116" s="10">
        <v>4995.3600000000042</v>
      </c>
      <c r="G116" s="10">
        <v>26172.010000000006</v>
      </c>
      <c r="H116" s="10">
        <v>120665.53000000001</v>
      </c>
      <c r="I116" s="10">
        <v>4657.8200000000033</v>
      </c>
      <c r="J116" s="10">
        <v>4686.0900000000038</v>
      </c>
      <c r="K116" s="10">
        <v>214947.35000000003</v>
      </c>
      <c r="L116" s="10">
        <f t="shared" si="30"/>
        <v>56233.080000000045</v>
      </c>
      <c r="M116" s="10">
        <f t="shared" si="31"/>
        <v>520037.76000000013</v>
      </c>
      <c r="N116" s="10">
        <f t="shared" si="32"/>
        <v>359527.30000000005</v>
      </c>
    </row>
    <row r="117" spans="1:15" ht="15" customHeight="1" x14ac:dyDescent="0.3">
      <c r="A117" s="7" t="s">
        <v>196</v>
      </c>
      <c r="B117" s="8" t="s">
        <v>197</v>
      </c>
      <c r="C117" s="10">
        <v>128586.33</v>
      </c>
      <c r="D117" s="10">
        <v>0</v>
      </c>
      <c r="E117" s="10">
        <v>2025.95</v>
      </c>
      <c r="F117" s="10">
        <v>55050.53</v>
      </c>
      <c r="G117" s="10">
        <v>0</v>
      </c>
      <c r="H117" s="10">
        <v>16704.41</v>
      </c>
      <c r="I117" s="10">
        <v>86360.19</v>
      </c>
      <c r="J117" s="10">
        <v>5329.39</v>
      </c>
      <c r="K117" s="10">
        <v>294056.80000000005</v>
      </c>
      <c r="L117" s="10">
        <f t="shared" si="30"/>
        <v>63952.680000000008</v>
      </c>
      <c r="M117" s="10">
        <f t="shared" si="31"/>
        <v>433575.96</v>
      </c>
      <c r="N117" s="10">
        <f t="shared" si="32"/>
        <v>330940.94000000006</v>
      </c>
    </row>
    <row r="118" spans="1:15" ht="15" customHeight="1" x14ac:dyDescent="0.3">
      <c r="A118" s="7"/>
      <c r="B118" s="7"/>
      <c r="C118" s="22"/>
      <c r="D118" s="22"/>
      <c r="E118" s="22"/>
      <c r="F118" s="22"/>
      <c r="G118" s="22"/>
      <c r="H118" s="22"/>
      <c r="I118" s="22"/>
      <c r="J118" s="22"/>
      <c r="K118" s="22"/>
      <c r="L118" s="68">
        <f t="shared" si="30"/>
        <v>0</v>
      </c>
      <c r="M118" s="68">
        <f t="shared" si="31"/>
        <v>0</v>
      </c>
      <c r="N118" s="68">
        <f t="shared" si="32"/>
        <v>0</v>
      </c>
    </row>
    <row r="119" spans="1:15" ht="15" customHeight="1" x14ac:dyDescent="0.3">
      <c r="A119" s="12" t="s">
        <v>198</v>
      </c>
      <c r="B119" s="13" t="s">
        <v>199</v>
      </c>
      <c r="C119" s="14">
        <v>144622.19</v>
      </c>
      <c r="D119" s="14">
        <v>19147.84</v>
      </c>
      <c r="E119" s="14">
        <v>20612.79</v>
      </c>
      <c r="F119" s="14">
        <v>60045.89</v>
      </c>
      <c r="G119" s="14">
        <v>26172.01</v>
      </c>
      <c r="H119" s="14">
        <v>137369.94</v>
      </c>
      <c r="I119" s="14">
        <v>91018.01</v>
      </c>
      <c r="J119" s="14">
        <v>10015.48</v>
      </c>
      <c r="K119" s="14">
        <v>509004.15</v>
      </c>
      <c r="L119" s="67">
        <f t="shared" si="30"/>
        <v>120185.76</v>
      </c>
      <c r="M119" s="67">
        <f t="shared" si="31"/>
        <v>953613.72000000009</v>
      </c>
      <c r="N119" s="67">
        <f t="shared" si="32"/>
        <v>690468.24</v>
      </c>
      <c r="O119" s="1" t="s">
        <v>397</v>
      </c>
    </row>
    <row r="120" spans="1:15" ht="15" customHeight="1" x14ac:dyDescent="0.3">
      <c r="A120" s="7" t="s">
        <v>200</v>
      </c>
      <c r="B120" s="8" t="s">
        <v>201</v>
      </c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</row>
    <row r="121" spans="1:15" ht="15" customHeight="1" x14ac:dyDescent="0.3">
      <c r="A121" s="7" t="s">
        <v>202</v>
      </c>
      <c r="B121" s="8" t="s">
        <v>203</v>
      </c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</row>
    <row r="122" spans="1:15" ht="15" customHeight="1" x14ac:dyDescent="0.3">
      <c r="A122" s="7" t="s">
        <v>204</v>
      </c>
      <c r="B122" s="8" t="s">
        <v>205</v>
      </c>
      <c r="C122" s="10">
        <v>0</v>
      </c>
      <c r="D122" s="10">
        <v>0</v>
      </c>
      <c r="E122" s="10">
        <v>14870</v>
      </c>
      <c r="F122" s="10">
        <v>24500</v>
      </c>
      <c r="G122" s="10">
        <v>0</v>
      </c>
      <c r="H122" s="10">
        <v>0</v>
      </c>
      <c r="I122" s="10">
        <v>0</v>
      </c>
      <c r="J122" s="10">
        <v>750</v>
      </c>
      <c r="K122" s="10">
        <v>40120</v>
      </c>
      <c r="L122" s="10">
        <f t="shared" si="30"/>
        <v>9000</v>
      </c>
      <c r="M122" s="10">
        <f t="shared" si="31"/>
        <v>3000</v>
      </c>
      <c r="N122" s="10">
        <f t="shared" si="32"/>
        <v>80240</v>
      </c>
    </row>
    <row r="123" spans="1:15" ht="15" customHeight="1" x14ac:dyDescent="0.3">
      <c r="A123" s="7" t="s">
        <v>206</v>
      </c>
      <c r="B123" s="8" t="s">
        <v>207</v>
      </c>
      <c r="C123" s="10">
        <v>0</v>
      </c>
      <c r="D123" s="10">
        <v>0</v>
      </c>
      <c r="E123" s="10">
        <v>0</v>
      </c>
      <c r="F123" s="10">
        <v>0</v>
      </c>
      <c r="G123" s="10">
        <v>0</v>
      </c>
      <c r="H123" s="10">
        <v>4515</v>
      </c>
      <c r="I123" s="10">
        <v>0</v>
      </c>
      <c r="J123" s="10">
        <v>0</v>
      </c>
      <c r="K123" s="10">
        <v>4515</v>
      </c>
      <c r="L123" s="10">
        <f t="shared" si="30"/>
        <v>0</v>
      </c>
      <c r="M123" s="10">
        <f t="shared" si="31"/>
        <v>18060</v>
      </c>
      <c r="N123" s="10">
        <f t="shared" si="32"/>
        <v>9030</v>
      </c>
    </row>
    <row r="124" spans="1:15" ht="15" customHeight="1" x14ac:dyDescent="0.3">
      <c r="A124" s="7"/>
      <c r="B124" s="7"/>
      <c r="C124" s="11"/>
      <c r="D124" s="11"/>
      <c r="E124" s="11"/>
      <c r="F124" s="11"/>
      <c r="G124" s="11"/>
      <c r="H124" s="11"/>
      <c r="I124" s="11"/>
      <c r="J124" s="11"/>
      <c r="K124" s="11"/>
      <c r="L124" s="66"/>
      <c r="M124" s="66"/>
      <c r="N124" s="66"/>
    </row>
    <row r="125" spans="1:15" ht="15" customHeight="1" x14ac:dyDescent="0.3">
      <c r="A125" s="12" t="s">
        <v>208</v>
      </c>
      <c r="B125" s="13" t="s">
        <v>209</v>
      </c>
      <c r="C125" s="14">
        <v>0</v>
      </c>
      <c r="D125" s="14">
        <v>0</v>
      </c>
      <c r="E125" s="14">
        <v>14870</v>
      </c>
      <c r="F125" s="14">
        <v>24500</v>
      </c>
      <c r="G125" s="14">
        <v>0</v>
      </c>
      <c r="H125" s="14">
        <v>4515</v>
      </c>
      <c r="I125" s="14">
        <v>0</v>
      </c>
      <c r="J125" s="14">
        <v>750</v>
      </c>
      <c r="K125" s="14">
        <v>44635</v>
      </c>
      <c r="L125" s="67">
        <f t="shared" si="30"/>
        <v>9000</v>
      </c>
      <c r="M125" s="67">
        <f t="shared" si="31"/>
        <v>21060</v>
      </c>
      <c r="N125" s="67">
        <f t="shared" si="32"/>
        <v>89270</v>
      </c>
      <c r="O125" s="1" t="s">
        <v>397</v>
      </c>
    </row>
    <row r="126" spans="1:15" ht="15" customHeight="1" x14ac:dyDescent="0.3">
      <c r="A126" s="7" t="s">
        <v>210</v>
      </c>
      <c r="B126" s="8" t="s">
        <v>211</v>
      </c>
      <c r="C126" s="10">
        <v>0</v>
      </c>
      <c r="D126" s="10">
        <v>0</v>
      </c>
      <c r="E126" s="10">
        <v>357.23</v>
      </c>
      <c r="F126" s="10">
        <v>986.64</v>
      </c>
      <c r="G126" s="10">
        <v>0</v>
      </c>
      <c r="H126" s="10">
        <v>0</v>
      </c>
      <c r="I126" s="10">
        <v>279.89</v>
      </c>
      <c r="J126" s="10">
        <v>38.25</v>
      </c>
      <c r="K126" s="10">
        <v>1662.0099999999998</v>
      </c>
      <c r="L126" s="10">
        <f t="shared" si="30"/>
        <v>459</v>
      </c>
      <c r="M126" s="10">
        <f t="shared" si="31"/>
        <v>1272.56</v>
      </c>
      <c r="N126" s="10">
        <f t="shared" si="32"/>
        <v>3324.0199999999995</v>
      </c>
    </row>
    <row r="127" spans="1:15" ht="15" customHeight="1" x14ac:dyDescent="0.3">
      <c r="A127" s="7" t="s">
        <v>212</v>
      </c>
      <c r="B127" s="8" t="s">
        <v>213</v>
      </c>
      <c r="C127" s="10">
        <v>0</v>
      </c>
      <c r="D127" s="10">
        <v>14.17</v>
      </c>
      <c r="E127" s="10">
        <v>0</v>
      </c>
      <c r="F127" s="10">
        <v>14.17</v>
      </c>
      <c r="G127" s="10">
        <v>0</v>
      </c>
      <c r="H127" s="10">
        <v>0</v>
      </c>
      <c r="I127" s="10">
        <v>0</v>
      </c>
      <c r="J127" s="10">
        <v>304.93</v>
      </c>
      <c r="K127" s="10">
        <v>333.27</v>
      </c>
      <c r="L127" s="10">
        <f t="shared" si="30"/>
        <v>3659.16</v>
      </c>
      <c r="M127" s="10">
        <f t="shared" si="31"/>
        <v>1219.72</v>
      </c>
      <c r="N127" s="10">
        <f t="shared" si="32"/>
        <v>638.20000000000005</v>
      </c>
    </row>
    <row r="128" spans="1:15" ht="15" customHeight="1" x14ac:dyDescent="0.3">
      <c r="A128" s="7" t="s">
        <v>214</v>
      </c>
      <c r="B128" s="8" t="s">
        <v>215</v>
      </c>
      <c r="C128" s="10">
        <v>0</v>
      </c>
      <c r="D128" s="10">
        <v>0</v>
      </c>
      <c r="E128" s="10">
        <v>0</v>
      </c>
      <c r="F128" s="10">
        <v>0</v>
      </c>
      <c r="G128" s="10">
        <v>0</v>
      </c>
      <c r="H128" s="10">
        <v>954.96</v>
      </c>
      <c r="I128" s="10">
        <v>269.19</v>
      </c>
      <c r="J128" s="10">
        <v>0</v>
      </c>
      <c r="K128" s="10">
        <v>1224.1500000000001</v>
      </c>
      <c r="L128" s="10">
        <f t="shared" si="30"/>
        <v>0</v>
      </c>
      <c r="M128" s="10">
        <f t="shared" si="31"/>
        <v>4896.6000000000004</v>
      </c>
      <c r="N128" s="10">
        <f t="shared" si="32"/>
        <v>2448.3000000000002</v>
      </c>
    </row>
    <row r="129" spans="1:15" ht="15" customHeight="1" x14ac:dyDescent="0.3">
      <c r="A129" s="7" t="s">
        <v>216</v>
      </c>
      <c r="B129" s="8" t="s">
        <v>217</v>
      </c>
      <c r="C129" s="10">
        <v>17040</v>
      </c>
      <c r="D129" s="10">
        <v>15540</v>
      </c>
      <c r="E129" s="10">
        <v>15540</v>
      </c>
      <c r="F129" s="10">
        <v>15540</v>
      </c>
      <c r="G129" s="10">
        <v>15540</v>
      </c>
      <c r="H129" s="10">
        <v>16490</v>
      </c>
      <c r="I129" s="10">
        <v>16740</v>
      </c>
      <c r="J129" s="10">
        <v>16740</v>
      </c>
      <c r="K129" s="10">
        <v>129170</v>
      </c>
      <c r="L129" s="10">
        <f t="shared" si="30"/>
        <v>200880</v>
      </c>
      <c r="M129" s="10">
        <f t="shared" si="31"/>
        <v>199880</v>
      </c>
      <c r="N129" s="10">
        <f t="shared" si="32"/>
        <v>193180</v>
      </c>
    </row>
    <row r="130" spans="1:15" ht="15" customHeight="1" x14ac:dyDescent="0.3">
      <c r="A130" s="7" t="s">
        <v>218</v>
      </c>
      <c r="B130" s="8" t="s">
        <v>219</v>
      </c>
      <c r="C130" s="10">
        <v>0</v>
      </c>
      <c r="D130" s="10">
        <v>0</v>
      </c>
      <c r="E130" s="10">
        <v>0</v>
      </c>
      <c r="F130" s="10">
        <v>0</v>
      </c>
      <c r="G130" s="10">
        <v>0</v>
      </c>
      <c r="H130" s="10">
        <v>0</v>
      </c>
      <c r="I130" s="10">
        <v>0</v>
      </c>
      <c r="J130" s="10">
        <v>0</v>
      </c>
      <c r="K130" s="10">
        <v>0</v>
      </c>
      <c r="L130" s="10">
        <f t="shared" si="30"/>
        <v>0</v>
      </c>
      <c r="M130" s="10">
        <f t="shared" si="31"/>
        <v>0</v>
      </c>
      <c r="N130" s="10">
        <f t="shared" si="32"/>
        <v>0</v>
      </c>
    </row>
    <row r="131" spans="1:15" ht="15" customHeight="1" x14ac:dyDescent="0.3">
      <c r="A131" s="7" t="s">
        <v>220</v>
      </c>
      <c r="B131" s="8" t="s">
        <v>221</v>
      </c>
      <c r="C131" s="10">
        <v>439.96</v>
      </c>
      <c r="D131" s="10">
        <v>891.29</v>
      </c>
      <c r="E131" s="10">
        <v>0</v>
      </c>
      <c r="F131" s="10">
        <v>15.67</v>
      </c>
      <c r="G131" s="10">
        <v>0</v>
      </c>
      <c r="H131" s="10">
        <v>767.17</v>
      </c>
      <c r="I131" s="10">
        <v>719.82</v>
      </c>
      <c r="J131" s="10">
        <v>780.72</v>
      </c>
      <c r="K131" s="10">
        <v>3614.63</v>
      </c>
      <c r="L131" s="10">
        <f t="shared" si="30"/>
        <v>9368.64</v>
      </c>
      <c r="M131" s="10">
        <f t="shared" si="31"/>
        <v>9070.84</v>
      </c>
      <c r="N131" s="10">
        <f t="shared" si="32"/>
        <v>4566.76</v>
      </c>
    </row>
    <row r="132" spans="1:15" ht="15" customHeight="1" x14ac:dyDescent="0.3">
      <c r="A132" s="7" t="s">
        <v>222</v>
      </c>
      <c r="B132" s="8" t="s">
        <v>223</v>
      </c>
      <c r="C132" s="10">
        <v>0</v>
      </c>
      <c r="D132" s="10">
        <v>87.95</v>
      </c>
      <c r="E132" s="10">
        <v>87.95</v>
      </c>
      <c r="F132" s="10">
        <v>0</v>
      </c>
      <c r="G132" s="10">
        <v>0</v>
      </c>
      <c r="H132" s="10">
        <v>0</v>
      </c>
      <c r="I132" s="10">
        <v>0</v>
      </c>
      <c r="J132" s="10">
        <v>0</v>
      </c>
      <c r="K132" s="10">
        <v>175.9</v>
      </c>
      <c r="L132" s="10">
        <f t="shared" si="30"/>
        <v>0</v>
      </c>
      <c r="M132" s="10">
        <f t="shared" si="31"/>
        <v>0</v>
      </c>
      <c r="N132" s="10">
        <f t="shared" si="32"/>
        <v>175.9</v>
      </c>
    </row>
    <row r="133" spans="1:15" ht="15" customHeight="1" x14ac:dyDescent="0.3">
      <c r="A133" s="7" t="s">
        <v>224</v>
      </c>
      <c r="B133" s="8" t="s">
        <v>225</v>
      </c>
      <c r="C133" s="10">
        <v>2904.26</v>
      </c>
      <c r="D133" s="10">
        <v>445.5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3349.76</v>
      </c>
      <c r="L133" s="10">
        <f t="shared" si="30"/>
        <v>0</v>
      </c>
      <c r="M133" s="10">
        <f t="shared" si="31"/>
        <v>0</v>
      </c>
      <c r="N133" s="10">
        <f t="shared" si="32"/>
        <v>0</v>
      </c>
    </row>
    <row r="134" spans="1:15" ht="15" customHeight="1" x14ac:dyDescent="0.3">
      <c r="A134" s="7" t="s">
        <v>226</v>
      </c>
      <c r="B134" s="8" t="s">
        <v>227</v>
      </c>
      <c r="C134" s="10">
        <v>32.840000000000003</v>
      </c>
      <c r="D134" s="10">
        <v>10.65</v>
      </c>
      <c r="E134" s="10">
        <v>26.64</v>
      </c>
      <c r="F134" s="10">
        <v>0</v>
      </c>
      <c r="G134" s="10">
        <v>107.1</v>
      </c>
      <c r="H134" s="10">
        <v>0</v>
      </c>
      <c r="I134" s="10">
        <v>92.66</v>
      </c>
      <c r="J134" s="10">
        <v>37.18</v>
      </c>
      <c r="K134" s="10">
        <v>307.07</v>
      </c>
      <c r="L134" s="10">
        <f t="shared" si="30"/>
        <v>446.15999999999997</v>
      </c>
      <c r="M134" s="10">
        <f t="shared" si="31"/>
        <v>519.36</v>
      </c>
      <c r="N134" s="10">
        <f t="shared" si="32"/>
        <v>527.16</v>
      </c>
    </row>
    <row r="135" spans="1:15" ht="15" customHeight="1" x14ac:dyDescent="0.3">
      <c r="A135" s="7" t="s">
        <v>228</v>
      </c>
      <c r="B135" s="8" t="s">
        <v>229</v>
      </c>
      <c r="C135" s="10">
        <v>859.55</v>
      </c>
      <c r="D135" s="10">
        <v>991.73</v>
      </c>
      <c r="E135" s="10">
        <v>442.69</v>
      </c>
      <c r="F135" s="10">
        <v>366.15</v>
      </c>
      <c r="G135" s="10">
        <v>1094.69</v>
      </c>
      <c r="H135" s="10">
        <v>373.54</v>
      </c>
      <c r="I135" s="10">
        <v>968.36</v>
      </c>
      <c r="J135" s="10">
        <v>1285.7</v>
      </c>
      <c r="K135" s="10">
        <v>6382.41</v>
      </c>
      <c r="L135" s="10">
        <f t="shared" si="30"/>
        <v>15428.400000000001</v>
      </c>
      <c r="M135" s="10">
        <f t="shared" si="31"/>
        <v>10510.400000000001</v>
      </c>
      <c r="N135" s="10">
        <f t="shared" si="32"/>
        <v>9062.26</v>
      </c>
    </row>
    <row r="136" spans="1:15" ht="15" customHeight="1" x14ac:dyDescent="0.3">
      <c r="A136" s="7" t="s">
        <v>230</v>
      </c>
      <c r="B136" s="8" t="s">
        <v>231</v>
      </c>
      <c r="C136" s="10">
        <v>276.58</v>
      </c>
      <c r="D136" s="10">
        <v>503.5</v>
      </c>
      <c r="E136" s="10">
        <v>276.58</v>
      </c>
      <c r="F136" s="10">
        <v>276.58</v>
      </c>
      <c r="G136" s="10">
        <v>622.52</v>
      </c>
      <c r="H136" s="10">
        <v>276.58</v>
      </c>
      <c r="I136" s="10">
        <v>276.58</v>
      </c>
      <c r="J136" s="10">
        <v>785.63</v>
      </c>
      <c r="K136" s="10">
        <v>3294.5499999999997</v>
      </c>
      <c r="L136" s="10">
        <f t="shared" ref="L136:L165" si="33">IF($K$7="","",J136*12)</f>
        <v>9427.56</v>
      </c>
      <c r="M136" s="10">
        <f t="shared" ref="M136:M165" si="34">IF($K$7="","",SUM(H136:J136)*4)</f>
        <v>5355.16</v>
      </c>
      <c r="N136" s="10">
        <f t="shared" ref="N136:N165" si="35">IF($K$7="","",SUM(E136:J136)*2)</f>
        <v>5028.9399999999996</v>
      </c>
    </row>
    <row r="137" spans="1:15" ht="15" customHeight="1" x14ac:dyDescent="0.3">
      <c r="A137" s="7" t="s">
        <v>232</v>
      </c>
      <c r="B137" s="8" t="s">
        <v>233</v>
      </c>
      <c r="C137" s="10">
        <v>100</v>
      </c>
      <c r="D137" s="10">
        <v>300</v>
      </c>
      <c r="E137" s="10">
        <v>400</v>
      </c>
      <c r="F137" s="10">
        <v>300</v>
      </c>
      <c r="G137" s="10">
        <v>100</v>
      </c>
      <c r="H137" s="10">
        <v>125</v>
      </c>
      <c r="I137" s="10">
        <v>75</v>
      </c>
      <c r="J137" s="10">
        <v>375</v>
      </c>
      <c r="K137" s="10">
        <v>1775</v>
      </c>
      <c r="L137" s="10">
        <f t="shared" si="33"/>
        <v>4500</v>
      </c>
      <c r="M137" s="10">
        <f t="shared" si="34"/>
        <v>2300</v>
      </c>
      <c r="N137" s="10">
        <f t="shared" si="35"/>
        <v>2750</v>
      </c>
    </row>
    <row r="138" spans="1:15" ht="15" customHeight="1" x14ac:dyDescent="0.3">
      <c r="A138" s="7" t="s">
        <v>234</v>
      </c>
      <c r="B138" s="8" t="s">
        <v>235</v>
      </c>
      <c r="C138" s="10">
        <v>2481.7399999999998</v>
      </c>
      <c r="D138" s="10">
        <v>2054.9499999999998</v>
      </c>
      <c r="E138" s="10">
        <v>547.41999999999996</v>
      </c>
      <c r="F138" s="10">
        <v>513.61</v>
      </c>
      <c r="G138" s="10">
        <v>2156.7199999999998</v>
      </c>
      <c r="H138" s="10">
        <v>1638.77</v>
      </c>
      <c r="I138" s="10">
        <v>1803.31</v>
      </c>
      <c r="J138" s="10">
        <v>1483.01</v>
      </c>
      <c r="K138" s="10">
        <v>12679.529999999999</v>
      </c>
      <c r="L138" s="10">
        <f t="shared" si="33"/>
        <v>17796.12</v>
      </c>
      <c r="M138" s="10">
        <f t="shared" si="34"/>
        <v>19700.36</v>
      </c>
      <c r="N138" s="10">
        <f t="shared" si="35"/>
        <v>16285.68</v>
      </c>
    </row>
    <row r="139" spans="1:15" ht="15" customHeight="1" x14ac:dyDescent="0.3">
      <c r="A139" s="7" t="s">
        <v>236</v>
      </c>
      <c r="B139" s="8" t="s">
        <v>237</v>
      </c>
      <c r="C139" s="10">
        <v>198.91</v>
      </c>
      <c r="D139" s="10">
        <v>207.05</v>
      </c>
      <c r="E139" s="10">
        <v>207.05</v>
      </c>
      <c r="F139" s="10">
        <v>207.05</v>
      </c>
      <c r="G139" s="10">
        <v>319.23</v>
      </c>
      <c r="H139" s="10">
        <v>111.2</v>
      </c>
      <c r="I139" s="10">
        <v>223.38</v>
      </c>
      <c r="J139" s="10">
        <v>223.38</v>
      </c>
      <c r="K139" s="10">
        <v>1697.25</v>
      </c>
      <c r="L139" s="10">
        <f t="shared" si="33"/>
        <v>2680.56</v>
      </c>
      <c r="M139" s="10">
        <f t="shared" si="34"/>
        <v>2231.84</v>
      </c>
      <c r="N139" s="10">
        <f t="shared" si="35"/>
        <v>2582.58</v>
      </c>
    </row>
    <row r="140" spans="1:15" ht="15" customHeight="1" x14ac:dyDescent="0.3">
      <c r="A140" s="7" t="s">
        <v>238</v>
      </c>
      <c r="B140" s="8" t="s">
        <v>239</v>
      </c>
      <c r="C140" s="10">
        <v>0</v>
      </c>
      <c r="D140" s="10">
        <v>40.97</v>
      </c>
      <c r="E140" s="10">
        <v>6.44</v>
      </c>
      <c r="F140" s="10">
        <v>154.97</v>
      </c>
      <c r="G140" s="10">
        <v>288.02</v>
      </c>
      <c r="H140" s="10">
        <v>772.25</v>
      </c>
      <c r="I140" s="10">
        <v>431.81</v>
      </c>
      <c r="J140" s="10">
        <v>330.56</v>
      </c>
      <c r="K140" s="10">
        <v>2025.02</v>
      </c>
      <c r="L140" s="10">
        <f t="shared" si="33"/>
        <v>3966.7200000000003</v>
      </c>
      <c r="M140" s="10">
        <f t="shared" si="34"/>
        <v>6138.48</v>
      </c>
      <c r="N140" s="10">
        <f t="shared" si="35"/>
        <v>3968.0999999999995</v>
      </c>
    </row>
    <row r="141" spans="1:15" ht="15" customHeight="1" x14ac:dyDescent="0.3">
      <c r="A141" s="7" t="s">
        <v>240</v>
      </c>
      <c r="B141" s="8" t="s">
        <v>241</v>
      </c>
      <c r="C141" s="10">
        <v>467.44</v>
      </c>
      <c r="D141" s="10">
        <v>350</v>
      </c>
      <c r="E141" s="10">
        <v>543.17999999999995</v>
      </c>
      <c r="F141" s="10">
        <v>560</v>
      </c>
      <c r="G141" s="10">
        <v>881</v>
      </c>
      <c r="H141" s="10">
        <v>140</v>
      </c>
      <c r="I141" s="10">
        <v>600</v>
      </c>
      <c r="J141" s="10">
        <v>3838</v>
      </c>
      <c r="K141" s="10">
        <v>7379.62</v>
      </c>
      <c r="L141" s="10">
        <f t="shared" si="33"/>
        <v>46056</v>
      </c>
      <c r="M141" s="10">
        <f t="shared" si="34"/>
        <v>18312</v>
      </c>
      <c r="N141" s="10">
        <f t="shared" si="35"/>
        <v>13124.36</v>
      </c>
    </row>
    <row r="142" spans="1:15" ht="15" customHeight="1" x14ac:dyDescent="0.3">
      <c r="A142" s="7" t="s">
        <v>242</v>
      </c>
      <c r="B142" s="8" t="s">
        <v>243</v>
      </c>
      <c r="C142" s="10">
        <v>0</v>
      </c>
      <c r="D142" s="10">
        <v>0</v>
      </c>
      <c r="E142" s="10">
        <v>0</v>
      </c>
      <c r="F142" s="10">
        <v>0</v>
      </c>
      <c r="G142" s="10">
        <v>0</v>
      </c>
      <c r="H142" s="10">
        <v>0</v>
      </c>
      <c r="I142" s="10">
        <v>0</v>
      </c>
      <c r="J142" s="10">
        <v>0</v>
      </c>
      <c r="K142" s="10">
        <v>0</v>
      </c>
      <c r="L142" s="10">
        <f t="shared" si="33"/>
        <v>0</v>
      </c>
      <c r="M142" s="10">
        <f t="shared" si="34"/>
        <v>0</v>
      </c>
      <c r="N142" s="10">
        <f t="shared" si="35"/>
        <v>0</v>
      </c>
    </row>
    <row r="143" spans="1:15" ht="15" customHeight="1" x14ac:dyDescent="0.3">
      <c r="A143" s="7"/>
      <c r="B143" s="7"/>
      <c r="C143" s="11"/>
      <c r="D143" s="11"/>
      <c r="E143" s="11"/>
      <c r="F143" s="11"/>
      <c r="G143" s="11"/>
      <c r="H143" s="11"/>
      <c r="I143" s="11"/>
      <c r="J143" s="11"/>
      <c r="K143" s="11"/>
      <c r="L143" s="66"/>
      <c r="M143" s="66"/>
      <c r="N143" s="66"/>
    </row>
    <row r="144" spans="1:15" ht="15" customHeight="1" x14ac:dyDescent="0.3">
      <c r="A144" s="12" t="s">
        <v>244</v>
      </c>
      <c r="B144" s="13" t="s">
        <v>245</v>
      </c>
      <c r="C144" s="14">
        <v>24801.279999999999</v>
      </c>
      <c r="D144" s="14">
        <v>21437.759999999998</v>
      </c>
      <c r="E144" s="14">
        <v>18435.18</v>
      </c>
      <c r="F144" s="14">
        <v>18934.84</v>
      </c>
      <c r="G144" s="14">
        <v>21109.279999999999</v>
      </c>
      <c r="H144" s="14">
        <v>21649.47</v>
      </c>
      <c r="I144" s="14">
        <v>22480</v>
      </c>
      <c r="J144" s="14">
        <v>26222.36</v>
      </c>
      <c r="K144" s="14">
        <v>175070.16999999998</v>
      </c>
      <c r="L144" s="67">
        <f t="shared" si="33"/>
        <v>314668.32</v>
      </c>
      <c r="M144" s="67">
        <f t="shared" si="34"/>
        <v>281407.32</v>
      </c>
      <c r="N144" s="67">
        <f t="shared" si="35"/>
        <v>257662.26</v>
      </c>
      <c r="O144" s="1" t="s">
        <v>397</v>
      </c>
    </row>
    <row r="145" spans="1:15" ht="15" customHeight="1" x14ac:dyDescent="0.3">
      <c r="A145" s="7" t="s">
        <v>246</v>
      </c>
      <c r="B145" s="8" t="s">
        <v>247</v>
      </c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</row>
    <row r="146" spans="1:15" ht="15" customHeight="1" x14ac:dyDescent="0.3">
      <c r="A146" s="7" t="s">
        <v>248</v>
      </c>
      <c r="B146" s="8" t="s">
        <v>249</v>
      </c>
      <c r="C146" s="10">
        <v>6824.75</v>
      </c>
      <c r="D146" s="10">
        <v>10451.700000000001</v>
      </c>
      <c r="E146" s="10">
        <v>4362.7299999999996</v>
      </c>
      <c r="F146" s="10">
        <v>8480.83</v>
      </c>
      <c r="G146" s="10">
        <v>7140.3</v>
      </c>
      <c r="H146" s="10">
        <v>7893.89</v>
      </c>
      <c r="I146" s="10">
        <v>6945.94</v>
      </c>
      <c r="J146" s="10">
        <v>7420.26</v>
      </c>
      <c r="K146" s="10">
        <v>59520.400000000009</v>
      </c>
      <c r="L146" s="10">
        <f t="shared" si="33"/>
        <v>89043.12</v>
      </c>
      <c r="M146" s="10">
        <f t="shared" si="34"/>
        <v>89040.36</v>
      </c>
      <c r="N146" s="10">
        <f t="shared" si="35"/>
        <v>84487.900000000009</v>
      </c>
    </row>
    <row r="147" spans="1:15" ht="15" customHeight="1" x14ac:dyDescent="0.3">
      <c r="A147" s="7" t="s">
        <v>250</v>
      </c>
      <c r="B147" s="8" t="s">
        <v>251</v>
      </c>
      <c r="C147" s="10">
        <v>39346.870000000003</v>
      </c>
      <c r="D147" s="10">
        <v>63530.1</v>
      </c>
      <c r="E147" s="10">
        <v>34072.31</v>
      </c>
      <c r="F147" s="10">
        <v>42093.24</v>
      </c>
      <c r="G147" s="10">
        <v>45560.06</v>
      </c>
      <c r="H147" s="10">
        <v>34850.410000000003</v>
      </c>
      <c r="I147" s="10">
        <v>45328.25</v>
      </c>
      <c r="J147" s="10">
        <v>105901.9</v>
      </c>
      <c r="K147" s="10">
        <v>410683.14</v>
      </c>
      <c r="L147" s="10">
        <f t="shared" si="33"/>
        <v>1270822.7999999998</v>
      </c>
      <c r="M147" s="10">
        <f t="shared" si="34"/>
        <v>744322.24</v>
      </c>
      <c r="N147" s="10">
        <f t="shared" si="35"/>
        <v>615612.34</v>
      </c>
    </row>
    <row r="148" spans="1:15" ht="15" customHeight="1" x14ac:dyDescent="0.3">
      <c r="A148" s="7" t="s">
        <v>252</v>
      </c>
      <c r="B148" s="8" t="s">
        <v>253</v>
      </c>
      <c r="C148" s="10">
        <v>4276.1000000000004</v>
      </c>
      <c r="D148" s="10">
        <v>20193.97</v>
      </c>
      <c r="E148" s="10">
        <v>22237.75</v>
      </c>
      <c r="F148" s="10">
        <v>18276.16</v>
      </c>
      <c r="G148" s="10">
        <v>21557.599999999999</v>
      </c>
      <c r="H148" s="10">
        <v>18111.77</v>
      </c>
      <c r="I148" s="10">
        <v>19435.39</v>
      </c>
      <c r="J148" s="10">
        <v>20143.82</v>
      </c>
      <c r="K148" s="10">
        <v>144232.56</v>
      </c>
      <c r="L148" s="10">
        <f t="shared" si="33"/>
        <v>241725.84</v>
      </c>
      <c r="M148" s="10">
        <f t="shared" si="34"/>
        <v>230763.92</v>
      </c>
      <c r="N148" s="10">
        <f t="shared" si="35"/>
        <v>239524.97999999998</v>
      </c>
    </row>
    <row r="149" spans="1:15" ht="15" customHeight="1" x14ac:dyDescent="0.3">
      <c r="A149" s="7" t="s">
        <v>254</v>
      </c>
      <c r="B149" s="8" t="s">
        <v>255</v>
      </c>
      <c r="C149" s="16">
        <v>0</v>
      </c>
      <c r="D149" s="16">
        <v>0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1000</v>
      </c>
      <c r="K149" s="16">
        <v>1000</v>
      </c>
      <c r="L149" s="69">
        <f t="shared" si="33"/>
        <v>12000</v>
      </c>
      <c r="M149" s="69">
        <f t="shared" si="34"/>
        <v>4000</v>
      </c>
      <c r="N149" s="69">
        <f t="shared" si="35"/>
        <v>2000</v>
      </c>
    </row>
    <row r="150" spans="1:15" ht="15" customHeight="1" x14ac:dyDescent="0.3">
      <c r="A150" s="7"/>
      <c r="B150" s="8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</row>
    <row r="151" spans="1:15" ht="15" customHeight="1" x14ac:dyDescent="0.3">
      <c r="A151" s="12" t="s">
        <v>256</v>
      </c>
      <c r="B151" s="13" t="s">
        <v>257</v>
      </c>
      <c r="C151" s="14">
        <v>50447.72</v>
      </c>
      <c r="D151" s="14">
        <v>94175.77</v>
      </c>
      <c r="E151" s="14">
        <v>60672.79</v>
      </c>
      <c r="F151" s="14">
        <v>68850.23</v>
      </c>
      <c r="G151" s="14">
        <v>74257.960000000006</v>
      </c>
      <c r="H151" s="14">
        <v>60856.07</v>
      </c>
      <c r="I151" s="14">
        <v>71709.58</v>
      </c>
      <c r="J151" s="14">
        <v>134465.98000000001</v>
      </c>
      <c r="K151" s="14">
        <v>615436.10000000009</v>
      </c>
      <c r="L151" s="67">
        <f t="shared" si="33"/>
        <v>1613591.7600000002</v>
      </c>
      <c r="M151" s="67">
        <f t="shared" si="34"/>
        <v>1068126.52</v>
      </c>
      <c r="N151" s="67">
        <f t="shared" si="35"/>
        <v>941625.22</v>
      </c>
      <c r="O151" s="1" t="s">
        <v>397</v>
      </c>
    </row>
    <row r="152" spans="1:15" ht="15" customHeight="1" x14ac:dyDescent="0.3">
      <c r="A152" s="12"/>
      <c r="B152" s="13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</row>
    <row r="153" spans="1:15" ht="15" customHeight="1" x14ac:dyDescent="0.3">
      <c r="A153" s="7" t="s">
        <v>258</v>
      </c>
      <c r="B153" s="8" t="s">
        <v>259</v>
      </c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</row>
    <row r="154" spans="1:15" ht="15" customHeight="1" x14ac:dyDescent="0.3">
      <c r="A154" s="7" t="s">
        <v>260</v>
      </c>
      <c r="B154" s="8" t="s">
        <v>283</v>
      </c>
      <c r="C154" s="16">
        <v>55835.519999999997</v>
      </c>
      <c r="D154" s="16">
        <v>52642.3</v>
      </c>
      <c r="E154" s="16">
        <v>65975.789999999994</v>
      </c>
      <c r="F154" s="16">
        <v>48967.26</v>
      </c>
      <c r="G154" s="16">
        <v>61555.21</v>
      </c>
      <c r="H154" s="16">
        <v>74406.12</v>
      </c>
      <c r="I154" s="16">
        <v>52795.16</v>
      </c>
      <c r="J154" s="16">
        <v>66166.509999999995</v>
      </c>
      <c r="K154" s="16">
        <v>478343.87</v>
      </c>
      <c r="L154" s="69">
        <f t="shared" si="33"/>
        <v>793998.11999999988</v>
      </c>
      <c r="M154" s="69">
        <f t="shared" si="34"/>
        <v>773471.15999999992</v>
      </c>
      <c r="N154" s="69">
        <f t="shared" si="35"/>
        <v>739732.1</v>
      </c>
    </row>
    <row r="155" spans="1:15" ht="15" customHeight="1" x14ac:dyDescent="0.3">
      <c r="A155" s="7"/>
      <c r="B155" s="8"/>
      <c r="C155" s="16"/>
      <c r="D155" s="16"/>
      <c r="E155" s="16"/>
      <c r="F155" s="16"/>
      <c r="G155" s="16"/>
      <c r="H155" s="16"/>
      <c r="I155" s="16"/>
      <c r="J155" s="16"/>
      <c r="K155" s="16"/>
      <c r="L155" s="69"/>
      <c r="M155" s="69"/>
      <c r="N155" s="69"/>
    </row>
    <row r="156" spans="1:15" ht="15" customHeight="1" x14ac:dyDescent="0.3">
      <c r="A156" s="12" t="s">
        <v>261</v>
      </c>
      <c r="B156" s="13" t="s">
        <v>262</v>
      </c>
      <c r="C156" s="17">
        <v>55835.519999999997</v>
      </c>
      <c r="D156" s="17">
        <v>52642.3</v>
      </c>
      <c r="E156" s="17">
        <v>65975.789999999994</v>
      </c>
      <c r="F156" s="17">
        <v>48967.26</v>
      </c>
      <c r="G156" s="17">
        <v>61555.21</v>
      </c>
      <c r="H156" s="17">
        <v>74406.12</v>
      </c>
      <c r="I156" s="17">
        <v>52795.16</v>
      </c>
      <c r="J156" s="17">
        <v>66166.509999999995</v>
      </c>
      <c r="K156" s="17">
        <v>478343.87</v>
      </c>
      <c r="L156" s="67">
        <f t="shared" si="33"/>
        <v>793998.11999999988</v>
      </c>
      <c r="M156" s="67">
        <f t="shared" si="34"/>
        <v>773471.15999999992</v>
      </c>
      <c r="N156" s="67">
        <f t="shared" si="35"/>
        <v>739732.1</v>
      </c>
      <c r="O156" s="1" t="s">
        <v>388</v>
      </c>
    </row>
    <row r="157" spans="1:15" ht="15" customHeight="1" x14ac:dyDescent="0.3">
      <c r="A157" s="12"/>
      <c r="B157" s="13"/>
      <c r="C157" s="17"/>
      <c r="D157" s="17"/>
      <c r="E157" s="17"/>
      <c r="F157" s="17"/>
      <c r="G157" s="17"/>
      <c r="H157" s="17"/>
      <c r="I157" s="17"/>
      <c r="J157" s="17"/>
      <c r="K157" s="17"/>
      <c r="L157" s="67"/>
      <c r="M157" s="67"/>
      <c r="N157" s="67"/>
    </row>
    <row r="158" spans="1:15" ht="15" customHeight="1" x14ac:dyDescent="0.3">
      <c r="A158" s="12" t="s">
        <v>263</v>
      </c>
      <c r="B158" s="13" t="s">
        <v>264</v>
      </c>
      <c r="C158" s="17">
        <v>131084.51999999999</v>
      </c>
      <c r="D158" s="17">
        <v>168255.83</v>
      </c>
      <c r="E158" s="17">
        <v>159953.76</v>
      </c>
      <c r="F158" s="17">
        <v>161252.32999999999</v>
      </c>
      <c r="G158" s="17">
        <v>156922.45000000001</v>
      </c>
      <c r="H158" s="17">
        <v>161426.66</v>
      </c>
      <c r="I158" s="17">
        <v>146984.74</v>
      </c>
      <c r="J158" s="17">
        <v>227604.85</v>
      </c>
      <c r="K158" s="17">
        <v>1313485.1400000001</v>
      </c>
      <c r="L158" s="67">
        <f t="shared" si="33"/>
        <v>2731258.2</v>
      </c>
      <c r="M158" s="67">
        <f t="shared" si="34"/>
        <v>2144065</v>
      </c>
      <c r="N158" s="67">
        <f t="shared" si="35"/>
        <v>2028289.5799999998</v>
      </c>
    </row>
    <row r="159" spans="1:15" ht="15" customHeight="1" x14ac:dyDescent="0.3">
      <c r="A159" s="12"/>
      <c r="B159" s="13"/>
      <c r="C159" s="14"/>
      <c r="D159" s="14"/>
      <c r="E159" s="14"/>
      <c r="F159" s="14"/>
      <c r="G159" s="14"/>
      <c r="H159" s="14"/>
      <c r="I159" s="14"/>
      <c r="J159" s="14"/>
      <c r="K159" s="14"/>
      <c r="L159" s="67"/>
      <c r="M159" s="67"/>
      <c r="N159" s="67"/>
    </row>
    <row r="160" spans="1:15" ht="15" customHeight="1" x14ac:dyDescent="0.3">
      <c r="A160" s="12">
        <v>699.99980000000005</v>
      </c>
      <c r="B160" s="13" t="s">
        <v>280</v>
      </c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</row>
    <row r="161" spans="1:14" ht="15" customHeight="1" x14ac:dyDescent="0.3">
      <c r="A161" s="21" t="s">
        <v>273</v>
      </c>
      <c r="B161" s="13" t="s">
        <v>274</v>
      </c>
      <c r="C161" s="17">
        <v>0</v>
      </c>
      <c r="D161" s="17">
        <v>0</v>
      </c>
      <c r="E161" s="17">
        <v>0</v>
      </c>
      <c r="F161" s="17">
        <v>0</v>
      </c>
      <c r="G161" s="17">
        <v>0</v>
      </c>
      <c r="H161" s="17">
        <v>0</v>
      </c>
      <c r="I161" s="17">
        <v>0</v>
      </c>
      <c r="J161" s="17">
        <v>0</v>
      </c>
      <c r="K161" s="17">
        <v>0</v>
      </c>
      <c r="L161" s="67">
        <f t="shared" ref="L161" si="36">IF($K$7="","",J161*12)</f>
        <v>0</v>
      </c>
      <c r="M161" s="67">
        <f t="shared" ref="M161" si="37">IF($K$7="","",SUM(H161:J161)*4)</f>
        <v>0</v>
      </c>
      <c r="N161" s="67">
        <f t="shared" ref="N161" si="38">IF($K$7="","",SUM(E161:J161)*2)</f>
        <v>0</v>
      </c>
    </row>
    <row r="162" spans="1:14" ht="15" customHeight="1" x14ac:dyDescent="0.3">
      <c r="A162" s="12"/>
      <c r="B162" s="13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</row>
    <row r="163" spans="1:14" ht="15" customHeight="1" x14ac:dyDescent="0.3">
      <c r="A163" s="21" t="s">
        <v>275</v>
      </c>
      <c r="B163" s="13" t="s">
        <v>265</v>
      </c>
      <c r="C163" s="17">
        <v>1116805.54</v>
      </c>
      <c r="D163" s="17">
        <v>1013047.67</v>
      </c>
      <c r="E163" s="17">
        <v>1255178.3500000001</v>
      </c>
      <c r="F163" s="17">
        <v>1165268.4099999999</v>
      </c>
      <c r="G163" s="17">
        <v>1276851.3400000001</v>
      </c>
      <c r="H163" s="17">
        <v>1189368.05</v>
      </c>
      <c r="I163" s="17">
        <v>1124942.5900000001</v>
      </c>
      <c r="J163" s="17">
        <v>1116282</v>
      </c>
      <c r="K163" s="17">
        <v>9257743.9499999993</v>
      </c>
      <c r="L163" s="67">
        <f t="shared" si="33"/>
        <v>13395384</v>
      </c>
      <c r="M163" s="67">
        <f t="shared" si="34"/>
        <v>13722370.560000001</v>
      </c>
      <c r="N163" s="67">
        <f t="shared" si="35"/>
        <v>14255781.479999999</v>
      </c>
    </row>
    <row r="164" spans="1:14" ht="15" customHeight="1" x14ac:dyDescent="0.3">
      <c r="A164" s="12"/>
      <c r="B164" s="13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</row>
    <row r="165" spans="1:14" ht="15" customHeight="1" x14ac:dyDescent="0.3">
      <c r="A165" s="21" t="s">
        <v>276</v>
      </c>
      <c r="B165" s="13" t="s">
        <v>266</v>
      </c>
      <c r="C165" s="20">
        <v>612677.92000000004</v>
      </c>
      <c r="D165" s="20">
        <v>879600.34</v>
      </c>
      <c r="E165" s="20">
        <v>1014750.64</v>
      </c>
      <c r="F165" s="20">
        <v>814748.78</v>
      </c>
      <c r="G165" s="20">
        <v>714659.11</v>
      </c>
      <c r="H165" s="20">
        <v>1010041.96</v>
      </c>
      <c r="I165" s="20">
        <v>1009644.3</v>
      </c>
      <c r="J165" s="20">
        <v>1016598.09</v>
      </c>
      <c r="K165" s="20">
        <v>7072721.1399999997</v>
      </c>
      <c r="L165" s="20">
        <f t="shared" si="33"/>
        <v>12199177.08</v>
      </c>
      <c r="M165" s="20">
        <f t="shared" si="34"/>
        <v>12145137.4</v>
      </c>
      <c r="N165" s="20">
        <f t="shared" si="35"/>
        <v>11160885.76</v>
      </c>
    </row>
  </sheetData>
  <mergeCells count="3">
    <mergeCell ref="A1:K1"/>
    <mergeCell ref="A2:K2"/>
    <mergeCell ref="A3:K3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38" max="16383" man="1"/>
  </rowBreaks>
  <ignoredErrors>
    <ignoredError sqref="C11:J11 C13:J13 C19:J19 C21:J21 C27:J27 A11:B14 C29:J29 C40:J40 C56:J56 C58:J58 C63:J63 C65:J65 C70:J70 C72:J72 C93:J93 C95:J95 C97:J97 C99:J99 C101:J101 C104:J104 C106:J106 C113:J113 C124:J124 C143:J143 C145:J145 C153:J153 C33:J34 C42:J43 C120:J121 C4:J6 A4:B9 A15 A16:B31 B165 A34:B44 A151:B151 A153:B153 A156:B156 A158:B158 A59:B112 A58 C31:J31 A46:B57 A45 A113:B115 A117:B117 A118:B149 A116 A15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Retail</vt:lpstr>
      <vt:lpstr>Detailed OpSt</vt:lpstr>
      <vt:lpstr>'Detailed OpSt'!Print_Titles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Spencer Burton</dc:creator>
  <cp:keywords/>
  <dc:description/>
  <cp:lastModifiedBy>David Polnick</cp:lastModifiedBy>
  <dcterms:created xsi:type="dcterms:W3CDTF">2018-09-24T20:22:18Z</dcterms:created>
  <dcterms:modified xsi:type="dcterms:W3CDTF">2026-10-06T17:48:19Z</dcterms:modified>
  <cp:category/>
  <cp:contentStatus/>
</cp:coreProperties>
</file>