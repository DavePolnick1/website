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10. Development Model\"/>
    </mc:Choice>
  </mc:AlternateContent>
  <xr:revisionPtr revIDLastSave="0" documentId="8_{B4DE1612-5499-4D16-8067-C83EFCADD25A}" xr6:coauthVersionLast="47" xr6:coauthVersionMax="47" xr10:uidLastSave="{00000000-0000-0000-0000-000000000000}"/>
  <bookViews>
    <workbookView xWindow="-108" yWindow="-108" windowWidth="23256" windowHeight="12456" activeTab="1" xr2:uid="{AF2AA87E-8B14-475E-BCF8-6C2CD25F4FDF}"/>
  </bookViews>
  <sheets>
    <sheet name="Cover Page" sheetId="7" r:id="rId1"/>
    <sheet name="Summary" sheetId="4" r:id="rId2"/>
    <sheet name="Area" sheetId="1" r:id="rId3"/>
    <sheet name="Budget" sheetId="2" r:id="rId4"/>
    <sheet name="MonthlyCF" sheetId="3" r:id="rId5"/>
    <sheet name="OpProj" sheetId="6" r:id="rId6"/>
  </sheets>
  <definedNames>
    <definedName name="_xlnm.Print_Area" localSheetId="2">Area!$A$1:$L$43</definedName>
    <definedName name="solver_adj" localSheetId="1" hidden="1">Summary!$M$43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Summary!$M$44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0.6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60" i="3" l="1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60" i="3"/>
  <c r="K56" i="3"/>
  <c r="BP59" i="3"/>
  <c r="AX59" i="3"/>
  <c r="AW59" i="3"/>
  <c r="BS58" i="3"/>
  <c r="BS59" i="3" s="1"/>
  <c r="BR58" i="3"/>
  <c r="BR59" i="3" s="1"/>
  <c r="BQ58" i="3"/>
  <c r="BQ59" i="3" s="1"/>
  <c r="BP58" i="3"/>
  <c r="BO58" i="3"/>
  <c r="BO59" i="3" s="1"/>
  <c r="BN58" i="3"/>
  <c r="BN59" i="3" s="1"/>
  <c r="BM58" i="3"/>
  <c r="BM59" i="3" s="1"/>
  <c r="BL58" i="3"/>
  <c r="BL59" i="3" s="1"/>
  <c r="BK58" i="3"/>
  <c r="BK59" i="3" s="1"/>
  <c r="BJ58" i="3"/>
  <c r="BJ59" i="3" s="1"/>
  <c r="BI58" i="3"/>
  <c r="BI59" i="3" s="1"/>
  <c r="BH58" i="3"/>
  <c r="BH59" i="3" s="1"/>
  <c r="BG58" i="3"/>
  <c r="BG59" i="3" s="1"/>
  <c r="BF58" i="3"/>
  <c r="BF59" i="3" s="1"/>
  <c r="BE58" i="3"/>
  <c r="BE59" i="3" s="1"/>
  <c r="BD58" i="3"/>
  <c r="BD59" i="3" s="1"/>
  <c r="BC58" i="3"/>
  <c r="BC59" i="3" s="1"/>
  <c r="BB58" i="3"/>
  <c r="BB59" i="3" s="1"/>
  <c r="BA58" i="3"/>
  <c r="BA59" i="3" s="1"/>
  <c r="AZ58" i="3"/>
  <c r="AZ59" i="3" s="1"/>
  <c r="AY58" i="3"/>
  <c r="AY59" i="3" s="1"/>
  <c r="AX58" i="3"/>
  <c r="AW58" i="3"/>
  <c r="AV58" i="3"/>
  <c r="AV59" i="3" s="1"/>
  <c r="AU58" i="3"/>
  <c r="AU59" i="3" s="1"/>
  <c r="AT58" i="3"/>
  <c r="AT59" i="3" s="1"/>
  <c r="AS58" i="3"/>
  <c r="AS59" i="3" s="1"/>
  <c r="AR58" i="3"/>
  <c r="AR59" i="3" s="1"/>
  <c r="AQ58" i="3"/>
  <c r="AQ59" i="3" s="1"/>
  <c r="AP58" i="3"/>
  <c r="AP59" i="3" s="1"/>
  <c r="AO58" i="3"/>
  <c r="AO59" i="3" s="1"/>
  <c r="AN58" i="3"/>
  <c r="AN59" i="3" s="1"/>
  <c r="AM58" i="3"/>
  <c r="AM59" i="3" s="1"/>
  <c r="AL58" i="3"/>
  <c r="AL59" i="3" s="1"/>
  <c r="AK58" i="3"/>
  <c r="AK59" i="3" s="1"/>
  <c r="AJ58" i="3"/>
  <c r="AJ59" i="3" s="1"/>
  <c r="AI58" i="3"/>
  <c r="AI59" i="3" s="1"/>
  <c r="AH58" i="3"/>
  <c r="AH59" i="3" s="1"/>
  <c r="AG58" i="3"/>
  <c r="AG59" i="3" s="1"/>
  <c r="AF58" i="3"/>
  <c r="AF59" i="3" s="1"/>
  <c r="AE58" i="3"/>
  <c r="AE59" i="3" s="1"/>
  <c r="AD58" i="3"/>
  <c r="AD59" i="3" s="1"/>
  <c r="AC58" i="3"/>
  <c r="AC59" i="3" s="1"/>
  <c r="AB58" i="3"/>
  <c r="AB59" i="3" s="1"/>
  <c r="AA58" i="3"/>
  <c r="AA59" i="3" s="1"/>
  <c r="Z58" i="3"/>
  <c r="Z59" i="3" s="1"/>
  <c r="Y58" i="3"/>
  <c r="Y59" i="3" s="1"/>
  <c r="X58" i="3"/>
  <c r="X59" i="3" s="1"/>
  <c r="W58" i="3"/>
  <c r="W59" i="3" s="1"/>
  <c r="V58" i="3"/>
  <c r="V59" i="3" s="1"/>
  <c r="U58" i="3"/>
  <c r="U59" i="3" s="1"/>
  <c r="T58" i="3"/>
  <c r="T59" i="3" s="1"/>
  <c r="S58" i="3"/>
  <c r="S59" i="3" s="1"/>
  <c r="R58" i="3"/>
  <c r="R59" i="3" s="1"/>
  <c r="Q58" i="3"/>
  <c r="Q59" i="3" s="1"/>
  <c r="P58" i="3"/>
  <c r="P59" i="3" s="1"/>
  <c r="O58" i="3"/>
  <c r="O59" i="3" s="1"/>
  <c r="N58" i="3"/>
  <c r="N59" i="3" s="1"/>
  <c r="M58" i="3"/>
  <c r="M59" i="3" s="1"/>
  <c r="L58" i="3"/>
  <c r="L59" i="3" s="1"/>
  <c r="K58" i="3"/>
  <c r="K59" i="3" s="1"/>
  <c r="K9" i="3"/>
  <c r="E30" i="3"/>
  <c r="F28" i="3"/>
  <c r="F27" i="3"/>
  <c r="E25" i="3"/>
  <c r="E33" i="3" s="1"/>
  <c r="E23" i="3"/>
  <c r="E34" i="3" s="1"/>
  <c r="E21" i="3"/>
  <c r="E20" i="3"/>
  <c r="C34" i="3"/>
  <c r="C27" i="3"/>
  <c r="C23" i="3"/>
  <c r="C21" i="3"/>
  <c r="C20" i="3"/>
  <c r="M22" i="4"/>
  <c r="L22" i="4"/>
  <c r="K22" i="4"/>
  <c r="M20" i="4"/>
  <c r="L20" i="4"/>
  <c r="K20" i="4"/>
  <c r="M19" i="4"/>
  <c r="L19" i="4"/>
  <c r="K19" i="4"/>
  <c r="M18" i="4"/>
  <c r="L18" i="4"/>
  <c r="K18" i="4"/>
  <c r="J18" i="4"/>
  <c r="G39" i="4"/>
  <c r="F21" i="4"/>
  <c r="E21" i="4"/>
  <c r="G21" i="4" s="1"/>
  <c r="E19" i="4"/>
  <c r="G19" i="4" s="1"/>
  <c r="F19" i="4"/>
  <c r="F18" i="4"/>
  <c r="E18" i="4"/>
  <c r="G18" i="4" s="1"/>
  <c r="F16" i="4"/>
  <c r="G16" i="4" s="1"/>
  <c r="E16" i="4"/>
  <c r="F53" i="2"/>
  <c r="E53" i="2"/>
  <c r="G16" i="2"/>
  <c r="F16" i="2"/>
  <c r="E16" i="2"/>
  <c r="G47" i="2"/>
  <c r="F47" i="2"/>
  <c r="E47" i="2"/>
  <c r="G14" i="2"/>
  <c r="F14" i="2"/>
  <c r="G13" i="2"/>
  <c r="F13" i="2"/>
  <c r="E14" i="2"/>
  <c r="E13" i="2"/>
  <c r="G41" i="2"/>
  <c r="F41" i="2"/>
  <c r="E41" i="2"/>
  <c r="G39" i="2"/>
  <c r="F39" i="2"/>
  <c r="E39" i="2"/>
  <c r="G38" i="2"/>
  <c r="F38" i="2"/>
  <c r="E38" i="2"/>
  <c r="G37" i="2"/>
  <c r="F37" i="2"/>
  <c r="E37" i="2"/>
  <c r="G43" i="2"/>
  <c r="G42" i="2"/>
  <c r="E43" i="2"/>
  <c r="E42" i="2"/>
  <c r="E29" i="2"/>
  <c r="E30" i="2" s="1"/>
  <c r="G30" i="2" s="1"/>
  <c r="G24" i="2"/>
  <c r="F24" i="2"/>
  <c r="M38" i="4"/>
  <c r="M37" i="4"/>
  <c r="M36" i="4"/>
  <c r="M35" i="4"/>
  <c r="M34" i="4"/>
  <c r="M33" i="4"/>
  <c r="G34" i="4" s="1"/>
  <c r="E45" i="2" s="1"/>
  <c r="M32" i="4"/>
  <c r="M31" i="4"/>
  <c r="M30" i="4"/>
  <c r="C10" i="1"/>
  <c r="C11" i="1"/>
  <c r="C15" i="1"/>
  <c r="C14" i="1"/>
  <c r="C12" i="1"/>
  <c r="C13" i="1"/>
  <c r="C17" i="1" a="1"/>
  <c r="C17" i="1" s="1"/>
  <c r="C16" i="1" a="1"/>
  <c r="C16" i="1" s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J16" i="6"/>
  <c r="F36" i="3" l="1"/>
  <c r="G29" i="2"/>
  <c r="E31" i="2"/>
  <c r="G31" i="2" s="1"/>
  <c r="BB61" i="3"/>
  <c r="BC61" i="3"/>
  <c r="BD61" i="3"/>
  <c r="BE61" i="3"/>
  <c r="Y61" i="3"/>
  <c r="BF61" i="3"/>
  <c r="G45" i="2"/>
  <c r="G15" i="2" s="1"/>
  <c r="M21" i="4" s="1"/>
  <c r="F45" i="2"/>
  <c r="F15" i="2" s="1"/>
  <c r="L21" i="4" s="1"/>
  <c r="E15" i="2"/>
  <c r="L61" i="3"/>
  <c r="BH61" i="3"/>
  <c r="AR61" i="3"/>
  <c r="K10" i="3"/>
  <c r="L10" i="3" s="1"/>
  <c r="M10" i="3" s="1"/>
  <c r="N10" i="3" s="1"/>
  <c r="AA61" i="3"/>
  <c r="F20" i="3"/>
  <c r="G20" i="3" s="1"/>
  <c r="L20" i="3" s="1"/>
  <c r="F21" i="3"/>
  <c r="C22" i="4"/>
  <c r="F23" i="3"/>
  <c r="F34" i="3" s="1"/>
  <c r="G34" i="3" s="1"/>
  <c r="BG61" i="3"/>
  <c r="AB61" i="3"/>
  <c r="AQ61" i="3"/>
  <c r="BA61" i="3"/>
  <c r="K61" i="3"/>
  <c r="K63" i="3" s="1"/>
  <c r="K41" i="3" s="1"/>
  <c r="Z61" i="3"/>
  <c r="AP61" i="3"/>
  <c r="AJ61" i="3"/>
  <c r="AK61" i="3"/>
  <c r="AI61" i="3"/>
  <c r="AM61" i="3"/>
  <c r="AG61" i="3"/>
  <c r="AL61" i="3"/>
  <c r="AO61" i="3"/>
  <c r="AH61" i="3"/>
  <c r="AN61" i="3"/>
  <c r="X61" i="3"/>
  <c r="BM61" i="3"/>
  <c r="BN61" i="3"/>
  <c r="Q61" i="3"/>
  <c r="BO61" i="3"/>
  <c r="R61" i="3"/>
  <c r="BP61" i="3"/>
  <c r="T61" i="3"/>
  <c r="BR61" i="3"/>
  <c r="BQ61" i="3"/>
  <c r="M61" i="3"/>
  <c r="AC61" i="3"/>
  <c r="AS61" i="3"/>
  <c r="BI61" i="3"/>
  <c r="U61" i="3"/>
  <c r="AW61" i="3"/>
  <c r="BS61" i="3"/>
  <c r="N61" i="3"/>
  <c r="AD61" i="3"/>
  <c r="AT61" i="3"/>
  <c r="BJ61" i="3"/>
  <c r="V61" i="3"/>
  <c r="AX61" i="3"/>
  <c r="S61" i="3"/>
  <c r="O61" i="3"/>
  <c r="AE61" i="3"/>
  <c r="AU61" i="3"/>
  <c r="BK61" i="3"/>
  <c r="W61" i="3"/>
  <c r="AY61" i="3"/>
  <c r="P61" i="3"/>
  <c r="AF61" i="3"/>
  <c r="AV61" i="3"/>
  <c r="BL61" i="3"/>
  <c r="AZ61" i="3"/>
  <c r="L9" i="3"/>
  <c r="L27" i="3"/>
  <c r="M9" i="3"/>
  <c r="L8" i="3"/>
  <c r="F38" i="3"/>
  <c r="G36" i="3"/>
  <c r="F30" i="2"/>
  <c r="C27" i="4"/>
  <c r="F31" i="2" l="1"/>
  <c r="E28" i="2"/>
  <c r="E11" i="2" s="1"/>
  <c r="F28" i="2"/>
  <c r="F11" i="2" s="1"/>
  <c r="L17" i="4" s="1"/>
  <c r="G28" i="2"/>
  <c r="G11" i="2" s="1"/>
  <c r="M17" i="4" s="1"/>
  <c r="L34" i="3"/>
  <c r="G21" i="3"/>
  <c r="L21" i="3" s="1"/>
  <c r="C25" i="3"/>
  <c r="L25" i="3" s="1"/>
  <c r="K21" i="4"/>
  <c r="F22" i="4"/>
  <c r="E22" i="4"/>
  <c r="G22" i="4" s="1"/>
  <c r="G23" i="3"/>
  <c r="L23" i="3" s="1"/>
  <c r="G27" i="4"/>
  <c r="E28" i="4"/>
  <c r="G28" i="4" s="1"/>
  <c r="E38" i="3"/>
  <c r="G38" i="3" s="1"/>
  <c r="N9" i="3"/>
  <c r="M21" i="3"/>
  <c r="M27" i="3"/>
  <c r="M20" i="3"/>
  <c r="M8" i="3"/>
  <c r="M34" i="3"/>
  <c r="O10" i="3"/>
  <c r="G15" i="4"/>
  <c r="E15" i="4"/>
  <c r="M23" i="3" l="1"/>
  <c r="K17" i="4"/>
  <c r="C13" i="3"/>
  <c r="M25" i="3"/>
  <c r="P10" i="3"/>
  <c r="O9" i="3"/>
  <c r="N27" i="3"/>
  <c r="N23" i="3"/>
  <c r="N25" i="3"/>
  <c r="N8" i="3"/>
  <c r="N20" i="3"/>
  <c r="N21" i="3"/>
  <c r="N34" i="3"/>
  <c r="M50" i="4"/>
  <c r="E12" i="6"/>
  <c r="K13" i="3" l="1"/>
  <c r="I13" i="3"/>
  <c r="O30" i="3"/>
  <c r="Q10" i="3"/>
  <c r="P9" i="3"/>
  <c r="O27" i="3"/>
  <c r="O23" i="3"/>
  <c r="O25" i="3"/>
  <c r="O21" i="3"/>
  <c r="O8" i="3"/>
  <c r="O34" i="3"/>
  <c r="O20" i="3"/>
  <c r="B15" i="2"/>
  <c r="I21" i="4" s="1"/>
  <c r="K39" i="3" l="1"/>
  <c r="L30" i="3"/>
  <c r="M30" i="3"/>
  <c r="N30" i="3"/>
  <c r="R10" i="3"/>
  <c r="Q9" i="3"/>
  <c r="P27" i="3"/>
  <c r="P23" i="3"/>
  <c r="P34" i="3"/>
  <c r="P25" i="3"/>
  <c r="P8" i="3"/>
  <c r="P21" i="3"/>
  <c r="P20" i="3"/>
  <c r="P30" i="3"/>
  <c r="H21" i="6"/>
  <c r="I38" i="4"/>
  <c r="I37" i="4"/>
  <c r="I36" i="4"/>
  <c r="I35" i="4"/>
  <c r="I34" i="4"/>
  <c r="I33" i="4"/>
  <c r="I32" i="4"/>
  <c r="I31" i="4"/>
  <c r="I30" i="4"/>
  <c r="H20" i="6"/>
  <c r="I27" i="4"/>
  <c r="I26" i="4"/>
  <c r="I25" i="4"/>
  <c r="I24" i="4"/>
  <c r="I23" i="4"/>
  <c r="I22" i="4"/>
  <c r="I20" i="4"/>
  <c r="I19" i="4"/>
  <c r="I18" i="4"/>
  <c r="I17" i="4"/>
  <c r="F23" i="4"/>
  <c r="B25" i="3"/>
  <c r="Q30" i="3" l="1"/>
  <c r="R9" i="3"/>
  <c r="Q27" i="3"/>
  <c r="Q23" i="3"/>
  <c r="Q34" i="3"/>
  <c r="Q25" i="3"/>
  <c r="Q21" i="3"/>
  <c r="Q8" i="3"/>
  <c r="Q20" i="3"/>
  <c r="S10" i="3"/>
  <c r="R30" i="3"/>
  <c r="B36" i="3"/>
  <c r="B34" i="3"/>
  <c r="B33" i="3"/>
  <c r="B32" i="3"/>
  <c r="B30" i="3"/>
  <c r="B27" i="3"/>
  <c r="B23" i="3"/>
  <c r="B21" i="3"/>
  <c r="B20" i="3"/>
  <c r="B19" i="3"/>
  <c r="B17" i="3"/>
  <c r="B16" i="3"/>
  <c r="B15" i="3"/>
  <c r="T10" i="3" l="1"/>
  <c r="S9" i="3"/>
  <c r="R34" i="3"/>
  <c r="R23" i="3"/>
  <c r="R21" i="3"/>
  <c r="R27" i="3"/>
  <c r="R8" i="3"/>
  <c r="R20" i="3"/>
  <c r="R25" i="3"/>
  <c r="J14" i="6"/>
  <c r="T9" i="3" l="1"/>
  <c r="S34" i="3"/>
  <c r="S23" i="3"/>
  <c r="S25" i="3"/>
  <c r="S27" i="3"/>
  <c r="S8" i="3"/>
  <c r="S21" i="3"/>
  <c r="S20" i="3"/>
  <c r="S30" i="3"/>
  <c r="U10" i="3"/>
  <c r="T30" i="3"/>
  <c r="K14" i="6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EK14" i="6" s="1"/>
  <c r="P67" i="3" l="1"/>
  <c r="N68" i="3"/>
  <c r="N69" i="3" s="1"/>
  <c r="P68" i="3"/>
  <c r="P69" i="3" s="1"/>
  <c r="O67" i="3"/>
  <c r="O68" i="3"/>
  <c r="O69" i="3" s="1"/>
  <c r="N67" i="3"/>
  <c r="N70" i="3" s="1"/>
  <c r="L68" i="3"/>
  <c r="L69" i="3" s="1"/>
  <c r="L67" i="3"/>
  <c r="S68" i="3"/>
  <c r="S69" i="3" s="1"/>
  <c r="S67" i="3"/>
  <c r="T68" i="3"/>
  <c r="T69" i="3" s="1"/>
  <c r="Q67" i="3"/>
  <c r="Q68" i="3"/>
  <c r="Q69" i="3" s="1"/>
  <c r="M67" i="3"/>
  <c r="M68" i="3"/>
  <c r="M69" i="3" s="1"/>
  <c r="K67" i="3"/>
  <c r="K68" i="3"/>
  <c r="R68" i="3"/>
  <c r="R69" i="3" s="1"/>
  <c r="R67" i="3"/>
  <c r="V10" i="3"/>
  <c r="U9" i="3"/>
  <c r="U68" i="3" s="1"/>
  <c r="U69" i="3" s="1"/>
  <c r="T34" i="3"/>
  <c r="T67" i="3"/>
  <c r="T27" i="3"/>
  <c r="T21" i="3"/>
  <c r="T8" i="3"/>
  <c r="T20" i="3"/>
  <c r="T25" i="3"/>
  <c r="T23" i="3"/>
  <c r="G23" i="4"/>
  <c r="D23" i="4" s="1"/>
  <c r="R70" i="3" l="1"/>
  <c r="L70" i="3"/>
  <c r="M70" i="3"/>
  <c r="S70" i="3"/>
  <c r="O70" i="3"/>
  <c r="T70" i="3"/>
  <c r="Q70" i="3"/>
  <c r="K69" i="3"/>
  <c r="K70" i="3" s="1"/>
  <c r="K73" i="3" s="1"/>
  <c r="P70" i="3"/>
  <c r="V9" i="3"/>
  <c r="V68" i="3" s="1"/>
  <c r="V69" i="3" s="1"/>
  <c r="U34" i="3"/>
  <c r="U8" i="3"/>
  <c r="U67" i="3"/>
  <c r="U70" i="3" s="1"/>
  <c r="U20" i="3"/>
  <c r="U27" i="3"/>
  <c r="U23" i="3"/>
  <c r="U21" i="3"/>
  <c r="U25" i="3"/>
  <c r="U30" i="3"/>
  <c r="W10" i="3"/>
  <c r="J15" i="6"/>
  <c r="K16" i="6"/>
  <c r="V30" i="3" l="1"/>
  <c r="X10" i="3"/>
  <c r="W9" i="3"/>
  <c r="W68" i="3" s="1"/>
  <c r="W69" i="3" s="1"/>
  <c r="V67" i="3"/>
  <c r="V70" i="3" s="1"/>
  <c r="V25" i="3"/>
  <c r="V8" i="3"/>
  <c r="V20" i="3"/>
  <c r="V21" i="3"/>
  <c r="V27" i="3"/>
  <c r="V34" i="3"/>
  <c r="V23" i="3"/>
  <c r="W30" i="3" s="1"/>
  <c r="J17" i="6"/>
  <c r="J21" i="6"/>
  <c r="J26" i="6"/>
  <c r="J20" i="6" s="1"/>
  <c r="L16" i="6"/>
  <c r="K15" i="6"/>
  <c r="X9" i="3" l="1"/>
  <c r="X68" i="3" s="1"/>
  <c r="X69" i="3" s="1"/>
  <c r="W67" i="3"/>
  <c r="W70" i="3" s="1"/>
  <c r="W8" i="3"/>
  <c r="W25" i="3"/>
  <c r="W20" i="3"/>
  <c r="W21" i="3"/>
  <c r="W27" i="3"/>
  <c r="W34" i="3"/>
  <c r="W23" i="3"/>
  <c r="X30" i="3" s="1"/>
  <c r="Y10" i="3"/>
  <c r="M16" i="6"/>
  <c r="L15" i="6"/>
  <c r="J18" i="6"/>
  <c r="K21" i="6"/>
  <c r="K17" i="6"/>
  <c r="K18" i="6" s="1"/>
  <c r="K19" i="6" s="1"/>
  <c r="K26" i="6"/>
  <c r="K20" i="6" s="1"/>
  <c r="Z10" i="3" l="1"/>
  <c r="Y9" i="3"/>
  <c r="Y68" i="3" s="1"/>
  <c r="Y69" i="3" s="1"/>
  <c r="X8" i="3"/>
  <c r="X21" i="3"/>
  <c r="X20" i="3"/>
  <c r="X25" i="3"/>
  <c r="X67" i="3"/>
  <c r="X70" i="3" s="1"/>
  <c r="X34" i="3"/>
  <c r="X27" i="3"/>
  <c r="X23" i="3"/>
  <c r="K22" i="6"/>
  <c r="K23" i="6" s="1"/>
  <c r="K24" i="6" s="1"/>
  <c r="K27" i="6" s="1"/>
  <c r="L21" i="6"/>
  <c r="L26" i="6"/>
  <c r="L20" i="6" s="1"/>
  <c r="L17" i="6"/>
  <c r="M15" i="6"/>
  <c r="N16" i="6"/>
  <c r="J19" i="6"/>
  <c r="J22" i="6" s="1"/>
  <c r="J23" i="6" s="1"/>
  <c r="J24" i="6" s="1"/>
  <c r="J27" i="6" s="1"/>
  <c r="Z9" i="3" l="1"/>
  <c r="Z68" i="3" s="1"/>
  <c r="Z69" i="3" s="1"/>
  <c r="Y8" i="3"/>
  <c r="Y20" i="3"/>
  <c r="Y25" i="3"/>
  <c r="Y21" i="3"/>
  <c r="Y27" i="3"/>
  <c r="Y23" i="3"/>
  <c r="Y67" i="3"/>
  <c r="Y70" i="3" s="1"/>
  <c r="Y34" i="3"/>
  <c r="AA10" i="3"/>
  <c r="Y30" i="3"/>
  <c r="L18" i="6"/>
  <c r="O16" i="6"/>
  <c r="N15" i="6"/>
  <c r="M26" i="6"/>
  <c r="M20" i="6" s="1"/>
  <c r="M17" i="6"/>
  <c r="M21" i="6"/>
  <c r="AB10" i="3" l="1"/>
  <c r="AA9" i="3"/>
  <c r="AA68" i="3" s="1"/>
  <c r="AA69" i="3" s="1"/>
  <c r="Z20" i="3"/>
  <c r="Z25" i="3"/>
  <c r="Z21" i="3"/>
  <c r="Z34" i="3"/>
  <c r="Z8" i="3"/>
  <c r="Z67" i="3"/>
  <c r="Z70" i="3" s="1"/>
  <c r="Z23" i="3"/>
  <c r="Z27" i="3"/>
  <c r="Z30" i="3"/>
  <c r="L19" i="6"/>
  <c r="L22" i="6" s="1"/>
  <c r="L23" i="6" s="1"/>
  <c r="L24" i="6" s="1"/>
  <c r="L27" i="6" s="1"/>
  <c r="N17" i="6"/>
  <c r="N18" i="6" s="1"/>
  <c r="N19" i="6" s="1"/>
  <c r="N26" i="6"/>
  <c r="N20" i="6" s="1"/>
  <c r="N21" i="6"/>
  <c r="O15" i="6"/>
  <c r="P16" i="6"/>
  <c r="M18" i="6"/>
  <c r="H18" i="6" s="1"/>
  <c r="AA30" i="3" l="1"/>
  <c r="AC10" i="3"/>
  <c r="AB9" i="3"/>
  <c r="AB68" i="3" s="1"/>
  <c r="AB69" i="3" s="1"/>
  <c r="AA25" i="3"/>
  <c r="AA21" i="3"/>
  <c r="AA67" i="3"/>
  <c r="AA70" i="3" s="1"/>
  <c r="AA8" i="3"/>
  <c r="AA34" i="3"/>
  <c r="AA20" i="3"/>
  <c r="AA23" i="3"/>
  <c r="AA27" i="3"/>
  <c r="M19" i="6"/>
  <c r="M22" i="6" s="1"/>
  <c r="M23" i="6" s="1"/>
  <c r="M24" i="6" s="1"/>
  <c r="M27" i="6" s="1"/>
  <c r="N22" i="6"/>
  <c r="N23" i="6" s="1"/>
  <c r="N24" i="6" s="1"/>
  <c r="N27" i="6" s="1"/>
  <c r="O17" i="6"/>
  <c r="O18" i="6" s="1"/>
  <c r="O19" i="6" s="1"/>
  <c r="O21" i="6"/>
  <c r="O26" i="6"/>
  <c r="O20" i="6" s="1"/>
  <c r="P15" i="6"/>
  <c r="Q16" i="6"/>
  <c r="AB30" i="3" l="1"/>
  <c r="AC9" i="3"/>
  <c r="AC68" i="3" s="1"/>
  <c r="AC69" i="3" s="1"/>
  <c r="AB21" i="3"/>
  <c r="AB23" i="3"/>
  <c r="AB27" i="3"/>
  <c r="AB67" i="3"/>
  <c r="AB70" i="3" s="1"/>
  <c r="AB8" i="3"/>
  <c r="AB34" i="3"/>
  <c r="AB20" i="3"/>
  <c r="AB25" i="3"/>
  <c r="AD10" i="3"/>
  <c r="AC30" i="3"/>
  <c r="O22" i="6"/>
  <c r="O23" i="6" s="1"/>
  <c r="O24" i="6" s="1"/>
  <c r="O27" i="6" s="1"/>
  <c r="P26" i="6"/>
  <c r="P20" i="6" s="1"/>
  <c r="P17" i="6"/>
  <c r="P21" i="6"/>
  <c r="Q15" i="6"/>
  <c r="R16" i="6"/>
  <c r="AE10" i="3" l="1"/>
  <c r="AD9" i="3"/>
  <c r="AD68" i="3" s="1"/>
  <c r="AD69" i="3" s="1"/>
  <c r="AC21" i="3"/>
  <c r="AC27" i="3"/>
  <c r="AC23" i="3"/>
  <c r="AD30" i="3" s="1"/>
  <c r="AC8" i="3"/>
  <c r="AC20" i="3"/>
  <c r="AC34" i="3"/>
  <c r="AC25" i="3"/>
  <c r="AC67" i="3"/>
  <c r="AC70" i="3" s="1"/>
  <c r="P18" i="6"/>
  <c r="P19" i="6" s="1"/>
  <c r="P22" i="6" s="1"/>
  <c r="P23" i="6" s="1"/>
  <c r="P24" i="6" s="1"/>
  <c r="P27" i="6" s="1"/>
  <c r="S16" i="6"/>
  <c r="R15" i="6"/>
  <c r="Q21" i="6"/>
  <c r="Q17" i="6"/>
  <c r="Q18" i="6" s="1"/>
  <c r="Q19" i="6" s="1"/>
  <c r="Q26" i="6"/>
  <c r="Q20" i="6" s="1"/>
  <c r="AE9" i="3" l="1"/>
  <c r="AE68" i="3" s="1"/>
  <c r="AE69" i="3" s="1"/>
  <c r="AD27" i="3"/>
  <c r="AD23" i="3"/>
  <c r="AD34" i="3"/>
  <c r="AD8" i="3"/>
  <c r="AD20" i="3"/>
  <c r="AD21" i="3"/>
  <c r="AD25" i="3"/>
  <c r="AD67" i="3"/>
  <c r="AD70" i="3" s="1"/>
  <c r="AF10" i="3"/>
  <c r="AE30" i="3"/>
  <c r="Q22" i="6"/>
  <c r="Q23" i="6" s="1"/>
  <c r="Q24" i="6" s="1"/>
  <c r="Q27" i="6" s="1"/>
  <c r="S15" i="6"/>
  <c r="T16" i="6"/>
  <c r="R21" i="6"/>
  <c r="R17" i="6"/>
  <c r="R18" i="6" s="1"/>
  <c r="R19" i="6" s="1"/>
  <c r="R26" i="6"/>
  <c r="R20" i="6" s="1"/>
  <c r="AG10" i="3" l="1"/>
  <c r="AF9" i="3"/>
  <c r="AF68" i="3" s="1"/>
  <c r="AF69" i="3" s="1"/>
  <c r="AE27" i="3"/>
  <c r="AE23" i="3"/>
  <c r="AE67" i="3"/>
  <c r="AE70" i="3" s="1"/>
  <c r="AE34" i="3"/>
  <c r="AE20" i="3"/>
  <c r="AE8" i="3"/>
  <c r="AE25" i="3"/>
  <c r="AE21" i="3"/>
  <c r="R22" i="6"/>
  <c r="R23" i="6" s="1"/>
  <c r="R24" i="6" s="1"/>
  <c r="R27" i="6" s="1"/>
  <c r="U16" i="6"/>
  <c r="T15" i="6"/>
  <c r="S26" i="6"/>
  <c r="S20" i="6" s="1"/>
  <c r="S17" i="6"/>
  <c r="S18" i="6" s="1"/>
  <c r="S19" i="6" s="1"/>
  <c r="S21" i="6"/>
  <c r="AG9" i="3" l="1"/>
  <c r="AG68" i="3" s="1"/>
  <c r="AG69" i="3" s="1"/>
  <c r="AF27" i="3"/>
  <c r="AF23" i="3"/>
  <c r="AF34" i="3"/>
  <c r="AF67" i="3"/>
  <c r="AF70" i="3" s="1"/>
  <c r="AF20" i="3"/>
  <c r="AF8" i="3"/>
  <c r="AF25" i="3"/>
  <c r="AF21" i="3"/>
  <c r="AF30" i="3"/>
  <c r="AH10" i="3"/>
  <c r="S22" i="6"/>
  <c r="S23" i="6" s="1"/>
  <c r="S24" i="6" s="1"/>
  <c r="S27" i="6" s="1"/>
  <c r="T21" i="6"/>
  <c r="T17" i="6"/>
  <c r="T18" i="6" s="1"/>
  <c r="T19" i="6" s="1"/>
  <c r="T26" i="6"/>
  <c r="T20" i="6" s="1"/>
  <c r="U15" i="6"/>
  <c r="V16" i="6"/>
  <c r="AG30" i="3" l="1"/>
  <c r="AI10" i="3"/>
  <c r="AH9" i="3"/>
  <c r="AH68" i="3" s="1"/>
  <c r="AH69" i="3" s="1"/>
  <c r="AG27" i="3"/>
  <c r="AG23" i="3"/>
  <c r="AG34" i="3"/>
  <c r="AG67" i="3"/>
  <c r="AG70" i="3" s="1"/>
  <c r="AG25" i="3"/>
  <c r="AG20" i="3"/>
  <c r="AG8" i="3"/>
  <c r="AG21" i="3"/>
  <c r="T22" i="6"/>
  <c r="T23" i="6" s="1"/>
  <c r="T24" i="6" s="1"/>
  <c r="T27" i="6" s="1"/>
  <c r="U26" i="6"/>
  <c r="U20" i="6" s="1"/>
  <c r="U21" i="6"/>
  <c r="U17" i="6"/>
  <c r="H17" i="6" s="1"/>
  <c r="H19" i="6" s="1"/>
  <c r="H22" i="6" s="1"/>
  <c r="H23" i="6" s="1"/>
  <c r="H24" i="6" s="1"/>
  <c r="H27" i="6" s="1"/>
  <c r="W16" i="6"/>
  <c r="V15" i="6"/>
  <c r="AI9" i="3" l="1"/>
  <c r="AI68" i="3" s="1"/>
  <c r="AI69" i="3" s="1"/>
  <c r="AH67" i="3"/>
  <c r="AH70" i="3" s="1"/>
  <c r="AH34" i="3"/>
  <c r="AH20" i="3"/>
  <c r="AH25" i="3"/>
  <c r="AH8" i="3"/>
  <c r="AH23" i="3"/>
  <c r="AI30" i="3" s="1"/>
  <c r="AH21" i="3"/>
  <c r="AH27" i="3"/>
  <c r="AH30" i="3"/>
  <c r="AJ10" i="3"/>
  <c r="V26" i="6"/>
  <c r="V20" i="6" s="1"/>
  <c r="V17" i="6"/>
  <c r="V18" i="6" s="1"/>
  <c r="V19" i="6" s="1"/>
  <c r="V21" i="6"/>
  <c r="W15" i="6"/>
  <c r="X16" i="6"/>
  <c r="U18" i="6"/>
  <c r="U19" i="6" s="1"/>
  <c r="U22" i="6" s="1"/>
  <c r="U23" i="6" s="1"/>
  <c r="U24" i="6" s="1"/>
  <c r="U27" i="6" s="1"/>
  <c r="AK10" i="3" l="1"/>
  <c r="AJ9" i="3"/>
  <c r="AJ68" i="3" s="1"/>
  <c r="AJ69" i="3" s="1"/>
  <c r="AI34" i="3"/>
  <c r="AI67" i="3"/>
  <c r="AI70" i="3" s="1"/>
  <c r="AI8" i="3"/>
  <c r="AI25" i="3"/>
  <c r="AI20" i="3"/>
  <c r="AI23" i="3"/>
  <c r="AI27" i="3"/>
  <c r="AI21" i="3"/>
  <c r="J29" i="6"/>
  <c r="V22" i="6"/>
  <c r="V23" i="6" s="1"/>
  <c r="V24" i="6" s="1"/>
  <c r="V27" i="6" s="1"/>
  <c r="K29" i="6" s="1"/>
  <c r="W17" i="6"/>
  <c r="W18" i="6" s="1"/>
  <c r="W19" i="6" s="1"/>
  <c r="W21" i="6"/>
  <c r="W26" i="6"/>
  <c r="W20" i="6" s="1"/>
  <c r="X15" i="6"/>
  <c r="Y16" i="6"/>
  <c r="AK9" i="3" l="1"/>
  <c r="AK68" i="3" s="1"/>
  <c r="AK69" i="3" s="1"/>
  <c r="AJ34" i="3"/>
  <c r="AJ67" i="3"/>
  <c r="AJ70" i="3" s="1"/>
  <c r="AJ25" i="3"/>
  <c r="AJ27" i="3"/>
  <c r="AJ21" i="3"/>
  <c r="AJ20" i="3"/>
  <c r="AJ23" i="3"/>
  <c r="AK30" i="3" s="1"/>
  <c r="AJ8" i="3"/>
  <c r="AJ30" i="3"/>
  <c r="AL10" i="3"/>
  <c r="W22" i="6"/>
  <c r="W23" i="6" s="1"/>
  <c r="W24" i="6" s="1"/>
  <c r="W27" i="6" s="1"/>
  <c r="X17" i="6"/>
  <c r="X18" i="6" s="1"/>
  <c r="X19" i="6" s="1"/>
  <c r="X26" i="6"/>
  <c r="X20" i="6" s="1"/>
  <c r="X21" i="6"/>
  <c r="Z16" i="6"/>
  <c r="Y15" i="6"/>
  <c r="AM10" i="3" l="1"/>
  <c r="AL9" i="3"/>
  <c r="AK34" i="3"/>
  <c r="AK67" i="3"/>
  <c r="AK70" i="3" s="1"/>
  <c r="AK8" i="3"/>
  <c r="AK20" i="3"/>
  <c r="AK25" i="3"/>
  <c r="AK23" i="3"/>
  <c r="AK21" i="3"/>
  <c r="AK27" i="3"/>
  <c r="X22" i="6"/>
  <c r="X23" i="6" s="1"/>
  <c r="X24" i="6" s="1"/>
  <c r="X27" i="6" s="1"/>
  <c r="M29" i="6" s="1"/>
  <c r="L29" i="6"/>
  <c r="Z15" i="6"/>
  <c r="AA16" i="6"/>
  <c r="Y21" i="6"/>
  <c r="Y17" i="6"/>
  <c r="Y18" i="6" s="1"/>
  <c r="Y19" i="6" s="1"/>
  <c r="Y26" i="6"/>
  <c r="Y20" i="6" s="1"/>
  <c r="AL68" i="3" l="1"/>
  <c r="AL69" i="3" s="1"/>
  <c r="AM9" i="3"/>
  <c r="AM68" i="3" s="1"/>
  <c r="AM69" i="3" s="1"/>
  <c r="AL67" i="3"/>
  <c r="AL20" i="3"/>
  <c r="AL8" i="3"/>
  <c r="AL25" i="3"/>
  <c r="AL23" i="3"/>
  <c r="AL34" i="3"/>
  <c r="AL27" i="3"/>
  <c r="AL21" i="3"/>
  <c r="AL30" i="3"/>
  <c r="AN10" i="3"/>
  <c r="AM30" i="3"/>
  <c r="Y22" i="6"/>
  <c r="Y23" i="6" s="1"/>
  <c r="Y24" i="6" s="1"/>
  <c r="Y27" i="6" s="1"/>
  <c r="N29" i="6" s="1"/>
  <c r="AA15" i="6"/>
  <c r="AB16" i="6"/>
  <c r="Z17" i="6"/>
  <c r="Z18" i="6" s="1"/>
  <c r="Z19" i="6" s="1"/>
  <c r="Z26" i="6"/>
  <c r="Z20" i="6" s="1"/>
  <c r="Z21" i="6"/>
  <c r="AL70" i="3" l="1"/>
  <c r="AO10" i="3"/>
  <c r="AN9" i="3"/>
  <c r="AN68" i="3" s="1"/>
  <c r="AN69" i="3" s="1"/>
  <c r="AM67" i="3"/>
  <c r="AM70" i="3" s="1"/>
  <c r="AM8" i="3"/>
  <c r="AM20" i="3"/>
  <c r="AM25" i="3"/>
  <c r="AM23" i="3"/>
  <c r="AM27" i="3"/>
  <c r="AM21" i="3"/>
  <c r="AM34" i="3"/>
  <c r="Z22" i="6"/>
  <c r="Z23" i="6" s="1"/>
  <c r="Z24" i="6" s="1"/>
  <c r="Z27" i="6" s="1"/>
  <c r="AC16" i="6"/>
  <c r="AB15" i="6"/>
  <c r="AA26" i="6"/>
  <c r="AA20" i="6" s="1"/>
  <c r="AA21" i="6"/>
  <c r="AA17" i="6"/>
  <c r="AA18" i="6" s="1"/>
  <c r="AA19" i="6" s="1"/>
  <c r="AO9" i="3" l="1"/>
  <c r="AO68" i="3" s="1"/>
  <c r="AO69" i="3" s="1"/>
  <c r="AN8" i="3"/>
  <c r="AN20" i="3"/>
  <c r="AN21" i="3"/>
  <c r="AN25" i="3"/>
  <c r="AN23" i="3"/>
  <c r="AN27" i="3"/>
  <c r="AN67" i="3"/>
  <c r="AN70" i="3" s="1"/>
  <c r="AN34" i="3"/>
  <c r="AN30" i="3"/>
  <c r="AP10" i="3"/>
  <c r="AO30" i="3"/>
  <c r="AA22" i="6"/>
  <c r="AA23" i="6" s="1"/>
  <c r="AA24" i="6" s="1"/>
  <c r="AA27" i="6" s="1"/>
  <c r="P29" i="6" s="1"/>
  <c r="O29" i="6"/>
  <c r="AB21" i="6"/>
  <c r="AB26" i="6"/>
  <c r="AB20" i="6" s="1"/>
  <c r="AB17" i="6"/>
  <c r="AB18" i="6" s="1"/>
  <c r="AB19" i="6" s="1"/>
  <c r="AC15" i="6"/>
  <c r="AD16" i="6"/>
  <c r="AQ10" i="3" l="1"/>
  <c r="AP9" i="3"/>
  <c r="AO8" i="3"/>
  <c r="AO20" i="3"/>
  <c r="AO25" i="3"/>
  <c r="AO21" i="3"/>
  <c r="AO27" i="3"/>
  <c r="AO23" i="3"/>
  <c r="AO34" i="3"/>
  <c r="AO67" i="3"/>
  <c r="AO70" i="3" s="1"/>
  <c r="AB22" i="6"/>
  <c r="AB23" i="6" s="1"/>
  <c r="AB24" i="6" s="1"/>
  <c r="AB27" i="6" s="1"/>
  <c r="Q29" i="6" s="1"/>
  <c r="AC21" i="6"/>
  <c r="AC26" i="6"/>
  <c r="AC20" i="6" s="1"/>
  <c r="AC17" i="6"/>
  <c r="AC18" i="6" s="1"/>
  <c r="AC19" i="6" s="1"/>
  <c r="AE16" i="6"/>
  <c r="AD15" i="6"/>
  <c r="AP30" i="3" l="1"/>
  <c r="AP68" i="3"/>
  <c r="AP69" i="3" s="1"/>
  <c r="AQ9" i="3"/>
  <c r="AQ68" i="3" s="1"/>
  <c r="AQ69" i="3" s="1"/>
  <c r="AP20" i="3"/>
  <c r="AP25" i="3"/>
  <c r="AP21" i="3"/>
  <c r="AP8" i="3"/>
  <c r="AP34" i="3"/>
  <c r="AP27" i="3"/>
  <c r="AP67" i="3"/>
  <c r="AP70" i="3" s="1"/>
  <c r="AP23" i="3"/>
  <c r="AQ30" i="3" s="1"/>
  <c r="AR10" i="3"/>
  <c r="AC22" i="6"/>
  <c r="AC23" i="6" s="1"/>
  <c r="AC24" i="6" s="1"/>
  <c r="AC27" i="6" s="1"/>
  <c r="R29" i="6" s="1"/>
  <c r="AD21" i="6"/>
  <c r="AD17" i="6"/>
  <c r="AD18" i="6" s="1"/>
  <c r="AD19" i="6" s="1"/>
  <c r="AD26" i="6"/>
  <c r="AD20" i="6" s="1"/>
  <c r="AF16" i="6"/>
  <c r="AE15" i="6"/>
  <c r="AS10" i="3" l="1"/>
  <c r="AR9" i="3"/>
  <c r="AR68" i="3" s="1"/>
  <c r="AR69" i="3" s="1"/>
  <c r="AQ25" i="3"/>
  <c r="AQ21" i="3"/>
  <c r="AQ23" i="3"/>
  <c r="AR30" i="3" s="1"/>
  <c r="AQ27" i="3"/>
  <c r="AQ8" i="3"/>
  <c r="AQ20" i="3"/>
  <c r="AQ67" i="3"/>
  <c r="AQ70" i="3" s="1"/>
  <c r="AQ34" i="3"/>
  <c r="AD22" i="6"/>
  <c r="AD23" i="6" s="1"/>
  <c r="AD24" i="6" s="1"/>
  <c r="AD27" i="6" s="1"/>
  <c r="S29" i="6" s="1"/>
  <c r="AG16" i="6"/>
  <c r="AF15" i="6"/>
  <c r="AE17" i="6"/>
  <c r="AE18" i="6" s="1"/>
  <c r="AE19" i="6" s="1"/>
  <c r="AE26" i="6"/>
  <c r="AE20" i="6" s="1"/>
  <c r="AE21" i="6"/>
  <c r="AS9" i="3" l="1"/>
  <c r="AS68" i="3" s="1"/>
  <c r="AS69" i="3" s="1"/>
  <c r="AR21" i="3"/>
  <c r="AR27" i="3"/>
  <c r="AR23" i="3"/>
  <c r="AR20" i="3"/>
  <c r="AR8" i="3"/>
  <c r="AR67" i="3"/>
  <c r="AR70" i="3" s="1"/>
  <c r="AR34" i="3"/>
  <c r="AR25" i="3"/>
  <c r="AT10" i="3"/>
  <c r="AS30" i="3"/>
  <c r="AE22" i="6"/>
  <c r="AE23" i="6" s="1"/>
  <c r="AE24" i="6" s="1"/>
  <c r="AE27" i="6" s="1"/>
  <c r="T29" i="6" s="1"/>
  <c r="AF21" i="6"/>
  <c r="AF26" i="6"/>
  <c r="AF20" i="6" s="1"/>
  <c r="AF17" i="6"/>
  <c r="AF18" i="6" s="1"/>
  <c r="AF19" i="6" s="1"/>
  <c r="AG15" i="6"/>
  <c r="AH16" i="6"/>
  <c r="AU10" i="3" l="1"/>
  <c r="AT9" i="3"/>
  <c r="AS21" i="3"/>
  <c r="AS27" i="3"/>
  <c r="AS23" i="3"/>
  <c r="AS8" i="3"/>
  <c r="AS20" i="3"/>
  <c r="AS34" i="3"/>
  <c r="AS67" i="3"/>
  <c r="AS70" i="3" s="1"/>
  <c r="AS25" i="3"/>
  <c r="AF22" i="6"/>
  <c r="AF23" i="6" s="1"/>
  <c r="AF24" i="6" s="1"/>
  <c r="AF27" i="6" s="1"/>
  <c r="U29" i="6" s="1"/>
  <c r="AG17" i="6"/>
  <c r="AG18" i="6" s="1"/>
  <c r="AG19" i="6" s="1"/>
  <c r="AG26" i="6"/>
  <c r="AG20" i="6" s="1"/>
  <c r="AG21" i="6"/>
  <c r="AI16" i="6"/>
  <c r="AH15" i="6"/>
  <c r="AT30" i="3" l="1"/>
  <c r="AT68" i="3"/>
  <c r="AT69" i="3" s="1"/>
  <c r="AU9" i="3"/>
  <c r="AU68" i="3" s="1"/>
  <c r="AU69" i="3" s="1"/>
  <c r="AT27" i="3"/>
  <c r="AT23" i="3"/>
  <c r="AT8" i="3"/>
  <c r="AT25" i="3"/>
  <c r="AT21" i="3"/>
  <c r="AT20" i="3"/>
  <c r="AT67" i="3"/>
  <c r="AT70" i="3" s="1"/>
  <c r="AT34" i="3"/>
  <c r="AV10" i="3"/>
  <c r="AU30" i="3"/>
  <c r="AG22" i="6"/>
  <c r="AG23" i="6" s="1"/>
  <c r="AG24" i="6" s="1"/>
  <c r="AG27" i="6" s="1"/>
  <c r="V29" i="6" s="1"/>
  <c r="AJ16" i="6"/>
  <c r="AI15" i="6"/>
  <c r="AH17" i="6"/>
  <c r="AH18" i="6" s="1"/>
  <c r="AH19" i="6" s="1"/>
  <c r="AH26" i="6"/>
  <c r="AH20" i="6" s="1"/>
  <c r="AH21" i="6"/>
  <c r="AW10" i="3" l="1"/>
  <c r="AV9" i="3"/>
  <c r="AV68" i="3" s="1"/>
  <c r="AV69" i="3" s="1"/>
  <c r="AU27" i="3"/>
  <c r="AU23" i="3"/>
  <c r="AV30" i="3" s="1"/>
  <c r="AU67" i="3"/>
  <c r="AU70" i="3" s="1"/>
  <c r="AU8" i="3"/>
  <c r="AU21" i="3"/>
  <c r="AU34" i="3"/>
  <c r="AU20" i="3"/>
  <c r="AU25" i="3"/>
  <c r="AH22" i="6"/>
  <c r="AH23" i="6" s="1"/>
  <c r="AH24" i="6" s="1"/>
  <c r="AH27" i="6" s="1"/>
  <c r="W29" i="6" s="1"/>
  <c r="AI26" i="6"/>
  <c r="AI20" i="6" s="1"/>
  <c r="AI21" i="6"/>
  <c r="AI17" i="6"/>
  <c r="AI18" i="6" s="1"/>
  <c r="AI19" i="6" s="1"/>
  <c r="AJ15" i="6"/>
  <c r="AK16" i="6"/>
  <c r="AW9" i="3" l="1"/>
  <c r="AW68" i="3" s="1"/>
  <c r="AW69" i="3" s="1"/>
  <c r="AV27" i="3"/>
  <c r="AV23" i="3"/>
  <c r="AV34" i="3"/>
  <c r="AV67" i="3"/>
  <c r="AV70" i="3" s="1"/>
  <c r="AV21" i="3"/>
  <c r="AV8" i="3"/>
  <c r="AV20" i="3"/>
  <c r="AV25" i="3"/>
  <c r="AX10" i="3"/>
  <c r="AW30" i="3"/>
  <c r="AI22" i="6"/>
  <c r="AI23" i="6" s="1"/>
  <c r="AI24" i="6" s="1"/>
  <c r="AI27" i="6" s="1"/>
  <c r="AJ21" i="6"/>
  <c r="AJ26" i="6"/>
  <c r="AJ20" i="6" s="1"/>
  <c r="AJ17" i="6"/>
  <c r="AJ18" i="6" s="1"/>
  <c r="AJ19" i="6" s="1"/>
  <c r="AK15" i="6"/>
  <c r="AL16" i="6"/>
  <c r="AY10" i="3" l="1"/>
  <c r="AX9" i="3"/>
  <c r="AX68" i="3" s="1"/>
  <c r="AX69" i="3" s="1"/>
  <c r="AW27" i="3"/>
  <c r="AW23" i="3"/>
  <c r="AW34" i="3"/>
  <c r="AW67" i="3"/>
  <c r="AW70" i="3" s="1"/>
  <c r="AW8" i="3"/>
  <c r="AW21" i="3"/>
  <c r="AW20" i="3"/>
  <c r="AW25" i="3"/>
  <c r="AJ22" i="6"/>
  <c r="AJ23" i="6" s="1"/>
  <c r="AJ24" i="6" s="1"/>
  <c r="AJ27" i="6" s="1"/>
  <c r="Y29" i="6" s="1"/>
  <c r="X29" i="6"/>
  <c r="AK26" i="6"/>
  <c r="AK20" i="6" s="1"/>
  <c r="AK21" i="6"/>
  <c r="AK17" i="6"/>
  <c r="AK18" i="6" s="1"/>
  <c r="AK19" i="6" s="1"/>
  <c r="AM16" i="6"/>
  <c r="AL15" i="6"/>
  <c r="AY9" i="3" l="1"/>
  <c r="AY68" i="3" s="1"/>
  <c r="AY69" i="3" s="1"/>
  <c r="AX67" i="3"/>
  <c r="AX70" i="3" s="1"/>
  <c r="AX34" i="3"/>
  <c r="AX8" i="3"/>
  <c r="AX27" i="3"/>
  <c r="AX21" i="3"/>
  <c r="AX23" i="3"/>
  <c r="AX20" i="3"/>
  <c r="AX25" i="3"/>
  <c r="AX30" i="3"/>
  <c r="AZ10" i="3"/>
  <c r="AY30" i="3"/>
  <c r="AK22" i="6"/>
  <c r="AK23" i="6" s="1"/>
  <c r="AK24" i="6" s="1"/>
  <c r="AK27" i="6" s="1"/>
  <c r="Z29" i="6" s="1"/>
  <c r="AM15" i="6"/>
  <c r="AN16" i="6"/>
  <c r="AL17" i="6"/>
  <c r="AL18" i="6" s="1"/>
  <c r="AL19" i="6" s="1"/>
  <c r="AL21" i="6"/>
  <c r="AL26" i="6"/>
  <c r="AL20" i="6" s="1"/>
  <c r="BA10" i="3" l="1"/>
  <c r="AZ9" i="3"/>
  <c r="AZ68" i="3" s="1"/>
  <c r="AZ69" i="3" s="1"/>
  <c r="AY34" i="3"/>
  <c r="AY67" i="3"/>
  <c r="AY70" i="3" s="1"/>
  <c r="AY27" i="3"/>
  <c r="AY21" i="3"/>
  <c r="AY25" i="3"/>
  <c r="AY20" i="3"/>
  <c r="AY23" i="3"/>
  <c r="AZ30" i="3" s="1"/>
  <c r="AY8" i="3"/>
  <c r="AL22" i="6"/>
  <c r="AL23" i="6" s="1"/>
  <c r="AL24" i="6" s="1"/>
  <c r="AL27" i="6" s="1"/>
  <c r="AA29" i="6" s="1"/>
  <c r="AO16" i="6"/>
  <c r="AN15" i="6"/>
  <c r="AM17" i="6"/>
  <c r="AM18" i="6" s="1"/>
  <c r="AM19" i="6" s="1"/>
  <c r="AM21" i="6"/>
  <c r="AM26" i="6"/>
  <c r="AM20" i="6" s="1"/>
  <c r="BA9" i="3" l="1"/>
  <c r="BA68" i="3" s="1"/>
  <c r="BA69" i="3" s="1"/>
  <c r="AZ34" i="3"/>
  <c r="AZ8" i="3"/>
  <c r="AZ67" i="3"/>
  <c r="AZ70" i="3" s="1"/>
  <c r="AZ20" i="3"/>
  <c r="AZ27" i="3"/>
  <c r="AZ25" i="3"/>
  <c r="AZ21" i="3"/>
  <c r="AZ23" i="3"/>
  <c r="BA30" i="3" s="1"/>
  <c r="BB10" i="3"/>
  <c r="AM22" i="6"/>
  <c r="AM23" i="6" s="1"/>
  <c r="AM24" i="6" s="1"/>
  <c r="AM27" i="6" s="1"/>
  <c r="AN21" i="6"/>
  <c r="AN17" i="6"/>
  <c r="AN18" i="6" s="1"/>
  <c r="AN19" i="6" s="1"/>
  <c r="AN26" i="6"/>
  <c r="AN20" i="6" s="1"/>
  <c r="AP16" i="6"/>
  <c r="AO15" i="6"/>
  <c r="BC10" i="3" l="1"/>
  <c r="BB9" i="3"/>
  <c r="BB68" i="3" s="1"/>
  <c r="BB69" i="3" s="1"/>
  <c r="BA34" i="3"/>
  <c r="BA20" i="3"/>
  <c r="BA67" i="3"/>
  <c r="BA70" i="3" s="1"/>
  <c r="BA8" i="3"/>
  <c r="BA23" i="3"/>
  <c r="BB30" i="3" s="1"/>
  <c r="BA25" i="3"/>
  <c r="BA27" i="3"/>
  <c r="BA21" i="3"/>
  <c r="AN22" i="6"/>
  <c r="AN23" i="6" s="1"/>
  <c r="AN24" i="6" s="1"/>
  <c r="AN27" i="6" s="1"/>
  <c r="AC29" i="6" s="1"/>
  <c r="AB29" i="6"/>
  <c r="AO17" i="6"/>
  <c r="AO18" i="6" s="1"/>
  <c r="AO19" i="6" s="1"/>
  <c r="AO26" i="6"/>
  <c r="AO20" i="6" s="1"/>
  <c r="AO21" i="6"/>
  <c r="AP15" i="6"/>
  <c r="AQ16" i="6"/>
  <c r="BC9" i="3" l="1"/>
  <c r="BC68" i="3" s="1"/>
  <c r="BC69" i="3" s="1"/>
  <c r="BB67" i="3"/>
  <c r="BB70" i="3" s="1"/>
  <c r="BB25" i="3"/>
  <c r="BB8" i="3"/>
  <c r="BB20" i="3"/>
  <c r="BB34" i="3"/>
  <c r="BB23" i="3"/>
  <c r="BB27" i="3"/>
  <c r="BB21" i="3"/>
  <c r="BD10" i="3"/>
  <c r="BC30" i="3"/>
  <c r="AO22" i="6"/>
  <c r="AO23" i="6" s="1"/>
  <c r="AO24" i="6" s="1"/>
  <c r="AO27" i="6" s="1"/>
  <c r="AD29" i="6" s="1"/>
  <c r="AP26" i="6"/>
  <c r="AP20" i="6" s="1"/>
  <c r="AP17" i="6"/>
  <c r="AP18" i="6" s="1"/>
  <c r="AP19" i="6" s="1"/>
  <c r="AP21" i="6"/>
  <c r="AQ15" i="6"/>
  <c r="AR16" i="6"/>
  <c r="BE10" i="3" l="1"/>
  <c r="BD9" i="3"/>
  <c r="BD68" i="3" s="1"/>
  <c r="BD69" i="3" s="1"/>
  <c r="BC67" i="3"/>
  <c r="BC70" i="3" s="1"/>
  <c r="BC8" i="3"/>
  <c r="BC25" i="3"/>
  <c r="BC20" i="3"/>
  <c r="BC34" i="3"/>
  <c r="BC21" i="3"/>
  <c r="BC23" i="3"/>
  <c r="BD30" i="3" s="1"/>
  <c r="BC27" i="3"/>
  <c r="AP22" i="6"/>
  <c r="AP23" i="6" s="1"/>
  <c r="AP24" i="6" s="1"/>
  <c r="AP27" i="6" s="1"/>
  <c r="AE29" i="6" s="1"/>
  <c r="AQ26" i="6"/>
  <c r="AQ20" i="6" s="1"/>
  <c r="AQ17" i="6"/>
  <c r="AQ18" i="6" s="1"/>
  <c r="AQ19" i="6" s="1"/>
  <c r="AQ21" i="6"/>
  <c r="AS16" i="6"/>
  <c r="AR15" i="6"/>
  <c r="BE9" i="3" l="1"/>
  <c r="BE68" i="3" s="1"/>
  <c r="BE69" i="3" s="1"/>
  <c r="BD8" i="3"/>
  <c r="BD20" i="3"/>
  <c r="BD25" i="3"/>
  <c r="BD21" i="3"/>
  <c r="BD34" i="3"/>
  <c r="BD67" i="3"/>
  <c r="BD70" i="3" s="1"/>
  <c r="BD23" i="3"/>
  <c r="BE30" i="3" s="1"/>
  <c r="BD27" i="3"/>
  <c r="BF10" i="3"/>
  <c r="AQ22" i="6"/>
  <c r="AQ23" i="6" s="1"/>
  <c r="AQ24" i="6" s="1"/>
  <c r="AQ27" i="6" s="1"/>
  <c r="AF29" i="6" s="1"/>
  <c r="AR17" i="6"/>
  <c r="AR18" i="6" s="1"/>
  <c r="AR19" i="6" s="1"/>
  <c r="AR26" i="6"/>
  <c r="AR20" i="6" s="1"/>
  <c r="AR21" i="6"/>
  <c r="AT16" i="6"/>
  <c r="AS15" i="6"/>
  <c r="BG10" i="3" l="1"/>
  <c r="BF9" i="3"/>
  <c r="BF68" i="3" s="1"/>
  <c r="BF69" i="3" s="1"/>
  <c r="BE8" i="3"/>
  <c r="BE20" i="3"/>
  <c r="BE25" i="3"/>
  <c r="BE21" i="3"/>
  <c r="BE27" i="3"/>
  <c r="BE34" i="3"/>
  <c r="BE67" i="3"/>
  <c r="BE70" i="3" s="1"/>
  <c r="BE23" i="3"/>
  <c r="BF30" i="3" s="1"/>
  <c r="AR22" i="6"/>
  <c r="AR23" i="6" s="1"/>
  <c r="AR24" i="6" s="1"/>
  <c r="AR27" i="6" s="1"/>
  <c r="AG29" i="6" s="1"/>
  <c r="AT15" i="6"/>
  <c r="AU16" i="6"/>
  <c r="AS17" i="6"/>
  <c r="AS18" i="6" s="1"/>
  <c r="AS19" i="6" s="1"/>
  <c r="AS26" i="6"/>
  <c r="AS20" i="6" s="1"/>
  <c r="AS21" i="6"/>
  <c r="BG9" i="3" l="1"/>
  <c r="BG68" i="3" s="1"/>
  <c r="BG69" i="3" s="1"/>
  <c r="BF20" i="3"/>
  <c r="BF25" i="3"/>
  <c r="BF21" i="3"/>
  <c r="BF34" i="3"/>
  <c r="BF67" i="3"/>
  <c r="BF70" i="3" s="1"/>
  <c r="BF23" i="3"/>
  <c r="BG30" i="3" s="1"/>
  <c r="BF8" i="3"/>
  <c r="BF27" i="3"/>
  <c r="BH10" i="3"/>
  <c r="AS22" i="6"/>
  <c r="AS23" i="6" s="1"/>
  <c r="AS24" i="6" s="1"/>
  <c r="AS27" i="6" s="1"/>
  <c r="AU15" i="6"/>
  <c r="AV16" i="6"/>
  <c r="AT17" i="6"/>
  <c r="AT18" i="6" s="1"/>
  <c r="AT19" i="6" s="1"/>
  <c r="AT21" i="6"/>
  <c r="AT26" i="6"/>
  <c r="AT20" i="6" s="1"/>
  <c r="BI10" i="3" l="1"/>
  <c r="BH9" i="3"/>
  <c r="BH68" i="3" s="1"/>
  <c r="BH69" i="3" s="1"/>
  <c r="BG25" i="3"/>
  <c r="BG21" i="3"/>
  <c r="BG27" i="3"/>
  <c r="BG34" i="3"/>
  <c r="BG67" i="3"/>
  <c r="BG70" i="3" s="1"/>
  <c r="BG20" i="3"/>
  <c r="BG23" i="3"/>
  <c r="BH30" i="3" s="1"/>
  <c r="BG8" i="3"/>
  <c r="AT22" i="6"/>
  <c r="AT23" i="6" s="1"/>
  <c r="AT24" i="6" s="1"/>
  <c r="AT27" i="6" s="1"/>
  <c r="AI29" i="6" s="1"/>
  <c r="AH29" i="6"/>
  <c r="AW16" i="6"/>
  <c r="AV15" i="6"/>
  <c r="AU21" i="6"/>
  <c r="AU17" i="6"/>
  <c r="AU18" i="6" s="1"/>
  <c r="AU19" i="6" s="1"/>
  <c r="AU26" i="6"/>
  <c r="AU20" i="6" s="1"/>
  <c r="BI9" i="3" l="1"/>
  <c r="BI68" i="3" s="1"/>
  <c r="BI69" i="3" s="1"/>
  <c r="BH21" i="3"/>
  <c r="BH23" i="3"/>
  <c r="BH27" i="3"/>
  <c r="BH67" i="3"/>
  <c r="BH70" i="3" s="1"/>
  <c r="BH20" i="3"/>
  <c r="BH34" i="3"/>
  <c r="BH25" i="3"/>
  <c r="BH8" i="3"/>
  <c r="BJ10" i="3"/>
  <c r="BI30" i="3"/>
  <c r="AU22" i="6"/>
  <c r="AU23" i="6" s="1"/>
  <c r="AU24" i="6" s="1"/>
  <c r="AU27" i="6" s="1"/>
  <c r="AV17" i="6"/>
  <c r="AV18" i="6" s="1"/>
  <c r="AV19" i="6" s="1"/>
  <c r="AV26" i="6"/>
  <c r="AV20" i="6" s="1"/>
  <c r="AV21" i="6"/>
  <c r="AW15" i="6"/>
  <c r="AX16" i="6"/>
  <c r="BK10" i="3" l="1"/>
  <c r="BJ9" i="3"/>
  <c r="BJ68" i="3" s="1"/>
  <c r="BJ69" i="3" s="1"/>
  <c r="BI21" i="3"/>
  <c r="BI23" i="3"/>
  <c r="BI27" i="3"/>
  <c r="BI20" i="3"/>
  <c r="BI67" i="3"/>
  <c r="BI70" i="3" s="1"/>
  <c r="BI25" i="3"/>
  <c r="BI34" i="3"/>
  <c r="BI8" i="3"/>
  <c r="AV22" i="6"/>
  <c r="AV23" i="6" s="1"/>
  <c r="AV24" i="6" s="1"/>
  <c r="AV27" i="6" s="1"/>
  <c r="AK29" i="6" s="1"/>
  <c r="AJ29" i="6"/>
  <c r="AW26" i="6"/>
  <c r="AW20" i="6" s="1"/>
  <c r="AW17" i="6"/>
  <c r="AW18" i="6" s="1"/>
  <c r="AW19" i="6" s="1"/>
  <c r="AW21" i="6"/>
  <c r="AY16" i="6"/>
  <c r="AX15" i="6"/>
  <c r="BK9" i="3" l="1"/>
  <c r="BK68" i="3" s="1"/>
  <c r="BK69" i="3" s="1"/>
  <c r="BJ27" i="3"/>
  <c r="BJ23" i="3"/>
  <c r="BJ67" i="3"/>
  <c r="BJ70" i="3" s="1"/>
  <c r="BJ20" i="3"/>
  <c r="BJ34" i="3"/>
  <c r="BJ21" i="3"/>
  <c r="BJ25" i="3"/>
  <c r="BJ8" i="3"/>
  <c r="BJ30" i="3"/>
  <c r="BL10" i="3"/>
  <c r="BK30" i="3"/>
  <c r="AW22" i="6"/>
  <c r="AW23" i="6" s="1"/>
  <c r="AW24" i="6" s="1"/>
  <c r="AW27" i="6" s="1"/>
  <c r="AL29" i="6" s="1"/>
  <c r="AY15" i="6"/>
  <c r="AZ16" i="6"/>
  <c r="AX26" i="6"/>
  <c r="AX20" i="6" s="1"/>
  <c r="AX21" i="6"/>
  <c r="AX17" i="6"/>
  <c r="AX18" i="6" s="1"/>
  <c r="AX19" i="6" s="1"/>
  <c r="BM10" i="3" l="1"/>
  <c r="BL9" i="3"/>
  <c r="BK27" i="3"/>
  <c r="BK23" i="3"/>
  <c r="BK67" i="3"/>
  <c r="BK70" i="3" s="1"/>
  <c r="BK20" i="3"/>
  <c r="BK25" i="3"/>
  <c r="BK8" i="3"/>
  <c r="BK34" i="3"/>
  <c r="BK21" i="3"/>
  <c r="AX22" i="6"/>
  <c r="AX23" i="6" s="1"/>
  <c r="AX24" i="6" s="1"/>
  <c r="AX27" i="6" s="1"/>
  <c r="AM29" i="6" s="1"/>
  <c r="AZ15" i="6"/>
  <c r="BA16" i="6"/>
  <c r="AY21" i="6"/>
  <c r="AY26" i="6"/>
  <c r="AY20" i="6" s="1"/>
  <c r="AY17" i="6"/>
  <c r="AY18" i="6" s="1"/>
  <c r="AY19" i="6" s="1"/>
  <c r="BL30" i="3" l="1"/>
  <c r="BL68" i="3"/>
  <c r="BL69" i="3" s="1"/>
  <c r="BM9" i="3"/>
  <c r="BM68" i="3" s="1"/>
  <c r="BM69" i="3" s="1"/>
  <c r="BL27" i="3"/>
  <c r="BL23" i="3"/>
  <c r="BL34" i="3"/>
  <c r="BL67" i="3"/>
  <c r="BL70" i="3" s="1"/>
  <c r="BL21" i="3"/>
  <c r="BL25" i="3"/>
  <c r="BL20" i="3"/>
  <c r="BL8" i="3"/>
  <c r="BN10" i="3"/>
  <c r="BM30" i="3"/>
  <c r="AY22" i="6"/>
  <c r="AY23" i="6" s="1"/>
  <c r="AY24" i="6" s="1"/>
  <c r="AY27" i="6" s="1"/>
  <c r="AN29" i="6" s="1"/>
  <c r="BA15" i="6"/>
  <c r="BB16" i="6"/>
  <c r="AZ17" i="6"/>
  <c r="AZ18" i="6" s="1"/>
  <c r="AZ19" i="6" s="1"/>
  <c r="AZ21" i="6"/>
  <c r="AZ26" i="6"/>
  <c r="AZ20" i="6" s="1"/>
  <c r="BO10" i="3" l="1"/>
  <c r="BN9" i="3"/>
  <c r="BM27" i="3"/>
  <c r="BM23" i="3"/>
  <c r="BM34" i="3"/>
  <c r="BM67" i="3"/>
  <c r="BM70" i="3" s="1"/>
  <c r="BM25" i="3"/>
  <c r="BM21" i="3"/>
  <c r="BM8" i="3"/>
  <c r="BM20" i="3"/>
  <c r="AZ22" i="6"/>
  <c r="AZ23" i="6" s="1"/>
  <c r="AZ24" i="6" s="1"/>
  <c r="AZ27" i="6" s="1"/>
  <c r="BC16" i="6"/>
  <c r="BB15" i="6"/>
  <c r="BA21" i="6"/>
  <c r="BA17" i="6"/>
  <c r="BA18" i="6" s="1"/>
  <c r="BA19" i="6" s="1"/>
  <c r="BA26" i="6"/>
  <c r="BA20" i="6" s="1"/>
  <c r="BN30" i="3" l="1"/>
  <c r="BN68" i="3"/>
  <c r="BN69" i="3" s="1"/>
  <c r="BO9" i="3"/>
  <c r="BO68" i="3" s="1"/>
  <c r="BO69" i="3" s="1"/>
  <c r="BN34" i="3"/>
  <c r="BN67" i="3"/>
  <c r="BN23" i="3"/>
  <c r="BO30" i="3" s="1"/>
  <c r="BN25" i="3"/>
  <c r="BN8" i="3"/>
  <c r="BN21" i="3"/>
  <c r="BN20" i="3"/>
  <c r="BN27" i="3"/>
  <c r="BP10" i="3"/>
  <c r="BA22" i="6"/>
  <c r="BA23" i="6" s="1"/>
  <c r="BA24" i="6" s="1"/>
  <c r="BA27" i="6" s="1"/>
  <c r="AP29" i="6" s="1"/>
  <c r="AO29" i="6"/>
  <c r="BB26" i="6"/>
  <c r="BB20" i="6" s="1"/>
  <c r="BB17" i="6"/>
  <c r="BB18" i="6" s="1"/>
  <c r="BB19" i="6" s="1"/>
  <c r="BB21" i="6"/>
  <c r="BC15" i="6"/>
  <c r="BD16" i="6"/>
  <c r="BN70" i="3" l="1"/>
  <c r="BQ10" i="3"/>
  <c r="BP9" i="3"/>
  <c r="BO34" i="3"/>
  <c r="BO67" i="3"/>
  <c r="BO70" i="3" s="1"/>
  <c r="BO23" i="3"/>
  <c r="BO8" i="3"/>
  <c r="BO25" i="3"/>
  <c r="BO21" i="3"/>
  <c r="BO27" i="3"/>
  <c r="BO20" i="3"/>
  <c r="BB22" i="6"/>
  <c r="BB23" i="6" s="1"/>
  <c r="BB24" i="6" s="1"/>
  <c r="BB27" i="6" s="1"/>
  <c r="BC21" i="6"/>
  <c r="BC17" i="6"/>
  <c r="BC18" i="6" s="1"/>
  <c r="BC19" i="6" s="1"/>
  <c r="BC26" i="6"/>
  <c r="BC20" i="6" s="1"/>
  <c r="BD15" i="6"/>
  <c r="BE16" i="6"/>
  <c r="BP30" i="3" l="1"/>
  <c r="BP68" i="3"/>
  <c r="BP69" i="3" s="1"/>
  <c r="BQ9" i="3"/>
  <c r="BQ68" i="3" s="1"/>
  <c r="BQ69" i="3" s="1"/>
  <c r="BP34" i="3"/>
  <c r="BP67" i="3"/>
  <c r="BP23" i="3"/>
  <c r="BQ30" i="3" s="1"/>
  <c r="BP21" i="3"/>
  <c r="BP8" i="3"/>
  <c r="BP25" i="3"/>
  <c r="BP27" i="3"/>
  <c r="BP20" i="3"/>
  <c r="BR10" i="3"/>
  <c r="BC22" i="6"/>
  <c r="BC23" i="6" s="1"/>
  <c r="BC24" i="6" s="1"/>
  <c r="BC27" i="6" s="1"/>
  <c r="AR29" i="6" s="1"/>
  <c r="AQ29" i="6"/>
  <c r="BD21" i="6"/>
  <c r="BD26" i="6"/>
  <c r="BD20" i="6" s="1"/>
  <c r="BD17" i="6"/>
  <c r="BD18" i="6" s="1"/>
  <c r="BD19" i="6" s="1"/>
  <c r="BF16" i="6"/>
  <c r="BE15" i="6"/>
  <c r="BP70" i="3" l="1"/>
  <c r="BS10" i="3"/>
  <c r="BR9" i="3"/>
  <c r="BR68" i="3" s="1"/>
  <c r="BR69" i="3" s="1"/>
  <c r="BQ34" i="3"/>
  <c r="BQ67" i="3"/>
  <c r="BQ70" i="3" s="1"/>
  <c r="BQ8" i="3"/>
  <c r="BQ20" i="3"/>
  <c r="BQ23" i="3"/>
  <c r="BQ21" i="3"/>
  <c r="BQ27" i="3"/>
  <c r="BQ25" i="3"/>
  <c r="BD22" i="6"/>
  <c r="BD23" i="6" s="1"/>
  <c r="BD24" i="6" s="1"/>
  <c r="BD27" i="6" s="1"/>
  <c r="AS29" i="6" s="1"/>
  <c r="BG16" i="6"/>
  <c r="BF15" i="6"/>
  <c r="BE26" i="6"/>
  <c r="BE20" i="6" s="1"/>
  <c r="BE21" i="6"/>
  <c r="BE17" i="6"/>
  <c r="BE18" i="6" s="1"/>
  <c r="BE19" i="6" s="1"/>
  <c r="BS9" i="3" l="1"/>
  <c r="BS68" i="3" s="1"/>
  <c r="BS69" i="3" s="1"/>
  <c r="BR67" i="3"/>
  <c r="BR70" i="3" s="1"/>
  <c r="BR8" i="3"/>
  <c r="BR20" i="3"/>
  <c r="BR25" i="3"/>
  <c r="BR34" i="3"/>
  <c r="BR21" i="3"/>
  <c r="BR27" i="3"/>
  <c r="BR23" i="3"/>
  <c r="BS30" i="3" s="1"/>
  <c r="C30" i="3" s="1"/>
  <c r="BR30" i="3"/>
  <c r="BE22" i="6"/>
  <c r="BE23" i="6" s="1"/>
  <c r="BE24" i="6" s="1"/>
  <c r="BE27" i="6" s="1"/>
  <c r="BF21" i="6"/>
  <c r="BF26" i="6"/>
  <c r="BF20" i="6" s="1"/>
  <c r="BF17" i="6"/>
  <c r="BF18" i="6" s="1"/>
  <c r="BF19" i="6" s="1"/>
  <c r="BG15" i="6"/>
  <c r="BH16" i="6"/>
  <c r="E49" i="2" l="1"/>
  <c r="E17" i="2" s="1"/>
  <c r="K23" i="4" s="1"/>
  <c r="I30" i="3"/>
  <c r="BS67" i="3"/>
  <c r="BS70" i="3" s="1"/>
  <c r="BS8" i="3"/>
  <c r="BS20" i="3"/>
  <c r="I20" i="3" s="1"/>
  <c r="BS25" i="3"/>
  <c r="I25" i="3" s="1"/>
  <c r="BS21" i="3"/>
  <c r="I21" i="3" s="1"/>
  <c r="BS27" i="3"/>
  <c r="I27" i="3" s="1"/>
  <c r="BS34" i="3"/>
  <c r="I34" i="3" s="1"/>
  <c r="BS23" i="3"/>
  <c r="I23" i="3" s="1"/>
  <c r="BF22" i="6"/>
  <c r="BF23" i="6" s="1"/>
  <c r="BF24" i="6" s="1"/>
  <c r="BF27" i="6" s="1"/>
  <c r="AU29" i="6" s="1"/>
  <c r="AT29" i="6"/>
  <c r="BG17" i="6"/>
  <c r="BG18" i="6" s="1"/>
  <c r="BG19" i="6" s="1"/>
  <c r="BG26" i="6"/>
  <c r="BG20" i="6" s="1"/>
  <c r="BG21" i="6"/>
  <c r="BH15" i="6"/>
  <c r="BI16" i="6"/>
  <c r="F49" i="2" l="1"/>
  <c r="F17" i="2" s="1"/>
  <c r="L23" i="4" s="1"/>
  <c r="G49" i="2"/>
  <c r="G17" i="2" s="1"/>
  <c r="M23" i="4" s="1"/>
  <c r="BG22" i="6"/>
  <c r="BG23" i="6" s="1"/>
  <c r="BG24" i="6" s="1"/>
  <c r="BG27" i="6" s="1"/>
  <c r="BH17" i="6"/>
  <c r="BH18" i="6" s="1"/>
  <c r="BH19" i="6" s="1"/>
  <c r="BH21" i="6"/>
  <c r="BH26" i="6"/>
  <c r="BH20" i="6" s="1"/>
  <c r="BJ16" i="6"/>
  <c r="BI15" i="6"/>
  <c r="BH22" i="6" l="1"/>
  <c r="BH23" i="6" s="1"/>
  <c r="BH24" i="6" s="1"/>
  <c r="BH27" i="6" s="1"/>
  <c r="AW29" i="6" s="1"/>
  <c r="AV29" i="6"/>
  <c r="BK16" i="6"/>
  <c r="BJ15" i="6"/>
  <c r="BI21" i="6"/>
  <c r="BI17" i="6"/>
  <c r="BI18" i="6" s="1"/>
  <c r="BI19" i="6" s="1"/>
  <c r="BI26" i="6"/>
  <c r="BI20" i="6" s="1"/>
  <c r="BI22" i="6" l="1"/>
  <c r="BI23" i="6" s="1"/>
  <c r="BI24" i="6" s="1"/>
  <c r="BI27" i="6" s="1"/>
  <c r="BJ21" i="6"/>
  <c r="BJ17" i="6"/>
  <c r="BJ18" i="6" s="1"/>
  <c r="BJ19" i="6" s="1"/>
  <c r="BJ26" i="6"/>
  <c r="BJ20" i="6" s="1"/>
  <c r="BK15" i="6"/>
  <c r="BL16" i="6"/>
  <c r="BJ22" i="6" l="1"/>
  <c r="BJ23" i="6" s="1"/>
  <c r="BJ24" i="6" s="1"/>
  <c r="BJ27" i="6" s="1"/>
  <c r="AY29" i="6" s="1"/>
  <c r="AX29" i="6"/>
  <c r="BK21" i="6"/>
  <c r="BK17" i="6"/>
  <c r="BK18" i="6" s="1"/>
  <c r="BK19" i="6" s="1"/>
  <c r="BK26" i="6"/>
  <c r="BK20" i="6" s="1"/>
  <c r="BL15" i="6"/>
  <c r="BM16" i="6"/>
  <c r="BK22" i="6" l="1"/>
  <c r="BK23" i="6" s="1"/>
  <c r="BK24" i="6" s="1"/>
  <c r="BK27" i="6" s="1"/>
  <c r="AZ29" i="6" s="1"/>
  <c r="BL21" i="6"/>
  <c r="BL26" i="6"/>
  <c r="BL20" i="6" s="1"/>
  <c r="BL17" i="6"/>
  <c r="BL18" i="6" s="1"/>
  <c r="BL19" i="6" s="1"/>
  <c r="BM15" i="6"/>
  <c r="BN16" i="6"/>
  <c r="BL22" i="6" l="1"/>
  <c r="BL23" i="6" s="1"/>
  <c r="BL24" i="6" s="1"/>
  <c r="BL27" i="6" s="1"/>
  <c r="BA29" i="6" s="1"/>
  <c r="BM17" i="6"/>
  <c r="BM18" i="6" s="1"/>
  <c r="BM19" i="6" s="1"/>
  <c r="BM26" i="6"/>
  <c r="BM20" i="6" s="1"/>
  <c r="BM21" i="6"/>
  <c r="BO16" i="6"/>
  <c r="BN15" i="6"/>
  <c r="BM22" i="6" l="1"/>
  <c r="BM23" i="6" s="1"/>
  <c r="BM24" i="6" s="1"/>
  <c r="BM27" i="6" s="1"/>
  <c r="BO15" i="6"/>
  <c r="BP16" i="6"/>
  <c r="BN26" i="6"/>
  <c r="BN20" i="6" s="1"/>
  <c r="BN17" i="6"/>
  <c r="BN18" i="6" s="1"/>
  <c r="BN19" i="6" s="1"/>
  <c r="BN21" i="6"/>
  <c r="BN22" i="6" l="1"/>
  <c r="BN23" i="6" s="1"/>
  <c r="BN24" i="6" s="1"/>
  <c r="BN27" i="6" s="1"/>
  <c r="BB29" i="6"/>
  <c r="BP15" i="6"/>
  <c r="BQ16" i="6"/>
  <c r="BO17" i="6"/>
  <c r="BO18" i="6" s="1"/>
  <c r="BO19" i="6" s="1"/>
  <c r="BO21" i="6"/>
  <c r="BO26" i="6"/>
  <c r="BO20" i="6" s="1"/>
  <c r="BO22" i="6" l="1"/>
  <c r="BO23" i="6" s="1"/>
  <c r="BO24" i="6" s="1"/>
  <c r="BO27" i="6" s="1"/>
  <c r="BC29" i="6"/>
  <c r="BR16" i="6"/>
  <c r="BQ15" i="6"/>
  <c r="BP17" i="6"/>
  <c r="BP18" i="6" s="1"/>
  <c r="BP19" i="6" s="1"/>
  <c r="BP21" i="6"/>
  <c r="BP26" i="6"/>
  <c r="BP20" i="6" s="1"/>
  <c r="BP22" i="6" l="1"/>
  <c r="BP23" i="6" s="1"/>
  <c r="BP24" i="6" s="1"/>
  <c r="BP27" i="6" s="1"/>
  <c r="BD29" i="6"/>
  <c r="BQ21" i="6"/>
  <c r="BQ26" i="6"/>
  <c r="BQ20" i="6" s="1"/>
  <c r="BQ17" i="6"/>
  <c r="BQ18" i="6" s="1"/>
  <c r="BQ19" i="6" s="1"/>
  <c r="BS16" i="6"/>
  <c r="BR15" i="6"/>
  <c r="BQ22" i="6" l="1"/>
  <c r="BQ23" i="6" s="1"/>
  <c r="BQ24" i="6" s="1"/>
  <c r="BQ27" i="6" s="1"/>
  <c r="BE29" i="6"/>
  <c r="BT16" i="6"/>
  <c r="BS15" i="6"/>
  <c r="BF29" i="6"/>
  <c r="BR21" i="6"/>
  <c r="BR26" i="6"/>
  <c r="BR20" i="6" s="1"/>
  <c r="BR17" i="6"/>
  <c r="BR18" i="6" s="1"/>
  <c r="BR19" i="6" s="1"/>
  <c r="BR22" i="6" l="1"/>
  <c r="BR23" i="6" s="1"/>
  <c r="BR24" i="6" s="1"/>
  <c r="BR27" i="6" s="1"/>
  <c r="BG29" i="6" s="1"/>
  <c r="BS17" i="6"/>
  <c r="BS18" i="6" s="1"/>
  <c r="BS19" i="6" s="1"/>
  <c r="BS26" i="6"/>
  <c r="BS20" i="6" s="1"/>
  <c r="BS21" i="6"/>
  <c r="BU16" i="6"/>
  <c r="BT15" i="6"/>
  <c r="BS22" i="6" l="1"/>
  <c r="BS23" i="6" s="1"/>
  <c r="BS24" i="6" s="1"/>
  <c r="BS27" i="6" s="1"/>
  <c r="BH29" i="6" s="1"/>
  <c r="BT17" i="6"/>
  <c r="BT18" i="6" s="1"/>
  <c r="BT19" i="6" s="1"/>
  <c r="BT21" i="6"/>
  <c r="BT26" i="6"/>
  <c r="BT20" i="6" s="1"/>
  <c r="BV16" i="6"/>
  <c r="BU15" i="6"/>
  <c r="BT22" i="6" l="1"/>
  <c r="BT23" i="6" s="1"/>
  <c r="BT24" i="6" s="1"/>
  <c r="BT27" i="6" s="1"/>
  <c r="BV15" i="6"/>
  <c r="BW16" i="6"/>
  <c r="BU26" i="6"/>
  <c r="BU20" i="6" s="1"/>
  <c r="BU21" i="6"/>
  <c r="BU17" i="6"/>
  <c r="BU18" i="6" s="1"/>
  <c r="BU19" i="6" s="1"/>
  <c r="BU22" i="6" l="1"/>
  <c r="BU23" i="6" s="1"/>
  <c r="BU24" i="6" s="1"/>
  <c r="BU27" i="6" s="1"/>
  <c r="BJ29" i="6" s="1"/>
  <c r="BI29" i="6"/>
  <c r="BX16" i="6"/>
  <c r="BW15" i="6"/>
  <c r="BV21" i="6"/>
  <c r="BV17" i="6"/>
  <c r="BV18" i="6" s="1"/>
  <c r="BV19" i="6" s="1"/>
  <c r="BV26" i="6"/>
  <c r="BV20" i="6" s="1"/>
  <c r="BV22" i="6" l="1"/>
  <c r="BV23" i="6" s="1"/>
  <c r="BV24" i="6" s="1"/>
  <c r="BV27" i="6" s="1"/>
  <c r="BK29" i="6" s="1"/>
  <c r="BW17" i="6"/>
  <c r="BW18" i="6" s="1"/>
  <c r="BW19" i="6" s="1"/>
  <c r="BW26" i="6"/>
  <c r="BW20" i="6" s="1"/>
  <c r="BW21" i="6"/>
  <c r="BX15" i="6"/>
  <c r="BY16" i="6"/>
  <c r="BW22" i="6" l="1"/>
  <c r="BW23" i="6" s="1"/>
  <c r="BW24" i="6" s="1"/>
  <c r="BW27" i="6" s="1"/>
  <c r="BX21" i="6"/>
  <c r="BX17" i="6"/>
  <c r="BX18" i="6" s="1"/>
  <c r="BX19" i="6" s="1"/>
  <c r="BX26" i="6"/>
  <c r="BX20" i="6" s="1"/>
  <c r="BY15" i="6"/>
  <c r="BZ16" i="6"/>
  <c r="BX22" i="6" l="1"/>
  <c r="BX23" i="6" s="1"/>
  <c r="BX24" i="6" s="1"/>
  <c r="BX27" i="6" s="1"/>
  <c r="BM29" i="6" s="1"/>
  <c r="BL29" i="6"/>
  <c r="BY17" i="6"/>
  <c r="BY18" i="6" s="1"/>
  <c r="BY19" i="6" s="1"/>
  <c r="BY21" i="6"/>
  <c r="BY26" i="6"/>
  <c r="BY20" i="6" s="1"/>
  <c r="BZ15" i="6"/>
  <c r="CA16" i="6"/>
  <c r="BY22" i="6" l="1"/>
  <c r="BY23" i="6" s="1"/>
  <c r="BY24" i="6" s="1"/>
  <c r="BY27" i="6" s="1"/>
  <c r="BZ21" i="6"/>
  <c r="BZ17" i="6"/>
  <c r="BZ18" i="6" s="1"/>
  <c r="BZ19" i="6" s="1"/>
  <c r="BZ26" i="6"/>
  <c r="BZ20" i="6" s="1"/>
  <c r="CA15" i="6"/>
  <c r="CB16" i="6"/>
  <c r="BZ22" i="6" l="1"/>
  <c r="BZ23" i="6" s="1"/>
  <c r="BZ24" i="6" s="1"/>
  <c r="BZ27" i="6" s="1"/>
  <c r="BO29" i="6" s="1"/>
  <c r="BN29" i="6"/>
  <c r="CA26" i="6"/>
  <c r="CA20" i="6" s="1"/>
  <c r="CA17" i="6"/>
  <c r="CA18" i="6" s="1"/>
  <c r="CA19" i="6" s="1"/>
  <c r="CA21" i="6"/>
  <c r="CB15" i="6"/>
  <c r="CC16" i="6"/>
  <c r="CA22" i="6" l="1"/>
  <c r="CA23" i="6" s="1"/>
  <c r="CA24" i="6" s="1"/>
  <c r="CA27" i="6" s="1"/>
  <c r="BP29" i="6" s="1"/>
  <c r="CB21" i="6"/>
  <c r="CB17" i="6"/>
  <c r="CB18" i="6" s="1"/>
  <c r="CB19" i="6" s="1"/>
  <c r="CB26" i="6"/>
  <c r="CB20" i="6" s="1"/>
  <c r="CC15" i="6"/>
  <c r="CD16" i="6"/>
  <c r="CB22" i="6" l="1"/>
  <c r="CB23" i="6" s="1"/>
  <c r="CB24" i="6" s="1"/>
  <c r="CB27" i="6" s="1"/>
  <c r="BQ29" i="6" s="1"/>
  <c r="CD15" i="6"/>
  <c r="CE16" i="6"/>
  <c r="CC17" i="6"/>
  <c r="CC18" i="6" s="1"/>
  <c r="CC19" i="6" s="1"/>
  <c r="CC26" i="6"/>
  <c r="CC20" i="6" s="1"/>
  <c r="CC21" i="6"/>
  <c r="CC22" i="6" l="1"/>
  <c r="CC23" i="6" s="1"/>
  <c r="CC24" i="6" s="1"/>
  <c r="CC27" i="6" s="1"/>
  <c r="BR29" i="6" s="1"/>
  <c r="CF16" i="6"/>
  <c r="CE15" i="6"/>
  <c r="CD17" i="6"/>
  <c r="CD18" i="6" s="1"/>
  <c r="CD19" i="6" s="1"/>
  <c r="CD21" i="6"/>
  <c r="CD26" i="6"/>
  <c r="CD20" i="6" s="1"/>
  <c r="CD22" i="6" l="1"/>
  <c r="CD23" i="6" s="1"/>
  <c r="CD24" i="6" s="1"/>
  <c r="CD27" i="6" s="1"/>
  <c r="BS29" i="6" s="1"/>
  <c r="CE17" i="6"/>
  <c r="CE18" i="6" s="1"/>
  <c r="CE19" i="6" s="1"/>
  <c r="CE26" i="6"/>
  <c r="CE20" i="6" s="1"/>
  <c r="CE21" i="6"/>
  <c r="CG16" i="6"/>
  <c r="CF15" i="6"/>
  <c r="CE22" i="6" l="1"/>
  <c r="CE23" i="6" s="1"/>
  <c r="CE24" i="6" s="1"/>
  <c r="CE27" i="6" s="1"/>
  <c r="BT29" i="6" s="1"/>
  <c r="CF26" i="6"/>
  <c r="CF20" i="6" s="1"/>
  <c r="CF17" i="6"/>
  <c r="CF18" i="6" s="1"/>
  <c r="CF19" i="6" s="1"/>
  <c r="CF21" i="6"/>
  <c r="CH16" i="6"/>
  <c r="CG15" i="6"/>
  <c r="CF22" i="6" l="1"/>
  <c r="CF23" i="6" s="1"/>
  <c r="CF24" i="6" s="1"/>
  <c r="CF27" i="6" s="1"/>
  <c r="BU29" i="6" s="1"/>
  <c r="CI16" i="6"/>
  <c r="CH15" i="6"/>
  <c r="CG26" i="6"/>
  <c r="CG20" i="6" s="1"/>
  <c r="CG17" i="6"/>
  <c r="CG18" i="6" s="1"/>
  <c r="CG19" i="6" s="1"/>
  <c r="CG21" i="6"/>
  <c r="CG22" i="6" l="1"/>
  <c r="CG23" i="6" s="1"/>
  <c r="CG24" i="6" s="1"/>
  <c r="CG27" i="6" s="1"/>
  <c r="CH26" i="6"/>
  <c r="CH20" i="6" s="1"/>
  <c r="CH17" i="6"/>
  <c r="CH18" i="6" s="1"/>
  <c r="CH19" i="6" s="1"/>
  <c r="CH21" i="6"/>
  <c r="CI15" i="6"/>
  <c r="CJ16" i="6"/>
  <c r="CH22" i="6" l="1"/>
  <c r="CH23" i="6" s="1"/>
  <c r="CH24" i="6" s="1"/>
  <c r="CH27" i="6" s="1"/>
  <c r="BW29" i="6" s="1"/>
  <c r="BV29" i="6"/>
  <c r="CJ15" i="6"/>
  <c r="CK16" i="6"/>
  <c r="CI26" i="6"/>
  <c r="CI20" i="6" s="1"/>
  <c r="CI17" i="6"/>
  <c r="CI18" i="6" s="1"/>
  <c r="CI19" i="6" s="1"/>
  <c r="CI21" i="6"/>
  <c r="CI22" i="6" l="1"/>
  <c r="CI23" i="6" s="1"/>
  <c r="CI24" i="6" s="1"/>
  <c r="CI27" i="6" s="1"/>
  <c r="BX29" i="6" s="1"/>
  <c r="CL16" i="6"/>
  <c r="CK15" i="6"/>
  <c r="CJ21" i="6"/>
  <c r="CJ26" i="6"/>
  <c r="CJ20" i="6" s="1"/>
  <c r="CJ17" i="6"/>
  <c r="CJ18" i="6" s="1"/>
  <c r="CJ19" i="6" s="1"/>
  <c r="CJ22" i="6" l="1"/>
  <c r="CJ23" i="6" s="1"/>
  <c r="CJ24" i="6" s="1"/>
  <c r="CJ27" i="6" s="1"/>
  <c r="BY29" i="6" s="1"/>
  <c r="CK26" i="6"/>
  <c r="CK20" i="6" s="1"/>
  <c r="CK21" i="6"/>
  <c r="CK17" i="6"/>
  <c r="CK18" i="6" s="1"/>
  <c r="CK19" i="6" s="1"/>
  <c r="CL15" i="6"/>
  <c r="CM16" i="6"/>
  <c r="CK22" i="6" l="1"/>
  <c r="CK23" i="6" s="1"/>
  <c r="CK24" i="6" s="1"/>
  <c r="CK27" i="6" s="1"/>
  <c r="CL21" i="6"/>
  <c r="CL26" i="6"/>
  <c r="CL20" i="6" s="1"/>
  <c r="CL17" i="6"/>
  <c r="CL18" i="6" s="1"/>
  <c r="CL19" i="6" s="1"/>
  <c r="CL22" i="6" s="1"/>
  <c r="CL23" i="6" s="1"/>
  <c r="CL24" i="6" s="1"/>
  <c r="CL27" i="6" s="1"/>
  <c r="CN16" i="6"/>
  <c r="CM15" i="6"/>
  <c r="CA29" i="6" l="1"/>
  <c r="BZ29" i="6"/>
  <c r="CM21" i="6"/>
  <c r="CM26" i="6"/>
  <c r="CM20" i="6" s="1"/>
  <c r="CM17" i="6"/>
  <c r="CM18" i="6" s="1"/>
  <c r="CM19" i="6" s="1"/>
  <c r="CO16" i="6"/>
  <c r="CN15" i="6"/>
  <c r="CM22" i="6" l="1"/>
  <c r="CM23" i="6" s="1"/>
  <c r="CM24" i="6" s="1"/>
  <c r="CM27" i="6" s="1"/>
  <c r="CB29" i="6" s="1"/>
  <c r="CO15" i="6"/>
  <c r="CP16" i="6"/>
  <c r="CN17" i="6"/>
  <c r="CN18" i="6" s="1"/>
  <c r="CN19" i="6" s="1"/>
  <c r="CN26" i="6"/>
  <c r="CN20" i="6" s="1"/>
  <c r="CN21" i="6"/>
  <c r="CN22" i="6" l="1"/>
  <c r="CN23" i="6" s="1"/>
  <c r="CN24" i="6" s="1"/>
  <c r="CN27" i="6" s="1"/>
  <c r="CC29" i="6" s="1"/>
  <c r="CQ16" i="6"/>
  <c r="CP15" i="6"/>
  <c r="CO26" i="6"/>
  <c r="CO20" i="6" s="1"/>
  <c r="CO21" i="6"/>
  <c r="CO17" i="6"/>
  <c r="CO18" i="6" s="1"/>
  <c r="CO19" i="6" s="1"/>
  <c r="CO22" i="6" l="1"/>
  <c r="CO23" i="6" s="1"/>
  <c r="CO24" i="6" s="1"/>
  <c r="CO27" i="6" s="1"/>
  <c r="CD29" i="6" s="1"/>
  <c r="CP21" i="6"/>
  <c r="CP26" i="6"/>
  <c r="CP20" i="6" s="1"/>
  <c r="CP17" i="6"/>
  <c r="CP18" i="6" s="1"/>
  <c r="CP19" i="6" s="1"/>
  <c r="CR16" i="6"/>
  <c r="CQ15" i="6"/>
  <c r="CP22" i="6" l="1"/>
  <c r="CP23" i="6" s="1"/>
  <c r="CP24" i="6" s="1"/>
  <c r="CP27" i="6" s="1"/>
  <c r="CE29" i="6" s="1"/>
  <c r="CS16" i="6"/>
  <c r="CR15" i="6"/>
  <c r="CQ26" i="6"/>
  <c r="CQ20" i="6" s="1"/>
  <c r="CQ17" i="6"/>
  <c r="CQ18" i="6" s="1"/>
  <c r="CQ19" i="6" s="1"/>
  <c r="CQ21" i="6"/>
  <c r="CQ22" i="6" l="1"/>
  <c r="CQ23" i="6" s="1"/>
  <c r="CQ24" i="6" s="1"/>
  <c r="CQ27" i="6" s="1"/>
  <c r="CF29" i="6" s="1"/>
  <c r="CR26" i="6"/>
  <c r="CR20" i="6" s="1"/>
  <c r="CR17" i="6"/>
  <c r="CR18" i="6" s="1"/>
  <c r="CR19" i="6" s="1"/>
  <c r="CR21" i="6"/>
  <c r="CT16" i="6"/>
  <c r="CS15" i="6"/>
  <c r="CR22" i="6" l="1"/>
  <c r="CR23" i="6" s="1"/>
  <c r="CR24" i="6" s="1"/>
  <c r="CR27" i="6" s="1"/>
  <c r="CT15" i="6"/>
  <c r="CU16" i="6"/>
  <c r="CS17" i="6"/>
  <c r="CS18" i="6" s="1"/>
  <c r="CS19" i="6" s="1"/>
  <c r="CS26" i="6"/>
  <c r="CS20" i="6" s="1"/>
  <c r="CS21" i="6"/>
  <c r="CS22" i="6" l="1"/>
  <c r="CS23" i="6" s="1"/>
  <c r="CS24" i="6" s="1"/>
  <c r="CS27" i="6" s="1"/>
  <c r="CH29" i="6" s="1"/>
  <c r="CG29" i="6"/>
  <c r="CU15" i="6"/>
  <c r="CV16" i="6"/>
  <c r="CT17" i="6"/>
  <c r="CT18" i="6" s="1"/>
  <c r="CT19" i="6" s="1"/>
  <c r="CT26" i="6"/>
  <c r="CT20" i="6" s="1"/>
  <c r="CT21" i="6"/>
  <c r="CT22" i="6" l="1"/>
  <c r="CT23" i="6" s="1"/>
  <c r="CT24" i="6" s="1"/>
  <c r="CT27" i="6" s="1"/>
  <c r="CW16" i="6"/>
  <c r="CV15" i="6"/>
  <c r="CU17" i="6"/>
  <c r="CU18" i="6" s="1"/>
  <c r="CU19" i="6" s="1"/>
  <c r="CU26" i="6"/>
  <c r="CU20" i="6" s="1"/>
  <c r="CU21" i="6"/>
  <c r="CU22" i="6" l="1"/>
  <c r="CU23" i="6" s="1"/>
  <c r="CU24" i="6" s="1"/>
  <c r="CU27" i="6" s="1"/>
  <c r="CJ29" i="6" s="1"/>
  <c r="CI29" i="6"/>
  <c r="CV17" i="6"/>
  <c r="CV18" i="6" s="1"/>
  <c r="CV19" i="6" s="1"/>
  <c r="CV21" i="6"/>
  <c r="CV26" i="6"/>
  <c r="CV20" i="6" s="1"/>
  <c r="CX16" i="6"/>
  <c r="CW15" i="6"/>
  <c r="CV22" i="6" l="1"/>
  <c r="CV23" i="6" s="1"/>
  <c r="CV24" i="6" s="1"/>
  <c r="CV27" i="6" s="1"/>
  <c r="CY16" i="6"/>
  <c r="CX15" i="6"/>
  <c r="CW21" i="6"/>
  <c r="CW17" i="6"/>
  <c r="CW18" i="6" s="1"/>
  <c r="CW19" i="6" s="1"/>
  <c r="CW26" i="6"/>
  <c r="CW20" i="6" s="1"/>
  <c r="CW22" i="6" l="1"/>
  <c r="CW23" i="6" s="1"/>
  <c r="CW24" i="6" s="1"/>
  <c r="CW27" i="6" s="1"/>
  <c r="CK29" i="6"/>
  <c r="CX26" i="6"/>
  <c r="CX20" i="6" s="1"/>
  <c r="CX17" i="6"/>
  <c r="CX18" i="6" s="1"/>
  <c r="CX19" i="6" s="1"/>
  <c r="CX21" i="6"/>
  <c r="CZ16" i="6"/>
  <c r="CY15" i="6"/>
  <c r="CL29" i="6" l="1"/>
  <c r="CX22" i="6"/>
  <c r="CX23" i="6" s="1"/>
  <c r="CX24" i="6" s="1"/>
  <c r="CX27" i="6" s="1"/>
  <c r="CM29" i="6" s="1"/>
  <c r="CY21" i="6"/>
  <c r="CY17" i="6"/>
  <c r="CY18" i="6" s="1"/>
  <c r="CY19" i="6" s="1"/>
  <c r="CY26" i="6"/>
  <c r="CY20" i="6" s="1"/>
  <c r="DA16" i="6"/>
  <c r="CZ15" i="6"/>
  <c r="CY22" i="6" l="1"/>
  <c r="CY23" i="6" s="1"/>
  <c r="CY24" i="6" s="1"/>
  <c r="CY27" i="6" s="1"/>
  <c r="CN29" i="6" s="1"/>
  <c r="DB16" i="6"/>
  <c r="DA15" i="6"/>
  <c r="CZ26" i="6"/>
  <c r="CZ20" i="6" s="1"/>
  <c r="CZ17" i="6"/>
  <c r="CZ18" i="6" s="1"/>
  <c r="CZ19" i="6" s="1"/>
  <c r="CZ21" i="6"/>
  <c r="CZ22" i="6" l="1"/>
  <c r="CZ23" i="6" s="1"/>
  <c r="CZ24" i="6" s="1"/>
  <c r="CZ27" i="6" s="1"/>
  <c r="DA21" i="6"/>
  <c r="DA17" i="6"/>
  <c r="DA18" i="6" s="1"/>
  <c r="DA19" i="6" s="1"/>
  <c r="DA26" i="6"/>
  <c r="DA20" i="6" s="1"/>
  <c r="DB15" i="6"/>
  <c r="DC16" i="6"/>
  <c r="DA22" i="6" l="1"/>
  <c r="DA23" i="6" s="1"/>
  <c r="DA24" i="6" s="1"/>
  <c r="DA27" i="6" s="1"/>
  <c r="CP29" i="6" s="1"/>
  <c r="CO29" i="6"/>
  <c r="DB17" i="6"/>
  <c r="DB18" i="6" s="1"/>
  <c r="DB19" i="6" s="1"/>
  <c r="DB26" i="6"/>
  <c r="DB20" i="6" s="1"/>
  <c r="DB21" i="6"/>
  <c r="DC15" i="6"/>
  <c r="DD16" i="6"/>
  <c r="DB22" i="6" l="1"/>
  <c r="DB23" i="6" s="1"/>
  <c r="DB24" i="6" s="1"/>
  <c r="DB27" i="6" s="1"/>
  <c r="CQ29" i="6" s="1"/>
  <c r="DC17" i="6"/>
  <c r="DC18" i="6" s="1"/>
  <c r="DC19" i="6" s="1"/>
  <c r="DC26" i="6"/>
  <c r="DC20" i="6" s="1"/>
  <c r="DC21" i="6"/>
  <c r="DE16" i="6"/>
  <c r="DD15" i="6"/>
  <c r="DC22" i="6" l="1"/>
  <c r="DC23" i="6" s="1"/>
  <c r="DC24" i="6" s="1"/>
  <c r="DC27" i="6" s="1"/>
  <c r="DF16" i="6"/>
  <c r="DE15" i="6"/>
  <c r="DD26" i="6"/>
  <c r="DD20" i="6" s="1"/>
  <c r="DD17" i="6"/>
  <c r="DD21" i="6"/>
  <c r="CR29" i="6" l="1"/>
  <c r="DD18" i="6"/>
  <c r="DD19" i="6" s="1"/>
  <c r="DD22" i="6" s="1"/>
  <c r="DD23" i="6" s="1"/>
  <c r="DD24" i="6" s="1"/>
  <c r="DD27" i="6" s="1"/>
  <c r="DE17" i="6"/>
  <c r="DE18" i="6" s="1"/>
  <c r="DE19" i="6" s="1"/>
  <c r="DE26" i="6"/>
  <c r="DE20" i="6" s="1"/>
  <c r="DE21" i="6"/>
  <c r="DG16" i="6"/>
  <c r="DF15" i="6"/>
  <c r="DE22" i="6" l="1"/>
  <c r="DE23" i="6" s="1"/>
  <c r="DE24" i="6" s="1"/>
  <c r="DE27" i="6" s="1"/>
  <c r="CT29" i="6" s="1"/>
  <c r="CS29" i="6"/>
  <c r="DF26" i="6"/>
  <c r="DF20" i="6" s="1"/>
  <c r="DF17" i="6"/>
  <c r="DF21" i="6"/>
  <c r="DH16" i="6"/>
  <c r="DG15" i="6"/>
  <c r="DI16" i="6" l="1"/>
  <c r="DH15" i="6"/>
  <c r="DF18" i="6"/>
  <c r="DF19" i="6" s="1"/>
  <c r="DF22" i="6" s="1"/>
  <c r="DF23" i="6" s="1"/>
  <c r="DF24" i="6" s="1"/>
  <c r="DF27" i="6" s="1"/>
  <c r="DG17" i="6"/>
  <c r="DG18" i="6" s="1"/>
  <c r="DG19" i="6" s="1"/>
  <c r="DG26" i="6"/>
  <c r="DG20" i="6" s="1"/>
  <c r="DG21" i="6"/>
  <c r="CU29" i="6" l="1"/>
  <c r="DG22" i="6"/>
  <c r="DG23" i="6" s="1"/>
  <c r="DG24" i="6" s="1"/>
  <c r="DG27" i="6" s="1"/>
  <c r="DH26" i="6"/>
  <c r="DH20" i="6" s="1"/>
  <c r="DH17" i="6"/>
  <c r="DH21" i="6"/>
  <c r="DJ16" i="6"/>
  <c r="DI15" i="6"/>
  <c r="CV29" i="6" l="1"/>
  <c r="DJ15" i="6"/>
  <c r="DK16" i="6"/>
  <c r="DH18" i="6"/>
  <c r="DH19" i="6" s="1"/>
  <c r="DH22" i="6" s="1"/>
  <c r="DH23" i="6" s="1"/>
  <c r="DH24" i="6" s="1"/>
  <c r="DH27" i="6" s="1"/>
  <c r="DI21" i="6"/>
  <c r="DI26" i="6"/>
  <c r="DI20" i="6" s="1"/>
  <c r="DI17" i="6"/>
  <c r="DI18" i="6" s="1"/>
  <c r="DI19" i="6" s="1"/>
  <c r="CW29" i="6" l="1"/>
  <c r="DI22" i="6"/>
  <c r="DI23" i="6" s="1"/>
  <c r="DI24" i="6" s="1"/>
  <c r="DI27" i="6" s="1"/>
  <c r="CX29" i="6" s="1"/>
  <c r="DL16" i="6"/>
  <c r="DK15" i="6"/>
  <c r="DJ21" i="6"/>
  <c r="DJ26" i="6"/>
  <c r="DJ20" i="6" s="1"/>
  <c r="DJ17" i="6"/>
  <c r="DK26" i="6" l="1"/>
  <c r="DK20" i="6" s="1"/>
  <c r="DK21" i="6"/>
  <c r="DK17" i="6"/>
  <c r="DK18" i="6" s="1"/>
  <c r="DK19" i="6" s="1"/>
  <c r="DM16" i="6"/>
  <c r="DL15" i="6"/>
  <c r="DJ18" i="6"/>
  <c r="DJ19" i="6" s="1"/>
  <c r="DJ22" i="6" s="1"/>
  <c r="DJ23" i="6" s="1"/>
  <c r="DJ24" i="6" s="1"/>
  <c r="DJ27" i="6" s="1"/>
  <c r="DK22" i="6" l="1"/>
  <c r="DK23" i="6" s="1"/>
  <c r="DK24" i="6" s="1"/>
  <c r="DK27" i="6" s="1"/>
  <c r="CZ29" i="6" s="1"/>
  <c r="CY29" i="6"/>
  <c r="DM15" i="6"/>
  <c r="DN16" i="6"/>
  <c r="DL26" i="6"/>
  <c r="DL20" i="6" s="1"/>
  <c r="DL17" i="6"/>
  <c r="DL21" i="6"/>
  <c r="DO16" i="6" l="1"/>
  <c r="DN15" i="6"/>
  <c r="DL18" i="6"/>
  <c r="DL19" i="6" s="1"/>
  <c r="DL22" i="6" s="1"/>
  <c r="DL23" i="6" s="1"/>
  <c r="DL24" i="6" s="1"/>
  <c r="DL27" i="6" s="1"/>
  <c r="DM17" i="6"/>
  <c r="DM18" i="6" s="1"/>
  <c r="DM19" i="6" s="1"/>
  <c r="DM26" i="6"/>
  <c r="DM20" i="6" s="1"/>
  <c r="DM21" i="6"/>
  <c r="DA29" i="6" l="1"/>
  <c r="DM22" i="6"/>
  <c r="DM23" i="6" s="1"/>
  <c r="DM24" i="6" s="1"/>
  <c r="DM27" i="6" s="1"/>
  <c r="DB29" i="6" s="1"/>
  <c r="DN21" i="6"/>
  <c r="DN26" i="6"/>
  <c r="DN20" i="6" s="1"/>
  <c r="DN17" i="6"/>
  <c r="DN18" i="6" s="1"/>
  <c r="DN19" i="6" s="1"/>
  <c r="DP16" i="6"/>
  <c r="DO15" i="6"/>
  <c r="DN22" i="6" l="1"/>
  <c r="DN23" i="6" s="1"/>
  <c r="DN24" i="6" s="1"/>
  <c r="DN27" i="6" s="1"/>
  <c r="DC29" i="6" s="1"/>
  <c r="DQ16" i="6"/>
  <c r="DP15" i="6"/>
  <c r="DO26" i="6"/>
  <c r="DO20" i="6" s="1"/>
  <c r="DO21" i="6"/>
  <c r="DO17" i="6"/>
  <c r="DO18" i="6" s="1"/>
  <c r="DO19" i="6" s="1"/>
  <c r="DO22" i="6" l="1"/>
  <c r="DO23" i="6" s="1"/>
  <c r="DO24" i="6" s="1"/>
  <c r="DO27" i="6" s="1"/>
  <c r="DP17" i="6"/>
  <c r="DP18" i="6" s="1"/>
  <c r="DP19" i="6" s="1"/>
  <c r="DP26" i="6"/>
  <c r="DP20" i="6" s="1"/>
  <c r="DP21" i="6"/>
  <c r="DR16" i="6"/>
  <c r="DQ15" i="6"/>
  <c r="DP22" i="6" l="1"/>
  <c r="DP23" i="6" s="1"/>
  <c r="DP24" i="6" s="1"/>
  <c r="DP27" i="6" s="1"/>
  <c r="DE29" i="6" s="1"/>
  <c r="DD29" i="6"/>
  <c r="DS16" i="6"/>
  <c r="DR15" i="6"/>
  <c r="DQ17" i="6"/>
  <c r="DQ18" i="6" s="1"/>
  <c r="DQ19" i="6" s="1"/>
  <c r="DQ21" i="6"/>
  <c r="DQ26" i="6"/>
  <c r="DQ20" i="6" s="1"/>
  <c r="DQ22" i="6" l="1"/>
  <c r="DQ23" i="6" s="1"/>
  <c r="DQ24" i="6" s="1"/>
  <c r="DQ27" i="6" s="1"/>
  <c r="DR21" i="6"/>
  <c r="DR26" i="6"/>
  <c r="DR20" i="6" s="1"/>
  <c r="DR17" i="6"/>
  <c r="DR18" i="6" s="1"/>
  <c r="DR19" i="6" s="1"/>
  <c r="DS15" i="6"/>
  <c r="DT16" i="6"/>
  <c r="DR22" i="6" l="1"/>
  <c r="DR23" i="6" s="1"/>
  <c r="DR24" i="6" s="1"/>
  <c r="DR27" i="6" s="1"/>
  <c r="DG29" i="6" s="1"/>
  <c r="DF29" i="6"/>
  <c r="DU16" i="6"/>
  <c r="DT15" i="6"/>
  <c r="DS26" i="6"/>
  <c r="DS20" i="6" s="1"/>
  <c r="DS17" i="6"/>
  <c r="DS18" i="6" s="1"/>
  <c r="DS19" i="6" s="1"/>
  <c r="DS21" i="6"/>
  <c r="DS22" i="6" l="1"/>
  <c r="DS23" i="6" s="1"/>
  <c r="DS24" i="6" s="1"/>
  <c r="DS27" i="6" s="1"/>
  <c r="DH29" i="6" s="1"/>
  <c r="DT17" i="6"/>
  <c r="DT18" i="6" s="1"/>
  <c r="DT19" i="6" s="1"/>
  <c r="DT26" i="6"/>
  <c r="DT20" i="6" s="1"/>
  <c r="DT21" i="6"/>
  <c r="DU15" i="6"/>
  <c r="DV16" i="6"/>
  <c r="DT22" i="6" l="1"/>
  <c r="DT23" i="6" s="1"/>
  <c r="DT24" i="6" s="1"/>
  <c r="DT27" i="6" s="1"/>
  <c r="DU21" i="6"/>
  <c r="DU26" i="6"/>
  <c r="DU20" i="6" s="1"/>
  <c r="DU17" i="6"/>
  <c r="DU18" i="6" s="1"/>
  <c r="DU19" i="6" s="1"/>
  <c r="DW16" i="6"/>
  <c r="DV15" i="6"/>
  <c r="DU22" i="6" l="1"/>
  <c r="DU23" i="6" s="1"/>
  <c r="DU24" i="6" s="1"/>
  <c r="DU27" i="6" s="1"/>
  <c r="DJ29" i="6" s="1"/>
  <c r="DI29" i="6"/>
  <c r="DW15" i="6"/>
  <c r="DX16" i="6"/>
  <c r="DV17" i="6"/>
  <c r="DV18" i="6" s="1"/>
  <c r="DV19" i="6" s="1"/>
  <c r="DV21" i="6"/>
  <c r="DV26" i="6"/>
  <c r="DV20" i="6" s="1"/>
  <c r="DV22" i="6" l="1"/>
  <c r="DV23" i="6" s="1"/>
  <c r="DV24" i="6" s="1"/>
  <c r="DV27" i="6" s="1"/>
  <c r="DY16" i="6"/>
  <c r="DX15" i="6"/>
  <c r="DW17" i="6"/>
  <c r="DW18" i="6" s="1"/>
  <c r="DW19" i="6" s="1"/>
  <c r="DW26" i="6"/>
  <c r="DW20" i="6" s="1"/>
  <c r="DW21" i="6"/>
  <c r="DK29" i="6" l="1"/>
  <c r="DW22" i="6"/>
  <c r="DW23" i="6" s="1"/>
  <c r="DW24" i="6" s="1"/>
  <c r="DW27" i="6" s="1"/>
  <c r="DX26" i="6"/>
  <c r="DX20" i="6" s="1"/>
  <c r="DX21" i="6"/>
  <c r="DX17" i="6"/>
  <c r="DX18" i="6" s="1"/>
  <c r="DX19" i="6" s="1"/>
  <c r="DY15" i="6"/>
  <c r="DZ16" i="6"/>
  <c r="DL29" i="6" l="1"/>
  <c r="DX22" i="6"/>
  <c r="DX23" i="6" s="1"/>
  <c r="DX24" i="6" s="1"/>
  <c r="DX27" i="6" s="1"/>
  <c r="DY17" i="6"/>
  <c r="DY18" i="6" s="1"/>
  <c r="DY19" i="6" s="1"/>
  <c r="DY21" i="6"/>
  <c r="DY26" i="6"/>
  <c r="DY20" i="6" s="1"/>
  <c r="DZ15" i="6"/>
  <c r="EA16" i="6"/>
  <c r="DY22" i="6" l="1"/>
  <c r="DY23" i="6" s="1"/>
  <c r="DY24" i="6" s="1"/>
  <c r="DY27" i="6" s="1"/>
  <c r="DN29" i="6" s="1"/>
  <c r="DM29" i="6"/>
  <c r="EB16" i="6"/>
  <c r="EA15" i="6"/>
  <c r="DZ17" i="6"/>
  <c r="DZ18" i="6" s="1"/>
  <c r="DZ19" i="6" s="1"/>
  <c r="DZ26" i="6"/>
  <c r="DZ20" i="6" s="1"/>
  <c r="DZ21" i="6"/>
  <c r="DZ22" i="6" l="1"/>
  <c r="DZ23" i="6" s="1"/>
  <c r="DZ24" i="6" s="1"/>
  <c r="DZ27" i="6" s="1"/>
  <c r="DO29" i="6" s="1"/>
  <c r="EA21" i="6"/>
  <c r="EA26" i="6"/>
  <c r="EA20" i="6" s="1"/>
  <c r="EA17" i="6"/>
  <c r="EA18" i="6" s="1"/>
  <c r="EA19" i="6" s="1"/>
  <c r="EC16" i="6"/>
  <c r="EB15" i="6"/>
  <c r="EA22" i="6" l="1"/>
  <c r="EA23" i="6" s="1"/>
  <c r="EA24" i="6" s="1"/>
  <c r="EA27" i="6" s="1"/>
  <c r="DP29" i="6" s="1"/>
  <c r="ED16" i="6"/>
  <c r="EC15" i="6"/>
  <c r="EB17" i="6"/>
  <c r="EB18" i="6" s="1"/>
  <c r="EB19" i="6" s="1"/>
  <c r="EB21" i="6"/>
  <c r="EB26" i="6"/>
  <c r="EB20" i="6" s="1"/>
  <c r="EB22" i="6" l="1"/>
  <c r="EB23" i="6" s="1"/>
  <c r="EB24" i="6" s="1"/>
  <c r="EB27" i="6" s="1"/>
  <c r="DQ29" i="6" s="1"/>
  <c r="EC21" i="6"/>
  <c r="EC26" i="6"/>
  <c r="EC20" i="6" s="1"/>
  <c r="EC17" i="6"/>
  <c r="EC18" i="6" s="1"/>
  <c r="EC19" i="6" s="1"/>
  <c r="ED15" i="6"/>
  <c r="EE16" i="6"/>
  <c r="EC22" i="6" l="1"/>
  <c r="EC23" i="6" s="1"/>
  <c r="EC24" i="6" s="1"/>
  <c r="EC27" i="6" s="1"/>
  <c r="DR29" i="6" s="1"/>
  <c r="ED21" i="6"/>
  <c r="ED26" i="6"/>
  <c r="ED20" i="6" s="1"/>
  <c r="ED17" i="6"/>
  <c r="ED18" i="6" s="1"/>
  <c r="ED19" i="6" s="1"/>
  <c r="EE15" i="6"/>
  <c r="EF16" i="6"/>
  <c r="ED22" i="6" l="1"/>
  <c r="ED23" i="6" s="1"/>
  <c r="ED24" i="6" s="1"/>
  <c r="ED27" i="6" s="1"/>
  <c r="EE26" i="6"/>
  <c r="EE20" i="6" s="1"/>
  <c r="EE17" i="6"/>
  <c r="EE18" i="6" s="1"/>
  <c r="EE19" i="6" s="1"/>
  <c r="EE21" i="6"/>
  <c r="EG16" i="6"/>
  <c r="EF15" i="6"/>
  <c r="EE22" i="6" l="1"/>
  <c r="EE23" i="6" s="1"/>
  <c r="EE24" i="6" s="1"/>
  <c r="EE27" i="6" s="1"/>
  <c r="DT29" i="6" s="1"/>
  <c r="DS29" i="6"/>
  <c r="EH16" i="6"/>
  <c r="EG15" i="6"/>
  <c r="EF26" i="6"/>
  <c r="EF20" i="6" s="1"/>
  <c r="EF21" i="6"/>
  <c r="EF17" i="6"/>
  <c r="EF18" i="6" s="1"/>
  <c r="EF19" i="6" s="1"/>
  <c r="EF22" i="6" l="1"/>
  <c r="EF23" i="6" s="1"/>
  <c r="EF24" i="6" s="1"/>
  <c r="EF27" i="6" s="1"/>
  <c r="EG21" i="6"/>
  <c r="EG17" i="6"/>
  <c r="EG18" i="6" s="1"/>
  <c r="EG19" i="6" s="1"/>
  <c r="EG26" i="6"/>
  <c r="EG20" i="6" s="1"/>
  <c r="EI16" i="6"/>
  <c r="EH15" i="6"/>
  <c r="EG22" i="6" l="1"/>
  <c r="EG23" i="6" s="1"/>
  <c r="EG24" i="6" s="1"/>
  <c r="EG27" i="6" s="1"/>
  <c r="DV29" i="6" s="1"/>
  <c r="DU29" i="6"/>
  <c r="EH26" i="6"/>
  <c r="EH20" i="6" s="1"/>
  <c r="EH17" i="6"/>
  <c r="EH18" i="6" s="1"/>
  <c r="EH19" i="6" s="1"/>
  <c r="EH21" i="6"/>
  <c r="EJ16" i="6"/>
  <c r="EI15" i="6"/>
  <c r="EH22" i="6" l="1"/>
  <c r="EH23" i="6" s="1"/>
  <c r="EH24" i="6" s="1"/>
  <c r="EH27" i="6" s="1"/>
  <c r="DW29" i="6" s="1"/>
  <c r="EK16" i="6"/>
  <c r="EJ15" i="6"/>
  <c r="EI21" i="6"/>
  <c r="EI17" i="6"/>
  <c r="EI18" i="6" s="1"/>
  <c r="EI19" i="6" s="1"/>
  <c r="EI26" i="6"/>
  <c r="EI20" i="6" s="1"/>
  <c r="EI22" i="6" l="1"/>
  <c r="EI23" i="6" s="1"/>
  <c r="EI24" i="6" s="1"/>
  <c r="EI27" i="6" s="1"/>
  <c r="EJ26" i="6"/>
  <c r="EJ20" i="6" s="1"/>
  <c r="EJ17" i="6"/>
  <c r="EJ18" i="6" s="1"/>
  <c r="EJ19" i="6" s="1"/>
  <c r="EJ21" i="6"/>
  <c r="EK15" i="6"/>
  <c r="EJ22" i="6" l="1"/>
  <c r="EJ23" i="6" s="1"/>
  <c r="EJ24" i="6" s="1"/>
  <c r="EJ27" i="6" s="1"/>
  <c r="DY29" i="6" s="1"/>
  <c r="DX29" i="6"/>
  <c r="EK17" i="6"/>
  <c r="EK21" i="6"/>
  <c r="EK26" i="6"/>
  <c r="EK20" i="6" s="1"/>
  <c r="EK18" i="6" l="1"/>
  <c r="EK19" i="6" s="1"/>
  <c r="G37" i="4"/>
  <c r="EK22" i="6"/>
  <c r="EK23" i="6" s="1"/>
  <c r="EK24" i="6" s="1"/>
  <c r="EK27" i="6" s="1"/>
  <c r="G36" i="4" l="1"/>
  <c r="E52" i="2"/>
  <c r="DZ29" i="6"/>
  <c r="EA29" i="6"/>
  <c r="EF29" i="6"/>
  <c r="EB29" i="6"/>
  <c r="EC29" i="6"/>
  <c r="EE29" i="6"/>
  <c r="EI29" i="6"/>
  <c r="EG29" i="6"/>
  <c r="ED29" i="6"/>
  <c r="EH29" i="6"/>
  <c r="EJ29" i="6"/>
  <c r="EK29" i="6"/>
  <c r="C33" i="3" l="1"/>
  <c r="E51" i="2"/>
  <c r="F52" i="2"/>
  <c r="F51" i="2" s="1"/>
  <c r="G52" i="2"/>
  <c r="G51" i="2" s="1"/>
  <c r="H29" i="6"/>
  <c r="G44" i="4" s="1"/>
  <c r="G45" i="4" l="1"/>
  <c r="G46" i="4" s="1"/>
  <c r="G47" i="4" s="1"/>
  <c r="G56" i="2"/>
  <c r="G19" i="2" s="1"/>
  <c r="M25" i="4" s="1"/>
  <c r="G18" i="2"/>
  <c r="G59" i="2"/>
  <c r="G20" i="2" s="1"/>
  <c r="M26" i="4" s="1"/>
  <c r="F18" i="2"/>
  <c r="F56" i="2"/>
  <c r="F19" i="2" s="1"/>
  <c r="L25" i="4" s="1"/>
  <c r="F59" i="2"/>
  <c r="F20" i="2" s="1"/>
  <c r="L26" i="4" s="1"/>
  <c r="E18" i="2"/>
  <c r="E56" i="2"/>
  <c r="E59" i="2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E19" i="2" l="1"/>
  <c r="E20" i="2"/>
  <c r="I33" i="3"/>
  <c r="L24" i="4"/>
  <c r="M24" i="4"/>
  <c r="K24" i="4"/>
  <c r="K25" i="4" l="1"/>
  <c r="C36" i="3"/>
  <c r="C38" i="3"/>
  <c r="K26" i="4"/>
  <c r="L38" i="3" l="1"/>
  <c r="S38" i="3"/>
  <c r="AI38" i="3"/>
  <c r="AY38" i="3"/>
  <c r="BO38" i="3"/>
  <c r="AZ38" i="3"/>
  <c r="AK38" i="3"/>
  <c r="BA38" i="3"/>
  <c r="AL38" i="3"/>
  <c r="W38" i="3"/>
  <c r="BC38" i="3"/>
  <c r="BC39" i="3" s="1"/>
  <c r="BC73" i="3" s="1"/>
  <c r="AN38" i="3"/>
  <c r="AQ38" i="3"/>
  <c r="P38" i="3"/>
  <c r="P39" i="3" s="1"/>
  <c r="P73" i="3" s="1"/>
  <c r="T38" i="3"/>
  <c r="T39" i="3" s="1"/>
  <c r="T73" i="3" s="1"/>
  <c r="AJ38" i="3"/>
  <c r="BP38" i="3"/>
  <c r="BQ38" i="3"/>
  <c r="BB38" i="3"/>
  <c r="BE38" i="3"/>
  <c r="BF38" i="3"/>
  <c r="AA38" i="3"/>
  <c r="AB38" i="3"/>
  <c r="BH38" i="3"/>
  <c r="AG38" i="3"/>
  <c r="AG39" i="3" s="1"/>
  <c r="AG73" i="3" s="1"/>
  <c r="U38" i="3"/>
  <c r="U39" i="3" s="1"/>
  <c r="U73" i="3" s="1"/>
  <c r="BR38" i="3"/>
  <c r="BR39" i="3" s="1"/>
  <c r="BR73" i="3" s="1"/>
  <c r="AM38" i="3"/>
  <c r="AM39" i="3" s="1"/>
  <c r="AM73" i="3" s="1"/>
  <c r="AO38" i="3"/>
  <c r="Z38" i="3"/>
  <c r="Z39" i="3" s="1"/>
  <c r="Z73" i="3" s="1"/>
  <c r="O38" i="3"/>
  <c r="AC38" i="3"/>
  <c r="M38" i="3"/>
  <c r="BJ38" i="3"/>
  <c r="BL38" i="3"/>
  <c r="V38" i="3"/>
  <c r="BD38" i="3"/>
  <c r="Y38" i="3"/>
  <c r="AP38" i="3"/>
  <c r="AD38" i="3"/>
  <c r="AE38" i="3"/>
  <c r="Q38" i="3"/>
  <c r="Q39" i="3" s="1"/>
  <c r="Q73" i="3" s="1"/>
  <c r="BS38" i="3"/>
  <c r="BS39" i="3" s="1"/>
  <c r="BS73" i="3" s="1"/>
  <c r="BG38" i="3"/>
  <c r="AR38" i="3"/>
  <c r="AS38" i="3"/>
  <c r="AT38" i="3"/>
  <c r="BK38" i="3"/>
  <c r="AF38" i="3"/>
  <c r="BM38" i="3"/>
  <c r="AX38" i="3"/>
  <c r="X38" i="3"/>
  <c r="BI38" i="3"/>
  <c r="AU38" i="3"/>
  <c r="R38" i="3"/>
  <c r="R39" i="3" s="1"/>
  <c r="R73" i="3" s="1"/>
  <c r="N38" i="3"/>
  <c r="AV38" i="3"/>
  <c r="AV39" i="3" s="1"/>
  <c r="AV73" i="3" s="1"/>
  <c r="AW38" i="3"/>
  <c r="AW39" i="3" s="1"/>
  <c r="AW73" i="3" s="1"/>
  <c r="BN38" i="3"/>
  <c r="BN39" i="3" s="1"/>
  <c r="BN73" i="3" s="1"/>
  <c r="AH38" i="3"/>
  <c r="AH39" i="3" s="1"/>
  <c r="AH73" i="3" s="1"/>
  <c r="M36" i="3"/>
  <c r="L36" i="3"/>
  <c r="L39" i="3" s="1"/>
  <c r="L73" i="3" s="1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C39" i="3"/>
  <c r="O39" i="3" l="1"/>
  <c r="O73" i="3" s="1"/>
  <c r="AU39" i="3"/>
  <c r="AU73" i="3" s="1"/>
  <c r="AE39" i="3"/>
  <c r="AE73" i="3" s="1"/>
  <c r="AN39" i="3"/>
  <c r="AN73" i="3" s="1"/>
  <c r="BK39" i="3"/>
  <c r="BK73" i="3" s="1"/>
  <c r="AC39" i="3"/>
  <c r="AC73" i="3" s="1"/>
  <c r="AJ39" i="3"/>
  <c r="AJ73" i="3" s="1"/>
  <c r="W39" i="3"/>
  <c r="W73" i="3" s="1"/>
  <c r="AQ39" i="3"/>
  <c r="AQ73" i="3" s="1"/>
  <c r="AL39" i="3"/>
  <c r="AL73" i="3" s="1"/>
  <c r="AO39" i="3"/>
  <c r="AO73" i="3" s="1"/>
  <c r="N39" i="3"/>
  <c r="N73" i="3" s="1"/>
  <c r="BH39" i="3"/>
  <c r="BH73" i="3" s="1"/>
  <c r="BA39" i="3"/>
  <c r="BA73" i="3" s="1"/>
  <c r="AP39" i="3"/>
  <c r="AP73" i="3" s="1"/>
  <c r="AB39" i="3"/>
  <c r="AB73" i="3" s="1"/>
  <c r="AK39" i="3"/>
  <c r="AK73" i="3" s="1"/>
  <c r="AS39" i="3"/>
  <c r="AS73" i="3" s="1"/>
  <c r="M41" i="4"/>
  <c r="M46" i="4" s="1"/>
  <c r="Y39" i="3"/>
  <c r="Y73" i="3" s="1"/>
  <c r="AA39" i="3"/>
  <c r="AA73" i="3" s="1"/>
  <c r="AZ39" i="3"/>
  <c r="AZ73" i="3" s="1"/>
  <c r="I38" i="3"/>
  <c r="BI39" i="3"/>
  <c r="BI73" i="3" s="1"/>
  <c r="BD39" i="3"/>
  <c r="BD73" i="3" s="1"/>
  <c r="BF39" i="3"/>
  <c r="BF73" i="3" s="1"/>
  <c r="BO39" i="3"/>
  <c r="BO73" i="3" s="1"/>
  <c r="X39" i="3"/>
  <c r="X73" i="3" s="1"/>
  <c r="V39" i="3"/>
  <c r="V73" i="3" s="1"/>
  <c r="BE39" i="3"/>
  <c r="BE73" i="3" s="1"/>
  <c r="AY39" i="3"/>
  <c r="AY73" i="3" s="1"/>
  <c r="I36" i="3"/>
  <c r="AX39" i="3"/>
  <c r="AX73" i="3" s="1"/>
  <c r="BL39" i="3"/>
  <c r="BL73" i="3" s="1"/>
  <c r="BB39" i="3"/>
  <c r="BB73" i="3" s="1"/>
  <c r="AI39" i="3"/>
  <c r="AI73" i="3" s="1"/>
  <c r="AT39" i="3"/>
  <c r="AT73" i="3" s="1"/>
  <c r="BG39" i="3"/>
  <c r="BG73" i="3" s="1"/>
  <c r="AD39" i="3"/>
  <c r="AD73" i="3" s="1"/>
  <c r="BM39" i="3"/>
  <c r="BM73" i="3" s="1"/>
  <c r="BJ39" i="3"/>
  <c r="BJ73" i="3" s="1"/>
  <c r="BQ39" i="3"/>
  <c r="BQ73" i="3" s="1"/>
  <c r="S39" i="3"/>
  <c r="S73" i="3" s="1"/>
  <c r="AR39" i="3"/>
  <c r="AR73" i="3" s="1"/>
  <c r="AF39" i="3"/>
  <c r="AF73" i="3" s="1"/>
  <c r="M39" i="3"/>
  <c r="M73" i="3" s="1"/>
  <c r="C75" i="3" s="1"/>
  <c r="M9" i="4" s="1"/>
  <c r="BP39" i="3"/>
  <c r="BP73" i="3" s="1"/>
  <c r="C73" i="3" l="1"/>
  <c r="K9" i="4" s="1"/>
  <c r="C74" i="3"/>
  <c r="L9" i="4" s="1"/>
  <c r="I39" i="3"/>
  <c r="K51" i="3"/>
  <c r="M45" i="4"/>
  <c r="K46" i="3" l="1"/>
  <c r="K47" i="3" s="1"/>
  <c r="K14" i="4"/>
  <c r="M14" i="4" l="1"/>
  <c r="L14" i="4"/>
  <c r="K48" i="3"/>
  <c r="L46" i="3" s="1"/>
  <c r="L47" i="3" s="1"/>
  <c r="L49" i="3" s="1"/>
  <c r="K52" i="3"/>
  <c r="K49" i="3"/>
  <c r="K62" i="3" l="1"/>
  <c r="K40" i="3" s="1"/>
  <c r="K54" i="3"/>
  <c r="K53" i="3"/>
  <c r="L51" i="3" s="1"/>
  <c r="L48" i="3"/>
  <c r="M46" i="3" s="1"/>
  <c r="M47" i="3" s="1"/>
  <c r="K55" i="3" l="1"/>
  <c r="L63" i="3" s="1"/>
  <c r="L41" i="3" s="1"/>
  <c r="K78" i="3"/>
  <c r="M48" i="3"/>
  <c r="N46" i="3" s="1"/>
  <c r="M49" i="3"/>
  <c r="K42" i="3"/>
  <c r="L52" i="3"/>
  <c r="L54" i="3" l="1"/>
  <c r="N47" i="3"/>
  <c r="L62" i="3"/>
  <c r="L40" i="3" s="1"/>
  <c r="L53" i="3"/>
  <c r="M51" i="3" s="1"/>
  <c r="L55" i="3" l="1"/>
  <c r="M63" i="3" s="1"/>
  <c r="M41" i="3" s="1"/>
  <c r="L78" i="3"/>
  <c r="N49" i="3"/>
  <c r="L42" i="3"/>
  <c r="M52" i="3"/>
  <c r="N48" i="3"/>
  <c r="O46" i="3" s="1"/>
  <c r="M54" i="3" l="1"/>
  <c r="M62" i="3"/>
  <c r="M40" i="3" s="1"/>
  <c r="M53" i="3"/>
  <c r="N51" i="3" s="1"/>
  <c r="O47" i="3"/>
  <c r="M55" i="3" l="1"/>
  <c r="M78" i="3"/>
  <c r="O49" i="3"/>
  <c r="M42" i="3"/>
  <c r="O48" i="3"/>
  <c r="P46" i="3" s="1"/>
  <c r="P47" i="3" s="1"/>
  <c r="N52" i="3"/>
  <c r="N53" i="3" s="1"/>
  <c r="O51" i="3" s="1"/>
  <c r="O52" i="3" s="1"/>
  <c r="O53" i="3" s="1"/>
  <c r="P51" i="3" s="1"/>
  <c r="N63" i="3"/>
  <c r="N41" i="3" s="1"/>
  <c r="P48" i="3" l="1"/>
  <c r="Q46" i="3" s="1"/>
  <c r="P52" i="3"/>
  <c r="P53" i="3" s="1"/>
  <c r="Q51" i="3" s="1"/>
  <c r="N62" i="3"/>
  <c r="N40" i="3" s="1"/>
  <c r="O62" i="3"/>
  <c r="O40" i="3" s="1"/>
  <c r="P49" i="3"/>
  <c r="N54" i="3"/>
  <c r="N55" i="3" l="1"/>
  <c r="O63" i="3" s="1"/>
  <c r="O41" i="3" s="1"/>
  <c r="N78" i="3"/>
  <c r="Q47" i="3"/>
  <c r="N42" i="3"/>
  <c r="P62" i="3"/>
  <c r="P40" i="3" s="1"/>
  <c r="O42" i="3" l="1"/>
  <c r="Q52" i="3"/>
  <c r="Q49" i="3"/>
  <c r="O54" i="3"/>
  <c r="Q48" i="3"/>
  <c r="R46" i="3" s="1"/>
  <c r="O55" i="3" l="1"/>
  <c r="P63" i="3" s="1"/>
  <c r="P41" i="3" s="1"/>
  <c r="O78" i="3"/>
  <c r="R47" i="3"/>
  <c r="Q53" i="3"/>
  <c r="R51" i="3" s="1"/>
  <c r="Q62" i="3"/>
  <c r="Q40" i="3" s="1"/>
  <c r="P54" i="3" l="1"/>
  <c r="R52" i="3"/>
  <c r="R49" i="3"/>
  <c r="P42" i="3"/>
  <c r="R48" i="3"/>
  <c r="S46" i="3" s="1"/>
  <c r="P55" i="3" l="1"/>
  <c r="Q63" i="3" s="1"/>
  <c r="Q41" i="3" s="1"/>
  <c r="Q42" i="3" s="1"/>
  <c r="P78" i="3"/>
  <c r="S47" i="3"/>
  <c r="R53" i="3"/>
  <c r="S51" i="3" s="1"/>
  <c r="R62" i="3"/>
  <c r="R40" i="3" s="1"/>
  <c r="Q54" i="3" l="1"/>
  <c r="Q55" i="3" s="1"/>
  <c r="R63" i="3" s="1"/>
  <c r="R41" i="3" s="1"/>
  <c r="R42" i="3" s="1"/>
  <c r="S52" i="3"/>
  <c r="S53" i="3" s="1"/>
  <c r="T51" i="3" s="1"/>
  <c r="S49" i="3"/>
  <c r="S48" i="3"/>
  <c r="T46" i="3" s="1"/>
  <c r="Q78" i="3" l="1"/>
  <c r="R54" i="3"/>
  <c r="R55" i="3" s="1"/>
  <c r="T47" i="3"/>
  <c r="S62" i="3"/>
  <c r="S40" i="3" s="1"/>
  <c r="R78" i="3" l="1"/>
  <c r="S63" i="3"/>
  <c r="S41" i="3" s="1"/>
  <c r="S54" i="3"/>
  <c r="S55" i="3" s="1"/>
  <c r="T63" i="3" s="1"/>
  <c r="T41" i="3" s="1"/>
  <c r="S42" i="3"/>
  <c r="T52" i="3"/>
  <c r="T49" i="3"/>
  <c r="T48" i="3"/>
  <c r="U46" i="3" s="1"/>
  <c r="S78" i="3" l="1"/>
  <c r="T54" i="3"/>
  <c r="T55" i="3" s="1"/>
  <c r="U63" i="3" s="1"/>
  <c r="U41" i="3" s="1"/>
  <c r="U47" i="3"/>
  <c r="T53" i="3"/>
  <c r="U51" i="3" s="1"/>
  <c r="T62" i="3"/>
  <c r="T40" i="3" s="1"/>
  <c r="T42" i="3" s="1"/>
  <c r="T78" i="3" l="1"/>
  <c r="U52" i="3"/>
  <c r="U49" i="3"/>
  <c r="U48" i="3"/>
  <c r="V46" i="3" s="1"/>
  <c r="V47" i="3" l="1"/>
  <c r="U54" i="3"/>
  <c r="U62" i="3"/>
  <c r="U40" i="3" s="1"/>
  <c r="U42" i="3" s="1"/>
  <c r="U53" i="3"/>
  <c r="V51" i="3" s="1"/>
  <c r="V52" i="3" l="1"/>
  <c r="U55" i="3"/>
  <c r="V63" i="3" s="1"/>
  <c r="V41" i="3" s="1"/>
  <c r="U78" i="3"/>
  <c r="V49" i="3"/>
  <c r="V53" i="3"/>
  <c r="W51" i="3" s="1"/>
  <c r="V62" i="3"/>
  <c r="V40" i="3" s="1"/>
  <c r="V48" i="3"/>
  <c r="W46" i="3" s="1"/>
  <c r="V54" i="3" l="1"/>
  <c r="W47" i="3"/>
  <c r="V42" i="3"/>
  <c r="V55" i="3" l="1"/>
  <c r="W63" i="3" s="1"/>
  <c r="W41" i="3" s="1"/>
  <c r="V78" i="3"/>
  <c r="W52" i="3"/>
  <c r="W49" i="3"/>
  <c r="W48" i="3"/>
  <c r="X46" i="3" s="1"/>
  <c r="X47" i="3" l="1"/>
  <c r="W53" i="3"/>
  <c r="X51" i="3" s="1"/>
  <c r="W62" i="3"/>
  <c r="W40" i="3" s="1"/>
  <c r="W42" i="3" s="1"/>
  <c r="W54" i="3"/>
  <c r="W55" i="3" l="1"/>
  <c r="X63" i="3" s="1"/>
  <c r="X41" i="3" s="1"/>
  <c r="W78" i="3"/>
  <c r="X52" i="3"/>
  <c r="X49" i="3"/>
  <c r="X48" i="3"/>
  <c r="Y46" i="3" s="1"/>
  <c r="Y47" i="3" s="1"/>
  <c r="Y48" i="3" l="1"/>
  <c r="Z46" i="3" s="1"/>
  <c r="Y49" i="3"/>
  <c r="X62" i="3"/>
  <c r="X40" i="3" s="1"/>
  <c r="X42" i="3" s="1"/>
  <c r="X53" i="3"/>
  <c r="Y51" i="3" s="1"/>
  <c r="X54" i="3"/>
  <c r="X55" i="3" l="1"/>
  <c r="Y63" i="3" s="1"/>
  <c r="Y41" i="3" s="1"/>
  <c r="X78" i="3"/>
  <c r="Y52" i="3"/>
  <c r="Z47" i="3"/>
  <c r="Z49" i="3" l="1"/>
  <c r="Z48" i="3"/>
  <c r="AA46" i="3" s="1"/>
  <c r="Y62" i="3"/>
  <c r="Y40" i="3" s="1"/>
  <c r="Y42" i="3" s="1"/>
  <c r="Y54" i="3"/>
  <c r="Y53" i="3"/>
  <c r="Z51" i="3" s="1"/>
  <c r="Z52" i="3" s="1"/>
  <c r="Y55" i="3" l="1"/>
  <c r="Z63" i="3" s="1"/>
  <c r="Z41" i="3" s="1"/>
  <c r="Y78" i="3"/>
  <c r="Z53" i="3"/>
  <c r="AA51" i="3" s="1"/>
  <c r="Z62" i="3"/>
  <c r="Z40" i="3" s="1"/>
  <c r="AA47" i="3"/>
  <c r="Z54" i="3" l="1"/>
  <c r="AA52" i="3"/>
  <c r="AA49" i="3"/>
  <c r="AA48" i="3"/>
  <c r="AB46" i="3" s="1"/>
  <c r="Z42" i="3"/>
  <c r="Z55" i="3" l="1"/>
  <c r="AA63" i="3" s="1"/>
  <c r="AA41" i="3" s="1"/>
  <c r="Z78" i="3"/>
  <c r="AB47" i="3"/>
  <c r="AA53" i="3"/>
  <c r="AB51" i="3" s="1"/>
  <c r="AA62" i="3"/>
  <c r="AA40" i="3" s="1"/>
  <c r="AA42" i="3" l="1"/>
  <c r="AA54" i="3"/>
  <c r="AA55" i="3" s="1"/>
  <c r="AB63" i="3" s="1"/>
  <c r="AB41" i="3" s="1"/>
  <c r="AB52" i="3"/>
  <c r="AB49" i="3"/>
  <c r="AB48" i="3"/>
  <c r="AC46" i="3" s="1"/>
  <c r="AA78" i="3" l="1"/>
  <c r="AC47" i="3"/>
  <c r="AB53" i="3"/>
  <c r="AC51" i="3" s="1"/>
  <c r="AB54" i="3"/>
  <c r="AB62" i="3"/>
  <c r="AB40" i="3" s="1"/>
  <c r="AB42" i="3" s="1"/>
  <c r="AB55" i="3" l="1"/>
  <c r="AC63" i="3" s="1"/>
  <c r="AC41" i="3" s="1"/>
  <c r="AB78" i="3"/>
  <c r="AC52" i="3"/>
  <c r="AC49" i="3"/>
  <c r="AC48" i="3"/>
  <c r="AD46" i="3" s="1"/>
  <c r="AD47" i="3" s="1"/>
  <c r="AD48" i="3" l="1"/>
  <c r="AE46" i="3" s="1"/>
  <c r="AD49" i="3"/>
  <c r="AC62" i="3"/>
  <c r="AC40" i="3" s="1"/>
  <c r="AC42" i="3" s="1"/>
  <c r="AC53" i="3"/>
  <c r="AD51" i="3" s="1"/>
  <c r="AC54" i="3"/>
  <c r="AC55" i="3" l="1"/>
  <c r="AD63" i="3" s="1"/>
  <c r="AD41" i="3" s="1"/>
  <c r="AC78" i="3"/>
  <c r="AD52" i="3"/>
  <c r="AE47" i="3"/>
  <c r="AE49" i="3" l="1"/>
  <c r="AE48" i="3"/>
  <c r="AF46" i="3" s="1"/>
  <c r="AF47" i="3" s="1"/>
  <c r="AD62" i="3"/>
  <c r="AD40" i="3" s="1"/>
  <c r="AD42" i="3" s="1"/>
  <c r="AD53" i="3"/>
  <c r="AE51" i="3" s="1"/>
  <c r="AD54" i="3"/>
  <c r="AD55" i="3" l="1"/>
  <c r="AE63" i="3" s="1"/>
  <c r="AE41" i="3" s="1"/>
  <c r="AD78" i="3"/>
  <c r="AF48" i="3"/>
  <c r="AG46" i="3" s="1"/>
  <c r="AF49" i="3"/>
  <c r="AE52" i="3"/>
  <c r="AE62" i="3" l="1"/>
  <c r="AE40" i="3" s="1"/>
  <c r="AE42" i="3" s="1"/>
  <c r="AG47" i="3"/>
  <c r="AE54" i="3"/>
  <c r="AE53" i="3"/>
  <c r="AF51" i="3" s="1"/>
  <c r="AE55" i="3" l="1"/>
  <c r="AF63" i="3" s="1"/>
  <c r="AF41" i="3" s="1"/>
  <c r="AE78" i="3"/>
  <c r="AF52" i="3"/>
  <c r="AG49" i="3"/>
  <c r="AG48" i="3"/>
  <c r="AH46" i="3" s="1"/>
  <c r="AH47" i="3" l="1"/>
  <c r="AF62" i="3"/>
  <c r="AF40" i="3" s="1"/>
  <c r="AF42" i="3" s="1"/>
  <c r="AF53" i="3"/>
  <c r="AG51" i="3" s="1"/>
  <c r="AG52" i="3" s="1"/>
  <c r="AF54" i="3"/>
  <c r="AF55" i="3" l="1"/>
  <c r="AG63" i="3" s="1"/>
  <c r="AG41" i="3" s="1"/>
  <c r="AF78" i="3"/>
  <c r="AH49" i="3"/>
  <c r="AG53" i="3"/>
  <c r="AH51" i="3" s="1"/>
  <c r="AH52" i="3" s="1"/>
  <c r="AG62" i="3"/>
  <c r="AG40" i="3" s="1"/>
  <c r="AH48" i="3"/>
  <c r="AI46" i="3" s="1"/>
  <c r="AI47" i="3" s="1"/>
  <c r="AG54" i="3" l="1"/>
  <c r="AH53" i="3"/>
  <c r="AI51" i="3" s="1"/>
  <c r="AH62" i="3"/>
  <c r="AH40" i="3" s="1"/>
  <c r="AI48" i="3"/>
  <c r="AJ46" i="3" s="1"/>
  <c r="AI52" i="3"/>
  <c r="AI49" i="3"/>
  <c r="AG42" i="3"/>
  <c r="AG55" i="3" l="1"/>
  <c r="AH63" i="3" s="1"/>
  <c r="AH41" i="3" s="1"/>
  <c r="AH42" i="3" s="1"/>
  <c r="AG78" i="3"/>
  <c r="AJ47" i="3"/>
  <c r="AI62" i="3"/>
  <c r="AI40" i="3" s="1"/>
  <c r="AI53" i="3"/>
  <c r="AJ51" i="3" s="1"/>
  <c r="AH54" i="3" l="1"/>
  <c r="AJ52" i="3"/>
  <c r="AJ49" i="3"/>
  <c r="AJ48" i="3"/>
  <c r="AK46" i="3" s="1"/>
  <c r="AH55" i="3" l="1"/>
  <c r="AH78" i="3"/>
  <c r="AK47" i="3"/>
  <c r="AJ53" i="3"/>
  <c r="AK51" i="3" s="1"/>
  <c r="AJ62" i="3"/>
  <c r="AJ40" i="3" s="1"/>
  <c r="AI63" i="3" l="1"/>
  <c r="AI41" i="3" s="1"/>
  <c r="AI42" i="3" s="1"/>
  <c r="AK52" i="3"/>
  <c r="AK49" i="3"/>
  <c r="AK48" i="3"/>
  <c r="AL46" i="3" s="1"/>
  <c r="AI54" i="3" l="1"/>
  <c r="AI55" i="3" s="1"/>
  <c r="AL47" i="3"/>
  <c r="AK53" i="3"/>
  <c r="AL51" i="3" s="1"/>
  <c r="AK62" i="3"/>
  <c r="AK40" i="3" s="1"/>
  <c r="AI78" i="3" l="1"/>
  <c r="AJ63" i="3"/>
  <c r="AJ41" i="3" s="1"/>
  <c r="AJ42" i="3" s="1"/>
  <c r="AL52" i="3"/>
  <c r="AL49" i="3"/>
  <c r="AL48" i="3"/>
  <c r="AM46" i="3" s="1"/>
  <c r="AJ54" i="3" l="1"/>
  <c r="AJ55" i="3" s="1"/>
  <c r="AM47" i="3"/>
  <c r="AL53" i="3"/>
  <c r="AM51" i="3" s="1"/>
  <c r="AL62" i="3"/>
  <c r="AL40" i="3" s="1"/>
  <c r="AJ78" i="3" l="1"/>
  <c r="AK63" i="3"/>
  <c r="AK41" i="3" s="1"/>
  <c r="AK42" i="3" s="1"/>
  <c r="AM52" i="3"/>
  <c r="AM49" i="3"/>
  <c r="AM48" i="3"/>
  <c r="AN46" i="3" s="1"/>
  <c r="AK54" i="3" l="1"/>
  <c r="AK55" i="3" s="1"/>
  <c r="AN47" i="3"/>
  <c r="AM53" i="3"/>
  <c r="AN51" i="3" s="1"/>
  <c r="AM62" i="3"/>
  <c r="AM40" i="3" s="1"/>
  <c r="AK78" i="3" l="1"/>
  <c r="AL63" i="3"/>
  <c r="AL41" i="3" s="1"/>
  <c r="AL42" i="3" s="1"/>
  <c r="AN52" i="3"/>
  <c r="AN49" i="3"/>
  <c r="AN48" i="3"/>
  <c r="AO46" i="3" s="1"/>
  <c r="AL54" i="3" l="1"/>
  <c r="AL55" i="3" s="1"/>
  <c r="AO47" i="3"/>
  <c r="AN53" i="3"/>
  <c r="AO51" i="3" s="1"/>
  <c r="AN62" i="3"/>
  <c r="AN40" i="3" s="1"/>
  <c r="AL78" i="3" l="1"/>
  <c r="AM63" i="3"/>
  <c r="AM41" i="3" s="1"/>
  <c r="AM42" i="3" s="1"/>
  <c r="AO52" i="3"/>
  <c r="AO49" i="3"/>
  <c r="AO48" i="3"/>
  <c r="AP46" i="3" s="1"/>
  <c r="AM54" i="3" l="1"/>
  <c r="AM55" i="3" s="1"/>
  <c r="AP47" i="3"/>
  <c r="AO62" i="3"/>
  <c r="AO40" i="3" s="1"/>
  <c r="AO53" i="3"/>
  <c r="AP51" i="3" s="1"/>
  <c r="AM78" i="3" l="1"/>
  <c r="AN63" i="3"/>
  <c r="AN41" i="3" s="1"/>
  <c r="AN42" i="3" s="1"/>
  <c r="AP52" i="3"/>
  <c r="AP49" i="3"/>
  <c r="AP48" i="3"/>
  <c r="AQ46" i="3" s="1"/>
  <c r="AQ47" i="3" s="1"/>
  <c r="AN54" i="3" l="1"/>
  <c r="AN55" i="3" s="1"/>
  <c r="AQ48" i="3"/>
  <c r="AR46" i="3" s="1"/>
  <c r="AQ49" i="3"/>
  <c r="AP53" i="3"/>
  <c r="AQ51" i="3" s="1"/>
  <c r="AP62" i="3"/>
  <c r="AP40" i="3" s="1"/>
  <c r="AN78" i="3" l="1"/>
  <c r="AO63" i="3"/>
  <c r="AO41" i="3" s="1"/>
  <c r="AO42" i="3" s="1"/>
  <c r="AO54" i="3"/>
  <c r="AQ52" i="3"/>
  <c r="AR47" i="3"/>
  <c r="AO55" i="3" l="1"/>
  <c r="AO78" i="3"/>
  <c r="AR49" i="3"/>
  <c r="AR48" i="3"/>
  <c r="AS46" i="3" s="1"/>
  <c r="AS47" i="3" s="1"/>
  <c r="AQ62" i="3"/>
  <c r="AQ40" i="3" s="1"/>
  <c r="AQ53" i="3"/>
  <c r="AR51" i="3" s="1"/>
  <c r="AP63" i="3" l="1"/>
  <c r="AP41" i="3" s="1"/>
  <c r="AP42" i="3" s="1"/>
  <c r="AS48" i="3"/>
  <c r="AT46" i="3" s="1"/>
  <c r="AS49" i="3"/>
  <c r="AR52" i="3"/>
  <c r="AP54" i="3" l="1"/>
  <c r="AP55" i="3"/>
  <c r="AP78" i="3"/>
  <c r="AT47" i="3"/>
  <c r="AR62" i="3"/>
  <c r="AR40" i="3" s="1"/>
  <c r="AR53" i="3"/>
  <c r="AS51" i="3" s="1"/>
  <c r="AQ63" i="3" l="1"/>
  <c r="AQ41" i="3" s="1"/>
  <c r="AQ42" i="3" s="1"/>
  <c r="AQ54" i="3"/>
  <c r="AS52" i="3"/>
  <c r="AT49" i="3"/>
  <c r="AT48" i="3"/>
  <c r="AU46" i="3" s="1"/>
  <c r="AQ55" i="3" l="1"/>
  <c r="AQ78" i="3"/>
  <c r="AS62" i="3"/>
  <c r="AS40" i="3" s="1"/>
  <c r="AU47" i="3"/>
  <c r="AS53" i="3"/>
  <c r="AT51" i="3" s="1"/>
  <c r="AR63" i="3" l="1"/>
  <c r="AR41" i="3" s="1"/>
  <c r="AR42" i="3" s="1"/>
  <c r="AU49" i="3"/>
  <c r="AT52" i="3"/>
  <c r="AU48" i="3"/>
  <c r="AV46" i="3" s="1"/>
  <c r="AR54" i="3" l="1"/>
  <c r="AR55" i="3" s="1"/>
  <c r="AV47" i="3"/>
  <c r="AT62" i="3"/>
  <c r="AT40" i="3" s="1"/>
  <c r="AT53" i="3"/>
  <c r="AU51" i="3" s="1"/>
  <c r="AR78" i="3" l="1"/>
  <c r="AS63" i="3"/>
  <c r="AS41" i="3" s="1"/>
  <c r="AS42" i="3" s="1"/>
  <c r="AU52" i="3"/>
  <c r="AV49" i="3"/>
  <c r="AV48" i="3"/>
  <c r="AW46" i="3" s="1"/>
  <c r="AS54" i="3" l="1"/>
  <c r="AS55" i="3" s="1"/>
  <c r="AW47" i="3"/>
  <c r="AU62" i="3"/>
  <c r="AU40" i="3" s="1"/>
  <c r="AU53" i="3"/>
  <c r="AV51" i="3" s="1"/>
  <c r="AS78" i="3" l="1"/>
  <c r="AT63" i="3"/>
  <c r="AT41" i="3" s="1"/>
  <c r="AT42" i="3" s="1"/>
  <c r="AV52" i="3"/>
  <c r="AW49" i="3"/>
  <c r="AW48" i="3"/>
  <c r="AX46" i="3" s="1"/>
  <c r="AT54" i="3" l="1"/>
  <c r="AX47" i="3"/>
  <c r="AV62" i="3"/>
  <c r="AV40" i="3" s="1"/>
  <c r="AV53" i="3"/>
  <c r="AW51" i="3" s="1"/>
  <c r="AW52" i="3" s="1"/>
  <c r="AX48" i="3" l="1"/>
  <c r="AY46" i="3" s="1"/>
  <c r="AY47" i="3" s="1"/>
  <c r="AT55" i="3"/>
  <c r="AT78" i="3"/>
  <c r="AW53" i="3"/>
  <c r="AX51" i="3" s="1"/>
  <c r="AW62" i="3"/>
  <c r="AW40" i="3" s="1"/>
  <c r="AX52" i="3"/>
  <c r="AX62" i="3" s="1"/>
  <c r="AX40" i="3" s="1"/>
  <c r="AX49" i="3"/>
  <c r="AY48" i="3"/>
  <c r="AZ46" i="3" s="1"/>
  <c r="AZ47" i="3" s="1"/>
  <c r="AY49" i="3"/>
  <c r="AU63" i="3" l="1"/>
  <c r="AU41" i="3" s="1"/>
  <c r="AU42" i="3" s="1"/>
  <c r="AZ48" i="3"/>
  <c r="BA46" i="3" s="1"/>
  <c r="BA47" i="3" s="1"/>
  <c r="AZ49" i="3"/>
  <c r="AX53" i="3"/>
  <c r="AY51" i="3" s="1"/>
  <c r="AY52" i="3" s="1"/>
  <c r="AU54" i="3" l="1"/>
  <c r="AU55" i="3" s="1"/>
  <c r="AY53" i="3"/>
  <c r="AZ51" i="3" s="1"/>
  <c r="AZ52" i="3" s="1"/>
  <c r="AZ62" i="3" s="1"/>
  <c r="AZ40" i="3" s="1"/>
  <c r="AY62" i="3"/>
  <c r="AY40" i="3" s="1"/>
  <c r="BA48" i="3"/>
  <c r="BB46" i="3" s="1"/>
  <c r="BA49" i="3"/>
  <c r="AU78" i="3" l="1"/>
  <c r="AV63" i="3"/>
  <c r="AV41" i="3" s="1"/>
  <c r="AV42" i="3" s="1"/>
  <c r="BB47" i="3"/>
  <c r="AZ53" i="3"/>
  <c r="BA51" i="3" s="1"/>
  <c r="BA52" i="3" s="1"/>
  <c r="BA62" i="3" s="1"/>
  <c r="BA40" i="3" s="1"/>
  <c r="AV54" i="3" l="1"/>
  <c r="AV55" i="3" s="1"/>
  <c r="BA53" i="3"/>
  <c r="BB51" i="3" s="1"/>
  <c r="BB52" i="3" s="1"/>
  <c r="BB49" i="3"/>
  <c r="BB48" i="3"/>
  <c r="BC46" i="3" s="1"/>
  <c r="BC47" i="3" s="1"/>
  <c r="AV78" i="3" l="1"/>
  <c r="AW63" i="3"/>
  <c r="AW41" i="3" s="1"/>
  <c r="AW42" i="3" s="1"/>
  <c r="AW54" i="3"/>
  <c r="BC48" i="3"/>
  <c r="BD46" i="3" s="1"/>
  <c r="BC49" i="3"/>
  <c r="BB53" i="3"/>
  <c r="BC51" i="3" s="1"/>
  <c r="BC52" i="3" s="1"/>
  <c r="BB62" i="3"/>
  <c r="BB40" i="3" s="1"/>
  <c r="AW55" i="3" l="1"/>
  <c r="AW78" i="3"/>
  <c r="BC53" i="3"/>
  <c r="BD51" i="3" s="1"/>
  <c r="BC62" i="3"/>
  <c r="BC40" i="3" s="1"/>
  <c r="BD47" i="3"/>
  <c r="AX63" i="3" l="1"/>
  <c r="AX41" i="3" s="1"/>
  <c r="AX42" i="3" s="1"/>
  <c r="BD52" i="3"/>
  <c r="BD53" i="3" s="1"/>
  <c r="BE51" i="3" s="1"/>
  <c r="BD49" i="3"/>
  <c r="BD48" i="3"/>
  <c r="BE46" i="3" s="1"/>
  <c r="AX54" i="3" l="1"/>
  <c r="AX55" i="3" s="1"/>
  <c r="BE47" i="3"/>
  <c r="BD62" i="3"/>
  <c r="BD40" i="3" s="1"/>
  <c r="AX78" i="3" l="1"/>
  <c r="AY63" i="3"/>
  <c r="AY41" i="3" s="1"/>
  <c r="AY42" i="3" s="1"/>
  <c r="BE52" i="3"/>
  <c r="BE49" i="3"/>
  <c r="BE48" i="3"/>
  <c r="BF46" i="3" s="1"/>
  <c r="AY54" i="3" l="1"/>
  <c r="AY55" i="3" s="1"/>
  <c r="BF47" i="3"/>
  <c r="BE53" i="3"/>
  <c r="BF51" i="3" s="1"/>
  <c r="BE62" i="3"/>
  <c r="BE40" i="3" s="1"/>
  <c r="AY78" i="3" l="1"/>
  <c r="AZ63" i="3"/>
  <c r="AZ41" i="3" s="1"/>
  <c r="AZ42" i="3" s="1"/>
  <c r="BF52" i="3"/>
  <c r="BF49" i="3"/>
  <c r="BF48" i="3"/>
  <c r="BG46" i="3" s="1"/>
  <c r="BG47" i="3" s="1"/>
  <c r="AZ54" i="3" l="1"/>
  <c r="AZ55" i="3" s="1"/>
  <c r="BG48" i="3"/>
  <c r="BH46" i="3" s="1"/>
  <c r="BH47" i="3" s="1"/>
  <c r="BG49" i="3"/>
  <c r="BF53" i="3"/>
  <c r="BG51" i="3" s="1"/>
  <c r="BG52" i="3" s="1"/>
  <c r="BF62" i="3"/>
  <c r="BF40" i="3" s="1"/>
  <c r="AZ78" i="3" l="1"/>
  <c r="BA63" i="3"/>
  <c r="BA41" i="3" s="1"/>
  <c r="BA42" i="3" s="1"/>
  <c r="BG53" i="3"/>
  <c r="BH51" i="3" s="1"/>
  <c r="BH52" i="3" s="1"/>
  <c r="BG62" i="3"/>
  <c r="BG40" i="3" s="1"/>
  <c r="BH48" i="3"/>
  <c r="BI46" i="3" s="1"/>
  <c r="BH49" i="3"/>
  <c r="BA54" i="3" l="1"/>
  <c r="BI47" i="3"/>
  <c r="BH62" i="3"/>
  <c r="BH40" i="3" s="1"/>
  <c r="BH53" i="3"/>
  <c r="BI51" i="3" s="1"/>
  <c r="BA55" i="3" l="1"/>
  <c r="BA78" i="3"/>
  <c r="BI52" i="3"/>
  <c r="BI49" i="3"/>
  <c r="BI48" i="3"/>
  <c r="BJ46" i="3" s="1"/>
  <c r="BB63" i="3" l="1"/>
  <c r="BB41" i="3" s="1"/>
  <c r="BB42" i="3" s="1"/>
  <c r="BB54" i="3"/>
  <c r="BJ47" i="3"/>
  <c r="BI53" i="3"/>
  <c r="BJ51" i="3" s="1"/>
  <c r="BI62" i="3"/>
  <c r="BI40" i="3" s="1"/>
  <c r="BB55" i="3" l="1"/>
  <c r="BB78" i="3"/>
  <c r="BJ52" i="3"/>
  <c r="BJ49" i="3"/>
  <c r="BJ48" i="3"/>
  <c r="BK46" i="3" s="1"/>
  <c r="BC63" i="3" l="1"/>
  <c r="BC41" i="3" s="1"/>
  <c r="BC42" i="3" s="1"/>
  <c r="BC54" i="3"/>
  <c r="BK47" i="3"/>
  <c r="BJ62" i="3"/>
  <c r="BJ40" i="3" s="1"/>
  <c r="BJ53" i="3"/>
  <c r="BK51" i="3" s="1"/>
  <c r="BC55" i="3" l="1"/>
  <c r="BC78" i="3"/>
  <c r="BK52" i="3"/>
  <c r="BK49" i="3"/>
  <c r="BK48" i="3"/>
  <c r="BL46" i="3" s="1"/>
  <c r="BD63" i="3" l="1"/>
  <c r="BD41" i="3" s="1"/>
  <c r="BD42" i="3" s="1"/>
  <c r="BL47" i="3"/>
  <c r="BK62" i="3"/>
  <c r="BK40" i="3" s="1"/>
  <c r="BK53" i="3"/>
  <c r="BL51" i="3" s="1"/>
  <c r="BD54" i="3" l="1"/>
  <c r="BD55" i="3" s="1"/>
  <c r="BL52" i="3"/>
  <c r="BL49" i="3"/>
  <c r="BL48" i="3"/>
  <c r="BM46" i="3" s="1"/>
  <c r="BD78" i="3" l="1"/>
  <c r="BE63" i="3"/>
  <c r="BE41" i="3" s="1"/>
  <c r="BE42" i="3" s="1"/>
  <c r="BE54" i="3"/>
  <c r="BM47" i="3"/>
  <c r="BL62" i="3"/>
  <c r="BL40" i="3" s="1"/>
  <c r="BL53" i="3"/>
  <c r="BM51" i="3" s="1"/>
  <c r="BE55" i="3" l="1"/>
  <c r="BE78" i="3"/>
  <c r="BM52" i="3"/>
  <c r="BM49" i="3"/>
  <c r="BM48" i="3"/>
  <c r="BN46" i="3" s="1"/>
  <c r="BF63" i="3" l="1"/>
  <c r="BF41" i="3" s="1"/>
  <c r="BF42" i="3" s="1"/>
  <c r="BN47" i="3"/>
  <c r="BM62" i="3"/>
  <c r="BM40" i="3" s="1"/>
  <c r="BM53" i="3"/>
  <c r="BN51" i="3" s="1"/>
  <c r="BF54" i="3" l="1"/>
  <c r="BF55" i="3" s="1"/>
  <c r="BN52" i="3"/>
  <c r="BN49" i="3"/>
  <c r="BN48" i="3"/>
  <c r="BO46" i="3" s="1"/>
  <c r="BO47" i="3" s="1"/>
  <c r="BF78" i="3" l="1"/>
  <c r="BG63" i="3"/>
  <c r="BG41" i="3" s="1"/>
  <c r="BG42" i="3" s="1"/>
  <c r="BO48" i="3"/>
  <c r="BP46" i="3" s="1"/>
  <c r="BO49" i="3"/>
  <c r="BN62" i="3"/>
  <c r="BN40" i="3" s="1"/>
  <c r="BN53" i="3"/>
  <c r="BO51" i="3" s="1"/>
  <c r="BO52" i="3" s="1"/>
  <c r="BG54" i="3" l="1"/>
  <c r="BG55" i="3" s="1"/>
  <c r="BO53" i="3"/>
  <c r="BP51" i="3" s="1"/>
  <c r="BO62" i="3"/>
  <c r="BO40" i="3" s="1"/>
  <c r="BP47" i="3"/>
  <c r="BG78" i="3" l="1"/>
  <c r="BH63" i="3"/>
  <c r="BH41" i="3" s="1"/>
  <c r="BH42" i="3" s="1"/>
  <c r="BP52" i="3"/>
  <c r="BP49" i="3"/>
  <c r="BP48" i="3"/>
  <c r="BQ46" i="3" s="1"/>
  <c r="BH54" i="3" l="1"/>
  <c r="BH55" i="3" s="1"/>
  <c r="BH78" i="3"/>
  <c r="BQ47" i="3"/>
  <c r="BP53" i="3"/>
  <c r="BQ51" i="3" s="1"/>
  <c r="BP62" i="3"/>
  <c r="BP40" i="3" s="1"/>
  <c r="BQ48" i="3" l="1"/>
  <c r="BR46" i="3" s="1"/>
  <c r="BR47" i="3" s="1"/>
  <c r="BI63" i="3"/>
  <c r="BI41" i="3" s="1"/>
  <c r="BI42" i="3" s="1"/>
  <c r="BQ52" i="3"/>
  <c r="BQ49" i="3"/>
  <c r="BI54" i="3" l="1"/>
  <c r="BI78" i="3" s="1"/>
  <c r="BR48" i="3"/>
  <c r="BS46" i="3" s="1"/>
  <c r="BQ62" i="3"/>
  <c r="BQ40" i="3" s="1"/>
  <c r="BS47" i="3"/>
  <c r="BR49" i="3"/>
  <c r="BQ53" i="3"/>
  <c r="BR51" i="3" s="1"/>
  <c r="BR52" i="3" s="1"/>
  <c r="BI55" i="3" l="1"/>
  <c r="BJ63" i="3"/>
  <c r="BJ41" i="3" s="1"/>
  <c r="BJ42" i="3" s="1"/>
  <c r="BR53" i="3"/>
  <c r="BS51" i="3" s="1"/>
  <c r="BR62" i="3"/>
  <c r="BR40" i="3" s="1"/>
  <c r="BS52" i="3"/>
  <c r="I52" i="3" s="1"/>
  <c r="I47" i="3"/>
  <c r="BS49" i="3"/>
  <c r="BS48" i="3"/>
  <c r="BJ54" i="3" l="1"/>
  <c r="BJ55" i="3" s="1"/>
  <c r="BS62" i="3"/>
  <c r="BS40" i="3" s="1"/>
  <c r="BS53" i="3"/>
  <c r="BJ78" i="3" l="1"/>
  <c r="BK63" i="3"/>
  <c r="BK41" i="3" s="1"/>
  <c r="BK42" i="3" s="1"/>
  <c r="C40" i="3"/>
  <c r="BK54" i="3" l="1"/>
  <c r="BK55" i="3" s="1"/>
  <c r="BK78" i="3" l="1"/>
  <c r="BL63" i="3"/>
  <c r="BL41" i="3" s="1"/>
  <c r="BL42" i="3" s="1"/>
  <c r="BL54" i="3" l="1"/>
  <c r="BL55" i="3" s="1"/>
  <c r="BL78" i="3" l="1"/>
  <c r="BM63" i="3"/>
  <c r="BM41" i="3" s="1"/>
  <c r="BM42" i="3" s="1"/>
  <c r="BM54" i="3" l="1"/>
  <c r="BM55" i="3" s="1"/>
  <c r="BM78" i="3" l="1"/>
  <c r="BN63" i="3"/>
  <c r="BN41" i="3" s="1"/>
  <c r="BN42" i="3" s="1"/>
  <c r="BN54" i="3" l="1"/>
  <c r="BN55" i="3" s="1"/>
  <c r="BN78" i="3" l="1"/>
  <c r="BO63" i="3"/>
  <c r="BO41" i="3" s="1"/>
  <c r="BO42" i="3" s="1"/>
  <c r="BO54" i="3" l="1"/>
  <c r="BO55" i="3"/>
  <c r="BO78" i="3"/>
  <c r="BP63" i="3" l="1"/>
  <c r="BP41" i="3" s="1"/>
  <c r="BP42" i="3" s="1"/>
  <c r="BP54" i="3" l="1"/>
  <c r="BP55" i="3" s="1"/>
  <c r="BP78" i="3" l="1"/>
  <c r="BQ63" i="3"/>
  <c r="BQ41" i="3" s="1"/>
  <c r="BQ42" i="3" s="1"/>
  <c r="BQ54" i="3"/>
  <c r="BQ55" i="3" l="1"/>
  <c r="BQ78" i="3"/>
  <c r="BR63" i="3" l="1"/>
  <c r="BR41" i="3" s="1"/>
  <c r="BR42" i="3" s="1"/>
  <c r="BR54" i="3" l="1"/>
  <c r="BR55" i="3"/>
  <c r="BR78" i="3"/>
  <c r="BS63" i="3" l="1"/>
  <c r="BS41" i="3" s="1"/>
  <c r="BS54" i="3" l="1"/>
  <c r="BS55" i="3" s="1"/>
  <c r="C41" i="3"/>
  <c r="BS42" i="3"/>
  <c r="C42" i="3" s="1"/>
  <c r="M42" i="4" s="1"/>
  <c r="BS78" i="3" l="1"/>
  <c r="E62" i="2"/>
  <c r="M47" i="4"/>
  <c r="C80" i="3"/>
  <c r="M10" i="4" s="1"/>
  <c r="C78" i="3"/>
  <c r="K10" i="4" s="1"/>
  <c r="C79" i="3"/>
  <c r="L10" i="4" s="1"/>
  <c r="K15" i="4" l="1"/>
  <c r="M48" i="4"/>
  <c r="M44" i="4"/>
  <c r="E21" i="2"/>
  <c r="F62" i="2"/>
  <c r="F21" i="2" s="1"/>
  <c r="G62" i="2"/>
  <c r="G21" i="2" s="1"/>
  <c r="M27" i="4" l="1"/>
  <c r="M16" i="4" s="1"/>
  <c r="G10" i="2"/>
  <c r="L27" i="4"/>
  <c r="L16" i="4" s="1"/>
  <c r="F10" i="2"/>
  <c r="K27" i="4"/>
  <c r="K16" i="4" s="1"/>
  <c r="J16" i="4" s="1"/>
  <c r="E10" i="2"/>
  <c r="D21" i="2" s="1"/>
  <c r="J27" i="4" s="1"/>
  <c r="M15" i="4"/>
  <c r="M13" i="4" s="1"/>
  <c r="L15" i="4"/>
  <c r="L13" i="4" s="1"/>
  <c r="K13" i="4"/>
  <c r="J13" i="4" l="1"/>
  <c r="J9" i="4"/>
  <c r="D38" i="2"/>
  <c r="D56" i="2"/>
  <c r="D42" i="2"/>
  <c r="D18" i="2"/>
  <c r="J24" i="4" s="1"/>
  <c r="D17" i="2"/>
  <c r="J23" i="4" s="1"/>
  <c r="D29" i="2"/>
  <c r="D47" i="2"/>
  <c r="D13" i="2"/>
  <c r="J19" i="4" s="1"/>
  <c r="D52" i="2"/>
  <c r="D15" i="2"/>
  <c r="J21" i="4" s="1"/>
  <c r="D39" i="2"/>
  <c r="D14" i="2"/>
  <c r="J20" i="4" s="1"/>
  <c r="D31" i="2"/>
  <c r="D43" i="2"/>
  <c r="D28" i="2"/>
  <c r="D49" i="2"/>
  <c r="D30" i="2"/>
  <c r="D51" i="2"/>
  <c r="D37" i="2"/>
  <c r="D11" i="2"/>
  <c r="J17" i="4" s="1"/>
  <c r="D19" i="2"/>
  <c r="J25" i="4" s="1"/>
  <c r="D53" i="2"/>
  <c r="D20" i="2"/>
  <c r="J26" i="4" s="1"/>
  <c r="D45" i="2"/>
  <c r="D41" i="2"/>
  <c r="D59" i="2"/>
  <c r="D16" i="2"/>
  <c r="J22" i="4" s="1"/>
  <c r="D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</author>
  </authors>
  <commentList>
    <comment ref="H9" authorId="0" shapeId="0" xr:uid="{F43065F4-2A98-4AB7-BBD0-784B9FA3483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The lower the number, the stronger the curve. For a sraight line, go above 100</t>
        </r>
      </text>
    </comment>
    <comment ref="E10" authorId="0" shapeId="0" xr:uid="{B5BF7F82-80C8-4E49-BF51-29C66D60BF1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Refer to timing in the Summary Tab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<sst xmlns="http://schemas.openxmlformats.org/spreadsheetml/2006/main" count="239" uniqueCount="192">
  <si>
    <t>Area Summary</t>
  </si>
  <si>
    <t>GSF</t>
  </si>
  <si>
    <t>Office RSF</t>
  </si>
  <si>
    <t>MEP</t>
  </si>
  <si>
    <t>Parking</t>
  </si>
  <si>
    <t>RSF</t>
  </si>
  <si>
    <t>Stalls</t>
  </si>
  <si>
    <t>Level</t>
  </si>
  <si>
    <t>Notes</t>
  </si>
  <si>
    <t>Summary</t>
  </si>
  <si>
    <t>Stacking Plan</t>
  </si>
  <si>
    <t>MEP RSF</t>
  </si>
  <si>
    <t>Area</t>
  </si>
  <si>
    <t xml:space="preserve">Office </t>
  </si>
  <si>
    <t>Parking Stalls</t>
  </si>
  <si>
    <t>Land</t>
  </si>
  <si>
    <t>A&amp;E</t>
  </si>
  <si>
    <t>Hard Costs</t>
  </si>
  <si>
    <t>Soft Costs</t>
  </si>
  <si>
    <t>Construction</t>
  </si>
  <si>
    <t>Leasing and Marketing</t>
  </si>
  <si>
    <t>Taxes</t>
  </si>
  <si>
    <t>Permits</t>
  </si>
  <si>
    <t>G&amp;A</t>
  </si>
  <si>
    <t>Contingency</t>
  </si>
  <si>
    <t>Financing Costs</t>
  </si>
  <si>
    <t>Total</t>
  </si>
  <si>
    <t>Per GSF</t>
  </si>
  <si>
    <t>Per RSF</t>
  </si>
  <si>
    <t>Entitlement Costs</t>
  </si>
  <si>
    <t>Budget Summary</t>
  </si>
  <si>
    <t>Sale Price</t>
  </si>
  <si>
    <t>Transfer Taxes</t>
  </si>
  <si>
    <t>Other Closing costs</t>
  </si>
  <si>
    <t>Application Fees</t>
  </si>
  <si>
    <t>Legal Fees</t>
  </si>
  <si>
    <t>Design</t>
  </si>
  <si>
    <t>Construction Monitoring</t>
  </si>
  <si>
    <t>Leasing Commissions</t>
  </si>
  <si>
    <t>Marketing</t>
  </si>
  <si>
    <t>Lot Size</t>
  </si>
  <si>
    <t>FAR</t>
  </si>
  <si>
    <t>Inputs</t>
  </si>
  <si>
    <t>typical permits and when they are paid for</t>
  </si>
  <si>
    <t>General Summary</t>
  </si>
  <si>
    <t xml:space="preserve">Project </t>
  </si>
  <si>
    <t>Location</t>
  </si>
  <si>
    <t>Analysis Start</t>
  </si>
  <si>
    <t>Timing</t>
  </si>
  <si>
    <t>Fiscal Year</t>
  </si>
  <si>
    <t>Fiscal Month</t>
  </si>
  <si>
    <t>Date</t>
  </si>
  <si>
    <t>Start Month</t>
  </si>
  <si>
    <t>End Month</t>
  </si>
  <si>
    <t>Duration</t>
  </si>
  <si>
    <t>Standard Deviation</t>
  </si>
  <si>
    <t>Budget</t>
  </si>
  <si>
    <t>Check</t>
  </si>
  <si>
    <t>Line Items</t>
  </si>
  <si>
    <t>Development Fee</t>
  </si>
  <si>
    <t xml:space="preserve"> </t>
  </si>
  <si>
    <t>Permits &amp; City Fees</t>
  </si>
  <si>
    <t>Entitlement Phase</t>
  </si>
  <si>
    <t>Start Date</t>
  </si>
  <si>
    <t>End Date</t>
  </si>
  <si>
    <t>Design/Buyout</t>
  </si>
  <si>
    <t>Anytown, XX</t>
  </si>
  <si>
    <t>Duration (months)</t>
  </si>
  <si>
    <t>Acquisition</t>
  </si>
  <si>
    <t>End month</t>
  </si>
  <si>
    <t>Steady Growth Formula</t>
  </si>
  <si>
    <t>Tenant Improvements</t>
  </si>
  <si>
    <t>Rent/SF</t>
  </si>
  <si>
    <t>%</t>
  </si>
  <si>
    <t>Month Start</t>
  </si>
  <si>
    <t>Month Expire</t>
  </si>
  <si>
    <t>Reimb. %</t>
  </si>
  <si>
    <t>Ann. Base Rent Increase (%)</t>
  </si>
  <si>
    <t>Free Rent (Months)</t>
  </si>
  <si>
    <t>Office Tenant Lease Assumptions</t>
  </si>
  <si>
    <t>Exit Assumptions</t>
  </si>
  <si>
    <t>Development</t>
  </si>
  <si>
    <t>Lease Up and Exit</t>
  </si>
  <si>
    <t>Occupancy</t>
  </si>
  <si>
    <t>Exit</t>
  </si>
  <si>
    <t>Cost of Sales</t>
  </si>
  <si>
    <t>Net Proceeds</t>
  </si>
  <si>
    <t>Exit per RSF</t>
  </si>
  <si>
    <t xml:space="preserve">Exit Cap Rate </t>
  </si>
  <si>
    <t>Exit Price</t>
  </si>
  <si>
    <t>Sources &amp; Uses</t>
  </si>
  <si>
    <t>Equity</t>
  </si>
  <si>
    <t>Debt</t>
  </si>
  <si>
    <t xml:space="preserve">Sources </t>
  </si>
  <si>
    <t>Uses</t>
  </si>
  <si>
    <t>LTC Control</t>
  </si>
  <si>
    <t xml:space="preserve">Equity </t>
  </si>
  <si>
    <t>Interest Rate</t>
  </si>
  <si>
    <t>Project Returns</t>
  </si>
  <si>
    <t>Profit</t>
  </si>
  <si>
    <t>Equity Multiple</t>
  </si>
  <si>
    <t>IRR</t>
  </si>
  <si>
    <t>Total Project Unlevered</t>
  </si>
  <si>
    <t>Total Project Levered</t>
  </si>
  <si>
    <t>MODELING LONG-TERM LEASES</t>
  </si>
  <si>
    <t>INCOME</t>
  </si>
  <si>
    <t>OpEx Growth</t>
  </si>
  <si>
    <t>Pro Forma</t>
  </si>
  <si>
    <t>Potential Base Rent</t>
  </si>
  <si>
    <t>- Concessions</t>
  </si>
  <si>
    <t>Total Rental Revenue</t>
  </si>
  <si>
    <t>Reimbursement Income</t>
  </si>
  <si>
    <t>Gross Revenue</t>
  </si>
  <si>
    <t>- General Vacancy and Credit Loss</t>
  </si>
  <si>
    <t>Total Effective Gross Revenue</t>
  </si>
  <si>
    <t>Operating Expenses</t>
  </si>
  <si>
    <t>Net Operating Income</t>
  </si>
  <si>
    <t>LC (% of entire lease)</t>
  </si>
  <si>
    <t xml:space="preserve">LC Total </t>
  </si>
  <si>
    <t>LC/SF</t>
  </si>
  <si>
    <t>Parking Income</t>
  </si>
  <si>
    <t>Ann. Increase (%)</t>
  </si>
  <si>
    <t>Parking Growth</t>
  </si>
  <si>
    <t>Draw Schedule</t>
  </si>
  <si>
    <t>Interest Reserve</t>
  </si>
  <si>
    <t>Beginning Balance</t>
  </si>
  <si>
    <t>Equity Required</t>
  </si>
  <si>
    <t>Ending Balance</t>
  </si>
  <si>
    <t>Cumulative Costs</t>
  </si>
  <si>
    <t xml:space="preserve">Debt </t>
  </si>
  <si>
    <t>Debt Pre-Interest Reserve</t>
  </si>
  <si>
    <t>Debt Funded</t>
  </si>
  <si>
    <t>Debt w/ Interest Reserve &amp; Fees</t>
  </si>
  <si>
    <t>Cumulative Balance</t>
  </si>
  <si>
    <t>Interest Rate Details</t>
  </si>
  <si>
    <t>Ceiling</t>
  </si>
  <si>
    <t>Rate</t>
  </si>
  <si>
    <t>Floor</t>
  </si>
  <si>
    <t>Actual Interest Rate</t>
  </si>
  <si>
    <t>Loan Fees</t>
  </si>
  <si>
    <t>Interest Payments</t>
  </si>
  <si>
    <t>Total Debt with Interest Reserve</t>
  </si>
  <si>
    <t>TIs/SF</t>
  </si>
  <si>
    <t>[Note: Leasing Commissions and Tenant Improvements are part of the development budget and so we are accounting for that there.]</t>
  </si>
  <si>
    <t>Total Development Costs - Pre-Financing</t>
  </si>
  <si>
    <t xml:space="preserve">Fees </t>
  </si>
  <si>
    <t>Total Development Costs - W/ Interest Reserve and Fees</t>
  </si>
  <si>
    <t>Financing Assumptions</t>
  </si>
  <si>
    <t>Total Project Costs Pre-Interest Reserve</t>
  </si>
  <si>
    <t xml:space="preserve">Total Project Costs </t>
  </si>
  <si>
    <t>Dial-In Loan Fee/Closing Costs</t>
  </si>
  <si>
    <t>Loan Repayment</t>
  </si>
  <si>
    <t>NOI and Sale Proceeds</t>
  </si>
  <si>
    <t>NOI</t>
  </si>
  <si>
    <t>Cost of Sale</t>
  </si>
  <si>
    <t>Unlevered Cash Flow</t>
  </si>
  <si>
    <t>Levered Cash Flow</t>
  </si>
  <si>
    <t>Model Version</t>
  </si>
  <si>
    <t>Monthly Cash Flow</t>
  </si>
  <si>
    <t>Revenue/Operating Assumptions</t>
  </si>
  <si>
    <t>Growth Projection Method</t>
  </si>
  <si>
    <t>Custom</t>
  </si>
  <si>
    <t>Straight Line</t>
  </si>
  <si>
    <t>Start of Lease</t>
  </si>
  <si>
    <t>Operating Projections</t>
  </si>
  <si>
    <t>Efficiency (%)</t>
  </si>
  <si>
    <r>
      <t xml:space="preserve">Efficiency Ratio - </t>
    </r>
    <r>
      <rPr>
        <sz val="9"/>
        <color theme="1"/>
        <rFont val="Calibri"/>
        <family val="2"/>
      </rPr>
      <t>(Excluding Below Grade)</t>
    </r>
  </si>
  <si>
    <r>
      <t xml:space="preserve">Efficiency Ratio - 
</t>
    </r>
    <r>
      <rPr>
        <sz val="9"/>
        <color theme="1"/>
        <rFont val="Calibri"/>
        <family val="2"/>
      </rPr>
      <t>(Total Building)</t>
    </r>
  </si>
  <si>
    <t xml:space="preserve">TIs Total </t>
  </si>
  <si>
    <t>LTC with Interest Reserve &amp; Fee</t>
  </si>
  <si>
    <t>Stabilized Development Yield - Over 5 Years</t>
  </si>
  <si>
    <t>1-Month USD LIBOR</t>
  </si>
  <si>
    <t>Basis Points Over LIBOR</t>
  </si>
  <si>
    <t>Basis Point Spread</t>
  </si>
  <si>
    <t>(Hint: Add rate + spread in current period.)</t>
  </si>
  <si>
    <t>Loan Fee % (% of Loan)</t>
  </si>
  <si>
    <t>Outdoor SF</t>
  </si>
  <si>
    <t>A.CRE Accelerator - Capstone Development Template</t>
  </si>
  <si>
    <t>Sixteen 17th St</t>
  </si>
  <si>
    <t>BOH RSF</t>
  </si>
  <si>
    <t>Parking/Loading</t>
  </si>
  <si>
    <t>Revenue/Month (today's value)</t>
  </si>
  <si>
    <t>BOH</t>
  </si>
  <si>
    <t>Detailed Budget Summary</t>
  </si>
  <si>
    <t>(Hint: Divide the basis points by 10,000 to get it in to a percentage)</t>
  </si>
  <si>
    <t>Bell Curve - SD of 5</t>
  </si>
  <si>
    <t>Bell Curve - SD of 4</t>
  </si>
  <si>
    <t>Roof</t>
  </si>
  <si>
    <t>B1</t>
  </si>
  <si>
    <t>B2</t>
  </si>
  <si>
    <t>Less Land, TIs, Contingency, and Financing</t>
  </si>
  <si>
    <t>Less Land, G&amp;A, and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</si>
</sst>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&quot;$&quot;#,##0.00"/>
    <numFmt numFmtId="167" formatCode="#,##0.0"/>
    <numFmt numFmtId="168" formatCode="0%\ &quot;of Hard Costs&quot;"/>
    <numFmt numFmtId="169" formatCode="#,##0\ &quot;GSF&quot;"/>
    <numFmt numFmtId="170" formatCode="#,##0\ &quot;RSF&quot;"/>
    <numFmt numFmtId="171" formatCode="0.00%\ &quot;of Hard Costs&quot;"/>
    <numFmt numFmtId="172" formatCode="&quot;$&quot;0.00&quot;/RSF&quot;"/>
    <numFmt numFmtId="173" formatCode="0%\ &quot;of Total Costs&quot;"/>
    <numFmt numFmtId="174" formatCode="0%\ &quot;of Sale Price&quot;"/>
    <numFmt numFmtId="175" formatCode="&quot;Month&quot;\ 0"/>
    <numFmt numFmtId="177" formatCode="#\ &quot;Months&quot;"/>
    <numFmt numFmtId="178" formatCode="&quot;$&quot;##.00&quot;/SF&quot;"/>
    <numFmt numFmtId="179" formatCode="&quot;Year&quot;\ 0"/>
    <numFmt numFmtId="180" formatCode="_(* #,##0_);_(* \(#,##0\);_(* &quot;-&quot;??_);_(@_)"/>
    <numFmt numFmtId="181" formatCode="0\ &quot;Years&quot;"/>
    <numFmt numFmtId="182" formatCode="0.00&quot;/SF&quot;"/>
    <numFmt numFmtId="183" formatCode="m/yyyy"/>
    <numFmt numFmtId="184" formatCode="0.0"/>
    <numFmt numFmtId="185" formatCode="#.#0\x"/>
    <numFmt numFmtId="186" formatCode="General\ &quot;Months&quot;"/>
    <numFmt numFmtId="187" formatCode="0.000000000000000000000000000"/>
    <numFmt numFmtId="188" formatCode="0.000000000"/>
    <numFmt numFmtId="189" formatCode="0.0%\ &quot;of Total Costs&quot;"/>
    <numFmt numFmtId="190" formatCode="0.000%\ &quot;Mill Rate&quot;"/>
    <numFmt numFmtId="191" formatCode="0.000%"/>
    <numFmt numFmtId="197" formatCode="0.00&quot;x&quot;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17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indexed="17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rgb="FF00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/>
    <xf numFmtId="0" fontId="0" fillId="2" borderId="9" xfId="0" applyFill="1" applyBorder="1"/>
    <xf numFmtId="164" fontId="5" fillId="2" borderId="0" xfId="0" applyNumberFormat="1" applyFont="1" applyFill="1" applyAlignment="1">
      <alignment horizontal="center"/>
    </xf>
    <xf numFmtId="0" fontId="0" fillId="2" borderId="8" xfId="0" applyFill="1" applyBorder="1"/>
    <xf numFmtId="0" fontId="0" fillId="2" borderId="10" xfId="0" applyFill="1" applyBorder="1"/>
    <xf numFmtId="0" fontId="0" fillId="2" borderId="5" xfId="0" applyFill="1" applyBorder="1"/>
    <xf numFmtId="0" fontId="0" fillId="2" borderId="7" xfId="0" applyFill="1" applyBorder="1"/>
    <xf numFmtId="0" fontId="6" fillId="3" borderId="0" xfId="0" applyFont="1" applyFill="1"/>
    <xf numFmtId="0" fontId="0" fillId="3" borderId="0" xfId="0" applyFill="1"/>
    <xf numFmtId="0" fontId="0" fillId="3" borderId="6" xfId="0" applyFill="1" applyBorder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left" indent="1"/>
    </xf>
    <xf numFmtId="164" fontId="9" fillId="2" borderId="0" xfId="0" applyNumberFormat="1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4" borderId="0" xfId="0" applyFont="1" applyFill="1"/>
    <xf numFmtId="0" fontId="4" fillId="4" borderId="7" xfId="0" applyFont="1" applyFill="1" applyBorder="1" applyAlignment="1">
      <alignment horizontal="left" indent="1"/>
    </xf>
    <xf numFmtId="0" fontId="0" fillId="2" borderId="7" xfId="0" applyFill="1" applyBorder="1" applyAlignment="1">
      <alignment horizontal="left" indent="1"/>
    </xf>
    <xf numFmtId="0" fontId="2" fillId="4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0" fillId="2" borderId="10" xfId="0" applyFill="1" applyBorder="1" applyAlignment="1">
      <alignment horizontal="left" indent="1"/>
    </xf>
    <xf numFmtId="0" fontId="8" fillId="2" borderId="5" xfId="0" applyFont="1" applyFill="1" applyBorder="1" applyAlignment="1">
      <alignment horizontal="left" indent="1"/>
    </xf>
    <xf numFmtId="0" fontId="7" fillId="2" borderId="5" xfId="0" applyFont="1" applyFill="1" applyBorder="1" applyAlignment="1">
      <alignment horizontal="left" indent="2"/>
    </xf>
    <xf numFmtId="0" fontId="0" fillId="3" borderId="0" xfId="0" applyFill="1" applyAlignment="1">
      <alignment horizontal="left" indent="1"/>
    </xf>
    <xf numFmtId="0" fontId="3" fillId="2" borderId="5" xfId="0" applyFont="1" applyFill="1" applyBorder="1"/>
    <xf numFmtId="0" fontId="2" fillId="4" borderId="5" xfId="0" applyFont="1" applyFill="1" applyBorder="1"/>
    <xf numFmtId="165" fontId="0" fillId="2" borderId="0" xfId="0" applyNumberFormat="1" applyFill="1"/>
    <xf numFmtId="166" fontId="0" fillId="2" borderId="0" xfId="0" applyNumberFormat="1" applyFill="1"/>
    <xf numFmtId="0" fontId="0" fillId="2" borderId="0" xfId="0" applyFill="1" applyAlignment="1">
      <alignment horizontal="left" indent="1"/>
    </xf>
    <xf numFmtId="0" fontId="2" fillId="4" borderId="12" xfId="0" applyFont="1" applyFill="1" applyBorder="1"/>
    <xf numFmtId="0" fontId="4" fillId="4" borderId="8" xfId="0" applyFont="1" applyFill="1" applyBorder="1" applyAlignment="1">
      <alignment horizontal="left" indent="1"/>
    </xf>
    <xf numFmtId="0" fontId="3" fillId="2" borderId="0" xfId="0" applyFont="1" applyFill="1"/>
    <xf numFmtId="44" fontId="0" fillId="2" borderId="0" xfId="1" applyFont="1" applyFill="1"/>
    <xf numFmtId="166" fontId="0" fillId="2" borderId="6" xfId="0" applyNumberFormat="1" applyFill="1" applyBorder="1" applyAlignment="1">
      <alignment horizontal="center"/>
    </xf>
    <xf numFmtId="166" fontId="0" fillId="2" borderId="0" xfId="1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2" fontId="5" fillId="2" borderId="0" xfId="0" applyNumberFormat="1" applyFont="1" applyFill="1" applyAlignment="1">
      <alignment horizontal="center"/>
    </xf>
    <xf numFmtId="173" fontId="5" fillId="2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5" xfId="0" applyFont="1" applyFill="1" applyBorder="1" applyAlignment="1">
      <alignment horizontal="left" indent="1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 indent="1"/>
    </xf>
    <xf numFmtId="0" fontId="10" fillId="2" borderId="2" xfId="0" applyFont="1" applyFill="1" applyBorder="1" applyAlignment="1">
      <alignment horizontal="left"/>
    </xf>
    <xf numFmtId="165" fontId="5" fillId="2" borderId="0" xfId="0" applyNumberFormat="1" applyFont="1" applyFill="1"/>
    <xf numFmtId="173" fontId="9" fillId="2" borderId="0" xfId="0" applyNumberFormat="1" applyFont="1" applyFill="1" applyAlignment="1">
      <alignment horizontal="center"/>
    </xf>
    <xf numFmtId="0" fontId="11" fillId="3" borderId="0" xfId="0" applyFont="1" applyFill="1"/>
    <xf numFmtId="0" fontId="4" fillId="4" borderId="10" xfId="0" applyFont="1" applyFill="1" applyBorder="1"/>
    <xf numFmtId="0" fontId="4" fillId="4" borderId="5" xfId="0" applyFont="1" applyFill="1" applyBorder="1"/>
    <xf numFmtId="0" fontId="4" fillId="4" borderId="12" xfId="0" applyFont="1" applyFill="1" applyBorder="1" applyAlignment="1">
      <alignment horizontal="center"/>
    </xf>
    <xf numFmtId="0" fontId="4" fillId="4" borderId="7" xfId="0" applyFont="1" applyFill="1" applyBorder="1"/>
    <xf numFmtId="0" fontId="4" fillId="5" borderId="8" xfId="0" applyFont="1" applyFill="1" applyBorder="1" applyAlignment="1">
      <alignment horizontal="center"/>
    </xf>
    <xf numFmtId="0" fontId="4" fillId="5" borderId="12" xfId="0" applyFont="1" applyFill="1" applyBorder="1"/>
    <xf numFmtId="0" fontId="4" fillId="5" borderId="0" xfId="0" applyFont="1" applyFill="1"/>
    <xf numFmtId="14" fontId="4" fillId="4" borderId="8" xfId="0" applyNumberFormat="1" applyFont="1" applyFill="1" applyBorder="1" applyAlignment="1">
      <alignment horizontal="center"/>
    </xf>
    <xf numFmtId="0" fontId="0" fillId="3" borderId="3" xfId="0" applyFill="1" applyBorder="1"/>
    <xf numFmtId="0" fontId="9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9" fillId="2" borderId="3" xfId="0" applyFont="1" applyFill="1" applyBorder="1"/>
    <xf numFmtId="164" fontId="3" fillId="2" borderId="0" xfId="0" applyNumberFormat="1" applyFont="1" applyFill="1"/>
    <xf numFmtId="41" fontId="0" fillId="2" borderId="0" xfId="0" applyNumberFormat="1" applyFill="1"/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3" fillId="3" borderId="10" xfId="0" applyFont="1" applyFill="1" applyBorder="1"/>
    <xf numFmtId="0" fontId="3" fillId="3" borderId="2" xfId="0" applyFont="1" applyFill="1" applyBorder="1"/>
    <xf numFmtId="0" fontId="0" fillId="3" borderId="12" xfId="0" applyFill="1" applyBorder="1"/>
    <xf numFmtId="0" fontId="0" fillId="3" borderId="11" xfId="0" applyFill="1" applyBorder="1"/>
    <xf numFmtId="0" fontId="0" fillId="2" borderId="6" xfId="0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center"/>
    </xf>
    <xf numFmtId="0" fontId="3" fillId="2" borderId="5" xfId="0" applyFont="1" applyFill="1" applyBorder="1" applyAlignment="1">
      <alignment horizontal="left"/>
    </xf>
    <xf numFmtId="0" fontId="5" fillId="3" borderId="8" xfId="0" applyFont="1" applyFill="1" applyBorder="1"/>
    <xf numFmtId="0" fontId="0" fillId="3" borderId="5" xfId="0" applyFill="1" applyBorder="1" applyAlignment="1">
      <alignment vertical="top"/>
    </xf>
    <xf numFmtId="0" fontId="3" fillId="3" borderId="5" xfId="0" applyFont="1" applyFill="1" applyBorder="1"/>
    <xf numFmtId="0" fontId="9" fillId="2" borderId="5" xfId="0" applyFont="1" applyFill="1" applyBorder="1"/>
    <xf numFmtId="0" fontId="0" fillId="2" borderId="12" xfId="0" applyFill="1" applyBorder="1"/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0" fillId="4" borderId="3" xfId="0" applyFill="1" applyBorder="1"/>
    <xf numFmtId="0" fontId="2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2" fillId="4" borderId="2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wrapText="1"/>
    </xf>
    <xf numFmtId="41" fontId="0" fillId="0" borderId="0" xfId="0" applyNumberFormat="1" applyAlignment="1">
      <alignment horizontal="right"/>
    </xf>
    <xf numFmtId="3" fontId="0" fillId="3" borderId="0" xfId="0" applyNumberFormat="1" applyFill="1"/>
    <xf numFmtId="165" fontId="0" fillId="3" borderId="0" xfId="0" applyNumberFormat="1" applyFill="1"/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6" xfId="0" applyFont="1" applyFill="1" applyBorder="1" applyAlignment="1">
      <alignment horizontal="right"/>
    </xf>
    <xf numFmtId="14" fontId="0" fillId="3" borderId="3" xfId="0" applyNumberFormat="1" applyFill="1" applyBorder="1" applyAlignment="1">
      <alignment horizontal="right"/>
    </xf>
    <xf numFmtId="14" fontId="9" fillId="3" borderId="4" xfId="0" applyNumberFormat="1" applyFont="1" applyFill="1" applyBorder="1" applyAlignment="1">
      <alignment horizontal="right"/>
    </xf>
    <xf numFmtId="2" fontId="0" fillId="3" borderId="0" xfId="0" applyNumberFormat="1" applyFill="1"/>
    <xf numFmtId="0" fontId="3" fillId="2" borderId="3" xfId="0" applyFont="1" applyFill="1" applyBorder="1"/>
    <xf numFmtId="41" fontId="0" fillId="3" borderId="0" xfId="0" applyNumberFormat="1" applyFill="1"/>
    <xf numFmtId="164" fontId="0" fillId="3" borderId="0" xfId="2" applyNumberFormat="1" applyFont="1" applyFill="1" applyAlignment="1">
      <alignment horizontal="center"/>
    </xf>
    <xf numFmtId="0" fontId="3" fillId="2" borderId="2" xfId="0" applyFont="1" applyFill="1" applyBorder="1"/>
    <xf numFmtId="41" fontId="2" fillId="4" borderId="10" xfId="0" applyNumberFormat="1" applyFont="1" applyFill="1" applyBorder="1"/>
    <xf numFmtId="41" fontId="4" fillId="4" borderId="12" xfId="0" applyNumberFormat="1" applyFont="1" applyFill="1" applyBorder="1"/>
    <xf numFmtId="183" fontId="4" fillId="4" borderId="12" xfId="0" applyNumberFormat="1" applyFont="1" applyFill="1" applyBorder="1" applyAlignment="1">
      <alignment horizontal="center"/>
    </xf>
    <xf numFmtId="2" fontId="4" fillId="4" borderId="12" xfId="0" applyNumberFormat="1" applyFont="1" applyFill="1" applyBorder="1" applyAlignment="1">
      <alignment horizontal="center"/>
    </xf>
    <xf numFmtId="41" fontId="4" fillId="4" borderId="12" xfId="0" applyNumberFormat="1" applyFont="1" applyFill="1" applyBorder="1" applyAlignment="1">
      <alignment horizontal="center"/>
    </xf>
    <xf numFmtId="41" fontId="4" fillId="4" borderId="11" xfId="0" applyNumberFormat="1" applyFont="1" applyFill="1" applyBorder="1" applyAlignment="1">
      <alignment horizontal="center"/>
    </xf>
    <xf numFmtId="164" fontId="0" fillId="3" borderId="12" xfId="2" applyNumberFormat="1" applyFont="1" applyFill="1" applyBorder="1" applyAlignment="1">
      <alignment horizontal="center"/>
    </xf>
    <xf numFmtId="3" fontId="0" fillId="3" borderId="12" xfId="0" applyNumberFormat="1" applyFill="1" applyBorder="1"/>
    <xf numFmtId="4" fontId="0" fillId="3" borderId="12" xfId="0" applyNumberFormat="1" applyFill="1" applyBorder="1"/>
    <xf numFmtId="4" fontId="0" fillId="3" borderId="11" xfId="0" applyNumberFormat="1" applyFill="1" applyBorder="1"/>
    <xf numFmtId="0" fontId="9" fillId="2" borderId="0" xfId="0" applyFont="1" applyFill="1"/>
    <xf numFmtId="0" fontId="0" fillId="0" borderId="2" xfId="0" applyBorder="1" applyAlignment="1">
      <alignment horizontal="left" indent="1"/>
    </xf>
    <xf numFmtId="0" fontId="0" fillId="0" borderId="3" xfId="0" applyBorder="1"/>
    <xf numFmtId="181" fontId="16" fillId="0" borderId="3" xfId="0" applyNumberFormat="1" applyFont="1" applyBorder="1"/>
    <xf numFmtId="182" fontId="16" fillId="0" borderId="3" xfId="0" applyNumberFormat="1" applyFont="1" applyBorder="1"/>
    <xf numFmtId="41" fontId="0" fillId="0" borderId="3" xfId="0" applyNumberFormat="1" applyBorder="1" applyAlignment="1">
      <alignment horizontal="right"/>
    </xf>
    <xf numFmtId="41" fontId="9" fillId="0" borderId="3" xfId="0" applyNumberFormat="1" applyFont="1" applyBorder="1"/>
    <xf numFmtId="41" fontId="9" fillId="0" borderId="4" xfId="0" applyNumberFormat="1" applyFont="1" applyBorder="1"/>
    <xf numFmtId="185" fontId="0" fillId="2" borderId="8" xfId="0" applyNumberFormat="1" applyFill="1" applyBorder="1"/>
    <xf numFmtId="10" fontId="0" fillId="2" borderId="0" xfId="2" applyNumberFormat="1" applyFont="1" applyFill="1"/>
    <xf numFmtId="0" fontId="0" fillId="2" borderId="11" xfId="0" applyFill="1" applyBorder="1" applyAlignment="1">
      <alignment horizontal="right"/>
    </xf>
    <xf numFmtId="184" fontId="0" fillId="2" borderId="9" xfId="0" applyNumberFormat="1" applyFill="1" applyBorder="1" applyAlignment="1">
      <alignment horizontal="right"/>
    </xf>
    <xf numFmtId="14" fontId="4" fillId="4" borderId="8" xfId="0" applyNumberFormat="1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37" fontId="0" fillId="2" borderId="0" xfId="0" applyNumberFormat="1" applyFill="1" applyAlignment="1">
      <alignment horizontal="right"/>
    </xf>
    <xf numFmtId="164" fontId="0" fillId="2" borderId="0" xfId="0" applyNumberFormat="1" applyFill="1" applyAlignment="1">
      <alignment horizontal="left" indent="1"/>
    </xf>
    <xf numFmtId="186" fontId="9" fillId="3" borderId="3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24" fillId="3" borderId="0" xfId="0" applyFont="1" applyFill="1"/>
    <xf numFmtId="0" fontId="25" fillId="3" borderId="0" xfId="0" applyFont="1" applyFill="1"/>
    <xf numFmtId="0" fontId="9" fillId="2" borderId="5" xfId="0" applyFont="1" applyFill="1" applyBorder="1" applyAlignment="1">
      <alignment horizontal="left" indent="1"/>
    </xf>
    <xf numFmtId="0" fontId="9" fillId="2" borderId="7" xfId="0" applyFont="1" applyFill="1" applyBorder="1" applyAlignment="1">
      <alignment horizontal="left" indent="1"/>
    </xf>
    <xf numFmtId="164" fontId="0" fillId="8" borderId="0" xfId="2" applyNumberFormat="1" applyFont="1" applyFill="1" applyAlignment="1">
      <alignment horizontal="center"/>
    </xf>
    <xf numFmtId="165" fontId="6" fillId="8" borderId="0" xfId="0" applyNumberFormat="1" applyFont="1" applyFill="1"/>
    <xf numFmtId="166" fontId="6" fillId="8" borderId="0" xfId="1" applyNumberFormat="1" applyFont="1" applyFill="1" applyAlignment="1">
      <alignment horizontal="center"/>
    </xf>
    <xf numFmtId="166" fontId="6" fillId="8" borderId="6" xfId="0" applyNumberFormat="1" applyFont="1" applyFill="1" applyBorder="1" applyAlignment="1">
      <alignment horizontal="center"/>
    </xf>
    <xf numFmtId="165" fontId="0" fillId="8" borderId="0" xfId="0" applyNumberFormat="1" applyFill="1"/>
    <xf numFmtId="166" fontId="0" fillId="8" borderId="6" xfId="0" applyNumberFormat="1" applyFill="1" applyBorder="1" applyAlignment="1">
      <alignment horizontal="center"/>
    </xf>
    <xf numFmtId="166" fontId="0" fillId="8" borderId="0" xfId="1" applyNumberFormat="1" applyFont="1" applyFill="1" applyAlignment="1">
      <alignment horizontal="center"/>
    </xf>
    <xf numFmtId="169" fontId="9" fillId="8" borderId="16" xfId="0" applyNumberFormat="1" applyFont="1" applyFill="1" applyBorder="1" applyAlignment="1">
      <alignment horizontal="center"/>
    </xf>
    <xf numFmtId="170" fontId="9" fillId="8" borderId="17" xfId="0" applyNumberFormat="1" applyFont="1" applyFill="1" applyBorder="1" applyAlignment="1">
      <alignment horizontal="center"/>
    </xf>
    <xf numFmtId="37" fontId="6" fillId="8" borderId="0" xfId="0" applyNumberFormat="1" applyFont="1" applyFill="1"/>
    <xf numFmtId="0" fontId="0" fillId="3" borderId="3" xfId="0" applyFill="1" applyBorder="1" applyAlignment="1">
      <alignment horizontal="right"/>
    </xf>
    <xf numFmtId="0" fontId="0" fillId="3" borderId="0" xfId="0" applyFill="1" applyAlignment="1">
      <alignment horizontal="right"/>
    </xf>
    <xf numFmtId="37" fontId="0" fillId="3" borderId="0" xfId="0" applyNumberFormat="1" applyFill="1" applyAlignment="1">
      <alignment horizontal="right"/>
    </xf>
    <xf numFmtId="3" fontId="0" fillId="3" borderId="3" xfId="0" applyNumberFormat="1" applyFill="1" applyBorder="1" applyAlignment="1">
      <alignment horizontal="right"/>
    </xf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14" fontId="4" fillId="5" borderId="8" xfId="0" applyNumberFormat="1" applyFont="1" applyFill="1" applyBorder="1" applyAlignment="1">
      <alignment horizontal="right"/>
    </xf>
    <xf numFmtId="37" fontId="0" fillId="3" borderId="0" xfId="0" applyNumberFormat="1" applyFill="1" applyAlignment="1">
      <alignment horizontal="center"/>
    </xf>
    <xf numFmtId="37" fontId="0" fillId="3" borderId="8" xfId="0" applyNumberFormat="1" applyFill="1" applyBorder="1" applyAlignment="1">
      <alignment horizontal="center"/>
    </xf>
    <xf numFmtId="41" fontId="0" fillId="8" borderId="0" xfId="0" applyNumberFormat="1" applyFill="1"/>
    <xf numFmtId="41" fontId="0" fillId="8" borderId="6" xfId="0" applyNumberFormat="1" applyFill="1" applyBorder="1"/>
    <xf numFmtId="41" fontId="0" fillId="8" borderId="8" xfId="0" applyNumberFormat="1" applyFill="1" applyBorder="1"/>
    <xf numFmtId="41" fontId="0" fillId="8" borderId="9" xfId="0" applyNumberFormat="1" applyFill="1" applyBorder="1"/>
    <xf numFmtId="37" fontId="0" fillId="8" borderId="0" xfId="0" applyNumberFormat="1" applyFill="1" applyAlignment="1">
      <alignment horizontal="right"/>
    </xf>
    <xf numFmtId="164" fontId="9" fillId="8" borderId="0" xfId="2" applyNumberFormat="1" applyFont="1" applyFill="1" applyAlignment="1">
      <alignment horizontal="center"/>
    </xf>
    <xf numFmtId="3" fontId="9" fillId="8" borderId="0" xfId="0" applyNumberFormat="1" applyFont="1" applyFill="1"/>
    <xf numFmtId="4" fontId="9" fillId="8" borderId="0" xfId="0" applyNumberFormat="1" applyFont="1" applyFill="1"/>
    <xf numFmtId="4" fontId="9" fillId="8" borderId="6" xfId="0" applyNumberFormat="1" applyFont="1" applyFill="1" applyBorder="1"/>
    <xf numFmtId="0" fontId="0" fillId="3" borderId="0" xfId="0" applyFill="1" applyAlignment="1">
      <alignment wrapText="1"/>
    </xf>
    <xf numFmtId="0" fontId="0" fillId="0" borderId="10" xfId="0" applyBorder="1"/>
    <xf numFmtId="0" fontId="0" fillId="0" borderId="12" xfId="0" applyBorder="1"/>
    <xf numFmtId="41" fontId="0" fillId="0" borderId="12" xfId="0" applyNumberFormat="1" applyBorder="1" applyAlignment="1">
      <alignment horizontal="right"/>
    </xf>
    <xf numFmtId="0" fontId="0" fillId="0" borderId="11" xfId="0" applyBorder="1"/>
    <xf numFmtId="0" fontId="0" fillId="0" borderId="5" xfId="0" applyBorder="1"/>
    <xf numFmtId="0" fontId="15" fillId="6" borderId="0" xfId="0" applyFont="1" applyFill="1"/>
    <xf numFmtId="0" fontId="0" fillId="6" borderId="0" xfId="0" applyFill="1"/>
    <xf numFmtId="41" fontId="0" fillId="6" borderId="0" xfId="0" applyNumberFormat="1" applyFill="1" applyAlignment="1">
      <alignment horizontal="right"/>
    </xf>
    <xf numFmtId="0" fontId="0" fillId="0" borderId="6" xfId="0" applyBorder="1"/>
    <xf numFmtId="0" fontId="15" fillId="0" borderId="0" xfId="0" applyFont="1"/>
    <xf numFmtId="0" fontId="0" fillId="7" borderId="0" xfId="0" applyFill="1"/>
    <xf numFmtId="41" fontId="0" fillId="7" borderId="0" xfId="0" applyNumberFormat="1" applyFill="1" applyAlignment="1">
      <alignment horizontal="right"/>
    </xf>
    <xf numFmtId="164" fontId="14" fillId="0" borderId="0" xfId="0" applyNumberFormat="1" applyFont="1"/>
    <xf numFmtId="164" fontId="16" fillId="0" borderId="0" xfId="0" applyNumberFormat="1" applyFont="1" applyAlignment="1">
      <alignment horizontal="right"/>
    </xf>
    <xf numFmtId="15" fontId="9" fillId="0" borderId="0" xfId="0" applyNumberFormat="1" applyFont="1"/>
    <xf numFmtId="179" fontId="0" fillId="0" borderId="0" xfId="0" applyNumberFormat="1"/>
    <xf numFmtId="164" fontId="16" fillId="0" borderId="0" xfId="0" applyNumberFormat="1" applyFont="1"/>
    <xf numFmtId="164" fontId="9" fillId="0" borderId="0" xfId="0" applyNumberFormat="1" applyFont="1" applyAlignment="1">
      <alignment horizontal="right"/>
    </xf>
    <xf numFmtId="175" fontId="0" fillId="0" borderId="0" xfId="0" applyNumberFormat="1"/>
    <xf numFmtId="3" fontId="0" fillId="0" borderId="0" xfId="0" applyNumberFormat="1"/>
    <xf numFmtId="4" fontId="9" fillId="0" borderId="0" xfId="0" applyNumberFormat="1" applyFont="1" applyAlignment="1">
      <alignment horizontal="right"/>
    </xf>
    <xf numFmtId="41" fontId="9" fillId="0" borderId="0" xfId="0" applyNumberFormat="1" applyFont="1"/>
    <xf numFmtId="0" fontId="9" fillId="0" borderId="0" xfId="0" quotePrefix="1" applyFont="1" applyAlignment="1">
      <alignment horizontal="left" indent="1"/>
    </xf>
    <xf numFmtId="180" fontId="18" fillId="0" borderId="0" xfId="0" applyNumberFormat="1" applyFont="1" applyAlignment="1">
      <alignment horizontal="right"/>
    </xf>
    <xf numFmtId="180" fontId="21" fillId="0" borderId="0" xfId="0" applyNumberFormat="1" applyFont="1"/>
    <xf numFmtId="41" fontId="21" fillId="0" borderId="0" xfId="0" applyNumberFormat="1" applyFont="1"/>
    <xf numFmtId="0" fontId="9" fillId="0" borderId="0" xfId="0" applyFont="1"/>
    <xf numFmtId="41" fontId="0" fillId="0" borderId="0" xfId="0" applyNumberFormat="1"/>
    <xf numFmtId="0" fontId="9" fillId="0" borderId="0" xfId="0" applyFont="1" applyAlignment="1">
      <alignment horizontal="left" indent="1"/>
    </xf>
    <xf numFmtId="9" fontId="16" fillId="0" borderId="0" xfId="0" applyNumberFormat="1" applyFont="1"/>
    <xf numFmtId="180" fontId="9" fillId="0" borderId="0" xfId="0" applyNumberFormat="1" applyFont="1"/>
    <xf numFmtId="0" fontId="0" fillId="0" borderId="0" xfId="0" quotePrefix="1" applyAlignment="1">
      <alignment horizontal="left" indent="1"/>
    </xf>
    <xf numFmtId="41" fontId="21" fillId="2" borderId="0" xfId="0" applyNumberFormat="1" applyFont="1" applyFill="1" applyAlignment="1">
      <alignment horizontal="right"/>
    </xf>
    <xf numFmtId="41" fontId="18" fillId="0" borderId="0" xfId="0" applyNumberFormat="1" applyFont="1"/>
    <xf numFmtId="41" fontId="0" fillId="0" borderId="6" xfId="0" applyNumberFormat="1" applyBorder="1"/>
    <xf numFmtId="41" fontId="18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9" fontId="0" fillId="0" borderId="0" xfId="0" applyNumberFormat="1"/>
    <xf numFmtId="41" fontId="20" fillId="0" borderId="0" xfId="0" applyNumberFormat="1" applyFont="1" applyAlignment="1">
      <alignment horizontal="right"/>
    </xf>
    <xf numFmtId="181" fontId="16" fillId="0" borderId="0" xfId="0" applyNumberFormat="1" applyFont="1"/>
    <xf numFmtId="182" fontId="16" fillId="0" borderId="0" xfId="0" applyNumberFormat="1" applyFont="1"/>
    <xf numFmtId="41" fontId="17" fillId="0" borderId="0" xfId="0" applyNumberFormat="1" applyFont="1"/>
    <xf numFmtId="41" fontId="19" fillId="0" borderId="0" xfId="0" applyNumberFormat="1" applyFont="1"/>
    <xf numFmtId="0" fontId="0" fillId="0" borderId="7" xfId="0" applyBorder="1"/>
    <xf numFmtId="0" fontId="0" fillId="0" borderId="8" xfId="0" applyBorder="1"/>
    <xf numFmtId="41" fontId="0" fillId="0" borderId="8" xfId="0" applyNumberFormat="1" applyBorder="1" applyAlignment="1">
      <alignment horizontal="right"/>
    </xf>
    <xf numFmtId="41" fontId="0" fillId="0" borderId="8" xfId="0" applyNumberFormat="1" applyBorder="1"/>
    <xf numFmtId="41" fontId="0" fillId="0" borderId="9" xfId="0" applyNumberFormat="1" applyBorder="1"/>
    <xf numFmtId="180" fontId="0" fillId="3" borderId="0" xfId="0" applyNumberFormat="1" applyFill="1"/>
    <xf numFmtId="41" fontId="0" fillId="3" borderId="0" xfId="0" applyNumberFormat="1" applyFill="1" applyAlignment="1">
      <alignment horizontal="right"/>
    </xf>
    <xf numFmtId="164" fontId="0" fillId="3" borderId="0" xfId="0" applyNumberFormat="1" applyFill="1"/>
    <xf numFmtId="0" fontId="0" fillId="2" borderId="5" xfId="0" applyFill="1" applyBorder="1" applyAlignment="1">
      <alignment horizontal="left" wrapText="1" indent="1"/>
    </xf>
    <xf numFmtId="166" fontId="6" fillId="8" borderId="6" xfId="1" applyNumberFormat="1" applyFont="1" applyFill="1" applyBorder="1" applyAlignment="1">
      <alignment horizontal="center"/>
    </xf>
    <xf numFmtId="10" fontId="0" fillId="8" borderId="0" xfId="2" applyNumberFormat="1" applyFont="1" applyFill="1"/>
    <xf numFmtId="185" fontId="0" fillId="8" borderId="8" xfId="0" applyNumberFormat="1" applyFill="1" applyBorder="1"/>
    <xf numFmtId="2" fontId="0" fillId="2" borderId="0" xfId="0" applyNumberFormat="1" applyFill="1"/>
    <xf numFmtId="164" fontId="9" fillId="8" borderId="8" xfId="2" applyNumberFormat="1" applyFont="1" applyFill="1" applyBorder="1" applyAlignment="1">
      <alignment horizontal="center"/>
    </xf>
    <xf numFmtId="3" fontId="9" fillId="8" borderId="8" xfId="0" applyNumberFormat="1" applyFont="1" applyFill="1" applyBorder="1"/>
    <xf numFmtId="4" fontId="9" fillId="8" borderId="8" xfId="0" applyNumberFormat="1" applyFont="1" applyFill="1" applyBorder="1"/>
    <xf numFmtId="4" fontId="9" fillId="8" borderId="9" xfId="0" applyNumberFormat="1" applyFont="1" applyFill="1" applyBorder="1"/>
    <xf numFmtId="0" fontId="23" fillId="2" borderId="0" xfId="0" applyFont="1" applyFill="1"/>
    <xf numFmtId="0" fontId="23" fillId="2" borderId="8" xfId="0" applyFont="1" applyFill="1" applyBorder="1"/>
    <xf numFmtId="0" fontId="9" fillId="2" borderId="7" xfId="0" applyFont="1" applyFill="1" applyBorder="1"/>
    <xf numFmtId="0" fontId="10" fillId="2" borderId="5" xfId="0" applyFont="1" applyFill="1" applyBorder="1"/>
    <xf numFmtId="2" fontId="9" fillId="2" borderId="0" xfId="0" applyNumberFormat="1" applyFont="1" applyFill="1"/>
    <xf numFmtId="5" fontId="9" fillId="2" borderId="0" xfId="0" applyNumberFormat="1" applyFont="1" applyFill="1"/>
    <xf numFmtId="14" fontId="9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0" fontId="9" fillId="2" borderId="10" xfId="0" applyFont="1" applyFill="1" applyBorder="1"/>
    <xf numFmtId="2" fontId="9" fillId="2" borderId="12" xfId="0" applyNumberFormat="1" applyFont="1" applyFill="1" applyBorder="1"/>
    <xf numFmtId="5" fontId="9" fillId="2" borderId="12" xfId="0" applyNumberFormat="1" applyFont="1" applyFill="1" applyBorder="1"/>
    <xf numFmtId="10" fontId="9" fillId="2" borderId="12" xfId="2" applyNumberFormat="1" applyFont="1" applyFill="1" applyBorder="1" applyAlignment="1">
      <alignment horizontal="center"/>
    </xf>
    <xf numFmtId="41" fontId="9" fillId="2" borderId="0" xfId="0" applyNumberFormat="1" applyFont="1" applyFill="1"/>
    <xf numFmtId="10" fontId="9" fillId="2" borderId="0" xfId="2" applyNumberFormat="1" applyFont="1" applyFill="1" applyAlignment="1">
      <alignment horizontal="center"/>
    </xf>
    <xf numFmtId="41" fontId="9" fillId="2" borderId="8" xfId="0" applyNumberFormat="1" applyFont="1" applyFill="1" applyBorder="1"/>
    <xf numFmtId="14" fontId="9" fillId="2" borderId="12" xfId="0" applyNumberFormat="1" applyFont="1" applyFill="1" applyBorder="1" applyAlignment="1">
      <alignment horizontal="center"/>
    </xf>
    <xf numFmtId="0" fontId="9" fillId="2" borderId="12" xfId="0" applyFont="1" applyFill="1" applyBorder="1"/>
    <xf numFmtId="2" fontId="10" fillId="2" borderId="3" xfId="0" applyNumberFormat="1" applyFont="1" applyFill="1" applyBorder="1"/>
    <xf numFmtId="0" fontId="10" fillId="2" borderId="3" xfId="0" applyFont="1" applyFill="1" applyBorder="1"/>
    <xf numFmtId="2" fontId="9" fillId="2" borderId="8" xfId="0" applyNumberFormat="1" applyFont="1" applyFill="1" applyBorder="1"/>
    <xf numFmtId="10" fontId="9" fillId="2" borderId="8" xfId="2" applyNumberFormat="1" applyFont="1" applyFill="1" applyBorder="1" applyAlignment="1">
      <alignment horizontal="center"/>
    </xf>
    <xf numFmtId="2" fontId="23" fillId="2" borderId="12" xfId="0" applyNumberFormat="1" applyFont="1" applyFill="1" applyBorder="1"/>
    <xf numFmtId="5" fontId="23" fillId="2" borderId="12" xfId="0" applyNumberFormat="1" applyFont="1" applyFill="1" applyBorder="1"/>
    <xf numFmtId="14" fontId="23" fillId="2" borderId="12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2" fontId="23" fillId="2" borderId="0" xfId="0" applyNumberFormat="1" applyFont="1" applyFill="1"/>
    <xf numFmtId="5" fontId="23" fillId="2" borderId="0" xfId="0" applyNumberFormat="1" applyFont="1" applyFill="1"/>
    <xf numFmtId="14" fontId="23" fillId="2" borderId="0" xfId="0" applyNumberFormat="1" applyFont="1" applyFill="1" applyAlignment="1">
      <alignment horizontal="center"/>
    </xf>
    <xf numFmtId="2" fontId="22" fillId="2" borderId="3" xfId="0" applyNumberFormat="1" applyFont="1" applyFill="1" applyBorder="1"/>
    <xf numFmtId="5" fontId="23" fillId="2" borderId="3" xfId="0" applyNumberFormat="1" applyFont="1" applyFill="1" applyBorder="1"/>
    <xf numFmtId="14" fontId="23" fillId="2" borderId="3" xfId="0" applyNumberFormat="1" applyFont="1" applyFill="1" applyBorder="1" applyAlignment="1">
      <alignment horizontal="center"/>
    </xf>
    <xf numFmtId="2" fontId="3" fillId="2" borderId="3" xfId="0" applyNumberFormat="1" applyFont="1" applyFill="1" applyBorder="1"/>
    <xf numFmtId="10" fontId="23" fillId="2" borderId="0" xfId="2" applyNumberFormat="1" applyFont="1" applyFill="1" applyAlignment="1">
      <alignment horizontal="center"/>
    </xf>
    <xf numFmtId="41" fontId="23" fillId="2" borderId="0" xfId="0" applyNumberFormat="1" applyFont="1" applyFill="1"/>
    <xf numFmtId="41" fontId="10" fillId="2" borderId="3" xfId="0" applyNumberFormat="1" applyFont="1" applyFill="1" applyBorder="1"/>
    <xf numFmtId="0" fontId="10" fillId="2" borderId="2" xfId="0" applyFont="1" applyFill="1" applyBorder="1"/>
    <xf numFmtId="187" fontId="0" fillId="3" borderId="0" xfId="0" applyNumberFormat="1" applyFill="1"/>
    <xf numFmtId="37" fontId="23" fillId="2" borderId="0" xfId="0" applyNumberFormat="1" applyFont="1" applyFill="1"/>
    <xf numFmtId="188" fontId="9" fillId="2" borderId="0" xfId="0" applyNumberFormat="1" applyFont="1" applyFill="1"/>
    <xf numFmtId="14" fontId="10" fillId="2" borderId="3" xfId="0" applyNumberFormat="1" applyFont="1" applyFill="1" applyBorder="1" applyAlignment="1">
      <alignment horizontal="center"/>
    </xf>
    <xf numFmtId="41" fontId="10" fillId="2" borderId="3" xfId="0" applyNumberFormat="1" applyFont="1" applyFill="1" applyBorder="1" applyAlignment="1">
      <alignment horizontal="center"/>
    </xf>
    <xf numFmtId="41" fontId="10" fillId="2" borderId="4" xfId="0" applyNumberFormat="1" applyFont="1" applyFill="1" applyBorder="1" applyAlignment="1">
      <alignment horizontal="center"/>
    </xf>
    <xf numFmtId="10" fontId="23" fillId="2" borderId="12" xfId="2" applyNumberFormat="1" applyFont="1" applyFill="1" applyBorder="1" applyAlignment="1">
      <alignment horizontal="center"/>
    </xf>
    <xf numFmtId="41" fontId="22" fillId="2" borderId="3" xfId="0" applyNumberFormat="1" applyFont="1" applyFill="1" applyBorder="1"/>
    <xf numFmtId="10" fontId="23" fillId="2" borderId="3" xfId="0" applyNumberFormat="1" applyFont="1" applyFill="1" applyBorder="1" applyAlignment="1">
      <alignment horizontal="center"/>
    </xf>
    <xf numFmtId="2" fontId="23" fillId="2" borderId="3" xfId="0" applyNumberFormat="1" applyFont="1" applyFill="1" applyBorder="1"/>
    <xf numFmtId="2" fontId="0" fillId="2" borderId="3" xfId="0" applyNumberFormat="1" applyFill="1" applyBorder="1"/>
    <xf numFmtId="2" fontId="0" fillId="2" borderId="3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37" fontId="9" fillId="2" borderId="0" xfId="0" applyNumberFormat="1" applyFont="1" applyFill="1"/>
    <xf numFmtId="0" fontId="3" fillId="2" borderId="7" xfId="0" applyFont="1" applyFill="1" applyBorder="1"/>
    <xf numFmtId="173" fontId="5" fillId="2" borderId="8" xfId="0" applyNumberFormat="1" applyFont="1" applyFill="1" applyBorder="1" applyAlignment="1">
      <alignment horizontal="center"/>
    </xf>
    <xf numFmtId="164" fontId="0" fillId="8" borderId="8" xfId="2" applyNumberFormat="1" applyFont="1" applyFill="1" applyBorder="1" applyAlignment="1">
      <alignment horizontal="center"/>
    </xf>
    <xf numFmtId="165" fontId="6" fillId="8" borderId="8" xfId="0" applyNumberFormat="1" applyFont="1" applyFill="1" applyBorder="1"/>
    <xf numFmtId="166" fontId="6" fillId="8" borderId="8" xfId="1" applyNumberFormat="1" applyFont="1" applyFill="1" applyBorder="1" applyAlignment="1">
      <alignment horizontal="center"/>
    </xf>
    <xf numFmtId="166" fontId="6" fillId="8" borderId="9" xfId="0" applyNumberFormat="1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41" fontId="0" fillId="3" borderId="6" xfId="0" applyNumberFormat="1" applyFill="1" applyBorder="1"/>
    <xf numFmtId="0" fontId="1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3" fontId="0" fillId="8" borderId="3" xfId="0" applyNumberFormat="1" applyFill="1" applyBorder="1" applyAlignment="1">
      <alignment horizontal="right"/>
    </xf>
    <xf numFmtId="41" fontId="9" fillId="8" borderId="12" xfId="0" applyNumberFormat="1" applyFont="1" applyFill="1" applyBorder="1"/>
    <xf numFmtId="41" fontId="9" fillId="8" borderId="0" xfId="0" applyNumberFormat="1" applyFont="1" applyFill="1"/>
    <xf numFmtId="0" fontId="0" fillId="8" borderId="3" xfId="0" applyFill="1" applyBorder="1" applyAlignment="1">
      <alignment horizontal="center"/>
    </xf>
    <xf numFmtId="41" fontId="0" fillId="8" borderId="3" xfId="0" applyNumberFormat="1" applyFill="1" applyBorder="1"/>
    <xf numFmtId="41" fontId="0" fillId="8" borderId="4" xfId="0" applyNumberFormat="1" applyFill="1" applyBorder="1"/>
    <xf numFmtId="41" fontId="9" fillId="8" borderId="11" xfId="0" applyNumberFormat="1" applyFont="1" applyFill="1" applyBorder="1"/>
    <xf numFmtId="41" fontId="9" fillId="8" borderId="6" xfId="0" applyNumberFormat="1" applyFont="1" applyFill="1" applyBorder="1"/>
    <xf numFmtId="41" fontId="9" fillId="8" borderId="3" xfId="0" applyNumberFormat="1" applyFont="1" applyFill="1" applyBorder="1"/>
    <xf numFmtId="41" fontId="9" fillId="8" borderId="4" xfId="0" applyNumberFormat="1" applyFont="1" applyFill="1" applyBorder="1"/>
    <xf numFmtId="2" fontId="9" fillId="8" borderId="12" xfId="0" applyNumberFormat="1" applyFont="1" applyFill="1" applyBorder="1" applyAlignment="1">
      <alignment horizontal="center"/>
    </xf>
    <xf numFmtId="41" fontId="9" fillId="8" borderId="12" xfId="2" applyNumberFormat="1" applyFont="1" applyFill="1" applyBorder="1" applyAlignment="1">
      <alignment horizontal="center"/>
    </xf>
    <xf numFmtId="41" fontId="9" fillId="8" borderId="11" xfId="2" applyNumberFormat="1" applyFont="1" applyFill="1" applyBorder="1" applyAlignment="1">
      <alignment horizontal="center"/>
    </xf>
    <xf numFmtId="41" fontId="9" fillId="8" borderId="0" xfId="2" applyNumberFormat="1" applyFont="1" applyFill="1" applyAlignment="1">
      <alignment horizontal="center"/>
    </xf>
    <xf numFmtId="41" fontId="9" fillId="8" borderId="6" xfId="2" applyNumberFormat="1" applyFont="1" applyFill="1" applyBorder="1" applyAlignment="1">
      <alignment horizontal="center"/>
    </xf>
    <xf numFmtId="41" fontId="9" fillId="8" borderId="12" xfId="0" applyNumberFormat="1" applyFont="1" applyFill="1" applyBorder="1" applyAlignment="1">
      <alignment horizontal="center"/>
    </xf>
    <xf numFmtId="180" fontId="9" fillId="8" borderId="12" xfId="0" applyNumberFormat="1" applyFont="1" applyFill="1" applyBorder="1" applyAlignment="1">
      <alignment horizontal="center"/>
    </xf>
    <xf numFmtId="41" fontId="9" fillId="8" borderId="11" xfId="0" applyNumberFormat="1" applyFont="1" applyFill="1" applyBorder="1" applyAlignment="1">
      <alignment horizontal="center"/>
    </xf>
    <xf numFmtId="41" fontId="9" fillId="8" borderId="8" xfId="0" applyNumberFormat="1" applyFont="1" applyFill="1" applyBorder="1"/>
    <xf numFmtId="41" fontId="9" fillId="8" borderId="8" xfId="0" applyNumberFormat="1" applyFont="1" applyFill="1" applyBorder="1" applyAlignment="1">
      <alignment horizontal="center"/>
    </xf>
    <xf numFmtId="180" fontId="9" fillId="8" borderId="8" xfId="0" applyNumberFormat="1" applyFont="1" applyFill="1" applyBorder="1" applyAlignment="1">
      <alignment horizontal="center"/>
    </xf>
    <xf numFmtId="41" fontId="9" fillId="8" borderId="9" xfId="0" applyNumberFormat="1" applyFont="1" applyFill="1" applyBorder="1" applyAlignment="1">
      <alignment horizontal="center"/>
    </xf>
    <xf numFmtId="41" fontId="9" fillId="8" borderId="0" xfId="0" applyNumberFormat="1" applyFont="1" applyFill="1" applyAlignment="1">
      <alignment horizontal="center"/>
    </xf>
    <xf numFmtId="41" fontId="9" fillId="8" borderId="6" xfId="0" applyNumberFormat="1" applyFont="1" applyFill="1" applyBorder="1" applyAlignment="1">
      <alignment horizontal="center"/>
    </xf>
    <xf numFmtId="180" fontId="9" fillId="8" borderId="0" xfId="0" applyNumberFormat="1" applyFont="1" applyFill="1"/>
    <xf numFmtId="180" fontId="9" fillId="8" borderId="0" xfId="0" applyNumberFormat="1" applyFont="1" applyFill="1" applyAlignment="1">
      <alignment horizontal="center"/>
    </xf>
    <xf numFmtId="180" fontId="9" fillId="8" borderId="6" xfId="0" applyNumberFormat="1" applyFont="1" applyFill="1" applyBorder="1" applyAlignment="1">
      <alignment horizontal="center"/>
    </xf>
    <xf numFmtId="10" fontId="5" fillId="8" borderId="6" xfId="0" applyNumberFormat="1" applyFont="1" applyFill="1" applyBorder="1"/>
    <xf numFmtId="10" fontId="9" fillId="2" borderId="6" xfId="2" applyNumberFormat="1" applyFont="1" applyFill="1" applyBorder="1" applyAlignment="1">
      <alignment horizontal="right"/>
    </xf>
    <xf numFmtId="0" fontId="5" fillId="8" borderId="6" xfId="2" applyNumberFormat="1" applyFont="1" applyFill="1" applyBorder="1"/>
    <xf numFmtId="37" fontId="5" fillId="8" borderId="6" xfId="0" applyNumberFormat="1" applyFont="1" applyFill="1" applyBorder="1"/>
    <xf numFmtId="10" fontId="9" fillId="8" borderId="6" xfId="2" applyNumberFormat="1" applyFont="1" applyFill="1" applyBorder="1"/>
    <xf numFmtId="37" fontId="9" fillId="8" borderId="6" xfId="0" applyNumberFormat="1" applyFont="1" applyFill="1" applyBorder="1"/>
    <xf numFmtId="37" fontId="9" fillId="8" borderId="4" xfId="0" applyNumberFormat="1" applyFont="1" applyFill="1" applyBorder="1"/>
    <xf numFmtId="10" fontId="27" fillId="8" borderId="1" xfId="0" applyNumberFormat="1" applyFont="1" applyFill="1" applyBorder="1" applyAlignment="1">
      <alignment horizontal="center"/>
    </xf>
    <xf numFmtId="10" fontId="10" fillId="8" borderId="1" xfId="2" applyNumberFormat="1" applyFont="1" applyFill="1" applyBorder="1" applyAlignment="1">
      <alignment horizontal="center"/>
    </xf>
    <xf numFmtId="164" fontId="9" fillId="8" borderId="3" xfId="2" applyNumberFormat="1" applyFont="1" applyFill="1" applyBorder="1" applyAlignment="1">
      <alignment horizontal="center"/>
    </xf>
    <xf numFmtId="165" fontId="3" fillId="8" borderId="3" xfId="0" applyNumberFormat="1" applyFont="1" applyFill="1" applyBorder="1"/>
    <xf numFmtId="166" fontId="3" fillId="8" borderId="3" xfId="0" applyNumberFormat="1" applyFont="1" applyFill="1" applyBorder="1"/>
    <xf numFmtId="166" fontId="3" fillId="8" borderId="4" xfId="0" applyNumberFormat="1" applyFont="1" applyFill="1" applyBorder="1"/>
    <xf numFmtId="166" fontId="0" fillId="8" borderId="0" xfId="0" applyNumberFormat="1" applyFill="1"/>
    <xf numFmtId="166" fontId="0" fillId="8" borderId="6" xfId="0" applyNumberFormat="1" applyFill="1" applyBorder="1"/>
    <xf numFmtId="165" fontId="0" fillId="8" borderId="8" xfId="0" applyNumberFormat="1" applyFill="1" applyBorder="1"/>
    <xf numFmtId="166" fontId="0" fillId="8" borderId="8" xfId="0" applyNumberFormat="1" applyFill="1" applyBorder="1"/>
    <xf numFmtId="166" fontId="0" fillId="8" borderId="9" xfId="0" applyNumberFormat="1" applyFill="1" applyBorder="1"/>
    <xf numFmtId="166" fontId="5" fillId="8" borderId="0" xfId="1" applyNumberFormat="1" applyFont="1" applyFill="1" applyAlignment="1">
      <alignment horizontal="center"/>
    </xf>
    <xf numFmtId="174" fontId="5" fillId="8" borderId="0" xfId="0" applyNumberFormat="1" applyFont="1" applyFill="1" applyAlignment="1">
      <alignment horizontal="center"/>
    </xf>
    <xf numFmtId="165" fontId="9" fillId="8" borderId="0" xfId="0" applyNumberFormat="1" applyFont="1" applyFill="1"/>
    <xf numFmtId="165" fontId="6" fillId="3" borderId="0" xfId="0" applyNumberFormat="1" applyFont="1" applyFill="1"/>
    <xf numFmtId="166" fontId="6" fillId="3" borderId="0" xfId="1" applyNumberFormat="1" applyFont="1" applyFill="1" applyAlignment="1">
      <alignment horizontal="center"/>
    </xf>
    <xf numFmtId="166" fontId="6" fillId="3" borderId="6" xfId="0" applyNumberFormat="1" applyFont="1" applyFill="1" applyBorder="1" applyAlignment="1">
      <alignment horizontal="center"/>
    </xf>
    <xf numFmtId="165" fontId="5" fillId="3" borderId="0" xfId="0" applyNumberFormat="1" applyFont="1" applyFill="1"/>
    <xf numFmtId="166" fontId="0" fillId="3" borderId="0" xfId="1" applyNumberFormat="1" applyFont="1" applyFill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71" fontId="5" fillId="8" borderId="0" xfId="0" applyNumberFormat="1" applyFont="1" applyFill="1" applyAlignment="1">
      <alignment horizontal="center"/>
    </xf>
    <xf numFmtId="9" fontId="5" fillId="8" borderId="0" xfId="0" applyNumberFormat="1" applyFont="1" applyFill="1" applyAlignment="1">
      <alignment horizontal="center"/>
    </xf>
    <xf numFmtId="41" fontId="0" fillId="8" borderId="12" xfId="0" applyNumberFormat="1" applyFill="1" applyBorder="1"/>
    <xf numFmtId="41" fontId="0" fillId="8" borderId="11" xfId="0" applyNumberFormat="1" applyFill="1" applyBorder="1"/>
    <xf numFmtId="41" fontId="3" fillId="8" borderId="3" xfId="0" applyNumberFormat="1" applyFont="1" applyFill="1" applyBorder="1"/>
    <xf numFmtId="41" fontId="3" fillId="8" borderId="4" xfId="0" applyNumberFormat="1" applyFont="1" applyFill="1" applyBorder="1"/>
    <xf numFmtId="3" fontId="5" fillId="8" borderId="11" xfId="0" applyNumberFormat="1" applyFont="1" applyFill="1" applyBorder="1"/>
    <xf numFmtId="167" fontId="9" fillId="8" borderId="6" xfId="0" applyNumberFormat="1" applyFont="1" applyFill="1" applyBorder="1"/>
    <xf numFmtId="3" fontId="0" fillId="8" borderId="6" xfId="0" applyNumberFormat="1" applyFill="1" applyBorder="1"/>
    <xf numFmtId="3" fontId="8" fillId="8" borderId="6" xfId="0" applyNumberFormat="1" applyFont="1" applyFill="1" applyBorder="1"/>
    <xf numFmtId="3" fontId="7" fillId="8" borderId="6" xfId="0" applyNumberFormat="1" applyFont="1" applyFill="1" applyBorder="1"/>
    <xf numFmtId="164" fontId="9" fillId="8" borderId="6" xfId="2" applyNumberFormat="1" applyFont="1" applyFill="1" applyBorder="1" applyAlignment="1">
      <alignment vertical="center"/>
    </xf>
    <xf numFmtId="3" fontId="5" fillId="8" borderId="9" xfId="2" applyNumberFormat="1" applyFont="1" applyFill="1" applyBorder="1"/>
    <xf numFmtId="3" fontId="5" fillId="8" borderId="0" xfId="0" applyNumberFormat="1" applyFont="1" applyFill="1" applyAlignment="1">
      <alignment horizontal="center"/>
    </xf>
    <xf numFmtId="164" fontId="9" fillId="8" borderId="0" xfId="0" applyNumberFormat="1" applyFont="1" applyFill="1" applyAlignment="1">
      <alignment horizontal="center"/>
    </xf>
    <xf numFmtId="0" fontId="5" fillId="8" borderId="6" xfId="0" applyFont="1" applyFill="1" applyBorder="1" applyAlignment="1">
      <alignment wrapText="1"/>
    </xf>
    <xf numFmtId="3" fontId="5" fillId="8" borderId="14" xfId="0" applyNumberFormat="1" applyFont="1" applyFill="1" applyBorder="1" applyAlignment="1">
      <alignment horizontal="center"/>
    </xf>
    <xf numFmtId="0" fontId="5" fillId="8" borderId="15" xfId="0" applyFont="1" applyFill="1" applyBorder="1"/>
    <xf numFmtId="0" fontId="5" fillId="8" borderId="6" xfId="0" applyFont="1" applyFill="1" applyBorder="1"/>
    <xf numFmtId="3" fontId="5" fillId="8" borderId="8" xfId="0" applyNumberFormat="1" applyFont="1" applyFill="1" applyBorder="1" applyAlignment="1">
      <alignment horizontal="center"/>
    </xf>
    <xf numFmtId="0" fontId="5" fillId="8" borderId="8" xfId="0" applyFont="1" applyFill="1" applyBorder="1"/>
    <xf numFmtId="0" fontId="5" fillId="8" borderId="9" xfId="0" applyFont="1" applyFill="1" applyBorder="1"/>
    <xf numFmtId="0" fontId="28" fillId="3" borderId="5" xfId="0" applyFont="1" applyFill="1" applyBorder="1" applyAlignment="1">
      <alignment horizontal="left" indent="1"/>
    </xf>
    <xf numFmtId="0" fontId="28" fillId="3" borderId="0" xfId="0" applyFont="1" applyFill="1" applyAlignment="1">
      <alignment horizontal="center"/>
    </xf>
    <xf numFmtId="14" fontId="28" fillId="3" borderId="0" xfId="0" applyNumberFormat="1" applyFont="1" applyFill="1" applyAlignment="1">
      <alignment horizontal="right"/>
    </xf>
    <xf numFmtId="14" fontId="28" fillId="3" borderId="6" xfId="0" applyNumberFormat="1" applyFont="1" applyFill="1" applyBorder="1" applyAlignment="1">
      <alignment horizontal="right"/>
    </xf>
    <xf numFmtId="0" fontId="9" fillId="8" borderId="0" xfId="0" applyFont="1" applyFill="1" applyAlignment="1">
      <alignment horizontal="center"/>
    </xf>
    <xf numFmtId="14" fontId="0" fillId="8" borderId="6" xfId="0" applyNumberFormat="1" applyFill="1" applyBorder="1" applyAlignment="1">
      <alignment horizontal="right"/>
    </xf>
    <xf numFmtId="14" fontId="9" fillId="8" borderId="0" xfId="0" applyNumberFormat="1" applyFont="1" applyFill="1" applyAlignment="1">
      <alignment horizontal="right"/>
    </xf>
    <xf numFmtId="14" fontId="5" fillId="8" borderId="0" xfId="0" applyNumberFormat="1" applyFont="1" applyFill="1" applyAlignment="1">
      <alignment horizontal="center"/>
    </xf>
    <xf numFmtId="3" fontId="0" fillId="8" borderId="11" xfId="0" applyNumberFormat="1" applyFill="1" applyBorder="1"/>
    <xf numFmtId="167" fontId="0" fillId="8" borderId="6" xfId="0" applyNumberFormat="1" applyFill="1" applyBorder="1"/>
    <xf numFmtId="164" fontId="0" fillId="8" borderId="6" xfId="2" applyNumberFormat="1" applyFont="1" applyFill="1" applyBorder="1"/>
    <xf numFmtId="166" fontId="5" fillId="8" borderId="6" xfId="0" applyNumberFormat="1" applyFont="1" applyFill="1" applyBorder="1"/>
    <xf numFmtId="9" fontId="5" fillId="8" borderId="6" xfId="0" applyNumberFormat="1" applyFont="1" applyFill="1" applyBorder="1"/>
    <xf numFmtId="177" fontId="5" fillId="8" borderId="6" xfId="0" applyNumberFormat="1" applyFont="1" applyFill="1" applyBorder="1"/>
    <xf numFmtId="178" fontId="5" fillId="8" borderId="6" xfId="0" applyNumberFormat="1" applyFont="1" applyFill="1" applyBorder="1"/>
    <xf numFmtId="165" fontId="9" fillId="8" borderId="6" xfId="0" applyNumberFormat="1" applyFont="1" applyFill="1" applyBorder="1"/>
    <xf numFmtId="164" fontId="5" fillId="8" borderId="6" xfId="0" applyNumberFormat="1" applyFont="1" applyFill="1" applyBorder="1"/>
    <xf numFmtId="178" fontId="9" fillId="8" borderId="6" xfId="0" applyNumberFormat="1" applyFont="1" applyFill="1" applyBorder="1"/>
    <xf numFmtId="180" fontId="0" fillId="8" borderId="6" xfId="0" applyNumberFormat="1" applyFill="1" applyBorder="1"/>
    <xf numFmtId="43" fontId="0" fillId="8" borderId="9" xfId="0" applyNumberFormat="1" applyFill="1" applyBorder="1"/>
    <xf numFmtId="164" fontId="5" fillId="8" borderId="0" xfId="0" applyNumberFormat="1" applyFont="1" applyFill="1" applyAlignment="1">
      <alignment horizontal="center"/>
    </xf>
    <xf numFmtId="0" fontId="3" fillId="3" borderId="0" xfId="0" applyFont="1" applyFill="1"/>
    <xf numFmtId="0" fontId="5" fillId="8" borderId="5" xfId="0" applyFont="1" applyFill="1" applyBorder="1" applyAlignment="1">
      <alignment horizontal="left" indent="1"/>
    </xf>
    <xf numFmtId="0" fontId="5" fillId="8" borderId="13" xfId="0" applyFont="1" applyFill="1" applyBorder="1" applyAlignment="1">
      <alignment horizontal="left" indent="1"/>
    </xf>
    <xf numFmtId="0" fontId="5" fillId="8" borderId="7" xfId="0" applyFont="1" applyFill="1" applyBorder="1" applyAlignment="1">
      <alignment horizontal="left" indent="1"/>
    </xf>
    <xf numFmtId="189" fontId="5" fillId="8" borderId="0" xfId="0" applyNumberFormat="1" applyFont="1" applyFill="1" applyAlignment="1">
      <alignment horizontal="center"/>
    </xf>
    <xf numFmtId="166" fontId="5" fillId="8" borderId="6" xfId="0" applyNumberFormat="1" applyFont="1" applyFill="1" applyBorder="1" applyAlignment="1">
      <alignment horizontal="center"/>
    </xf>
    <xf numFmtId="190" fontId="5" fillId="8" borderId="0" xfId="0" applyNumberFormat="1" applyFont="1" applyFill="1" applyAlignment="1">
      <alignment horizontal="center"/>
    </xf>
    <xf numFmtId="0" fontId="29" fillId="3" borderId="5" xfId="0" applyFont="1" applyFill="1" applyBorder="1"/>
    <xf numFmtId="0" fontId="28" fillId="3" borderId="5" xfId="0" applyFont="1" applyFill="1" applyBorder="1"/>
    <xf numFmtId="166" fontId="0" fillId="3" borderId="0" xfId="0" applyNumberFormat="1" applyFill="1"/>
    <xf numFmtId="166" fontId="0" fillId="3" borderId="6" xfId="0" applyNumberFormat="1" applyFill="1" applyBorder="1"/>
    <xf numFmtId="164" fontId="28" fillId="3" borderId="0" xfId="2" applyNumberFormat="1" applyFont="1" applyFill="1" applyAlignment="1">
      <alignment horizontal="center"/>
    </xf>
    <xf numFmtId="3" fontId="28" fillId="3" borderId="0" xfId="0" applyNumberFormat="1" applyFont="1" applyFill="1"/>
    <xf numFmtId="4" fontId="28" fillId="3" borderId="0" xfId="0" applyNumberFormat="1" applyFont="1" applyFill="1"/>
    <xf numFmtId="4" fontId="28" fillId="3" borderId="6" xfId="0" applyNumberFormat="1" applyFont="1" applyFill="1" applyBorder="1"/>
    <xf numFmtId="10" fontId="5" fillId="8" borderId="9" xfId="0" applyNumberFormat="1" applyFont="1" applyFill="1" applyBorder="1"/>
    <xf numFmtId="0" fontId="5" fillId="8" borderId="10" xfId="0" applyFont="1" applyFill="1" applyBorder="1" applyAlignment="1">
      <alignment horizontal="center"/>
    </xf>
    <xf numFmtId="191" fontId="14" fillId="8" borderId="0" xfId="2" applyNumberFormat="1" applyFont="1" applyFill="1" applyAlignment="1">
      <alignment horizontal="center"/>
    </xf>
    <xf numFmtId="9" fontId="5" fillId="8" borderId="7" xfId="0" applyNumberFormat="1" applyFont="1" applyFill="1" applyBorder="1" applyAlignment="1">
      <alignment horizontal="center"/>
    </xf>
    <xf numFmtId="9" fontId="9" fillId="8" borderId="9" xfId="0" applyNumberFormat="1" applyFont="1" applyFill="1" applyBorder="1" applyAlignment="1">
      <alignment horizontal="center"/>
    </xf>
    <xf numFmtId="3" fontId="9" fillId="8" borderId="0" xfId="0" applyNumberFormat="1" applyFont="1" applyFill="1" applyAlignment="1">
      <alignment horizontal="center"/>
    </xf>
    <xf numFmtId="3" fontId="9" fillId="8" borderId="14" xfId="0" applyNumberFormat="1" applyFont="1" applyFill="1" applyBorder="1" applyAlignment="1">
      <alignment horizontal="center"/>
    </xf>
    <xf numFmtId="3" fontId="9" fillId="8" borderId="8" xfId="0" applyNumberFormat="1" applyFont="1" applyFill="1" applyBorder="1" applyAlignment="1">
      <alignment horizontal="center"/>
    </xf>
    <xf numFmtId="164" fontId="9" fillId="8" borderId="14" xfId="0" applyNumberFormat="1" applyFont="1" applyFill="1" applyBorder="1" applyAlignment="1">
      <alignment horizontal="center"/>
    </xf>
    <xf numFmtId="164" fontId="9" fillId="8" borderId="8" xfId="0" applyNumberFormat="1" applyFont="1" applyFill="1" applyBorder="1" applyAlignment="1">
      <alignment horizontal="center"/>
    </xf>
    <xf numFmtId="10" fontId="9" fillId="8" borderId="12" xfId="2" applyNumberFormat="1" applyFont="1" applyFill="1" applyBorder="1" applyAlignment="1">
      <alignment horizontal="center" vertical="center"/>
    </xf>
    <xf numFmtId="10" fontId="9" fillId="8" borderId="8" xfId="2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9" fontId="9" fillId="3" borderId="0" xfId="0" applyNumberFormat="1" applyFont="1" applyFill="1" applyAlignment="1">
      <alignment horizontal="center" wrapText="1"/>
    </xf>
    <xf numFmtId="3" fontId="0" fillId="8" borderId="9" xfId="2" applyNumberFormat="1" applyFont="1" applyFill="1" applyBorder="1"/>
    <xf numFmtId="3" fontId="5" fillId="8" borderId="6" xfId="0" applyNumberFormat="1" applyFont="1" applyFill="1" applyBorder="1"/>
    <xf numFmtId="0" fontId="9" fillId="8" borderId="12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14" fontId="9" fillId="8" borderId="8" xfId="0" applyNumberFormat="1" applyFont="1" applyFill="1" applyBorder="1" applyAlignment="1">
      <alignment horizontal="center"/>
    </xf>
    <xf numFmtId="14" fontId="9" fillId="8" borderId="9" xfId="0" applyNumberFormat="1" applyFont="1" applyFill="1" applyBorder="1" applyAlignment="1">
      <alignment horizontal="center"/>
    </xf>
    <xf numFmtId="10" fontId="5" fillId="8" borderId="0" xfId="0" applyNumberFormat="1" applyFont="1" applyFill="1" applyBorder="1" applyAlignment="1">
      <alignment horizontal="center" vertical="center"/>
    </xf>
    <xf numFmtId="10" fontId="5" fillId="8" borderId="6" xfId="0" applyNumberFormat="1" applyFont="1" applyFill="1" applyBorder="1" applyAlignment="1">
      <alignment horizontal="center" vertical="center"/>
    </xf>
    <xf numFmtId="10" fontId="14" fillId="8" borderId="0" xfId="0" applyNumberFormat="1" applyFont="1" applyFill="1" applyAlignment="1">
      <alignment horizontal="center" vertical="center"/>
    </xf>
    <xf numFmtId="10" fontId="14" fillId="8" borderId="6" xfId="0" applyNumberFormat="1" applyFont="1" applyFill="1" applyBorder="1" applyAlignment="1">
      <alignment horizontal="center" vertical="center"/>
    </xf>
    <xf numFmtId="10" fontId="9" fillId="8" borderId="0" xfId="0" applyNumberFormat="1" applyFont="1" applyFill="1" applyBorder="1" applyAlignment="1">
      <alignment horizontal="center"/>
    </xf>
    <xf numFmtId="10" fontId="9" fillId="8" borderId="6" xfId="0" applyNumberFormat="1" applyFont="1" applyFill="1" applyBorder="1" applyAlignment="1">
      <alignment horizontal="center"/>
    </xf>
    <xf numFmtId="10" fontId="1" fillId="8" borderId="12" xfId="2" applyNumberFormat="1" applyFill="1" applyBorder="1" applyAlignment="1">
      <alignment horizontal="center" vertical="center"/>
    </xf>
    <xf numFmtId="10" fontId="1" fillId="8" borderId="0" xfId="2" applyNumberFormat="1" applyFill="1" applyAlignment="1">
      <alignment horizontal="center" vertical="center"/>
    </xf>
    <xf numFmtId="10" fontId="5" fillId="8" borderId="6" xfId="0" applyNumberFormat="1" applyFont="1" applyFill="1" applyBorder="1" applyAlignment="1">
      <alignment horizontal="center"/>
    </xf>
    <xf numFmtId="10" fontId="3" fillId="8" borderId="3" xfId="0" applyNumberFormat="1" applyFont="1" applyFill="1" applyBorder="1" applyAlignment="1">
      <alignment horizontal="center" vertical="center"/>
    </xf>
    <xf numFmtId="10" fontId="3" fillId="8" borderId="3" xfId="2" applyNumberFormat="1" applyFont="1" applyFill="1" applyBorder="1" applyAlignment="1">
      <alignment horizontal="center" vertical="center"/>
    </xf>
    <xf numFmtId="10" fontId="3" fillId="8" borderId="4" xfId="2" applyNumberFormat="1" applyFont="1" applyFill="1" applyBorder="1" applyAlignment="1">
      <alignment horizontal="center" vertical="center"/>
    </xf>
    <xf numFmtId="10" fontId="9" fillId="8" borderId="0" xfId="0" applyNumberFormat="1" applyFont="1" applyFill="1"/>
    <xf numFmtId="197" fontId="0" fillId="8" borderId="11" xfId="0" applyNumberFormat="1" applyFill="1" applyBorder="1"/>
    <xf numFmtId="10" fontId="9" fillId="8" borderId="8" xfId="0" applyNumberFormat="1" applyFont="1" applyFill="1" applyBorder="1"/>
    <xf numFmtId="197" fontId="9" fillId="8" borderId="9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497305</xdr:colOff>
      <xdr:row>2</xdr:row>
      <xdr:rowOff>18548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5B48113F-2053-4DA8-8300-2CF9CBAB6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779" y="399548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0</xdr:row>
      <xdr:rowOff>166688</xdr:rowOff>
    </xdr:from>
    <xdr:ext cx="1889125" cy="490355"/>
    <xdr:pic>
      <xdr:nvPicPr>
        <xdr:cNvPr id="3" name="Picture 2" descr="A.CRE Academy">
          <a:extLst>
            <a:ext uri="{FF2B5EF4-FFF2-40B4-BE49-F238E27FC236}">
              <a16:creationId xmlns:a16="http://schemas.microsoft.com/office/drawing/2014/main" id="{03945617-6075-40B3-8E96-5888BDD4A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66688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28575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09F6F467-5E98-4AAD-9DBA-7E9730B74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9075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9525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7674E881-4A3A-44D1-97CC-2857084D7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00025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163286</xdr:colOff>
      <xdr:row>1</xdr:row>
      <xdr:rowOff>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12459531-757D-4724-BD85-7A571E794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9050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E0CD95E5-2F89-4126-829C-7001C94F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9050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DD6A-9E6D-48FC-A0F4-18B3DE7BAA98}">
  <dimension ref="A1:G10"/>
  <sheetViews>
    <sheetView zoomScale="190" zoomScaleNormal="190" workbookViewId="0"/>
  </sheetViews>
  <sheetFormatPr defaultColWidth="0" defaultRowHeight="14.4" zeroHeight="1" x14ac:dyDescent="0.3"/>
  <cols>
    <col min="1" max="1" width="2.6640625" style="12" customWidth="1"/>
    <col min="2" max="6" width="9.109375" style="12" customWidth="1"/>
    <col min="7" max="7" width="2.6640625" style="12" customWidth="1"/>
    <col min="8" max="16384" width="9.109375" style="12" hidden="1"/>
  </cols>
  <sheetData>
    <row r="1" spans="1:2" x14ac:dyDescent="0.3">
      <c r="A1" s="174"/>
    </row>
    <row r="2" spans="1:2" x14ac:dyDescent="0.3"/>
    <row r="3" spans="1:2" x14ac:dyDescent="0.3"/>
    <row r="4" spans="1:2" x14ac:dyDescent="0.3"/>
    <row r="5" spans="1:2" x14ac:dyDescent="0.3"/>
    <row r="6" spans="1:2" x14ac:dyDescent="0.3">
      <c r="B6" s="11" t="s">
        <v>177</v>
      </c>
    </row>
    <row r="7" spans="1:2" x14ac:dyDescent="0.3"/>
    <row r="8" spans="1:2" x14ac:dyDescent="0.3"/>
    <row r="9" spans="1:2" x14ac:dyDescent="0.3"/>
    <row r="10" spans="1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B96C-1D6B-413D-957B-98939A0F2260}">
  <dimension ref="A6:P57"/>
  <sheetViews>
    <sheetView tabSelected="1" topLeftCell="A2" zoomScale="80" zoomScaleNormal="80" workbookViewId="0">
      <selection activeCell="M44" sqref="M44"/>
    </sheetView>
  </sheetViews>
  <sheetFormatPr defaultColWidth="0" defaultRowHeight="14.4" x14ac:dyDescent="0.3"/>
  <cols>
    <col min="1" max="1" width="2.6640625" style="12" customWidth="1"/>
    <col min="2" max="2" width="31.33203125" style="12" bestFit="1" customWidth="1"/>
    <col min="3" max="3" width="10.6640625" style="12" customWidth="1"/>
    <col min="4" max="4" width="11.33203125" style="12" bestFit="1" customWidth="1"/>
    <col min="5" max="6" width="10.6640625" style="12" customWidth="1"/>
    <col min="7" max="7" width="15.33203125" style="12" bestFit="1" customWidth="1"/>
    <col min="8" max="8" width="2.6640625" style="12" customWidth="1"/>
    <col min="9" max="9" width="50" style="12" bestFit="1" customWidth="1"/>
    <col min="10" max="10" width="26.33203125" style="12" customWidth="1"/>
    <col min="11" max="11" width="12" style="12" bestFit="1" customWidth="1"/>
    <col min="12" max="12" width="7.44140625" style="12" customWidth="1"/>
    <col min="13" max="13" width="13.109375" style="12" customWidth="1"/>
    <col min="14" max="14" width="2.6640625" style="12" customWidth="1"/>
    <col min="15" max="16" width="0" style="12" hidden="1" customWidth="1"/>
    <col min="17" max="16384" width="9.109375" style="12" hidden="1"/>
  </cols>
  <sheetData>
    <row r="6" spans="2:13" ht="18" x14ac:dyDescent="0.35">
      <c r="B6" s="142" t="s">
        <v>9</v>
      </c>
    </row>
    <row r="8" spans="2:13" ht="28.8" x14ac:dyDescent="0.3">
      <c r="B8" s="95" t="s">
        <v>44</v>
      </c>
      <c r="C8" s="96"/>
      <c r="D8" s="96"/>
      <c r="E8" s="96"/>
      <c r="F8" s="96"/>
      <c r="G8" s="97"/>
      <c r="I8" s="98" t="s">
        <v>98</v>
      </c>
      <c r="J8" s="89" t="s">
        <v>170</v>
      </c>
      <c r="K8" s="89" t="s">
        <v>99</v>
      </c>
      <c r="L8" s="89" t="s">
        <v>101</v>
      </c>
      <c r="M8" s="90" t="s">
        <v>100</v>
      </c>
    </row>
    <row r="9" spans="2:13" x14ac:dyDescent="0.3">
      <c r="B9" s="8" t="s">
        <v>45</v>
      </c>
      <c r="C9" s="88"/>
      <c r="D9" s="88"/>
      <c r="E9" s="88"/>
      <c r="F9" s="88"/>
      <c r="G9" s="134" t="s">
        <v>178</v>
      </c>
      <c r="I9" s="8" t="s">
        <v>102</v>
      </c>
      <c r="J9" s="421">
        <f>SUMIF(OpProj!J13:EK13,"&lt;=5",OpProj!$J$27:$EK$27)/5/K13</f>
        <v>5.5892662708568436E-2</v>
      </c>
      <c r="K9" s="301">
        <f>MonthlyCF!C73</f>
        <v>105722369.18043905</v>
      </c>
      <c r="L9" s="446">
        <f>MonthlyCF!C74</f>
        <v>0.14834548830986025</v>
      </c>
      <c r="M9" s="447">
        <f>MonthlyCF!C75</f>
        <v>1.3705117938019602</v>
      </c>
    </row>
    <row r="10" spans="2:13" x14ac:dyDescent="0.3">
      <c r="B10" s="9" t="s">
        <v>46</v>
      </c>
      <c r="C10" s="1"/>
      <c r="D10" s="1"/>
      <c r="E10" s="1"/>
      <c r="F10" s="1"/>
      <c r="G10" s="79" t="s">
        <v>66</v>
      </c>
      <c r="I10" s="10" t="s">
        <v>103</v>
      </c>
      <c r="J10" s="422"/>
      <c r="K10" s="317">
        <f>MonthlyCF!C78</f>
        <v>92860525.409206301</v>
      </c>
      <c r="L10" s="448">
        <f>MonthlyCF!C79</f>
        <v>0.1875419795513153</v>
      </c>
      <c r="M10" s="449">
        <f>MonthlyCF!C80</f>
        <v>1.774387560403621</v>
      </c>
    </row>
    <row r="11" spans="2:13" x14ac:dyDescent="0.3">
      <c r="B11" s="10" t="s">
        <v>157</v>
      </c>
      <c r="C11" s="7"/>
      <c r="D11" s="7"/>
      <c r="E11" s="7"/>
      <c r="F11" s="7"/>
      <c r="G11" s="135">
        <v>1</v>
      </c>
    </row>
    <row r="12" spans="2:13" x14ac:dyDescent="0.3">
      <c r="I12" s="95" t="s">
        <v>90</v>
      </c>
      <c r="J12" s="14" t="s">
        <v>73</v>
      </c>
      <c r="K12" s="14" t="s">
        <v>26</v>
      </c>
      <c r="L12" s="14" t="s">
        <v>27</v>
      </c>
      <c r="M12" s="15" t="s">
        <v>28</v>
      </c>
    </row>
    <row r="13" spans="2:13" ht="28.8" x14ac:dyDescent="0.3">
      <c r="B13" s="95" t="s">
        <v>48</v>
      </c>
      <c r="C13" s="99" t="s">
        <v>52</v>
      </c>
      <c r="D13" s="99" t="s">
        <v>67</v>
      </c>
      <c r="E13" s="99" t="s">
        <v>69</v>
      </c>
      <c r="F13" s="103" t="s">
        <v>63</v>
      </c>
      <c r="G13" s="104" t="s">
        <v>64</v>
      </c>
      <c r="I13" s="86" t="s">
        <v>93</v>
      </c>
      <c r="J13" s="112">
        <f>K13/$K$13</f>
        <v>1</v>
      </c>
      <c r="K13" s="101">
        <f>SUM(K14:K15)</f>
        <v>299787021.54144633</v>
      </c>
      <c r="L13" s="109">
        <f t="shared" ref="L13:M13" si="0">SUM(L14:L15)</f>
        <v>972.98383225995269</v>
      </c>
      <c r="M13" s="123">
        <f t="shared" si="0"/>
        <v>1253.7042816877074</v>
      </c>
    </row>
    <row r="14" spans="2:13" x14ac:dyDescent="0.3">
      <c r="B14" s="85" t="s">
        <v>81</v>
      </c>
      <c r="C14" s="81"/>
      <c r="D14" s="81"/>
      <c r="E14" s="81"/>
      <c r="F14" s="105"/>
      <c r="G14" s="106"/>
      <c r="I14" s="16" t="s">
        <v>91</v>
      </c>
      <c r="J14" s="170"/>
      <c r="K14" s="171">
        <f>M45</f>
        <v>119914794.80998662</v>
      </c>
      <c r="L14" s="172">
        <f>K14/$M$32</f>
        <v>389.19348809353323</v>
      </c>
      <c r="M14" s="173">
        <f>K14/$M$33</f>
        <v>501.48165493614789</v>
      </c>
    </row>
    <row r="15" spans="2:13" x14ac:dyDescent="0.3">
      <c r="B15" s="16" t="s">
        <v>47</v>
      </c>
      <c r="C15" s="296">
        <v>1</v>
      </c>
      <c r="D15" s="379">
        <v>1</v>
      </c>
      <c r="E15" s="379">
        <f>+C15+D15-1</f>
        <v>1</v>
      </c>
      <c r="F15" s="382">
        <v>43617</v>
      </c>
      <c r="G15" s="380">
        <f>EDATE(F15,D15-1)</f>
        <v>43617</v>
      </c>
      <c r="I15" s="144" t="s">
        <v>92</v>
      </c>
      <c r="J15" s="170"/>
      <c r="K15" s="171">
        <f>M47</f>
        <v>179872226.73145968</v>
      </c>
      <c r="L15" s="172">
        <f>K15/$M$32</f>
        <v>583.79034416641946</v>
      </c>
      <c r="M15" s="173">
        <f>K15/$M$33</f>
        <v>752.22262675155957</v>
      </c>
    </row>
    <row r="16" spans="2:13" x14ac:dyDescent="0.3">
      <c r="B16" s="16" t="s">
        <v>68</v>
      </c>
      <c r="C16" s="296">
        <v>0</v>
      </c>
      <c r="D16" s="379">
        <v>1</v>
      </c>
      <c r="E16" s="379">
        <f>+C16+D16-1</f>
        <v>0</v>
      </c>
      <c r="F16" s="381">
        <f>EDATE(F15,-1)</f>
        <v>43586</v>
      </c>
      <c r="G16" s="380">
        <f>EDATE(F16,D16-1)</f>
        <v>43586</v>
      </c>
      <c r="I16" s="75" t="s">
        <v>94</v>
      </c>
      <c r="J16" s="120">
        <f>K16/$K$16</f>
        <v>1</v>
      </c>
      <c r="K16" s="121">
        <f>SUM(K17:K27)</f>
        <v>299787021.54144633</v>
      </c>
      <c r="L16" s="122">
        <f t="shared" ref="L16:M16" si="1">SUM(L17:L27)</f>
        <v>972.98383225995246</v>
      </c>
      <c r="M16" s="123">
        <f t="shared" si="1"/>
        <v>1253.7042816877074</v>
      </c>
    </row>
    <row r="17" spans="2:13" x14ac:dyDescent="0.3">
      <c r="B17" s="375" t="s">
        <v>62</v>
      </c>
      <c r="C17" s="376"/>
      <c r="D17" s="376"/>
      <c r="E17" s="376"/>
      <c r="F17" s="377"/>
      <c r="G17" s="378"/>
      <c r="I17" s="16" t="str">
        <f>Budget!B11</f>
        <v>Land</v>
      </c>
      <c r="J17" s="170">
        <f>Budget!D11</f>
        <v>0.22538915111326274</v>
      </c>
      <c r="K17" s="171">
        <f>Budget!E11</f>
        <v>67568742.299999997</v>
      </c>
      <c r="L17" s="172">
        <f>Budget!F11</f>
        <v>219.3</v>
      </c>
      <c r="M17" s="173">
        <f>Budget!G11</f>
        <v>282.57134379665524</v>
      </c>
    </row>
    <row r="18" spans="2:13" x14ac:dyDescent="0.3">
      <c r="B18" s="16" t="s">
        <v>65</v>
      </c>
      <c r="C18" s="293">
        <v>2</v>
      </c>
      <c r="D18" s="293">
        <v>11</v>
      </c>
      <c r="E18" s="379">
        <f>+C18+D18-1</f>
        <v>12</v>
      </c>
      <c r="F18" s="381">
        <f>EDATE($F$15,C18-$C$15)</f>
        <v>43647</v>
      </c>
      <c r="G18" s="380">
        <f>EDATE($F$15,E18-$C$15)</f>
        <v>43952</v>
      </c>
      <c r="I18" s="375" t="str">
        <f>Budget!B12</f>
        <v>Entitlement Costs</v>
      </c>
      <c r="J18" s="407">
        <f>Budget!D12</f>
        <v>0</v>
      </c>
      <c r="K18" s="408">
        <f>Budget!E12</f>
        <v>0</v>
      </c>
      <c r="L18" s="409">
        <f>Budget!F12</f>
        <v>0</v>
      </c>
      <c r="M18" s="410">
        <f>Budget!G12</f>
        <v>0</v>
      </c>
    </row>
    <row r="19" spans="2:13" x14ac:dyDescent="0.3">
      <c r="B19" s="16" t="s">
        <v>19</v>
      </c>
      <c r="C19" s="293">
        <v>13</v>
      </c>
      <c r="D19" s="293">
        <v>30</v>
      </c>
      <c r="E19" s="379">
        <f>+C19+D19-1</f>
        <v>42</v>
      </c>
      <c r="F19" s="381">
        <f>EDATE($F$15,C19-$C$15)</f>
        <v>43983</v>
      </c>
      <c r="G19" s="380">
        <f>EDATE($F$15,E19-$C$15)</f>
        <v>44866</v>
      </c>
      <c r="I19" s="16" t="str">
        <f>Budget!B13</f>
        <v>A&amp;E</v>
      </c>
      <c r="J19" s="170">
        <f>Budget!D13</f>
        <v>1.5288023815822085E-2</v>
      </c>
      <c r="K19" s="171">
        <f>Budget!E13</f>
        <v>4583151.125</v>
      </c>
      <c r="L19" s="172">
        <f>Budget!F13</f>
        <v>14.875000000000002</v>
      </c>
      <c r="M19" s="173">
        <f>Budget!G13</f>
        <v>19.166660916439795</v>
      </c>
    </row>
    <row r="20" spans="2:13" x14ac:dyDescent="0.3">
      <c r="B20" s="85" t="s">
        <v>82</v>
      </c>
      <c r="C20" s="81"/>
      <c r="D20" s="81"/>
      <c r="E20" s="81"/>
      <c r="F20" s="105"/>
      <c r="G20" s="106"/>
      <c r="I20" s="16" t="str">
        <f>Budget!B14</f>
        <v>Construction</v>
      </c>
      <c r="J20" s="170">
        <f>Budget!D14</f>
        <v>0.55499380575085222</v>
      </c>
      <c r="K20" s="171">
        <f>Budget!E14</f>
        <v>166379940</v>
      </c>
      <c r="L20" s="172">
        <f>Budget!F14</f>
        <v>540</v>
      </c>
      <c r="M20" s="173">
        <f>Budget!G14</f>
        <v>695.79811057999927</v>
      </c>
    </row>
    <row r="21" spans="2:13" x14ac:dyDescent="0.3">
      <c r="B21" s="16" t="s">
        <v>83</v>
      </c>
      <c r="C21" s="293">
        <v>37</v>
      </c>
      <c r="D21" s="80">
        <v>1</v>
      </c>
      <c r="E21" s="379">
        <f>+C21+D21-1</f>
        <v>37</v>
      </c>
      <c r="F21" s="381">
        <f>EDATE($F$15,C21-$C$15)</f>
        <v>44713</v>
      </c>
      <c r="G21" s="380">
        <f>EDATE($F$15,E21-$C$15)</f>
        <v>44713</v>
      </c>
      <c r="I21" s="16" t="str">
        <f>Budget!B15</f>
        <v>Tenant Improvements</v>
      </c>
      <c r="J21" s="170">
        <f>Budget!D15</f>
        <v>5.1846357190787055E-2</v>
      </c>
      <c r="K21" s="171">
        <f>Budget!E15</f>
        <v>15542865</v>
      </c>
      <c r="L21" s="172">
        <f>Budget!F15</f>
        <v>50.445667308210353</v>
      </c>
      <c r="M21" s="173">
        <f>Budget!G15</f>
        <v>65</v>
      </c>
    </row>
    <row r="22" spans="2:13" x14ac:dyDescent="0.3">
      <c r="B22" s="22" t="s">
        <v>84</v>
      </c>
      <c r="C22" s="293">
        <f>E19+6</f>
        <v>48</v>
      </c>
      <c r="D22" s="80">
        <v>1</v>
      </c>
      <c r="E22" s="379">
        <f>+C22+D22-1</f>
        <v>48</v>
      </c>
      <c r="F22" s="381">
        <f>EDATE($F$15,C22-$C$15)</f>
        <v>45047</v>
      </c>
      <c r="G22" s="380">
        <f>EDATE($F$15,E22-$C$15)</f>
        <v>45047</v>
      </c>
      <c r="I22" s="16" t="str">
        <f>Budget!B16</f>
        <v>Permits</v>
      </c>
      <c r="J22" s="170">
        <f>Budget!D16</f>
        <v>5.4600085056507449E-3</v>
      </c>
      <c r="K22" s="171">
        <f>Budget!E16</f>
        <v>1636839.6875</v>
      </c>
      <c r="L22" s="172">
        <f>Budget!F16</f>
        <v>5.3125</v>
      </c>
      <c r="M22" s="173">
        <f>Budget!G16</f>
        <v>6.8452360415856406</v>
      </c>
    </row>
    <row r="23" spans="2:13" x14ac:dyDescent="0.3">
      <c r="B23" s="76" t="s">
        <v>26</v>
      </c>
      <c r="C23" s="63"/>
      <c r="D23" s="140">
        <f>DATEDIF(F23,G23,"m")+1</f>
        <v>48</v>
      </c>
      <c r="E23" s="74"/>
      <c r="F23" s="107">
        <f>F15</f>
        <v>43617</v>
      </c>
      <c r="G23" s="108">
        <f>MAX(G15:G22)</f>
        <v>45047</v>
      </c>
      <c r="I23" s="16" t="str">
        <f>Budget!B17</f>
        <v>Taxes</v>
      </c>
      <c r="J23" s="170">
        <f>Budget!D17</f>
        <v>3.4900292146815004E-2</v>
      </c>
      <c r="K23" s="171">
        <f>Budget!E17</f>
        <v>10462654.63362</v>
      </c>
      <c r="L23" s="172">
        <f>Budget!F17</f>
        <v>33.957419999999999</v>
      </c>
      <c r="M23" s="173">
        <f>Budget!G17</f>
        <v>43.754645696613849</v>
      </c>
    </row>
    <row r="24" spans="2:13" x14ac:dyDescent="0.3">
      <c r="D24" s="73"/>
      <c r="E24" s="73"/>
      <c r="F24" s="71"/>
      <c r="G24" s="72"/>
      <c r="I24" s="16" t="str">
        <f>Budget!B18</f>
        <v>Leasing and Marketing</v>
      </c>
      <c r="J24" s="170">
        <f>Budget!D18</f>
        <v>1.4694656185614255E-2</v>
      </c>
      <c r="K24" s="171">
        <f>Budget!E18</f>
        <v>4405267.2104608882</v>
      </c>
      <c r="L24" s="172">
        <f>Budget!F18</f>
        <v>14.29766288922138</v>
      </c>
      <c r="M24" s="173">
        <f>Budget!G18</f>
        <v>18.422753377833352</v>
      </c>
    </row>
    <row r="25" spans="2:13" x14ac:dyDescent="0.3">
      <c r="B25" s="92" t="s">
        <v>159</v>
      </c>
      <c r="C25" s="93"/>
      <c r="D25" s="93"/>
      <c r="E25" s="93"/>
      <c r="F25" s="93"/>
      <c r="G25" s="94"/>
      <c r="I25" s="16" t="str">
        <f>Budget!B19</f>
        <v>G&amp;A</v>
      </c>
      <c r="J25" s="170">
        <f>Budget!D19</f>
        <v>2.0665277299027878E-2</v>
      </c>
      <c r="K25" s="171">
        <f>Budget!E19</f>
        <v>6195181.9308036324</v>
      </c>
      <c r="L25" s="172">
        <f>Budget!F19</f>
        <v>20.106980701122747</v>
      </c>
      <c r="M25" s="173">
        <f>Budget!G19</f>
        <v>25.908146632055036</v>
      </c>
    </row>
    <row r="26" spans="2:13" x14ac:dyDescent="0.3">
      <c r="B26" s="75" t="s">
        <v>79</v>
      </c>
      <c r="C26" s="77"/>
      <c r="D26" s="77"/>
      <c r="E26" s="77"/>
      <c r="F26" s="77"/>
      <c r="G26" s="78"/>
      <c r="I26" s="16" t="str">
        <f>Budget!B20</f>
        <v>Contingency</v>
      </c>
      <c r="J26" s="170">
        <f>Budget!D20</f>
        <v>3.3859157179777069E-2</v>
      </c>
      <c r="K26" s="171">
        <f>Budget!E20</f>
        <v>10150535.882829046</v>
      </c>
      <c r="L26" s="172">
        <f>Budget!F20</f>
        <v>32.94441250987159</v>
      </c>
      <c r="M26" s="173">
        <f>Budget!G20</f>
        <v>42.449370330623601</v>
      </c>
    </row>
    <row r="27" spans="2:13" x14ac:dyDescent="0.3">
      <c r="B27" s="16" t="s">
        <v>74</v>
      </c>
      <c r="C27" s="379">
        <f>C21</f>
        <v>37</v>
      </c>
      <c r="D27" s="1"/>
      <c r="E27" s="1"/>
      <c r="F27" s="1"/>
      <c r="G27" s="380">
        <f>EDATE($F$15,C27-$C$15)</f>
        <v>44713</v>
      </c>
      <c r="I27" s="145" t="str">
        <f>Budget!B21</f>
        <v>Financing Costs</v>
      </c>
      <c r="J27" s="231">
        <f>Budget!D21</f>
        <v>4.2903270812390787E-2</v>
      </c>
      <c r="K27" s="232">
        <f>Budget!E21</f>
        <v>12861843.771232702</v>
      </c>
      <c r="L27" s="233">
        <f>Budget!F21</f>
        <v>41.744188851526566</v>
      </c>
      <c r="M27" s="234">
        <f>Budget!G21</f>
        <v>53.788014315901577</v>
      </c>
    </row>
    <row r="28" spans="2:13" x14ac:dyDescent="0.3">
      <c r="B28" s="16" t="s">
        <v>75</v>
      </c>
      <c r="C28" s="1"/>
      <c r="D28" s="1"/>
      <c r="E28" s="293">
        <f>C27+(10*12)-1</f>
        <v>156</v>
      </c>
      <c r="F28" s="1"/>
      <c r="G28" s="380">
        <f>EDATE($F$15,E28-$C$15)</f>
        <v>48335</v>
      </c>
    </row>
    <row r="29" spans="2:13" x14ac:dyDescent="0.3">
      <c r="B29" s="16" t="s">
        <v>72</v>
      </c>
      <c r="C29" s="1"/>
      <c r="D29" s="1"/>
      <c r="E29" s="1"/>
      <c r="F29" s="1"/>
      <c r="G29" s="386">
        <v>65.55</v>
      </c>
      <c r="I29" s="23" t="s">
        <v>0</v>
      </c>
      <c r="J29" s="91"/>
      <c r="K29" s="91"/>
      <c r="L29" s="91"/>
      <c r="M29" s="24"/>
    </row>
    <row r="30" spans="2:13" x14ac:dyDescent="0.3">
      <c r="B30" s="16" t="s">
        <v>77</v>
      </c>
      <c r="C30" s="1"/>
      <c r="D30" s="1"/>
      <c r="E30" s="1"/>
      <c r="F30" s="1"/>
      <c r="G30" s="326">
        <v>0.03</v>
      </c>
      <c r="I30" s="26" t="str">
        <f>Area!B9</f>
        <v>Lot Size</v>
      </c>
      <c r="J30" s="1"/>
      <c r="K30" s="1"/>
      <c r="L30" s="1"/>
      <c r="M30" s="383">
        <f>Area!C9</f>
        <v>22860</v>
      </c>
    </row>
    <row r="31" spans="2:13" x14ac:dyDescent="0.3">
      <c r="B31" s="16" t="s">
        <v>76</v>
      </c>
      <c r="C31" s="1"/>
      <c r="D31" s="1"/>
      <c r="E31" s="1"/>
      <c r="F31" s="1"/>
      <c r="G31" s="387">
        <v>1</v>
      </c>
      <c r="I31" s="16" t="str">
        <f>Area!B10</f>
        <v>FAR</v>
      </c>
      <c r="J31" s="1"/>
      <c r="K31" s="1"/>
      <c r="L31" s="1"/>
      <c r="M31" s="384">
        <f>Area!C10</f>
        <v>13.47817147856518</v>
      </c>
    </row>
    <row r="32" spans="2:13" x14ac:dyDescent="0.3">
      <c r="B32" s="16" t="s">
        <v>78</v>
      </c>
      <c r="C32" s="1"/>
      <c r="D32" s="1"/>
      <c r="E32" s="1"/>
      <c r="F32" s="1"/>
      <c r="G32" s="388">
        <v>6</v>
      </c>
      <c r="I32" s="16" t="str">
        <f>Area!B11</f>
        <v>GSF</v>
      </c>
      <c r="J32" s="1"/>
      <c r="K32" s="1"/>
      <c r="L32" s="1"/>
      <c r="M32" s="361">
        <f>Area!C11</f>
        <v>308111</v>
      </c>
    </row>
    <row r="33" spans="2:13" x14ac:dyDescent="0.3">
      <c r="B33" s="16" t="s">
        <v>142</v>
      </c>
      <c r="C33" s="1"/>
      <c r="D33" s="1"/>
      <c r="E33" s="1"/>
      <c r="F33" s="1"/>
      <c r="G33" s="389">
        <v>65</v>
      </c>
      <c r="I33" s="27" t="str">
        <f>Area!B12</f>
        <v>RSF</v>
      </c>
      <c r="J33" s="1"/>
      <c r="K33" s="1"/>
      <c r="L33" s="1"/>
      <c r="M33" s="362">
        <f>Area!C12</f>
        <v>239121</v>
      </c>
    </row>
    <row r="34" spans="2:13" x14ac:dyDescent="0.3">
      <c r="B34" s="16" t="s">
        <v>168</v>
      </c>
      <c r="C34" s="1"/>
      <c r="D34" s="1"/>
      <c r="E34" s="1"/>
      <c r="F34" s="1"/>
      <c r="G34" s="390">
        <f>G33*M33</f>
        <v>15542865</v>
      </c>
      <c r="I34" s="28" t="str">
        <f>Area!B13</f>
        <v xml:space="preserve">Office </v>
      </c>
      <c r="J34" s="1"/>
      <c r="K34" s="1"/>
      <c r="L34" s="1"/>
      <c r="M34" s="363">
        <f>Area!C13</f>
        <v>222792</v>
      </c>
    </row>
    <row r="35" spans="2:13" x14ac:dyDescent="0.3">
      <c r="B35" s="16" t="s">
        <v>117</v>
      </c>
      <c r="C35" s="1"/>
      <c r="D35" s="1"/>
      <c r="E35" s="1"/>
      <c r="F35" s="1"/>
      <c r="G35" s="391">
        <v>0.02</v>
      </c>
      <c r="I35" s="28" t="str">
        <f>Area!B14</f>
        <v>MEP</v>
      </c>
      <c r="J35" s="1"/>
      <c r="K35" s="1"/>
      <c r="L35" s="1"/>
      <c r="M35" s="363">
        <f>Area!C14</f>
        <v>5603</v>
      </c>
    </row>
    <row r="36" spans="2:13" x14ac:dyDescent="0.3">
      <c r="B36" s="16" t="s">
        <v>119</v>
      </c>
      <c r="C36" s="1"/>
      <c r="D36" s="1"/>
      <c r="E36" s="1"/>
      <c r="F36" s="1"/>
      <c r="G36" s="392">
        <f>G37/M33</f>
        <v>16.422753377833352</v>
      </c>
      <c r="I36" s="28" t="str">
        <f>Area!B15</f>
        <v>BOH</v>
      </c>
      <c r="J36" s="1"/>
      <c r="K36" s="1"/>
      <c r="L36" s="1"/>
      <c r="M36" s="363">
        <f>Area!C15</f>
        <v>10726</v>
      </c>
    </row>
    <row r="37" spans="2:13" x14ac:dyDescent="0.3">
      <c r="B37" s="16" t="s">
        <v>118</v>
      </c>
      <c r="C37" s="1"/>
      <c r="D37" s="1"/>
      <c r="E37" s="1"/>
      <c r="F37" s="1"/>
      <c r="G37" s="390">
        <f>SUMIF(OpProj!J16:EK16,"&lt;="&amp;Summary!E28,OpProj!J17:EK17)*Summary!G35</f>
        <v>3927025.2104608887</v>
      </c>
      <c r="I37" s="16" t="str">
        <f>Area!B16</f>
        <v>Efficiency Ratio - 
(Total Building)</v>
      </c>
      <c r="J37" s="1"/>
      <c r="K37" s="1"/>
      <c r="L37" s="1"/>
      <c r="M37" s="385">
        <f>Area!C16</f>
        <v>0.77608718935708232</v>
      </c>
    </row>
    <row r="38" spans="2:13" x14ac:dyDescent="0.3">
      <c r="B38" s="86" t="s">
        <v>4</v>
      </c>
      <c r="G38" s="13"/>
      <c r="I38" s="22" t="str">
        <f>Area!B18</f>
        <v>Parking Stalls</v>
      </c>
      <c r="J38" s="7"/>
      <c r="K38" s="7"/>
      <c r="L38" s="7"/>
      <c r="M38" s="427">
        <f>Area!C18</f>
        <v>83</v>
      </c>
    </row>
    <row r="39" spans="2:13" x14ac:dyDescent="0.3">
      <c r="B39" s="16" t="s">
        <v>6</v>
      </c>
      <c r="C39" s="1"/>
      <c r="D39" s="1"/>
      <c r="E39" s="1"/>
      <c r="F39" s="1"/>
      <c r="G39" s="428">
        <f>M38</f>
        <v>83</v>
      </c>
    </row>
    <row r="40" spans="2:13" x14ac:dyDescent="0.3">
      <c r="B40" s="16" t="s">
        <v>181</v>
      </c>
      <c r="C40" s="1"/>
      <c r="D40" s="1"/>
      <c r="E40" s="1"/>
      <c r="F40" s="1"/>
      <c r="G40" s="386">
        <v>250</v>
      </c>
      <c r="I40" s="92" t="s">
        <v>147</v>
      </c>
      <c r="J40" s="93"/>
      <c r="K40" s="93"/>
      <c r="L40" s="93"/>
      <c r="M40" s="94"/>
    </row>
    <row r="41" spans="2:13" x14ac:dyDescent="0.3">
      <c r="B41" s="16" t="s">
        <v>121</v>
      </c>
      <c r="C41" s="1"/>
      <c r="D41" s="1"/>
      <c r="E41" s="1"/>
      <c r="F41" s="1"/>
      <c r="G41" s="326">
        <v>2.5000000000000001E-2</v>
      </c>
      <c r="I41" s="64" t="s">
        <v>148</v>
      </c>
      <c r="J41" s="67"/>
      <c r="K41" s="67"/>
      <c r="L41" s="67"/>
      <c r="M41" s="332">
        <f>MonthlyCF!C39</f>
        <v>286925177.7702136</v>
      </c>
    </row>
    <row r="42" spans="2:13" x14ac:dyDescent="0.3">
      <c r="B42" s="86" t="s">
        <v>80</v>
      </c>
      <c r="G42" s="13"/>
      <c r="I42" s="87" t="s">
        <v>149</v>
      </c>
      <c r="J42" s="235"/>
      <c r="K42" s="235"/>
      <c r="L42" s="235"/>
      <c r="M42" s="331">
        <f>MonthlyCF!C42</f>
        <v>299787021.54144615</v>
      </c>
    </row>
    <row r="43" spans="2:13" x14ac:dyDescent="0.3">
      <c r="B43" s="16" t="s">
        <v>88</v>
      </c>
      <c r="C43" s="1"/>
      <c r="D43" s="1"/>
      <c r="E43" s="1"/>
      <c r="F43" s="1"/>
      <c r="G43" s="391">
        <v>4.4999999999999998E-2</v>
      </c>
      <c r="I43" s="87" t="s">
        <v>95</v>
      </c>
      <c r="J43" s="235"/>
      <c r="K43" s="235"/>
      <c r="L43" s="235"/>
      <c r="M43" s="333">
        <v>0.58206945886770045</v>
      </c>
    </row>
    <row r="44" spans="2:13" x14ac:dyDescent="0.3">
      <c r="B44" s="16" t="s">
        <v>89</v>
      </c>
      <c r="C44" s="1"/>
      <c r="D44" s="1"/>
      <c r="E44" s="1"/>
      <c r="F44" s="1"/>
      <c r="G44" s="166">
        <f>OpProj!H29</f>
        <v>397180572.19467539</v>
      </c>
      <c r="I44" s="87" t="s">
        <v>169</v>
      </c>
      <c r="J44" s="235"/>
      <c r="K44" s="235"/>
      <c r="L44" s="235"/>
      <c r="M44" s="334">
        <f>M47/M42</f>
        <v>0.60000004605466883</v>
      </c>
    </row>
    <row r="45" spans="2:13" x14ac:dyDescent="0.3">
      <c r="B45" s="16" t="s">
        <v>85</v>
      </c>
      <c r="C45" s="1"/>
      <c r="D45" s="1"/>
      <c r="E45" s="1"/>
      <c r="F45" s="395">
        <v>0.03</v>
      </c>
      <c r="G45" s="393">
        <f>G44*-F45</f>
        <v>-11915417.165840261</v>
      </c>
      <c r="I45" s="87" t="s">
        <v>96</v>
      </c>
      <c r="J45" s="124"/>
      <c r="K45" s="274"/>
      <c r="L45" s="124"/>
      <c r="M45" s="331">
        <f>M41*(1-M43)</f>
        <v>119914794.80998662</v>
      </c>
    </row>
    <row r="46" spans="2:13" x14ac:dyDescent="0.3">
      <c r="B46" s="16" t="s">
        <v>86</v>
      </c>
      <c r="C46" s="1"/>
      <c r="D46" s="1"/>
      <c r="E46" s="1"/>
      <c r="F46" s="1"/>
      <c r="G46" s="166">
        <f>SUM(G44:G45)</f>
        <v>385265155.02883512</v>
      </c>
      <c r="I46" s="87" t="s">
        <v>130</v>
      </c>
      <c r="J46" s="235"/>
      <c r="K46" s="235"/>
      <c r="L46" s="235"/>
      <c r="M46" s="331">
        <f>M41*M43</f>
        <v>167010382.96022698</v>
      </c>
    </row>
    <row r="47" spans="2:13" x14ac:dyDescent="0.3">
      <c r="B47" s="22" t="s">
        <v>87</v>
      </c>
      <c r="C47" s="7"/>
      <c r="D47" s="7"/>
      <c r="E47" s="7"/>
      <c r="F47" s="7"/>
      <c r="G47" s="394">
        <f>G46/M33</f>
        <v>1611.172398195203</v>
      </c>
      <c r="I47" s="87" t="s">
        <v>92</v>
      </c>
      <c r="J47" s="286"/>
      <c r="K47" s="235"/>
      <c r="L47" s="1"/>
      <c r="M47" s="331">
        <f>M46+SUM(MonthlyCF!C40:C41)</f>
        <v>179872226.73145968</v>
      </c>
    </row>
    <row r="48" spans="2:13" x14ac:dyDescent="0.3">
      <c r="I48" s="87" t="s">
        <v>175</v>
      </c>
      <c r="J48" s="235"/>
      <c r="K48" s="235"/>
      <c r="L48" s="235"/>
      <c r="M48" s="330">
        <f>M49/M47</f>
        <v>9.704894589458524E-3</v>
      </c>
    </row>
    <row r="49" spans="2:13" x14ac:dyDescent="0.3">
      <c r="G49" s="102"/>
      <c r="I49" s="87" t="s">
        <v>150</v>
      </c>
      <c r="J49" s="235"/>
      <c r="K49" s="235"/>
      <c r="L49" s="235"/>
      <c r="M49" s="329">
        <v>1745641</v>
      </c>
    </row>
    <row r="50" spans="2:13" x14ac:dyDescent="0.3">
      <c r="B50" s="141"/>
      <c r="I50" s="87" t="s">
        <v>97</v>
      </c>
      <c r="J50" s="235"/>
      <c r="K50" s="235"/>
      <c r="L50" s="235"/>
      <c r="M50" s="327" t="str">
        <f>M51&amp;" Basis Points Over LIBOR"</f>
        <v>250 Basis Points Over LIBOR</v>
      </c>
    </row>
    <row r="51" spans="2:13" x14ac:dyDescent="0.3">
      <c r="B51" s="141"/>
      <c r="I51" s="144" t="s">
        <v>173</v>
      </c>
      <c r="J51" s="235"/>
      <c r="K51" s="235"/>
      <c r="L51" s="235"/>
      <c r="M51" s="328">
        <v>250</v>
      </c>
    </row>
    <row r="52" spans="2:13" x14ac:dyDescent="0.3">
      <c r="I52" s="87" t="s">
        <v>135</v>
      </c>
      <c r="J52" s="235"/>
      <c r="K52" s="273"/>
      <c r="L52" s="235"/>
      <c r="M52" s="326">
        <v>6.5000000000000002E-2</v>
      </c>
    </row>
    <row r="53" spans="2:13" x14ac:dyDescent="0.3">
      <c r="I53" s="237" t="s">
        <v>137</v>
      </c>
      <c r="J53" s="236"/>
      <c r="K53" s="236"/>
      <c r="L53" s="236"/>
      <c r="M53" s="411">
        <v>0.03</v>
      </c>
    </row>
    <row r="56" spans="2:13" x14ac:dyDescent="0.3">
      <c r="I56" s="272"/>
    </row>
    <row r="57" spans="2:13" x14ac:dyDescent="0.3">
      <c r="I57" s="272"/>
    </row>
  </sheetData>
  <mergeCells count="1">
    <mergeCell ref="J9:J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5D34-C4B2-4F27-97BE-078ACE4549A1}">
  <dimension ref="A1:M39"/>
  <sheetViews>
    <sheetView zoomScale="80" zoomScaleNormal="80" zoomScaleSheetLayoutView="110" workbookViewId="0">
      <selection activeCell="C11" sqref="C11"/>
    </sheetView>
  </sheetViews>
  <sheetFormatPr defaultColWidth="0" defaultRowHeight="14.4" zeroHeight="1" x14ac:dyDescent="0.3"/>
  <cols>
    <col min="1" max="1" width="2.6640625" style="12" customWidth="1"/>
    <col min="2" max="2" width="23.44140625" style="12" customWidth="1"/>
    <col min="3" max="10" width="15.6640625" style="12" customWidth="1"/>
    <col min="11" max="11" width="27.88671875" style="12" bestFit="1" customWidth="1"/>
    <col min="12" max="12" width="2.6640625" style="12" customWidth="1"/>
    <col min="13" max="13" width="0" style="12" hidden="1" customWidth="1"/>
    <col min="14" max="16384" width="9.109375" style="12" hidden="1"/>
  </cols>
  <sheetData>
    <row r="1" spans="2:3" x14ac:dyDescent="0.3"/>
    <row r="2" spans="2:3" x14ac:dyDescent="0.3"/>
    <row r="3" spans="2:3" x14ac:dyDescent="0.3"/>
    <row r="4" spans="2:3" x14ac:dyDescent="0.3"/>
    <row r="5" spans="2:3" x14ac:dyDescent="0.3"/>
    <row r="6" spans="2:3" x14ac:dyDescent="0.3">
      <c r="B6" s="11" t="s">
        <v>12</v>
      </c>
    </row>
    <row r="7" spans="2:3" x14ac:dyDescent="0.3"/>
    <row r="8" spans="2:3" x14ac:dyDescent="0.3">
      <c r="B8" s="23" t="s">
        <v>9</v>
      </c>
      <c r="C8" s="24"/>
    </row>
    <row r="9" spans="2:3" x14ac:dyDescent="0.3">
      <c r="B9" s="26" t="s">
        <v>40</v>
      </c>
      <c r="C9" s="359">
        <v>22860</v>
      </c>
    </row>
    <row r="10" spans="2:3" x14ac:dyDescent="0.3">
      <c r="B10" s="16" t="s">
        <v>41</v>
      </c>
      <c r="C10" s="360">
        <f>C11/C9</f>
        <v>13.47817147856518</v>
      </c>
    </row>
    <row r="11" spans="2:3" x14ac:dyDescent="0.3">
      <c r="B11" s="16" t="s">
        <v>1</v>
      </c>
      <c r="C11" s="361">
        <f>SUM(C22:C38)</f>
        <v>308111</v>
      </c>
    </row>
    <row r="12" spans="2:3" x14ac:dyDescent="0.3">
      <c r="B12" s="27" t="s">
        <v>5</v>
      </c>
      <c r="C12" s="362">
        <f>SUM(D22:D38)</f>
        <v>239121</v>
      </c>
    </row>
    <row r="13" spans="2:3" x14ac:dyDescent="0.3">
      <c r="B13" s="28" t="s">
        <v>13</v>
      </c>
      <c r="C13" s="363">
        <f>SUM(E22:E38)</f>
        <v>222792</v>
      </c>
    </row>
    <row r="14" spans="2:3" x14ac:dyDescent="0.3">
      <c r="B14" s="28" t="s">
        <v>3</v>
      </c>
      <c r="C14" s="363">
        <f>SUM(G22:G38)</f>
        <v>5603</v>
      </c>
    </row>
    <row r="15" spans="2:3" x14ac:dyDescent="0.3">
      <c r="B15" s="28" t="s">
        <v>182</v>
      </c>
      <c r="C15" s="363">
        <f>SUM(F22:F38)</f>
        <v>10726</v>
      </c>
    </row>
    <row r="16" spans="2:3" ht="27" x14ac:dyDescent="0.3">
      <c r="B16" s="226" t="s">
        <v>167</v>
      </c>
      <c r="C16" s="364" cm="1">
        <f t="array" ref="C16">SUM(D22:D39/SUM(C22:C39))</f>
        <v>0.77608718935708232</v>
      </c>
    </row>
    <row r="17" spans="2:11" ht="27" x14ac:dyDescent="0.3">
      <c r="B17" s="226" t="s">
        <v>166</v>
      </c>
      <c r="C17" s="364" cm="1">
        <f t="array" ref="C17">SUM(D22:D36/SUM(C22:C36))</f>
        <v>0.87478135687406522</v>
      </c>
    </row>
    <row r="18" spans="2:11" x14ac:dyDescent="0.3">
      <c r="B18" s="22" t="s">
        <v>14</v>
      </c>
      <c r="C18" s="365">
        <v>83</v>
      </c>
      <c r="E18" s="101"/>
    </row>
    <row r="19" spans="2:11" x14ac:dyDescent="0.3"/>
    <row r="20" spans="2:11" x14ac:dyDescent="0.3">
      <c r="B20" s="23" t="s">
        <v>10</v>
      </c>
      <c r="C20" s="25"/>
      <c r="D20" s="25"/>
      <c r="E20" s="25"/>
      <c r="F20" s="25"/>
      <c r="G20" s="25"/>
      <c r="H20" s="25"/>
      <c r="I20" s="25"/>
      <c r="J20" s="25"/>
      <c r="K20" s="24"/>
    </row>
    <row r="21" spans="2:11" x14ac:dyDescent="0.3">
      <c r="B21" s="21" t="s">
        <v>7</v>
      </c>
      <c r="C21" s="18" t="s">
        <v>1</v>
      </c>
      <c r="D21" s="18" t="s">
        <v>5</v>
      </c>
      <c r="E21" s="18" t="s">
        <v>2</v>
      </c>
      <c r="F21" s="18" t="s">
        <v>179</v>
      </c>
      <c r="G21" s="18" t="s">
        <v>11</v>
      </c>
      <c r="H21" s="18" t="s">
        <v>176</v>
      </c>
      <c r="I21" s="18" t="s">
        <v>180</v>
      </c>
      <c r="J21" s="18" t="s">
        <v>165</v>
      </c>
      <c r="K21" s="19" t="s">
        <v>8</v>
      </c>
    </row>
    <row r="22" spans="2:11" x14ac:dyDescent="0.3">
      <c r="B22" s="397" t="s">
        <v>187</v>
      </c>
      <c r="C22" s="366">
        <v>2985</v>
      </c>
      <c r="D22" s="416">
        <f>SUM(E22:G22)</f>
        <v>1370</v>
      </c>
      <c r="E22" s="366"/>
      <c r="F22" s="366"/>
      <c r="G22" s="366">
        <v>1370</v>
      </c>
      <c r="H22" s="366"/>
      <c r="I22" s="366"/>
      <c r="J22" s="367">
        <f>D22/C22</f>
        <v>0.45896147403685095</v>
      </c>
      <c r="K22" s="368"/>
    </row>
    <row r="23" spans="2:11" x14ac:dyDescent="0.3">
      <c r="B23" s="398">
        <v>14</v>
      </c>
      <c r="C23" s="369">
        <v>11412</v>
      </c>
      <c r="D23" s="417">
        <f t="shared" ref="D23:D38" si="0">SUM(E23:G23)</f>
        <v>10380</v>
      </c>
      <c r="E23" s="369">
        <v>9776</v>
      </c>
      <c r="F23" s="369">
        <v>604</v>
      </c>
      <c r="G23" s="369"/>
      <c r="H23" s="369">
        <v>114</v>
      </c>
      <c r="I23" s="369"/>
      <c r="J23" s="419">
        <f t="shared" ref="J23:J38" si="1">D23/C23</f>
        <v>0.90956887486855942</v>
      </c>
      <c r="K23" s="370"/>
    </row>
    <row r="24" spans="2:11" x14ac:dyDescent="0.3">
      <c r="B24" s="397">
        <v>13</v>
      </c>
      <c r="C24" s="366">
        <v>11412</v>
      </c>
      <c r="D24" s="416">
        <f t="shared" si="0"/>
        <v>10380</v>
      </c>
      <c r="E24" s="369">
        <v>9776</v>
      </c>
      <c r="F24" s="369">
        <v>604</v>
      </c>
      <c r="G24" s="369"/>
      <c r="H24" s="369">
        <v>114</v>
      </c>
      <c r="I24" s="369"/>
      <c r="J24" s="419">
        <f t="shared" si="1"/>
        <v>0.90956887486855942</v>
      </c>
      <c r="K24" s="370"/>
    </row>
    <row r="25" spans="2:11" x14ac:dyDescent="0.3">
      <c r="B25" s="398">
        <v>12</v>
      </c>
      <c r="C25" s="369">
        <v>20439</v>
      </c>
      <c r="D25" s="417">
        <f t="shared" si="0"/>
        <v>10380</v>
      </c>
      <c r="E25" s="369">
        <v>9776</v>
      </c>
      <c r="F25" s="369">
        <v>604</v>
      </c>
      <c r="G25" s="369"/>
      <c r="H25" s="369">
        <v>9027</v>
      </c>
      <c r="I25" s="369"/>
      <c r="J25" s="419">
        <f t="shared" si="1"/>
        <v>0.50785263466901509</v>
      </c>
      <c r="K25" s="370"/>
    </row>
    <row r="26" spans="2:11" x14ac:dyDescent="0.3">
      <c r="B26" s="398">
        <v>11</v>
      </c>
      <c r="C26" s="369">
        <v>19163</v>
      </c>
      <c r="D26" s="417">
        <f t="shared" si="0"/>
        <v>17780</v>
      </c>
      <c r="E26" s="369">
        <v>16553</v>
      </c>
      <c r="F26" s="369">
        <v>675</v>
      </c>
      <c r="G26" s="369">
        <v>552</v>
      </c>
      <c r="H26" s="369">
        <v>968</v>
      </c>
      <c r="I26" s="369"/>
      <c r="J26" s="419">
        <f t="shared" si="1"/>
        <v>0.9278296717632939</v>
      </c>
      <c r="K26" s="370"/>
    </row>
    <row r="27" spans="2:11" x14ac:dyDescent="0.3">
      <c r="B27" s="397">
        <v>10</v>
      </c>
      <c r="C27" s="366">
        <v>20270</v>
      </c>
      <c r="D27" s="416">
        <f t="shared" si="0"/>
        <v>18714</v>
      </c>
      <c r="E27" s="369">
        <v>18011</v>
      </c>
      <c r="F27" s="369">
        <v>703</v>
      </c>
      <c r="G27" s="369"/>
      <c r="H27" s="369"/>
      <c r="I27" s="369"/>
      <c r="J27" s="419">
        <f t="shared" si="1"/>
        <v>0.92323630981746418</v>
      </c>
      <c r="K27" s="370"/>
    </row>
    <row r="28" spans="2:11" x14ac:dyDescent="0.3">
      <c r="B28" s="398">
        <v>9</v>
      </c>
      <c r="C28" s="369">
        <v>20270</v>
      </c>
      <c r="D28" s="417">
        <f t="shared" si="0"/>
        <v>18714</v>
      </c>
      <c r="E28" s="369">
        <v>18011</v>
      </c>
      <c r="F28" s="369">
        <v>703</v>
      </c>
      <c r="G28" s="369"/>
      <c r="H28" s="369"/>
      <c r="I28" s="369"/>
      <c r="J28" s="419">
        <f t="shared" si="1"/>
        <v>0.92323630981746418</v>
      </c>
      <c r="K28" s="370"/>
    </row>
    <row r="29" spans="2:11" x14ac:dyDescent="0.3">
      <c r="B29" s="397">
        <v>8</v>
      </c>
      <c r="C29" s="366">
        <v>20270</v>
      </c>
      <c r="D29" s="416">
        <f t="shared" si="0"/>
        <v>18714</v>
      </c>
      <c r="E29" s="369">
        <v>18011</v>
      </c>
      <c r="F29" s="366">
        <v>703</v>
      </c>
      <c r="G29" s="366"/>
      <c r="H29" s="366"/>
      <c r="I29" s="366"/>
      <c r="J29" s="419">
        <f t="shared" si="1"/>
        <v>0.92323630981746418</v>
      </c>
      <c r="K29" s="371"/>
    </row>
    <row r="30" spans="2:11" x14ac:dyDescent="0.3">
      <c r="B30" s="398">
        <v>7</v>
      </c>
      <c r="C30" s="369">
        <v>20270</v>
      </c>
      <c r="D30" s="417">
        <f t="shared" si="0"/>
        <v>18714</v>
      </c>
      <c r="E30" s="369">
        <v>18011</v>
      </c>
      <c r="F30" s="369">
        <v>703</v>
      </c>
      <c r="G30" s="369"/>
      <c r="H30" s="369"/>
      <c r="I30" s="369"/>
      <c r="J30" s="419">
        <f t="shared" si="1"/>
        <v>0.92323630981746418</v>
      </c>
      <c r="K30" s="370"/>
    </row>
    <row r="31" spans="2:11" x14ac:dyDescent="0.3">
      <c r="B31" s="398">
        <v>6</v>
      </c>
      <c r="C31" s="369">
        <v>20270</v>
      </c>
      <c r="D31" s="417">
        <f t="shared" si="0"/>
        <v>18714</v>
      </c>
      <c r="E31" s="369">
        <v>18011</v>
      </c>
      <c r="F31" s="369">
        <v>703</v>
      </c>
      <c r="G31" s="369"/>
      <c r="H31" s="369"/>
      <c r="I31" s="369"/>
      <c r="J31" s="419">
        <f t="shared" si="1"/>
        <v>0.92323630981746418</v>
      </c>
      <c r="K31" s="370"/>
    </row>
    <row r="32" spans="2:11" x14ac:dyDescent="0.3">
      <c r="B32" s="397">
        <v>5</v>
      </c>
      <c r="C32" s="366">
        <v>20270</v>
      </c>
      <c r="D32" s="416">
        <f t="shared" si="0"/>
        <v>18714</v>
      </c>
      <c r="E32" s="369">
        <v>18011</v>
      </c>
      <c r="F32" s="369">
        <v>703</v>
      </c>
      <c r="G32" s="369"/>
      <c r="H32" s="369"/>
      <c r="I32" s="369"/>
      <c r="J32" s="419">
        <f t="shared" si="1"/>
        <v>0.92323630981746418</v>
      </c>
      <c r="K32" s="371"/>
    </row>
    <row r="33" spans="2:11" x14ac:dyDescent="0.3">
      <c r="B33" s="398">
        <v>4</v>
      </c>
      <c r="C33" s="369">
        <v>20270</v>
      </c>
      <c r="D33" s="417">
        <f t="shared" si="0"/>
        <v>18714</v>
      </c>
      <c r="E33" s="369">
        <v>18011</v>
      </c>
      <c r="F33" s="369">
        <v>703</v>
      </c>
      <c r="G33" s="369"/>
      <c r="H33" s="369"/>
      <c r="I33" s="369"/>
      <c r="J33" s="419">
        <f t="shared" si="1"/>
        <v>0.92323630981746418</v>
      </c>
      <c r="K33" s="370"/>
    </row>
    <row r="34" spans="2:11" x14ac:dyDescent="0.3">
      <c r="B34" s="397">
        <v>3</v>
      </c>
      <c r="C34" s="366">
        <v>20270</v>
      </c>
      <c r="D34" s="416">
        <f t="shared" si="0"/>
        <v>18714</v>
      </c>
      <c r="E34" s="369">
        <v>18011</v>
      </c>
      <c r="F34" s="369">
        <v>703</v>
      </c>
      <c r="G34" s="369"/>
      <c r="H34" s="369"/>
      <c r="I34" s="369"/>
      <c r="J34" s="419">
        <f t="shared" si="1"/>
        <v>0.92323630981746418</v>
      </c>
      <c r="K34" s="371"/>
    </row>
    <row r="35" spans="2:11" x14ac:dyDescent="0.3">
      <c r="B35" s="398">
        <v>2</v>
      </c>
      <c r="C35" s="369">
        <v>20270</v>
      </c>
      <c r="D35" s="417">
        <f t="shared" si="0"/>
        <v>18714</v>
      </c>
      <c r="E35" s="369">
        <v>18011</v>
      </c>
      <c r="F35" s="369">
        <v>307</v>
      </c>
      <c r="G35" s="369">
        <v>396</v>
      </c>
      <c r="H35" s="369"/>
      <c r="I35" s="369"/>
      <c r="J35" s="419">
        <f t="shared" si="1"/>
        <v>0.92323630981746418</v>
      </c>
      <c r="K35" s="370"/>
    </row>
    <row r="36" spans="2:11" x14ac:dyDescent="0.3">
      <c r="B36" s="397">
        <v>1</v>
      </c>
      <c r="C36" s="366">
        <v>20290</v>
      </c>
      <c r="D36" s="416">
        <f t="shared" si="0"/>
        <v>15840</v>
      </c>
      <c r="E36" s="369">
        <v>14302</v>
      </c>
      <c r="F36" s="366">
        <v>1223</v>
      </c>
      <c r="G36" s="366">
        <v>315</v>
      </c>
      <c r="H36" s="366"/>
      <c r="I36" s="366">
        <v>2124</v>
      </c>
      <c r="J36" s="419">
        <f t="shared" si="1"/>
        <v>0.78068013799901426</v>
      </c>
      <c r="K36" s="371"/>
    </row>
    <row r="37" spans="2:11" x14ac:dyDescent="0.3">
      <c r="B37" s="398" t="s">
        <v>188</v>
      </c>
      <c r="C37" s="369">
        <v>19690</v>
      </c>
      <c r="D37" s="417">
        <f t="shared" si="0"/>
        <v>2280</v>
      </c>
      <c r="E37" s="369">
        <v>255</v>
      </c>
      <c r="F37" s="369">
        <v>594</v>
      </c>
      <c r="G37" s="369">
        <v>1431</v>
      </c>
      <c r="H37" s="369"/>
      <c r="I37" s="369">
        <v>15417</v>
      </c>
      <c r="J37" s="419">
        <f t="shared" si="1"/>
        <v>0.11579481970543423</v>
      </c>
      <c r="K37" s="370"/>
    </row>
    <row r="38" spans="2:11" x14ac:dyDescent="0.3">
      <c r="B38" s="399" t="s">
        <v>189</v>
      </c>
      <c r="C38" s="372">
        <v>20290</v>
      </c>
      <c r="D38" s="418">
        <f t="shared" si="0"/>
        <v>2285</v>
      </c>
      <c r="E38" s="372">
        <v>255</v>
      </c>
      <c r="F38" s="372">
        <v>491</v>
      </c>
      <c r="G38" s="372">
        <v>1539</v>
      </c>
      <c r="H38" s="373"/>
      <c r="I38" s="372">
        <v>17639</v>
      </c>
      <c r="J38" s="420">
        <f t="shared" si="1"/>
        <v>0.11261705273533761</v>
      </c>
      <c r="K38" s="374"/>
    </row>
    <row r="39" spans="2:1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CBE7-C0BD-43D6-9AAD-6A17245718B4}">
  <dimension ref="A6:I62"/>
  <sheetViews>
    <sheetView topLeftCell="A14" zoomScale="120" zoomScaleNormal="120" workbookViewId="0">
      <selection activeCell="F30" sqref="F30"/>
    </sheetView>
  </sheetViews>
  <sheetFormatPr defaultColWidth="0" defaultRowHeight="14.4" x14ac:dyDescent="0.3"/>
  <cols>
    <col min="1" max="1" width="2.6640625" style="12" customWidth="1"/>
    <col min="2" max="2" width="24.33203125" style="12" bestFit="1" customWidth="1"/>
    <col min="3" max="3" width="21" style="12" customWidth="1"/>
    <col min="4" max="4" width="7.6640625" style="12" bestFit="1" customWidth="1"/>
    <col min="5" max="7" width="15.6640625" style="12" customWidth="1"/>
    <col min="8" max="8" width="2.6640625" style="12" customWidth="1"/>
    <col min="9" max="9" width="0" style="12" hidden="1" customWidth="1"/>
    <col min="10" max="16384" width="9.109375" style="12" hidden="1"/>
  </cols>
  <sheetData>
    <row r="6" spans="2:9" ht="15.6" x14ac:dyDescent="0.3">
      <c r="B6" s="143" t="s">
        <v>56</v>
      </c>
      <c r="I6" s="12" t="s">
        <v>60</v>
      </c>
    </row>
    <row r="8" spans="2:9" x14ac:dyDescent="0.3">
      <c r="B8" s="23" t="s">
        <v>30</v>
      </c>
      <c r="C8" s="35"/>
      <c r="D8" s="35"/>
      <c r="E8" s="25"/>
      <c r="F8" s="25"/>
      <c r="G8" s="24"/>
    </row>
    <row r="9" spans="2:9" x14ac:dyDescent="0.3">
      <c r="B9" s="21"/>
      <c r="C9" s="36"/>
      <c r="D9" s="18" t="s">
        <v>73</v>
      </c>
      <c r="E9" s="18" t="s">
        <v>26</v>
      </c>
      <c r="F9" s="18" t="s">
        <v>27</v>
      </c>
      <c r="G9" s="19" t="s">
        <v>28</v>
      </c>
    </row>
    <row r="10" spans="2:9" x14ac:dyDescent="0.3">
      <c r="B10" s="51" t="s">
        <v>26</v>
      </c>
      <c r="C10" s="50"/>
      <c r="D10" s="335"/>
      <c r="E10" s="336">
        <f>SUM(E11:E21)</f>
        <v>299787021.54144633</v>
      </c>
      <c r="F10" s="337">
        <f t="shared" ref="F10:G10" si="0">SUM(F11:F21)</f>
        <v>972.98383225995246</v>
      </c>
      <c r="G10" s="338">
        <f t="shared" si="0"/>
        <v>1253.7042816877074</v>
      </c>
    </row>
    <row r="11" spans="2:9" x14ac:dyDescent="0.3">
      <c r="B11" s="9" t="s">
        <v>15</v>
      </c>
      <c r="C11" s="1"/>
      <c r="D11" s="146">
        <f>E11/$E$10</f>
        <v>0.22538915111326274</v>
      </c>
      <c r="E11" s="150">
        <f>E28</f>
        <v>67568742.299999997</v>
      </c>
      <c r="F11" s="339">
        <f t="shared" ref="F11:G11" si="1">F28</f>
        <v>219.3</v>
      </c>
      <c r="G11" s="340">
        <f t="shared" si="1"/>
        <v>282.57134379665524</v>
      </c>
    </row>
    <row r="12" spans="2:9" x14ac:dyDescent="0.3">
      <c r="B12" s="404" t="s">
        <v>29</v>
      </c>
      <c r="D12" s="112"/>
      <c r="E12" s="102"/>
      <c r="F12" s="405"/>
      <c r="G12" s="406"/>
    </row>
    <row r="13" spans="2:9" x14ac:dyDescent="0.3">
      <c r="B13" s="9" t="s">
        <v>16</v>
      </c>
      <c r="C13" s="1"/>
      <c r="D13" s="146">
        <f t="shared" ref="D13:D21" si="2">E13/$E$10</f>
        <v>1.5288023815822085E-2</v>
      </c>
      <c r="E13" s="150">
        <f>E37</f>
        <v>4583151.125</v>
      </c>
      <c r="F13" s="339">
        <f t="shared" ref="F13:G13" si="3">F37</f>
        <v>14.875000000000002</v>
      </c>
      <c r="G13" s="340">
        <f t="shared" si="3"/>
        <v>19.166660916439795</v>
      </c>
    </row>
    <row r="14" spans="2:9" x14ac:dyDescent="0.3">
      <c r="B14" s="9" t="s">
        <v>19</v>
      </c>
      <c r="C14" s="1"/>
      <c r="D14" s="146">
        <f t="shared" si="2"/>
        <v>0.55499380575085222</v>
      </c>
      <c r="E14" s="150">
        <f>E41</f>
        <v>166379940</v>
      </c>
      <c r="F14" s="339">
        <f t="shared" ref="F14:G14" si="4">F41</f>
        <v>540</v>
      </c>
      <c r="G14" s="340">
        <f t="shared" si="4"/>
        <v>695.79811057999927</v>
      </c>
    </row>
    <row r="15" spans="2:9" x14ac:dyDescent="0.3">
      <c r="B15" s="9" t="str">
        <f>B45</f>
        <v>Tenant Improvements</v>
      </c>
      <c r="C15" s="1"/>
      <c r="D15" s="146">
        <f t="shared" si="2"/>
        <v>5.1846357190787055E-2</v>
      </c>
      <c r="E15" s="150">
        <f>E45</f>
        <v>15542865</v>
      </c>
      <c r="F15" s="339">
        <f t="shared" ref="F15:G15" si="5">F45</f>
        <v>50.445667308210353</v>
      </c>
      <c r="G15" s="340">
        <f t="shared" si="5"/>
        <v>65</v>
      </c>
    </row>
    <row r="16" spans="2:9" x14ac:dyDescent="0.3">
      <c r="B16" s="9" t="s">
        <v>22</v>
      </c>
      <c r="C16" s="1"/>
      <c r="D16" s="146">
        <f t="shared" si="2"/>
        <v>5.4600085056507449E-3</v>
      </c>
      <c r="E16" s="150">
        <f>E47</f>
        <v>1636839.6875</v>
      </c>
      <c r="F16" s="339">
        <f t="shared" ref="F16:G16" si="6">F47</f>
        <v>5.3125</v>
      </c>
      <c r="G16" s="340">
        <f t="shared" si="6"/>
        <v>6.8452360415856406</v>
      </c>
    </row>
    <row r="17" spans="2:7" x14ac:dyDescent="0.3">
      <c r="B17" s="9" t="s">
        <v>21</v>
      </c>
      <c r="C17" s="1"/>
      <c r="D17" s="146">
        <f t="shared" si="2"/>
        <v>3.4900292146815004E-2</v>
      </c>
      <c r="E17" s="150">
        <f>E49</f>
        <v>10462654.63362</v>
      </c>
      <c r="F17" s="339">
        <f t="shared" ref="F17:G17" si="7">F49</f>
        <v>33.957419999999999</v>
      </c>
      <c r="G17" s="340">
        <f t="shared" si="7"/>
        <v>43.754645696613849</v>
      </c>
    </row>
    <row r="18" spans="2:7" x14ac:dyDescent="0.3">
      <c r="B18" s="9" t="s">
        <v>20</v>
      </c>
      <c r="C18" s="1"/>
      <c r="D18" s="146">
        <f t="shared" si="2"/>
        <v>1.4694656185614255E-2</v>
      </c>
      <c r="E18" s="150">
        <f>E51</f>
        <v>4405267.2104608882</v>
      </c>
      <c r="F18" s="339">
        <f t="shared" ref="F18:G18" si="8">F51</f>
        <v>14.29766288922138</v>
      </c>
      <c r="G18" s="340">
        <f t="shared" si="8"/>
        <v>18.422753377833352</v>
      </c>
    </row>
    <row r="19" spans="2:7" x14ac:dyDescent="0.3">
      <c r="B19" s="9" t="s">
        <v>23</v>
      </c>
      <c r="C19" s="1"/>
      <c r="D19" s="146">
        <f t="shared" si="2"/>
        <v>2.0665277299027878E-2</v>
      </c>
      <c r="E19" s="150">
        <f>E56</f>
        <v>6195181.9308036324</v>
      </c>
      <c r="F19" s="339">
        <f t="shared" ref="F19:G19" si="9">F56</f>
        <v>20.106980701122747</v>
      </c>
      <c r="G19" s="340">
        <f t="shared" si="9"/>
        <v>25.908146632055036</v>
      </c>
    </row>
    <row r="20" spans="2:7" x14ac:dyDescent="0.3">
      <c r="B20" s="9" t="s">
        <v>24</v>
      </c>
      <c r="C20" s="1"/>
      <c r="D20" s="146">
        <f t="shared" si="2"/>
        <v>3.3859157179777069E-2</v>
      </c>
      <c r="E20" s="150">
        <f>E59</f>
        <v>10150535.882829046</v>
      </c>
      <c r="F20" s="339">
        <f t="shared" ref="F20:G20" si="10">F59</f>
        <v>32.94441250987159</v>
      </c>
      <c r="G20" s="340">
        <f t="shared" si="10"/>
        <v>42.449370330623601</v>
      </c>
    </row>
    <row r="21" spans="2:7" x14ac:dyDescent="0.3">
      <c r="B21" s="10" t="s">
        <v>25</v>
      </c>
      <c r="C21" s="7"/>
      <c r="D21" s="289">
        <f t="shared" si="2"/>
        <v>4.2903270812390787E-2</v>
      </c>
      <c r="E21" s="341">
        <f>E62</f>
        <v>12861843.771232702</v>
      </c>
      <c r="F21" s="342">
        <f t="shared" ref="F21:G21" si="11">F62</f>
        <v>41.744188851526566</v>
      </c>
      <c r="G21" s="343">
        <f t="shared" si="11"/>
        <v>53.788014315901577</v>
      </c>
    </row>
    <row r="23" spans="2:7" x14ac:dyDescent="0.3">
      <c r="B23" s="23" t="s">
        <v>183</v>
      </c>
      <c r="C23" s="35"/>
      <c r="D23" s="35"/>
      <c r="E23" s="25"/>
      <c r="F23" s="25"/>
      <c r="G23" s="24"/>
    </row>
    <row r="24" spans="2:7" x14ac:dyDescent="0.3">
      <c r="B24" s="31"/>
      <c r="C24" s="20"/>
      <c r="D24" s="20"/>
      <c r="E24" s="46"/>
      <c r="F24" s="153">
        <f>Area!C11</f>
        <v>308111</v>
      </c>
      <c r="G24" s="154">
        <f>Area!C12</f>
        <v>239121</v>
      </c>
    </row>
    <row r="25" spans="2:7" x14ac:dyDescent="0.3">
      <c r="B25" s="21"/>
      <c r="C25" s="18" t="s">
        <v>42</v>
      </c>
      <c r="D25" s="18" t="s">
        <v>73</v>
      </c>
      <c r="E25" s="18" t="s">
        <v>26</v>
      </c>
      <c r="F25" s="18" t="s">
        <v>27</v>
      </c>
      <c r="G25" s="19" t="s">
        <v>28</v>
      </c>
    </row>
    <row r="26" spans="2:7" x14ac:dyDescent="0.3">
      <c r="B26" s="47"/>
      <c r="C26" s="48"/>
      <c r="D26" s="48"/>
      <c r="E26" s="48"/>
      <c r="F26" s="48"/>
      <c r="G26" s="49"/>
    </row>
    <row r="27" spans="2:7" x14ac:dyDescent="0.3">
      <c r="B27" s="47"/>
      <c r="C27" s="48"/>
      <c r="D27" s="48"/>
      <c r="E27" s="48"/>
      <c r="F27" s="48"/>
      <c r="G27" s="49"/>
    </row>
    <row r="28" spans="2:7" x14ac:dyDescent="0.3">
      <c r="B28" s="30" t="s">
        <v>15</v>
      </c>
      <c r="C28" s="37"/>
      <c r="D28" s="146">
        <f t="shared" ref="D28:D31" si="12">E28/$E$10</f>
        <v>0.22538915111326274</v>
      </c>
      <c r="E28" s="147">
        <f>SUM(E29:E31)</f>
        <v>67568742.299999997</v>
      </c>
      <c r="F28" s="148">
        <f t="shared" ref="F28:G28" si="13">SUM(F29:F31)</f>
        <v>219.3</v>
      </c>
      <c r="G28" s="149">
        <f t="shared" si="13"/>
        <v>282.57134379665524</v>
      </c>
    </row>
    <row r="29" spans="2:7" x14ac:dyDescent="0.3">
      <c r="B29" s="16" t="s">
        <v>31</v>
      </c>
      <c r="C29" s="34"/>
      <c r="D29" s="146">
        <f t="shared" si="12"/>
        <v>0.22096975599339486</v>
      </c>
      <c r="E29" s="150">
        <f>F29*F24</f>
        <v>66243865</v>
      </c>
      <c r="F29" s="344">
        <v>215</v>
      </c>
      <c r="G29" s="151">
        <f>E29/G$24</f>
        <v>277.0307292124071</v>
      </c>
    </row>
    <row r="30" spans="2:7" x14ac:dyDescent="0.3">
      <c r="B30" s="16" t="s">
        <v>32</v>
      </c>
      <c r="C30" s="345">
        <v>0.01</v>
      </c>
      <c r="D30" s="146">
        <f t="shared" si="12"/>
        <v>2.2096975599339486E-3</v>
      </c>
      <c r="E30" s="150">
        <f>$C30*E$29</f>
        <v>662438.65</v>
      </c>
      <c r="F30" s="152">
        <f>E30/F$24</f>
        <v>2.15</v>
      </c>
      <c r="G30" s="151">
        <f>E30/G$24</f>
        <v>2.770307292124071</v>
      </c>
    </row>
    <row r="31" spans="2:7" x14ac:dyDescent="0.3">
      <c r="B31" s="16" t="s">
        <v>33</v>
      </c>
      <c r="C31" s="345">
        <v>0.01</v>
      </c>
      <c r="D31" s="146">
        <f t="shared" si="12"/>
        <v>2.2096975599339486E-3</v>
      </c>
      <c r="E31" s="346">
        <f>$C31*E$29</f>
        <v>662438.65</v>
      </c>
      <c r="F31" s="152">
        <f>E31/F$24</f>
        <v>2.15</v>
      </c>
      <c r="G31" s="151">
        <f>E31/G$24</f>
        <v>2.770307292124071</v>
      </c>
    </row>
    <row r="32" spans="2:7" x14ac:dyDescent="0.3">
      <c r="B32" s="16"/>
      <c r="C32" s="34"/>
      <c r="D32" s="139"/>
      <c r="E32" s="52"/>
      <c r="F32" s="40"/>
      <c r="G32" s="39"/>
    </row>
    <row r="33" spans="2:9" x14ac:dyDescent="0.3">
      <c r="B33" s="403" t="s">
        <v>29</v>
      </c>
      <c r="C33" s="396"/>
      <c r="D33" s="112"/>
      <c r="E33" s="347"/>
      <c r="F33" s="348"/>
      <c r="G33" s="349"/>
    </row>
    <row r="34" spans="2:9" x14ac:dyDescent="0.3">
      <c r="B34" s="375" t="s">
        <v>34</v>
      </c>
      <c r="C34" s="29"/>
      <c r="D34" s="112"/>
      <c r="E34" s="350"/>
      <c r="F34" s="351"/>
      <c r="G34" s="352"/>
    </row>
    <row r="35" spans="2:9" x14ac:dyDescent="0.3">
      <c r="B35" s="375" t="s">
        <v>35</v>
      </c>
      <c r="C35" s="29"/>
      <c r="D35" s="112"/>
      <c r="E35" s="350"/>
      <c r="F35" s="351"/>
      <c r="G35" s="352"/>
    </row>
    <row r="36" spans="2:9" x14ac:dyDescent="0.3">
      <c r="B36" s="16"/>
      <c r="C36" s="34"/>
      <c r="D36" s="139"/>
      <c r="E36" s="52"/>
      <c r="F36" s="40"/>
      <c r="G36" s="39"/>
    </row>
    <row r="37" spans="2:9" x14ac:dyDescent="0.3">
      <c r="B37" s="30" t="s">
        <v>16</v>
      </c>
      <c r="C37" s="353">
        <v>3.5000000000000003E-2</v>
      </c>
      <c r="D37" s="146">
        <f t="shared" ref="D37:D39" si="14">E37/$E$10</f>
        <v>1.5288023815822085E-2</v>
      </c>
      <c r="E37" s="147">
        <f>E42*$C$37</f>
        <v>4583151.125</v>
      </c>
      <c r="F37" s="148">
        <f t="shared" ref="F37:G37" si="15">F42*$C$37</f>
        <v>14.875000000000002</v>
      </c>
      <c r="G37" s="149">
        <f t="shared" si="15"/>
        <v>19.166660916439795</v>
      </c>
    </row>
    <row r="38" spans="2:9" x14ac:dyDescent="0.3">
      <c r="B38" s="16" t="s">
        <v>36</v>
      </c>
      <c r="C38" s="354">
        <v>0.8</v>
      </c>
      <c r="D38" s="146">
        <f t="shared" si="14"/>
        <v>1.2230419052657669E-2</v>
      </c>
      <c r="E38" s="150">
        <f>$C38*E$37</f>
        <v>3666520.9000000004</v>
      </c>
      <c r="F38" s="152">
        <f t="shared" ref="F38:G39" si="16">$C38*F$37</f>
        <v>11.900000000000002</v>
      </c>
      <c r="G38" s="151">
        <f t="shared" si="16"/>
        <v>15.333328733151838</v>
      </c>
    </row>
    <row r="39" spans="2:9" x14ac:dyDescent="0.3">
      <c r="B39" s="16" t="s">
        <v>37</v>
      </c>
      <c r="C39" s="354">
        <v>0.2</v>
      </c>
      <c r="D39" s="146">
        <f t="shared" si="14"/>
        <v>3.0576047631644173E-3</v>
      </c>
      <c r="E39" s="150">
        <f t="shared" ref="E39:G39" si="17">$C39*E$37</f>
        <v>916630.22500000009</v>
      </c>
      <c r="F39" s="152">
        <f t="shared" si="16"/>
        <v>2.9750000000000005</v>
      </c>
      <c r="G39" s="151">
        <f t="shared" si="16"/>
        <v>3.8333321832879594</v>
      </c>
    </row>
    <row r="40" spans="2:9" x14ac:dyDescent="0.3">
      <c r="B40" s="16"/>
      <c r="C40" s="41"/>
      <c r="D40" s="6"/>
      <c r="E40" s="32"/>
      <c r="F40" s="40"/>
      <c r="G40" s="39"/>
    </row>
    <row r="41" spans="2:9" x14ac:dyDescent="0.3">
      <c r="B41" s="30" t="s">
        <v>19</v>
      </c>
      <c r="C41" s="37"/>
      <c r="D41" s="146">
        <f t="shared" ref="D41:D45" si="18">E41/$E$10</f>
        <v>0.55499380575085222</v>
      </c>
      <c r="E41" s="147">
        <f>SUM(E42:E43)</f>
        <v>166379940</v>
      </c>
      <c r="F41" s="148">
        <f t="shared" ref="F41:G41" si="19">SUM(F42:F43)</f>
        <v>540</v>
      </c>
      <c r="G41" s="149">
        <f t="shared" si="19"/>
        <v>695.79811057999927</v>
      </c>
    </row>
    <row r="42" spans="2:9" x14ac:dyDescent="0.3">
      <c r="B42" s="16" t="s">
        <v>17</v>
      </c>
      <c r="C42" s="34"/>
      <c r="D42" s="146">
        <f t="shared" si="18"/>
        <v>0.43680068045205961</v>
      </c>
      <c r="E42" s="150">
        <f>F42*$F$24</f>
        <v>130947175</v>
      </c>
      <c r="F42" s="344">
        <v>425</v>
      </c>
      <c r="G42" s="151">
        <f>E42/$G$24</f>
        <v>547.61888332685123</v>
      </c>
    </row>
    <row r="43" spans="2:9" x14ac:dyDescent="0.3">
      <c r="B43" s="16" t="s">
        <v>18</v>
      </c>
      <c r="C43" s="43"/>
      <c r="D43" s="146">
        <f t="shared" si="18"/>
        <v>0.1181931252987926</v>
      </c>
      <c r="E43" s="150">
        <f>F43*$F$24</f>
        <v>35432765</v>
      </c>
      <c r="F43" s="344">
        <v>115</v>
      </c>
      <c r="G43" s="151">
        <f>E43/$G$24</f>
        <v>148.17922725314799</v>
      </c>
    </row>
    <row r="44" spans="2:9" x14ac:dyDescent="0.3">
      <c r="B44" s="16"/>
      <c r="C44" s="42"/>
      <c r="D44" s="6"/>
      <c r="E44" s="32"/>
      <c r="F44" s="40"/>
      <c r="G44" s="39"/>
    </row>
    <row r="45" spans="2:9" x14ac:dyDescent="0.3">
      <c r="B45" s="83" t="s">
        <v>71</v>
      </c>
      <c r="C45" s="42"/>
      <c r="D45" s="146">
        <f>E45/$E$10</f>
        <v>5.1846357190787055E-2</v>
      </c>
      <c r="E45" s="147">
        <f>Summary!G34</f>
        <v>15542865</v>
      </c>
      <c r="F45" s="148">
        <f>$E45/$F$24</f>
        <v>50.445667308210353</v>
      </c>
      <c r="G45" s="149">
        <f t="shared" ref="F45:G45" si="20">E45/$G$24</f>
        <v>65</v>
      </c>
    </row>
    <row r="46" spans="2:9" x14ac:dyDescent="0.3">
      <c r="B46" s="16"/>
      <c r="C46" s="42"/>
      <c r="D46" s="6"/>
      <c r="E46" s="32"/>
      <c r="F46" s="40"/>
      <c r="G46" s="39"/>
    </row>
    <row r="47" spans="2:9" x14ac:dyDescent="0.3">
      <c r="B47" s="30" t="s">
        <v>61</v>
      </c>
      <c r="C47" s="353">
        <v>1.2500000000000001E-2</v>
      </c>
      <c r="D47" s="146">
        <f t="shared" ref="D47:D49" si="21">E47/$E$10</f>
        <v>5.4600085056507449E-3</v>
      </c>
      <c r="E47" s="147">
        <f>E42*$C$47</f>
        <v>1636839.6875</v>
      </c>
      <c r="F47" s="148">
        <f t="shared" ref="F47:G47" si="22">F42*$C$47</f>
        <v>5.3125</v>
      </c>
      <c r="G47" s="149">
        <f t="shared" si="22"/>
        <v>6.8452360415856406</v>
      </c>
      <c r="I47" s="12" t="s">
        <v>43</v>
      </c>
    </row>
    <row r="48" spans="2:9" x14ac:dyDescent="0.3">
      <c r="B48" s="30"/>
      <c r="C48" s="43"/>
      <c r="D48" s="6"/>
      <c r="E48" s="1"/>
      <c r="F48" s="38"/>
      <c r="G48" s="4"/>
    </row>
    <row r="49" spans="2:7" x14ac:dyDescent="0.3">
      <c r="B49" s="30" t="s">
        <v>21</v>
      </c>
      <c r="C49" s="402">
        <v>1.7350000000000001E-2</v>
      </c>
      <c r="D49" s="146">
        <f t="shared" si="21"/>
        <v>3.4900292146815004E-2</v>
      </c>
      <c r="E49" s="155">
        <f>MonthlyCF!C30</f>
        <v>10462654.63362</v>
      </c>
      <c r="F49" s="148">
        <f t="shared" ref="F49:G49" si="23">$E49/$F$24</f>
        <v>33.957419999999999</v>
      </c>
      <c r="G49" s="227">
        <f t="shared" ref="G49" si="24">E49/$G$24</f>
        <v>43.754645696613849</v>
      </c>
    </row>
    <row r="50" spans="2:7" x14ac:dyDescent="0.3">
      <c r="B50" s="30"/>
      <c r="C50" s="42"/>
      <c r="D50" s="6"/>
      <c r="E50" s="1"/>
      <c r="F50" s="38"/>
      <c r="G50" s="4"/>
    </row>
    <row r="51" spans="2:7" x14ac:dyDescent="0.3">
      <c r="B51" s="30" t="s">
        <v>20</v>
      </c>
      <c r="C51" s="37"/>
      <c r="D51" s="146">
        <f t="shared" ref="D51:D52" si="25">E51/$E$10</f>
        <v>1.4694656185614255E-2</v>
      </c>
      <c r="E51" s="147">
        <f>SUM(E52:E53)</f>
        <v>4405267.2104608882</v>
      </c>
      <c r="F51" s="148">
        <f t="shared" ref="F51:G51" si="26">SUM(F52:F53)</f>
        <v>14.29766288922138</v>
      </c>
      <c r="G51" s="149">
        <f t="shared" si="26"/>
        <v>18.422753377833352</v>
      </c>
    </row>
    <row r="52" spans="2:7" x14ac:dyDescent="0.3">
      <c r="B52" s="16" t="s">
        <v>38</v>
      </c>
      <c r="C52" s="34"/>
      <c r="D52" s="146">
        <f t="shared" si="25"/>
        <v>1.3099383656666963E-2</v>
      </c>
      <c r="E52" s="150">
        <f>Summary!G37</f>
        <v>3927025.2104608887</v>
      </c>
      <c r="F52" s="152">
        <f>$E52/$F$24</f>
        <v>12.745488510507215</v>
      </c>
      <c r="G52" s="151">
        <f t="shared" ref="G52" si="27">E52/$G$24</f>
        <v>16.422753377833352</v>
      </c>
    </row>
    <row r="53" spans="2:7" x14ac:dyDescent="0.3">
      <c r="B53" s="16" t="s">
        <v>39</v>
      </c>
      <c r="C53" s="44"/>
      <c r="D53" s="146">
        <f>E53/$E$10</f>
        <v>1.595272528947294E-3</v>
      </c>
      <c r="E53" s="150">
        <f>G53*G24</f>
        <v>478242</v>
      </c>
      <c r="F53" s="152">
        <f>E53/F24</f>
        <v>1.5521743787141646</v>
      </c>
      <c r="G53" s="401">
        <v>2</v>
      </c>
    </row>
    <row r="54" spans="2:7" x14ac:dyDescent="0.3">
      <c r="B54" s="16"/>
      <c r="C54" s="44"/>
      <c r="D54" s="6"/>
      <c r="E54" s="33"/>
      <c r="F54" s="40"/>
      <c r="G54" s="39"/>
    </row>
    <row r="55" spans="2:7" x14ac:dyDescent="0.3">
      <c r="B55" s="30" t="s">
        <v>23</v>
      </c>
      <c r="C55" s="37"/>
      <c r="D55" s="68"/>
      <c r="E55" s="1"/>
      <c r="F55" s="38"/>
      <c r="G55" s="4"/>
    </row>
    <row r="56" spans="2:7" x14ac:dyDescent="0.3">
      <c r="B56" s="16" t="s">
        <v>59</v>
      </c>
      <c r="C56" s="400">
        <v>3.5000000000000003E-2</v>
      </c>
      <c r="D56" s="146">
        <f>E56/$E$10</f>
        <v>2.0665277299027878E-2</v>
      </c>
      <c r="E56" s="147">
        <f>SUM(E51,E47,E41,E37)*$C$56</f>
        <v>6195181.9308036324</v>
      </c>
      <c r="F56" s="148">
        <f t="shared" ref="F56:G56" si="28">SUM(F51,F47,F41,F37)*$C$56</f>
        <v>20.106980701122747</v>
      </c>
      <c r="G56" s="149">
        <f t="shared" si="28"/>
        <v>25.908146632055036</v>
      </c>
    </row>
    <row r="57" spans="2:7" x14ac:dyDescent="0.3">
      <c r="B57" s="16"/>
      <c r="C57" s="53" t="s">
        <v>190</v>
      </c>
      <c r="D57" s="17"/>
      <c r="E57" s="1"/>
      <c r="F57" s="38"/>
      <c r="G57" s="4"/>
    </row>
    <row r="58" spans="2:7" x14ac:dyDescent="0.3">
      <c r="B58" s="16"/>
      <c r="C58" s="45"/>
      <c r="D58" s="6"/>
      <c r="E58" s="1"/>
      <c r="F58" s="38"/>
      <c r="G58" s="4"/>
    </row>
    <row r="59" spans="2:7" x14ac:dyDescent="0.3">
      <c r="B59" s="30" t="s">
        <v>24</v>
      </c>
      <c r="C59" s="400">
        <v>0.05</v>
      </c>
      <c r="D59" s="146">
        <f>E59/$E$10</f>
        <v>3.3859157179777069E-2</v>
      </c>
      <c r="E59" s="147">
        <f>SUM(E51,E49,E47,E45,E41,E37)*$C$59</f>
        <v>10150535.882829046</v>
      </c>
      <c r="F59" s="148">
        <f t="shared" ref="F59:G59" si="29">SUM(F51,F49,F47,F45,F41,F37)*$C$59</f>
        <v>32.94441250987159</v>
      </c>
      <c r="G59" s="149">
        <f t="shared" si="29"/>
        <v>42.449370330623601</v>
      </c>
    </row>
    <row r="60" spans="2:7" x14ac:dyDescent="0.3">
      <c r="B60" s="30"/>
      <c r="C60" s="53" t="s">
        <v>191</v>
      </c>
      <c r="D60" s="53"/>
      <c r="E60" s="1"/>
      <c r="F60" s="38"/>
      <c r="G60" s="4"/>
    </row>
    <row r="61" spans="2:7" x14ac:dyDescent="0.3">
      <c r="B61" s="30"/>
      <c r="C61" s="45"/>
      <c r="D61" s="45"/>
      <c r="E61" s="1"/>
      <c r="F61" s="38"/>
      <c r="G61" s="4"/>
    </row>
    <row r="62" spans="2:7" x14ac:dyDescent="0.3">
      <c r="B62" s="287" t="s">
        <v>25</v>
      </c>
      <c r="C62" s="288"/>
      <c r="D62" s="289">
        <f t="shared" ref="D62" si="30">E62/$E$10</f>
        <v>4.2903270812390787E-2</v>
      </c>
      <c r="E62" s="290">
        <f>SUM(MonthlyCF!C40:C41)</f>
        <v>12861843.771232702</v>
      </c>
      <c r="F62" s="291">
        <f t="shared" ref="F62:G62" si="31">$E62/$F$24</f>
        <v>41.744188851526566</v>
      </c>
      <c r="G62" s="292">
        <f>$E62/$G$24</f>
        <v>53.788014315901577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B79D-94AB-49DC-B7C6-17C4654AE2EB}">
  <dimension ref="A6:DX82"/>
  <sheetViews>
    <sheetView topLeftCell="AS56" zoomScale="80" zoomScaleNormal="80" workbookViewId="0">
      <selection activeCell="C73" sqref="C73"/>
    </sheetView>
  </sheetViews>
  <sheetFormatPr defaultColWidth="0" defaultRowHeight="14.4" outlineLevelCol="1" x14ac:dyDescent="0.3"/>
  <cols>
    <col min="1" max="1" width="2.6640625" style="12" customWidth="1"/>
    <col min="2" max="2" width="64.5546875" style="12" customWidth="1"/>
    <col min="3" max="3" width="24.5546875" style="12" bestFit="1" customWidth="1"/>
    <col min="4" max="4" width="26" style="12" customWidth="1" outlineLevel="1"/>
    <col min="5" max="7" width="15.6640625" style="12" customWidth="1" outlineLevel="1"/>
    <col min="8" max="8" width="23" style="12" customWidth="1" outlineLevel="1"/>
    <col min="9" max="9" width="15.6640625" style="12" customWidth="1"/>
    <col min="10" max="10" width="2.6640625" style="12" customWidth="1"/>
    <col min="11" max="57" width="14.6640625" style="12" customWidth="1"/>
    <col min="58" max="58" width="17.33203125" style="12" bestFit="1" customWidth="1"/>
    <col min="59" max="71" width="14.6640625" style="12" customWidth="1"/>
    <col min="72" max="72" width="2.6640625" style="12" customWidth="1"/>
    <col min="73" max="74" width="0" style="12" hidden="1" customWidth="1"/>
    <col min="75" max="16384" width="9.109375" style="12" hidden="1"/>
  </cols>
  <sheetData>
    <row r="6" spans="2:71" ht="21" x14ac:dyDescent="0.4">
      <c r="B6" s="54" t="s">
        <v>158</v>
      </c>
      <c r="C6" s="54"/>
      <c r="D6" s="54"/>
    </row>
    <row r="8" spans="2:71" x14ac:dyDescent="0.3">
      <c r="B8" s="55" t="s">
        <v>49</v>
      </c>
      <c r="C8" s="57"/>
      <c r="D8" s="160"/>
      <c r="E8" s="60"/>
      <c r="F8" s="60"/>
      <c r="G8" s="60"/>
      <c r="H8" s="60"/>
      <c r="I8" s="57"/>
      <c r="J8" s="57"/>
      <c r="K8" s="429"/>
      <c r="L8" s="429">
        <f>ROUNDUP(L9/12,0)</f>
        <v>1</v>
      </c>
      <c r="M8" s="429">
        <f t="shared" ref="M8:BS8" si="0">ROUNDUP(M9/12,0)</f>
        <v>1</v>
      </c>
      <c r="N8" s="429">
        <f t="shared" si="0"/>
        <v>1</v>
      </c>
      <c r="O8" s="429">
        <f t="shared" si="0"/>
        <v>1</v>
      </c>
      <c r="P8" s="429">
        <f t="shared" si="0"/>
        <v>1</v>
      </c>
      <c r="Q8" s="429">
        <f t="shared" si="0"/>
        <v>1</v>
      </c>
      <c r="R8" s="429">
        <f t="shared" si="0"/>
        <v>1</v>
      </c>
      <c r="S8" s="429">
        <f t="shared" si="0"/>
        <v>1</v>
      </c>
      <c r="T8" s="429">
        <f t="shared" si="0"/>
        <v>1</v>
      </c>
      <c r="U8" s="429">
        <f t="shared" si="0"/>
        <v>1</v>
      </c>
      <c r="V8" s="429">
        <f t="shared" si="0"/>
        <v>1</v>
      </c>
      <c r="W8" s="429">
        <f t="shared" si="0"/>
        <v>1</v>
      </c>
      <c r="X8" s="429">
        <f t="shared" si="0"/>
        <v>2</v>
      </c>
      <c r="Y8" s="429">
        <f t="shared" si="0"/>
        <v>2</v>
      </c>
      <c r="Z8" s="429">
        <f t="shared" si="0"/>
        <v>2</v>
      </c>
      <c r="AA8" s="429">
        <f t="shared" si="0"/>
        <v>2</v>
      </c>
      <c r="AB8" s="429">
        <f t="shared" si="0"/>
        <v>2</v>
      </c>
      <c r="AC8" s="429">
        <f t="shared" si="0"/>
        <v>2</v>
      </c>
      <c r="AD8" s="429">
        <f t="shared" si="0"/>
        <v>2</v>
      </c>
      <c r="AE8" s="429">
        <f t="shared" si="0"/>
        <v>2</v>
      </c>
      <c r="AF8" s="429">
        <f t="shared" si="0"/>
        <v>2</v>
      </c>
      <c r="AG8" s="429">
        <f t="shared" si="0"/>
        <v>2</v>
      </c>
      <c r="AH8" s="429">
        <f t="shared" si="0"/>
        <v>2</v>
      </c>
      <c r="AI8" s="429">
        <f t="shared" si="0"/>
        <v>2</v>
      </c>
      <c r="AJ8" s="429">
        <f t="shared" si="0"/>
        <v>3</v>
      </c>
      <c r="AK8" s="429">
        <f t="shared" si="0"/>
        <v>3</v>
      </c>
      <c r="AL8" s="429">
        <f t="shared" si="0"/>
        <v>3</v>
      </c>
      <c r="AM8" s="429">
        <f t="shared" si="0"/>
        <v>3</v>
      </c>
      <c r="AN8" s="429">
        <f t="shared" si="0"/>
        <v>3</v>
      </c>
      <c r="AO8" s="429">
        <f t="shared" si="0"/>
        <v>3</v>
      </c>
      <c r="AP8" s="429">
        <f t="shared" si="0"/>
        <v>3</v>
      </c>
      <c r="AQ8" s="429">
        <f t="shared" si="0"/>
        <v>3</v>
      </c>
      <c r="AR8" s="429">
        <f t="shared" si="0"/>
        <v>3</v>
      </c>
      <c r="AS8" s="429">
        <f t="shared" si="0"/>
        <v>3</v>
      </c>
      <c r="AT8" s="429">
        <f t="shared" si="0"/>
        <v>3</v>
      </c>
      <c r="AU8" s="429">
        <f t="shared" si="0"/>
        <v>3</v>
      </c>
      <c r="AV8" s="429">
        <f t="shared" si="0"/>
        <v>4</v>
      </c>
      <c r="AW8" s="429">
        <f t="shared" si="0"/>
        <v>4</v>
      </c>
      <c r="AX8" s="429">
        <f t="shared" si="0"/>
        <v>4</v>
      </c>
      <c r="AY8" s="429">
        <f t="shared" si="0"/>
        <v>4</v>
      </c>
      <c r="AZ8" s="429">
        <f t="shared" si="0"/>
        <v>4</v>
      </c>
      <c r="BA8" s="429">
        <f t="shared" si="0"/>
        <v>4</v>
      </c>
      <c r="BB8" s="429">
        <f t="shared" si="0"/>
        <v>4</v>
      </c>
      <c r="BC8" s="429">
        <f t="shared" si="0"/>
        <v>4</v>
      </c>
      <c r="BD8" s="429">
        <f t="shared" si="0"/>
        <v>4</v>
      </c>
      <c r="BE8" s="429">
        <f t="shared" si="0"/>
        <v>4</v>
      </c>
      <c r="BF8" s="429">
        <f t="shared" si="0"/>
        <v>4</v>
      </c>
      <c r="BG8" s="429">
        <f t="shared" si="0"/>
        <v>4</v>
      </c>
      <c r="BH8" s="429">
        <f t="shared" si="0"/>
        <v>5</v>
      </c>
      <c r="BI8" s="429">
        <f t="shared" si="0"/>
        <v>5</v>
      </c>
      <c r="BJ8" s="429">
        <f t="shared" si="0"/>
        <v>5</v>
      </c>
      <c r="BK8" s="429">
        <f t="shared" si="0"/>
        <v>5</v>
      </c>
      <c r="BL8" s="429">
        <f t="shared" si="0"/>
        <v>5</v>
      </c>
      <c r="BM8" s="429">
        <f t="shared" si="0"/>
        <v>5</v>
      </c>
      <c r="BN8" s="429">
        <f t="shared" si="0"/>
        <v>5</v>
      </c>
      <c r="BO8" s="429">
        <f t="shared" si="0"/>
        <v>5</v>
      </c>
      <c r="BP8" s="429">
        <f t="shared" si="0"/>
        <v>5</v>
      </c>
      <c r="BQ8" s="429">
        <f t="shared" si="0"/>
        <v>5</v>
      </c>
      <c r="BR8" s="429">
        <f t="shared" si="0"/>
        <v>5</v>
      </c>
      <c r="BS8" s="430">
        <f t="shared" si="0"/>
        <v>5</v>
      </c>
    </row>
    <row r="9" spans="2:71" x14ac:dyDescent="0.3">
      <c r="B9" s="56" t="s">
        <v>50</v>
      </c>
      <c r="C9" s="46"/>
      <c r="D9" s="161"/>
      <c r="E9" s="61"/>
      <c r="F9" s="61"/>
      <c r="G9" s="61"/>
      <c r="H9" s="423" t="s">
        <v>55</v>
      </c>
      <c r="I9" s="46"/>
      <c r="J9" s="46"/>
      <c r="K9" s="379">
        <f>Summary!C16</f>
        <v>0</v>
      </c>
      <c r="L9" s="379">
        <f>K9+1</f>
        <v>1</v>
      </c>
      <c r="M9" s="379">
        <f t="shared" ref="M9:BS9" si="1">L9+1</f>
        <v>2</v>
      </c>
      <c r="N9" s="379">
        <f t="shared" si="1"/>
        <v>3</v>
      </c>
      <c r="O9" s="379">
        <f t="shared" si="1"/>
        <v>4</v>
      </c>
      <c r="P9" s="379">
        <f t="shared" si="1"/>
        <v>5</v>
      </c>
      <c r="Q9" s="379">
        <f t="shared" si="1"/>
        <v>6</v>
      </c>
      <c r="R9" s="379">
        <f t="shared" si="1"/>
        <v>7</v>
      </c>
      <c r="S9" s="379">
        <f t="shared" si="1"/>
        <v>8</v>
      </c>
      <c r="T9" s="379">
        <f t="shared" si="1"/>
        <v>9</v>
      </c>
      <c r="U9" s="379">
        <f t="shared" si="1"/>
        <v>10</v>
      </c>
      <c r="V9" s="379">
        <f t="shared" si="1"/>
        <v>11</v>
      </c>
      <c r="W9" s="379">
        <f t="shared" si="1"/>
        <v>12</v>
      </c>
      <c r="X9" s="379">
        <f t="shared" si="1"/>
        <v>13</v>
      </c>
      <c r="Y9" s="379">
        <f t="shared" si="1"/>
        <v>14</v>
      </c>
      <c r="Z9" s="379">
        <f t="shared" si="1"/>
        <v>15</v>
      </c>
      <c r="AA9" s="379">
        <f t="shared" si="1"/>
        <v>16</v>
      </c>
      <c r="AB9" s="379">
        <f t="shared" si="1"/>
        <v>17</v>
      </c>
      <c r="AC9" s="379">
        <f t="shared" si="1"/>
        <v>18</v>
      </c>
      <c r="AD9" s="379">
        <f t="shared" si="1"/>
        <v>19</v>
      </c>
      <c r="AE9" s="379">
        <f t="shared" si="1"/>
        <v>20</v>
      </c>
      <c r="AF9" s="379">
        <f t="shared" si="1"/>
        <v>21</v>
      </c>
      <c r="AG9" s="379">
        <f t="shared" si="1"/>
        <v>22</v>
      </c>
      <c r="AH9" s="379">
        <f t="shared" si="1"/>
        <v>23</v>
      </c>
      <c r="AI9" s="379">
        <f t="shared" si="1"/>
        <v>24</v>
      </c>
      <c r="AJ9" s="379">
        <f t="shared" si="1"/>
        <v>25</v>
      </c>
      <c r="AK9" s="379">
        <f t="shared" si="1"/>
        <v>26</v>
      </c>
      <c r="AL9" s="379">
        <f t="shared" si="1"/>
        <v>27</v>
      </c>
      <c r="AM9" s="379">
        <f t="shared" si="1"/>
        <v>28</v>
      </c>
      <c r="AN9" s="379">
        <f t="shared" si="1"/>
        <v>29</v>
      </c>
      <c r="AO9" s="379">
        <f t="shared" si="1"/>
        <v>30</v>
      </c>
      <c r="AP9" s="379">
        <f t="shared" si="1"/>
        <v>31</v>
      </c>
      <c r="AQ9" s="379">
        <f t="shared" si="1"/>
        <v>32</v>
      </c>
      <c r="AR9" s="379">
        <f t="shared" si="1"/>
        <v>33</v>
      </c>
      <c r="AS9" s="379">
        <f t="shared" si="1"/>
        <v>34</v>
      </c>
      <c r="AT9" s="379">
        <f t="shared" si="1"/>
        <v>35</v>
      </c>
      <c r="AU9" s="379">
        <f t="shared" si="1"/>
        <v>36</v>
      </c>
      <c r="AV9" s="379">
        <f t="shared" si="1"/>
        <v>37</v>
      </c>
      <c r="AW9" s="379">
        <f t="shared" si="1"/>
        <v>38</v>
      </c>
      <c r="AX9" s="379">
        <f t="shared" si="1"/>
        <v>39</v>
      </c>
      <c r="AY9" s="379">
        <f t="shared" si="1"/>
        <v>40</v>
      </c>
      <c r="AZ9" s="379">
        <f t="shared" si="1"/>
        <v>41</v>
      </c>
      <c r="BA9" s="379">
        <f t="shared" si="1"/>
        <v>42</v>
      </c>
      <c r="BB9" s="379">
        <f t="shared" si="1"/>
        <v>43</v>
      </c>
      <c r="BC9" s="379">
        <f t="shared" si="1"/>
        <v>44</v>
      </c>
      <c r="BD9" s="379">
        <f t="shared" si="1"/>
        <v>45</v>
      </c>
      <c r="BE9" s="379">
        <f t="shared" si="1"/>
        <v>46</v>
      </c>
      <c r="BF9" s="379">
        <f t="shared" si="1"/>
        <v>47</v>
      </c>
      <c r="BG9" s="379">
        <f t="shared" si="1"/>
        <v>48</v>
      </c>
      <c r="BH9" s="379">
        <f t="shared" si="1"/>
        <v>49</v>
      </c>
      <c r="BI9" s="379">
        <f t="shared" si="1"/>
        <v>50</v>
      </c>
      <c r="BJ9" s="379">
        <f t="shared" si="1"/>
        <v>51</v>
      </c>
      <c r="BK9" s="379">
        <f t="shared" si="1"/>
        <v>52</v>
      </c>
      <c r="BL9" s="379">
        <f t="shared" si="1"/>
        <v>53</v>
      </c>
      <c r="BM9" s="379">
        <f t="shared" si="1"/>
        <v>54</v>
      </c>
      <c r="BN9" s="379">
        <f t="shared" si="1"/>
        <v>55</v>
      </c>
      <c r="BO9" s="379">
        <f t="shared" si="1"/>
        <v>56</v>
      </c>
      <c r="BP9" s="379">
        <f t="shared" si="1"/>
        <v>57</v>
      </c>
      <c r="BQ9" s="379">
        <f t="shared" si="1"/>
        <v>58</v>
      </c>
      <c r="BR9" s="379">
        <f t="shared" si="1"/>
        <v>59</v>
      </c>
      <c r="BS9" s="431">
        <f t="shared" si="1"/>
        <v>60</v>
      </c>
    </row>
    <row r="10" spans="2:71" ht="15" customHeight="1" x14ac:dyDescent="0.3">
      <c r="B10" s="58" t="s">
        <v>51</v>
      </c>
      <c r="C10" s="136" t="s">
        <v>56</v>
      </c>
      <c r="D10" s="162" t="s">
        <v>160</v>
      </c>
      <c r="E10" s="59" t="s">
        <v>52</v>
      </c>
      <c r="F10" s="59" t="s">
        <v>53</v>
      </c>
      <c r="G10" s="59" t="s">
        <v>54</v>
      </c>
      <c r="H10" s="424"/>
      <c r="I10" s="62" t="s">
        <v>57</v>
      </c>
      <c r="J10" s="62"/>
      <c r="K10" s="432">
        <f>Summary!F16</f>
        <v>43586</v>
      </c>
      <c r="L10" s="432">
        <f>EDATE(K10,1)</f>
        <v>43617</v>
      </c>
      <c r="M10" s="432">
        <f t="shared" ref="M10:BS10" si="2">EDATE(L10,1)</f>
        <v>43647</v>
      </c>
      <c r="N10" s="432">
        <f t="shared" si="2"/>
        <v>43678</v>
      </c>
      <c r="O10" s="432">
        <f t="shared" si="2"/>
        <v>43709</v>
      </c>
      <c r="P10" s="432">
        <f t="shared" si="2"/>
        <v>43739</v>
      </c>
      <c r="Q10" s="432">
        <f t="shared" si="2"/>
        <v>43770</v>
      </c>
      <c r="R10" s="432">
        <f t="shared" si="2"/>
        <v>43800</v>
      </c>
      <c r="S10" s="432">
        <f t="shared" si="2"/>
        <v>43831</v>
      </c>
      <c r="T10" s="432">
        <f t="shared" si="2"/>
        <v>43862</v>
      </c>
      <c r="U10" s="432">
        <f t="shared" si="2"/>
        <v>43891</v>
      </c>
      <c r="V10" s="432">
        <f t="shared" si="2"/>
        <v>43922</v>
      </c>
      <c r="W10" s="432">
        <f t="shared" si="2"/>
        <v>43952</v>
      </c>
      <c r="X10" s="432">
        <f t="shared" si="2"/>
        <v>43983</v>
      </c>
      <c r="Y10" s="432">
        <f t="shared" si="2"/>
        <v>44013</v>
      </c>
      <c r="Z10" s="432">
        <f t="shared" si="2"/>
        <v>44044</v>
      </c>
      <c r="AA10" s="432">
        <f t="shared" si="2"/>
        <v>44075</v>
      </c>
      <c r="AB10" s="432">
        <f t="shared" si="2"/>
        <v>44105</v>
      </c>
      <c r="AC10" s="432">
        <f t="shared" si="2"/>
        <v>44136</v>
      </c>
      <c r="AD10" s="432">
        <f t="shared" si="2"/>
        <v>44166</v>
      </c>
      <c r="AE10" s="432">
        <f t="shared" si="2"/>
        <v>44197</v>
      </c>
      <c r="AF10" s="432">
        <f t="shared" si="2"/>
        <v>44228</v>
      </c>
      <c r="AG10" s="432">
        <f t="shared" si="2"/>
        <v>44256</v>
      </c>
      <c r="AH10" s="432">
        <f t="shared" si="2"/>
        <v>44287</v>
      </c>
      <c r="AI10" s="432">
        <f t="shared" si="2"/>
        <v>44317</v>
      </c>
      <c r="AJ10" s="432">
        <f t="shared" si="2"/>
        <v>44348</v>
      </c>
      <c r="AK10" s="432">
        <f t="shared" si="2"/>
        <v>44378</v>
      </c>
      <c r="AL10" s="432">
        <f t="shared" si="2"/>
        <v>44409</v>
      </c>
      <c r="AM10" s="432">
        <f t="shared" si="2"/>
        <v>44440</v>
      </c>
      <c r="AN10" s="432">
        <f t="shared" si="2"/>
        <v>44470</v>
      </c>
      <c r="AO10" s="432">
        <f t="shared" si="2"/>
        <v>44501</v>
      </c>
      <c r="AP10" s="432">
        <f t="shared" si="2"/>
        <v>44531</v>
      </c>
      <c r="AQ10" s="432">
        <f t="shared" si="2"/>
        <v>44562</v>
      </c>
      <c r="AR10" s="432">
        <f t="shared" si="2"/>
        <v>44593</v>
      </c>
      <c r="AS10" s="432">
        <f t="shared" si="2"/>
        <v>44621</v>
      </c>
      <c r="AT10" s="432">
        <f t="shared" si="2"/>
        <v>44652</v>
      </c>
      <c r="AU10" s="432">
        <f t="shared" si="2"/>
        <v>44682</v>
      </c>
      <c r="AV10" s="432">
        <f t="shared" si="2"/>
        <v>44713</v>
      </c>
      <c r="AW10" s="432">
        <f t="shared" si="2"/>
        <v>44743</v>
      </c>
      <c r="AX10" s="432">
        <f t="shared" si="2"/>
        <v>44774</v>
      </c>
      <c r="AY10" s="432">
        <f t="shared" si="2"/>
        <v>44805</v>
      </c>
      <c r="AZ10" s="432">
        <f t="shared" si="2"/>
        <v>44835</v>
      </c>
      <c r="BA10" s="432">
        <f t="shared" si="2"/>
        <v>44866</v>
      </c>
      <c r="BB10" s="432">
        <f t="shared" si="2"/>
        <v>44896</v>
      </c>
      <c r="BC10" s="432">
        <f t="shared" si="2"/>
        <v>44927</v>
      </c>
      <c r="BD10" s="432">
        <f t="shared" si="2"/>
        <v>44958</v>
      </c>
      <c r="BE10" s="432">
        <f t="shared" si="2"/>
        <v>44986</v>
      </c>
      <c r="BF10" s="432">
        <f t="shared" si="2"/>
        <v>45017</v>
      </c>
      <c r="BG10" s="432">
        <f t="shared" si="2"/>
        <v>45047</v>
      </c>
      <c r="BH10" s="432">
        <f t="shared" si="2"/>
        <v>45078</v>
      </c>
      <c r="BI10" s="432">
        <f t="shared" si="2"/>
        <v>45108</v>
      </c>
      <c r="BJ10" s="432">
        <f t="shared" si="2"/>
        <v>45139</v>
      </c>
      <c r="BK10" s="432">
        <f t="shared" si="2"/>
        <v>45170</v>
      </c>
      <c r="BL10" s="432">
        <f t="shared" si="2"/>
        <v>45200</v>
      </c>
      <c r="BM10" s="432">
        <f t="shared" si="2"/>
        <v>45231</v>
      </c>
      <c r="BN10" s="432">
        <f t="shared" si="2"/>
        <v>45261</v>
      </c>
      <c r="BO10" s="432">
        <f t="shared" si="2"/>
        <v>45292</v>
      </c>
      <c r="BP10" s="432">
        <f t="shared" si="2"/>
        <v>45323</v>
      </c>
      <c r="BQ10" s="432">
        <f t="shared" si="2"/>
        <v>45352</v>
      </c>
      <c r="BR10" s="432">
        <f t="shared" si="2"/>
        <v>45383</v>
      </c>
      <c r="BS10" s="433">
        <f t="shared" si="2"/>
        <v>45413</v>
      </c>
    </row>
    <row r="11" spans="2:71" x14ac:dyDescent="0.3">
      <c r="B11" s="64" t="s">
        <v>58</v>
      </c>
      <c r="C11" s="137"/>
      <c r="D11" s="156"/>
      <c r="E11" s="63"/>
      <c r="F11" s="63"/>
      <c r="G11" s="63"/>
      <c r="H11" s="63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6"/>
    </row>
    <row r="12" spans="2:71" x14ac:dyDescent="0.3">
      <c r="B12" s="9"/>
      <c r="C12" s="138"/>
      <c r="D12" s="15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4"/>
    </row>
    <row r="13" spans="2:71" x14ac:dyDescent="0.3">
      <c r="B13" s="9" t="s">
        <v>15</v>
      </c>
      <c r="C13" s="169">
        <f>Budget!E11</f>
        <v>67568742.299999997</v>
      </c>
      <c r="D13" s="158"/>
      <c r="I13" s="296" t="str">
        <f>IF(ROUND(C13,0)=ROUND(SUM(K13:BS13),0),"Ok","Error")</f>
        <v>Ok</v>
      </c>
      <c r="J13" s="2"/>
      <c r="K13" s="165">
        <f>C13</f>
        <v>67568742.299999997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4"/>
    </row>
    <row r="14" spans="2:71" x14ac:dyDescent="0.3">
      <c r="B14" s="9"/>
      <c r="C14" s="138"/>
      <c r="D14" s="15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4"/>
    </row>
    <row r="15" spans="2:71" x14ac:dyDescent="0.3">
      <c r="B15" s="9" t="str">
        <f>Budget!B33</f>
        <v>Entitlement Costs</v>
      </c>
      <c r="C15" s="138"/>
      <c r="D15" s="15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4"/>
    </row>
    <row r="16" spans="2:71" x14ac:dyDescent="0.3">
      <c r="B16" s="16" t="str">
        <f>Budget!B34</f>
        <v>Application Fees</v>
      </c>
      <c r="C16" s="158"/>
      <c r="D16" s="163"/>
      <c r="E16" s="82"/>
      <c r="F16" s="82"/>
      <c r="G16" s="70"/>
      <c r="H16" s="71"/>
      <c r="I16" s="2"/>
      <c r="J16" s="2"/>
      <c r="K16" s="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294"/>
    </row>
    <row r="17" spans="2:71" x14ac:dyDescent="0.3">
      <c r="B17" s="16" t="str">
        <f>Budget!B35</f>
        <v>Legal Fees</v>
      </c>
      <c r="C17" s="158"/>
      <c r="D17" s="158"/>
      <c r="E17" s="82"/>
      <c r="F17" s="82"/>
      <c r="G17" s="70"/>
      <c r="H17" s="71"/>
      <c r="I17" s="2"/>
      <c r="J17" s="2"/>
      <c r="K17" s="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294"/>
    </row>
    <row r="18" spans="2:71" x14ac:dyDescent="0.3">
      <c r="B18" s="16"/>
      <c r="C18" s="138"/>
      <c r="D18" s="158"/>
      <c r="H18" s="7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4"/>
    </row>
    <row r="19" spans="2:71" x14ac:dyDescent="0.3">
      <c r="B19" s="9" t="str">
        <f>Budget!B37</f>
        <v>A&amp;E</v>
      </c>
      <c r="C19" s="138"/>
      <c r="D19" s="158"/>
      <c r="H19" s="7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4"/>
    </row>
    <row r="20" spans="2:71" x14ac:dyDescent="0.3">
      <c r="B20" s="16" t="str">
        <f>Budget!B38</f>
        <v>Design</v>
      </c>
      <c r="C20" s="169">
        <f>Budget!E38</f>
        <v>3666520.9000000004</v>
      </c>
      <c r="D20" s="163" t="s">
        <v>185</v>
      </c>
      <c r="E20" s="295">
        <f>Summary!C18</f>
        <v>2</v>
      </c>
      <c r="F20" s="295">
        <f>Summary!E18</f>
        <v>12</v>
      </c>
      <c r="G20" s="296">
        <f>F20-E20+1</f>
        <v>11</v>
      </c>
      <c r="H20" s="293">
        <v>5</v>
      </c>
      <c r="I20" s="296" t="str">
        <f>IF(ROUND(C20,0)=ROUND(SUM(L20:BS20),0),"Ok","Error")</f>
        <v>Ok</v>
      </c>
      <c r="J20" s="2"/>
      <c r="K20" s="1"/>
      <c r="L20" s="165">
        <f>(_xlfn.NORM.DIST((AND(L$9&gt;=$E20,L$9&lt;=$F20)*(L$9-$E20+1)),$G20/2,$H20,TRUE)-_xlfn.NORM.DIST((AND(L$9&gt;=$E20,L$9&lt;=$F20)*(K$9-$E20+1)),$G20/2,$H20,TRUE))/(1-2*_xlfn.NORM.DIST(0,$G20/2,$H20,TRUE))*$C20</f>
        <v>0</v>
      </c>
      <c r="M20" s="165">
        <f>(_xlfn.NORM.DIST((AND(M$9&gt;=$E20,M$9&lt;=$F20)*(M$9-$E20+1)),$G20/2,$H20,TRUE)-_xlfn.NORM.DIST((AND(M$9&gt;=$E20,M$9&lt;=$F20)*(L$9-$E20+1)),$G20/2,$H20,TRUE))/(1-2*_xlfn.NORM.DIST(0,$G20/2,$H20,TRUE))*$C20</f>
        <v>243509.90882270649</v>
      </c>
      <c r="N20" s="165">
        <f t="shared" ref="N20:BS23" si="3">(_xlfn.NORM.DIST((AND(N$9&gt;=$E20,N$9&lt;=$F20)*(N$9-$E20+1)),$G20/2,$H20,TRUE)-_xlfn.NORM.DIST((AND(N$9&gt;=$E20,N$9&lt;=$F20)*(M$9-$E20+1)),$G20/2,$H20,TRUE))/(1-2*_xlfn.NORM.DIST(0,$G20/2,$H20,TRUE))*$C20</f>
        <v>291359.75092958775</v>
      </c>
      <c r="O20" s="165">
        <f t="shared" si="3"/>
        <v>334987.38395222562</v>
      </c>
      <c r="P20" s="165">
        <f t="shared" si="3"/>
        <v>370095.11483145686</v>
      </c>
      <c r="Q20" s="165">
        <f t="shared" si="3"/>
        <v>392902.04032345198</v>
      </c>
      <c r="R20" s="165">
        <f t="shared" si="3"/>
        <v>400812.50228114321</v>
      </c>
      <c r="S20" s="165">
        <f t="shared" si="3"/>
        <v>392902.04032345198</v>
      </c>
      <c r="T20" s="165">
        <f t="shared" si="3"/>
        <v>370095.11483145686</v>
      </c>
      <c r="U20" s="165">
        <f t="shared" si="3"/>
        <v>334987.38395222533</v>
      </c>
      <c r="V20" s="165">
        <f t="shared" si="3"/>
        <v>291359.75092958793</v>
      </c>
      <c r="W20" s="165">
        <f t="shared" si="3"/>
        <v>243509.90882270649</v>
      </c>
      <c r="X20" s="165">
        <f t="shared" si="3"/>
        <v>0</v>
      </c>
      <c r="Y20" s="165">
        <f t="shared" si="3"/>
        <v>0</v>
      </c>
      <c r="Z20" s="165">
        <f t="shared" si="3"/>
        <v>0</v>
      </c>
      <c r="AA20" s="165">
        <f t="shared" si="3"/>
        <v>0</v>
      </c>
      <c r="AB20" s="165">
        <f t="shared" si="3"/>
        <v>0</v>
      </c>
      <c r="AC20" s="165">
        <f t="shared" si="3"/>
        <v>0</v>
      </c>
      <c r="AD20" s="165">
        <f t="shared" si="3"/>
        <v>0</v>
      </c>
      <c r="AE20" s="165">
        <f t="shared" si="3"/>
        <v>0</v>
      </c>
      <c r="AF20" s="165">
        <f t="shared" si="3"/>
        <v>0</v>
      </c>
      <c r="AG20" s="165">
        <f t="shared" si="3"/>
        <v>0</v>
      </c>
      <c r="AH20" s="165">
        <f t="shared" si="3"/>
        <v>0</v>
      </c>
      <c r="AI20" s="165">
        <f t="shared" si="3"/>
        <v>0</v>
      </c>
      <c r="AJ20" s="165">
        <f t="shared" si="3"/>
        <v>0</v>
      </c>
      <c r="AK20" s="165">
        <f t="shared" si="3"/>
        <v>0</v>
      </c>
      <c r="AL20" s="165">
        <f t="shared" si="3"/>
        <v>0</v>
      </c>
      <c r="AM20" s="165">
        <f t="shared" si="3"/>
        <v>0</v>
      </c>
      <c r="AN20" s="165">
        <f t="shared" si="3"/>
        <v>0</v>
      </c>
      <c r="AO20" s="165">
        <f t="shared" si="3"/>
        <v>0</v>
      </c>
      <c r="AP20" s="165">
        <f t="shared" si="3"/>
        <v>0</v>
      </c>
      <c r="AQ20" s="165">
        <f t="shared" si="3"/>
        <v>0</v>
      </c>
      <c r="AR20" s="165">
        <f t="shared" si="3"/>
        <v>0</v>
      </c>
      <c r="AS20" s="165">
        <f t="shared" si="3"/>
        <v>0</v>
      </c>
      <c r="AT20" s="165">
        <f t="shared" si="3"/>
        <v>0</v>
      </c>
      <c r="AU20" s="165">
        <f t="shared" si="3"/>
        <v>0</v>
      </c>
      <c r="AV20" s="165">
        <f t="shared" si="3"/>
        <v>0</v>
      </c>
      <c r="AW20" s="165">
        <f t="shared" si="3"/>
        <v>0</v>
      </c>
      <c r="AX20" s="165">
        <f t="shared" si="3"/>
        <v>0</v>
      </c>
      <c r="AY20" s="165">
        <f t="shared" si="3"/>
        <v>0</v>
      </c>
      <c r="AZ20" s="165">
        <f t="shared" si="3"/>
        <v>0</v>
      </c>
      <c r="BA20" s="165">
        <f t="shared" si="3"/>
        <v>0</v>
      </c>
      <c r="BB20" s="165">
        <f t="shared" si="3"/>
        <v>0</v>
      </c>
      <c r="BC20" s="165">
        <f t="shared" si="3"/>
        <v>0</v>
      </c>
      <c r="BD20" s="165">
        <f t="shared" si="3"/>
        <v>0</v>
      </c>
      <c r="BE20" s="165">
        <f t="shared" si="3"/>
        <v>0</v>
      </c>
      <c r="BF20" s="165">
        <f t="shared" si="3"/>
        <v>0</v>
      </c>
      <c r="BG20" s="165">
        <f t="shared" si="3"/>
        <v>0</v>
      </c>
      <c r="BH20" s="165">
        <f t="shared" si="3"/>
        <v>0</v>
      </c>
      <c r="BI20" s="165">
        <f t="shared" si="3"/>
        <v>0</v>
      </c>
      <c r="BJ20" s="165">
        <f t="shared" si="3"/>
        <v>0</v>
      </c>
      <c r="BK20" s="165">
        <f t="shared" si="3"/>
        <v>0</v>
      </c>
      <c r="BL20" s="165">
        <f t="shared" si="3"/>
        <v>0</v>
      </c>
      <c r="BM20" s="165">
        <f t="shared" si="3"/>
        <v>0</v>
      </c>
      <c r="BN20" s="165">
        <f t="shared" si="3"/>
        <v>0</v>
      </c>
      <c r="BO20" s="165">
        <f t="shared" si="3"/>
        <v>0</v>
      </c>
      <c r="BP20" s="165">
        <f t="shared" si="3"/>
        <v>0</v>
      </c>
      <c r="BQ20" s="165">
        <f t="shared" si="3"/>
        <v>0</v>
      </c>
      <c r="BR20" s="165">
        <f t="shared" si="3"/>
        <v>0</v>
      </c>
      <c r="BS20" s="166">
        <f t="shared" si="3"/>
        <v>0</v>
      </c>
    </row>
    <row r="21" spans="2:71" x14ac:dyDescent="0.3">
      <c r="B21" s="16" t="str">
        <f>Budget!B39</f>
        <v>Construction Monitoring</v>
      </c>
      <c r="C21" s="169">
        <f>Budget!E39</f>
        <v>916630.22500000009</v>
      </c>
      <c r="D21" s="163" t="s">
        <v>162</v>
      </c>
      <c r="E21" s="295">
        <f>Summary!C19</f>
        <v>13</v>
      </c>
      <c r="F21" s="295">
        <f>Summary!E19</f>
        <v>42</v>
      </c>
      <c r="G21" s="296">
        <f>F21-E21+1</f>
        <v>30</v>
      </c>
      <c r="H21" s="293">
        <v>1000000000</v>
      </c>
      <c r="I21" s="296" t="str">
        <f>IF(ROUND(C21,0)=ROUND(SUM(L21:BS21),0),"Ok","Error")</f>
        <v>Ok</v>
      </c>
      <c r="J21" s="2"/>
      <c r="K21" s="1"/>
      <c r="L21" s="165">
        <f>(_xlfn.NORM.DIST((AND(L$9&gt;=$E21,L$9&lt;=$F21)*(L$9-$E21+1)),$G21/2,$H21,TRUE)-_xlfn.NORM.DIST((AND(L$9&gt;=$E21,L$9&lt;=$F21)*(K$9-$E21+1)),$G21/2,$H21,TRUE))/(1-2*_xlfn.NORM.DIST(0,$G21/2,$H21,TRUE))*$C21</f>
        <v>0</v>
      </c>
      <c r="M21" s="165">
        <f>(_xlfn.NORM.DIST((AND(M$9&gt;=$E21,M$9&lt;=$F21)*(M$9-$E21+1)),$G21/2,$H21,TRUE)-_xlfn.NORM.DIST((AND(M$9&gt;=$E21,M$9&lt;=$F21)*(L$9-$E21+1)),$G21/2,$H21,TRUE))/(1-2*_xlfn.NORM.DIST(0,$G21/2,$H21,TRUE))*$C21</f>
        <v>0</v>
      </c>
      <c r="N21" s="165">
        <f t="shared" si="3"/>
        <v>0</v>
      </c>
      <c r="O21" s="165">
        <f t="shared" si="3"/>
        <v>0</v>
      </c>
      <c r="P21" s="165">
        <f t="shared" si="3"/>
        <v>0</v>
      </c>
      <c r="Q21" s="165">
        <f t="shared" si="3"/>
        <v>0</v>
      </c>
      <c r="R21" s="165">
        <f t="shared" si="3"/>
        <v>0</v>
      </c>
      <c r="S21" s="165">
        <f t="shared" si="3"/>
        <v>0</v>
      </c>
      <c r="T21" s="165">
        <f t="shared" si="3"/>
        <v>0</v>
      </c>
      <c r="U21" s="165">
        <f t="shared" si="3"/>
        <v>0</v>
      </c>
      <c r="V21" s="165">
        <f t="shared" si="3"/>
        <v>0</v>
      </c>
      <c r="W21" s="165">
        <f t="shared" si="3"/>
        <v>0</v>
      </c>
      <c r="X21" s="165">
        <f t="shared" si="3"/>
        <v>30554.339983031561</v>
      </c>
      <c r="Y21" s="165">
        <f t="shared" si="3"/>
        <v>30554.339983031561</v>
      </c>
      <c r="Z21" s="165">
        <f t="shared" si="3"/>
        <v>30554.339983031561</v>
      </c>
      <c r="AA21" s="165">
        <f t="shared" si="3"/>
        <v>30554.344234540426</v>
      </c>
      <c r="AB21" s="165">
        <f t="shared" si="3"/>
        <v>30554.339983031561</v>
      </c>
      <c r="AC21" s="165">
        <f t="shared" si="3"/>
        <v>30554.339983031561</v>
      </c>
      <c r="AD21" s="165">
        <f t="shared" si="3"/>
        <v>30554.339983031561</v>
      </c>
      <c r="AE21" s="165">
        <f t="shared" si="3"/>
        <v>30554.339983031561</v>
      </c>
      <c r="AF21" s="165">
        <f t="shared" si="3"/>
        <v>30554.344234540426</v>
      </c>
      <c r="AG21" s="165">
        <f t="shared" si="3"/>
        <v>30554.339983031561</v>
      </c>
      <c r="AH21" s="165">
        <f t="shared" si="3"/>
        <v>30554.339983031561</v>
      </c>
      <c r="AI21" s="165">
        <f t="shared" si="3"/>
        <v>30554.339983031561</v>
      </c>
      <c r="AJ21" s="165">
        <f t="shared" si="3"/>
        <v>30554.344234540426</v>
      </c>
      <c r="AK21" s="165">
        <f t="shared" si="3"/>
        <v>30554.339983031561</v>
      </c>
      <c r="AL21" s="165">
        <f t="shared" si="3"/>
        <v>30554.339983031561</v>
      </c>
      <c r="AM21" s="165">
        <f t="shared" si="3"/>
        <v>30554.335731522704</v>
      </c>
      <c r="AN21" s="165">
        <f t="shared" si="3"/>
        <v>30554.344234540426</v>
      </c>
      <c r="AO21" s="165">
        <f t="shared" si="3"/>
        <v>30554.344234540426</v>
      </c>
      <c r="AP21" s="165">
        <f t="shared" si="3"/>
        <v>30554.335731522704</v>
      </c>
      <c r="AQ21" s="165">
        <f t="shared" si="3"/>
        <v>30554.344234540426</v>
      </c>
      <c r="AR21" s="165">
        <f t="shared" si="3"/>
        <v>30554.344234540426</v>
      </c>
      <c r="AS21" s="165">
        <f t="shared" si="3"/>
        <v>30554.335731522704</v>
      </c>
      <c r="AT21" s="165">
        <f t="shared" si="3"/>
        <v>30554.344234540426</v>
      </c>
      <c r="AU21" s="165">
        <f t="shared" si="3"/>
        <v>30554.344234540426</v>
      </c>
      <c r="AV21" s="165">
        <f t="shared" si="3"/>
        <v>30554.335731522704</v>
      </c>
      <c r="AW21" s="165">
        <f t="shared" si="3"/>
        <v>30554.335731522704</v>
      </c>
      <c r="AX21" s="165">
        <f t="shared" si="3"/>
        <v>30554.352737558143</v>
      </c>
      <c r="AY21" s="165">
        <f t="shared" si="3"/>
        <v>30554.335731522704</v>
      </c>
      <c r="AZ21" s="165">
        <f t="shared" si="3"/>
        <v>30554.335731522704</v>
      </c>
      <c r="BA21" s="165">
        <f t="shared" si="3"/>
        <v>30554.344234540426</v>
      </c>
      <c r="BB21" s="165">
        <f t="shared" si="3"/>
        <v>0</v>
      </c>
      <c r="BC21" s="165">
        <f t="shared" si="3"/>
        <v>0</v>
      </c>
      <c r="BD21" s="165">
        <f t="shared" si="3"/>
        <v>0</v>
      </c>
      <c r="BE21" s="165">
        <f t="shared" si="3"/>
        <v>0</v>
      </c>
      <c r="BF21" s="165">
        <f t="shared" si="3"/>
        <v>0</v>
      </c>
      <c r="BG21" s="165">
        <f t="shared" si="3"/>
        <v>0</v>
      </c>
      <c r="BH21" s="165">
        <f t="shared" si="3"/>
        <v>0</v>
      </c>
      <c r="BI21" s="165">
        <f t="shared" si="3"/>
        <v>0</v>
      </c>
      <c r="BJ21" s="165">
        <f t="shared" si="3"/>
        <v>0</v>
      </c>
      <c r="BK21" s="165">
        <f t="shared" si="3"/>
        <v>0</v>
      </c>
      <c r="BL21" s="165">
        <f t="shared" si="3"/>
        <v>0</v>
      </c>
      <c r="BM21" s="165">
        <f t="shared" si="3"/>
        <v>0</v>
      </c>
      <c r="BN21" s="165">
        <f t="shared" si="3"/>
        <v>0</v>
      </c>
      <c r="BO21" s="165">
        <f t="shared" si="3"/>
        <v>0</v>
      </c>
      <c r="BP21" s="165">
        <f t="shared" si="3"/>
        <v>0</v>
      </c>
      <c r="BQ21" s="165">
        <f t="shared" si="3"/>
        <v>0</v>
      </c>
      <c r="BR21" s="165">
        <f t="shared" si="3"/>
        <v>0</v>
      </c>
      <c r="BS21" s="166">
        <f t="shared" si="3"/>
        <v>0</v>
      </c>
    </row>
    <row r="22" spans="2:71" x14ac:dyDescent="0.3">
      <c r="B22" s="9"/>
      <c r="C22" s="138"/>
      <c r="D22" s="15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4"/>
    </row>
    <row r="23" spans="2:71" x14ac:dyDescent="0.3">
      <c r="B23" s="9" t="str">
        <f>Budget!B41</f>
        <v>Construction</v>
      </c>
      <c r="C23" s="169">
        <f>Budget!E14</f>
        <v>166379940</v>
      </c>
      <c r="D23" s="163" t="s">
        <v>186</v>
      </c>
      <c r="E23" s="295">
        <f>Summary!C19</f>
        <v>13</v>
      </c>
      <c r="F23" s="295">
        <f>Summary!E19</f>
        <v>42</v>
      </c>
      <c r="G23" s="296">
        <f>F23-E23+1</f>
        <v>30</v>
      </c>
      <c r="H23" s="293">
        <v>4</v>
      </c>
      <c r="I23" s="296" t="str">
        <f>IF(ROUND(C23,0)=ROUND(SUM(L23:BS23),0),"Ok","Error")</f>
        <v>Ok</v>
      </c>
      <c r="J23" s="2"/>
      <c r="K23" s="1"/>
      <c r="L23" s="165">
        <f>(_xlfn.NORM.DIST((AND(L$9&gt;=$E23,L$9&lt;=$F23)*(L$9-$E23+1)),$G23/2,$H23,TRUE)-_xlfn.NORM.DIST((AND(L$9&gt;=$E23,L$9&lt;=$F23)*(K$9-$E23+1)),$G23/2,$H23,TRUE))/(1-2*_xlfn.NORM.DIST(0,$G23/2,$H23,TRUE))*$C23</f>
        <v>0</v>
      </c>
      <c r="M23" s="165">
        <f>(_xlfn.NORM.DIST((AND(M$9&gt;=$E23,M$9&lt;=$F23)*(M$9-$E23+1)),$G23/2,$H23,TRUE)-_xlfn.NORM.DIST((AND(M$9&gt;=$E23,M$9&lt;=$F23)*(L$9-$E23+1)),$G23/2,$H23,TRUE))/(1-2*_xlfn.NORM.DIST(0,$G23/2,$H23,TRUE))*$C23</f>
        <v>0</v>
      </c>
      <c r="N23" s="165">
        <f t="shared" si="3"/>
        <v>0</v>
      </c>
      <c r="O23" s="165">
        <f t="shared" si="3"/>
        <v>0</v>
      </c>
      <c r="P23" s="165">
        <f t="shared" si="3"/>
        <v>0</v>
      </c>
      <c r="Q23" s="165">
        <f t="shared" si="3"/>
        <v>0</v>
      </c>
      <c r="R23" s="165">
        <f t="shared" si="3"/>
        <v>0</v>
      </c>
      <c r="S23" s="165">
        <f t="shared" si="3"/>
        <v>0</v>
      </c>
      <c r="T23" s="165">
        <f t="shared" si="3"/>
        <v>0</v>
      </c>
      <c r="U23" s="165">
        <f t="shared" si="3"/>
        <v>0</v>
      </c>
      <c r="V23" s="165">
        <f t="shared" si="3"/>
        <v>0</v>
      </c>
      <c r="W23" s="165">
        <f t="shared" si="3"/>
        <v>0</v>
      </c>
      <c r="X23" s="165">
        <f t="shared" si="3"/>
        <v>23998.193315718698</v>
      </c>
      <c r="Y23" s="165">
        <f t="shared" si="3"/>
        <v>57310.714234818326</v>
      </c>
      <c r="Z23" s="165">
        <f t="shared" si="3"/>
        <v>128613.30485577202</v>
      </c>
      <c r="AA23" s="165">
        <f t="shared" si="3"/>
        <v>271224.83668132656</v>
      </c>
      <c r="AB23" s="165">
        <f t="shared" si="3"/>
        <v>537485.96215934609</v>
      </c>
      <c r="AC23" s="165">
        <f t="shared" si="3"/>
        <v>1000920.2798629595</v>
      </c>
      <c r="AD23" s="165">
        <f t="shared" si="3"/>
        <v>1751568.2994799274</v>
      </c>
      <c r="AE23" s="165">
        <f t="shared" si="3"/>
        <v>2880383.8783680629</v>
      </c>
      <c r="AF23" s="165">
        <f t="shared" si="3"/>
        <v>4451125.1360292844</v>
      </c>
      <c r="AG23" s="165">
        <f t="shared" si="3"/>
        <v>6463767.882641132</v>
      </c>
      <c r="AH23" s="165">
        <f t="shared" si="3"/>
        <v>8820608.4145952966</v>
      </c>
      <c r="AI23" s="165">
        <f t="shared" si="3"/>
        <v>11311193.871130543</v>
      </c>
      <c r="AJ23" s="165">
        <f t="shared" si="3"/>
        <v>13630622.255386021</v>
      </c>
      <c r="AK23" s="165">
        <f t="shared" si="3"/>
        <v>15435489.802485483</v>
      </c>
      <c r="AL23" s="165">
        <f t="shared" si="3"/>
        <v>16425657.16877431</v>
      </c>
      <c r="AM23" s="165">
        <f t="shared" si="3"/>
        <v>16425657.16877431</v>
      </c>
      <c r="AN23" s="165">
        <f t="shared" si="3"/>
        <v>15435489.802485483</v>
      </c>
      <c r="AO23" s="165">
        <f t="shared" si="3"/>
        <v>13630622.255386012</v>
      </c>
      <c r="AP23" s="165">
        <f t="shared" si="3"/>
        <v>11311193.871130556</v>
      </c>
      <c r="AQ23" s="165">
        <f t="shared" si="3"/>
        <v>8820608.4145952947</v>
      </c>
      <c r="AR23" s="165">
        <f t="shared" si="3"/>
        <v>6463767.8826411255</v>
      </c>
      <c r="AS23" s="165">
        <f t="shared" si="3"/>
        <v>4451125.1360292863</v>
      </c>
      <c r="AT23" s="165">
        <f t="shared" si="3"/>
        <v>2880383.8783680624</v>
      </c>
      <c r="AU23" s="165">
        <f t="shared" si="3"/>
        <v>1751568.2994799344</v>
      </c>
      <c r="AV23" s="165">
        <f t="shared" si="3"/>
        <v>1000920.2798629511</v>
      </c>
      <c r="AW23" s="165">
        <f t="shared" si="3"/>
        <v>537485.96215935028</v>
      </c>
      <c r="AX23" s="165">
        <f t="shared" si="3"/>
        <v>271224.83668132493</v>
      </c>
      <c r="AY23" s="165">
        <f t="shared" si="3"/>
        <v>128613.30485577366</v>
      </c>
      <c r="AZ23" s="165">
        <f t="shared" si="3"/>
        <v>57310.714234815867</v>
      </c>
      <c r="BA23" s="165">
        <f t="shared" si="3"/>
        <v>23998.193315719378</v>
      </c>
      <c r="BB23" s="165">
        <f t="shared" si="3"/>
        <v>0</v>
      </c>
      <c r="BC23" s="165">
        <f t="shared" si="3"/>
        <v>0</v>
      </c>
      <c r="BD23" s="165">
        <f t="shared" si="3"/>
        <v>0</v>
      </c>
      <c r="BE23" s="165">
        <f t="shared" si="3"/>
        <v>0</v>
      </c>
      <c r="BF23" s="165">
        <f t="shared" si="3"/>
        <v>0</v>
      </c>
      <c r="BG23" s="165">
        <f t="shared" si="3"/>
        <v>0</v>
      </c>
      <c r="BH23" s="165">
        <f t="shared" si="3"/>
        <v>0</v>
      </c>
      <c r="BI23" s="165">
        <f t="shared" si="3"/>
        <v>0</v>
      </c>
      <c r="BJ23" s="165">
        <f t="shared" si="3"/>
        <v>0</v>
      </c>
      <c r="BK23" s="165">
        <f t="shared" si="3"/>
        <v>0</v>
      </c>
      <c r="BL23" s="165">
        <f t="shared" si="3"/>
        <v>0</v>
      </c>
      <c r="BM23" s="165">
        <f t="shared" si="3"/>
        <v>0</v>
      </c>
      <c r="BN23" s="165">
        <f t="shared" si="3"/>
        <v>0</v>
      </c>
      <c r="BO23" s="165">
        <f t="shared" si="3"/>
        <v>0</v>
      </c>
      <c r="BP23" s="165">
        <f t="shared" si="3"/>
        <v>0</v>
      </c>
      <c r="BQ23" s="165">
        <f t="shared" si="3"/>
        <v>0</v>
      </c>
      <c r="BR23" s="165">
        <f t="shared" si="3"/>
        <v>0</v>
      </c>
      <c r="BS23" s="166">
        <f t="shared" si="3"/>
        <v>0</v>
      </c>
    </row>
    <row r="24" spans="2:71" x14ac:dyDescent="0.3">
      <c r="B24" s="9"/>
      <c r="C24" s="138"/>
      <c r="D24" s="15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4"/>
    </row>
    <row r="25" spans="2:71" x14ac:dyDescent="0.3">
      <c r="B25" s="9" t="str">
        <f>Budget!B45</f>
        <v>Tenant Improvements</v>
      </c>
      <c r="C25" s="169">
        <f>Budget!E15</f>
        <v>15542865</v>
      </c>
      <c r="D25" s="163" t="s">
        <v>163</v>
      </c>
      <c r="E25" s="295">
        <f>Summary!C21</f>
        <v>37</v>
      </c>
      <c r="I25" s="296" t="str">
        <f>IF(ROUND(C25,0)=ROUND(SUM(L25:BS25),0),"Ok","Error")</f>
        <v>Ok</v>
      </c>
      <c r="J25" s="2"/>
      <c r="K25" s="1"/>
      <c r="L25" s="165">
        <f>(L$9=$E25)*$C25</f>
        <v>0</v>
      </c>
      <c r="M25" s="165">
        <f t="shared" ref="M25:BS25" si="4">(M$9=$E25)*$C25</f>
        <v>0</v>
      </c>
      <c r="N25" s="165">
        <f t="shared" si="4"/>
        <v>0</v>
      </c>
      <c r="O25" s="165">
        <f t="shared" si="4"/>
        <v>0</v>
      </c>
      <c r="P25" s="165">
        <f t="shared" si="4"/>
        <v>0</v>
      </c>
      <c r="Q25" s="165">
        <f t="shared" si="4"/>
        <v>0</v>
      </c>
      <c r="R25" s="165">
        <f t="shared" si="4"/>
        <v>0</v>
      </c>
      <c r="S25" s="165">
        <f t="shared" si="4"/>
        <v>0</v>
      </c>
      <c r="T25" s="165">
        <f t="shared" si="4"/>
        <v>0</v>
      </c>
      <c r="U25" s="165">
        <f t="shared" si="4"/>
        <v>0</v>
      </c>
      <c r="V25" s="165">
        <f t="shared" si="4"/>
        <v>0</v>
      </c>
      <c r="W25" s="165">
        <f t="shared" si="4"/>
        <v>0</v>
      </c>
      <c r="X25" s="165">
        <f t="shared" si="4"/>
        <v>0</v>
      </c>
      <c r="Y25" s="165">
        <f t="shared" si="4"/>
        <v>0</v>
      </c>
      <c r="Z25" s="165">
        <f t="shared" si="4"/>
        <v>0</v>
      </c>
      <c r="AA25" s="165">
        <f t="shared" si="4"/>
        <v>0</v>
      </c>
      <c r="AB25" s="165">
        <f t="shared" si="4"/>
        <v>0</v>
      </c>
      <c r="AC25" s="165">
        <f t="shared" si="4"/>
        <v>0</v>
      </c>
      <c r="AD25" s="165">
        <f t="shared" si="4"/>
        <v>0</v>
      </c>
      <c r="AE25" s="165">
        <f t="shared" si="4"/>
        <v>0</v>
      </c>
      <c r="AF25" s="165">
        <f t="shared" si="4"/>
        <v>0</v>
      </c>
      <c r="AG25" s="165">
        <f t="shared" si="4"/>
        <v>0</v>
      </c>
      <c r="AH25" s="165">
        <f t="shared" si="4"/>
        <v>0</v>
      </c>
      <c r="AI25" s="165">
        <f t="shared" si="4"/>
        <v>0</v>
      </c>
      <c r="AJ25" s="165">
        <f t="shared" si="4"/>
        <v>0</v>
      </c>
      <c r="AK25" s="165">
        <f t="shared" si="4"/>
        <v>0</v>
      </c>
      <c r="AL25" s="165">
        <f t="shared" si="4"/>
        <v>0</v>
      </c>
      <c r="AM25" s="165">
        <f t="shared" si="4"/>
        <v>0</v>
      </c>
      <c r="AN25" s="165">
        <f t="shared" si="4"/>
        <v>0</v>
      </c>
      <c r="AO25" s="165">
        <f t="shared" si="4"/>
        <v>0</v>
      </c>
      <c r="AP25" s="165">
        <f t="shared" si="4"/>
        <v>0</v>
      </c>
      <c r="AQ25" s="165">
        <f t="shared" si="4"/>
        <v>0</v>
      </c>
      <c r="AR25" s="165">
        <f t="shared" si="4"/>
        <v>0</v>
      </c>
      <c r="AS25" s="165">
        <f t="shared" si="4"/>
        <v>0</v>
      </c>
      <c r="AT25" s="165">
        <f t="shared" si="4"/>
        <v>0</v>
      </c>
      <c r="AU25" s="165">
        <f t="shared" si="4"/>
        <v>0</v>
      </c>
      <c r="AV25" s="165">
        <f t="shared" si="4"/>
        <v>15542865</v>
      </c>
      <c r="AW25" s="165">
        <f t="shared" si="4"/>
        <v>0</v>
      </c>
      <c r="AX25" s="165">
        <f t="shared" si="4"/>
        <v>0</v>
      </c>
      <c r="AY25" s="165">
        <f t="shared" si="4"/>
        <v>0</v>
      </c>
      <c r="AZ25" s="165">
        <f t="shared" si="4"/>
        <v>0</v>
      </c>
      <c r="BA25" s="165">
        <f t="shared" si="4"/>
        <v>0</v>
      </c>
      <c r="BB25" s="165">
        <f t="shared" si="4"/>
        <v>0</v>
      </c>
      <c r="BC25" s="165">
        <f t="shared" si="4"/>
        <v>0</v>
      </c>
      <c r="BD25" s="165">
        <f t="shared" si="4"/>
        <v>0</v>
      </c>
      <c r="BE25" s="165">
        <f t="shared" si="4"/>
        <v>0</v>
      </c>
      <c r="BF25" s="165">
        <f t="shared" si="4"/>
        <v>0</v>
      </c>
      <c r="BG25" s="165">
        <f t="shared" si="4"/>
        <v>0</v>
      </c>
      <c r="BH25" s="165">
        <f t="shared" si="4"/>
        <v>0</v>
      </c>
      <c r="BI25" s="165">
        <f t="shared" si="4"/>
        <v>0</v>
      </c>
      <c r="BJ25" s="165">
        <f t="shared" si="4"/>
        <v>0</v>
      </c>
      <c r="BK25" s="165">
        <f t="shared" si="4"/>
        <v>0</v>
      </c>
      <c r="BL25" s="165">
        <f t="shared" si="4"/>
        <v>0</v>
      </c>
      <c r="BM25" s="165">
        <f t="shared" si="4"/>
        <v>0</v>
      </c>
      <c r="BN25" s="165">
        <f t="shared" si="4"/>
        <v>0</v>
      </c>
      <c r="BO25" s="165">
        <f t="shared" si="4"/>
        <v>0</v>
      </c>
      <c r="BP25" s="165">
        <f t="shared" si="4"/>
        <v>0</v>
      </c>
      <c r="BQ25" s="165">
        <f t="shared" si="4"/>
        <v>0</v>
      </c>
      <c r="BR25" s="165">
        <f t="shared" si="4"/>
        <v>0</v>
      </c>
      <c r="BS25" s="166">
        <f t="shared" si="4"/>
        <v>0</v>
      </c>
    </row>
    <row r="26" spans="2:71" x14ac:dyDescent="0.3">
      <c r="B26" s="9"/>
      <c r="C26" s="138"/>
      <c r="D26" s="15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4"/>
    </row>
    <row r="27" spans="2:71" x14ac:dyDescent="0.3">
      <c r="B27" s="9" t="str">
        <f>Budget!B47</f>
        <v>Permits &amp; City Fees</v>
      </c>
      <c r="C27" s="169">
        <f>Budget!E16</f>
        <v>1636839.6875</v>
      </c>
      <c r="D27" s="163" t="s">
        <v>161</v>
      </c>
      <c r="E27" s="412">
        <v>4</v>
      </c>
      <c r="F27" s="297">
        <f>E27+8</f>
        <v>12</v>
      </c>
      <c r="I27" s="296" t="str">
        <f>IF(ROUND(C27,0)=ROUND(SUM(L27:BS27),0),"Ok","Error")</f>
        <v>Ok</v>
      </c>
      <c r="J27" s="2"/>
      <c r="K27" s="1"/>
      <c r="L27" s="165">
        <f>(L9=$E$27)*($C$27*$E$28)+(L9=$F$27)*($C$27*$F$28)</f>
        <v>0</v>
      </c>
      <c r="M27" s="165">
        <f t="shared" ref="M27:BS27" si="5">(M9=$E$27)*($C$27*$E$28)+(M9=$F$27)*($C$27*$F$28)</f>
        <v>0</v>
      </c>
      <c r="N27" s="165">
        <f t="shared" si="5"/>
        <v>0</v>
      </c>
      <c r="O27" s="165">
        <f t="shared" si="5"/>
        <v>982103.8125</v>
      </c>
      <c r="P27" s="165">
        <f t="shared" si="5"/>
        <v>0</v>
      </c>
      <c r="Q27" s="165">
        <f t="shared" si="5"/>
        <v>0</v>
      </c>
      <c r="R27" s="165">
        <f t="shared" si="5"/>
        <v>0</v>
      </c>
      <c r="S27" s="165">
        <f t="shared" si="5"/>
        <v>0</v>
      </c>
      <c r="T27" s="165">
        <f t="shared" si="5"/>
        <v>0</v>
      </c>
      <c r="U27" s="165">
        <f t="shared" si="5"/>
        <v>0</v>
      </c>
      <c r="V27" s="165">
        <f t="shared" si="5"/>
        <v>0</v>
      </c>
      <c r="W27" s="165">
        <f t="shared" si="5"/>
        <v>654735.875</v>
      </c>
      <c r="X27" s="165">
        <f t="shared" si="5"/>
        <v>0</v>
      </c>
      <c r="Y27" s="165">
        <f t="shared" si="5"/>
        <v>0</v>
      </c>
      <c r="Z27" s="165">
        <f t="shared" si="5"/>
        <v>0</v>
      </c>
      <c r="AA27" s="165">
        <f t="shared" si="5"/>
        <v>0</v>
      </c>
      <c r="AB27" s="165">
        <f t="shared" si="5"/>
        <v>0</v>
      </c>
      <c r="AC27" s="165">
        <f t="shared" si="5"/>
        <v>0</v>
      </c>
      <c r="AD27" s="165">
        <f t="shared" si="5"/>
        <v>0</v>
      </c>
      <c r="AE27" s="165">
        <f t="shared" si="5"/>
        <v>0</v>
      </c>
      <c r="AF27" s="165">
        <f t="shared" si="5"/>
        <v>0</v>
      </c>
      <c r="AG27" s="165">
        <f t="shared" si="5"/>
        <v>0</v>
      </c>
      <c r="AH27" s="165">
        <f t="shared" si="5"/>
        <v>0</v>
      </c>
      <c r="AI27" s="165">
        <f t="shared" si="5"/>
        <v>0</v>
      </c>
      <c r="AJ27" s="165">
        <f t="shared" si="5"/>
        <v>0</v>
      </c>
      <c r="AK27" s="165">
        <f t="shared" si="5"/>
        <v>0</v>
      </c>
      <c r="AL27" s="165">
        <f t="shared" si="5"/>
        <v>0</v>
      </c>
      <c r="AM27" s="165">
        <f t="shared" si="5"/>
        <v>0</v>
      </c>
      <c r="AN27" s="165">
        <f t="shared" si="5"/>
        <v>0</v>
      </c>
      <c r="AO27" s="165">
        <f t="shared" si="5"/>
        <v>0</v>
      </c>
      <c r="AP27" s="165">
        <f t="shared" si="5"/>
        <v>0</v>
      </c>
      <c r="AQ27" s="165">
        <f t="shared" si="5"/>
        <v>0</v>
      </c>
      <c r="AR27" s="165">
        <f t="shared" si="5"/>
        <v>0</v>
      </c>
      <c r="AS27" s="165">
        <f t="shared" si="5"/>
        <v>0</v>
      </c>
      <c r="AT27" s="165">
        <f t="shared" si="5"/>
        <v>0</v>
      </c>
      <c r="AU27" s="165">
        <f t="shared" si="5"/>
        <v>0</v>
      </c>
      <c r="AV27" s="165">
        <f t="shared" si="5"/>
        <v>0</v>
      </c>
      <c r="AW27" s="165">
        <f t="shared" si="5"/>
        <v>0</v>
      </c>
      <c r="AX27" s="165">
        <f t="shared" si="5"/>
        <v>0</v>
      </c>
      <c r="AY27" s="165">
        <f t="shared" si="5"/>
        <v>0</v>
      </c>
      <c r="AZ27" s="165">
        <f t="shared" si="5"/>
        <v>0</v>
      </c>
      <c r="BA27" s="165">
        <f t="shared" si="5"/>
        <v>0</v>
      </c>
      <c r="BB27" s="165">
        <f t="shared" si="5"/>
        <v>0</v>
      </c>
      <c r="BC27" s="165">
        <f t="shared" si="5"/>
        <v>0</v>
      </c>
      <c r="BD27" s="165">
        <f t="shared" si="5"/>
        <v>0</v>
      </c>
      <c r="BE27" s="165">
        <f t="shared" si="5"/>
        <v>0</v>
      </c>
      <c r="BF27" s="165">
        <f t="shared" si="5"/>
        <v>0</v>
      </c>
      <c r="BG27" s="165">
        <f t="shared" si="5"/>
        <v>0</v>
      </c>
      <c r="BH27" s="165">
        <f t="shared" si="5"/>
        <v>0</v>
      </c>
      <c r="BI27" s="165">
        <f t="shared" si="5"/>
        <v>0</v>
      </c>
      <c r="BJ27" s="165">
        <f t="shared" si="5"/>
        <v>0</v>
      </c>
      <c r="BK27" s="165">
        <f t="shared" si="5"/>
        <v>0</v>
      </c>
      <c r="BL27" s="165">
        <f t="shared" si="5"/>
        <v>0</v>
      </c>
      <c r="BM27" s="165">
        <f t="shared" si="5"/>
        <v>0</v>
      </c>
      <c r="BN27" s="165">
        <f t="shared" si="5"/>
        <v>0</v>
      </c>
      <c r="BO27" s="165">
        <f t="shared" si="5"/>
        <v>0</v>
      </c>
      <c r="BP27" s="165">
        <f t="shared" si="5"/>
        <v>0</v>
      </c>
      <c r="BQ27" s="165">
        <f t="shared" si="5"/>
        <v>0</v>
      </c>
      <c r="BR27" s="165">
        <f t="shared" si="5"/>
        <v>0</v>
      </c>
      <c r="BS27" s="166">
        <f t="shared" si="5"/>
        <v>0</v>
      </c>
    </row>
    <row r="28" spans="2:71" x14ac:dyDescent="0.3">
      <c r="B28" s="9"/>
      <c r="C28" s="138"/>
      <c r="D28" s="158"/>
      <c r="E28" s="414">
        <v>0.6</v>
      </c>
      <c r="F28" s="415">
        <f>1-E28</f>
        <v>0.4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4"/>
    </row>
    <row r="29" spans="2:71" x14ac:dyDescent="0.3">
      <c r="B29" s="9"/>
      <c r="C29" s="138"/>
      <c r="D29" s="158"/>
      <c r="E29" s="426"/>
      <c r="F29" s="426"/>
      <c r="G29" s="426"/>
      <c r="H29" s="4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4"/>
    </row>
    <row r="30" spans="2:71" x14ac:dyDescent="0.3">
      <c r="B30" s="9" t="str">
        <f>Budget!B49</f>
        <v>Taxes</v>
      </c>
      <c r="C30" s="169">
        <f>SUM(L30:BS30)</f>
        <v>10462654.63362</v>
      </c>
      <c r="D30" s="163" t="s">
        <v>161</v>
      </c>
      <c r="E30" s="413">
        <f>Budget!C49</f>
        <v>1.7350000000000001E-2</v>
      </c>
      <c r="I30" s="296" t="str">
        <f>IF(ROUND(C30,0)=ROUND(SUM(L30:BS30),0),"Ok","Error")</f>
        <v>Ok</v>
      </c>
      <c r="J30" s="2"/>
      <c r="K30" s="1"/>
      <c r="L30" s="165">
        <f>AND(MONTH(L10)=3,L9&lt;=Summary!$C$22)*(($K$13+SUM(MonthlyCF!$K$23:K23))*MonthlyCF!$E$30)</f>
        <v>0</v>
      </c>
      <c r="M30" s="165">
        <f>AND(MONTH(M10)=3,M9&lt;=Summary!$C$22)*(($K$13+SUM(MonthlyCF!$K$23:L23))*MonthlyCF!$E$30)</f>
        <v>0</v>
      </c>
      <c r="N30" s="165">
        <f>AND(MONTH(N10)=3,N9&lt;=Summary!$C$22)*(($K$13+SUM(MonthlyCF!$K$23:M23))*MonthlyCF!$E$30)</f>
        <v>0</v>
      </c>
      <c r="O30" s="165">
        <f>AND(MONTH(O10)=3,O9&lt;=Summary!$C$22)*(($K$13+SUM(MonthlyCF!$K$23:N23))*MonthlyCF!$E$30)</f>
        <v>0</v>
      </c>
      <c r="P30" s="165">
        <f>AND(MONTH(P10)=3,P9&lt;=Summary!$C$22)*(($K$13+SUM(MonthlyCF!$K$23:O23))*MonthlyCF!$E$30)</f>
        <v>0</v>
      </c>
      <c r="Q30" s="165">
        <f>AND(MONTH(Q10)=3,Q9&lt;=Summary!$C$22)*(($K$13+SUM(MonthlyCF!$K$23:P23))*MonthlyCF!$E$30)</f>
        <v>0</v>
      </c>
      <c r="R30" s="165">
        <f>AND(MONTH(R10)=3,R9&lt;=Summary!$C$22)*(($K$13+SUM(MonthlyCF!$K$23:Q23))*MonthlyCF!$E$30)</f>
        <v>0</v>
      </c>
      <c r="S30" s="165">
        <f>AND(MONTH(S10)=3,S9&lt;=Summary!$C$22)*(($K$13+SUM(MonthlyCF!$K$23:R23))*MonthlyCF!$E$30)</f>
        <v>0</v>
      </c>
      <c r="T30" s="165">
        <f>AND(MONTH(T10)=3,T9&lt;=Summary!$C$22)*(($K$13+SUM(MonthlyCF!$K$23:S23))*MonthlyCF!$E$30)</f>
        <v>0</v>
      </c>
      <c r="U30" s="165">
        <f>AND(MONTH(U10)=3,U9&lt;=Summary!$C$22)*(($K$13+SUM(MonthlyCF!$K$23:T23))*MonthlyCF!$E$30)</f>
        <v>1172317.678905</v>
      </c>
      <c r="V30" s="165">
        <f>AND(MONTH(V10)=3,V9&lt;=Summary!$C$22)*(($K$13+SUM(MonthlyCF!$K$23:U23))*MonthlyCF!$E$30)</f>
        <v>0</v>
      </c>
      <c r="W30" s="165">
        <f>AND(MONTH(W10)=3,W9&lt;=Summary!$C$22)*(($K$13+SUM(MonthlyCF!$K$23:V23))*MonthlyCF!$E$30)</f>
        <v>0</v>
      </c>
      <c r="X30" s="165">
        <f>AND(MONTH(X10)=3,X9&lt;=Summary!$C$22)*(($K$13+SUM(MonthlyCF!$K$23:W23))*MonthlyCF!$E$30)</f>
        <v>0</v>
      </c>
      <c r="Y30" s="165">
        <f>AND(MONTH(Y10)=3,Y9&lt;=Summary!$C$22)*(($K$13+SUM(MonthlyCF!$K$23:X23))*MonthlyCF!$E$30)</f>
        <v>0</v>
      </c>
      <c r="Z30" s="165">
        <f>AND(MONTH(Z10)=3,Z9&lt;=Summary!$C$22)*(($K$13+SUM(MonthlyCF!$K$23:Y23))*MonthlyCF!$E$30)</f>
        <v>0</v>
      </c>
      <c r="AA30" s="165">
        <f>AND(MONTH(AA10)=3,AA9&lt;=Summary!$C$22)*(($K$13+SUM(MonthlyCF!$K$23:Z23))*MonthlyCF!$E$30)</f>
        <v>0</v>
      </c>
      <c r="AB30" s="165">
        <f>AND(MONTH(AB10)=3,AB9&lt;=Summary!$C$22)*(($K$13+SUM(MonthlyCF!$K$23:AA23))*MonthlyCF!$E$30)</f>
        <v>0</v>
      </c>
      <c r="AC30" s="165">
        <f>AND(MONTH(AC10)=3,AC9&lt;=Summary!$C$22)*(($K$13+SUM(MonthlyCF!$K$23:AB23))*MonthlyCF!$E$30)</f>
        <v>0</v>
      </c>
      <c r="AD30" s="165">
        <f>AND(MONTH(AD10)=3,AD9&lt;=Summary!$C$22)*(($K$13+SUM(MonthlyCF!$K$23:AC23))*MonthlyCF!$E$30)</f>
        <v>0</v>
      </c>
      <c r="AE30" s="165">
        <f>AND(MONTH(AE10)=3,AE9&lt;=Summary!$C$22)*(($K$13+SUM(MonthlyCF!$K$23:AD23))*MonthlyCF!$E$30)</f>
        <v>0</v>
      </c>
      <c r="AF30" s="165">
        <f>AND(MONTH(AF10)=3,AF9&lt;=Summary!$C$22)*(($K$13+SUM(MonthlyCF!$K$23:AE23))*MonthlyCF!$E$30)</f>
        <v>0</v>
      </c>
      <c r="AG30" s="165">
        <f>AND(MONTH(AG10)=3,AG9&lt;=Summary!$C$22)*(($K$13+SUM(MonthlyCF!$K$23:AF23))*MonthlyCF!$E$30)</f>
        <v>1364948.3199015283</v>
      </c>
      <c r="AH30" s="165">
        <f>AND(MONTH(AH10)=3,AH9&lt;=Summary!$C$22)*(($K$13+SUM(MonthlyCF!$K$23:AG23))*MonthlyCF!$E$30)</f>
        <v>0</v>
      </c>
      <c r="AI30" s="165">
        <f>AND(MONTH(AI10)=3,AI9&lt;=Summary!$C$22)*(($K$13+SUM(MonthlyCF!$K$23:AH23))*MonthlyCF!$E$30)</f>
        <v>0</v>
      </c>
      <c r="AJ30" s="165">
        <f>AND(MONTH(AJ10)=3,AJ9&lt;=Summary!$C$22)*(($K$13+SUM(MonthlyCF!$K$23:AI23))*MonthlyCF!$E$30)</f>
        <v>0</v>
      </c>
      <c r="AK30" s="165">
        <f>AND(MONTH(AK10)=3,AK9&lt;=Summary!$C$22)*(($K$13+SUM(MonthlyCF!$K$23:AJ23))*MonthlyCF!$E$30)</f>
        <v>0</v>
      </c>
      <c r="AL30" s="165">
        <f>AND(MONTH(AL10)=3,AL9&lt;=Summary!$C$22)*(($K$13+SUM(MonthlyCF!$K$23:AK23))*MonthlyCF!$E$30)</f>
        <v>0</v>
      </c>
      <c r="AM30" s="165">
        <f>AND(MONTH(AM10)=3,AM9&lt;=Summary!$C$22)*(($K$13+SUM(MonthlyCF!$K$23:AL23))*MonthlyCF!$E$30)</f>
        <v>0</v>
      </c>
      <c r="AN30" s="165">
        <f>AND(MONTH(AN10)=3,AN9&lt;=Summary!$C$22)*(($K$13+SUM(MonthlyCF!$K$23:AM23))*MonthlyCF!$E$30)</f>
        <v>0</v>
      </c>
      <c r="AO30" s="165">
        <f>AND(MONTH(AO10)=3,AO9&lt;=Summary!$C$22)*(($K$13+SUM(MonthlyCF!$K$23:AN23))*MonthlyCF!$E$30)</f>
        <v>0</v>
      </c>
      <c r="AP30" s="165">
        <f>AND(MONTH(AP10)=3,AP9&lt;=Summary!$C$22)*(($K$13+SUM(MonthlyCF!$K$23:AO23))*MonthlyCF!$E$30)</f>
        <v>0</v>
      </c>
      <c r="AQ30" s="165">
        <f>AND(MONTH(AQ10)=3,AQ9&lt;=Summary!$C$22)*(($K$13+SUM(MonthlyCF!$K$23:AP23))*MonthlyCF!$E$30)</f>
        <v>0</v>
      </c>
      <c r="AR30" s="165">
        <f>AND(MONTH(AR10)=3,AR9&lt;=Summary!$C$22)*(($K$13+SUM(MonthlyCF!$K$23:AQ23))*MonthlyCF!$E$30)</f>
        <v>0</v>
      </c>
      <c r="AS30" s="165">
        <f>AND(MONTH(AS10)=3,AS9&lt;=Summary!$C$22)*(($K$13+SUM(MonthlyCF!$K$23:AR23))*MonthlyCF!$E$30)</f>
        <v>3866378.9969084724</v>
      </c>
      <c r="AT30" s="165">
        <f>AND(MONTH(AT10)=3,AT9&lt;=Summary!$C$22)*(($K$13+SUM(MonthlyCF!$K$23:AS23))*MonthlyCF!$E$30)</f>
        <v>0</v>
      </c>
      <c r="AU30" s="165">
        <f>AND(MONTH(AU10)=3,AU9&lt;=Summary!$C$22)*(($K$13+SUM(MonthlyCF!$K$23:AT23))*MonthlyCF!$E$30)</f>
        <v>0</v>
      </c>
      <c r="AV30" s="165">
        <f>AND(MONTH(AV10)=3,AV9&lt;=Summary!$C$22)*(($K$13+SUM(MonthlyCF!$K$23:AU23))*MonthlyCF!$E$30)</f>
        <v>0</v>
      </c>
      <c r="AW30" s="165">
        <f>AND(MONTH(AW10)=3,AW9&lt;=Summary!$C$22)*(($K$13+SUM(MonthlyCF!$K$23:AV23))*MonthlyCF!$E$30)</f>
        <v>0</v>
      </c>
      <c r="AX30" s="165">
        <f>AND(MONTH(AX10)=3,AX9&lt;=Summary!$C$22)*(($K$13+SUM(MonthlyCF!$K$23:AW23))*MonthlyCF!$E$30)</f>
        <v>0</v>
      </c>
      <c r="AY30" s="165">
        <f>AND(MONTH(AY10)=3,AY9&lt;=Summary!$C$22)*(($K$13+SUM(MonthlyCF!$K$23:AX23))*MonthlyCF!$E$30)</f>
        <v>0</v>
      </c>
      <c r="AZ30" s="165">
        <f>AND(MONTH(AZ10)=3,AZ9&lt;=Summary!$C$22)*(($K$13+SUM(MonthlyCF!$K$23:AY23))*MonthlyCF!$E$30)</f>
        <v>0</v>
      </c>
      <c r="BA30" s="165">
        <f>AND(MONTH(BA10)=3,BA9&lt;=Summary!$C$22)*(($K$13+SUM(MonthlyCF!$K$23:AZ23))*MonthlyCF!$E$30)</f>
        <v>0</v>
      </c>
      <c r="BB30" s="165">
        <f>AND(MONTH(BB10)=3,BB9&lt;=Summary!$C$22)*(($K$13+SUM(MonthlyCF!$K$23:BA23))*MonthlyCF!$E$30)</f>
        <v>0</v>
      </c>
      <c r="BC30" s="165">
        <f>AND(MONTH(BC10)=3,BC9&lt;=Summary!$C$22)*(($K$13+SUM(MonthlyCF!$K$23:BB23))*MonthlyCF!$E$30)</f>
        <v>0</v>
      </c>
      <c r="BD30" s="165">
        <f>AND(MONTH(BD10)=3,BD9&lt;=Summary!$C$22)*(($K$13+SUM(MonthlyCF!$K$23:BC23))*MonthlyCF!$E$30)</f>
        <v>0</v>
      </c>
      <c r="BE30" s="165">
        <f>AND(MONTH(BE10)=3,BE9&lt;=Summary!$C$22)*(($K$13+SUM(MonthlyCF!$K$23:BD23))*MonthlyCF!$E$30)</f>
        <v>4059009.6379049993</v>
      </c>
      <c r="BF30" s="165">
        <f>AND(MONTH(BF10)=3,BF9&lt;=Summary!$C$22)*(($K$13+SUM(MonthlyCF!$K$23:BE23))*MonthlyCF!$E$30)</f>
        <v>0</v>
      </c>
      <c r="BG30" s="165">
        <f>AND(MONTH(BG10)=3,BG9&lt;=Summary!$C$22)*(($K$13+SUM(MonthlyCF!$K$23:BF23))*MonthlyCF!$E$30)</f>
        <v>0</v>
      </c>
      <c r="BH30" s="165">
        <f>AND(MONTH(BH10)=3,BH9&lt;=Summary!$C$22)*(($K$13+SUM(MonthlyCF!$K$23:BG23))*MonthlyCF!$E$30)</f>
        <v>0</v>
      </c>
      <c r="BI30" s="165">
        <f>AND(MONTH(BI10)=3,BI9&lt;=Summary!$C$22)*(($K$13+SUM(MonthlyCF!$K$23:BH23))*MonthlyCF!$E$30)</f>
        <v>0</v>
      </c>
      <c r="BJ30" s="165">
        <f>AND(MONTH(BJ10)=3,BJ9&lt;=Summary!$C$22)*(($K$13+SUM(MonthlyCF!$K$23:BI23))*MonthlyCF!$E$30)</f>
        <v>0</v>
      </c>
      <c r="BK30" s="165">
        <f>AND(MONTH(BK10)=3,BK9&lt;=Summary!$C$22)*(($K$13+SUM(MonthlyCF!$K$23:BJ23))*MonthlyCF!$E$30)</f>
        <v>0</v>
      </c>
      <c r="BL30" s="165">
        <f>AND(MONTH(BL10)=3,BL9&lt;=Summary!$C$22)*(($K$13+SUM(MonthlyCF!$K$23:BK23))*MonthlyCF!$E$30)</f>
        <v>0</v>
      </c>
      <c r="BM30" s="165">
        <f>AND(MONTH(BM10)=3,BM9&lt;=Summary!$C$22)*(($K$13+SUM(MonthlyCF!$K$23:BL23))*MonthlyCF!$E$30)</f>
        <v>0</v>
      </c>
      <c r="BN30" s="165">
        <f>AND(MONTH(BN10)=3,BN9&lt;=Summary!$C$22)*(($K$13+SUM(MonthlyCF!$K$23:BM23))*MonthlyCF!$E$30)</f>
        <v>0</v>
      </c>
      <c r="BO30" s="165">
        <f>AND(MONTH(BO10)=3,BO9&lt;=Summary!$C$22)*(($K$13+SUM(MonthlyCF!$K$23:BN23))*MonthlyCF!$E$30)</f>
        <v>0</v>
      </c>
      <c r="BP30" s="165">
        <f>AND(MONTH(BP10)=3,BP9&lt;=Summary!$C$22)*(($K$13+SUM(MonthlyCF!$K$23:BO23))*MonthlyCF!$E$30)</f>
        <v>0</v>
      </c>
      <c r="BQ30" s="165">
        <f>AND(MONTH(BQ10)=3,BQ9&lt;=Summary!$C$22)*(($K$13+SUM(MonthlyCF!$K$23:BP23))*MonthlyCF!$E$30)</f>
        <v>0</v>
      </c>
      <c r="BR30" s="165">
        <f>AND(MONTH(BR10)=3,BR9&lt;=Summary!$C$22)*(($K$13+SUM(MonthlyCF!$K$23:BQ23))*MonthlyCF!$E$30)</f>
        <v>0</v>
      </c>
      <c r="BS30" s="166">
        <f>AND(MONTH(BS10)=3,BS9&lt;=Summary!$C$22)*(($K$13+SUM(MonthlyCF!$K$23:BR23))*MonthlyCF!$E$30)</f>
        <v>0</v>
      </c>
    </row>
    <row r="31" spans="2:71" x14ac:dyDescent="0.3">
      <c r="B31" s="9"/>
      <c r="C31" s="138"/>
      <c r="D31" s="158"/>
      <c r="E31" s="425"/>
      <c r="F31" s="425"/>
      <c r="G31" s="425"/>
      <c r="H31" s="4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4"/>
    </row>
    <row r="32" spans="2:71" x14ac:dyDescent="0.3">
      <c r="B32" s="9" t="str">
        <f>Budget!B51</f>
        <v>Leasing and Marketing</v>
      </c>
      <c r="C32" s="138"/>
      <c r="D32" s="15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4"/>
    </row>
    <row r="33" spans="2:71" x14ac:dyDescent="0.3">
      <c r="B33" s="16" t="str">
        <f>Budget!B52</f>
        <v>Leasing Commissions</v>
      </c>
      <c r="C33" s="169">
        <f>Budget!E52</f>
        <v>3927025.2104608887</v>
      </c>
      <c r="D33" s="163" t="s">
        <v>163</v>
      </c>
      <c r="E33" s="295">
        <f>E25</f>
        <v>37</v>
      </c>
      <c r="I33" s="296" t="str">
        <f>IF(ROUND(C33,0)=ROUND(SUM(L33:BS33),0),"Ok","Error")</f>
        <v>Ok</v>
      </c>
      <c r="J33" s="2"/>
      <c r="K33" s="1"/>
      <c r="L33" s="165">
        <f>(L$9=$E33)*$C33</f>
        <v>0</v>
      </c>
      <c r="M33" s="165">
        <f t="shared" ref="M33:BS33" si="6">(M$9=$E33)*$C33</f>
        <v>0</v>
      </c>
      <c r="N33" s="165">
        <f t="shared" si="6"/>
        <v>0</v>
      </c>
      <c r="O33" s="165">
        <f t="shared" si="6"/>
        <v>0</v>
      </c>
      <c r="P33" s="165">
        <f t="shared" si="6"/>
        <v>0</v>
      </c>
      <c r="Q33" s="165">
        <f t="shared" si="6"/>
        <v>0</v>
      </c>
      <c r="R33" s="165">
        <f t="shared" si="6"/>
        <v>0</v>
      </c>
      <c r="S33" s="165">
        <f t="shared" si="6"/>
        <v>0</v>
      </c>
      <c r="T33" s="165">
        <f t="shared" si="6"/>
        <v>0</v>
      </c>
      <c r="U33" s="165">
        <f t="shared" si="6"/>
        <v>0</v>
      </c>
      <c r="V33" s="165">
        <f t="shared" si="6"/>
        <v>0</v>
      </c>
      <c r="W33" s="165">
        <f t="shared" si="6"/>
        <v>0</v>
      </c>
      <c r="X33" s="165">
        <f t="shared" si="6"/>
        <v>0</v>
      </c>
      <c r="Y33" s="165">
        <f t="shared" si="6"/>
        <v>0</v>
      </c>
      <c r="Z33" s="165">
        <f t="shared" si="6"/>
        <v>0</v>
      </c>
      <c r="AA33" s="165">
        <f t="shared" si="6"/>
        <v>0</v>
      </c>
      <c r="AB33" s="165">
        <f t="shared" si="6"/>
        <v>0</v>
      </c>
      <c r="AC33" s="165">
        <f t="shared" si="6"/>
        <v>0</v>
      </c>
      <c r="AD33" s="165">
        <f t="shared" si="6"/>
        <v>0</v>
      </c>
      <c r="AE33" s="165">
        <f t="shared" si="6"/>
        <v>0</v>
      </c>
      <c r="AF33" s="165">
        <f t="shared" si="6"/>
        <v>0</v>
      </c>
      <c r="AG33" s="165">
        <f t="shared" si="6"/>
        <v>0</v>
      </c>
      <c r="AH33" s="165">
        <f t="shared" si="6"/>
        <v>0</v>
      </c>
      <c r="AI33" s="165">
        <f t="shared" si="6"/>
        <v>0</v>
      </c>
      <c r="AJ33" s="165">
        <f t="shared" si="6"/>
        <v>0</v>
      </c>
      <c r="AK33" s="165">
        <f t="shared" si="6"/>
        <v>0</v>
      </c>
      <c r="AL33" s="165">
        <f t="shared" si="6"/>
        <v>0</v>
      </c>
      <c r="AM33" s="165">
        <f t="shared" si="6"/>
        <v>0</v>
      </c>
      <c r="AN33" s="165">
        <f t="shared" si="6"/>
        <v>0</v>
      </c>
      <c r="AO33" s="165">
        <f t="shared" si="6"/>
        <v>0</v>
      </c>
      <c r="AP33" s="165">
        <f t="shared" si="6"/>
        <v>0</v>
      </c>
      <c r="AQ33" s="165">
        <f t="shared" si="6"/>
        <v>0</v>
      </c>
      <c r="AR33" s="165">
        <f t="shared" si="6"/>
        <v>0</v>
      </c>
      <c r="AS33" s="165">
        <f t="shared" si="6"/>
        <v>0</v>
      </c>
      <c r="AT33" s="165">
        <f t="shared" si="6"/>
        <v>0</v>
      </c>
      <c r="AU33" s="165">
        <f t="shared" si="6"/>
        <v>0</v>
      </c>
      <c r="AV33" s="165">
        <f t="shared" si="6"/>
        <v>3927025.2104608887</v>
      </c>
      <c r="AW33" s="165">
        <f t="shared" si="6"/>
        <v>0</v>
      </c>
      <c r="AX33" s="165">
        <f t="shared" si="6"/>
        <v>0</v>
      </c>
      <c r="AY33" s="165">
        <f t="shared" si="6"/>
        <v>0</v>
      </c>
      <c r="AZ33" s="165">
        <f t="shared" si="6"/>
        <v>0</v>
      </c>
      <c r="BA33" s="165">
        <f t="shared" si="6"/>
        <v>0</v>
      </c>
      <c r="BB33" s="165">
        <f t="shared" si="6"/>
        <v>0</v>
      </c>
      <c r="BC33" s="165">
        <f t="shared" si="6"/>
        <v>0</v>
      </c>
      <c r="BD33" s="165">
        <f t="shared" si="6"/>
        <v>0</v>
      </c>
      <c r="BE33" s="165">
        <f t="shared" si="6"/>
        <v>0</v>
      </c>
      <c r="BF33" s="165">
        <f t="shared" si="6"/>
        <v>0</v>
      </c>
      <c r="BG33" s="165">
        <f t="shared" si="6"/>
        <v>0</v>
      </c>
      <c r="BH33" s="165">
        <f t="shared" si="6"/>
        <v>0</v>
      </c>
      <c r="BI33" s="165">
        <f t="shared" si="6"/>
        <v>0</v>
      </c>
      <c r="BJ33" s="165">
        <f t="shared" si="6"/>
        <v>0</v>
      </c>
      <c r="BK33" s="165">
        <f t="shared" si="6"/>
        <v>0</v>
      </c>
      <c r="BL33" s="165">
        <f t="shared" si="6"/>
        <v>0</v>
      </c>
      <c r="BM33" s="165">
        <f t="shared" si="6"/>
        <v>0</v>
      </c>
      <c r="BN33" s="165">
        <f t="shared" si="6"/>
        <v>0</v>
      </c>
      <c r="BO33" s="165">
        <f t="shared" si="6"/>
        <v>0</v>
      </c>
      <c r="BP33" s="165">
        <f t="shared" si="6"/>
        <v>0</v>
      </c>
      <c r="BQ33" s="165">
        <f t="shared" si="6"/>
        <v>0</v>
      </c>
      <c r="BR33" s="165">
        <f t="shared" si="6"/>
        <v>0</v>
      </c>
      <c r="BS33" s="166">
        <f t="shared" si="6"/>
        <v>0</v>
      </c>
    </row>
    <row r="34" spans="2:71" x14ac:dyDescent="0.3">
      <c r="B34" s="16" t="str">
        <f>Budget!B53</f>
        <v>Marketing</v>
      </c>
      <c r="C34" s="169">
        <f>Budget!E53</f>
        <v>478242</v>
      </c>
      <c r="D34" s="163" t="s">
        <v>162</v>
      </c>
      <c r="E34" s="295">
        <f>E23</f>
        <v>13</v>
      </c>
      <c r="F34" s="295">
        <f>F23</f>
        <v>42</v>
      </c>
      <c r="G34" s="296">
        <f>F34-E34+1</f>
        <v>30</v>
      </c>
      <c r="H34" s="293">
        <v>1000000000</v>
      </c>
      <c r="I34" s="296" t="str">
        <f>IF(ROUND(C34,0)=ROUND(SUM(L34:BS34),0),"Ok","Error")</f>
        <v>Ok</v>
      </c>
      <c r="J34" s="2"/>
      <c r="K34" s="1"/>
      <c r="L34" s="165">
        <f>(_xlfn.NORM.DIST((AND(L$9&gt;=$E34,L$9&lt;=$F34)*(L$9-$E34+1)),$G34/2,$H34,TRUE)-_xlfn.NORM.DIST((AND(L$9&gt;=$E34,L$9&lt;=$F34)*(K$9-$E34+1)),$G34/2,$H34,TRUE))/(1-2*_xlfn.NORM.DIST(0,$G34/2,$H34,TRUE))*$C34</f>
        <v>0</v>
      </c>
      <c r="M34" s="165">
        <f>(_xlfn.NORM.DIST((AND(M$9&gt;=$E34,M$9&lt;=$F34)*(M$9-$E34+1)),$G34/2,$H34,TRUE)-_xlfn.NORM.DIST((AND(M$9&gt;=$E34,M$9&lt;=$F34)*(L$9-$E34+1)),$G34/2,$H34,TRUE))/(1-2*_xlfn.NORM.DIST(0,$G34/2,$H34,TRUE))*$C34</f>
        <v>0</v>
      </c>
      <c r="N34" s="165">
        <f t="shared" ref="N34:BS34" si="7">(_xlfn.NORM.DIST((AND(N$9&gt;=$E34,N$9&lt;=$F34)*(N$9-$E34+1)),$G34/2,$H34,TRUE)-_xlfn.NORM.DIST((AND(N$9&gt;=$E34,N$9&lt;=$F34)*(M$9-$E34+1)),$G34/2,$H34,TRUE))/(1-2*_xlfn.NORM.DIST(0,$G34/2,$H34,TRUE))*$C34</f>
        <v>0</v>
      </c>
      <c r="O34" s="165">
        <f t="shared" si="7"/>
        <v>0</v>
      </c>
      <c r="P34" s="165">
        <f t="shared" si="7"/>
        <v>0</v>
      </c>
      <c r="Q34" s="165">
        <f t="shared" si="7"/>
        <v>0</v>
      </c>
      <c r="R34" s="165">
        <f t="shared" si="7"/>
        <v>0</v>
      </c>
      <c r="S34" s="165">
        <f t="shared" si="7"/>
        <v>0</v>
      </c>
      <c r="T34" s="165">
        <f t="shared" si="7"/>
        <v>0</v>
      </c>
      <c r="U34" s="165">
        <f t="shared" si="7"/>
        <v>0</v>
      </c>
      <c r="V34" s="165">
        <f t="shared" si="7"/>
        <v>0</v>
      </c>
      <c r="W34" s="165">
        <f t="shared" si="7"/>
        <v>0</v>
      </c>
      <c r="X34" s="165">
        <f t="shared" si="7"/>
        <v>15941.399556364158</v>
      </c>
      <c r="Y34" s="165">
        <f t="shared" si="7"/>
        <v>15941.399556364158</v>
      </c>
      <c r="Z34" s="165">
        <f t="shared" si="7"/>
        <v>15941.399556364158</v>
      </c>
      <c r="AA34" s="165">
        <f t="shared" si="7"/>
        <v>15941.401774543361</v>
      </c>
      <c r="AB34" s="165">
        <f t="shared" si="7"/>
        <v>15941.399556364158</v>
      </c>
      <c r="AC34" s="165">
        <f t="shared" si="7"/>
        <v>15941.399556364158</v>
      </c>
      <c r="AD34" s="165">
        <f t="shared" si="7"/>
        <v>15941.399556364158</v>
      </c>
      <c r="AE34" s="165">
        <f t="shared" si="7"/>
        <v>15941.399556364158</v>
      </c>
      <c r="AF34" s="165">
        <f t="shared" si="7"/>
        <v>15941.401774543361</v>
      </c>
      <c r="AG34" s="165">
        <f t="shared" si="7"/>
        <v>15941.399556364158</v>
      </c>
      <c r="AH34" s="165">
        <f t="shared" si="7"/>
        <v>15941.399556364158</v>
      </c>
      <c r="AI34" s="165">
        <f t="shared" si="7"/>
        <v>15941.399556364158</v>
      </c>
      <c r="AJ34" s="165">
        <f t="shared" si="7"/>
        <v>15941.401774543361</v>
      </c>
      <c r="AK34" s="165">
        <f t="shared" si="7"/>
        <v>15941.399556364158</v>
      </c>
      <c r="AL34" s="165">
        <f t="shared" si="7"/>
        <v>15941.399556364158</v>
      </c>
      <c r="AM34" s="165">
        <f t="shared" si="7"/>
        <v>15941.397338184959</v>
      </c>
      <c r="AN34" s="165">
        <f t="shared" si="7"/>
        <v>15941.401774543361</v>
      </c>
      <c r="AO34" s="165">
        <f t="shared" si="7"/>
        <v>15941.401774543361</v>
      </c>
      <c r="AP34" s="165">
        <f t="shared" si="7"/>
        <v>15941.397338184959</v>
      </c>
      <c r="AQ34" s="165">
        <f t="shared" si="7"/>
        <v>15941.401774543361</v>
      </c>
      <c r="AR34" s="165">
        <f t="shared" si="7"/>
        <v>15941.401774543361</v>
      </c>
      <c r="AS34" s="165">
        <f t="shared" si="7"/>
        <v>15941.397338184959</v>
      </c>
      <c r="AT34" s="165">
        <f t="shared" si="7"/>
        <v>15941.401774543361</v>
      </c>
      <c r="AU34" s="165">
        <f t="shared" si="7"/>
        <v>15941.401774543361</v>
      </c>
      <c r="AV34" s="165">
        <f t="shared" si="7"/>
        <v>15941.397338184959</v>
      </c>
      <c r="AW34" s="165">
        <f t="shared" si="7"/>
        <v>15941.397338184959</v>
      </c>
      <c r="AX34" s="165">
        <f t="shared" si="7"/>
        <v>15941.406210901763</v>
      </c>
      <c r="AY34" s="165">
        <f t="shared" si="7"/>
        <v>15941.397338184959</v>
      </c>
      <c r="AZ34" s="165">
        <f t="shared" si="7"/>
        <v>15941.397338184959</v>
      </c>
      <c r="BA34" s="165">
        <f t="shared" si="7"/>
        <v>15941.401774543361</v>
      </c>
      <c r="BB34" s="165">
        <f t="shared" si="7"/>
        <v>0</v>
      </c>
      <c r="BC34" s="165">
        <f t="shared" si="7"/>
        <v>0</v>
      </c>
      <c r="BD34" s="165">
        <f t="shared" si="7"/>
        <v>0</v>
      </c>
      <c r="BE34" s="165">
        <f t="shared" si="7"/>
        <v>0</v>
      </c>
      <c r="BF34" s="165">
        <f t="shared" si="7"/>
        <v>0</v>
      </c>
      <c r="BG34" s="165">
        <f t="shared" si="7"/>
        <v>0</v>
      </c>
      <c r="BH34" s="165">
        <f t="shared" si="7"/>
        <v>0</v>
      </c>
      <c r="BI34" s="165">
        <f t="shared" si="7"/>
        <v>0</v>
      </c>
      <c r="BJ34" s="165">
        <f t="shared" si="7"/>
        <v>0</v>
      </c>
      <c r="BK34" s="165">
        <f t="shared" si="7"/>
        <v>0</v>
      </c>
      <c r="BL34" s="165">
        <f t="shared" si="7"/>
        <v>0</v>
      </c>
      <c r="BM34" s="165">
        <f t="shared" si="7"/>
        <v>0</v>
      </c>
      <c r="BN34" s="165">
        <f t="shared" si="7"/>
        <v>0</v>
      </c>
      <c r="BO34" s="165">
        <f t="shared" si="7"/>
        <v>0</v>
      </c>
      <c r="BP34" s="165">
        <f t="shared" si="7"/>
        <v>0</v>
      </c>
      <c r="BQ34" s="165">
        <f t="shared" si="7"/>
        <v>0</v>
      </c>
      <c r="BR34" s="165">
        <f t="shared" si="7"/>
        <v>0</v>
      </c>
      <c r="BS34" s="166">
        <f t="shared" si="7"/>
        <v>0</v>
      </c>
    </row>
    <row r="35" spans="2:71" x14ac:dyDescent="0.3">
      <c r="B35" s="9"/>
      <c r="C35" s="138"/>
      <c r="D35" s="158"/>
      <c r="G35" s="7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4"/>
    </row>
    <row r="36" spans="2:71" x14ac:dyDescent="0.3">
      <c r="B36" s="9" t="str">
        <f>Budget!B56</f>
        <v>Development Fee</v>
      </c>
      <c r="C36" s="169">
        <f>Budget!E19</f>
        <v>6195181.9308036324</v>
      </c>
      <c r="D36" s="163" t="s">
        <v>162</v>
      </c>
      <c r="E36" s="295">
        <v>1</v>
      </c>
      <c r="F36" s="295">
        <f>Summary!E19</f>
        <v>42</v>
      </c>
      <c r="G36" s="296">
        <f>F36-E36+1</f>
        <v>42</v>
      </c>
      <c r="H36" s="293">
        <v>1000000000</v>
      </c>
      <c r="I36" s="296" t="str">
        <f>IF(ROUND(C36,0)=ROUND(SUM(L36:BS36),0),"Ok","Error")</f>
        <v>Ok</v>
      </c>
      <c r="J36" s="2"/>
      <c r="K36" s="1"/>
      <c r="L36" s="165">
        <f>(_xlfn.NORM.DIST((AND(L$9&gt;=$E36,L$9&lt;=$F36)*(L$9-$E36+1)),$G36/2,$H36,TRUE)-_xlfn.NORM.DIST((AND(L$9&gt;=$E36,L$9&lt;=$F36)*(K$9-$E36+1)),$G36/2,$H36,TRUE))/(1-2*_xlfn.NORM.DIST(0,$G36/2,$H36,TRUE))*$C36</f>
        <v>147504.34732359985</v>
      </c>
      <c r="M36" s="165">
        <f>(_xlfn.NORM.DIST((AND(M$9&gt;=$E36,M$9&lt;=$F36)*(M$9-$E36+1)),$G36/2,$H36,TRUE)-_xlfn.NORM.DIST((AND(M$9&gt;=$E36,M$9&lt;=$F36)*(L$9-$E36+1)),$G36/2,$H36,TRUE))/(1-2*_xlfn.NORM.DIST(0,$G36/2,$H36,TRUE))*$C36</f>
        <v>147504.32679898854</v>
      </c>
      <c r="N36" s="165">
        <f t="shared" ref="N36:BS36" si="8">(_xlfn.NORM.DIST((AND(N$9&gt;=$E36,N$9&lt;=$F36)*(N$9-$E36+1)),$G36/2,$H36,TRUE)-_xlfn.NORM.DIST((AND(N$9&gt;=$E36,N$9&lt;=$F36)*(M$9-$E36+1)),$G36/2,$H36,TRUE))/(1-2*_xlfn.NORM.DIST(0,$G36/2,$H36,TRUE))*$C36</f>
        <v>147504.32679898854</v>
      </c>
      <c r="O36" s="165">
        <f t="shared" si="8"/>
        <v>147504.32679898854</v>
      </c>
      <c r="P36" s="165">
        <f t="shared" si="8"/>
        <v>147504.32679898854</v>
      </c>
      <c r="Q36" s="165">
        <f t="shared" si="8"/>
        <v>147504.34732359985</v>
      </c>
      <c r="R36" s="165">
        <f t="shared" si="8"/>
        <v>147504.32679898854</v>
      </c>
      <c r="S36" s="165">
        <f t="shared" si="8"/>
        <v>147504.32679898854</v>
      </c>
      <c r="T36" s="165">
        <f t="shared" si="8"/>
        <v>147504.32679898854</v>
      </c>
      <c r="U36" s="165">
        <f t="shared" si="8"/>
        <v>147504.34732359985</v>
      </c>
      <c r="V36" s="165">
        <f t="shared" si="8"/>
        <v>147504.32679898854</v>
      </c>
      <c r="W36" s="165">
        <f t="shared" si="8"/>
        <v>147504.32679898854</v>
      </c>
      <c r="X36" s="165">
        <f t="shared" si="8"/>
        <v>147504.32679898854</v>
      </c>
      <c r="Y36" s="165">
        <f t="shared" si="8"/>
        <v>147504.32679898854</v>
      </c>
      <c r="Z36" s="165">
        <f t="shared" si="8"/>
        <v>147504.34732359985</v>
      </c>
      <c r="AA36" s="165">
        <f t="shared" si="8"/>
        <v>147504.32679898854</v>
      </c>
      <c r="AB36" s="165">
        <f t="shared" si="8"/>
        <v>147504.32679898854</v>
      </c>
      <c r="AC36" s="165">
        <f t="shared" si="8"/>
        <v>147504.32679898854</v>
      </c>
      <c r="AD36" s="165">
        <f t="shared" si="8"/>
        <v>147504.34732359985</v>
      </c>
      <c r="AE36" s="165">
        <f t="shared" si="8"/>
        <v>147504.32679898854</v>
      </c>
      <c r="AF36" s="165">
        <f t="shared" si="8"/>
        <v>147504.32679898854</v>
      </c>
      <c r="AG36" s="165">
        <f t="shared" si="8"/>
        <v>147504.30627437722</v>
      </c>
      <c r="AH36" s="165">
        <f t="shared" si="8"/>
        <v>147504.34732359985</v>
      </c>
      <c r="AI36" s="165">
        <f t="shared" si="8"/>
        <v>147504.34732359985</v>
      </c>
      <c r="AJ36" s="165">
        <f t="shared" si="8"/>
        <v>147504.30627437722</v>
      </c>
      <c r="AK36" s="165">
        <f t="shared" si="8"/>
        <v>147504.34732359985</v>
      </c>
      <c r="AL36" s="165">
        <f>(_xlfn.NORM.DIST((AND(AL$9&gt;=$E36,AL$9&lt;=$F36)*(AL$9-$E36+1)),$G36/2,$H36,TRUE)-_xlfn.NORM.DIST((AND(AL$9&gt;=$E36,AL$9&lt;=$F36)*(AK$9-$E36+1)),$G36/2,$H36,TRUE))/(1-2*_xlfn.NORM.DIST(0,$G36/2,$H36,TRUE))*$C36</f>
        <v>147504.34732359985</v>
      </c>
      <c r="AM36" s="165">
        <f t="shared" si="8"/>
        <v>147504.30627437722</v>
      </c>
      <c r="AN36" s="165">
        <f t="shared" si="8"/>
        <v>147504.34732359985</v>
      </c>
      <c r="AO36" s="165">
        <f t="shared" si="8"/>
        <v>147504.34732359985</v>
      </c>
      <c r="AP36" s="165">
        <f t="shared" si="8"/>
        <v>147504.30627437722</v>
      </c>
      <c r="AQ36" s="165">
        <f t="shared" si="8"/>
        <v>147504.30627437722</v>
      </c>
      <c r="AR36" s="165">
        <f t="shared" si="8"/>
        <v>147504.38837282252</v>
      </c>
      <c r="AS36" s="165">
        <f t="shared" si="8"/>
        <v>147504.30627437722</v>
      </c>
      <c r="AT36" s="165">
        <f t="shared" si="8"/>
        <v>147504.30627437722</v>
      </c>
      <c r="AU36" s="165">
        <f t="shared" si="8"/>
        <v>147504.34732359985</v>
      </c>
      <c r="AV36" s="165">
        <f t="shared" si="8"/>
        <v>147504.34732359985</v>
      </c>
      <c r="AW36" s="165">
        <f t="shared" si="8"/>
        <v>147504.30627437722</v>
      </c>
      <c r="AX36" s="165">
        <f t="shared" si="8"/>
        <v>147504.34732359985</v>
      </c>
      <c r="AY36" s="165">
        <f t="shared" si="8"/>
        <v>147504.34732359985</v>
      </c>
      <c r="AZ36" s="165">
        <f t="shared" si="8"/>
        <v>147504.30627437722</v>
      </c>
      <c r="BA36" s="165">
        <f t="shared" si="8"/>
        <v>147504.34732359985</v>
      </c>
      <c r="BB36" s="165">
        <f t="shared" si="8"/>
        <v>0</v>
      </c>
      <c r="BC36" s="165">
        <f t="shared" si="8"/>
        <v>0</v>
      </c>
      <c r="BD36" s="165">
        <f t="shared" si="8"/>
        <v>0</v>
      </c>
      <c r="BE36" s="165">
        <f t="shared" si="8"/>
        <v>0</v>
      </c>
      <c r="BF36" s="165">
        <f t="shared" si="8"/>
        <v>0</v>
      </c>
      <c r="BG36" s="165">
        <f t="shared" si="8"/>
        <v>0</v>
      </c>
      <c r="BH36" s="165">
        <f t="shared" si="8"/>
        <v>0</v>
      </c>
      <c r="BI36" s="165">
        <f t="shared" si="8"/>
        <v>0</v>
      </c>
      <c r="BJ36" s="165">
        <f t="shared" si="8"/>
        <v>0</v>
      </c>
      <c r="BK36" s="165">
        <f t="shared" si="8"/>
        <v>0</v>
      </c>
      <c r="BL36" s="165">
        <f t="shared" si="8"/>
        <v>0</v>
      </c>
      <c r="BM36" s="165">
        <f t="shared" si="8"/>
        <v>0</v>
      </c>
      <c r="BN36" s="165">
        <f t="shared" si="8"/>
        <v>0</v>
      </c>
      <c r="BO36" s="165">
        <f t="shared" si="8"/>
        <v>0</v>
      </c>
      <c r="BP36" s="165">
        <f t="shared" si="8"/>
        <v>0</v>
      </c>
      <c r="BQ36" s="165">
        <f t="shared" si="8"/>
        <v>0</v>
      </c>
      <c r="BR36" s="165">
        <f t="shared" si="8"/>
        <v>0</v>
      </c>
      <c r="BS36" s="166">
        <f t="shared" si="8"/>
        <v>0</v>
      </c>
    </row>
    <row r="37" spans="2:71" x14ac:dyDescent="0.3">
      <c r="B37" s="9"/>
      <c r="C37" s="138"/>
      <c r="D37" s="15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4"/>
    </row>
    <row r="38" spans="2:71" x14ac:dyDescent="0.3">
      <c r="B38" s="10" t="s">
        <v>60</v>
      </c>
      <c r="C38" s="169">
        <f>Budget!E20</f>
        <v>10150535.882829046</v>
      </c>
      <c r="D38" s="164" t="s">
        <v>70</v>
      </c>
      <c r="E38" s="298">
        <f>F38-10+1</f>
        <v>33</v>
      </c>
      <c r="F38" s="298">
        <f>F36</f>
        <v>42</v>
      </c>
      <c r="G38" s="296">
        <f>F38-E38+1</f>
        <v>10</v>
      </c>
      <c r="H38" s="84"/>
      <c r="I38" s="296" t="str">
        <f>IF(ROUND(C38,0)=ROUND(SUM(L38:BS38),0),"Ok","Error")</f>
        <v>Ok</v>
      </c>
      <c r="J38" s="2"/>
      <c r="K38" s="7"/>
      <c r="L38" s="167">
        <f>AND(L$9&gt;=$E38,L$9&lt;=$F38)*((L$9-$E38+1)/($G38*($G38+1)/2)*$C38)</f>
        <v>0</v>
      </c>
      <c r="M38" s="167">
        <f t="shared" ref="M38:BS38" si="9">AND(M$9&gt;=$E38,M$9&lt;=$F38)*((M$9-$E38+1)/($G38*($G38+1)/2)*$C38)</f>
        <v>0</v>
      </c>
      <c r="N38" s="167">
        <f t="shared" si="9"/>
        <v>0</v>
      </c>
      <c r="O38" s="167">
        <f t="shared" si="9"/>
        <v>0</v>
      </c>
      <c r="P38" s="167">
        <f t="shared" si="9"/>
        <v>0</v>
      </c>
      <c r="Q38" s="167">
        <f t="shared" si="9"/>
        <v>0</v>
      </c>
      <c r="R38" s="167">
        <f t="shared" si="9"/>
        <v>0</v>
      </c>
      <c r="S38" s="167">
        <f t="shared" si="9"/>
        <v>0</v>
      </c>
      <c r="T38" s="167">
        <f t="shared" si="9"/>
        <v>0</v>
      </c>
      <c r="U38" s="167">
        <f t="shared" si="9"/>
        <v>0</v>
      </c>
      <c r="V38" s="167">
        <f t="shared" si="9"/>
        <v>0</v>
      </c>
      <c r="W38" s="167">
        <f t="shared" si="9"/>
        <v>0</v>
      </c>
      <c r="X38" s="167">
        <f t="shared" si="9"/>
        <v>0</v>
      </c>
      <c r="Y38" s="167">
        <f t="shared" si="9"/>
        <v>0</v>
      </c>
      <c r="Z38" s="167">
        <f t="shared" si="9"/>
        <v>0</v>
      </c>
      <c r="AA38" s="167">
        <f t="shared" si="9"/>
        <v>0</v>
      </c>
      <c r="AB38" s="167">
        <f t="shared" si="9"/>
        <v>0</v>
      </c>
      <c r="AC38" s="167">
        <f t="shared" si="9"/>
        <v>0</v>
      </c>
      <c r="AD38" s="167">
        <f t="shared" si="9"/>
        <v>0</v>
      </c>
      <c r="AE38" s="167">
        <f t="shared" si="9"/>
        <v>0</v>
      </c>
      <c r="AF38" s="167">
        <f t="shared" si="9"/>
        <v>0</v>
      </c>
      <c r="AG38" s="167">
        <f t="shared" si="9"/>
        <v>0</v>
      </c>
      <c r="AH38" s="167">
        <f t="shared" si="9"/>
        <v>0</v>
      </c>
      <c r="AI38" s="167">
        <f t="shared" si="9"/>
        <v>0</v>
      </c>
      <c r="AJ38" s="167">
        <f t="shared" si="9"/>
        <v>0</v>
      </c>
      <c r="AK38" s="167">
        <f t="shared" si="9"/>
        <v>0</v>
      </c>
      <c r="AL38" s="167">
        <f t="shared" si="9"/>
        <v>0</v>
      </c>
      <c r="AM38" s="167">
        <f t="shared" si="9"/>
        <v>0</v>
      </c>
      <c r="AN38" s="167">
        <f t="shared" si="9"/>
        <v>0</v>
      </c>
      <c r="AO38" s="167">
        <f t="shared" si="9"/>
        <v>0</v>
      </c>
      <c r="AP38" s="167">
        <f t="shared" si="9"/>
        <v>0</v>
      </c>
      <c r="AQ38" s="167">
        <f t="shared" si="9"/>
        <v>0</v>
      </c>
      <c r="AR38" s="167">
        <f t="shared" si="9"/>
        <v>184555.19786961901</v>
      </c>
      <c r="AS38" s="167">
        <f t="shared" si="9"/>
        <v>369110.39573923801</v>
      </c>
      <c r="AT38" s="167">
        <f t="shared" si="9"/>
        <v>553665.59360885702</v>
      </c>
      <c r="AU38" s="167">
        <f t="shared" si="9"/>
        <v>738220.79147847602</v>
      </c>
      <c r="AV38" s="167">
        <f t="shared" si="9"/>
        <v>922775.98934809514</v>
      </c>
      <c r="AW38" s="167">
        <f t="shared" si="9"/>
        <v>1107331.187217714</v>
      </c>
      <c r="AX38" s="167">
        <f t="shared" si="9"/>
        <v>1291886.3850873329</v>
      </c>
      <c r="AY38" s="167">
        <f t="shared" si="9"/>
        <v>1476441.582956952</v>
      </c>
      <c r="AZ38" s="167">
        <f t="shared" si="9"/>
        <v>1660996.7808265712</v>
      </c>
      <c r="BA38" s="167">
        <f t="shared" si="9"/>
        <v>1845551.9786961903</v>
      </c>
      <c r="BB38" s="167">
        <f t="shared" si="9"/>
        <v>0</v>
      </c>
      <c r="BC38" s="167">
        <f t="shared" si="9"/>
        <v>0</v>
      </c>
      <c r="BD38" s="167">
        <f t="shared" si="9"/>
        <v>0</v>
      </c>
      <c r="BE38" s="167">
        <f t="shared" si="9"/>
        <v>0</v>
      </c>
      <c r="BF38" s="167">
        <f t="shared" si="9"/>
        <v>0</v>
      </c>
      <c r="BG38" s="167">
        <f t="shared" si="9"/>
        <v>0</v>
      </c>
      <c r="BH38" s="167">
        <f t="shared" si="9"/>
        <v>0</v>
      </c>
      <c r="BI38" s="167">
        <f t="shared" si="9"/>
        <v>0</v>
      </c>
      <c r="BJ38" s="167">
        <f t="shared" si="9"/>
        <v>0</v>
      </c>
      <c r="BK38" s="167">
        <f t="shared" si="9"/>
        <v>0</v>
      </c>
      <c r="BL38" s="167">
        <f t="shared" si="9"/>
        <v>0</v>
      </c>
      <c r="BM38" s="167">
        <f t="shared" si="9"/>
        <v>0</v>
      </c>
      <c r="BN38" s="167">
        <f t="shared" si="9"/>
        <v>0</v>
      </c>
      <c r="BO38" s="167">
        <f t="shared" si="9"/>
        <v>0</v>
      </c>
      <c r="BP38" s="167">
        <f t="shared" si="9"/>
        <v>0</v>
      </c>
      <c r="BQ38" s="167">
        <f t="shared" si="9"/>
        <v>0</v>
      </c>
      <c r="BR38" s="167">
        <f t="shared" si="9"/>
        <v>0</v>
      </c>
      <c r="BS38" s="168">
        <f t="shared" si="9"/>
        <v>0</v>
      </c>
    </row>
    <row r="39" spans="2:71" x14ac:dyDescent="0.3">
      <c r="B39" s="113" t="s">
        <v>144</v>
      </c>
      <c r="C39" s="299">
        <f>SUM(C13:C38)</f>
        <v>286925177.7702136</v>
      </c>
      <c r="D39" s="159"/>
      <c r="E39" s="63"/>
      <c r="F39" s="63"/>
      <c r="G39" s="63"/>
      <c r="H39" s="63"/>
      <c r="I39" s="302" t="str">
        <f>IF(ROUND(C39,0)=ROUND(SUM(K39:BS39),0),"Ok","Error")</f>
        <v>Ok</v>
      </c>
      <c r="J39" s="3"/>
      <c r="K39" s="303">
        <f>SUM(K13:K38)</f>
        <v>67568742.299999997</v>
      </c>
      <c r="L39" s="303">
        <f t="shared" ref="L39:BS39" si="10">SUM(L13:L38)</f>
        <v>147504.34732359985</v>
      </c>
      <c r="M39" s="303">
        <f t="shared" si="10"/>
        <v>391014.23562169506</v>
      </c>
      <c r="N39" s="303">
        <f t="shared" si="10"/>
        <v>438864.07772857626</v>
      </c>
      <c r="O39" s="303">
        <f t="shared" si="10"/>
        <v>1464595.5232512141</v>
      </c>
      <c r="P39" s="303">
        <f t="shared" si="10"/>
        <v>517599.44163044542</v>
      </c>
      <c r="Q39" s="303">
        <f t="shared" si="10"/>
        <v>540406.38764705183</v>
      </c>
      <c r="R39" s="303">
        <f t="shared" si="10"/>
        <v>548316.82908013172</v>
      </c>
      <c r="S39" s="303">
        <f t="shared" si="10"/>
        <v>540406.36712244048</v>
      </c>
      <c r="T39" s="303">
        <f t="shared" si="10"/>
        <v>517599.44163044542</v>
      </c>
      <c r="U39" s="303">
        <f t="shared" si="10"/>
        <v>1654809.4101808253</v>
      </c>
      <c r="V39" s="303">
        <f t="shared" si="10"/>
        <v>438864.07772857649</v>
      </c>
      <c r="W39" s="303">
        <f t="shared" si="10"/>
        <v>1045750.1106216949</v>
      </c>
      <c r="X39" s="303">
        <f t="shared" si="10"/>
        <v>217998.25965410296</v>
      </c>
      <c r="Y39" s="303">
        <f t="shared" si="10"/>
        <v>251310.78057320259</v>
      </c>
      <c r="Z39" s="303">
        <f t="shared" si="10"/>
        <v>322613.39171876758</v>
      </c>
      <c r="AA39" s="303">
        <f t="shared" si="10"/>
        <v>465224.90948939882</v>
      </c>
      <c r="AB39" s="303">
        <f t="shared" si="10"/>
        <v>731486.02849773038</v>
      </c>
      <c r="AC39" s="303">
        <f t="shared" si="10"/>
        <v>1194920.3462013437</v>
      </c>
      <c r="AD39" s="303">
        <f t="shared" si="10"/>
        <v>1945568.3863429232</v>
      </c>
      <c r="AE39" s="303">
        <f t="shared" si="10"/>
        <v>3074383.944706447</v>
      </c>
      <c r="AF39" s="303">
        <f t="shared" si="10"/>
        <v>4645125.2088373564</v>
      </c>
      <c r="AG39" s="303">
        <f t="shared" si="10"/>
        <v>8022716.2483564327</v>
      </c>
      <c r="AH39" s="303">
        <f t="shared" si="10"/>
        <v>9014608.5014582928</v>
      </c>
      <c r="AI39" s="303">
        <f t="shared" si="10"/>
        <v>11505193.957993539</v>
      </c>
      <c r="AJ39" s="303">
        <f t="shared" si="10"/>
        <v>13824622.307669483</v>
      </c>
      <c r="AK39" s="303">
        <f t="shared" si="10"/>
        <v>15629489.889348479</v>
      </c>
      <c r="AL39" s="303">
        <f>SUM(AL13:AL38)</f>
        <v>16619657.255637307</v>
      </c>
      <c r="AM39" s="303">
        <f t="shared" si="10"/>
        <v>16619657.208118396</v>
      </c>
      <c r="AN39" s="303">
        <f t="shared" si="10"/>
        <v>15629489.895818168</v>
      </c>
      <c r="AO39" s="303">
        <f t="shared" si="10"/>
        <v>13824622.348718697</v>
      </c>
      <c r="AP39" s="303">
        <f t="shared" si="10"/>
        <v>11505193.910474641</v>
      </c>
      <c r="AQ39" s="303">
        <f t="shared" si="10"/>
        <v>9014608.4668787569</v>
      </c>
      <c r="AR39" s="303">
        <f t="shared" si="10"/>
        <v>6842323.214892651</v>
      </c>
      <c r="AS39" s="303">
        <f t="shared" si="10"/>
        <v>8880614.5680210833</v>
      </c>
      <c r="AT39" s="303">
        <f t="shared" si="10"/>
        <v>3628049.5242603808</v>
      </c>
      <c r="AU39" s="303">
        <f t="shared" si="10"/>
        <v>2683789.1842910941</v>
      </c>
      <c r="AV39" s="303">
        <f t="shared" si="10"/>
        <v>21587586.560065243</v>
      </c>
      <c r="AW39" s="303">
        <f t="shared" si="10"/>
        <v>1838817.1887211492</v>
      </c>
      <c r="AX39" s="303">
        <f t="shared" si="10"/>
        <v>1757111.3280407176</v>
      </c>
      <c r="AY39" s="303">
        <f t="shared" si="10"/>
        <v>1799054.9682060331</v>
      </c>
      <c r="AZ39" s="303">
        <f t="shared" si="10"/>
        <v>1912307.534405472</v>
      </c>
      <c r="BA39" s="303">
        <f t="shared" si="10"/>
        <v>2063550.2653445932</v>
      </c>
      <c r="BB39" s="303">
        <f t="shared" si="10"/>
        <v>0</v>
      </c>
      <c r="BC39" s="303">
        <f t="shared" si="10"/>
        <v>0</v>
      </c>
      <c r="BD39" s="303">
        <f t="shared" si="10"/>
        <v>0</v>
      </c>
      <c r="BE39" s="303">
        <f t="shared" si="10"/>
        <v>4059009.6379049993</v>
      </c>
      <c r="BF39" s="303">
        <f t="shared" si="10"/>
        <v>0</v>
      </c>
      <c r="BG39" s="303">
        <f t="shared" si="10"/>
        <v>0</v>
      </c>
      <c r="BH39" s="303">
        <f t="shared" si="10"/>
        <v>0</v>
      </c>
      <c r="BI39" s="303">
        <f t="shared" si="10"/>
        <v>0</v>
      </c>
      <c r="BJ39" s="303">
        <f t="shared" si="10"/>
        <v>0</v>
      </c>
      <c r="BK39" s="303">
        <f t="shared" si="10"/>
        <v>0</v>
      </c>
      <c r="BL39" s="303">
        <f t="shared" si="10"/>
        <v>0</v>
      </c>
      <c r="BM39" s="303">
        <f t="shared" si="10"/>
        <v>0</v>
      </c>
      <c r="BN39" s="303">
        <f t="shared" si="10"/>
        <v>0</v>
      </c>
      <c r="BO39" s="303">
        <f t="shared" si="10"/>
        <v>0</v>
      </c>
      <c r="BP39" s="303">
        <f t="shared" si="10"/>
        <v>0</v>
      </c>
      <c r="BQ39" s="303">
        <f t="shared" si="10"/>
        <v>0</v>
      </c>
      <c r="BR39" s="303">
        <f t="shared" si="10"/>
        <v>0</v>
      </c>
      <c r="BS39" s="304">
        <f t="shared" si="10"/>
        <v>0</v>
      </c>
    </row>
    <row r="40" spans="2:71" x14ac:dyDescent="0.3">
      <c r="B40" s="244" t="s">
        <v>145</v>
      </c>
      <c r="C40" s="300">
        <f>SUM(K40:BS40)</f>
        <v>1745641</v>
      </c>
      <c r="D40" s="252"/>
      <c r="E40" s="252"/>
      <c r="F40" s="252"/>
      <c r="G40" s="252"/>
      <c r="H40" s="252"/>
      <c r="I40" s="252"/>
      <c r="J40" s="252"/>
      <c r="K40" s="300">
        <f>K62</f>
        <v>0</v>
      </c>
      <c r="L40" s="300">
        <f t="shared" ref="L40:BS40" si="11">L62</f>
        <v>0</v>
      </c>
      <c r="M40" s="300">
        <f t="shared" si="11"/>
        <v>0</v>
      </c>
      <c r="N40" s="300">
        <f t="shared" si="11"/>
        <v>0</v>
      </c>
      <c r="O40" s="300">
        <f t="shared" si="11"/>
        <v>0</v>
      </c>
      <c r="P40" s="300">
        <f t="shared" si="11"/>
        <v>0</v>
      </c>
      <c r="Q40" s="300">
        <f t="shared" si="11"/>
        <v>0</v>
      </c>
      <c r="R40" s="300">
        <f t="shared" si="11"/>
        <v>0</v>
      </c>
      <c r="S40" s="300">
        <f t="shared" si="11"/>
        <v>0</v>
      </c>
      <c r="T40" s="300">
        <f t="shared" si="11"/>
        <v>0</v>
      </c>
      <c r="U40" s="300">
        <f t="shared" si="11"/>
        <v>0</v>
      </c>
      <c r="V40" s="300">
        <f t="shared" si="11"/>
        <v>0</v>
      </c>
      <c r="W40" s="300">
        <f t="shared" si="11"/>
        <v>0</v>
      </c>
      <c r="X40" s="300">
        <f t="shared" si="11"/>
        <v>0</v>
      </c>
      <c r="Y40" s="300">
        <f t="shared" si="11"/>
        <v>0</v>
      </c>
      <c r="Z40" s="300">
        <f t="shared" si="11"/>
        <v>0</v>
      </c>
      <c r="AA40" s="300">
        <f t="shared" si="11"/>
        <v>0</v>
      </c>
      <c r="AB40" s="300">
        <f t="shared" si="11"/>
        <v>0</v>
      </c>
      <c r="AC40" s="300">
        <f t="shared" si="11"/>
        <v>0</v>
      </c>
      <c r="AD40" s="300">
        <f t="shared" si="11"/>
        <v>0</v>
      </c>
      <c r="AE40" s="300">
        <f t="shared" si="11"/>
        <v>0</v>
      </c>
      <c r="AF40" s="300">
        <f t="shared" si="11"/>
        <v>0</v>
      </c>
      <c r="AG40" s="300">
        <f t="shared" si="11"/>
        <v>0</v>
      </c>
      <c r="AH40" s="300">
        <f t="shared" si="11"/>
        <v>0</v>
      </c>
      <c r="AI40" s="300">
        <f t="shared" si="11"/>
        <v>0</v>
      </c>
      <c r="AJ40" s="300">
        <f t="shared" si="11"/>
        <v>1745641</v>
      </c>
      <c r="AK40" s="300">
        <f t="shared" si="11"/>
        <v>0</v>
      </c>
      <c r="AL40" s="300">
        <f t="shared" si="11"/>
        <v>0</v>
      </c>
      <c r="AM40" s="300">
        <f t="shared" si="11"/>
        <v>0</v>
      </c>
      <c r="AN40" s="300">
        <f t="shared" si="11"/>
        <v>0</v>
      </c>
      <c r="AO40" s="300">
        <f t="shared" si="11"/>
        <v>0</v>
      </c>
      <c r="AP40" s="300">
        <f t="shared" si="11"/>
        <v>0</v>
      </c>
      <c r="AQ40" s="300">
        <f t="shared" si="11"/>
        <v>0</v>
      </c>
      <c r="AR40" s="300">
        <f t="shared" si="11"/>
        <v>0</v>
      </c>
      <c r="AS40" s="300">
        <f t="shared" si="11"/>
        <v>0</v>
      </c>
      <c r="AT40" s="300">
        <f t="shared" si="11"/>
        <v>0</v>
      </c>
      <c r="AU40" s="300">
        <f t="shared" si="11"/>
        <v>0</v>
      </c>
      <c r="AV40" s="300">
        <f t="shared" si="11"/>
        <v>0</v>
      </c>
      <c r="AW40" s="300">
        <f t="shared" si="11"/>
        <v>0</v>
      </c>
      <c r="AX40" s="300">
        <f t="shared" si="11"/>
        <v>0</v>
      </c>
      <c r="AY40" s="300">
        <f t="shared" si="11"/>
        <v>0</v>
      </c>
      <c r="AZ40" s="300">
        <f t="shared" si="11"/>
        <v>0</v>
      </c>
      <c r="BA40" s="300">
        <f t="shared" si="11"/>
        <v>0</v>
      </c>
      <c r="BB40" s="300">
        <f t="shared" si="11"/>
        <v>0</v>
      </c>
      <c r="BC40" s="300">
        <f t="shared" si="11"/>
        <v>0</v>
      </c>
      <c r="BD40" s="300">
        <f t="shared" si="11"/>
        <v>0</v>
      </c>
      <c r="BE40" s="300">
        <f t="shared" si="11"/>
        <v>0</v>
      </c>
      <c r="BF40" s="300">
        <f t="shared" si="11"/>
        <v>0</v>
      </c>
      <c r="BG40" s="300">
        <f t="shared" si="11"/>
        <v>0</v>
      </c>
      <c r="BH40" s="300">
        <f t="shared" si="11"/>
        <v>0</v>
      </c>
      <c r="BI40" s="300">
        <f t="shared" si="11"/>
        <v>0</v>
      </c>
      <c r="BJ40" s="300">
        <f t="shared" si="11"/>
        <v>0</v>
      </c>
      <c r="BK40" s="300">
        <f t="shared" si="11"/>
        <v>0</v>
      </c>
      <c r="BL40" s="300">
        <f t="shared" si="11"/>
        <v>0</v>
      </c>
      <c r="BM40" s="300">
        <f t="shared" si="11"/>
        <v>0</v>
      </c>
      <c r="BN40" s="300">
        <f t="shared" si="11"/>
        <v>0</v>
      </c>
      <c r="BO40" s="300">
        <f t="shared" si="11"/>
        <v>0</v>
      </c>
      <c r="BP40" s="300">
        <f t="shared" si="11"/>
        <v>0</v>
      </c>
      <c r="BQ40" s="300">
        <f t="shared" si="11"/>
        <v>0</v>
      </c>
      <c r="BR40" s="300">
        <f t="shared" si="11"/>
        <v>0</v>
      </c>
      <c r="BS40" s="305">
        <f t="shared" si="11"/>
        <v>0</v>
      </c>
    </row>
    <row r="41" spans="2:71" x14ac:dyDescent="0.3">
      <c r="B41" s="87" t="s">
        <v>124</v>
      </c>
      <c r="C41" s="301">
        <f t="shared" ref="C41:C42" si="12">SUM(K41:BS41)</f>
        <v>11116202.771232702</v>
      </c>
      <c r="D41" s="124"/>
      <c r="E41" s="124"/>
      <c r="F41" s="124"/>
      <c r="G41" s="124"/>
      <c r="H41" s="124"/>
      <c r="I41" s="124"/>
      <c r="J41" s="124"/>
      <c r="K41" s="301">
        <f>K63</f>
        <v>0</v>
      </c>
      <c r="L41" s="301">
        <f t="shared" ref="L41:BS41" si="13">L63</f>
        <v>0</v>
      </c>
      <c r="M41" s="301">
        <f t="shared" si="13"/>
        <v>0</v>
      </c>
      <c r="N41" s="301">
        <f t="shared" si="13"/>
        <v>0</v>
      </c>
      <c r="O41" s="301">
        <f t="shared" si="13"/>
        <v>0</v>
      </c>
      <c r="P41" s="301">
        <f t="shared" si="13"/>
        <v>0</v>
      </c>
      <c r="Q41" s="301">
        <f t="shared" si="13"/>
        <v>0</v>
      </c>
      <c r="R41" s="301">
        <f t="shared" si="13"/>
        <v>0</v>
      </c>
      <c r="S41" s="301">
        <f t="shared" si="13"/>
        <v>0</v>
      </c>
      <c r="T41" s="301">
        <f t="shared" si="13"/>
        <v>0</v>
      </c>
      <c r="U41" s="301">
        <f t="shared" si="13"/>
        <v>0</v>
      </c>
      <c r="V41" s="301">
        <f t="shared" si="13"/>
        <v>0</v>
      </c>
      <c r="W41" s="301">
        <f t="shared" si="13"/>
        <v>0</v>
      </c>
      <c r="X41" s="301">
        <f t="shared" si="13"/>
        <v>0</v>
      </c>
      <c r="Y41" s="301">
        <f t="shared" si="13"/>
        <v>0</v>
      </c>
      <c r="Z41" s="301">
        <f t="shared" si="13"/>
        <v>0</v>
      </c>
      <c r="AA41" s="301">
        <f t="shared" si="13"/>
        <v>0</v>
      </c>
      <c r="AB41" s="301">
        <f t="shared" si="13"/>
        <v>0</v>
      </c>
      <c r="AC41" s="301">
        <f t="shared" si="13"/>
        <v>0</v>
      </c>
      <c r="AD41" s="301">
        <f t="shared" si="13"/>
        <v>0</v>
      </c>
      <c r="AE41" s="301">
        <f t="shared" si="13"/>
        <v>0</v>
      </c>
      <c r="AF41" s="301">
        <f t="shared" si="13"/>
        <v>0</v>
      </c>
      <c r="AG41" s="301">
        <f t="shared" si="13"/>
        <v>0</v>
      </c>
      <c r="AH41" s="301">
        <f t="shared" si="13"/>
        <v>0</v>
      </c>
      <c r="AI41" s="301">
        <f t="shared" si="13"/>
        <v>0</v>
      </c>
      <c r="AJ41" s="301">
        <f t="shared" si="13"/>
        <v>0</v>
      </c>
      <c r="AK41" s="301">
        <f t="shared" si="13"/>
        <v>41743.794630357304</v>
      </c>
      <c r="AL41" s="301">
        <f t="shared" si="13"/>
        <v>107031.51495466633</v>
      </c>
      <c r="AM41" s="301">
        <f t="shared" si="13"/>
        <v>169738.34068118365</v>
      </c>
      <c r="AN41" s="301">
        <f t="shared" si="13"/>
        <v>232753.52580584583</v>
      </c>
      <c r="AO41" s="301">
        <f t="shared" si="13"/>
        <v>292404.20949956909</v>
      </c>
      <c r="AP41" s="301">
        <f t="shared" si="13"/>
        <v>345784.65139192616</v>
      </c>
      <c r="AQ41" s="301">
        <f t="shared" si="13"/>
        <v>390677.84481037268</v>
      </c>
      <c r="AR41" s="301">
        <f t="shared" si="13"/>
        <v>426591.66587568406</v>
      </c>
      <c r="AS41" s="301">
        <f t="shared" si="13"/>
        <v>454671.91459481727</v>
      </c>
      <c r="AT41" s="301">
        <f t="shared" si="13"/>
        <v>490545.31358411047</v>
      </c>
      <c r="AU41" s="301">
        <f t="shared" si="13"/>
        <v>506748.47820995114</v>
      </c>
      <c r="AV41" s="301">
        <f t="shared" si="13"/>
        <v>519666.63685222063</v>
      </c>
      <c r="AW41" s="301">
        <f t="shared" si="13"/>
        <v>604513.8264663195</v>
      </c>
      <c r="AX41" s="301">
        <f t="shared" si="13"/>
        <v>614324.10030479357</v>
      </c>
      <c r="AY41" s="301">
        <f t="shared" si="13"/>
        <v>624286.51369742898</v>
      </c>
      <c r="AZ41" s="301">
        <f t="shared" si="13"/>
        <v>634240.87630871369</v>
      </c>
      <c r="BA41" s="301">
        <f t="shared" si="13"/>
        <v>644731.82768574043</v>
      </c>
      <c r="BB41" s="301">
        <f t="shared" si="13"/>
        <v>655977.09713119245</v>
      </c>
      <c r="BC41" s="301">
        <f t="shared" si="13"/>
        <v>659043.72536760359</v>
      </c>
      <c r="BD41" s="301">
        <f t="shared" si="13"/>
        <v>662261.47352396452</v>
      </c>
      <c r="BE41" s="301">
        <f t="shared" si="13"/>
        <v>665676.67151024903</v>
      </c>
      <c r="BF41" s="301">
        <f t="shared" si="13"/>
        <v>684642.19759654405</v>
      </c>
      <c r="BG41" s="301">
        <f t="shared" si="13"/>
        <v>688146.57074944687</v>
      </c>
      <c r="BH41" s="301">
        <f t="shared" si="13"/>
        <v>-8.5876166122034203E-11</v>
      </c>
      <c r="BI41" s="301">
        <f t="shared" si="13"/>
        <v>-8.6459703743457806E-11</v>
      </c>
      <c r="BJ41" s="301">
        <f t="shared" si="13"/>
        <v>-8.6640939116477968E-11</v>
      </c>
      <c r="BK41" s="301">
        <f t="shared" si="13"/>
        <v>-8.6837261915206921E-11</v>
      </c>
      <c r="BL41" s="301">
        <f t="shared" si="13"/>
        <v>-8.7007321417331699E-11</v>
      </c>
      <c r="BM41" s="301">
        <f t="shared" si="13"/>
        <v>-8.7205879390239716E-11</v>
      </c>
      <c r="BN41" s="301">
        <f t="shared" si="13"/>
        <v>-8.7443739175796525E-11</v>
      </c>
      <c r="BO41" s="301">
        <f t="shared" si="13"/>
        <v>-8.7622925639152538E-11</v>
      </c>
      <c r="BP41" s="301">
        <f t="shared" si="13"/>
        <v>-8.7828375399112714E-11</v>
      </c>
      <c r="BQ41" s="301">
        <f t="shared" si="13"/>
        <v>-8.8056549429893476E-11</v>
      </c>
      <c r="BR41" s="301">
        <f t="shared" si="13"/>
        <v>-8.821580559015274E-11</v>
      </c>
      <c r="BS41" s="306">
        <f t="shared" si="13"/>
        <v>-8.8417530059814463E-11</v>
      </c>
    </row>
    <row r="42" spans="2:71" x14ac:dyDescent="0.3">
      <c r="B42" s="271" t="s">
        <v>146</v>
      </c>
      <c r="C42" s="299">
        <f t="shared" si="12"/>
        <v>299787021.54144615</v>
      </c>
      <c r="D42" s="67"/>
      <c r="E42" s="67"/>
      <c r="F42" s="67"/>
      <c r="G42" s="67"/>
      <c r="H42" s="67"/>
      <c r="I42" s="67"/>
      <c r="J42" s="67"/>
      <c r="K42" s="307">
        <f>SUM(K39:K41)</f>
        <v>67568742.299999997</v>
      </c>
      <c r="L42" s="307">
        <f t="shared" ref="L42:BS42" si="14">SUM(L39:L41)</f>
        <v>147504.34732359985</v>
      </c>
      <c r="M42" s="307">
        <f t="shared" si="14"/>
        <v>391014.23562169506</v>
      </c>
      <c r="N42" s="307">
        <f t="shared" si="14"/>
        <v>438864.07772857626</v>
      </c>
      <c r="O42" s="307">
        <f t="shared" si="14"/>
        <v>1464595.5232512141</v>
      </c>
      <c r="P42" s="307">
        <f t="shared" si="14"/>
        <v>517599.44163044542</v>
      </c>
      <c r="Q42" s="307">
        <f t="shared" si="14"/>
        <v>540406.38764705183</v>
      </c>
      <c r="R42" s="307">
        <f t="shared" si="14"/>
        <v>548316.82908013172</v>
      </c>
      <c r="S42" s="307">
        <f t="shared" si="14"/>
        <v>540406.36712244048</v>
      </c>
      <c r="T42" s="307">
        <f t="shared" si="14"/>
        <v>517599.44163044542</v>
      </c>
      <c r="U42" s="307">
        <f t="shared" si="14"/>
        <v>1654809.4101808253</v>
      </c>
      <c r="V42" s="307">
        <f t="shared" si="14"/>
        <v>438864.07772857649</v>
      </c>
      <c r="W42" s="307">
        <f t="shared" si="14"/>
        <v>1045750.1106216949</v>
      </c>
      <c r="X42" s="307">
        <f t="shared" si="14"/>
        <v>217998.25965410296</v>
      </c>
      <c r="Y42" s="307">
        <f t="shared" si="14"/>
        <v>251310.78057320259</v>
      </c>
      <c r="Z42" s="307">
        <f t="shared" si="14"/>
        <v>322613.39171876758</v>
      </c>
      <c r="AA42" s="307">
        <f t="shared" si="14"/>
        <v>465224.90948939882</v>
      </c>
      <c r="AB42" s="307">
        <f t="shared" si="14"/>
        <v>731486.02849773038</v>
      </c>
      <c r="AC42" s="307">
        <f t="shared" si="14"/>
        <v>1194920.3462013437</v>
      </c>
      <c r="AD42" s="307">
        <f t="shared" si="14"/>
        <v>1945568.3863429232</v>
      </c>
      <c r="AE42" s="307">
        <f t="shared" si="14"/>
        <v>3074383.944706447</v>
      </c>
      <c r="AF42" s="307">
        <f t="shared" si="14"/>
        <v>4645125.2088373564</v>
      </c>
      <c r="AG42" s="307">
        <f t="shared" si="14"/>
        <v>8022716.2483564327</v>
      </c>
      <c r="AH42" s="307">
        <f t="shared" si="14"/>
        <v>9014608.5014582928</v>
      </c>
      <c r="AI42" s="307">
        <f t="shared" si="14"/>
        <v>11505193.957993539</v>
      </c>
      <c r="AJ42" s="307">
        <f t="shared" si="14"/>
        <v>15570263.307669483</v>
      </c>
      <c r="AK42" s="307">
        <f t="shared" si="14"/>
        <v>15671233.683978837</v>
      </c>
      <c r="AL42" s="307">
        <f t="shared" si="14"/>
        <v>16726688.770591972</v>
      </c>
      <c r="AM42" s="307">
        <f t="shared" si="14"/>
        <v>16789395.548799578</v>
      </c>
      <c r="AN42" s="307">
        <f t="shared" si="14"/>
        <v>15862243.421624014</v>
      </c>
      <c r="AO42" s="307">
        <f t="shared" si="14"/>
        <v>14117026.558218267</v>
      </c>
      <c r="AP42" s="307">
        <f t="shared" si="14"/>
        <v>11850978.561866567</v>
      </c>
      <c r="AQ42" s="307">
        <f t="shared" si="14"/>
        <v>9405286.3116891291</v>
      </c>
      <c r="AR42" s="307">
        <f t="shared" si="14"/>
        <v>7268914.8807683354</v>
      </c>
      <c r="AS42" s="307">
        <f t="shared" si="14"/>
        <v>9335286.4826159012</v>
      </c>
      <c r="AT42" s="307">
        <f t="shared" si="14"/>
        <v>4118594.837844491</v>
      </c>
      <c r="AU42" s="307">
        <f t="shared" si="14"/>
        <v>3190537.662501045</v>
      </c>
      <c r="AV42" s="307">
        <f t="shared" si="14"/>
        <v>22107253.196917463</v>
      </c>
      <c r="AW42" s="307">
        <f t="shared" si="14"/>
        <v>2443331.0151874688</v>
      </c>
      <c r="AX42" s="307">
        <f t="shared" si="14"/>
        <v>2371435.4283455112</v>
      </c>
      <c r="AY42" s="307">
        <f t="shared" si="14"/>
        <v>2423341.4819034622</v>
      </c>
      <c r="AZ42" s="307">
        <f t="shared" si="14"/>
        <v>2546548.4107141858</v>
      </c>
      <c r="BA42" s="307">
        <f t="shared" si="14"/>
        <v>2708282.0930303335</v>
      </c>
      <c r="BB42" s="307">
        <f t="shared" si="14"/>
        <v>655977.09713119245</v>
      </c>
      <c r="BC42" s="307">
        <f t="shared" si="14"/>
        <v>659043.72536760359</v>
      </c>
      <c r="BD42" s="307">
        <f t="shared" si="14"/>
        <v>662261.47352396452</v>
      </c>
      <c r="BE42" s="307">
        <f t="shared" si="14"/>
        <v>4724686.3094152482</v>
      </c>
      <c r="BF42" s="307">
        <f t="shared" si="14"/>
        <v>684642.19759654405</v>
      </c>
      <c r="BG42" s="307">
        <f t="shared" si="14"/>
        <v>688146.57074944687</v>
      </c>
      <c r="BH42" s="307">
        <f t="shared" si="14"/>
        <v>-8.5876166122034203E-11</v>
      </c>
      <c r="BI42" s="307">
        <f t="shared" si="14"/>
        <v>-8.6459703743457806E-11</v>
      </c>
      <c r="BJ42" s="307">
        <f t="shared" si="14"/>
        <v>-8.6640939116477968E-11</v>
      </c>
      <c r="BK42" s="307">
        <f t="shared" si="14"/>
        <v>-8.6837261915206921E-11</v>
      </c>
      <c r="BL42" s="307">
        <f t="shared" si="14"/>
        <v>-8.7007321417331699E-11</v>
      </c>
      <c r="BM42" s="307">
        <f t="shared" si="14"/>
        <v>-8.7205879390239716E-11</v>
      </c>
      <c r="BN42" s="307">
        <f t="shared" si="14"/>
        <v>-8.7443739175796525E-11</v>
      </c>
      <c r="BO42" s="307">
        <f t="shared" si="14"/>
        <v>-8.7622925639152538E-11</v>
      </c>
      <c r="BP42" s="307">
        <f t="shared" si="14"/>
        <v>-8.7828375399112714E-11</v>
      </c>
      <c r="BQ42" s="307">
        <f t="shared" si="14"/>
        <v>-8.8056549429893476E-11</v>
      </c>
      <c r="BR42" s="307">
        <f t="shared" si="14"/>
        <v>-8.821580559015274E-11</v>
      </c>
      <c r="BS42" s="308">
        <f t="shared" si="14"/>
        <v>-8.8417530059814463E-11</v>
      </c>
    </row>
    <row r="44" spans="2:71" x14ac:dyDescent="0.3">
      <c r="B44" s="114" t="s">
        <v>123</v>
      </c>
      <c r="C44" s="115"/>
      <c r="D44" s="115"/>
      <c r="E44" s="115"/>
      <c r="F44" s="57"/>
      <c r="G44" s="116"/>
      <c r="H44" s="57"/>
      <c r="I44" s="116"/>
      <c r="J44" s="116"/>
      <c r="K44" s="57"/>
      <c r="L44" s="117"/>
      <c r="M44" s="117"/>
      <c r="N44" s="115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9"/>
    </row>
    <row r="45" spans="2:71" x14ac:dyDescent="0.3">
      <c r="B45" s="238" t="s">
        <v>91</v>
      </c>
      <c r="C45" s="239"/>
      <c r="D45" s="239"/>
      <c r="E45" s="240"/>
      <c r="F45" s="241"/>
      <c r="G45" s="241"/>
      <c r="H45" s="239"/>
      <c r="I45" s="239"/>
      <c r="J45" s="239"/>
      <c r="K45" s="124"/>
      <c r="L45" s="124"/>
      <c r="M45" s="124"/>
      <c r="N45" s="124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  <c r="AQ45" s="242"/>
      <c r="AR45" s="242"/>
      <c r="AS45" s="242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3"/>
    </row>
    <row r="46" spans="2:71" x14ac:dyDescent="0.3">
      <c r="B46" s="244"/>
      <c r="C46" s="245" t="s">
        <v>125</v>
      </c>
      <c r="D46" s="245"/>
      <c r="E46" s="246"/>
      <c r="F46" s="247"/>
      <c r="G46" s="247"/>
      <c r="H46" s="245"/>
      <c r="I46" s="245"/>
      <c r="J46" s="245"/>
      <c r="K46" s="300">
        <f>Summary!M45</f>
        <v>119914794.80998662</v>
      </c>
      <c r="L46" s="300">
        <f>K48</f>
        <v>52346052.509986624</v>
      </c>
      <c r="M46" s="300">
        <f t="shared" ref="M46:BS46" si="15">L48</f>
        <v>52198548.162663028</v>
      </c>
      <c r="N46" s="300">
        <f t="shared" si="15"/>
        <v>51807533.927041329</v>
      </c>
      <c r="O46" s="314">
        <f t="shared" si="15"/>
        <v>51368669.849312752</v>
      </c>
      <c r="P46" s="314">
        <f t="shared" si="15"/>
        <v>49904074.326061539</v>
      </c>
      <c r="Q46" s="314">
        <f t="shared" si="15"/>
        <v>49386474.884431094</v>
      </c>
      <c r="R46" s="314">
        <f t="shared" si="15"/>
        <v>48846068.496784039</v>
      </c>
      <c r="S46" s="314">
        <f t="shared" si="15"/>
        <v>48297751.667703904</v>
      </c>
      <c r="T46" s="314">
        <f t="shared" si="15"/>
        <v>47757345.300581463</v>
      </c>
      <c r="U46" s="314">
        <f t="shared" si="15"/>
        <v>47239745.858951017</v>
      </c>
      <c r="V46" s="314">
        <f t="shared" si="15"/>
        <v>45584936.448770195</v>
      </c>
      <c r="W46" s="314">
        <f t="shared" si="15"/>
        <v>45146072.371041618</v>
      </c>
      <c r="X46" s="314">
        <f t="shared" si="15"/>
        <v>44100322.26041992</v>
      </c>
      <c r="Y46" s="314">
        <f t="shared" si="15"/>
        <v>43882324.000765815</v>
      </c>
      <c r="Z46" s="314">
        <f t="shared" si="15"/>
        <v>43631013.220192611</v>
      </c>
      <c r="AA46" s="314">
        <f t="shared" si="15"/>
        <v>43308399.828473844</v>
      </c>
      <c r="AB46" s="314">
        <f t="shared" si="15"/>
        <v>42843174.918984443</v>
      </c>
      <c r="AC46" s="314">
        <f t="shared" si="15"/>
        <v>42111688.89048671</v>
      </c>
      <c r="AD46" s="314">
        <f t="shared" si="15"/>
        <v>40916768.544285364</v>
      </c>
      <c r="AE46" s="314">
        <f t="shared" si="15"/>
        <v>38971200.157942444</v>
      </c>
      <c r="AF46" s="314">
        <f t="shared" si="15"/>
        <v>35896816.213235997</v>
      </c>
      <c r="AG46" s="314">
        <f t="shared" si="15"/>
        <v>31251691.00439864</v>
      </c>
      <c r="AH46" s="314">
        <f t="shared" si="15"/>
        <v>23228974.756042209</v>
      </c>
      <c r="AI46" s="314">
        <f t="shared" si="15"/>
        <v>14214366.254583916</v>
      </c>
      <c r="AJ46" s="314">
        <f t="shared" si="15"/>
        <v>2709172.2965903766</v>
      </c>
      <c r="AK46" s="314">
        <f t="shared" si="15"/>
        <v>0</v>
      </c>
      <c r="AL46" s="314">
        <f t="shared" si="15"/>
        <v>0</v>
      </c>
      <c r="AM46" s="314">
        <f t="shared" si="15"/>
        <v>0</v>
      </c>
      <c r="AN46" s="314">
        <f t="shared" si="15"/>
        <v>0</v>
      </c>
      <c r="AO46" s="314">
        <f t="shared" si="15"/>
        <v>0</v>
      </c>
      <c r="AP46" s="314">
        <f t="shared" si="15"/>
        <v>0</v>
      </c>
      <c r="AQ46" s="314">
        <f t="shared" si="15"/>
        <v>0</v>
      </c>
      <c r="AR46" s="314">
        <f t="shared" si="15"/>
        <v>0</v>
      </c>
      <c r="AS46" s="314">
        <f t="shared" si="15"/>
        <v>0</v>
      </c>
      <c r="AT46" s="314">
        <f t="shared" si="15"/>
        <v>0</v>
      </c>
      <c r="AU46" s="314">
        <f t="shared" si="15"/>
        <v>0</v>
      </c>
      <c r="AV46" s="314">
        <f t="shared" si="15"/>
        <v>0</v>
      </c>
      <c r="AW46" s="314">
        <f t="shared" si="15"/>
        <v>0</v>
      </c>
      <c r="AX46" s="314">
        <f t="shared" si="15"/>
        <v>0</v>
      </c>
      <c r="AY46" s="314">
        <f t="shared" si="15"/>
        <v>0</v>
      </c>
      <c r="AZ46" s="314">
        <f t="shared" si="15"/>
        <v>0</v>
      </c>
      <c r="BA46" s="314">
        <f t="shared" si="15"/>
        <v>0</v>
      </c>
      <c r="BB46" s="314">
        <f t="shared" si="15"/>
        <v>0</v>
      </c>
      <c r="BC46" s="314">
        <f t="shared" si="15"/>
        <v>0</v>
      </c>
      <c r="BD46" s="314">
        <f t="shared" si="15"/>
        <v>0</v>
      </c>
      <c r="BE46" s="314">
        <f t="shared" si="15"/>
        <v>0</v>
      </c>
      <c r="BF46" s="314">
        <f t="shared" si="15"/>
        <v>0</v>
      </c>
      <c r="BG46" s="314">
        <f t="shared" si="15"/>
        <v>0</v>
      </c>
      <c r="BH46" s="314">
        <f t="shared" si="15"/>
        <v>0</v>
      </c>
      <c r="BI46" s="314">
        <f t="shared" si="15"/>
        <v>0</v>
      </c>
      <c r="BJ46" s="314">
        <f t="shared" si="15"/>
        <v>0</v>
      </c>
      <c r="BK46" s="314">
        <f t="shared" si="15"/>
        <v>0</v>
      </c>
      <c r="BL46" s="314">
        <f t="shared" si="15"/>
        <v>0</v>
      </c>
      <c r="BM46" s="314">
        <f t="shared" si="15"/>
        <v>0</v>
      </c>
      <c r="BN46" s="314">
        <f t="shared" si="15"/>
        <v>0</v>
      </c>
      <c r="BO46" s="314">
        <f t="shared" si="15"/>
        <v>0</v>
      </c>
      <c r="BP46" s="314">
        <f t="shared" si="15"/>
        <v>0</v>
      </c>
      <c r="BQ46" s="314">
        <f t="shared" si="15"/>
        <v>0</v>
      </c>
      <c r="BR46" s="314">
        <f t="shared" si="15"/>
        <v>0</v>
      </c>
      <c r="BS46" s="316">
        <f t="shared" si="15"/>
        <v>0</v>
      </c>
    </row>
    <row r="47" spans="2:71" x14ac:dyDescent="0.3">
      <c r="B47" s="87"/>
      <c r="C47" s="239" t="s">
        <v>126</v>
      </c>
      <c r="D47" s="239"/>
      <c r="E47" s="248"/>
      <c r="F47" s="249"/>
      <c r="G47" s="249"/>
      <c r="H47" s="239"/>
      <c r="I47" s="296" t="str">
        <f>IF(ROUND(Summary!M45,0)=ROUND(SUM(K47:BS47),0),"Ok","Error")</f>
        <v>Ok</v>
      </c>
      <c r="J47" s="242"/>
      <c r="K47" s="301">
        <f>MIN(K39,K46)</f>
        <v>67568742.299999997</v>
      </c>
      <c r="L47" s="301">
        <f>MIN(L39,L46)</f>
        <v>147504.34732359985</v>
      </c>
      <c r="M47" s="301">
        <f t="shared" ref="M47:BS47" si="16">MIN(M39,M46)</f>
        <v>391014.23562169506</v>
      </c>
      <c r="N47" s="301">
        <f t="shared" si="16"/>
        <v>438864.07772857626</v>
      </c>
      <c r="O47" s="321">
        <f t="shared" si="16"/>
        <v>1464595.5232512141</v>
      </c>
      <c r="P47" s="321">
        <f t="shared" si="16"/>
        <v>517599.44163044542</v>
      </c>
      <c r="Q47" s="321">
        <f t="shared" si="16"/>
        <v>540406.38764705183</v>
      </c>
      <c r="R47" s="321">
        <f t="shared" si="16"/>
        <v>548316.82908013172</v>
      </c>
      <c r="S47" s="321">
        <f t="shared" si="16"/>
        <v>540406.36712244048</v>
      </c>
      <c r="T47" s="321">
        <f t="shared" si="16"/>
        <v>517599.44163044542</v>
      </c>
      <c r="U47" s="321">
        <f t="shared" si="16"/>
        <v>1654809.4101808253</v>
      </c>
      <c r="V47" s="321">
        <f t="shared" si="16"/>
        <v>438864.07772857649</v>
      </c>
      <c r="W47" s="321">
        <f t="shared" si="16"/>
        <v>1045750.1106216949</v>
      </c>
      <c r="X47" s="321">
        <f t="shared" si="16"/>
        <v>217998.25965410296</v>
      </c>
      <c r="Y47" s="321">
        <f t="shared" si="16"/>
        <v>251310.78057320259</v>
      </c>
      <c r="Z47" s="321">
        <f t="shared" si="16"/>
        <v>322613.39171876758</v>
      </c>
      <c r="AA47" s="321">
        <f t="shared" si="16"/>
        <v>465224.90948939882</v>
      </c>
      <c r="AB47" s="321">
        <f t="shared" si="16"/>
        <v>731486.02849773038</v>
      </c>
      <c r="AC47" s="321">
        <f t="shared" si="16"/>
        <v>1194920.3462013437</v>
      </c>
      <c r="AD47" s="321">
        <f t="shared" si="16"/>
        <v>1945568.3863429232</v>
      </c>
      <c r="AE47" s="321">
        <f t="shared" si="16"/>
        <v>3074383.944706447</v>
      </c>
      <c r="AF47" s="321">
        <f t="shared" si="16"/>
        <v>4645125.2088373564</v>
      </c>
      <c r="AG47" s="321">
        <f t="shared" si="16"/>
        <v>8022716.2483564327</v>
      </c>
      <c r="AH47" s="321">
        <f t="shared" si="16"/>
        <v>9014608.5014582928</v>
      </c>
      <c r="AI47" s="321">
        <f t="shared" si="16"/>
        <v>11505193.957993539</v>
      </c>
      <c r="AJ47" s="321">
        <f t="shared" si="16"/>
        <v>2709172.2965903766</v>
      </c>
      <c r="AK47" s="321">
        <f t="shared" si="16"/>
        <v>0</v>
      </c>
      <c r="AL47" s="321">
        <f t="shared" si="16"/>
        <v>0</v>
      </c>
      <c r="AM47" s="321">
        <f t="shared" si="16"/>
        <v>0</v>
      </c>
      <c r="AN47" s="321">
        <f t="shared" si="16"/>
        <v>0</v>
      </c>
      <c r="AO47" s="321">
        <f t="shared" si="16"/>
        <v>0</v>
      </c>
      <c r="AP47" s="321">
        <f t="shared" si="16"/>
        <v>0</v>
      </c>
      <c r="AQ47" s="321">
        <f t="shared" si="16"/>
        <v>0</v>
      </c>
      <c r="AR47" s="321">
        <f t="shared" si="16"/>
        <v>0</v>
      </c>
      <c r="AS47" s="321">
        <f t="shared" si="16"/>
        <v>0</v>
      </c>
      <c r="AT47" s="321">
        <f t="shared" si="16"/>
        <v>0</v>
      </c>
      <c r="AU47" s="321">
        <f t="shared" si="16"/>
        <v>0</v>
      </c>
      <c r="AV47" s="321">
        <f t="shared" si="16"/>
        <v>0</v>
      </c>
      <c r="AW47" s="321">
        <f t="shared" si="16"/>
        <v>0</v>
      </c>
      <c r="AX47" s="321">
        <f t="shared" si="16"/>
        <v>0</v>
      </c>
      <c r="AY47" s="321">
        <f t="shared" si="16"/>
        <v>0</v>
      </c>
      <c r="AZ47" s="321">
        <f t="shared" si="16"/>
        <v>0</v>
      </c>
      <c r="BA47" s="321">
        <f t="shared" si="16"/>
        <v>0</v>
      </c>
      <c r="BB47" s="321">
        <f t="shared" si="16"/>
        <v>0</v>
      </c>
      <c r="BC47" s="321">
        <f t="shared" si="16"/>
        <v>0</v>
      </c>
      <c r="BD47" s="321">
        <f t="shared" si="16"/>
        <v>0</v>
      </c>
      <c r="BE47" s="321">
        <f t="shared" si="16"/>
        <v>0</v>
      </c>
      <c r="BF47" s="321">
        <f t="shared" si="16"/>
        <v>0</v>
      </c>
      <c r="BG47" s="321">
        <f t="shared" si="16"/>
        <v>0</v>
      </c>
      <c r="BH47" s="321">
        <f t="shared" si="16"/>
        <v>0</v>
      </c>
      <c r="BI47" s="321">
        <f t="shared" si="16"/>
        <v>0</v>
      </c>
      <c r="BJ47" s="321">
        <f t="shared" si="16"/>
        <v>0</v>
      </c>
      <c r="BK47" s="321">
        <f t="shared" si="16"/>
        <v>0</v>
      </c>
      <c r="BL47" s="321">
        <f t="shared" si="16"/>
        <v>0</v>
      </c>
      <c r="BM47" s="321">
        <f t="shared" si="16"/>
        <v>0</v>
      </c>
      <c r="BN47" s="321">
        <f t="shared" si="16"/>
        <v>0</v>
      </c>
      <c r="BO47" s="321">
        <f t="shared" si="16"/>
        <v>0</v>
      </c>
      <c r="BP47" s="321">
        <f t="shared" si="16"/>
        <v>0</v>
      </c>
      <c r="BQ47" s="321">
        <f t="shared" si="16"/>
        <v>0</v>
      </c>
      <c r="BR47" s="321">
        <f t="shared" si="16"/>
        <v>0</v>
      </c>
      <c r="BS47" s="322">
        <f t="shared" si="16"/>
        <v>0</v>
      </c>
    </row>
    <row r="48" spans="2:71" x14ac:dyDescent="0.3">
      <c r="B48" s="87"/>
      <c r="C48" s="239" t="s">
        <v>127</v>
      </c>
      <c r="D48" s="239"/>
      <c r="E48" s="240"/>
      <c r="F48" s="241"/>
      <c r="G48" s="241"/>
      <c r="H48" s="239"/>
      <c r="I48" s="239"/>
      <c r="J48" s="239"/>
      <c r="K48" s="323">
        <f>K46-K47</f>
        <v>52346052.509986624</v>
      </c>
      <c r="L48" s="323">
        <f>L46-L47</f>
        <v>52198548.162663028</v>
      </c>
      <c r="M48" s="323">
        <f t="shared" ref="M48:BS48" si="17">M46-M47</f>
        <v>51807533.927041329</v>
      </c>
      <c r="N48" s="301">
        <f t="shared" si="17"/>
        <v>51368669.849312752</v>
      </c>
      <c r="O48" s="321">
        <f t="shared" si="17"/>
        <v>49904074.326061539</v>
      </c>
      <c r="P48" s="321">
        <f t="shared" si="17"/>
        <v>49386474.884431094</v>
      </c>
      <c r="Q48" s="321">
        <f t="shared" si="17"/>
        <v>48846068.496784039</v>
      </c>
      <c r="R48" s="321">
        <f t="shared" si="17"/>
        <v>48297751.667703904</v>
      </c>
      <c r="S48" s="321">
        <f t="shared" si="17"/>
        <v>47757345.300581463</v>
      </c>
      <c r="T48" s="321">
        <f t="shared" si="17"/>
        <v>47239745.858951017</v>
      </c>
      <c r="U48" s="321">
        <f t="shared" si="17"/>
        <v>45584936.448770195</v>
      </c>
      <c r="V48" s="321">
        <f t="shared" si="17"/>
        <v>45146072.371041618</v>
      </c>
      <c r="W48" s="321">
        <f t="shared" si="17"/>
        <v>44100322.26041992</v>
      </c>
      <c r="X48" s="321">
        <f t="shared" si="17"/>
        <v>43882324.000765815</v>
      </c>
      <c r="Y48" s="321">
        <f t="shared" si="17"/>
        <v>43631013.220192611</v>
      </c>
      <c r="Z48" s="321">
        <f t="shared" si="17"/>
        <v>43308399.828473844</v>
      </c>
      <c r="AA48" s="321">
        <f t="shared" si="17"/>
        <v>42843174.918984443</v>
      </c>
      <c r="AB48" s="321">
        <f t="shared" si="17"/>
        <v>42111688.89048671</v>
      </c>
      <c r="AC48" s="321">
        <f t="shared" si="17"/>
        <v>40916768.544285364</v>
      </c>
      <c r="AD48" s="321">
        <f t="shared" si="17"/>
        <v>38971200.157942444</v>
      </c>
      <c r="AE48" s="321">
        <f t="shared" si="17"/>
        <v>35896816.213235997</v>
      </c>
      <c r="AF48" s="321">
        <f t="shared" si="17"/>
        <v>31251691.00439864</v>
      </c>
      <c r="AG48" s="321">
        <f t="shared" si="17"/>
        <v>23228974.756042209</v>
      </c>
      <c r="AH48" s="321">
        <f t="shared" si="17"/>
        <v>14214366.254583916</v>
      </c>
      <c r="AI48" s="321">
        <f t="shared" si="17"/>
        <v>2709172.2965903766</v>
      </c>
      <c r="AJ48" s="321">
        <f t="shared" si="17"/>
        <v>0</v>
      </c>
      <c r="AK48" s="321">
        <f t="shared" si="17"/>
        <v>0</v>
      </c>
      <c r="AL48" s="321">
        <f t="shared" si="17"/>
        <v>0</v>
      </c>
      <c r="AM48" s="321">
        <f t="shared" si="17"/>
        <v>0</v>
      </c>
      <c r="AN48" s="321">
        <f t="shared" si="17"/>
        <v>0</v>
      </c>
      <c r="AO48" s="321">
        <f t="shared" si="17"/>
        <v>0</v>
      </c>
      <c r="AP48" s="321">
        <f t="shared" si="17"/>
        <v>0</v>
      </c>
      <c r="AQ48" s="321">
        <f t="shared" si="17"/>
        <v>0</v>
      </c>
      <c r="AR48" s="321">
        <f t="shared" si="17"/>
        <v>0</v>
      </c>
      <c r="AS48" s="321">
        <f t="shared" si="17"/>
        <v>0</v>
      </c>
      <c r="AT48" s="321">
        <f t="shared" si="17"/>
        <v>0</v>
      </c>
      <c r="AU48" s="321">
        <f t="shared" si="17"/>
        <v>0</v>
      </c>
      <c r="AV48" s="321">
        <f t="shared" si="17"/>
        <v>0</v>
      </c>
      <c r="AW48" s="321">
        <f t="shared" si="17"/>
        <v>0</v>
      </c>
      <c r="AX48" s="321">
        <f t="shared" si="17"/>
        <v>0</v>
      </c>
      <c r="AY48" s="321">
        <f t="shared" si="17"/>
        <v>0</v>
      </c>
      <c r="AZ48" s="321">
        <f t="shared" si="17"/>
        <v>0</v>
      </c>
      <c r="BA48" s="321">
        <f t="shared" si="17"/>
        <v>0</v>
      </c>
      <c r="BB48" s="321">
        <f t="shared" si="17"/>
        <v>0</v>
      </c>
      <c r="BC48" s="321">
        <f t="shared" si="17"/>
        <v>0</v>
      </c>
      <c r="BD48" s="321">
        <f t="shared" si="17"/>
        <v>0</v>
      </c>
      <c r="BE48" s="321">
        <f t="shared" si="17"/>
        <v>0</v>
      </c>
      <c r="BF48" s="321">
        <f t="shared" si="17"/>
        <v>0</v>
      </c>
      <c r="BG48" s="321">
        <f t="shared" si="17"/>
        <v>0</v>
      </c>
      <c r="BH48" s="321">
        <f t="shared" si="17"/>
        <v>0</v>
      </c>
      <c r="BI48" s="321">
        <f t="shared" si="17"/>
        <v>0</v>
      </c>
      <c r="BJ48" s="321">
        <f t="shared" si="17"/>
        <v>0</v>
      </c>
      <c r="BK48" s="321">
        <f t="shared" si="17"/>
        <v>0</v>
      </c>
      <c r="BL48" s="321">
        <f t="shared" si="17"/>
        <v>0</v>
      </c>
      <c r="BM48" s="321">
        <f t="shared" si="17"/>
        <v>0</v>
      </c>
      <c r="BN48" s="321">
        <f t="shared" si="17"/>
        <v>0</v>
      </c>
      <c r="BO48" s="321">
        <f t="shared" si="17"/>
        <v>0</v>
      </c>
      <c r="BP48" s="321">
        <f t="shared" si="17"/>
        <v>0</v>
      </c>
      <c r="BQ48" s="321">
        <f t="shared" si="17"/>
        <v>0</v>
      </c>
      <c r="BR48" s="321">
        <f t="shared" si="17"/>
        <v>0</v>
      </c>
      <c r="BS48" s="322">
        <f t="shared" si="17"/>
        <v>0</v>
      </c>
    </row>
    <row r="49" spans="2:128" x14ac:dyDescent="0.3">
      <c r="B49" s="87"/>
      <c r="C49" s="239" t="s">
        <v>128</v>
      </c>
      <c r="D49" s="239"/>
      <c r="E49" s="240"/>
      <c r="F49" s="241"/>
      <c r="G49" s="241"/>
      <c r="H49" s="239"/>
      <c r="I49" s="239"/>
      <c r="J49" s="239"/>
      <c r="K49" s="324">
        <f>SUM($K$47:K47)</f>
        <v>67568742.299999997</v>
      </c>
      <c r="L49" s="324">
        <f>SUM($K$47:L47)</f>
        <v>67716246.647323593</v>
      </c>
      <c r="M49" s="324">
        <f>SUM($K$47:M47)</f>
        <v>68107260.882945284</v>
      </c>
      <c r="N49" s="324">
        <f>SUM($K$47:N47)</f>
        <v>68546124.960673854</v>
      </c>
      <c r="O49" s="324">
        <f>SUM($K$47:O47)</f>
        <v>70010720.483925074</v>
      </c>
      <c r="P49" s="324">
        <f>SUM($K$47:P47)</f>
        <v>70528319.925555527</v>
      </c>
      <c r="Q49" s="324">
        <f>SUM($K$47:Q47)</f>
        <v>71068726.313202575</v>
      </c>
      <c r="R49" s="324">
        <f>SUM($K$47:R47)</f>
        <v>71617043.142282709</v>
      </c>
      <c r="S49" s="324">
        <f>SUM($K$47:S47)</f>
        <v>72157449.509405151</v>
      </c>
      <c r="T49" s="324">
        <f>SUM($K$47:T47)</f>
        <v>72675048.951035589</v>
      </c>
      <c r="U49" s="324">
        <f>SUM($K$47:U47)</f>
        <v>74329858.361216411</v>
      </c>
      <c r="V49" s="324">
        <f>SUM($K$47:V47)</f>
        <v>74768722.438944981</v>
      </c>
      <c r="W49" s="324">
        <f>SUM($K$47:W47)</f>
        <v>75814472.549566671</v>
      </c>
      <c r="X49" s="324">
        <f>SUM($K$47:X47)</f>
        <v>76032470.809220776</v>
      </c>
      <c r="Y49" s="324">
        <f>SUM($K$47:Y47)</f>
        <v>76283781.58979398</v>
      </c>
      <c r="Z49" s="324">
        <f>SUM($K$47:Z47)</f>
        <v>76606394.981512755</v>
      </c>
      <c r="AA49" s="324">
        <f>SUM($K$47:AA47)</f>
        <v>77071619.891002148</v>
      </c>
      <c r="AB49" s="324">
        <f>SUM($K$47:AB47)</f>
        <v>77803105.919499874</v>
      </c>
      <c r="AC49" s="324">
        <f>SUM($K$47:AC47)</f>
        <v>78998026.265701219</v>
      </c>
      <c r="AD49" s="324">
        <f>SUM($K$47:AD47)</f>
        <v>80943594.652044147</v>
      </c>
      <c r="AE49" s="324">
        <f>SUM($K$47:AE47)</f>
        <v>84017978.596750587</v>
      </c>
      <c r="AF49" s="324">
        <f>SUM($K$47:AF47)</f>
        <v>88663103.805587947</v>
      </c>
      <c r="AG49" s="324">
        <f>SUM($K$47:AG47)</f>
        <v>96685820.053944379</v>
      </c>
      <c r="AH49" s="324">
        <f>SUM($K$47:AH47)</f>
        <v>105700428.55540267</v>
      </c>
      <c r="AI49" s="324">
        <f>SUM($K$47:AI47)</f>
        <v>117205622.5133962</v>
      </c>
      <c r="AJ49" s="324">
        <f>SUM($K$47:AJ47)</f>
        <v>119914794.80998658</v>
      </c>
      <c r="AK49" s="324">
        <f>SUM($K$47:AK47)</f>
        <v>119914794.80998658</v>
      </c>
      <c r="AL49" s="324">
        <f>SUM($K$47:AL47)</f>
        <v>119914794.80998658</v>
      </c>
      <c r="AM49" s="324">
        <f>SUM($K$47:AM47)</f>
        <v>119914794.80998658</v>
      </c>
      <c r="AN49" s="324">
        <f>SUM($K$47:AN47)</f>
        <v>119914794.80998658</v>
      </c>
      <c r="AO49" s="324">
        <f>SUM($K$47:AO47)</f>
        <v>119914794.80998658</v>
      </c>
      <c r="AP49" s="324">
        <f>SUM($K$47:AP47)</f>
        <v>119914794.80998658</v>
      </c>
      <c r="AQ49" s="324">
        <f>SUM($K$47:AQ47)</f>
        <v>119914794.80998658</v>
      </c>
      <c r="AR49" s="324">
        <f>SUM($K$47:AR47)</f>
        <v>119914794.80998658</v>
      </c>
      <c r="AS49" s="324">
        <f>SUM($K$47:AS47)</f>
        <v>119914794.80998658</v>
      </c>
      <c r="AT49" s="324">
        <f>SUM($K$47:AT47)</f>
        <v>119914794.80998658</v>
      </c>
      <c r="AU49" s="324">
        <f>SUM($K$47:AU47)</f>
        <v>119914794.80998658</v>
      </c>
      <c r="AV49" s="324">
        <f>SUM($K$47:AV47)</f>
        <v>119914794.80998658</v>
      </c>
      <c r="AW49" s="324">
        <f>SUM($K$47:AW47)</f>
        <v>119914794.80998658</v>
      </c>
      <c r="AX49" s="324">
        <f>SUM($K$47:AX47)</f>
        <v>119914794.80998658</v>
      </c>
      <c r="AY49" s="324">
        <f>SUM($K$47:AY47)</f>
        <v>119914794.80998658</v>
      </c>
      <c r="AZ49" s="324">
        <f>SUM($K$47:AZ47)</f>
        <v>119914794.80998658</v>
      </c>
      <c r="BA49" s="324">
        <f>SUM($K$47:BA47)</f>
        <v>119914794.80998658</v>
      </c>
      <c r="BB49" s="324">
        <f>SUM($K$47:BB47)</f>
        <v>119914794.80998658</v>
      </c>
      <c r="BC49" s="324">
        <f>SUM($K$47:BC47)</f>
        <v>119914794.80998658</v>
      </c>
      <c r="BD49" s="324">
        <f>SUM($K$47:BD47)</f>
        <v>119914794.80998658</v>
      </c>
      <c r="BE49" s="324">
        <f>SUM($K$47:BE47)</f>
        <v>119914794.80998658</v>
      </c>
      <c r="BF49" s="324">
        <f>SUM($K$47:BF47)</f>
        <v>119914794.80998658</v>
      </c>
      <c r="BG49" s="324">
        <f>SUM($K$47:BG47)</f>
        <v>119914794.80998658</v>
      </c>
      <c r="BH49" s="324">
        <f>SUM($K$47:BH47)</f>
        <v>119914794.80998658</v>
      </c>
      <c r="BI49" s="324">
        <f>SUM($K$47:BI47)</f>
        <v>119914794.80998658</v>
      </c>
      <c r="BJ49" s="324">
        <f>SUM($K$47:BJ47)</f>
        <v>119914794.80998658</v>
      </c>
      <c r="BK49" s="324">
        <f>SUM($K$47:BK47)</f>
        <v>119914794.80998658</v>
      </c>
      <c r="BL49" s="324">
        <f>SUM($K$47:BL47)</f>
        <v>119914794.80998658</v>
      </c>
      <c r="BM49" s="324">
        <f>SUM($K$47:BM47)</f>
        <v>119914794.80998658</v>
      </c>
      <c r="BN49" s="324">
        <f>SUM($K$47:BN47)</f>
        <v>119914794.80998658</v>
      </c>
      <c r="BO49" s="324">
        <f>SUM($K$47:BO47)</f>
        <v>119914794.80998658</v>
      </c>
      <c r="BP49" s="324">
        <f>SUM($K$47:BP47)</f>
        <v>119914794.80998658</v>
      </c>
      <c r="BQ49" s="324">
        <f>SUM($K$47:BQ47)</f>
        <v>119914794.80998658</v>
      </c>
      <c r="BR49" s="324">
        <f>SUM($K$47:BR47)</f>
        <v>119914794.80998658</v>
      </c>
      <c r="BS49" s="325">
        <f>SUM($K$47:BS47)</f>
        <v>119914794.80998658</v>
      </c>
    </row>
    <row r="50" spans="2:128" x14ac:dyDescent="0.3">
      <c r="B50" s="271" t="s">
        <v>129</v>
      </c>
      <c r="C50" s="254"/>
      <c r="D50" s="254"/>
      <c r="E50" s="270"/>
      <c r="F50" s="275"/>
      <c r="G50" s="275"/>
      <c r="H50" s="254"/>
      <c r="I50" s="254"/>
      <c r="J50" s="254"/>
      <c r="K50" s="270"/>
      <c r="L50" s="270"/>
      <c r="M50" s="270"/>
      <c r="N50" s="270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276"/>
      <c r="AP50" s="276"/>
      <c r="AQ50" s="276"/>
      <c r="AR50" s="276"/>
      <c r="AS50" s="276"/>
      <c r="AT50" s="276"/>
      <c r="AU50" s="276"/>
      <c r="AV50" s="276"/>
      <c r="AW50" s="276"/>
      <c r="AX50" s="276"/>
      <c r="AY50" s="276"/>
      <c r="AZ50" s="276"/>
      <c r="BA50" s="276"/>
      <c r="BB50" s="276"/>
      <c r="BC50" s="276"/>
      <c r="BD50" s="276"/>
      <c r="BE50" s="276"/>
      <c r="BF50" s="276"/>
      <c r="BG50" s="276"/>
      <c r="BH50" s="276"/>
      <c r="BI50" s="276"/>
      <c r="BJ50" s="276"/>
      <c r="BK50" s="276"/>
      <c r="BL50" s="276"/>
      <c r="BM50" s="276"/>
      <c r="BN50" s="276"/>
      <c r="BO50" s="276"/>
      <c r="BP50" s="276"/>
      <c r="BQ50" s="276"/>
      <c r="BR50" s="276"/>
      <c r="BS50" s="277"/>
    </row>
    <row r="51" spans="2:128" x14ac:dyDescent="0.3">
      <c r="B51" s="244" t="s">
        <v>130</v>
      </c>
      <c r="C51" s="245" t="s">
        <v>125</v>
      </c>
      <c r="D51" s="245"/>
      <c r="E51" s="246"/>
      <c r="F51" s="251"/>
      <c r="G51" s="251"/>
      <c r="H51" s="245"/>
      <c r="I51" s="245"/>
      <c r="J51" s="245"/>
      <c r="K51" s="300">
        <f>Summary!M46</f>
        <v>167010382.96022698</v>
      </c>
      <c r="L51" s="300">
        <f>K53</f>
        <v>167010382.96022698</v>
      </c>
      <c r="M51" s="300">
        <f t="shared" ref="M51:BS51" si="18">L53</f>
        <v>167010382.96022698</v>
      </c>
      <c r="N51" s="300">
        <f t="shared" si="18"/>
        <v>167010382.96022698</v>
      </c>
      <c r="O51" s="310">
        <f t="shared" si="18"/>
        <v>167010382.96022698</v>
      </c>
      <c r="P51" s="310">
        <f t="shared" si="18"/>
        <v>167010382.96022698</v>
      </c>
      <c r="Q51" s="310">
        <f t="shared" si="18"/>
        <v>167010382.96022698</v>
      </c>
      <c r="R51" s="310">
        <f t="shared" si="18"/>
        <v>167010382.96022698</v>
      </c>
      <c r="S51" s="310">
        <f t="shared" si="18"/>
        <v>167010382.96022698</v>
      </c>
      <c r="T51" s="310">
        <f t="shared" si="18"/>
        <v>167010382.96022698</v>
      </c>
      <c r="U51" s="310">
        <f t="shared" si="18"/>
        <v>167010382.96022698</v>
      </c>
      <c r="V51" s="310">
        <f t="shared" si="18"/>
        <v>167010382.96022698</v>
      </c>
      <c r="W51" s="310">
        <f t="shared" si="18"/>
        <v>167010382.96022698</v>
      </c>
      <c r="X51" s="310">
        <f t="shared" si="18"/>
        <v>167010382.96022698</v>
      </c>
      <c r="Y51" s="310">
        <f t="shared" si="18"/>
        <v>167010382.96022698</v>
      </c>
      <c r="Z51" s="310">
        <f t="shared" si="18"/>
        <v>167010382.96022698</v>
      </c>
      <c r="AA51" s="310">
        <f t="shared" si="18"/>
        <v>167010382.96022698</v>
      </c>
      <c r="AB51" s="310">
        <f t="shared" si="18"/>
        <v>167010382.96022698</v>
      </c>
      <c r="AC51" s="310">
        <f t="shared" si="18"/>
        <v>167010382.96022698</v>
      </c>
      <c r="AD51" s="310">
        <f t="shared" si="18"/>
        <v>167010382.96022698</v>
      </c>
      <c r="AE51" s="310">
        <f t="shared" si="18"/>
        <v>167010382.96022698</v>
      </c>
      <c r="AF51" s="310">
        <f t="shared" si="18"/>
        <v>167010382.96022698</v>
      </c>
      <c r="AG51" s="310">
        <f t="shared" si="18"/>
        <v>167010382.96022698</v>
      </c>
      <c r="AH51" s="310">
        <f t="shared" si="18"/>
        <v>167010382.96022698</v>
      </c>
      <c r="AI51" s="310">
        <f t="shared" si="18"/>
        <v>167010382.96022698</v>
      </c>
      <c r="AJ51" s="310">
        <f t="shared" si="18"/>
        <v>167010382.96022698</v>
      </c>
      <c r="AK51" s="310">
        <f t="shared" si="18"/>
        <v>155894932.94914788</v>
      </c>
      <c r="AL51" s="310">
        <f t="shared" si="18"/>
        <v>140265443.0597994</v>
      </c>
      <c r="AM51" s="310">
        <f t="shared" si="18"/>
        <v>123645785.8041621</v>
      </c>
      <c r="AN51" s="310">
        <f t="shared" si="18"/>
        <v>107026128.59604371</v>
      </c>
      <c r="AO51" s="310">
        <f t="shared" si="18"/>
        <v>91396638.700225532</v>
      </c>
      <c r="AP51" s="310">
        <f t="shared" si="18"/>
        <v>77572016.351506829</v>
      </c>
      <c r="AQ51" s="310">
        <f t="shared" si="18"/>
        <v>66066822.441032186</v>
      </c>
      <c r="AR51" s="310">
        <f t="shared" si="18"/>
        <v>57052213.974153429</v>
      </c>
      <c r="AS51" s="310">
        <f t="shared" si="18"/>
        <v>50209890.759260781</v>
      </c>
      <c r="AT51" s="310">
        <f t="shared" si="18"/>
        <v>41329276.1912397</v>
      </c>
      <c r="AU51" s="310">
        <f t="shared" si="18"/>
        <v>37701226.66697932</v>
      </c>
      <c r="AV51" s="310">
        <f t="shared" si="18"/>
        <v>35017437.482688226</v>
      </c>
      <c r="AW51" s="310">
        <f t="shared" si="18"/>
        <v>13429850.922622982</v>
      </c>
      <c r="AX51" s="310">
        <f t="shared" si="18"/>
        <v>11591033.733901832</v>
      </c>
      <c r="AY51" s="310">
        <f t="shared" si="18"/>
        <v>9833922.4058611151</v>
      </c>
      <c r="AZ51" s="310">
        <f t="shared" si="18"/>
        <v>8034867.437655082</v>
      </c>
      <c r="BA51" s="310">
        <f t="shared" si="18"/>
        <v>6122559.9032496102</v>
      </c>
      <c r="BB51" s="310">
        <f t="shared" si="18"/>
        <v>4059009.637905017</v>
      </c>
      <c r="BC51" s="310">
        <f t="shared" si="18"/>
        <v>4059009.637905017</v>
      </c>
      <c r="BD51" s="310">
        <f t="shared" si="18"/>
        <v>4059009.637905017</v>
      </c>
      <c r="BE51" s="310">
        <f t="shared" si="18"/>
        <v>4059009.637905017</v>
      </c>
      <c r="BF51" s="310">
        <f t="shared" si="18"/>
        <v>1.7695128917694092E-8</v>
      </c>
      <c r="BG51" s="310">
        <f t="shared" si="18"/>
        <v>1.7695128917694092E-8</v>
      </c>
      <c r="BH51" s="310">
        <f t="shared" si="18"/>
        <v>1.7695128917694092E-8</v>
      </c>
      <c r="BI51" s="310">
        <f t="shared" si="18"/>
        <v>1.7695128917694092E-8</v>
      </c>
      <c r="BJ51" s="310">
        <f t="shared" si="18"/>
        <v>1.7695128917694092E-8</v>
      </c>
      <c r="BK51" s="310">
        <f t="shared" si="18"/>
        <v>1.7695128917694092E-8</v>
      </c>
      <c r="BL51" s="310">
        <f t="shared" si="18"/>
        <v>1.7695128917694092E-8</v>
      </c>
      <c r="BM51" s="310">
        <f t="shared" si="18"/>
        <v>1.7695128917694092E-8</v>
      </c>
      <c r="BN51" s="310">
        <f t="shared" si="18"/>
        <v>1.7695128917694092E-8</v>
      </c>
      <c r="BO51" s="310">
        <f t="shared" si="18"/>
        <v>1.7695128917694092E-8</v>
      </c>
      <c r="BP51" s="310">
        <f t="shared" si="18"/>
        <v>1.7695128917694092E-8</v>
      </c>
      <c r="BQ51" s="310">
        <f t="shared" si="18"/>
        <v>1.7695128917694092E-8</v>
      </c>
      <c r="BR51" s="310">
        <f t="shared" si="18"/>
        <v>1.7695128917694092E-8</v>
      </c>
      <c r="BS51" s="311">
        <f t="shared" si="18"/>
        <v>1.7695128917694092E-8</v>
      </c>
    </row>
    <row r="52" spans="2:128" x14ac:dyDescent="0.3">
      <c r="B52" s="238"/>
      <c r="C52" s="239" t="s">
        <v>131</v>
      </c>
      <c r="D52" s="239"/>
      <c r="E52" s="240"/>
      <c r="F52" s="241"/>
      <c r="G52" s="241"/>
      <c r="H52" s="239"/>
      <c r="I52" s="296" t="str">
        <f>IF(ROUND(Summary!M46,0)=ROUND(SUM(K52:BS52),0),"Ok","Error")</f>
        <v>Ok</v>
      </c>
      <c r="J52" s="242"/>
      <c r="K52" s="301">
        <f>MIN(K39-K47,K51)</f>
        <v>0</v>
      </c>
      <c r="L52" s="301">
        <f>MIN(L39-L47,L51)</f>
        <v>0</v>
      </c>
      <c r="M52" s="301">
        <f t="shared" ref="M52:BS52" si="19">MIN(M39-M47,M51)</f>
        <v>0</v>
      </c>
      <c r="N52" s="301">
        <f t="shared" si="19"/>
        <v>0</v>
      </c>
      <c r="O52" s="301">
        <f t="shared" si="19"/>
        <v>0</v>
      </c>
      <c r="P52" s="312">
        <f t="shared" si="19"/>
        <v>0</v>
      </c>
      <c r="Q52" s="312">
        <f t="shared" si="19"/>
        <v>0</v>
      </c>
      <c r="R52" s="312">
        <f t="shared" si="19"/>
        <v>0</v>
      </c>
      <c r="S52" s="312">
        <f t="shared" si="19"/>
        <v>0</v>
      </c>
      <c r="T52" s="312">
        <f t="shared" si="19"/>
        <v>0</v>
      </c>
      <c r="U52" s="312">
        <f t="shared" si="19"/>
        <v>0</v>
      </c>
      <c r="V52" s="312">
        <f t="shared" si="19"/>
        <v>0</v>
      </c>
      <c r="W52" s="312">
        <f t="shared" si="19"/>
        <v>0</v>
      </c>
      <c r="X52" s="312">
        <f t="shared" si="19"/>
        <v>0</v>
      </c>
      <c r="Y52" s="312">
        <f t="shared" si="19"/>
        <v>0</v>
      </c>
      <c r="Z52" s="312">
        <f t="shared" si="19"/>
        <v>0</v>
      </c>
      <c r="AA52" s="312">
        <f t="shared" si="19"/>
        <v>0</v>
      </c>
      <c r="AB52" s="312">
        <f t="shared" si="19"/>
        <v>0</v>
      </c>
      <c r="AC52" s="312">
        <f t="shared" si="19"/>
        <v>0</v>
      </c>
      <c r="AD52" s="312">
        <f t="shared" si="19"/>
        <v>0</v>
      </c>
      <c r="AE52" s="312">
        <f t="shared" si="19"/>
        <v>0</v>
      </c>
      <c r="AF52" s="312">
        <f t="shared" si="19"/>
        <v>0</v>
      </c>
      <c r="AG52" s="312">
        <f t="shared" si="19"/>
        <v>0</v>
      </c>
      <c r="AH52" s="312">
        <f t="shared" si="19"/>
        <v>0</v>
      </c>
      <c r="AI52" s="312">
        <f t="shared" si="19"/>
        <v>0</v>
      </c>
      <c r="AJ52" s="312">
        <f t="shared" si="19"/>
        <v>11115450.011079106</v>
      </c>
      <c r="AK52" s="312">
        <f t="shared" si="19"/>
        <v>15629489.889348479</v>
      </c>
      <c r="AL52" s="312">
        <f t="shared" si="19"/>
        <v>16619657.255637307</v>
      </c>
      <c r="AM52" s="312">
        <f t="shared" si="19"/>
        <v>16619657.208118396</v>
      </c>
      <c r="AN52" s="312">
        <f t="shared" si="19"/>
        <v>15629489.895818168</v>
      </c>
      <c r="AO52" s="312">
        <f t="shared" si="19"/>
        <v>13824622.348718697</v>
      </c>
      <c r="AP52" s="312">
        <f t="shared" si="19"/>
        <v>11505193.910474641</v>
      </c>
      <c r="AQ52" s="312">
        <f t="shared" si="19"/>
        <v>9014608.4668787569</v>
      </c>
      <c r="AR52" s="312">
        <f t="shared" si="19"/>
        <v>6842323.214892651</v>
      </c>
      <c r="AS52" s="312">
        <f t="shared" si="19"/>
        <v>8880614.5680210833</v>
      </c>
      <c r="AT52" s="312">
        <f t="shared" si="19"/>
        <v>3628049.5242603808</v>
      </c>
      <c r="AU52" s="312">
        <f t="shared" si="19"/>
        <v>2683789.1842910941</v>
      </c>
      <c r="AV52" s="312">
        <f t="shared" si="19"/>
        <v>21587586.560065243</v>
      </c>
      <c r="AW52" s="312">
        <f t="shared" si="19"/>
        <v>1838817.1887211492</v>
      </c>
      <c r="AX52" s="312">
        <f t="shared" si="19"/>
        <v>1757111.3280407176</v>
      </c>
      <c r="AY52" s="312">
        <f t="shared" si="19"/>
        <v>1799054.9682060331</v>
      </c>
      <c r="AZ52" s="312">
        <f t="shared" si="19"/>
        <v>1912307.534405472</v>
      </c>
      <c r="BA52" s="312">
        <f t="shared" si="19"/>
        <v>2063550.2653445932</v>
      </c>
      <c r="BB52" s="312">
        <f t="shared" si="19"/>
        <v>0</v>
      </c>
      <c r="BC52" s="312">
        <f t="shared" si="19"/>
        <v>0</v>
      </c>
      <c r="BD52" s="312">
        <f t="shared" si="19"/>
        <v>0</v>
      </c>
      <c r="BE52" s="312">
        <f t="shared" si="19"/>
        <v>4059009.6379049993</v>
      </c>
      <c r="BF52" s="312">
        <f t="shared" si="19"/>
        <v>0</v>
      </c>
      <c r="BG52" s="312">
        <f t="shared" si="19"/>
        <v>0</v>
      </c>
      <c r="BH52" s="312">
        <f t="shared" si="19"/>
        <v>0</v>
      </c>
      <c r="BI52" s="312">
        <f t="shared" si="19"/>
        <v>0</v>
      </c>
      <c r="BJ52" s="312">
        <f t="shared" si="19"/>
        <v>0</v>
      </c>
      <c r="BK52" s="312">
        <f t="shared" si="19"/>
        <v>0</v>
      </c>
      <c r="BL52" s="312">
        <f t="shared" si="19"/>
        <v>0</v>
      </c>
      <c r="BM52" s="312">
        <f t="shared" si="19"/>
        <v>0</v>
      </c>
      <c r="BN52" s="312">
        <f t="shared" si="19"/>
        <v>0</v>
      </c>
      <c r="BO52" s="312">
        <f t="shared" si="19"/>
        <v>0</v>
      </c>
      <c r="BP52" s="312">
        <f t="shared" si="19"/>
        <v>0</v>
      </c>
      <c r="BQ52" s="312">
        <f t="shared" si="19"/>
        <v>0</v>
      </c>
      <c r="BR52" s="312">
        <f t="shared" si="19"/>
        <v>0</v>
      </c>
      <c r="BS52" s="313">
        <f t="shared" si="19"/>
        <v>0</v>
      </c>
    </row>
    <row r="53" spans="2:128" x14ac:dyDescent="0.3">
      <c r="B53" s="87"/>
      <c r="C53" s="239" t="s">
        <v>127</v>
      </c>
      <c r="D53" s="239"/>
      <c r="E53" s="240"/>
      <c r="F53" s="241"/>
      <c r="G53" s="241"/>
      <c r="H53" s="239"/>
      <c r="I53" s="239"/>
      <c r="J53" s="239"/>
      <c r="K53" s="301">
        <f>K51-K52</f>
        <v>167010382.96022698</v>
      </c>
      <c r="L53" s="301">
        <f>L51-L52</f>
        <v>167010382.96022698</v>
      </c>
      <c r="M53" s="301">
        <f t="shared" ref="M53:BS53" si="20">M51-M52</f>
        <v>167010382.96022698</v>
      </c>
      <c r="N53" s="301">
        <f t="shared" si="20"/>
        <v>167010382.96022698</v>
      </c>
      <c r="O53" s="312">
        <f t="shared" si="20"/>
        <v>167010382.96022698</v>
      </c>
      <c r="P53" s="312">
        <f t="shared" si="20"/>
        <v>167010382.96022698</v>
      </c>
      <c r="Q53" s="312">
        <f t="shared" si="20"/>
        <v>167010382.96022698</v>
      </c>
      <c r="R53" s="312">
        <f t="shared" si="20"/>
        <v>167010382.96022698</v>
      </c>
      <c r="S53" s="312">
        <f t="shared" si="20"/>
        <v>167010382.96022698</v>
      </c>
      <c r="T53" s="312">
        <f t="shared" si="20"/>
        <v>167010382.96022698</v>
      </c>
      <c r="U53" s="312">
        <f t="shared" si="20"/>
        <v>167010382.96022698</v>
      </c>
      <c r="V53" s="312">
        <f t="shared" si="20"/>
        <v>167010382.96022698</v>
      </c>
      <c r="W53" s="312">
        <f t="shared" si="20"/>
        <v>167010382.96022698</v>
      </c>
      <c r="X53" s="312">
        <f t="shared" si="20"/>
        <v>167010382.96022698</v>
      </c>
      <c r="Y53" s="312">
        <f t="shared" si="20"/>
        <v>167010382.96022698</v>
      </c>
      <c r="Z53" s="312">
        <f t="shared" si="20"/>
        <v>167010382.96022698</v>
      </c>
      <c r="AA53" s="312">
        <f t="shared" si="20"/>
        <v>167010382.96022698</v>
      </c>
      <c r="AB53" s="312">
        <f t="shared" si="20"/>
        <v>167010382.96022698</v>
      </c>
      <c r="AC53" s="312">
        <f t="shared" si="20"/>
        <v>167010382.96022698</v>
      </c>
      <c r="AD53" s="312">
        <f t="shared" si="20"/>
        <v>167010382.96022698</v>
      </c>
      <c r="AE53" s="312">
        <f t="shared" si="20"/>
        <v>167010382.96022698</v>
      </c>
      <c r="AF53" s="312">
        <f t="shared" si="20"/>
        <v>167010382.96022698</v>
      </c>
      <c r="AG53" s="312">
        <f t="shared" si="20"/>
        <v>167010382.96022698</v>
      </c>
      <c r="AH53" s="312">
        <f t="shared" si="20"/>
        <v>167010382.96022698</v>
      </c>
      <c r="AI53" s="312">
        <f t="shared" si="20"/>
        <v>167010382.96022698</v>
      </c>
      <c r="AJ53" s="312">
        <f t="shared" si="20"/>
        <v>155894932.94914788</v>
      </c>
      <c r="AK53" s="312">
        <f t="shared" si="20"/>
        <v>140265443.0597994</v>
      </c>
      <c r="AL53" s="312">
        <f t="shared" si="20"/>
        <v>123645785.8041621</v>
      </c>
      <c r="AM53" s="312">
        <f t="shared" si="20"/>
        <v>107026128.59604371</v>
      </c>
      <c r="AN53" s="312">
        <f t="shared" si="20"/>
        <v>91396638.700225532</v>
      </c>
      <c r="AO53" s="312">
        <f t="shared" si="20"/>
        <v>77572016.351506829</v>
      </c>
      <c r="AP53" s="312">
        <f t="shared" si="20"/>
        <v>66066822.441032186</v>
      </c>
      <c r="AQ53" s="312">
        <f t="shared" si="20"/>
        <v>57052213.974153429</v>
      </c>
      <c r="AR53" s="312">
        <f t="shared" si="20"/>
        <v>50209890.759260781</v>
      </c>
      <c r="AS53" s="312">
        <f t="shared" si="20"/>
        <v>41329276.1912397</v>
      </c>
      <c r="AT53" s="312">
        <f t="shared" si="20"/>
        <v>37701226.66697932</v>
      </c>
      <c r="AU53" s="312">
        <f t="shared" si="20"/>
        <v>35017437.482688226</v>
      </c>
      <c r="AV53" s="312">
        <f t="shared" si="20"/>
        <v>13429850.922622982</v>
      </c>
      <c r="AW53" s="312">
        <f t="shared" si="20"/>
        <v>11591033.733901832</v>
      </c>
      <c r="AX53" s="312">
        <f t="shared" si="20"/>
        <v>9833922.4058611151</v>
      </c>
      <c r="AY53" s="312">
        <f t="shared" si="20"/>
        <v>8034867.437655082</v>
      </c>
      <c r="AZ53" s="312">
        <f t="shared" si="20"/>
        <v>6122559.9032496102</v>
      </c>
      <c r="BA53" s="312">
        <f t="shared" si="20"/>
        <v>4059009.637905017</v>
      </c>
      <c r="BB53" s="312">
        <f t="shared" si="20"/>
        <v>4059009.637905017</v>
      </c>
      <c r="BC53" s="312">
        <f t="shared" si="20"/>
        <v>4059009.637905017</v>
      </c>
      <c r="BD53" s="312">
        <f t="shared" si="20"/>
        <v>4059009.637905017</v>
      </c>
      <c r="BE53" s="312">
        <f t="shared" si="20"/>
        <v>1.7695128917694092E-8</v>
      </c>
      <c r="BF53" s="312">
        <f t="shared" si="20"/>
        <v>1.7695128917694092E-8</v>
      </c>
      <c r="BG53" s="312">
        <f t="shared" si="20"/>
        <v>1.7695128917694092E-8</v>
      </c>
      <c r="BH53" s="312">
        <f t="shared" si="20"/>
        <v>1.7695128917694092E-8</v>
      </c>
      <c r="BI53" s="312">
        <f t="shared" si="20"/>
        <v>1.7695128917694092E-8</v>
      </c>
      <c r="BJ53" s="312">
        <f t="shared" si="20"/>
        <v>1.7695128917694092E-8</v>
      </c>
      <c r="BK53" s="312">
        <f t="shared" si="20"/>
        <v>1.7695128917694092E-8</v>
      </c>
      <c r="BL53" s="312">
        <f t="shared" si="20"/>
        <v>1.7695128917694092E-8</v>
      </c>
      <c r="BM53" s="312">
        <f t="shared" si="20"/>
        <v>1.7695128917694092E-8</v>
      </c>
      <c r="BN53" s="312">
        <f t="shared" si="20"/>
        <v>1.7695128917694092E-8</v>
      </c>
      <c r="BO53" s="312">
        <f t="shared" si="20"/>
        <v>1.7695128917694092E-8</v>
      </c>
      <c r="BP53" s="312">
        <f t="shared" si="20"/>
        <v>1.7695128917694092E-8</v>
      </c>
      <c r="BQ53" s="312">
        <f t="shared" si="20"/>
        <v>1.7695128917694092E-8</v>
      </c>
      <c r="BR53" s="312">
        <f t="shared" si="20"/>
        <v>1.7695128917694092E-8</v>
      </c>
      <c r="BS53" s="313">
        <f t="shared" si="20"/>
        <v>1.7695128917694092E-8</v>
      </c>
    </row>
    <row r="54" spans="2:128" x14ac:dyDescent="0.3">
      <c r="B54" s="244"/>
      <c r="C54" s="245" t="s">
        <v>151</v>
      </c>
      <c r="D54" s="245"/>
      <c r="E54" s="246"/>
      <c r="F54" s="247"/>
      <c r="G54" s="247"/>
      <c r="H54" s="245"/>
      <c r="I54" s="309"/>
      <c r="J54" s="245"/>
      <c r="K54" s="300">
        <f>(K68&gt;0)*MIN(K70,J55+K52+J63+K63)</f>
        <v>0</v>
      </c>
      <c r="L54" s="300">
        <f t="shared" ref="L54:BS54" si="21">(L68&gt;0)*MIN(L70,K55+L52+K63+L63)</f>
        <v>0</v>
      </c>
      <c r="M54" s="300">
        <f t="shared" ref="M54:BS54" si="22">(M68&gt;0)*MIN(M70,L55+M52+L63+M63)</f>
        <v>0</v>
      </c>
      <c r="N54" s="300">
        <f t="shared" si="22"/>
        <v>0</v>
      </c>
      <c r="O54" s="314">
        <f t="shared" si="22"/>
        <v>0</v>
      </c>
      <c r="P54" s="314">
        <f t="shared" si="22"/>
        <v>0</v>
      </c>
      <c r="Q54" s="314">
        <f t="shared" si="22"/>
        <v>0</v>
      </c>
      <c r="R54" s="314">
        <f t="shared" si="22"/>
        <v>0</v>
      </c>
      <c r="S54" s="314">
        <f t="shared" si="22"/>
        <v>0</v>
      </c>
      <c r="T54" s="314">
        <f t="shared" si="22"/>
        <v>0</v>
      </c>
      <c r="U54" s="314">
        <f t="shared" si="22"/>
        <v>0</v>
      </c>
      <c r="V54" s="314">
        <f t="shared" si="22"/>
        <v>0</v>
      </c>
      <c r="W54" s="314">
        <f t="shared" si="22"/>
        <v>0</v>
      </c>
      <c r="X54" s="314">
        <f t="shared" si="22"/>
        <v>0</v>
      </c>
      <c r="Y54" s="314">
        <f t="shared" si="22"/>
        <v>0</v>
      </c>
      <c r="Z54" s="314">
        <f t="shared" si="22"/>
        <v>0</v>
      </c>
      <c r="AA54" s="314">
        <f t="shared" si="22"/>
        <v>0</v>
      </c>
      <c r="AB54" s="314">
        <f t="shared" si="22"/>
        <v>0</v>
      </c>
      <c r="AC54" s="314">
        <f t="shared" si="22"/>
        <v>0</v>
      </c>
      <c r="AD54" s="314">
        <f t="shared" si="22"/>
        <v>0</v>
      </c>
      <c r="AE54" s="314">
        <f t="shared" si="22"/>
        <v>0</v>
      </c>
      <c r="AF54" s="314">
        <f t="shared" si="22"/>
        <v>0</v>
      </c>
      <c r="AG54" s="314">
        <f t="shared" si="22"/>
        <v>0</v>
      </c>
      <c r="AH54" s="314">
        <f t="shared" si="22"/>
        <v>0</v>
      </c>
      <c r="AI54" s="314">
        <f t="shared" si="22"/>
        <v>0</v>
      </c>
      <c r="AJ54" s="314">
        <f t="shared" si="22"/>
        <v>0</v>
      </c>
      <c r="AK54" s="314">
        <f t="shared" si="22"/>
        <v>0</v>
      </c>
      <c r="AL54" s="314">
        <f t="shared" si="22"/>
        <v>0</v>
      </c>
      <c r="AM54" s="314">
        <f t="shared" si="22"/>
        <v>0</v>
      </c>
      <c r="AN54" s="314">
        <f t="shared" si="22"/>
        <v>0</v>
      </c>
      <c r="AO54" s="314">
        <f t="shared" si="22"/>
        <v>0</v>
      </c>
      <c r="AP54" s="314">
        <f t="shared" si="22"/>
        <v>0</v>
      </c>
      <c r="AQ54" s="314">
        <f t="shared" si="22"/>
        <v>0</v>
      </c>
      <c r="AR54" s="314">
        <f t="shared" si="22"/>
        <v>0</v>
      </c>
      <c r="AS54" s="314">
        <f t="shared" si="22"/>
        <v>0</v>
      </c>
      <c r="AT54" s="314">
        <f t="shared" si="22"/>
        <v>0</v>
      </c>
      <c r="AU54" s="314">
        <f t="shared" si="22"/>
        <v>0</v>
      </c>
      <c r="AV54" s="314">
        <f t="shared" si="22"/>
        <v>0</v>
      </c>
      <c r="AW54" s="314">
        <f t="shared" si="22"/>
        <v>0</v>
      </c>
      <c r="AX54" s="314">
        <f t="shared" si="22"/>
        <v>0</v>
      </c>
      <c r="AY54" s="314">
        <f t="shared" si="22"/>
        <v>0</v>
      </c>
      <c r="AZ54" s="314">
        <f t="shared" si="22"/>
        <v>0</v>
      </c>
      <c r="BA54" s="314">
        <f t="shared" si="22"/>
        <v>0</v>
      </c>
      <c r="BB54" s="314">
        <f>(BB68&gt;0)*MIN(BB70,BA55+BB52+BA63+BB63)</f>
        <v>0</v>
      </c>
      <c r="BC54" s="314">
        <f t="shared" si="22"/>
        <v>0</v>
      </c>
      <c r="BD54" s="314">
        <f t="shared" si="22"/>
        <v>0</v>
      </c>
      <c r="BE54" s="314">
        <f t="shared" si="22"/>
        <v>0</v>
      </c>
      <c r="BF54" s="315">
        <f t="shared" si="22"/>
        <v>0</v>
      </c>
      <c r="BG54" s="314">
        <f t="shared" si="22"/>
        <v>179872226.73145971</v>
      </c>
      <c r="BH54" s="314">
        <f t="shared" si="22"/>
        <v>0</v>
      </c>
      <c r="BI54" s="314">
        <f t="shared" si="22"/>
        <v>0</v>
      </c>
      <c r="BJ54" s="314">
        <f t="shared" si="22"/>
        <v>0</v>
      </c>
      <c r="BK54" s="314">
        <f t="shared" si="22"/>
        <v>0</v>
      </c>
      <c r="BL54" s="314">
        <f t="shared" si="22"/>
        <v>0</v>
      </c>
      <c r="BM54" s="314">
        <f t="shared" si="22"/>
        <v>0</v>
      </c>
      <c r="BN54" s="314">
        <f t="shared" si="22"/>
        <v>0</v>
      </c>
      <c r="BO54" s="314">
        <f t="shared" si="22"/>
        <v>0</v>
      </c>
      <c r="BP54" s="314">
        <f t="shared" si="22"/>
        <v>0</v>
      </c>
      <c r="BQ54" s="314">
        <f t="shared" si="22"/>
        <v>0</v>
      </c>
      <c r="BR54" s="314">
        <f t="shared" si="22"/>
        <v>0</v>
      </c>
      <c r="BS54" s="316">
        <f t="shared" si="22"/>
        <v>0</v>
      </c>
    </row>
    <row r="55" spans="2:128" x14ac:dyDescent="0.3">
      <c r="B55" s="237" t="s">
        <v>132</v>
      </c>
      <c r="C55" s="255" t="s">
        <v>133</v>
      </c>
      <c r="D55" s="255"/>
      <c r="E55" s="250"/>
      <c r="F55" s="256"/>
      <c r="G55" s="256"/>
      <c r="H55" s="255"/>
      <c r="I55" s="255"/>
      <c r="J55" s="255"/>
      <c r="K55" s="317">
        <f>SUM($K$52:K52)-SUM($K$54:K54)+SUM($J$62:J63)+(K54&gt;0)*K63</f>
        <v>0</v>
      </c>
      <c r="L55" s="317">
        <f>SUM($K$52:L52)-SUM($K$54:L54)+SUM($J$62:K63)+(L54&gt;0)*L63</f>
        <v>0</v>
      </c>
      <c r="M55" s="317">
        <f>SUM($K$52:M52)-SUM($K$54:M54)+SUM($J$62:L63)+(M54&gt;0)*M63</f>
        <v>0</v>
      </c>
      <c r="N55" s="317">
        <f>SUM($K$52:N52)-SUM($K$54:N54)+SUM($J$62:M63)+(N54&gt;0)*N63</f>
        <v>0</v>
      </c>
      <c r="O55" s="318">
        <f>SUM($K$52:O52)-SUM($K$54:O54)+SUM($J$62:N63)+(O54&gt;0)*O63</f>
        <v>0</v>
      </c>
      <c r="P55" s="318">
        <f>SUM($K$52:P52)-SUM($K$54:P54)+SUM($J$62:O63)+(P54&gt;0)*P63</f>
        <v>0</v>
      </c>
      <c r="Q55" s="318">
        <f>SUM($K$52:Q52)-SUM($K$54:Q54)+SUM($J$62:P63)+(Q54&gt;0)*Q63</f>
        <v>0</v>
      </c>
      <c r="R55" s="318">
        <f>SUM($K$52:R52)-SUM($K$54:R54)+SUM($J$62:Q63)+(R54&gt;0)*R63</f>
        <v>0</v>
      </c>
      <c r="S55" s="318">
        <f>SUM($K$52:S52)-SUM($K$54:S54)+SUM($J$62:R63)+(S54&gt;0)*S63</f>
        <v>0</v>
      </c>
      <c r="T55" s="318">
        <f>SUM($K$52:T52)-SUM($K$54:T54)+SUM($J$62:S63)+(T54&gt;0)*T63</f>
        <v>0</v>
      </c>
      <c r="U55" s="318">
        <f>SUM($K$52:U52)-SUM($K$54:U54)+SUM($J$62:T63)+(U54&gt;0)*U63</f>
        <v>0</v>
      </c>
      <c r="V55" s="318">
        <f>SUM($K$52:V52)-SUM($K$54:V54)+SUM($J$62:U63)+(V54&gt;0)*V63</f>
        <v>0</v>
      </c>
      <c r="W55" s="318">
        <f>SUM($K$52:W52)-SUM($K$54:W54)+SUM($J$62:V63)+(W54&gt;0)*W63</f>
        <v>0</v>
      </c>
      <c r="X55" s="318">
        <f>SUM($K$52:X52)-SUM($K$54:X54)+SUM($J$62:W63)+(X54&gt;0)*X63</f>
        <v>0</v>
      </c>
      <c r="Y55" s="318">
        <f>SUM($K$52:Y52)-SUM($K$54:Y54)+SUM($J$62:X63)+(Y54&gt;0)*Y63</f>
        <v>0</v>
      </c>
      <c r="Z55" s="318">
        <f>SUM($K$52:Z52)-SUM($K$54:Z54)+SUM($J$62:Y63)+(Z54&gt;0)*Z63</f>
        <v>0</v>
      </c>
      <c r="AA55" s="318">
        <f>SUM($K$52:AA52)-SUM($K$54:AA54)+SUM($J$62:Z63)+(AA54&gt;0)*AA63</f>
        <v>0</v>
      </c>
      <c r="AB55" s="318">
        <f>SUM($K$52:AB52)-SUM($K$54:AB54)+SUM($J$62:AA63)+(AB54&gt;0)*AB63</f>
        <v>0</v>
      </c>
      <c r="AC55" s="318">
        <f>SUM($K$52:AC52)-SUM($K$54:AC54)+SUM($J$62:AB63)+(AC54&gt;0)*AC63</f>
        <v>0</v>
      </c>
      <c r="AD55" s="318">
        <f>SUM($K$52:AD52)-SUM($K$54:AD54)+SUM($J$62:AC63)+(AD54&gt;0)*AD63</f>
        <v>0</v>
      </c>
      <c r="AE55" s="318">
        <f>SUM($K$52:AE52)-SUM($K$54:AE54)+SUM($J$62:AD63)+(AE54&gt;0)*AE63</f>
        <v>0</v>
      </c>
      <c r="AF55" s="318">
        <f>SUM($K$52:AF52)-SUM($K$54:AF54)+SUM($J$62:AE63)+(AF54&gt;0)*AF63</f>
        <v>0</v>
      </c>
      <c r="AG55" s="318">
        <f>SUM($K$52:AG52)-SUM($K$54:AG54)+SUM($J$62:AF63)+(AG54&gt;0)*AG63</f>
        <v>0</v>
      </c>
      <c r="AH55" s="318">
        <f>SUM($K$52:AH52)-SUM($K$54:AH54)+SUM($J$62:AG63)+(AH54&gt;0)*AH63</f>
        <v>0</v>
      </c>
      <c r="AI55" s="318">
        <f>SUM($K$52:AI52)-SUM($K$54:AI54)+SUM($J$62:AH63)+(AI54&gt;0)*AI63</f>
        <v>0</v>
      </c>
      <c r="AJ55" s="318">
        <f>SUM($K$52:AJ52)-SUM($K$54:AJ54)+SUM($J$62:AI63)+(AJ54&gt;0)*AJ63</f>
        <v>11115450.011079106</v>
      </c>
      <c r="AK55" s="318">
        <f>SUM($K$52:AK52)-SUM($K$54:AK54)+SUM($J$62:AJ63)+(AK54&gt;0)*AK63</f>
        <v>28490580.900427587</v>
      </c>
      <c r="AL55" s="318">
        <f>SUM($K$52:AL52)-SUM($K$54:AL54)+SUM($J$62:AK63)+(AL54&gt;0)*AL63</f>
        <v>45151981.950695254</v>
      </c>
      <c r="AM55" s="318">
        <f>SUM($K$52:AM52)-SUM($K$54:AM54)+SUM($J$62:AL63)+(AM54&gt;0)*AM63</f>
        <v>61878670.673768312</v>
      </c>
      <c r="AN55" s="318">
        <f>SUM($K$52:AN52)-SUM($K$54:AN54)+SUM($J$62:AM63)+(AN54&gt;0)*AN63</f>
        <v>77677898.910267666</v>
      </c>
      <c r="AO55" s="318">
        <f>SUM($K$52:AO52)-SUM($K$54:AO54)+SUM($J$62:AN63)+(AO54&gt;0)*AO63</f>
        <v>91735274.784792215</v>
      </c>
      <c r="AP55" s="318">
        <f>SUM($K$52:AP52)-SUM($K$54:AP54)+SUM($J$62:AO63)+(AP54&gt;0)*AP63</f>
        <v>103532872.90476644</v>
      </c>
      <c r="AQ55" s="318">
        <f>SUM($K$52:AQ52)-SUM($K$54:AQ54)+SUM($J$62:AP63)+(AQ54&gt;0)*AQ63</f>
        <v>112893266.02303712</v>
      </c>
      <c r="AR55" s="318">
        <f>SUM($K$52:AR52)-SUM($K$54:AR54)+SUM($J$62:AQ63)+(AR54&gt;0)*AR63</f>
        <v>120126267.08274014</v>
      </c>
      <c r="AS55" s="318">
        <f>SUM($K$52:AS52)-SUM($K$54:AS54)+SUM($J$62:AR63)+(AS54&gt;0)*AS63</f>
        <v>129433473.31663692</v>
      </c>
      <c r="AT55" s="318">
        <f>SUM($K$52:AT52)-SUM($K$54:AT54)+SUM($J$62:AS63)+(AT54&gt;0)*AT63</f>
        <v>133516194.75549212</v>
      </c>
      <c r="AU55" s="318">
        <f>SUM($K$52:AU52)-SUM($K$54:AU54)+SUM($J$62:AT63)+(AU54&gt;0)*AU63</f>
        <v>136690529.25336733</v>
      </c>
      <c r="AV55" s="318">
        <f>SUM($K$52:AV52)-SUM($K$54:AV54)+SUM($J$62:AU63)+(AV54&gt;0)*AV63</f>
        <v>158784864.29164252</v>
      </c>
      <c r="AW55" s="318">
        <f>SUM($K$52:AW52)-SUM($K$54:AW54)+SUM($J$62:AV63)+(AW54&gt;0)*AW63</f>
        <v>161143348.1172159</v>
      </c>
      <c r="AX55" s="318">
        <f>SUM($K$52:AX52)-SUM($K$54:AX54)+SUM($J$62:AW63)+(AX54&gt;0)*AX63</f>
        <v>163504973.27172291</v>
      </c>
      <c r="AY55" s="318">
        <f>SUM($K$52:AY52)-SUM($K$54:AY54)+SUM($J$62:AX63)+(AY54&gt;0)*AY63</f>
        <v>165918352.34023374</v>
      </c>
      <c r="AZ55" s="318">
        <f>SUM($K$52:AZ52)-SUM($K$54:AZ54)+SUM($J$62:AY63)+(AZ54&gt;0)*AZ63</f>
        <v>168454946.38833663</v>
      </c>
      <c r="BA55" s="318">
        <f>SUM($K$52:BA52)-SUM($K$54:BA54)+SUM($J$62:AZ63)+(BA54&gt;0)*BA63</f>
        <v>171152737.52998993</v>
      </c>
      <c r="BB55" s="318">
        <f>SUM($K$52:BB52)-SUM($K$54:BB54)+SUM($J$62:BA63)+(BB54&gt;0)*BB63</f>
        <v>171797469.35767567</v>
      </c>
      <c r="BC55" s="318">
        <f>SUM($K$52:BC52)-SUM($K$54:BC54)+SUM($J$62:BB63)+(BC54&gt;0)*BC63</f>
        <v>172453446.45480686</v>
      </c>
      <c r="BD55" s="318">
        <f>SUM($K$52:BD52)-SUM($K$54:BD54)+SUM($J$62:BC63)+(BD54&gt;0)*BD63</f>
        <v>173112490.18017447</v>
      </c>
      <c r="BE55" s="318">
        <f>SUM($K$52:BE52)-SUM($K$54:BE54)+SUM($J$62:BD63)+(BE54&gt;0)*BE63</f>
        <v>177833761.29160345</v>
      </c>
      <c r="BF55" s="319">
        <f>SUM($K$52:BF52)-SUM($K$54:BF54)+SUM($J$62:BE63)+(BF54&gt;0)*BF63</f>
        <v>178499437.9631137</v>
      </c>
      <c r="BG55" s="318">
        <f>SUM($K$52:BG52)-SUM($K$54:BG54)+SUM($J$62:BF63)+(BG54&gt;0)*BG63</f>
        <v>-2.223532646894455E-8</v>
      </c>
      <c r="BH55" s="318">
        <f>SUM($K$52:BH52)-SUM($K$54:BH54)+SUM($J$62:BG63)+(BH54&gt;0)*BH63</f>
        <v>-2.2351741790771484E-8</v>
      </c>
      <c r="BI55" s="318">
        <f>SUM($K$52:BI52)-SUM($K$54:BI54)+SUM($J$62:BH63)+(BI54&gt;0)*BI63</f>
        <v>-2.2351741790771484E-8</v>
      </c>
      <c r="BJ55" s="318">
        <f>SUM($K$52:BJ52)-SUM($K$54:BJ54)+SUM($J$62:BI63)+(BJ54&gt;0)*BJ63</f>
        <v>-2.2351741790771484E-8</v>
      </c>
      <c r="BK55" s="318">
        <f>SUM($K$52:BK52)-SUM($K$54:BK54)+SUM($J$62:BJ63)+(BK54&gt;0)*BK63</f>
        <v>-2.2351741790771484E-8</v>
      </c>
      <c r="BL55" s="318">
        <f>SUM($K$52:BL52)-SUM($K$54:BL54)+SUM($J$62:BK63)+(BL54&gt;0)*BL63</f>
        <v>-2.2351741790771484E-8</v>
      </c>
      <c r="BM55" s="318">
        <f>SUM($K$52:BM52)-SUM($K$54:BM54)+SUM($J$62:BL63)+(BM54&gt;0)*BM63</f>
        <v>-2.2351741790771484E-8</v>
      </c>
      <c r="BN55" s="318">
        <f>SUM($K$52:BN52)-SUM($K$54:BN54)+SUM($J$62:BM63)+(BN54&gt;0)*BN63</f>
        <v>-2.2351741790771484E-8</v>
      </c>
      <c r="BO55" s="318">
        <f>SUM($K$52:BO52)-SUM($K$54:BO54)+SUM($J$62:BN63)+(BO54&gt;0)*BO63</f>
        <v>-2.2351741790771484E-8</v>
      </c>
      <c r="BP55" s="318">
        <f>SUM($K$52:BP52)-SUM($K$54:BP54)+SUM($J$62:BO63)+(BP54&gt;0)*BP63</f>
        <v>-2.2351741790771484E-8</v>
      </c>
      <c r="BQ55" s="318">
        <f>SUM($K$52:BQ52)-SUM($K$54:BQ54)+SUM($J$62:BP63)+(BQ54&gt;0)*BQ63</f>
        <v>-2.2351741790771484E-8</v>
      </c>
      <c r="BR55" s="318">
        <f>SUM($K$52:BR52)-SUM($K$54:BR54)+SUM($J$62:BQ63)+(BR54&gt;0)*BR63</f>
        <v>-2.2351741790771484E-8</v>
      </c>
      <c r="BS55" s="320">
        <f>SUM($K$52:BS52)-SUM($K$54:BS54)+SUM($J$62:BR63)+(BS54&gt;0)*BS63</f>
        <v>-2.2351741790771484E-8</v>
      </c>
    </row>
    <row r="56" spans="2:128" x14ac:dyDescent="0.3">
      <c r="B56" s="244" t="s">
        <v>134</v>
      </c>
      <c r="C56" s="245" t="s">
        <v>135</v>
      </c>
      <c r="D56" s="245"/>
      <c r="E56" s="258"/>
      <c r="F56" s="259"/>
      <c r="G56" s="259"/>
      <c r="H56" s="257"/>
      <c r="I56" s="260"/>
      <c r="J56" s="260"/>
      <c r="K56" s="440">
        <f>Summary!$M$52</f>
        <v>6.5000000000000002E-2</v>
      </c>
      <c r="L56" s="440">
        <f>Summary!$M$52</f>
        <v>6.5000000000000002E-2</v>
      </c>
      <c r="M56" s="440">
        <f>Summary!$M$52</f>
        <v>6.5000000000000002E-2</v>
      </c>
      <c r="N56" s="440">
        <f>Summary!$M$52</f>
        <v>6.5000000000000002E-2</v>
      </c>
      <c r="O56" s="440">
        <f>Summary!$M$52</f>
        <v>6.5000000000000002E-2</v>
      </c>
      <c r="P56" s="440">
        <f>Summary!$M$52</f>
        <v>6.5000000000000002E-2</v>
      </c>
      <c r="Q56" s="440">
        <f>Summary!$M$52</f>
        <v>6.5000000000000002E-2</v>
      </c>
      <c r="R56" s="440">
        <f>Summary!$M$52</f>
        <v>6.5000000000000002E-2</v>
      </c>
      <c r="S56" s="440">
        <f>Summary!$M$52</f>
        <v>6.5000000000000002E-2</v>
      </c>
      <c r="T56" s="440">
        <f>Summary!$M$52</f>
        <v>6.5000000000000002E-2</v>
      </c>
      <c r="U56" s="440">
        <f>Summary!$M$52</f>
        <v>6.5000000000000002E-2</v>
      </c>
      <c r="V56" s="440">
        <f>Summary!$M$52</f>
        <v>6.5000000000000002E-2</v>
      </c>
      <c r="W56" s="440">
        <f>Summary!$M$52</f>
        <v>6.5000000000000002E-2</v>
      </c>
      <c r="X56" s="440">
        <f>Summary!$M$52</f>
        <v>6.5000000000000002E-2</v>
      </c>
      <c r="Y56" s="440">
        <f>Summary!$M$52</f>
        <v>6.5000000000000002E-2</v>
      </c>
      <c r="Z56" s="440">
        <f>Summary!$M$52</f>
        <v>6.5000000000000002E-2</v>
      </c>
      <c r="AA56" s="440">
        <f>Summary!$M$52</f>
        <v>6.5000000000000002E-2</v>
      </c>
      <c r="AB56" s="440">
        <f>Summary!$M$52</f>
        <v>6.5000000000000002E-2</v>
      </c>
      <c r="AC56" s="440">
        <f>Summary!$M$52</f>
        <v>6.5000000000000002E-2</v>
      </c>
      <c r="AD56" s="440">
        <f>Summary!$M$52</f>
        <v>6.5000000000000002E-2</v>
      </c>
      <c r="AE56" s="440">
        <f>Summary!$M$52</f>
        <v>6.5000000000000002E-2</v>
      </c>
      <c r="AF56" s="440">
        <f>Summary!$M$52</f>
        <v>6.5000000000000002E-2</v>
      </c>
      <c r="AG56" s="440">
        <f>Summary!$M$52</f>
        <v>6.5000000000000002E-2</v>
      </c>
      <c r="AH56" s="440">
        <f>Summary!$M$52</f>
        <v>6.5000000000000002E-2</v>
      </c>
      <c r="AI56" s="440">
        <f>Summary!$M$52</f>
        <v>6.5000000000000002E-2</v>
      </c>
      <c r="AJ56" s="440">
        <f>Summary!$M$52</f>
        <v>6.5000000000000002E-2</v>
      </c>
      <c r="AK56" s="440">
        <f>Summary!$M$52</f>
        <v>6.5000000000000002E-2</v>
      </c>
      <c r="AL56" s="440">
        <f>Summary!$M$52</f>
        <v>6.5000000000000002E-2</v>
      </c>
      <c r="AM56" s="440">
        <f>Summary!$M$52</f>
        <v>6.5000000000000002E-2</v>
      </c>
      <c r="AN56" s="440">
        <f>Summary!$M$52</f>
        <v>6.5000000000000002E-2</v>
      </c>
      <c r="AO56" s="440">
        <f>Summary!$M$52</f>
        <v>6.5000000000000002E-2</v>
      </c>
      <c r="AP56" s="440">
        <f>Summary!$M$52</f>
        <v>6.5000000000000002E-2</v>
      </c>
      <c r="AQ56" s="440">
        <f>Summary!$M$52</f>
        <v>6.5000000000000002E-2</v>
      </c>
      <c r="AR56" s="440">
        <f>Summary!$M$52</f>
        <v>6.5000000000000002E-2</v>
      </c>
      <c r="AS56" s="440">
        <f>Summary!$M$52</f>
        <v>6.5000000000000002E-2</v>
      </c>
      <c r="AT56" s="440">
        <f>Summary!$M$52</f>
        <v>6.5000000000000002E-2</v>
      </c>
      <c r="AU56" s="440">
        <f>Summary!$M$52</f>
        <v>6.5000000000000002E-2</v>
      </c>
      <c r="AV56" s="440">
        <f>Summary!$M$52</f>
        <v>6.5000000000000002E-2</v>
      </c>
      <c r="AW56" s="440">
        <f>Summary!$M$52</f>
        <v>6.5000000000000002E-2</v>
      </c>
      <c r="AX56" s="440">
        <f>Summary!$M$52</f>
        <v>6.5000000000000002E-2</v>
      </c>
      <c r="AY56" s="440">
        <f>Summary!$M$52</f>
        <v>6.5000000000000002E-2</v>
      </c>
      <c r="AZ56" s="440">
        <f>Summary!$M$52</f>
        <v>6.5000000000000002E-2</v>
      </c>
      <c r="BA56" s="440">
        <f>Summary!$M$52</f>
        <v>6.5000000000000002E-2</v>
      </c>
      <c r="BB56" s="440">
        <f>Summary!$M$52</f>
        <v>6.5000000000000002E-2</v>
      </c>
      <c r="BC56" s="440">
        <f>Summary!$M$52</f>
        <v>6.5000000000000002E-2</v>
      </c>
      <c r="BD56" s="440">
        <f>Summary!$M$52</f>
        <v>6.5000000000000002E-2</v>
      </c>
      <c r="BE56" s="440">
        <f>Summary!$M$52</f>
        <v>6.5000000000000002E-2</v>
      </c>
      <c r="BF56" s="440">
        <f>Summary!$M$52</f>
        <v>6.5000000000000002E-2</v>
      </c>
      <c r="BG56" s="440">
        <f>Summary!$M$52</f>
        <v>6.5000000000000002E-2</v>
      </c>
      <c r="BH56" s="440">
        <f>Summary!$M$52</f>
        <v>6.5000000000000002E-2</v>
      </c>
      <c r="BI56" s="440">
        <f>Summary!$M$52</f>
        <v>6.5000000000000002E-2</v>
      </c>
      <c r="BJ56" s="440">
        <f>Summary!$M$52</f>
        <v>6.5000000000000002E-2</v>
      </c>
      <c r="BK56" s="440">
        <f>Summary!$M$52</f>
        <v>6.5000000000000002E-2</v>
      </c>
      <c r="BL56" s="440">
        <f>Summary!$M$52</f>
        <v>6.5000000000000002E-2</v>
      </c>
      <c r="BM56" s="440">
        <f>Summary!$M$52</f>
        <v>6.5000000000000002E-2</v>
      </c>
      <c r="BN56" s="440">
        <f>Summary!$M$52</f>
        <v>6.5000000000000002E-2</v>
      </c>
      <c r="BO56" s="440">
        <f>Summary!$M$52</f>
        <v>6.5000000000000002E-2</v>
      </c>
      <c r="BP56" s="440">
        <f>Summary!$M$52</f>
        <v>6.5000000000000002E-2</v>
      </c>
      <c r="BQ56" s="440">
        <f>Summary!$M$52</f>
        <v>6.5000000000000002E-2</v>
      </c>
      <c r="BR56" s="440">
        <f>Summary!$M$52</f>
        <v>6.5000000000000002E-2</v>
      </c>
      <c r="BS56" s="439">
        <f>Summary!$M$52</f>
        <v>6.5000000000000002E-2</v>
      </c>
    </row>
    <row r="57" spans="2:128" x14ac:dyDescent="0.3">
      <c r="B57" s="238"/>
      <c r="C57" s="239" t="s">
        <v>171</v>
      </c>
      <c r="D57" s="239"/>
      <c r="E57" s="262"/>
      <c r="F57" s="263"/>
      <c r="G57" s="263"/>
      <c r="H57" s="261"/>
      <c r="I57" s="230"/>
      <c r="J57" s="230"/>
      <c r="K57" s="434">
        <v>2.477E-2</v>
      </c>
      <c r="L57" s="434">
        <v>2.4592900000000001E-2</v>
      </c>
      <c r="M57" s="434">
        <v>2.4366800000000001E-2</v>
      </c>
      <c r="N57" s="434">
        <v>2.4065E-2</v>
      </c>
      <c r="O57" s="434">
        <v>2.3781699999999999E-2</v>
      </c>
      <c r="P57" s="434">
        <v>2.3470100000000001E-2</v>
      </c>
      <c r="Q57" s="434">
        <v>2.31968E-2</v>
      </c>
      <c r="R57" s="434">
        <v>2.2912399999999999E-2</v>
      </c>
      <c r="S57" s="434">
        <v>2.25658E-2</v>
      </c>
      <c r="T57" s="434">
        <v>2.2223900000000001E-2</v>
      </c>
      <c r="U57" s="434">
        <v>2.1899499999999999E-2</v>
      </c>
      <c r="V57" s="434">
        <v>2.1545999999999999E-2</v>
      </c>
      <c r="W57" s="434">
        <v>2.1219100000000001E-2</v>
      </c>
      <c r="X57" s="434">
        <v>2.0975299999999999E-2</v>
      </c>
      <c r="Y57" s="434">
        <v>2.0715600000000001E-2</v>
      </c>
      <c r="Z57" s="434">
        <v>2.05182E-2</v>
      </c>
      <c r="AA57" s="434">
        <v>2.0359100000000002E-2</v>
      </c>
      <c r="AB57" s="434">
        <v>2.0223000000000001E-2</v>
      </c>
      <c r="AC57" s="434">
        <v>2.01385E-2</v>
      </c>
      <c r="AD57" s="434">
        <v>2.0087399999999998E-2</v>
      </c>
      <c r="AE57" s="434">
        <v>2.0049000000000001E-2</v>
      </c>
      <c r="AF57" s="434">
        <v>2.00386E-2</v>
      </c>
      <c r="AG57" s="434">
        <v>2.0046000000000001E-2</v>
      </c>
      <c r="AH57" s="434">
        <v>2.0041400000000001E-2</v>
      </c>
      <c r="AI57" s="434">
        <v>2.0047100000000002E-2</v>
      </c>
      <c r="AJ57" s="434">
        <v>2.00626E-2</v>
      </c>
      <c r="AK57" s="434">
        <v>2.0065699999999999E-2</v>
      </c>
      <c r="AL57" s="434">
        <v>2.0080799999999999E-2</v>
      </c>
      <c r="AM57" s="434">
        <v>2.0111199999999999E-2</v>
      </c>
      <c r="AN57" s="434">
        <v>2.01374E-2</v>
      </c>
      <c r="AO57" s="434">
        <v>2.01718E-2</v>
      </c>
      <c r="AP57" s="434">
        <v>2.02325E-2</v>
      </c>
      <c r="AQ57" s="434">
        <v>2.02816E-2</v>
      </c>
      <c r="AR57" s="434">
        <v>2.0344600000000001E-2</v>
      </c>
      <c r="AS57" s="434">
        <v>2.0419400000000001E-2</v>
      </c>
      <c r="AT57" s="434">
        <v>2.0479299999999999E-2</v>
      </c>
      <c r="AU57" s="434">
        <v>2.0544900000000001E-2</v>
      </c>
      <c r="AV57" s="434">
        <v>2.0621299999999999E-2</v>
      </c>
      <c r="AW57" s="434">
        <v>2.0685499999999999E-2</v>
      </c>
      <c r="AX57" s="434">
        <v>2.0747399999999999E-2</v>
      </c>
      <c r="AY57" s="434">
        <v>2.0817800000000001E-2</v>
      </c>
      <c r="AZ57" s="434">
        <v>2.0871299999999999E-2</v>
      </c>
      <c r="BA57" s="434">
        <v>2.0927899999999999E-2</v>
      </c>
      <c r="BB57" s="434">
        <v>2.0992400000000001E-2</v>
      </c>
      <c r="BC57" s="434">
        <v>2.1034000000000001E-2</v>
      </c>
      <c r="BD57" s="434">
        <v>2.1082799999999999E-2</v>
      </c>
      <c r="BE57" s="434">
        <v>2.1144099999999999E-2</v>
      </c>
      <c r="BF57" s="434">
        <v>2.11988E-2</v>
      </c>
      <c r="BG57" s="434">
        <v>2.1262099999999999E-2</v>
      </c>
      <c r="BH57" s="434">
        <v>2.1345800000000002E-2</v>
      </c>
      <c r="BI57" s="434">
        <v>2.1417700000000001E-2</v>
      </c>
      <c r="BJ57" s="434">
        <v>2.1514999999999999E-2</v>
      </c>
      <c r="BK57" s="434">
        <v>2.1620400000000001E-2</v>
      </c>
      <c r="BL57" s="434">
        <v>2.17117E-2</v>
      </c>
      <c r="BM57" s="434">
        <v>2.1818299999999999E-2</v>
      </c>
      <c r="BN57" s="434">
        <v>2.1946E-2</v>
      </c>
      <c r="BO57" s="434">
        <v>2.2042200000000001E-2</v>
      </c>
      <c r="BP57" s="434">
        <v>2.2152499999999999E-2</v>
      </c>
      <c r="BQ57" s="434">
        <v>2.2275E-2</v>
      </c>
      <c r="BR57" s="434">
        <v>2.2360499999999998E-2</v>
      </c>
      <c r="BS57" s="442">
        <v>2.2468800000000001E-2</v>
      </c>
      <c r="BU57" s="434">
        <v>2.26564E-2</v>
      </c>
      <c r="BV57" s="434">
        <v>2.2749100000000001E-2</v>
      </c>
      <c r="BW57" s="434">
        <v>2.2840599999999999E-2</v>
      </c>
      <c r="BX57" s="434">
        <v>2.2917E-2</v>
      </c>
      <c r="BY57" s="434">
        <v>2.29929E-2</v>
      </c>
      <c r="BZ57" s="434">
        <v>2.3076300000000001E-2</v>
      </c>
      <c r="CA57" s="434">
        <v>2.3142800000000002E-2</v>
      </c>
      <c r="CB57" s="434">
        <v>2.3211800000000001E-2</v>
      </c>
      <c r="CC57" s="434">
        <v>2.3286299999999999E-2</v>
      </c>
      <c r="CD57" s="434">
        <v>2.3346700000000001E-2</v>
      </c>
      <c r="CE57" s="434">
        <v>2.3418000000000001E-2</v>
      </c>
      <c r="CF57" s="434">
        <v>2.3494000000000001E-2</v>
      </c>
      <c r="CG57" s="434">
        <v>2.3560000000000001E-2</v>
      </c>
      <c r="CH57" s="434">
        <v>2.3639E-2</v>
      </c>
      <c r="CI57" s="434">
        <v>2.3714200000000001E-2</v>
      </c>
      <c r="CJ57" s="434">
        <v>2.3785199999999999E-2</v>
      </c>
      <c r="CK57" s="434">
        <v>2.3860800000000001E-2</v>
      </c>
      <c r="CL57" s="434">
        <v>2.3948000000000001E-2</v>
      </c>
      <c r="CM57" s="434">
        <v>2.4016800000000001E-2</v>
      </c>
      <c r="CN57" s="434">
        <v>2.4091499999999998E-2</v>
      </c>
      <c r="CO57" s="434">
        <v>2.41719E-2</v>
      </c>
      <c r="CP57" s="434">
        <v>2.42414E-2</v>
      </c>
      <c r="CQ57" s="434">
        <v>2.4323299999999999E-2</v>
      </c>
      <c r="CR57" s="434">
        <v>2.4400600000000001E-2</v>
      </c>
      <c r="CS57" s="434">
        <v>2.4473100000000001E-2</v>
      </c>
      <c r="CT57" s="434">
        <v>2.45504E-2</v>
      </c>
      <c r="CU57" s="434">
        <v>2.4640499999999999E-2</v>
      </c>
      <c r="CV57" s="434">
        <v>2.47123E-2</v>
      </c>
      <c r="CW57" s="434">
        <v>2.4788000000000001E-2</v>
      </c>
      <c r="CX57" s="434">
        <v>2.48804E-2</v>
      </c>
      <c r="CY57" s="434">
        <v>2.4949099999999998E-2</v>
      </c>
      <c r="CZ57" s="434">
        <v>2.5024999999999999E-2</v>
      </c>
      <c r="DA57" s="434">
        <v>2.5113799999999999E-2</v>
      </c>
      <c r="DB57" s="434">
        <v>2.5181200000000001E-2</v>
      </c>
      <c r="DC57" s="434">
        <v>2.5254700000000001E-2</v>
      </c>
      <c r="DD57" s="434">
        <v>2.53402E-2</v>
      </c>
      <c r="DE57" s="434">
        <v>2.5408699999999999E-2</v>
      </c>
      <c r="DF57" s="434">
        <v>2.54839E-2</v>
      </c>
      <c r="DG57" s="434">
        <v>2.5572600000000001E-2</v>
      </c>
      <c r="DH57" s="434">
        <v>2.5649600000000002E-2</v>
      </c>
      <c r="DI57" s="434">
        <v>2.5718600000000001E-2</v>
      </c>
      <c r="DJ57" s="434">
        <v>2.58146E-2</v>
      </c>
      <c r="DK57" s="434">
        <v>2.5885200000000001E-2</v>
      </c>
      <c r="DL57" s="434">
        <v>2.5963099999999999E-2</v>
      </c>
      <c r="DM57" s="434">
        <v>2.6047500000000001E-2</v>
      </c>
      <c r="DN57" s="434">
        <v>2.6114999999999999E-2</v>
      </c>
      <c r="DO57" s="434">
        <v>2.6178099999999999E-2</v>
      </c>
      <c r="DP57" s="434">
        <v>2.6248299999999999E-2</v>
      </c>
      <c r="DQ57" s="434">
        <v>2.62966E-2</v>
      </c>
      <c r="DR57" s="434">
        <v>2.6352E-2</v>
      </c>
      <c r="DS57" s="434">
        <v>2.6403099999999999E-2</v>
      </c>
      <c r="DT57" s="434">
        <v>2.6430100000000002E-2</v>
      </c>
      <c r="DU57" s="434">
        <v>2.6456299999999999E-2</v>
      </c>
      <c r="DV57" s="434">
        <v>2.6480199999999999E-2</v>
      </c>
      <c r="DW57" s="434">
        <v>2.6479099999999998E-2</v>
      </c>
      <c r="DX57" s="435">
        <v>2.6480699999999999E-2</v>
      </c>
    </row>
    <row r="58" spans="2:128" x14ac:dyDescent="0.3">
      <c r="B58" s="238"/>
      <c r="C58" s="239" t="s">
        <v>172</v>
      </c>
      <c r="D58" s="239" t="s">
        <v>184</v>
      </c>
      <c r="E58" s="262"/>
      <c r="F58" s="263"/>
      <c r="G58" s="263"/>
      <c r="H58" s="261"/>
      <c r="I58" s="230"/>
      <c r="J58" s="230"/>
      <c r="K58" s="436">
        <f>Summary!$M$51/10000</f>
        <v>2.5000000000000001E-2</v>
      </c>
      <c r="L58" s="436">
        <f>Summary!$M$51/10000</f>
        <v>2.5000000000000001E-2</v>
      </c>
      <c r="M58" s="436">
        <f>Summary!$M$51/10000</f>
        <v>2.5000000000000001E-2</v>
      </c>
      <c r="N58" s="436">
        <f>Summary!$M$51/10000</f>
        <v>2.5000000000000001E-2</v>
      </c>
      <c r="O58" s="436">
        <f>Summary!$M$51/10000</f>
        <v>2.5000000000000001E-2</v>
      </c>
      <c r="P58" s="436">
        <f>Summary!$M$51/10000</f>
        <v>2.5000000000000001E-2</v>
      </c>
      <c r="Q58" s="436">
        <f>Summary!$M$51/10000</f>
        <v>2.5000000000000001E-2</v>
      </c>
      <c r="R58" s="436">
        <f>Summary!$M$51/10000</f>
        <v>2.5000000000000001E-2</v>
      </c>
      <c r="S58" s="436">
        <f>Summary!$M$51/10000</f>
        <v>2.5000000000000001E-2</v>
      </c>
      <c r="T58" s="436">
        <f>Summary!$M$51/10000</f>
        <v>2.5000000000000001E-2</v>
      </c>
      <c r="U58" s="436">
        <f>Summary!$M$51/10000</f>
        <v>2.5000000000000001E-2</v>
      </c>
      <c r="V58" s="436">
        <f>Summary!$M$51/10000</f>
        <v>2.5000000000000001E-2</v>
      </c>
      <c r="W58" s="436">
        <f>Summary!$M$51/10000</f>
        <v>2.5000000000000001E-2</v>
      </c>
      <c r="X58" s="436">
        <f>Summary!$M$51/10000</f>
        <v>2.5000000000000001E-2</v>
      </c>
      <c r="Y58" s="436">
        <f>Summary!$M$51/10000</f>
        <v>2.5000000000000001E-2</v>
      </c>
      <c r="Z58" s="436">
        <f>Summary!$M$51/10000</f>
        <v>2.5000000000000001E-2</v>
      </c>
      <c r="AA58" s="436">
        <f>Summary!$M$51/10000</f>
        <v>2.5000000000000001E-2</v>
      </c>
      <c r="AB58" s="436">
        <f>Summary!$M$51/10000</f>
        <v>2.5000000000000001E-2</v>
      </c>
      <c r="AC58" s="436">
        <f>Summary!$M$51/10000</f>
        <v>2.5000000000000001E-2</v>
      </c>
      <c r="AD58" s="436">
        <f>Summary!$M$51/10000</f>
        <v>2.5000000000000001E-2</v>
      </c>
      <c r="AE58" s="436">
        <f>Summary!$M$51/10000</f>
        <v>2.5000000000000001E-2</v>
      </c>
      <c r="AF58" s="436">
        <f>Summary!$M$51/10000</f>
        <v>2.5000000000000001E-2</v>
      </c>
      <c r="AG58" s="436">
        <f>Summary!$M$51/10000</f>
        <v>2.5000000000000001E-2</v>
      </c>
      <c r="AH58" s="436">
        <f>Summary!$M$51/10000</f>
        <v>2.5000000000000001E-2</v>
      </c>
      <c r="AI58" s="436">
        <f>Summary!$M$51/10000</f>
        <v>2.5000000000000001E-2</v>
      </c>
      <c r="AJ58" s="436">
        <f>Summary!$M$51/10000</f>
        <v>2.5000000000000001E-2</v>
      </c>
      <c r="AK58" s="436">
        <f>Summary!$M$51/10000</f>
        <v>2.5000000000000001E-2</v>
      </c>
      <c r="AL58" s="436">
        <f>Summary!$M$51/10000</f>
        <v>2.5000000000000001E-2</v>
      </c>
      <c r="AM58" s="436">
        <f>Summary!$M$51/10000</f>
        <v>2.5000000000000001E-2</v>
      </c>
      <c r="AN58" s="436">
        <f>Summary!$M$51/10000</f>
        <v>2.5000000000000001E-2</v>
      </c>
      <c r="AO58" s="436">
        <f>Summary!$M$51/10000</f>
        <v>2.5000000000000001E-2</v>
      </c>
      <c r="AP58" s="436">
        <f>Summary!$M$51/10000</f>
        <v>2.5000000000000001E-2</v>
      </c>
      <c r="AQ58" s="436">
        <f>Summary!$M$51/10000</f>
        <v>2.5000000000000001E-2</v>
      </c>
      <c r="AR58" s="436">
        <f>Summary!$M$51/10000</f>
        <v>2.5000000000000001E-2</v>
      </c>
      <c r="AS58" s="436">
        <f>Summary!$M$51/10000</f>
        <v>2.5000000000000001E-2</v>
      </c>
      <c r="AT58" s="436">
        <f>Summary!$M$51/10000</f>
        <v>2.5000000000000001E-2</v>
      </c>
      <c r="AU58" s="436">
        <f>Summary!$M$51/10000</f>
        <v>2.5000000000000001E-2</v>
      </c>
      <c r="AV58" s="436">
        <f>Summary!$M$51/10000</f>
        <v>2.5000000000000001E-2</v>
      </c>
      <c r="AW58" s="436">
        <f>Summary!$M$51/10000</f>
        <v>2.5000000000000001E-2</v>
      </c>
      <c r="AX58" s="436">
        <f>Summary!$M$51/10000</f>
        <v>2.5000000000000001E-2</v>
      </c>
      <c r="AY58" s="436">
        <f>Summary!$M$51/10000</f>
        <v>2.5000000000000001E-2</v>
      </c>
      <c r="AZ58" s="436">
        <f>Summary!$M$51/10000</f>
        <v>2.5000000000000001E-2</v>
      </c>
      <c r="BA58" s="436">
        <f>Summary!$M$51/10000</f>
        <v>2.5000000000000001E-2</v>
      </c>
      <c r="BB58" s="436">
        <f>Summary!$M$51/10000</f>
        <v>2.5000000000000001E-2</v>
      </c>
      <c r="BC58" s="436">
        <f>Summary!$M$51/10000</f>
        <v>2.5000000000000001E-2</v>
      </c>
      <c r="BD58" s="436">
        <f>Summary!$M$51/10000</f>
        <v>2.5000000000000001E-2</v>
      </c>
      <c r="BE58" s="436">
        <f>Summary!$M$51/10000</f>
        <v>2.5000000000000001E-2</v>
      </c>
      <c r="BF58" s="436">
        <f>Summary!$M$51/10000</f>
        <v>2.5000000000000001E-2</v>
      </c>
      <c r="BG58" s="436">
        <f>Summary!$M$51/10000</f>
        <v>2.5000000000000001E-2</v>
      </c>
      <c r="BH58" s="436">
        <f>Summary!$M$51/10000</f>
        <v>2.5000000000000001E-2</v>
      </c>
      <c r="BI58" s="436">
        <f>Summary!$M$51/10000</f>
        <v>2.5000000000000001E-2</v>
      </c>
      <c r="BJ58" s="436">
        <f>Summary!$M$51/10000</f>
        <v>2.5000000000000001E-2</v>
      </c>
      <c r="BK58" s="436">
        <f>Summary!$M$51/10000</f>
        <v>2.5000000000000001E-2</v>
      </c>
      <c r="BL58" s="436">
        <f>Summary!$M$51/10000</f>
        <v>2.5000000000000001E-2</v>
      </c>
      <c r="BM58" s="436">
        <f>Summary!$M$51/10000</f>
        <v>2.5000000000000001E-2</v>
      </c>
      <c r="BN58" s="436">
        <f>Summary!$M$51/10000</f>
        <v>2.5000000000000001E-2</v>
      </c>
      <c r="BO58" s="436">
        <f>Summary!$M$51/10000</f>
        <v>2.5000000000000001E-2</v>
      </c>
      <c r="BP58" s="436">
        <f>Summary!$M$51/10000</f>
        <v>2.5000000000000001E-2</v>
      </c>
      <c r="BQ58" s="436">
        <f>Summary!$M$51/10000</f>
        <v>2.5000000000000001E-2</v>
      </c>
      <c r="BR58" s="436">
        <f>Summary!$M$51/10000</f>
        <v>2.5000000000000001E-2</v>
      </c>
      <c r="BS58" s="437">
        <f>Summary!$M$51/10000</f>
        <v>2.5000000000000001E-2</v>
      </c>
    </row>
    <row r="59" spans="2:128" x14ac:dyDescent="0.3">
      <c r="B59" s="238"/>
      <c r="C59" s="239" t="s">
        <v>136</v>
      </c>
      <c r="D59" s="239" t="s">
        <v>174</v>
      </c>
      <c r="E59" s="262"/>
      <c r="F59" s="263"/>
      <c r="G59" s="263"/>
      <c r="H59" s="261"/>
      <c r="I59" s="230"/>
      <c r="J59" s="230"/>
      <c r="K59" s="438">
        <f>SUM(K57:K58)</f>
        <v>4.9770000000000002E-2</v>
      </c>
      <c r="L59" s="438">
        <f t="shared" ref="L59:BS59" si="23">SUM(L57:L58)</f>
        <v>4.9592900000000002E-2</v>
      </c>
      <c r="M59" s="438">
        <f t="shared" si="23"/>
        <v>4.9366800000000002E-2</v>
      </c>
      <c r="N59" s="438">
        <f t="shared" si="23"/>
        <v>4.9064999999999998E-2</v>
      </c>
      <c r="O59" s="438">
        <f t="shared" si="23"/>
        <v>4.8781699999999997E-2</v>
      </c>
      <c r="P59" s="438">
        <f t="shared" si="23"/>
        <v>4.8470100000000002E-2</v>
      </c>
      <c r="Q59" s="438">
        <f t="shared" si="23"/>
        <v>4.8196799999999998E-2</v>
      </c>
      <c r="R59" s="438">
        <f t="shared" si="23"/>
        <v>4.7912400000000001E-2</v>
      </c>
      <c r="S59" s="438">
        <f t="shared" si="23"/>
        <v>4.7565800000000005E-2</v>
      </c>
      <c r="T59" s="438">
        <f t="shared" si="23"/>
        <v>4.7223899999999999E-2</v>
      </c>
      <c r="U59" s="438">
        <f t="shared" si="23"/>
        <v>4.6899499999999997E-2</v>
      </c>
      <c r="V59" s="438">
        <f t="shared" si="23"/>
        <v>4.6546000000000004E-2</v>
      </c>
      <c r="W59" s="438">
        <f t="shared" si="23"/>
        <v>4.6219099999999999E-2</v>
      </c>
      <c r="X59" s="438">
        <f t="shared" si="23"/>
        <v>4.5975299999999997E-2</v>
      </c>
      <c r="Y59" s="438">
        <f t="shared" si="23"/>
        <v>4.5715600000000002E-2</v>
      </c>
      <c r="Z59" s="438">
        <f t="shared" si="23"/>
        <v>4.5518200000000002E-2</v>
      </c>
      <c r="AA59" s="438">
        <f t="shared" si="23"/>
        <v>4.5359099999999999E-2</v>
      </c>
      <c r="AB59" s="438">
        <f t="shared" si="23"/>
        <v>4.5222999999999999E-2</v>
      </c>
      <c r="AC59" s="438">
        <f t="shared" si="23"/>
        <v>4.5138499999999998E-2</v>
      </c>
      <c r="AD59" s="438">
        <f t="shared" si="23"/>
        <v>4.50874E-2</v>
      </c>
      <c r="AE59" s="438">
        <f t="shared" si="23"/>
        <v>4.5049000000000006E-2</v>
      </c>
      <c r="AF59" s="438">
        <f t="shared" si="23"/>
        <v>4.5038599999999998E-2</v>
      </c>
      <c r="AG59" s="438">
        <f t="shared" si="23"/>
        <v>4.5046000000000003E-2</v>
      </c>
      <c r="AH59" s="438">
        <f t="shared" si="23"/>
        <v>4.5041400000000002E-2</v>
      </c>
      <c r="AI59" s="438">
        <f t="shared" si="23"/>
        <v>4.5047100000000007E-2</v>
      </c>
      <c r="AJ59" s="438">
        <f t="shared" si="23"/>
        <v>4.5062600000000001E-2</v>
      </c>
      <c r="AK59" s="438">
        <f t="shared" si="23"/>
        <v>4.50657E-2</v>
      </c>
      <c r="AL59" s="438">
        <f t="shared" si="23"/>
        <v>4.5080800000000004E-2</v>
      </c>
      <c r="AM59" s="438">
        <f t="shared" si="23"/>
        <v>4.5111200000000004E-2</v>
      </c>
      <c r="AN59" s="438">
        <f t="shared" si="23"/>
        <v>4.5137400000000001E-2</v>
      </c>
      <c r="AO59" s="438">
        <f t="shared" si="23"/>
        <v>4.5171799999999998E-2</v>
      </c>
      <c r="AP59" s="438">
        <f t="shared" si="23"/>
        <v>4.5232500000000002E-2</v>
      </c>
      <c r="AQ59" s="438">
        <f t="shared" si="23"/>
        <v>4.5281600000000005E-2</v>
      </c>
      <c r="AR59" s="438">
        <f t="shared" si="23"/>
        <v>4.5344599999999999E-2</v>
      </c>
      <c r="AS59" s="438">
        <f t="shared" si="23"/>
        <v>4.5419399999999999E-2</v>
      </c>
      <c r="AT59" s="438">
        <f t="shared" si="23"/>
        <v>4.54793E-2</v>
      </c>
      <c r="AU59" s="438">
        <f t="shared" si="23"/>
        <v>4.5544899999999999E-2</v>
      </c>
      <c r="AV59" s="438">
        <f t="shared" si="23"/>
        <v>4.5621300000000004E-2</v>
      </c>
      <c r="AW59" s="438">
        <f t="shared" si="23"/>
        <v>4.5685500000000004E-2</v>
      </c>
      <c r="AX59" s="438">
        <f t="shared" si="23"/>
        <v>4.5747400000000001E-2</v>
      </c>
      <c r="AY59" s="438">
        <f t="shared" si="23"/>
        <v>4.5817800000000006E-2</v>
      </c>
      <c r="AZ59" s="438">
        <f t="shared" si="23"/>
        <v>4.5871300000000004E-2</v>
      </c>
      <c r="BA59" s="438">
        <f t="shared" si="23"/>
        <v>4.5927900000000001E-2</v>
      </c>
      <c r="BB59" s="438">
        <f t="shared" si="23"/>
        <v>4.5992400000000003E-2</v>
      </c>
      <c r="BC59" s="438">
        <f t="shared" si="23"/>
        <v>4.6034000000000005E-2</v>
      </c>
      <c r="BD59" s="438">
        <f t="shared" si="23"/>
        <v>4.60828E-2</v>
      </c>
      <c r="BE59" s="438">
        <f t="shared" si="23"/>
        <v>4.61441E-2</v>
      </c>
      <c r="BF59" s="438">
        <f t="shared" si="23"/>
        <v>4.6198799999999998E-2</v>
      </c>
      <c r="BG59" s="438">
        <f t="shared" si="23"/>
        <v>4.62621E-2</v>
      </c>
      <c r="BH59" s="438">
        <f t="shared" si="23"/>
        <v>4.6345800000000006E-2</v>
      </c>
      <c r="BI59" s="438">
        <f t="shared" si="23"/>
        <v>4.6417700000000006E-2</v>
      </c>
      <c r="BJ59" s="438">
        <f t="shared" si="23"/>
        <v>4.6515000000000001E-2</v>
      </c>
      <c r="BK59" s="438">
        <f t="shared" si="23"/>
        <v>4.6620400000000006E-2</v>
      </c>
      <c r="BL59" s="438">
        <f t="shared" si="23"/>
        <v>4.6711700000000002E-2</v>
      </c>
      <c r="BM59" s="438">
        <f t="shared" si="23"/>
        <v>4.68183E-2</v>
      </c>
      <c r="BN59" s="438">
        <f t="shared" si="23"/>
        <v>4.6946000000000002E-2</v>
      </c>
      <c r="BO59" s="438">
        <f t="shared" si="23"/>
        <v>4.7042200000000006E-2</v>
      </c>
      <c r="BP59" s="438">
        <f t="shared" si="23"/>
        <v>4.71525E-2</v>
      </c>
      <c r="BQ59" s="438">
        <f t="shared" si="23"/>
        <v>4.7274999999999998E-2</v>
      </c>
      <c r="BR59" s="438">
        <f t="shared" si="23"/>
        <v>4.73605E-2</v>
      </c>
      <c r="BS59" s="439">
        <f t="shared" si="23"/>
        <v>4.7468800000000005E-2</v>
      </c>
    </row>
    <row r="60" spans="2:128" x14ac:dyDescent="0.3">
      <c r="B60" s="87"/>
      <c r="C60" s="239" t="s">
        <v>137</v>
      </c>
      <c r="D60" s="239"/>
      <c r="E60" s="262"/>
      <c r="F60" s="263"/>
      <c r="G60" s="263"/>
      <c r="H60" s="261"/>
      <c r="I60" s="230"/>
      <c r="J60" s="230"/>
      <c r="K60" s="441">
        <f>Summary!$M$53</f>
        <v>0.03</v>
      </c>
      <c r="L60" s="441">
        <f>Summary!$M$53</f>
        <v>0.03</v>
      </c>
      <c r="M60" s="441">
        <f>Summary!$M$53</f>
        <v>0.03</v>
      </c>
      <c r="N60" s="441">
        <f>Summary!$M$53</f>
        <v>0.03</v>
      </c>
      <c r="O60" s="441">
        <f>Summary!$M$53</f>
        <v>0.03</v>
      </c>
      <c r="P60" s="441">
        <f>Summary!$M$53</f>
        <v>0.03</v>
      </c>
      <c r="Q60" s="441">
        <f>Summary!$M$53</f>
        <v>0.03</v>
      </c>
      <c r="R60" s="441">
        <f>Summary!$M$53</f>
        <v>0.03</v>
      </c>
      <c r="S60" s="441">
        <f>Summary!$M$53</f>
        <v>0.03</v>
      </c>
      <c r="T60" s="441">
        <f>Summary!$M$53</f>
        <v>0.03</v>
      </c>
      <c r="U60" s="441">
        <f>Summary!$M$53</f>
        <v>0.03</v>
      </c>
      <c r="V60" s="441">
        <f>Summary!$M$53</f>
        <v>0.03</v>
      </c>
      <c r="W60" s="441">
        <f>Summary!$M$53</f>
        <v>0.03</v>
      </c>
      <c r="X60" s="441">
        <f>Summary!$M$53</f>
        <v>0.03</v>
      </c>
      <c r="Y60" s="441">
        <f>Summary!$M$53</f>
        <v>0.03</v>
      </c>
      <c r="Z60" s="441">
        <f>Summary!$M$53</f>
        <v>0.03</v>
      </c>
      <c r="AA60" s="441">
        <f>Summary!$M$53</f>
        <v>0.03</v>
      </c>
      <c r="AB60" s="441">
        <f>Summary!$M$53</f>
        <v>0.03</v>
      </c>
      <c r="AC60" s="441">
        <f>Summary!$M$53</f>
        <v>0.03</v>
      </c>
      <c r="AD60" s="441">
        <f>Summary!$M$53</f>
        <v>0.03</v>
      </c>
      <c r="AE60" s="441">
        <f>Summary!$M$53</f>
        <v>0.03</v>
      </c>
      <c r="AF60" s="441">
        <f>Summary!$M$53</f>
        <v>0.03</v>
      </c>
      <c r="AG60" s="441">
        <f>Summary!$M$53</f>
        <v>0.03</v>
      </c>
      <c r="AH60" s="441">
        <f>Summary!$M$53</f>
        <v>0.03</v>
      </c>
      <c r="AI60" s="441">
        <f>Summary!$M$53</f>
        <v>0.03</v>
      </c>
      <c r="AJ60" s="441">
        <f>Summary!$M$53</f>
        <v>0.03</v>
      </c>
      <c r="AK60" s="441">
        <f>Summary!$M$53</f>
        <v>0.03</v>
      </c>
      <c r="AL60" s="441">
        <f>Summary!$M$53</f>
        <v>0.03</v>
      </c>
      <c r="AM60" s="441">
        <f>Summary!$M$53</f>
        <v>0.03</v>
      </c>
      <c r="AN60" s="441">
        <f>Summary!$M$53</f>
        <v>0.03</v>
      </c>
      <c r="AO60" s="441">
        <f>Summary!$M$53</f>
        <v>0.03</v>
      </c>
      <c r="AP60" s="441">
        <f>Summary!$M$53</f>
        <v>0.03</v>
      </c>
      <c r="AQ60" s="441">
        <f>Summary!$M$53</f>
        <v>0.03</v>
      </c>
      <c r="AR60" s="441">
        <f>Summary!$M$53</f>
        <v>0.03</v>
      </c>
      <c r="AS60" s="441">
        <f>Summary!$M$53</f>
        <v>0.03</v>
      </c>
      <c r="AT60" s="441">
        <f>Summary!$M$53</f>
        <v>0.03</v>
      </c>
      <c r="AU60" s="441">
        <f>Summary!$M$53</f>
        <v>0.03</v>
      </c>
      <c r="AV60" s="441">
        <f>Summary!$M$53</f>
        <v>0.03</v>
      </c>
      <c r="AW60" s="441">
        <f>Summary!$M$53</f>
        <v>0.03</v>
      </c>
      <c r="AX60" s="441">
        <f>Summary!$M$53</f>
        <v>0.03</v>
      </c>
      <c r="AY60" s="441">
        <f>Summary!$M$53</f>
        <v>0.03</v>
      </c>
      <c r="AZ60" s="441">
        <f>Summary!$M$53</f>
        <v>0.03</v>
      </c>
      <c r="BA60" s="441">
        <f>Summary!$M$53</f>
        <v>0.03</v>
      </c>
      <c r="BB60" s="441">
        <f>Summary!$M$53</f>
        <v>0.03</v>
      </c>
      <c r="BC60" s="441">
        <f>Summary!$M$53</f>
        <v>0.03</v>
      </c>
      <c r="BD60" s="441">
        <f>Summary!$M$53</f>
        <v>0.03</v>
      </c>
      <c r="BE60" s="441">
        <f>Summary!$M$53</f>
        <v>0.03</v>
      </c>
      <c r="BF60" s="441">
        <f>Summary!$M$53</f>
        <v>0.03</v>
      </c>
      <c r="BG60" s="441">
        <f>Summary!$M$53</f>
        <v>0.03</v>
      </c>
      <c r="BH60" s="441">
        <f>Summary!$M$53</f>
        <v>0.03</v>
      </c>
      <c r="BI60" s="441">
        <f>Summary!$M$53</f>
        <v>0.03</v>
      </c>
      <c r="BJ60" s="441">
        <f>Summary!$M$53</f>
        <v>0.03</v>
      </c>
      <c r="BK60" s="441">
        <f>Summary!$M$53</f>
        <v>0.03</v>
      </c>
      <c r="BL60" s="441">
        <f>Summary!$M$53</f>
        <v>0.03</v>
      </c>
      <c r="BM60" s="441">
        <f>Summary!$M$53</f>
        <v>0.03</v>
      </c>
      <c r="BN60" s="441">
        <f>Summary!$M$53</f>
        <v>0.03</v>
      </c>
      <c r="BO60" s="441">
        <f>Summary!$M$53</f>
        <v>0.03</v>
      </c>
      <c r="BP60" s="441">
        <f>Summary!$M$53</f>
        <v>0.03</v>
      </c>
      <c r="BQ60" s="441">
        <f>Summary!$M$53</f>
        <v>0.03</v>
      </c>
      <c r="BR60" s="441">
        <f>Summary!$M$53</f>
        <v>0.03</v>
      </c>
      <c r="BS60" s="439">
        <f>Summary!$M$53</f>
        <v>0.03</v>
      </c>
    </row>
    <row r="61" spans="2:128" x14ac:dyDescent="0.3">
      <c r="B61" s="64"/>
      <c r="C61" s="253" t="s">
        <v>138</v>
      </c>
      <c r="D61" s="253"/>
      <c r="E61" s="265"/>
      <c r="F61" s="266"/>
      <c r="G61" s="266"/>
      <c r="H61" s="264"/>
      <c r="I61" s="267"/>
      <c r="J61" s="267"/>
      <c r="K61" s="443">
        <f>(K59&gt;=K56)*K56+(K59&lt;=K60)*K60+AND(K59&lt;K56,K59&gt;K60)*K59</f>
        <v>4.9770000000000002E-2</v>
      </c>
      <c r="L61" s="443">
        <f t="shared" ref="L61:BS61" si="24">(L59&gt;=L56)*L56+(L59&lt;=L60)*L60+AND(L59&lt;L56,L59&gt;L60)*L59</f>
        <v>4.9592900000000002E-2</v>
      </c>
      <c r="M61" s="443">
        <f t="shared" si="24"/>
        <v>4.9366800000000002E-2</v>
      </c>
      <c r="N61" s="443">
        <f t="shared" si="24"/>
        <v>4.9064999999999998E-2</v>
      </c>
      <c r="O61" s="444">
        <f t="shared" si="24"/>
        <v>4.8781699999999997E-2</v>
      </c>
      <c r="P61" s="444">
        <f t="shared" si="24"/>
        <v>4.8470100000000002E-2</v>
      </c>
      <c r="Q61" s="444">
        <f t="shared" si="24"/>
        <v>4.8196799999999998E-2</v>
      </c>
      <c r="R61" s="444">
        <f t="shared" si="24"/>
        <v>4.7912400000000001E-2</v>
      </c>
      <c r="S61" s="444">
        <f t="shared" si="24"/>
        <v>4.7565800000000005E-2</v>
      </c>
      <c r="T61" s="444">
        <f t="shared" si="24"/>
        <v>4.7223899999999999E-2</v>
      </c>
      <c r="U61" s="444">
        <f t="shared" si="24"/>
        <v>4.6899499999999997E-2</v>
      </c>
      <c r="V61" s="444">
        <f t="shared" si="24"/>
        <v>4.6546000000000004E-2</v>
      </c>
      <c r="W61" s="444">
        <f t="shared" si="24"/>
        <v>4.6219099999999999E-2</v>
      </c>
      <c r="X61" s="444">
        <f t="shared" si="24"/>
        <v>4.5975299999999997E-2</v>
      </c>
      <c r="Y61" s="444">
        <f t="shared" si="24"/>
        <v>4.5715600000000002E-2</v>
      </c>
      <c r="Z61" s="444">
        <f t="shared" si="24"/>
        <v>4.5518200000000002E-2</v>
      </c>
      <c r="AA61" s="444">
        <f t="shared" si="24"/>
        <v>4.5359099999999999E-2</v>
      </c>
      <c r="AB61" s="444">
        <f t="shared" si="24"/>
        <v>4.5222999999999999E-2</v>
      </c>
      <c r="AC61" s="444">
        <f t="shared" si="24"/>
        <v>4.5138499999999998E-2</v>
      </c>
      <c r="AD61" s="444">
        <f t="shared" si="24"/>
        <v>4.50874E-2</v>
      </c>
      <c r="AE61" s="444">
        <f t="shared" si="24"/>
        <v>4.5049000000000006E-2</v>
      </c>
      <c r="AF61" s="444">
        <f t="shared" si="24"/>
        <v>4.5038599999999998E-2</v>
      </c>
      <c r="AG61" s="444">
        <f t="shared" si="24"/>
        <v>4.5046000000000003E-2</v>
      </c>
      <c r="AH61" s="444">
        <f t="shared" si="24"/>
        <v>4.5041400000000002E-2</v>
      </c>
      <c r="AI61" s="444">
        <f t="shared" si="24"/>
        <v>4.5047100000000007E-2</v>
      </c>
      <c r="AJ61" s="444">
        <f t="shared" si="24"/>
        <v>4.5062600000000001E-2</v>
      </c>
      <c r="AK61" s="444">
        <f t="shared" si="24"/>
        <v>4.50657E-2</v>
      </c>
      <c r="AL61" s="444">
        <f t="shared" si="24"/>
        <v>4.5080800000000004E-2</v>
      </c>
      <c r="AM61" s="444">
        <f t="shared" si="24"/>
        <v>4.5111200000000004E-2</v>
      </c>
      <c r="AN61" s="444">
        <f t="shared" si="24"/>
        <v>4.5137400000000001E-2</v>
      </c>
      <c r="AO61" s="444">
        <f t="shared" si="24"/>
        <v>4.5171799999999998E-2</v>
      </c>
      <c r="AP61" s="444">
        <f t="shared" si="24"/>
        <v>4.5232500000000002E-2</v>
      </c>
      <c r="AQ61" s="444">
        <f t="shared" si="24"/>
        <v>4.5281600000000005E-2</v>
      </c>
      <c r="AR61" s="444">
        <f t="shared" si="24"/>
        <v>4.5344599999999999E-2</v>
      </c>
      <c r="AS61" s="444">
        <f t="shared" si="24"/>
        <v>4.5419399999999999E-2</v>
      </c>
      <c r="AT61" s="444">
        <f t="shared" si="24"/>
        <v>4.54793E-2</v>
      </c>
      <c r="AU61" s="444">
        <f t="shared" si="24"/>
        <v>4.5544899999999999E-2</v>
      </c>
      <c r="AV61" s="444">
        <f t="shared" si="24"/>
        <v>4.5621300000000004E-2</v>
      </c>
      <c r="AW61" s="444">
        <f t="shared" si="24"/>
        <v>4.5685500000000004E-2</v>
      </c>
      <c r="AX61" s="444">
        <f t="shared" si="24"/>
        <v>4.5747400000000001E-2</v>
      </c>
      <c r="AY61" s="444">
        <f t="shared" si="24"/>
        <v>4.5817800000000006E-2</v>
      </c>
      <c r="AZ61" s="444">
        <f t="shared" si="24"/>
        <v>4.5871300000000004E-2</v>
      </c>
      <c r="BA61" s="444">
        <f t="shared" si="24"/>
        <v>4.5927900000000001E-2</v>
      </c>
      <c r="BB61" s="444">
        <f t="shared" si="24"/>
        <v>4.5992400000000003E-2</v>
      </c>
      <c r="BC61" s="444">
        <f t="shared" si="24"/>
        <v>4.6034000000000005E-2</v>
      </c>
      <c r="BD61" s="444">
        <f t="shared" si="24"/>
        <v>4.60828E-2</v>
      </c>
      <c r="BE61" s="444">
        <f t="shared" si="24"/>
        <v>4.61441E-2</v>
      </c>
      <c r="BF61" s="444">
        <f t="shared" si="24"/>
        <v>4.6198799999999998E-2</v>
      </c>
      <c r="BG61" s="444">
        <f t="shared" si="24"/>
        <v>4.62621E-2</v>
      </c>
      <c r="BH61" s="444">
        <f t="shared" si="24"/>
        <v>4.6345800000000006E-2</v>
      </c>
      <c r="BI61" s="444">
        <f t="shared" si="24"/>
        <v>4.6417700000000006E-2</v>
      </c>
      <c r="BJ61" s="444">
        <f t="shared" si="24"/>
        <v>4.6515000000000001E-2</v>
      </c>
      <c r="BK61" s="444">
        <f t="shared" si="24"/>
        <v>4.6620400000000006E-2</v>
      </c>
      <c r="BL61" s="444">
        <f t="shared" si="24"/>
        <v>4.6711700000000002E-2</v>
      </c>
      <c r="BM61" s="444">
        <f t="shared" si="24"/>
        <v>4.68183E-2</v>
      </c>
      <c r="BN61" s="444">
        <f t="shared" si="24"/>
        <v>4.6946000000000002E-2</v>
      </c>
      <c r="BO61" s="444">
        <f t="shared" si="24"/>
        <v>4.7042200000000006E-2</v>
      </c>
      <c r="BP61" s="444">
        <f t="shared" si="24"/>
        <v>4.71525E-2</v>
      </c>
      <c r="BQ61" s="444">
        <f t="shared" si="24"/>
        <v>4.7274999999999998E-2</v>
      </c>
      <c r="BR61" s="444">
        <f t="shared" si="24"/>
        <v>4.73605E-2</v>
      </c>
      <c r="BS61" s="445">
        <f t="shared" si="24"/>
        <v>4.7468800000000005E-2</v>
      </c>
    </row>
    <row r="62" spans="2:128" x14ac:dyDescent="0.3">
      <c r="B62" s="244"/>
      <c r="C62" s="245" t="s">
        <v>139</v>
      </c>
      <c r="D62" s="245"/>
      <c r="E62" s="258"/>
      <c r="F62" s="278"/>
      <c r="G62" s="278"/>
      <c r="H62" s="257"/>
      <c r="I62" s="260"/>
      <c r="J62" s="260"/>
      <c r="K62" s="355">
        <f>AND(SUM($J$52:J52)=0,K52&gt;0)*Summary!$M$49</f>
        <v>0</v>
      </c>
      <c r="L62" s="355">
        <f>AND(SUM($J$52:K52)=0,L52&gt;0)*Summary!$M$49</f>
        <v>0</v>
      </c>
      <c r="M62" s="355">
        <f>AND(SUM($J$52:L52)=0,M52&gt;0)*Summary!$M$49</f>
        <v>0</v>
      </c>
      <c r="N62" s="355">
        <f>AND(SUM($J$52:M52)=0,N52&gt;0)*Summary!$M$49</f>
        <v>0</v>
      </c>
      <c r="O62" s="355">
        <f>AND(SUM($J$52:N52)=0,O52&gt;0)*Summary!$M$49</f>
        <v>0</v>
      </c>
      <c r="P62" s="355">
        <f>AND(SUM($J$52:O52)=0,P52&gt;0)*Summary!$M$49</f>
        <v>0</v>
      </c>
      <c r="Q62" s="355">
        <f>AND(SUM($J$52:P52)=0,Q52&gt;0)*Summary!$M$49</f>
        <v>0</v>
      </c>
      <c r="R62" s="355">
        <f>AND(SUM($J$52:Q52)=0,R52&gt;0)*Summary!$M$49</f>
        <v>0</v>
      </c>
      <c r="S62" s="355">
        <f>AND(SUM($J$52:R52)=0,S52&gt;0)*Summary!$M$49</f>
        <v>0</v>
      </c>
      <c r="T62" s="355">
        <f>AND(SUM($J$52:S52)=0,T52&gt;0)*Summary!$M$49</f>
        <v>0</v>
      </c>
      <c r="U62" s="355">
        <f>AND(SUM($J$52:T52)=0,U52&gt;0)*Summary!$M$49</f>
        <v>0</v>
      </c>
      <c r="V62" s="355">
        <f>AND(SUM($J$52:U52)=0,V52&gt;0)*Summary!$M$49</f>
        <v>0</v>
      </c>
      <c r="W62" s="355">
        <f>AND(SUM($J$52:V52)=0,W52&gt;0)*Summary!$M$49</f>
        <v>0</v>
      </c>
      <c r="X62" s="355">
        <f>AND(SUM($J$52:W52)=0,X52&gt;0)*Summary!$M$49</f>
        <v>0</v>
      </c>
      <c r="Y62" s="355">
        <f>AND(SUM($J$52:X52)=0,Y52&gt;0)*Summary!$M$49</f>
        <v>0</v>
      </c>
      <c r="Z62" s="355">
        <f>AND(SUM($J$52:Y52)=0,Z52&gt;0)*Summary!$M$49</f>
        <v>0</v>
      </c>
      <c r="AA62" s="355">
        <f>AND(SUM($J$52:Z52)=0,AA52&gt;0)*Summary!$M$49</f>
        <v>0</v>
      </c>
      <c r="AB62" s="355">
        <f>AND(SUM($J$52:AA52)=0,AB52&gt;0)*Summary!$M$49</f>
        <v>0</v>
      </c>
      <c r="AC62" s="355">
        <f>AND(SUM($J$52:AB52)=0,AC52&gt;0)*Summary!$M$49</f>
        <v>0</v>
      </c>
      <c r="AD62" s="355">
        <f>AND(SUM($J$52:AC52)=0,AD52&gt;0)*Summary!$M$49</f>
        <v>0</v>
      </c>
      <c r="AE62" s="355">
        <f>AND(SUM($J$52:AD52)=0,AE52&gt;0)*Summary!$M$49</f>
        <v>0</v>
      </c>
      <c r="AF62" s="355">
        <f>AND(SUM($J$52:AE52)=0,AF52&gt;0)*Summary!$M$49</f>
        <v>0</v>
      </c>
      <c r="AG62" s="355">
        <f>AND(SUM($J$52:AF52)=0,AG52&gt;0)*Summary!$M$49</f>
        <v>0</v>
      </c>
      <c r="AH62" s="355">
        <f>AND(SUM($J$52:AG52)=0,AH52&gt;0)*Summary!$M$49</f>
        <v>0</v>
      </c>
      <c r="AI62" s="355">
        <f>AND(SUM($J$52:AH52)=0,AI52&gt;0)*Summary!$M$49</f>
        <v>0</v>
      </c>
      <c r="AJ62" s="355">
        <f>AND(SUM($J$52:AI52)=0,AJ52&gt;0)*Summary!$M$49</f>
        <v>1745641</v>
      </c>
      <c r="AK62" s="355">
        <f>AND(SUM($J$52:AJ52)=0,AK52&gt;0)*Summary!$M$49</f>
        <v>0</v>
      </c>
      <c r="AL62" s="355">
        <f>AND(SUM($J$52:AK52)=0,AL52&gt;0)*Summary!$M$49</f>
        <v>0</v>
      </c>
      <c r="AM62" s="355">
        <f>AND(SUM($J$52:AL52)=0,AM52&gt;0)*Summary!$M$49</f>
        <v>0</v>
      </c>
      <c r="AN62" s="355">
        <f>AND(SUM($J$52:AM52)=0,AN52&gt;0)*Summary!$M$49</f>
        <v>0</v>
      </c>
      <c r="AO62" s="355">
        <f>AND(SUM($J$52:AN52)=0,AO52&gt;0)*Summary!$M$49</f>
        <v>0</v>
      </c>
      <c r="AP62" s="355">
        <f>AND(SUM($J$52:AO52)=0,AP52&gt;0)*Summary!$M$49</f>
        <v>0</v>
      </c>
      <c r="AQ62" s="355">
        <f>AND(SUM($J$52:AP52)=0,AQ52&gt;0)*Summary!$M$49</f>
        <v>0</v>
      </c>
      <c r="AR62" s="355">
        <f>AND(SUM($J$52:AQ52)=0,AR52&gt;0)*Summary!$M$49</f>
        <v>0</v>
      </c>
      <c r="AS62" s="355">
        <f>AND(SUM($J$52:AR52)=0,AS52&gt;0)*Summary!$M$49</f>
        <v>0</v>
      </c>
      <c r="AT62" s="355">
        <f>AND(SUM($J$52:AS52)=0,AT52&gt;0)*Summary!$M$49</f>
        <v>0</v>
      </c>
      <c r="AU62" s="355">
        <f>AND(SUM($J$52:AT52)=0,AU52&gt;0)*Summary!$M$49</f>
        <v>0</v>
      </c>
      <c r="AV62" s="355">
        <f>AND(SUM($J$52:AU52)=0,AV52&gt;0)*Summary!$M$49</f>
        <v>0</v>
      </c>
      <c r="AW62" s="355">
        <f>AND(SUM($J$52:AV52)=0,AW52&gt;0)*Summary!$M$49</f>
        <v>0</v>
      </c>
      <c r="AX62" s="355">
        <f>AND(SUM($J$52:AW52)=0,AX52&gt;0)*Summary!$M$49</f>
        <v>0</v>
      </c>
      <c r="AY62" s="355">
        <f>AND(SUM($J$52:AX52)=0,AY52&gt;0)*Summary!$M$49</f>
        <v>0</v>
      </c>
      <c r="AZ62" s="355">
        <f>AND(SUM($J$52:AY52)=0,AZ52&gt;0)*Summary!$M$49</f>
        <v>0</v>
      </c>
      <c r="BA62" s="355">
        <f>AND(SUM($J$52:AZ52)=0,BA52&gt;0)*Summary!$M$49</f>
        <v>0</v>
      </c>
      <c r="BB62" s="355">
        <f>AND(SUM($J$52:BA52)=0,BB52&gt;0)*Summary!$M$49</f>
        <v>0</v>
      </c>
      <c r="BC62" s="355">
        <f>AND(SUM($J$52:BB52)=0,BC52&gt;0)*Summary!$M$49</f>
        <v>0</v>
      </c>
      <c r="BD62" s="355">
        <f>AND(SUM($J$52:BC52)=0,BD52&gt;0)*Summary!$M$49</f>
        <v>0</v>
      </c>
      <c r="BE62" s="355">
        <f>AND(SUM($J$52:BD52)=0,BE52&gt;0)*Summary!$M$49</f>
        <v>0</v>
      </c>
      <c r="BF62" s="355">
        <f>AND(SUM($J$52:BE52)=0,BF52&gt;0)*Summary!$M$49</f>
        <v>0</v>
      </c>
      <c r="BG62" s="355">
        <f>AND(SUM($J$52:BF52)=0,BG52&gt;0)*Summary!$M$49</f>
        <v>0</v>
      </c>
      <c r="BH62" s="355">
        <f>AND(SUM($J$52:BG52)=0,BH52&gt;0)*Summary!$M$49</f>
        <v>0</v>
      </c>
      <c r="BI62" s="355">
        <f>AND(SUM($J$52:BH52)=0,BI52&gt;0)*Summary!$M$49</f>
        <v>0</v>
      </c>
      <c r="BJ62" s="355">
        <f>AND(SUM($J$52:BI52)=0,BJ52&gt;0)*Summary!$M$49</f>
        <v>0</v>
      </c>
      <c r="BK62" s="355">
        <f>AND(SUM($J$52:BJ52)=0,BK52&gt;0)*Summary!$M$49</f>
        <v>0</v>
      </c>
      <c r="BL62" s="355">
        <f>AND(SUM($J$52:BK52)=0,BL52&gt;0)*Summary!$M$49</f>
        <v>0</v>
      </c>
      <c r="BM62" s="355">
        <f>AND(SUM($J$52:BL52)=0,BM52&gt;0)*Summary!$M$49</f>
        <v>0</v>
      </c>
      <c r="BN62" s="355">
        <f>AND(SUM($J$52:BM52)=0,BN52&gt;0)*Summary!$M$49</f>
        <v>0</v>
      </c>
      <c r="BO62" s="355">
        <f>AND(SUM($J$52:BN52)=0,BO52&gt;0)*Summary!$M$49</f>
        <v>0</v>
      </c>
      <c r="BP62" s="355">
        <f>AND(SUM($J$52:BO52)=0,BP52&gt;0)*Summary!$M$49</f>
        <v>0</v>
      </c>
      <c r="BQ62" s="355">
        <f>AND(SUM($J$52:BP52)=0,BQ52&gt;0)*Summary!$M$49</f>
        <v>0</v>
      </c>
      <c r="BR62" s="355">
        <f>AND(SUM($J$52:BQ52)=0,BR52&gt;0)*Summary!$M$49</f>
        <v>0</v>
      </c>
      <c r="BS62" s="356">
        <f>AND(SUM($J$52:BR52)=0,BS52&gt;0)*Summary!$M$49</f>
        <v>0</v>
      </c>
    </row>
    <row r="63" spans="2:128" x14ac:dyDescent="0.3">
      <c r="B63" s="87"/>
      <c r="C63" s="239" t="s">
        <v>140</v>
      </c>
      <c r="D63" s="239"/>
      <c r="E63" s="269"/>
      <c r="F63" s="268"/>
      <c r="G63" s="268"/>
      <c r="H63" s="261"/>
      <c r="I63" s="230"/>
      <c r="J63" s="230"/>
      <c r="K63" s="165">
        <f>J55*K61/12</f>
        <v>0</v>
      </c>
      <c r="L63" s="165">
        <f t="shared" ref="L63:BS63" si="25">K55*L61/12</f>
        <v>0</v>
      </c>
      <c r="M63" s="165">
        <f t="shared" si="25"/>
        <v>0</v>
      </c>
      <c r="N63" s="165">
        <f t="shared" si="25"/>
        <v>0</v>
      </c>
      <c r="O63" s="165">
        <f t="shared" si="25"/>
        <v>0</v>
      </c>
      <c r="P63" s="165">
        <f t="shared" si="25"/>
        <v>0</v>
      </c>
      <c r="Q63" s="165">
        <f t="shared" si="25"/>
        <v>0</v>
      </c>
      <c r="R63" s="165">
        <f t="shared" si="25"/>
        <v>0</v>
      </c>
      <c r="S63" s="165">
        <f t="shared" si="25"/>
        <v>0</v>
      </c>
      <c r="T63" s="165">
        <f t="shared" si="25"/>
        <v>0</v>
      </c>
      <c r="U63" s="165">
        <f t="shared" si="25"/>
        <v>0</v>
      </c>
      <c r="V63" s="165">
        <f t="shared" si="25"/>
        <v>0</v>
      </c>
      <c r="W63" s="165">
        <f t="shared" si="25"/>
        <v>0</v>
      </c>
      <c r="X63" s="165">
        <f t="shared" si="25"/>
        <v>0</v>
      </c>
      <c r="Y63" s="165">
        <f t="shared" si="25"/>
        <v>0</v>
      </c>
      <c r="Z63" s="165">
        <f t="shared" si="25"/>
        <v>0</v>
      </c>
      <c r="AA63" s="165">
        <f t="shared" si="25"/>
        <v>0</v>
      </c>
      <c r="AB63" s="165">
        <f t="shared" si="25"/>
        <v>0</v>
      </c>
      <c r="AC63" s="165">
        <f t="shared" si="25"/>
        <v>0</v>
      </c>
      <c r="AD63" s="165">
        <f t="shared" si="25"/>
        <v>0</v>
      </c>
      <c r="AE63" s="165">
        <f t="shared" si="25"/>
        <v>0</v>
      </c>
      <c r="AF63" s="165">
        <f t="shared" si="25"/>
        <v>0</v>
      </c>
      <c r="AG63" s="165">
        <f t="shared" si="25"/>
        <v>0</v>
      </c>
      <c r="AH63" s="165">
        <f t="shared" si="25"/>
        <v>0</v>
      </c>
      <c r="AI63" s="165">
        <f t="shared" si="25"/>
        <v>0</v>
      </c>
      <c r="AJ63" s="165">
        <f t="shared" si="25"/>
        <v>0</v>
      </c>
      <c r="AK63" s="165">
        <f t="shared" si="25"/>
        <v>41743.794630357304</v>
      </c>
      <c r="AL63" s="165">
        <f t="shared" si="25"/>
        <v>107031.51495466633</v>
      </c>
      <c r="AM63" s="165">
        <f t="shared" si="25"/>
        <v>169738.34068118365</v>
      </c>
      <c r="AN63" s="165">
        <f t="shared" si="25"/>
        <v>232753.52580584583</v>
      </c>
      <c r="AO63" s="165">
        <f t="shared" si="25"/>
        <v>292404.20949956909</v>
      </c>
      <c r="AP63" s="165">
        <f t="shared" si="25"/>
        <v>345784.65139192616</v>
      </c>
      <c r="AQ63" s="165">
        <f t="shared" si="25"/>
        <v>390677.84481037268</v>
      </c>
      <c r="AR63" s="165">
        <f t="shared" si="25"/>
        <v>426591.66587568406</v>
      </c>
      <c r="AS63" s="165">
        <f t="shared" si="25"/>
        <v>454671.91459481727</v>
      </c>
      <c r="AT63" s="165">
        <f t="shared" si="25"/>
        <v>490545.31358411047</v>
      </c>
      <c r="AU63" s="165">
        <f t="shared" si="25"/>
        <v>506748.47820995114</v>
      </c>
      <c r="AV63" s="165">
        <f t="shared" si="25"/>
        <v>519666.63685222063</v>
      </c>
      <c r="AW63" s="165">
        <f t="shared" si="25"/>
        <v>604513.8264663195</v>
      </c>
      <c r="AX63" s="165">
        <f t="shared" si="25"/>
        <v>614324.10030479357</v>
      </c>
      <c r="AY63" s="165">
        <f t="shared" si="25"/>
        <v>624286.51369742898</v>
      </c>
      <c r="AZ63" s="165">
        <f t="shared" si="25"/>
        <v>634240.87630871369</v>
      </c>
      <c r="BA63" s="165">
        <f t="shared" si="25"/>
        <v>644731.82768574043</v>
      </c>
      <c r="BB63" s="165">
        <f t="shared" si="25"/>
        <v>655977.09713119245</v>
      </c>
      <c r="BC63" s="165">
        <f t="shared" si="25"/>
        <v>659043.72536760359</v>
      </c>
      <c r="BD63" s="165">
        <f t="shared" si="25"/>
        <v>662261.47352396452</v>
      </c>
      <c r="BE63" s="165">
        <f t="shared" si="25"/>
        <v>665676.67151024903</v>
      </c>
      <c r="BF63" s="165">
        <f t="shared" si="25"/>
        <v>684642.19759654405</v>
      </c>
      <c r="BG63" s="165">
        <f t="shared" si="25"/>
        <v>688146.57074944687</v>
      </c>
      <c r="BH63" s="165">
        <f t="shared" si="25"/>
        <v>-8.5876166122034203E-11</v>
      </c>
      <c r="BI63" s="165">
        <f t="shared" si="25"/>
        <v>-8.6459703743457806E-11</v>
      </c>
      <c r="BJ63" s="165">
        <f t="shared" si="25"/>
        <v>-8.6640939116477968E-11</v>
      </c>
      <c r="BK63" s="165">
        <f t="shared" si="25"/>
        <v>-8.6837261915206921E-11</v>
      </c>
      <c r="BL63" s="165">
        <f t="shared" si="25"/>
        <v>-8.7007321417331699E-11</v>
      </c>
      <c r="BM63" s="165">
        <f t="shared" si="25"/>
        <v>-8.7205879390239716E-11</v>
      </c>
      <c r="BN63" s="165">
        <f t="shared" si="25"/>
        <v>-8.7443739175796525E-11</v>
      </c>
      <c r="BO63" s="165">
        <f t="shared" si="25"/>
        <v>-8.7622925639152538E-11</v>
      </c>
      <c r="BP63" s="165">
        <f t="shared" si="25"/>
        <v>-8.7828375399112714E-11</v>
      </c>
      <c r="BQ63" s="165">
        <f t="shared" si="25"/>
        <v>-8.8056549429893476E-11</v>
      </c>
      <c r="BR63" s="165">
        <f t="shared" si="25"/>
        <v>-8.821580559015274E-11</v>
      </c>
      <c r="BS63" s="165">
        <f t="shared" si="25"/>
        <v>-8.8417530059814463E-11</v>
      </c>
    </row>
    <row r="64" spans="2:128" x14ac:dyDescent="0.3">
      <c r="B64" s="271" t="s">
        <v>141</v>
      </c>
      <c r="C64" s="270"/>
      <c r="D64" s="270"/>
      <c r="E64" s="279"/>
      <c r="F64" s="280"/>
      <c r="G64" s="280"/>
      <c r="H64" s="281"/>
      <c r="I64" s="282"/>
      <c r="J64" s="282"/>
      <c r="K64" s="65"/>
      <c r="L64" s="65"/>
      <c r="M64" s="65"/>
      <c r="N64" s="65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4"/>
      <c r="AN64" s="284"/>
      <c r="AO64" s="284"/>
      <c r="AP64" s="284"/>
      <c r="AQ64" s="284"/>
      <c r="AR64" s="283"/>
      <c r="AS64" s="283"/>
      <c r="AT64" s="283"/>
      <c r="AU64" s="283"/>
      <c r="AV64" s="283"/>
      <c r="AW64" s="283"/>
      <c r="AX64" s="283"/>
      <c r="AY64" s="283"/>
      <c r="AZ64" s="283"/>
      <c r="BA64" s="283"/>
      <c r="BB64" s="283"/>
      <c r="BC64" s="284"/>
      <c r="BD64" s="284"/>
      <c r="BE64" s="284"/>
      <c r="BF64" s="284"/>
      <c r="BG64" s="284"/>
      <c r="BH64" s="283"/>
      <c r="BI64" s="283"/>
      <c r="BJ64" s="283"/>
      <c r="BK64" s="283"/>
      <c r="BL64" s="283"/>
      <c r="BM64" s="283"/>
      <c r="BN64" s="283"/>
      <c r="BO64" s="283"/>
      <c r="BP64" s="283"/>
      <c r="BQ64" s="283"/>
      <c r="BR64" s="283"/>
      <c r="BS64" s="285"/>
    </row>
    <row r="66" spans="2:71" x14ac:dyDescent="0.3">
      <c r="B66" s="114" t="s">
        <v>152</v>
      </c>
      <c r="C66" s="115"/>
      <c r="D66" s="115"/>
      <c r="E66" s="115"/>
      <c r="F66" s="57"/>
      <c r="G66" s="116"/>
      <c r="H66" s="57"/>
      <c r="I66" s="116"/>
      <c r="J66" s="116"/>
      <c r="K66" s="57"/>
      <c r="L66" s="117"/>
      <c r="M66" s="117"/>
      <c r="N66" s="115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9"/>
    </row>
    <row r="67" spans="2:71" x14ac:dyDescent="0.3">
      <c r="B67" s="26" t="s">
        <v>153</v>
      </c>
      <c r="C67" s="88"/>
      <c r="D67" s="88"/>
      <c r="E67" s="88"/>
      <c r="F67" s="88"/>
      <c r="G67" s="88"/>
      <c r="H67" s="88"/>
      <c r="I67" s="88"/>
      <c r="J67" s="88"/>
      <c r="K67" s="355">
        <f>IFERROR((K$9&lt;Summary!$C$22)*INDEX(OpProj!$J$27:$EK$27,MATCH(MonthlyCF!K$10,OpProj!$J$14:$EK$14,0)),0)</f>
        <v>0</v>
      </c>
      <c r="L67" s="355">
        <f>IFERROR((L$9&lt;Summary!$C$22)*INDEX(OpProj!$J$27:$EK$27,MATCH(MonthlyCF!L$10,OpProj!$J$14:$EK$14,0)),0)</f>
        <v>0</v>
      </c>
      <c r="M67" s="355">
        <f>IFERROR((M$9&lt;Summary!$C$22)*INDEX(OpProj!$J$27:$EK$27,MATCH(MonthlyCF!M$10,OpProj!$J$14:$EK$14,0)),0)</f>
        <v>0</v>
      </c>
      <c r="N67" s="355">
        <f>IFERROR((N$9&lt;Summary!$C$22)*INDEX(OpProj!$J$27:$EK$27,MATCH(MonthlyCF!N$10,OpProj!$J$14:$EK$14,0)),0)</f>
        <v>0</v>
      </c>
      <c r="O67" s="355">
        <f>IFERROR((O$9&lt;Summary!$C$22)*INDEX(OpProj!$J$27:$EK$27,MATCH(MonthlyCF!O$10,OpProj!$J$14:$EK$14,0)),0)</f>
        <v>0</v>
      </c>
      <c r="P67" s="355">
        <f>IFERROR((P$9&lt;Summary!$C$22)*INDEX(OpProj!$J$27:$EK$27,MATCH(MonthlyCF!P$10,OpProj!$J$14:$EK$14,0)),0)</f>
        <v>0</v>
      </c>
      <c r="Q67" s="355">
        <f>IFERROR((Q$9&lt;Summary!$C$22)*INDEX(OpProj!$J$27:$EK$27,MATCH(MonthlyCF!Q$10,OpProj!$J$14:$EK$14,0)),0)</f>
        <v>0</v>
      </c>
      <c r="R67" s="355">
        <f>IFERROR((R$9&lt;Summary!$C$22)*INDEX(OpProj!$J$27:$EK$27,MATCH(MonthlyCF!R$10,OpProj!$J$14:$EK$14,0)),0)</f>
        <v>0</v>
      </c>
      <c r="S67" s="355">
        <f>IFERROR((S$9&lt;Summary!$C$22)*INDEX(OpProj!$J$27:$EK$27,MATCH(MonthlyCF!S$10,OpProj!$J$14:$EK$14,0)),0)</f>
        <v>0</v>
      </c>
      <c r="T67" s="355">
        <f>IFERROR((T$9&lt;Summary!$C$22)*INDEX(OpProj!$J$27:$EK$27,MATCH(MonthlyCF!T$10,OpProj!$J$14:$EK$14,0)),0)</f>
        <v>0</v>
      </c>
      <c r="U67" s="355">
        <f>IFERROR((U$9&lt;Summary!$C$22)*INDEX(OpProj!$J$27:$EK$27,MATCH(MonthlyCF!U$10,OpProj!$J$14:$EK$14,0)),0)</f>
        <v>0</v>
      </c>
      <c r="V67" s="355">
        <f>IFERROR((V$9&lt;Summary!$C$22)*INDEX(OpProj!$J$27:$EK$27,MATCH(MonthlyCF!V$10,OpProj!$J$14:$EK$14,0)),0)</f>
        <v>0</v>
      </c>
      <c r="W67" s="355">
        <f>IFERROR((W$9&lt;Summary!$C$22)*INDEX(OpProj!$J$27:$EK$27,MATCH(MonthlyCF!W$10,OpProj!$J$14:$EK$14,0)),0)</f>
        <v>0</v>
      </c>
      <c r="X67" s="355">
        <f>IFERROR((X$9&lt;Summary!$C$22)*INDEX(OpProj!$J$27:$EK$27,MATCH(MonthlyCF!X$10,OpProj!$J$14:$EK$14,0)),0)</f>
        <v>0</v>
      </c>
      <c r="Y67" s="355">
        <f>IFERROR((Y$9&lt;Summary!$C$22)*INDEX(OpProj!$J$27:$EK$27,MATCH(MonthlyCF!Y$10,OpProj!$J$14:$EK$14,0)),0)</f>
        <v>0</v>
      </c>
      <c r="Z67" s="355">
        <f>IFERROR((Z$9&lt;Summary!$C$22)*INDEX(OpProj!$J$27:$EK$27,MATCH(MonthlyCF!Z$10,OpProj!$J$14:$EK$14,0)),0)</f>
        <v>0</v>
      </c>
      <c r="AA67" s="355">
        <f>IFERROR((AA$9&lt;Summary!$C$22)*INDEX(OpProj!$J$27:$EK$27,MATCH(MonthlyCF!AA$10,OpProj!$J$14:$EK$14,0)),0)</f>
        <v>0</v>
      </c>
      <c r="AB67" s="355">
        <f>IFERROR((AB$9&lt;Summary!$C$22)*INDEX(OpProj!$J$27:$EK$27,MATCH(MonthlyCF!AB$10,OpProj!$J$14:$EK$14,0)),0)</f>
        <v>0</v>
      </c>
      <c r="AC67" s="355">
        <f>IFERROR((AC$9&lt;Summary!$C$22)*INDEX(OpProj!$J$27:$EK$27,MATCH(MonthlyCF!AC$10,OpProj!$J$14:$EK$14,0)),0)</f>
        <v>0</v>
      </c>
      <c r="AD67" s="355">
        <f>IFERROR((AD$9&lt;Summary!$C$22)*INDEX(OpProj!$J$27:$EK$27,MATCH(MonthlyCF!AD$10,OpProj!$J$14:$EK$14,0)),0)</f>
        <v>0</v>
      </c>
      <c r="AE67" s="355">
        <f>IFERROR((AE$9&lt;Summary!$C$22)*INDEX(OpProj!$J$27:$EK$27,MATCH(MonthlyCF!AE$10,OpProj!$J$14:$EK$14,0)),0)</f>
        <v>0</v>
      </c>
      <c r="AF67" s="355">
        <f>IFERROR((AF$9&lt;Summary!$C$22)*INDEX(OpProj!$J$27:$EK$27,MATCH(MonthlyCF!AF$10,OpProj!$J$14:$EK$14,0)),0)</f>
        <v>0</v>
      </c>
      <c r="AG67" s="355">
        <f>IFERROR((AG$9&lt;Summary!$C$22)*INDEX(OpProj!$J$27:$EK$27,MATCH(MonthlyCF!AG$10,OpProj!$J$14:$EK$14,0)),0)</f>
        <v>0</v>
      </c>
      <c r="AH67" s="355">
        <f>IFERROR((AH$9&lt;Summary!$C$22)*INDEX(OpProj!$J$27:$EK$27,MATCH(MonthlyCF!AH$10,OpProj!$J$14:$EK$14,0)),0)</f>
        <v>0</v>
      </c>
      <c r="AI67" s="355">
        <f>IFERROR((AI$9&lt;Summary!$C$22)*INDEX(OpProj!$J$27:$EK$27,MATCH(MonthlyCF!AI$10,OpProj!$J$14:$EK$14,0)),0)</f>
        <v>0</v>
      </c>
      <c r="AJ67" s="355">
        <f>IFERROR((AJ$9&lt;Summary!$C$22)*INDEX(OpProj!$J$27:$EK$27,MATCH(MonthlyCF!AJ$10,OpProj!$J$14:$EK$14,0)),0)</f>
        <v>0</v>
      </c>
      <c r="AK67" s="355">
        <f>IFERROR((AK$9&lt;Summary!$C$22)*INDEX(OpProj!$J$27:$EK$27,MATCH(MonthlyCF!AK$10,OpProj!$J$14:$EK$14,0)),0)</f>
        <v>0</v>
      </c>
      <c r="AL67" s="355">
        <f>IFERROR((AL$9&lt;Summary!$C$22)*INDEX(OpProj!$J$27:$EK$27,MATCH(MonthlyCF!AL$10,OpProj!$J$14:$EK$14,0)),0)</f>
        <v>0</v>
      </c>
      <c r="AM67" s="355">
        <f>IFERROR((AM$9&lt;Summary!$C$22)*INDEX(OpProj!$J$27:$EK$27,MATCH(MonthlyCF!AM$10,OpProj!$J$14:$EK$14,0)),0)</f>
        <v>0</v>
      </c>
      <c r="AN67" s="355">
        <f>IFERROR((AN$9&lt;Summary!$C$22)*INDEX(OpProj!$J$27:$EK$27,MATCH(MonthlyCF!AN$10,OpProj!$J$14:$EK$14,0)),0)</f>
        <v>0</v>
      </c>
      <c r="AO67" s="355">
        <f>IFERROR((AO$9&lt;Summary!$C$22)*INDEX(OpProj!$J$27:$EK$27,MATCH(MonthlyCF!AO$10,OpProj!$J$14:$EK$14,0)),0)</f>
        <v>0</v>
      </c>
      <c r="AP67" s="355">
        <f>IFERROR((AP$9&lt;Summary!$C$22)*INDEX(OpProj!$J$27:$EK$27,MATCH(MonthlyCF!AP$10,OpProj!$J$14:$EK$14,0)),0)</f>
        <v>0</v>
      </c>
      <c r="AQ67" s="355">
        <f>IFERROR((AQ$9&lt;Summary!$C$22)*INDEX(OpProj!$J$27:$EK$27,MATCH(MonthlyCF!AQ$10,OpProj!$J$14:$EK$14,0)),0)</f>
        <v>0</v>
      </c>
      <c r="AR67" s="355">
        <f>IFERROR((AR$9&lt;Summary!$C$22)*INDEX(OpProj!$J$27:$EK$27,MATCH(MonthlyCF!AR$10,OpProj!$J$14:$EK$14,0)),0)</f>
        <v>0</v>
      </c>
      <c r="AS67" s="355">
        <f>IFERROR((AS$9&lt;Summary!$C$22)*INDEX(OpProj!$J$27:$EK$27,MATCH(MonthlyCF!AS$10,OpProj!$J$14:$EK$14,0)),0)</f>
        <v>0</v>
      </c>
      <c r="AT67" s="355">
        <f>IFERROR((AT$9&lt;Summary!$C$22)*INDEX(OpProj!$J$27:$EK$27,MATCH(MonthlyCF!AT$10,OpProj!$J$14:$EK$14,0)),0)</f>
        <v>0</v>
      </c>
      <c r="AU67" s="355">
        <f>IFERROR((AU$9&lt;Summary!$C$22)*INDEX(OpProj!$J$27:$EK$27,MATCH(MonthlyCF!AU$10,OpProj!$J$14:$EK$14,0)),0)</f>
        <v>0</v>
      </c>
      <c r="AV67" s="355">
        <f>IFERROR((AV$9&lt;Summary!$C$22)*INDEX(OpProj!$J$27:$EK$27,MATCH(MonthlyCF!AV$10,OpProj!$J$14:$EK$14,0)),0)</f>
        <v>22345.48046875</v>
      </c>
      <c r="AW67" s="355">
        <f>IFERROR((AW$9&lt;Summary!$C$22)*INDEX(OpProj!$J$27:$EK$27,MATCH(MonthlyCF!AW$10,OpProj!$J$14:$EK$14,0)),0)</f>
        <v>22345.48046875</v>
      </c>
      <c r="AX67" s="355">
        <f>IFERROR((AX$9&lt;Summary!$C$22)*INDEX(OpProj!$J$27:$EK$27,MATCH(MonthlyCF!AX$10,OpProj!$J$14:$EK$14,0)),0)</f>
        <v>22345.48046875</v>
      </c>
      <c r="AY67" s="355">
        <f>IFERROR((AY$9&lt;Summary!$C$22)*INDEX(OpProj!$J$27:$EK$27,MATCH(MonthlyCF!AY$10,OpProj!$J$14:$EK$14,0)),0)</f>
        <v>22345.48046875</v>
      </c>
      <c r="AZ67" s="355">
        <f>IFERROR((AZ$9&lt;Summary!$C$22)*INDEX(OpProj!$J$27:$EK$27,MATCH(MonthlyCF!AZ$10,OpProj!$J$14:$EK$14,0)),0)</f>
        <v>22345.48046875</v>
      </c>
      <c r="BA67" s="355">
        <f>IFERROR((BA$9&lt;Summary!$C$22)*INDEX(OpProj!$J$27:$EK$27,MATCH(MonthlyCF!BA$10,OpProj!$J$14:$EK$14,0)),0)</f>
        <v>22345.48046875</v>
      </c>
      <c r="BB67" s="355">
        <f>IFERROR((BB$9&lt;Summary!$C$22)*INDEX(OpProj!$J$27:$EK$27,MATCH(MonthlyCF!BB$10,OpProj!$J$14:$EK$14,0)),0)</f>
        <v>1449663.8078009875</v>
      </c>
      <c r="BC67" s="355">
        <f>IFERROR((BC$9&lt;Summary!$C$22)*INDEX(OpProj!$J$27:$EK$27,MATCH(MonthlyCF!BC$10,OpProj!$J$14:$EK$14,0)),0)</f>
        <v>1449663.8078009875</v>
      </c>
      <c r="BD67" s="355">
        <f>IFERROR((BD$9&lt;Summary!$C$22)*INDEX(OpProj!$J$27:$EK$27,MATCH(MonthlyCF!BD$10,OpProj!$J$14:$EK$14,0)),0)</f>
        <v>1449663.8078009875</v>
      </c>
      <c r="BE67" s="355">
        <f>IFERROR((BE$9&lt;Summary!$C$22)*INDEX(OpProj!$J$27:$EK$27,MATCH(MonthlyCF!BE$10,OpProj!$J$14:$EK$14,0)),0)</f>
        <v>1449663.8078009875</v>
      </c>
      <c r="BF67" s="355">
        <f>IFERROR((BF$9&lt;Summary!$C$22)*INDEX(OpProj!$J$27:$EK$27,MATCH(MonthlyCF!BF$10,OpProj!$J$14:$EK$14,0)),0)</f>
        <v>1449663.8078009875</v>
      </c>
      <c r="BG67" s="355">
        <f>IFERROR((BG$9&lt;Summary!$C$22)*INDEX(OpProj!$J$27:$EK$27,MATCH(MonthlyCF!BG$10,OpProj!$J$14:$EK$14,0)),0)</f>
        <v>0</v>
      </c>
      <c r="BH67" s="355">
        <f>IFERROR((BH$9&lt;Summary!$C$22)*INDEX(OpProj!$J$27:$EK$27,MATCH(MonthlyCF!BH$10,OpProj!$J$14:$EK$14,0)),0)</f>
        <v>0</v>
      </c>
      <c r="BI67" s="355">
        <f>IFERROR((BI$9&lt;Summary!$C$22)*INDEX(OpProj!$J$27:$EK$27,MATCH(MonthlyCF!BI$10,OpProj!$J$14:$EK$14,0)),0)</f>
        <v>0</v>
      </c>
      <c r="BJ67" s="355">
        <f>IFERROR((BJ$9&lt;Summary!$C$22)*INDEX(OpProj!$J$27:$EK$27,MATCH(MonthlyCF!BJ$10,OpProj!$J$14:$EK$14,0)),0)</f>
        <v>0</v>
      </c>
      <c r="BK67" s="355">
        <f>IFERROR((BK$9&lt;Summary!$C$22)*INDEX(OpProj!$J$27:$EK$27,MATCH(MonthlyCF!BK$10,OpProj!$J$14:$EK$14,0)),0)</f>
        <v>0</v>
      </c>
      <c r="BL67" s="355">
        <f>IFERROR((BL$9&lt;Summary!$C$22)*INDEX(OpProj!$J$27:$EK$27,MATCH(MonthlyCF!BL$10,OpProj!$J$14:$EK$14,0)),0)</f>
        <v>0</v>
      </c>
      <c r="BM67" s="355">
        <f>IFERROR((BM$9&lt;Summary!$C$22)*INDEX(OpProj!$J$27:$EK$27,MATCH(MonthlyCF!BM$10,OpProj!$J$14:$EK$14,0)),0)</f>
        <v>0</v>
      </c>
      <c r="BN67" s="355">
        <f>IFERROR((BN$9&lt;Summary!$C$22)*INDEX(OpProj!$J$27:$EK$27,MATCH(MonthlyCF!BN$10,OpProj!$J$14:$EK$14,0)),0)</f>
        <v>0</v>
      </c>
      <c r="BO67" s="355">
        <f>IFERROR((BO$9&lt;Summary!$C$22)*INDEX(OpProj!$J$27:$EK$27,MATCH(MonthlyCF!BO$10,OpProj!$J$14:$EK$14,0)),0)</f>
        <v>0</v>
      </c>
      <c r="BP67" s="355">
        <f>IFERROR((BP$9&lt;Summary!$C$22)*INDEX(OpProj!$J$27:$EK$27,MATCH(MonthlyCF!BP$10,OpProj!$J$14:$EK$14,0)),0)</f>
        <v>0</v>
      </c>
      <c r="BQ67" s="355">
        <f>IFERROR((BQ$9&lt;Summary!$C$22)*INDEX(OpProj!$J$27:$EK$27,MATCH(MonthlyCF!BQ$10,OpProj!$J$14:$EK$14,0)),0)</f>
        <v>0</v>
      </c>
      <c r="BR67" s="355">
        <f>IFERROR((BR$9&lt;Summary!$C$22)*INDEX(OpProj!$J$27:$EK$27,MATCH(MonthlyCF!BR$10,OpProj!$J$14:$EK$14,0)),0)</f>
        <v>0</v>
      </c>
      <c r="BS67" s="356">
        <f>IFERROR((BS$9&lt;Summary!$C$22)*INDEX(OpProj!$J$27:$EK$27,MATCH(MonthlyCF!BS$10,OpProj!$J$14:$EK$14,0)),0)</f>
        <v>0</v>
      </c>
    </row>
    <row r="68" spans="2:71" x14ac:dyDescent="0.3">
      <c r="B68" s="16" t="s">
        <v>31</v>
      </c>
      <c r="C68" s="1"/>
      <c r="D68" s="1"/>
      <c r="E68" s="1"/>
      <c r="F68" s="1"/>
      <c r="G68" s="1"/>
      <c r="H68" s="1"/>
      <c r="I68" s="1"/>
      <c r="J68" s="1"/>
      <c r="K68" s="165">
        <f>IFERROR((K$9=Summary!$C$22)*INDEX(OpProj!$J$29:$EK$29,MATCH(MonthlyCF!K$10,OpProj!$J$14:$EK$14,0)),0)</f>
        <v>0</v>
      </c>
      <c r="L68" s="165">
        <f>IFERROR((L$9=Summary!$C$22)*INDEX(OpProj!$J$29:$EK$29,MATCH(MonthlyCF!L$10,OpProj!$J$14:$EK$14,0)),0)</f>
        <v>0</v>
      </c>
      <c r="M68" s="165">
        <f>IFERROR((M$9=Summary!$C$22)*INDEX(OpProj!$J$29:$EK$29,MATCH(MonthlyCF!M$10,OpProj!$J$14:$EK$14,0)),0)</f>
        <v>0</v>
      </c>
      <c r="N68" s="165">
        <f>IFERROR((N$9=Summary!$C$22)*INDEX(OpProj!$J$29:$EK$29,MATCH(MonthlyCF!N$10,OpProj!$J$14:$EK$14,0)),0)</f>
        <v>0</v>
      </c>
      <c r="O68" s="165">
        <f>IFERROR((O$9=Summary!$C$22)*INDEX(OpProj!$J$29:$EK$29,MATCH(MonthlyCF!O$10,OpProj!$J$14:$EK$14,0)),0)</f>
        <v>0</v>
      </c>
      <c r="P68" s="165">
        <f>IFERROR((P$9=Summary!$C$22)*INDEX(OpProj!$J$29:$EK$29,MATCH(MonthlyCF!P$10,OpProj!$J$14:$EK$14,0)),0)</f>
        <v>0</v>
      </c>
      <c r="Q68" s="165">
        <f>IFERROR((Q$9=Summary!$C$22)*INDEX(OpProj!$J$29:$EK$29,MATCH(MonthlyCF!Q$10,OpProj!$J$14:$EK$14,0)),0)</f>
        <v>0</v>
      </c>
      <c r="R68" s="165">
        <f>IFERROR((R$9=Summary!$C$22)*INDEX(OpProj!$J$29:$EK$29,MATCH(MonthlyCF!R$10,OpProj!$J$14:$EK$14,0)),0)</f>
        <v>0</v>
      </c>
      <c r="S68" s="165">
        <f>IFERROR((S$9=Summary!$C$22)*INDEX(OpProj!$J$29:$EK$29,MATCH(MonthlyCF!S$10,OpProj!$J$14:$EK$14,0)),0)</f>
        <v>0</v>
      </c>
      <c r="T68" s="165">
        <f>IFERROR((T$9=Summary!$C$22)*INDEX(OpProj!$J$29:$EK$29,MATCH(MonthlyCF!T$10,OpProj!$J$14:$EK$14,0)),0)</f>
        <v>0</v>
      </c>
      <c r="U68" s="165">
        <f>IFERROR((U$9=Summary!$C$22)*INDEX(OpProj!$J$29:$EK$29,MATCH(MonthlyCF!U$10,OpProj!$J$14:$EK$14,0)),0)</f>
        <v>0</v>
      </c>
      <c r="V68" s="165">
        <f>IFERROR((V$9=Summary!$C$22)*INDEX(OpProj!$J$29:$EK$29,MATCH(MonthlyCF!V$10,OpProj!$J$14:$EK$14,0)),0)</f>
        <v>0</v>
      </c>
      <c r="W68" s="165">
        <f>IFERROR((W$9=Summary!$C$22)*INDEX(OpProj!$J$29:$EK$29,MATCH(MonthlyCF!W$10,OpProj!$J$14:$EK$14,0)),0)</f>
        <v>0</v>
      </c>
      <c r="X68" s="165">
        <f>IFERROR((X$9=Summary!$C$22)*INDEX(OpProj!$J$29:$EK$29,MATCH(MonthlyCF!X$10,OpProj!$J$14:$EK$14,0)),0)</f>
        <v>0</v>
      </c>
      <c r="Y68" s="165">
        <f>IFERROR((Y$9=Summary!$C$22)*INDEX(OpProj!$J$29:$EK$29,MATCH(MonthlyCF!Y$10,OpProj!$J$14:$EK$14,0)),0)</f>
        <v>0</v>
      </c>
      <c r="Z68" s="165">
        <f>IFERROR((Z$9=Summary!$C$22)*INDEX(OpProj!$J$29:$EK$29,MATCH(MonthlyCF!Z$10,OpProj!$J$14:$EK$14,0)),0)</f>
        <v>0</v>
      </c>
      <c r="AA68" s="165">
        <f>IFERROR((AA$9=Summary!$C$22)*INDEX(OpProj!$J$29:$EK$29,MATCH(MonthlyCF!AA$10,OpProj!$J$14:$EK$14,0)),0)</f>
        <v>0</v>
      </c>
      <c r="AB68" s="165">
        <f>IFERROR((AB$9=Summary!$C$22)*INDEX(OpProj!$J$29:$EK$29,MATCH(MonthlyCF!AB$10,OpProj!$J$14:$EK$14,0)),0)</f>
        <v>0</v>
      </c>
      <c r="AC68" s="165">
        <f>IFERROR((AC$9=Summary!$C$22)*INDEX(OpProj!$J$29:$EK$29,MATCH(MonthlyCF!AC$10,OpProj!$J$14:$EK$14,0)),0)</f>
        <v>0</v>
      </c>
      <c r="AD68" s="165">
        <f>IFERROR((AD$9=Summary!$C$22)*INDEX(OpProj!$J$29:$EK$29,MATCH(MonthlyCF!AD$10,OpProj!$J$14:$EK$14,0)),0)</f>
        <v>0</v>
      </c>
      <c r="AE68" s="165">
        <f>IFERROR((AE$9=Summary!$C$22)*INDEX(OpProj!$J$29:$EK$29,MATCH(MonthlyCF!AE$10,OpProj!$J$14:$EK$14,0)),0)</f>
        <v>0</v>
      </c>
      <c r="AF68" s="165">
        <f>IFERROR((AF$9=Summary!$C$22)*INDEX(OpProj!$J$29:$EK$29,MATCH(MonthlyCF!AF$10,OpProj!$J$14:$EK$14,0)),0)</f>
        <v>0</v>
      </c>
      <c r="AG68" s="165">
        <f>IFERROR((AG$9=Summary!$C$22)*INDEX(OpProj!$J$29:$EK$29,MATCH(MonthlyCF!AG$10,OpProj!$J$14:$EK$14,0)),0)</f>
        <v>0</v>
      </c>
      <c r="AH68" s="165">
        <f>IFERROR((AH$9=Summary!$C$22)*INDEX(OpProj!$J$29:$EK$29,MATCH(MonthlyCF!AH$10,OpProj!$J$14:$EK$14,0)),0)</f>
        <v>0</v>
      </c>
      <c r="AI68" s="165">
        <f>IFERROR((AI$9=Summary!$C$22)*INDEX(OpProj!$J$29:$EK$29,MATCH(MonthlyCF!AI$10,OpProj!$J$14:$EK$14,0)),0)</f>
        <v>0</v>
      </c>
      <c r="AJ68" s="165">
        <f>IFERROR((AJ$9=Summary!$C$22)*INDEX(OpProj!$J$29:$EK$29,MATCH(MonthlyCF!AJ$10,OpProj!$J$14:$EK$14,0)),0)</f>
        <v>0</v>
      </c>
      <c r="AK68" s="165">
        <f>IFERROR((AK$9=Summary!$C$22)*INDEX(OpProj!$J$29:$EK$29,MATCH(MonthlyCF!AK$10,OpProj!$J$14:$EK$14,0)),0)</f>
        <v>0</v>
      </c>
      <c r="AL68" s="165">
        <f>IFERROR((AL$9=Summary!$C$22)*INDEX(OpProj!$J$29:$EK$29,MATCH(MonthlyCF!AL$10,OpProj!$J$14:$EK$14,0)),0)</f>
        <v>0</v>
      </c>
      <c r="AM68" s="165">
        <f>IFERROR((AM$9=Summary!$C$22)*INDEX(OpProj!$J$29:$EK$29,MATCH(MonthlyCF!AM$10,OpProj!$J$14:$EK$14,0)),0)</f>
        <v>0</v>
      </c>
      <c r="AN68" s="165">
        <f>IFERROR((AN$9=Summary!$C$22)*INDEX(OpProj!$J$29:$EK$29,MATCH(MonthlyCF!AN$10,OpProj!$J$14:$EK$14,0)),0)</f>
        <v>0</v>
      </c>
      <c r="AO68" s="165">
        <f>IFERROR((AO$9=Summary!$C$22)*INDEX(OpProj!$J$29:$EK$29,MATCH(MonthlyCF!AO$10,OpProj!$J$14:$EK$14,0)),0)</f>
        <v>0</v>
      </c>
      <c r="AP68" s="165">
        <f>IFERROR((AP$9=Summary!$C$22)*INDEX(OpProj!$J$29:$EK$29,MATCH(MonthlyCF!AP$10,OpProj!$J$14:$EK$14,0)),0)</f>
        <v>0</v>
      </c>
      <c r="AQ68" s="165">
        <f>IFERROR((AQ$9=Summary!$C$22)*INDEX(OpProj!$J$29:$EK$29,MATCH(MonthlyCF!AQ$10,OpProj!$J$14:$EK$14,0)),0)</f>
        <v>0</v>
      </c>
      <c r="AR68" s="165">
        <f>IFERROR((AR$9=Summary!$C$22)*INDEX(OpProj!$J$29:$EK$29,MATCH(MonthlyCF!AR$10,OpProj!$J$14:$EK$14,0)),0)</f>
        <v>0</v>
      </c>
      <c r="AS68" s="165">
        <f>IFERROR((AS$9=Summary!$C$22)*INDEX(OpProj!$J$29:$EK$29,MATCH(MonthlyCF!AS$10,OpProj!$J$14:$EK$14,0)),0)</f>
        <v>0</v>
      </c>
      <c r="AT68" s="165">
        <f>IFERROR((AT$9=Summary!$C$22)*INDEX(OpProj!$J$29:$EK$29,MATCH(MonthlyCF!AT$10,OpProj!$J$14:$EK$14,0)),0)</f>
        <v>0</v>
      </c>
      <c r="AU68" s="165">
        <f>IFERROR((AU$9=Summary!$C$22)*INDEX(OpProj!$J$29:$EK$29,MATCH(MonthlyCF!AU$10,OpProj!$J$14:$EK$14,0)),0)</f>
        <v>0</v>
      </c>
      <c r="AV68" s="165">
        <f>IFERROR((AV$9=Summary!$C$22)*INDEX(OpProj!$J$29:$EK$29,MATCH(MonthlyCF!AV$10,OpProj!$J$14:$EK$14,0)),0)</f>
        <v>0</v>
      </c>
      <c r="AW68" s="165">
        <f>IFERROR((AW$9=Summary!$C$22)*INDEX(OpProj!$J$29:$EK$29,MATCH(MonthlyCF!AW$10,OpProj!$J$14:$EK$14,0)),0)</f>
        <v>0</v>
      </c>
      <c r="AX68" s="165">
        <f>IFERROR((AX$9=Summary!$C$22)*INDEX(OpProj!$J$29:$EK$29,MATCH(MonthlyCF!AX$10,OpProj!$J$14:$EK$14,0)),0)</f>
        <v>0</v>
      </c>
      <c r="AY68" s="165">
        <f>IFERROR((AY$9=Summary!$C$22)*INDEX(OpProj!$J$29:$EK$29,MATCH(MonthlyCF!AY$10,OpProj!$J$14:$EK$14,0)),0)</f>
        <v>0</v>
      </c>
      <c r="AZ68" s="165">
        <f>IFERROR((AZ$9=Summary!$C$22)*INDEX(OpProj!$J$29:$EK$29,MATCH(MonthlyCF!AZ$10,OpProj!$J$14:$EK$14,0)),0)</f>
        <v>0</v>
      </c>
      <c r="BA68" s="165">
        <f>IFERROR((BA$9=Summary!$C$22)*INDEX(OpProj!$J$29:$EK$29,MATCH(MonthlyCF!BA$10,OpProj!$J$14:$EK$14,0)),0)</f>
        <v>0</v>
      </c>
      <c r="BB68" s="165">
        <f>IFERROR((BB$9=Summary!$C$22)*INDEX(OpProj!$J$29:$EK$29,MATCH(MonthlyCF!BB$10,OpProj!$J$14:$EK$14,0)),0)</f>
        <v>0</v>
      </c>
      <c r="BC68" s="165">
        <f>IFERROR((BC$9=Summary!$C$22)*INDEX(OpProj!$J$29:$EK$29,MATCH(MonthlyCF!BC$10,OpProj!$J$14:$EK$14,0)),0)</f>
        <v>0</v>
      </c>
      <c r="BD68" s="165">
        <f>IFERROR((BD$9=Summary!$C$22)*INDEX(OpProj!$J$29:$EK$29,MATCH(MonthlyCF!BD$10,OpProj!$J$14:$EK$14,0)),0)</f>
        <v>0</v>
      </c>
      <c r="BE68" s="165">
        <f>IFERROR((BE$9=Summary!$C$22)*INDEX(OpProj!$J$29:$EK$29,MATCH(MonthlyCF!BE$10,OpProj!$J$14:$EK$14,0)),0)</f>
        <v>0</v>
      </c>
      <c r="BF68" s="165">
        <f>IFERROR((BF$9=Summary!$C$22)*INDEX(OpProj!$J$29:$EK$29,MATCH(MonthlyCF!BF$10,OpProj!$J$14:$EK$14,0)),0)</f>
        <v>0</v>
      </c>
      <c r="BG68" s="165">
        <f>IFERROR((BG$9=Summary!$C$22)*INDEX(OpProj!$J$29:$EK$29,MATCH(MonthlyCF!BG$10,OpProj!$J$14:$EK$14,0)),0)</f>
        <v>397180572.19467539</v>
      </c>
      <c r="BH68" s="165">
        <f>IFERROR((BH$9=Summary!$C$22)*INDEX(OpProj!$J$29:$EK$29,MATCH(MonthlyCF!BH$10,OpProj!$J$14:$EK$14,0)),0)</f>
        <v>0</v>
      </c>
      <c r="BI68" s="165">
        <f>IFERROR((BI$9=Summary!$C$22)*INDEX(OpProj!$J$29:$EK$29,MATCH(MonthlyCF!BI$10,OpProj!$J$14:$EK$14,0)),0)</f>
        <v>0</v>
      </c>
      <c r="BJ68" s="165">
        <f>IFERROR((BJ$9=Summary!$C$22)*INDEX(OpProj!$J$29:$EK$29,MATCH(MonthlyCF!BJ$10,OpProj!$J$14:$EK$14,0)),0)</f>
        <v>0</v>
      </c>
      <c r="BK68" s="165">
        <f>IFERROR((BK$9=Summary!$C$22)*INDEX(OpProj!$J$29:$EK$29,MATCH(MonthlyCF!BK$10,OpProj!$J$14:$EK$14,0)),0)</f>
        <v>0</v>
      </c>
      <c r="BL68" s="165">
        <f>IFERROR((BL$9=Summary!$C$22)*INDEX(OpProj!$J$29:$EK$29,MATCH(MonthlyCF!BL$10,OpProj!$J$14:$EK$14,0)),0)</f>
        <v>0</v>
      </c>
      <c r="BM68" s="165">
        <f>IFERROR((BM$9=Summary!$C$22)*INDEX(OpProj!$J$29:$EK$29,MATCH(MonthlyCF!BM$10,OpProj!$J$14:$EK$14,0)),0)</f>
        <v>0</v>
      </c>
      <c r="BN68" s="165">
        <f>IFERROR((BN$9=Summary!$C$22)*INDEX(OpProj!$J$29:$EK$29,MATCH(MonthlyCF!BN$10,OpProj!$J$14:$EK$14,0)),0)</f>
        <v>0</v>
      </c>
      <c r="BO68" s="165">
        <f>IFERROR((BO$9=Summary!$C$22)*INDEX(OpProj!$J$29:$EK$29,MATCH(MonthlyCF!BO$10,OpProj!$J$14:$EK$14,0)),0)</f>
        <v>0</v>
      </c>
      <c r="BP68" s="165">
        <f>IFERROR((BP$9=Summary!$C$22)*INDEX(OpProj!$J$29:$EK$29,MATCH(MonthlyCF!BP$10,OpProj!$J$14:$EK$14,0)),0)</f>
        <v>0</v>
      </c>
      <c r="BQ68" s="165">
        <f>IFERROR((BQ$9=Summary!$C$22)*INDEX(OpProj!$J$29:$EK$29,MATCH(MonthlyCF!BQ$10,OpProj!$J$14:$EK$14,0)),0)</f>
        <v>0</v>
      </c>
      <c r="BR68" s="165">
        <f>IFERROR((BR$9=Summary!$C$22)*INDEX(OpProj!$J$29:$EK$29,MATCH(MonthlyCF!BR$10,OpProj!$J$14:$EK$14,0)),0)</f>
        <v>0</v>
      </c>
      <c r="BS68" s="166">
        <f>IFERROR((BS$9=Summary!$C$22)*INDEX(OpProj!$J$29:$EK$29,MATCH(MonthlyCF!BS$10,OpProj!$J$14:$EK$14,0)),0)</f>
        <v>0</v>
      </c>
    </row>
    <row r="69" spans="2:71" x14ac:dyDescent="0.3">
      <c r="B69" s="16" t="s">
        <v>154</v>
      </c>
      <c r="C69" s="1"/>
      <c r="D69" s="1"/>
      <c r="E69" s="1"/>
      <c r="F69" s="1"/>
      <c r="G69" s="1"/>
      <c r="H69" s="1"/>
      <c r="I69" s="1"/>
      <c r="J69" s="1"/>
      <c r="K69" s="165">
        <f>-(K68&gt;0)*K68*Summary!$F$45</f>
        <v>0</v>
      </c>
      <c r="L69" s="165">
        <f>-(L68&gt;0)*L68*Summary!$F$45</f>
        <v>0</v>
      </c>
      <c r="M69" s="165">
        <f>-(M68&gt;0)*M68*Summary!$F$45</f>
        <v>0</v>
      </c>
      <c r="N69" s="165">
        <f>-(N68&gt;0)*N68*Summary!$F$45</f>
        <v>0</v>
      </c>
      <c r="O69" s="165">
        <f>-(O68&gt;0)*O68*Summary!$F$45</f>
        <v>0</v>
      </c>
      <c r="P69" s="165">
        <f>-(P68&gt;0)*P68*Summary!$F$45</f>
        <v>0</v>
      </c>
      <c r="Q69" s="165">
        <f>-(Q68&gt;0)*Q68*Summary!$F$45</f>
        <v>0</v>
      </c>
      <c r="R69" s="165">
        <f>-(R68&gt;0)*R68*Summary!$F$45</f>
        <v>0</v>
      </c>
      <c r="S69" s="165">
        <f>-(S68&gt;0)*S68*Summary!$F$45</f>
        <v>0</v>
      </c>
      <c r="T69" s="165">
        <f>-(T68&gt;0)*T68*Summary!$F$45</f>
        <v>0</v>
      </c>
      <c r="U69" s="165">
        <f>-(U68&gt;0)*U68*Summary!$F$45</f>
        <v>0</v>
      </c>
      <c r="V69" s="165">
        <f>-(V68&gt;0)*V68*Summary!$F$45</f>
        <v>0</v>
      </c>
      <c r="W69" s="165">
        <f>-(W68&gt;0)*W68*Summary!$F$45</f>
        <v>0</v>
      </c>
      <c r="X69" s="165">
        <f>-(X68&gt;0)*X68*Summary!$F$45</f>
        <v>0</v>
      </c>
      <c r="Y69" s="165">
        <f>-(Y68&gt;0)*Y68*Summary!$F$45</f>
        <v>0</v>
      </c>
      <c r="Z69" s="165">
        <f>-(Z68&gt;0)*Z68*Summary!$F$45</f>
        <v>0</v>
      </c>
      <c r="AA69" s="165">
        <f>-(AA68&gt;0)*AA68*Summary!$F$45</f>
        <v>0</v>
      </c>
      <c r="AB69" s="165">
        <f>-(AB68&gt;0)*AB68*Summary!$F$45</f>
        <v>0</v>
      </c>
      <c r="AC69" s="165">
        <f>-(AC68&gt;0)*AC68*Summary!$F$45</f>
        <v>0</v>
      </c>
      <c r="AD69" s="165">
        <f>-(AD68&gt;0)*AD68*Summary!$F$45</f>
        <v>0</v>
      </c>
      <c r="AE69" s="165">
        <f>-(AE68&gt;0)*AE68*Summary!$F$45</f>
        <v>0</v>
      </c>
      <c r="AF69" s="165">
        <f>-(AF68&gt;0)*AF68*Summary!$F$45</f>
        <v>0</v>
      </c>
      <c r="AG69" s="165">
        <f>-(AG68&gt;0)*AG68*Summary!$F$45</f>
        <v>0</v>
      </c>
      <c r="AH69" s="165">
        <f>-(AH68&gt;0)*AH68*Summary!$F$45</f>
        <v>0</v>
      </c>
      <c r="AI69" s="165">
        <f>-(AI68&gt;0)*AI68*Summary!$F$45</f>
        <v>0</v>
      </c>
      <c r="AJ69" s="165">
        <f>-(AJ68&gt;0)*AJ68*Summary!$F$45</f>
        <v>0</v>
      </c>
      <c r="AK69" s="165">
        <f>-(AK68&gt;0)*AK68*Summary!$F$45</f>
        <v>0</v>
      </c>
      <c r="AL69" s="165">
        <f>-(AL68&gt;0)*AL68*Summary!$F$45</f>
        <v>0</v>
      </c>
      <c r="AM69" s="165">
        <f>-(AM68&gt;0)*AM68*Summary!$F$45</f>
        <v>0</v>
      </c>
      <c r="AN69" s="165">
        <f>-(AN68&gt;0)*AN68*Summary!$F$45</f>
        <v>0</v>
      </c>
      <c r="AO69" s="165">
        <f>-(AO68&gt;0)*AO68*Summary!$F$45</f>
        <v>0</v>
      </c>
      <c r="AP69" s="165">
        <f>-(AP68&gt;0)*AP68*Summary!$F$45</f>
        <v>0</v>
      </c>
      <c r="AQ69" s="165">
        <f>-(AQ68&gt;0)*AQ68*Summary!$F$45</f>
        <v>0</v>
      </c>
      <c r="AR69" s="165">
        <f>-(AR68&gt;0)*AR68*Summary!$F$45</f>
        <v>0</v>
      </c>
      <c r="AS69" s="165">
        <f>-(AS68&gt;0)*AS68*Summary!$F$45</f>
        <v>0</v>
      </c>
      <c r="AT69" s="165">
        <f>-(AT68&gt;0)*AT68*Summary!$F$45</f>
        <v>0</v>
      </c>
      <c r="AU69" s="165">
        <f>-(AU68&gt;0)*AU68*Summary!$F$45</f>
        <v>0</v>
      </c>
      <c r="AV69" s="165">
        <f>-(AV68&gt;0)*AV68*Summary!$F$45</f>
        <v>0</v>
      </c>
      <c r="AW69" s="165">
        <f>-(AW68&gt;0)*AW68*Summary!$F$45</f>
        <v>0</v>
      </c>
      <c r="AX69" s="165">
        <f>-(AX68&gt;0)*AX68*Summary!$F$45</f>
        <v>0</v>
      </c>
      <c r="AY69" s="165">
        <f>-(AY68&gt;0)*AY68*Summary!$F$45</f>
        <v>0</v>
      </c>
      <c r="AZ69" s="165">
        <f>-(AZ68&gt;0)*AZ68*Summary!$F$45</f>
        <v>0</v>
      </c>
      <c r="BA69" s="165">
        <f>-(BA68&gt;0)*BA68*Summary!$F$45</f>
        <v>0</v>
      </c>
      <c r="BB69" s="165">
        <f>-(BB68&gt;0)*BB68*Summary!$F$45</f>
        <v>0</v>
      </c>
      <c r="BC69" s="165">
        <f>-(BC68&gt;0)*BC68*Summary!$F$45</f>
        <v>0</v>
      </c>
      <c r="BD69" s="165">
        <f>-(BD68&gt;0)*BD68*Summary!$F$45</f>
        <v>0</v>
      </c>
      <c r="BE69" s="165">
        <f>-(BE68&gt;0)*BE68*Summary!$F$45</f>
        <v>0</v>
      </c>
      <c r="BF69" s="165">
        <f>-(BF68&gt;0)*BF68*Summary!$F$45</f>
        <v>0</v>
      </c>
      <c r="BG69" s="165">
        <f>-(BG68&gt;0)*BG68*Summary!$F$45</f>
        <v>-11915417.165840261</v>
      </c>
      <c r="BH69" s="165">
        <f>-(BH68&gt;0)*BH68*Summary!$F$45</f>
        <v>0</v>
      </c>
      <c r="BI69" s="165">
        <f>-(BI68&gt;0)*BI68*Summary!$F$45</f>
        <v>0</v>
      </c>
      <c r="BJ69" s="165">
        <f>-(BJ68&gt;0)*BJ68*Summary!$F$45</f>
        <v>0</v>
      </c>
      <c r="BK69" s="165">
        <f>-(BK68&gt;0)*BK68*Summary!$F$45</f>
        <v>0</v>
      </c>
      <c r="BL69" s="165">
        <f>-(BL68&gt;0)*BL68*Summary!$F$45</f>
        <v>0</v>
      </c>
      <c r="BM69" s="165">
        <f>-(BM68&gt;0)*BM68*Summary!$F$45</f>
        <v>0</v>
      </c>
      <c r="BN69" s="165">
        <f>-(BN68&gt;0)*BN68*Summary!$F$45</f>
        <v>0</v>
      </c>
      <c r="BO69" s="165">
        <f>-(BO68&gt;0)*BO68*Summary!$F$45</f>
        <v>0</v>
      </c>
      <c r="BP69" s="165">
        <f>-(BP68&gt;0)*BP68*Summary!$F$45</f>
        <v>0</v>
      </c>
      <c r="BQ69" s="165">
        <f>-(BQ68&gt;0)*BQ68*Summary!$F$45</f>
        <v>0</v>
      </c>
      <c r="BR69" s="165">
        <f>-(BR68&gt;0)*BR68*Summary!$F$45</f>
        <v>0</v>
      </c>
      <c r="BS69" s="166">
        <f>-(BS68&gt;0)*BS68*Summary!$F$45</f>
        <v>0</v>
      </c>
    </row>
    <row r="70" spans="2:71" x14ac:dyDescent="0.3">
      <c r="B70" s="113" t="s">
        <v>86</v>
      </c>
      <c r="C70" s="110"/>
      <c r="D70" s="110"/>
      <c r="E70" s="110"/>
      <c r="F70" s="110"/>
      <c r="G70" s="110"/>
      <c r="H70" s="110"/>
      <c r="I70" s="110"/>
      <c r="J70" s="110"/>
      <c r="K70" s="357">
        <f>SUM(K67:K69)</f>
        <v>0</v>
      </c>
      <c r="L70" s="357">
        <f t="shared" ref="L70:BS70" si="26">SUM(L67:L69)</f>
        <v>0</v>
      </c>
      <c r="M70" s="357">
        <f t="shared" si="26"/>
        <v>0</v>
      </c>
      <c r="N70" s="357">
        <f t="shared" si="26"/>
        <v>0</v>
      </c>
      <c r="O70" s="357">
        <f t="shared" si="26"/>
        <v>0</v>
      </c>
      <c r="P70" s="357">
        <f t="shared" si="26"/>
        <v>0</v>
      </c>
      <c r="Q70" s="357">
        <f t="shared" si="26"/>
        <v>0</v>
      </c>
      <c r="R70" s="357">
        <f t="shared" si="26"/>
        <v>0</v>
      </c>
      <c r="S70" s="357">
        <f t="shared" si="26"/>
        <v>0</v>
      </c>
      <c r="T70" s="357">
        <f t="shared" si="26"/>
        <v>0</v>
      </c>
      <c r="U70" s="357">
        <f t="shared" si="26"/>
        <v>0</v>
      </c>
      <c r="V70" s="357">
        <f t="shared" si="26"/>
        <v>0</v>
      </c>
      <c r="W70" s="357">
        <f t="shared" si="26"/>
        <v>0</v>
      </c>
      <c r="X70" s="357">
        <f t="shared" si="26"/>
        <v>0</v>
      </c>
      <c r="Y70" s="357">
        <f t="shared" si="26"/>
        <v>0</v>
      </c>
      <c r="Z70" s="357">
        <f t="shared" si="26"/>
        <v>0</v>
      </c>
      <c r="AA70" s="357">
        <f t="shared" si="26"/>
        <v>0</v>
      </c>
      <c r="AB70" s="357">
        <f t="shared" si="26"/>
        <v>0</v>
      </c>
      <c r="AC70" s="357">
        <f t="shared" si="26"/>
        <v>0</v>
      </c>
      <c r="AD70" s="357">
        <f t="shared" si="26"/>
        <v>0</v>
      </c>
      <c r="AE70" s="357">
        <f t="shared" si="26"/>
        <v>0</v>
      </c>
      <c r="AF70" s="357">
        <f t="shared" si="26"/>
        <v>0</v>
      </c>
      <c r="AG70" s="357">
        <f t="shared" si="26"/>
        <v>0</v>
      </c>
      <c r="AH70" s="357">
        <f t="shared" si="26"/>
        <v>0</v>
      </c>
      <c r="AI70" s="357">
        <f t="shared" si="26"/>
        <v>0</v>
      </c>
      <c r="AJ70" s="357">
        <f t="shared" si="26"/>
        <v>0</v>
      </c>
      <c r="AK70" s="357">
        <f t="shared" si="26"/>
        <v>0</v>
      </c>
      <c r="AL70" s="357">
        <f t="shared" si="26"/>
        <v>0</v>
      </c>
      <c r="AM70" s="357">
        <f t="shared" si="26"/>
        <v>0</v>
      </c>
      <c r="AN70" s="357">
        <f t="shared" si="26"/>
        <v>0</v>
      </c>
      <c r="AO70" s="357">
        <f t="shared" si="26"/>
        <v>0</v>
      </c>
      <c r="AP70" s="357">
        <f t="shared" si="26"/>
        <v>0</v>
      </c>
      <c r="AQ70" s="357">
        <f t="shared" si="26"/>
        <v>0</v>
      </c>
      <c r="AR70" s="357">
        <f t="shared" si="26"/>
        <v>0</v>
      </c>
      <c r="AS70" s="357">
        <f t="shared" si="26"/>
        <v>0</v>
      </c>
      <c r="AT70" s="357">
        <f t="shared" si="26"/>
        <v>0</v>
      </c>
      <c r="AU70" s="357">
        <f t="shared" si="26"/>
        <v>0</v>
      </c>
      <c r="AV70" s="357">
        <f t="shared" si="26"/>
        <v>22345.48046875</v>
      </c>
      <c r="AW70" s="357">
        <f t="shared" si="26"/>
        <v>22345.48046875</v>
      </c>
      <c r="AX70" s="357">
        <f t="shared" si="26"/>
        <v>22345.48046875</v>
      </c>
      <c r="AY70" s="357">
        <f t="shared" si="26"/>
        <v>22345.48046875</v>
      </c>
      <c r="AZ70" s="357">
        <f t="shared" si="26"/>
        <v>22345.48046875</v>
      </c>
      <c r="BA70" s="357">
        <f t="shared" si="26"/>
        <v>22345.48046875</v>
      </c>
      <c r="BB70" s="357">
        <f t="shared" si="26"/>
        <v>1449663.8078009875</v>
      </c>
      <c r="BC70" s="357">
        <f t="shared" si="26"/>
        <v>1449663.8078009875</v>
      </c>
      <c r="BD70" s="357">
        <f t="shared" si="26"/>
        <v>1449663.8078009875</v>
      </c>
      <c r="BE70" s="357">
        <f t="shared" si="26"/>
        <v>1449663.8078009875</v>
      </c>
      <c r="BF70" s="357">
        <f t="shared" si="26"/>
        <v>1449663.8078009875</v>
      </c>
      <c r="BG70" s="357">
        <f t="shared" si="26"/>
        <v>385265155.02883512</v>
      </c>
      <c r="BH70" s="357">
        <f t="shared" si="26"/>
        <v>0</v>
      </c>
      <c r="BI70" s="357">
        <f t="shared" si="26"/>
        <v>0</v>
      </c>
      <c r="BJ70" s="357">
        <f t="shared" si="26"/>
        <v>0</v>
      </c>
      <c r="BK70" s="357">
        <f t="shared" si="26"/>
        <v>0</v>
      </c>
      <c r="BL70" s="357">
        <f t="shared" si="26"/>
        <v>0</v>
      </c>
      <c r="BM70" s="357">
        <f t="shared" si="26"/>
        <v>0</v>
      </c>
      <c r="BN70" s="357">
        <f t="shared" si="26"/>
        <v>0</v>
      </c>
      <c r="BO70" s="357">
        <f t="shared" si="26"/>
        <v>0</v>
      </c>
      <c r="BP70" s="357">
        <f t="shared" si="26"/>
        <v>0</v>
      </c>
      <c r="BQ70" s="357">
        <f t="shared" si="26"/>
        <v>0</v>
      </c>
      <c r="BR70" s="357">
        <f t="shared" si="26"/>
        <v>0</v>
      </c>
      <c r="BS70" s="358">
        <f t="shared" si="26"/>
        <v>0</v>
      </c>
    </row>
    <row r="72" spans="2:71" x14ac:dyDescent="0.3">
      <c r="B72" s="114" t="s">
        <v>155</v>
      </c>
      <c r="C72" s="115"/>
      <c r="D72" s="115"/>
      <c r="E72" s="115"/>
      <c r="F72" s="57"/>
      <c r="G72" s="116"/>
      <c r="H72" s="57"/>
      <c r="I72" s="116"/>
      <c r="J72" s="116"/>
      <c r="K72" s="57"/>
      <c r="L72" s="117"/>
      <c r="M72" s="117"/>
      <c r="N72" s="115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9"/>
    </row>
    <row r="73" spans="2:71" x14ac:dyDescent="0.3">
      <c r="B73" s="9" t="s">
        <v>99</v>
      </c>
      <c r="C73" s="165">
        <f>SUM(K73:BS73)</f>
        <v>105722369.18043905</v>
      </c>
      <c r="D73" s="69"/>
      <c r="E73" s="1"/>
      <c r="F73" s="1"/>
      <c r="G73" s="1"/>
      <c r="H73" s="1"/>
      <c r="I73" s="1"/>
      <c r="J73" s="1"/>
      <c r="K73" s="165">
        <f>-K39+K70</f>
        <v>-67568742.299999997</v>
      </c>
      <c r="L73" s="165">
        <f t="shared" ref="L73:BS73" si="27">-L39+L70</f>
        <v>-147504.34732359985</v>
      </c>
      <c r="M73" s="165">
        <f t="shared" si="27"/>
        <v>-391014.23562169506</v>
      </c>
      <c r="N73" s="165">
        <f t="shared" si="27"/>
        <v>-438864.07772857626</v>
      </c>
      <c r="O73" s="165">
        <f t="shared" si="27"/>
        <v>-1464595.5232512141</v>
      </c>
      <c r="P73" s="165">
        <f t="shared" si="27"/>
        <v>-517599.44163044542</v>
      </c>
      <c r="Q73" s="165">
        <f t="shared" si="27"/>
        <v>-540406.38764705183</v>
      </c>
      <c r="R73" s="165">
        <f t="shared" si="27"/>
        <v>-548316.82908013172</v>
      </c>
      <c r="S73" s="165">
        <f t="shared" si="27"/>
        <v>-540406.36712244048</v>
      </c>
      <c r="T73" s="165">
        <f t="shared" si="27"/>
        <v>-517599.44163044542</v>
      </c>
      <c r="U73" s="165">
        <f t="shared" si="27"/>
        <v>-1654809.4101808253</v>
      </c>
      <c r="V73" s="165">
        <f t="shared" si="27"/>
        <v>-438864.07772857649</v>
      </c>
      <c r="W73" s="165">
        <f t="shared" si="27"/>
        <v>-1045750.1106216949</v>
      </c>
      <c r="X73" s="165">
        <f t="shared" si="27"/>
        <v>-217998.25965410296</v>
      </c>
      <c r="Y73" s="165">
        <f t="shared" si="27"/>
        <v>-251310.78057320259</v>
      </c>
      <c r="Z73" s="165">
        <f t="shared" si="27"/>
        <v>-322613.39171876758</v>
      </c>
      <c r="AA73" s="165">
        <f t="shared" si="27"/>
        <v>-465224.90948939882</v>
      </c>
      <c r="AB73" s="165">
        <f t="shared" si="27"/>
        <v>-731486.02849773038</v>
      </c>
      <c r="AC73" s="165">
        <f t="shared" si="27"/>
        <v>-1194920.3462013437</v>
      </c>
      <c r="AD73" s="165">
        <f t="shared" si="27"/>
        <v>-1945568.3863429232</v>
      </c>
      <c r="AE73" s="165">
        <f t="shared" si="27"/>
        <v>-3074383.944706447</v>
      </c>
      <c r="AF73" s="165">
        <f t="shared" si="27"/>
        <v>-4645125.2088373564</v>
      </c>
      <c r="AG73" s="165">
        <f t="shared" si="27"/>
        <v>-8022716.2483564327</v>
      </c>
      <c r="AH73" s="165">
        <f t="shared" si="27"/>
        <v>-9014608.5014582928</v>
      </c>
      <c r="AI73" s="165">
        <f t="shared" si="27"/>
        <v>-11505193.957993539</v>
      </c>
      <c r="AJ73" s="165">
        <f t="shared" si="27"/>
        <v>-13824622.307669483</v>
      </c>
      <c r="AK73" s="165">
        <f t="shared" si="27"/>
        <v>-15629489.889348479</v>
      </c>
      <c r="AL73" s="165">
        <f t="shared" si="27"/>
        <v>-16619657.255637307</v>
      </c>
      <c r="AM73" s="165">
        <f t="shared" si="27"/>
        <v>-16619657.208118396</v>
      </c>
      <c r="AN73" s="165">
        <f t="shared" si="27"/>
        <v>-15629489.895818168</v>
      </c>
      <c r="AO73" s="165">
        <f t="shared" si="27"/>
        <v>-13824622.348718697</v>
      </c>
      <c r="AP73" s="165">
        <f t="shared" si="27"/>
        <v>-11505193.910474641</v>
      </c>
      <c r="AQ73" s="165">
        <f t="shared" si="27"/>
        <v>-9014608.4668787569</v>
      </c>
      <c r="AR73" s="165">
        <f t="shared" si="27"/>
        <v>-6842323.214892651</v>
      </c>
      <c r="AS73" s="165">
        <f t="shared" si="27"/>
        <v>-8880614.5680210833</v>
      </c>
      <c r="AT73" s="165">
        <f t="shared" si="27"/>
        <v>-3628049.5242603808</v>
      </c>
      <c r="AU73" s="165">
        <f t="shared" si="27"/>
        <v>-2683789.1842910941</v>
      </c>
      <c r="AV73" s="165">
        <f t="shared" si="27"/>
        <v>-21565241.079596493</v>
      </c>
      <c r="AW73" s="165">
        <f t="shared" si="27"/>
        <v>-1816471.7082523992</v>
      </c>
      <c r="AX73" s="165">
        <f t="shared" si="27"/>
        <v>-1734765.8475719676</v>
      </c>
      <c r="AY73" s="165">
        <f t="shared" si="27"/>
        <v>-1776709.4877372831</v>
      </c>
      <c r="AZ73" s="165">
        <f t="shared" si="27"/>
        <v>-1889962.053936722</v>
      </c>
      <c r="BA73" s="165">
        <f t="shared" si="27"/>
        <v>-2041204.7848758432</v>
      </c>
      <c r="BB73" s="165">
        <f t="shared" si="27"/>
        <v>1449663.8078009875</v>
      </c>
      <c r="BC73" s="165">
        <f t="shared" si="27"/>
        <v>1449663.8078009875</v>
      </c>
      <c r="BD73" s="165">
        <f t="shared" si="27"/>
        <v>1449663.8078009875</v>
      </c>
      <c r="BE73" s="165">
        <f t="shared" si="27"/>
        <v>-2609345.830104012</v>
      </c>
      <c r="BF73" s="165">
        <f t="shared" si="27"/>
        <v>1449663.8078009875</v>
      </c>
      <c r="BG73" s="165">
        <f t="shared" si="27"/>
        <v>385265155.02883512</v>
      </c>
      <c r="BH73" s="165">
        <f t="shared" si="27"/>
        <v>0</v>
      </c>
      <c r="BI73" s="165">
        <f t="shared" si="27"/>
        <v>0</v>
      </c>
      <c r="BJ73" s="165">
        <f t="shared" si="27"/>
        <v>0</v>
      </c>
      <c r="BK73" s="165">
        <f t="shared" si="27"/>
        <v>0</v>
      </c>
      <c r="BL73" s="165">
        <f t="shared" si="27"/>
        <v>0</v>
      </c>
      <c r="BM73" s="165">
        <f t="shared" si="27"/>
        <v>0</v>
      </c>
      <c r="BN73" s="165">
        <f t="shared" si="27"/>
        <v>0</v>
      </c>
      <c r="BO73" s="165">
        <f t="shared" si="27"/>
        <v>0</v>
      </c>
      <c r="BP73" s="165">
        <f t="shared" si="27"/>
        <v>0</v>
      </c>
      <c r="BQ73" s="165">
        <f t="shared" si="27"/>
        <v>0</v>
      </c>
      <c r="BR73" s="165">
        <f t="shared" si="27"/>
        <v>0</v>
      </c>
      <c r="BS73" s="166">
        <f t="shared" si="27"/>
        <v>0</v>
      </c>
    </row>
    <row r="74" spans="2:71" x14ac:dyDescent="0.3">
      <c r="B74" s="9" t="s">
        <v>101</v>
      </c>
      <c r="C74" s="228">
        <f>XIRR(K73:BS73,$K$10:$BS$10)</f>
        <v>0.14834548830986025</v>
      </c>
      <c r="D74" s="1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4"/>
    </row>
    <row r="75" spans="2:71" x14ac:dyDescent="0.3">
      <c r="B75" s="10" t="s">
        <v>100</v>
      </c>
      <c r="C75" s="229">
        <f>SUMIF(K73:BS73,"&gt;0")/-SUMIF(K73:BS73,"&lt;0")</f>
        <v>1.3705117938019602</v>
      </c>
      <c r="D75" s="1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5"/>
    </row>
    <row r="77" spans="2:71" x14ac:dyDescent="0.3">
      <c r="B77" s="114" t="s">
        <v>156</v>
      </c>
      <c r="C77" s="115"/>
      <c r="D77" s="115"/>
      <c r="E77" s="115"/>
      <c r="F77" s="57"/>
      <c r="G77" s="116"/>
      <c r="H77" s="57"/>
      <c r="I77" s="116"/>
      <c r="J77" s="116"/>
      <c r="K77" s="57"/>
      <c r="L77" s="117"/>
      <c r="M77" s="117"/>
      <c r="N77" s="115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9"/>
    </row>
    <row r="78" spans="2:71" x14ac:dyDescent="0.3">
      <c r="B78" s="9" t="s">
        <v>99</v>
      </c>
      <c r="C78" s="165">
        <f>SUM(K78:BS78)</f>
        <v>92860525.409206301</v>
      </c>
      <c r="D78" s="69"/>
      <c r="E78" s="1"/>
      <c r="F78" s="1"/>
      <c r="G78" s="1"/>
      <c r="H78" s="1"/>
      <c r="I78" s="1"/>
      <c r="J78" s="1"/>
      <c r="K78" s="165">
        <f>-K47-K54+K70</f>
        <v>-67568742.299999997</v>
      </c>
      <c r="L78" s="165">
        <f t="shared" ref="L78:BS78" si="28">-L47-L54+L70</f>
        <v>-147504.34732359985</v>
      </c>
      <c r="M78" s="165">
        <f t="shared" si="28"/>
        <v>-391014.23562169506</v>
      </c>
      <c r="N78" s="165">
        <f t="shared" si="28"/>
        <v>-438864.07772857626</v>
      </c>
      <c r="O78" s="165">
        <f t="shared" si="28"/>
        <v>-1464595.5232512141</v>
      </c>
      <c r="P78" s="165">
        <f t="shared" si="28"/>
        <v>-517599.44163044542</v>
      </c>
      <c r="Q78" s="165">
        <f t="shared" si="28"/>
        <v>-540406.38764705183</v>
      </c>
      <c r="R78" s="165">
        <f t="shared" si="28"/>
        <v>-548316.82908013172</v>
      </c>
      <c r="S78" s="165">
        <f t="shared" si="28"/>
        <v>-540406.36712244048</v>
      </c>
      <c r="T78" s="165">
        <f t="shared" si="28"/>
        <v>-517599.44163044542</v>
      </c>
      <c r="U78" s="165">
        <f t="shared" si="28"/>
        <v>-1654809.4101808253</v>
      </c>
      <c r="V78" s="165">
        <f t="shared" si="28"/>
        <v>-438864.07772857649</v>
      </c>
      <c r="W78" s="165">
        <f t="shared" si="28"/>
        <v>-1045750.1106216949</v>
      </c>
      <c r="X78" s="165">
        <f t="shared" si="28"/>
        <v>-217998.25965410296</v>
      </c>
      <c r="Y78" s="165">
        <f t="shared" si="28"/>
        <v>-251310.78057320259</v>
      </c>
      <c r="Z78" s="165">
        <f t="shared" si="28"/>
        <v>-322613.39171876758</v>
      </c>
      <c r="AA78" s="165">
        <f t="shared" si="28"/>
        <v>-465224.90948939882</v>
      </c>
      <c r="AB78" s="165">
        <f t="shared" si="28"/>
        <v>-731486.02849773038</v>
      </c>
      <c r="AC78" s="165">
        <f t="shared" si="28"/>
        <v>-1194920.3462013437</v>
      </c>
      <c r="AD78" s="165">
        <f t="shared" si="28"/>
        <v>-1945568.3863429232</v>
      </c>
      <c r="AE78" s="165">
        <f t="shared" si="28"/>
        <v>-3074383.944706447</v>
      </c>
      <c r="AF78" s="165">
        <f t="shared" si="28"/>
        <v>-4645125.2088373564</v>
      </c>
      <c r="AG78" s="165">
        <f t="shared" si="28"/>
        <v>-8022716.2483564327</v>
      </c>
      <c r="AH78" s="165">
        <f t="shared" si="28"/>
        <v>-9014608.5014582928</v>
      </c>
      <c r="AI78" s="165">
        <f t="shared" si="28"/>
        <v>-11505193.957993539</v>
      </c>
      <c r="AJ78" s="165">
        <f t="shared" si="28"/>
        <v>-2709172.2965903766</v>
      </c>
      <c r="AK78" s="165">
        <f t="shared" si="28"/>
        <v>0</v>
      </c>
      <c r="AL78" s="165">
        <f t="shared" si="28"/>
        <v>0</v>
      </c>
      <c r="AM78" s="165">
        <f t="shared" si="28"/>
        <v>0</v>
      </c>
      <c r="AN78" s="165">
        <f t="shared" si="28"/>
        <v>0</v>
      </c>
      <c r="AO78" s="165">
        <f t="shared" si="28"/>
        <v>0</v>
      </c>
      <c r="AP78" s="165">
        <f t="shared" si="28"/>
        <v>0</v>
      </c>
      <c r="AQ78" s="165">
        <f t="shared" si="28"/>
        <v>0</v>
      </c>
      <c r="AR78" s="165">
        <f t="shared" si="28"/>
        <v>0</v>
      </c>
      <c r="AS78" s="165">
        <f t="shared" si="28"/>
        <v>0</v>
      </c>
      <c r="AT78" s="165">
        <f t="shared" si="28"/>
        <v>0</v>
      </c>
      <c r="AU78" s="165">
        <f t="shared" si="28"/>
        <v>0</v>
      </c>
      <c r="AV78" s="165">
        <f t="shared" si="28"/>
        <v>22345.48046875</v>
      </c>
      <c r="AW78" s="165">
        <f t="shared" si="28"/>
        <v>22345.48046875</v>
      </c>
      <c r="AX78" s="165">
        <f t="shared" si="28"/>
        <v>22345.48046875</v>
      </c>
      <c r="AY78" s="165">
        <f t="shared" si="28"/>
        <v>22345.48046875</v>
      </c>
      <c r="AZ78" s="165">
        <f t="shared" si="28"/>
        <v>22345.48046875</v>
      </c>
      <c r="BA78" s="165">
        <f t="shared" si="28"/>
        <v>22345.48046875</v>
      </c>
      <c r="BB78" s="165">
        <f t="shared" si="28"/>
        <v>1449663.8078009875</v>
      </c>
      <c r="BC78" s="165">
        <f t="shared" si="28"/>
        <v>1449663.8078009875</v>
      </c>
      <c r="BD78" s="165">
        <f t="shared" si="28"/>
        <v>1449663.8078009875</v>
      </c>
      <c r="BE78" s="165">
        <f t="shared" si="28"/>
        <v>1449663.8078009875</v>
      </c>
      <c r="BF78" s="165">
        <f t="shared" si="28"/>
        <v>1449663.8078009875</v>
      </c>
      <c r="BG78" s="165">
        <f t="shared" si="28"/>
        <v>205392928.29737541</v>
      </c>
      <c r="BH78" s="165">
        <f t="shared" si="28"/>
        <v>0</v>
      </c>
      <c r="BI78" s="165">
        <f t="shared" si="28"/>
        <v>0</v>
      </c>
      <c r="BJ78" s="165">
        <f t="shared" si="28"/>
        <v>0</v>
      </c>
      <c r="BK78" s="165">
        <f t="shared" si="28"/>
        <v>0</v>
      </c>
      <c r="BL78" s="165">
        <f t="shared" si="28"/>
        <v>0</v>
      </c>
      <c r="BM78" s="165">
        <f t="shared" si="28"/>
        <v>0</v>
      </c>
      <c r="BN78" s="165">
        <f t="shared" si="28"/>
        <v>0</v>
      </c>
      <c r="BO78" s="165">
        <f t="shared" si="28"/>
        <v>0</v>
      </c>
      <c r="BP78" s="165">
        <f t="shared" si="28"/>
        <v>0</v>
      </c>
      <c r="BQ78" s="165">
        <f t="shared" si="28"/>
        <v>0</v>
      </c>
      <c r="BR78" s="165">
        <f t="shared" si="28"/>
        <v>0</v>
      </c>
      <c r="BS78" s="166">
        <f t="shared" si="28"/>
        <v>0</v>
      </c>
    </row>
    <row r="79" spans="2:71" x14ac:dyDescent="0.3">
      <c r="B79" s="9" t="s">
        <v>101</v>
      </c>
      <c r="C79" s="228">
        <f>XIRR(K78:BS78,$K$10:$BS$10)</f>
        <v>0.1875419795513153</v>
      </c>
      <c r="D79" s="1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4"/>
    </row>
    <row r="80" spans="2:71" x14ac:dyDescent="0.3">
      <c r="B80" s="10" t="s">
        <v>100</v>
      </c>
      <c r="C80" s="229">
        <f>SUMIF(K78:BS78,"&gt;0")/-SUMIF(K78:BS78,"&lt;0")</f>
        <v>1.774387560403621</v>
      </c>
      <c r="D80" s="1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5"/>
    </row>
    <row r="81" spans="3:71" x14ac:dyDescent="0.3">
      <c r="C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</row>
    <row r="82" spans="3:71" x14ac:dyDescent="0.3"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</row>
  </sheetData>
  <mergeCells count="3">
    <mergeCell ref="H9:H10"/>
    <mergeCell ref="E31:H31"/>
    <mergeCell ref="E29:H29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AB44-B16B-405F-8E5B-752466A5091E}">
  <dimension ref="A1:EQ48"/>
  <sheetViews>
    <sheetView topLeftCell="A6" zoomScaleNormal="100" workbookViewId="0"/>
  </sheetViews>
  <sheetFormatPr defaultColWidth="0" defaultRowHeight="15" customHeight="1" zeroHeight="1" x14ac:dyDescent="0.3"/>
  <cols>
    <col min="1" max="1" width="2.6640625" style="12" customWidth="1"/>
    <col min="2" max="2" width="2.44140625" customWidth="1"/>
    <col min="3" max="7" width="10.6640625" customWidth="1"/>
    <col min="8" max="8" width="12.5546875" style="100" bestFit="1" customWidth="1"/>
    <col min="9" max="9" width="2.88671875" customWidth="1"/>
    <col min="10" max="141" width="13.6640625" customWidth="1"/>
    <col min="142" max="142" width="2" customWidth="1"/>
    <col min="143" max="143" width="2.6640625" style="12" customWidth="1"/>
    <col min="144" max="146" width="9.109375" style="12" hidden="1" customWidth="1"/>
    <col min="147" max="147" width="0" style="12" hidden="1" customWidth="1"/>
    <col min="148" max="16384" width="9.109375" style="12" hidden="1"/>
  </cols>
  <sheetData>
    <row r="1" spans="2:142" ht="14.4" x14ac:dyDescent="0.3">
      <c r="B1" s="12"/>
      <c r="C1" s="12"/>
      <c r="D1" s="12"/>
      <c r="E1" s="12"/>
      <c r="F1" s="12"/>
      <c r="G1" s="12"/>
      <c r="H1" s="22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</row>
    <row r="2" spans="2:142" ht="14.4" x14ac:dyDescent="0.3">
      <c r="B2" s="12"/>
      <c r="C2" s="12"/>
      <c r="D2" s="12"/>
      <c r="E2" s="12"/>
      <c r="F2" s="12"/>
      <c r="G2" s="12"/>
      <c r="H2" s="224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</row>
    <row r="3" spans="2:142" ht="14.4" x14ac:dyDescent="0.3">
      <c r="B3" s="12"/>
      <c r="C3" s="12"/>
      <c r="D3" s="12"/>
      <c r="E3" s="12"/>
      <c r="F3" s="12"/>
      <c r="G3" s="12"/>
      <c r="H3" s="224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</row>
    <row r="4" spans="2:142" ht="14.4" x14ac:dyDescent="0.3">
      <c r="B4" s="12"/>
      <c r="C4" s="12"/>
      <c r="D4" s="12"/>
      <c r="E4" s="12"/>
      <c r="F4" s="12"/>
      <c r="G4" s="12"/>
      <c r="H4" s="22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</row>
    <row r="5" spans="2:142" ht="14.4" x14ac:dyDescent="0.3">
      <c r="B5" s="12"/>
      <c r="C5" s="12"/>
      <c r="D5" s="12"/>
      <c r="E5" s="12"/>
      <c r="F5" s="12"/>
      <c r="G5" s="12"/>
      <c r="H5" s="224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</row>
    <row r="6" spans="2:142" ht="14.4" x14ac:dyDescent="0.3">
      <c r="B6" s="11" t="s">
        <v>164</v>
      </c>
      <c r="C6" s="12"/>
      <c r="D6" s="12"/>
      <c r="E6" s="12"/>
      <c r="F6" s="12"/>
      <c r="G6" s="12"/>
      <c r="H6" s="22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</row>
    <row r="7" spans="2:142" ht="14.4" x14ac:dyDescent="0.3">
      <c r="B7" s="12"/>
      <c r="C7" s="12"/>
      <c r="D7" s="12"/>
      <c r="E7" s="12"/>
      <c r="F7" s="12"/>
      <c r="G7" s="12"/>
      <c r="H7" s="22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</row>
    <row r="8" spans="2:142" ht="14.4" x14ac:dyDescent="0.3">
      <c r="B8" s="175"/>
      <c r="C8" s="176"/>
      <c r="D8" s="176"/>
      <c r="E8" s="176"/>
      <c r="F8" s="176"/>
      <c r="G8" s="176"/>
      <c r="H8" s="177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6"/>
      <c r="BN8" s="176"/>
      <c r="BO8" s="176"/>
      <c r="BP8" s="176"/>
      <c r="BQ8" s="176"/>
      <c r="BR8" s="176"/>
      <c r="BS8" s="176"/>
      <c r="BT8" s="176"/>
      <c r="BU8" s="176"/>
      <c r="BV8" s="176"/>
      <c r="BW8" s="176"/>
      <c r="BX8" s="176"/>
      <c r="BY8" s="176"/>
      <c r="BZ8" s="176"/>
      <c r="CA8" s="176"/>
      <c r="CB8" s="176"/>
      <c r="CC8" s="176"/>
      <c r="CD8" s="176"/>
      <c r="CE8" s="176"/>
      <c r="CF8" s="176"/>
      <c r="CG8" s="176"/>
      <c r="CH8" s="176"/>
      <c r="CI8" s="176"/>
      <c r="CJ8" s="176"/>
      <c r="CK8" s="176"/>
      <c r="CL8" s="176"/>
      <c r="CM8" s="176"/>
      <c r="CN8" s="176"/>
      <c r="CO8" s="176"/>
      <c r="CP8" s="176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8"/>
    </row>
    <row r="9" spans="2:142" ht="15.6" x14ac:dyDescent="0.3">
      <c r="B9" s="179"/>
      <c r="C9" s="180" t="s">
        <v>104</v>
      </c>
      <c r="D9" s="181"/>
      <c r="E9" s="181"/>
      <c r="F9" s="181"/>
      <c r="G9" s="181"/>
      <c r="H9" s="182"/>
      <c r="EL9" s="183"/>
    </row>
    <row r="10" spans="2:142" ht="5.0999999999999996" customHeight="1" x14ac:dyDescent="0.3">
      <c r="B10" s="179"/>
      <c r="C10" s="184"/>
      <c r="EL10" s="183"/>
    </row>
    <row r="11" spans="2:142" ht="14.4" x14ac:dyDescent="0.3">
      <c r="B11" s="179"/>
      <c r="C11" s="185" t="s">
        <v>105</v>
      </c>
      <c r="D11" s="185"/>
      <c r="E11" s="185"/>
      <c r="F11" s="185"/>
      <c r="G11" s="185"/>
      <c r="H11" s="186"/>
      <c r="EL11" s="183"/>
    </row>
    <row r="12" spans="2:142" ht="14.4" x14ac:dyDescent="0.3">
      <c r="B12" s="179"/>
      <c r="C12" t="s">
        <v>122</v>
      </c>
      <c r="E12" s="187">
        <f>Summary!G41</f>
        <v>2.5000000000000001E-2</v>
      </c>
      <c r="EL12" s="183"/>
    </row>
    <row r="13" spans="2:142" ht="14.4" x14ac:dyDescent="0.3">
      <c r="B13" s="179"/>
      <c r="C13" t="s">
        <v>106</v>
      </c>
      <c r="E13" s="188">
        <v>0.02</v>
      </c>
      <c r="H13" s="188"/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5</v>
      </c>
      <c r="BG13">
        <v>5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6</v>
      </c>
      <c r="BS13">
        <v>6</v>
      </c>
      <c r="BT13">
        <v>6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7</v>
      </c>
      <c r="CE13">
        <v>7</v>
      </c>
      <c r="CF13">
        <v>7</v>
      </c>
      <c r="CG13">
        <v>7</v>
      </c>
      <c r="CH13">
        <v>7</v>
      </c>
      <c r="CI13">
        <v>7</v>
      </c>
      <c r="CJ13">
        <v>7</v>
      </c>
      <c r="CK13">
        <v>7</v>
      </c>
      <c r="CL13">
        <v>7</v>
      </c>
      <c r="CM13">
        <v>7</v>
      </c>
      <c r="CN13">
        <v>7</v>
      </c>
      <c r="CO13">
        <v>7</v>
      </c>
      <c r="CP13">
        <v>8</v>
      </c>
      <c r="CQ13">
        <v>8</v>
      </c>
      <c r="CR13">
        <v>8</v>
      </c>
      <c r="CS13">
        <v>8</v>
      </c>
      <c r="CT13">
        <v>8</v>
      </c>
      <c r="CU13">
        <v>8</v>
      </c>
      <c r="CV13">
        <v>8</v>
      </c>
      <c r="CW13">
        <v>8</v>
      </c>
      <c r="CX13">
        <v>8</v>
      </c>
      <c r="CY13">
        <v>8</v>
      </c>
      <c r="CZ13">
        <v>8</v>
      </c>
      <c r="DA13">
        <v>8</v>
      </c>
      <c r="DB13">
        <v>9</v>
      </c>
      <c r="DC13">
        <v>9</v>
      </c>
      <c r="DD13">
        <v>9</v>
      </c>
      <c r="DE13">
        <v>9</v>
      </c>
      <c r="DF13">
        <v>9</v>
      </c>
      <c r="DG13">
        <v>9</v>
      </c>
      <c r="DH13">
        <v>9</v>
      </c>
      <c r="DI13">
        <v>9</v>
      </c>
      <c r="DJ13">
        <v>9</v>
      </c>
      <c r="DK13">
        <v>9</v>
      </c>
      <c r="DL13">
        <v>9</v>
      </c>
      <c r="DM13">
        <v>9</v>
      </c>
      <c r="DN13">
        <v>10</v>
      </c>
      <c r="DO13">
        <v>10</v>
      </c>
      <c r="DP13">
        <v>10</v>
      </c>
      <c r="DQ13">
        <v>10</v>
      </c>
      <c r="DR13">
        <v>10</v>
      </c>
      <c r="DS13">
        <v>10</v>
      </c>
      <c r="DT13">
        <v>10</v>
      </c>
      <c r="DU13">
        <v>10</v>
      </c>
      <c r="DV13">
        <v>10</v>
      </c>
      <c r="DW13">
        <v>10</v>
      </c>
      <c r="DX13">
        <v>10</v>
      </c>
      <c r="DY13">
        <v>10</v>
      </c>
      <c r="DZ13">
        <v>11</v>
      </c>
      <c r="EA13">
        <v>11</v>
      </c>
      <c r="EB13">
        <v>11</v>
      </c>
      <c r="EC13">
        <v>11</v>
      </c>
      <c r="ED13">
        <v>11</v>
      </c>
      <c r="EE13">
        <v>11</v>
      </c>
      <c r="EF13">
        <v>11</v>
      </c>
      <c r="EG13">
        <v>11</v>
      </c>
      <c r="EH13">
        <v>11</v>
      </c>
      <c r="EI13">
        <v>11</v>
      </c>
      <c r="EJ13">
        <v>11</v>
      </c>
      <c r="EK13">
        <v>11</v>
      </c>
      <c r="EL13" s="183"/>
    </row>
    <row r="14" spans="2:142" ht="14.4" x14ac:dyDescent="0.3">
      <c r="B14" s="179"/>
      <c r="J14" s="189">
        <f>Summary!F21</f>
        <v>44713</v>
      </c>
      <c r="K14" s="189">
        <f>EDATE(J14,1)</f>
        <v>44743</v>
      </c>
      <c r="L14" s="189">
        <f t="shared" ref="L14:BW14" si="0">EDATE(K14,1)</f>
        <v>44774</v>
      </c>
      <c r="M14" s="189">
        <f t="shared" si="0"/>
        <v>44805</v>
      </c>
      <c r="N14" s="189">
        <f t="shared" si="0"/>
        <v>44835</v>
      </c>
      <c r="O14" s="189">
        <f t="shared" si="0"/>
        <v>44866</v>
      </c>
      <c r="P14" s="189">
        <f t="shared" si="0"/>
        <v>44896</v>
      </c>
      <c r="Q14" s="189">
        <f t="shared" si="0"/>
        <v>44927</v>
      </c>
      <c r="R14" s="189">
        <f t="shared" si="0"/>
        <v>44958</v>
      </c>
      <c r="S14" s="189">
        <f t="shared" si="0"/>
        <v>44986</v>
      </c>
      <c r="T14" s="189">
        <f t="shared" si="0"/>
        <v>45017</v>
      </c>
      <c r="U14" s="189">
        <f t="shared" si="0"/>
        <v>45047</v>
      </c>
      <c r="V14" s="189">
        <f t="shared" si="0"/>
        <v>45078</v>
      </c>
      <c r="W14" s="189">
        <f t="shared" si="0"/>
        <v>45108</v>
      </c>
      <c r="X14" s="189">
        <f t="shared" si="0"/>
        <v>45139</v>
      </c>
      <c r="Y14" s="189">
        <f t="shared" si="0"/>
        <v>45170</v>
      </c>
      <c r="Z14" s="189">
        <f t="shared" si="0"/>
        <v>45200</v>
      </c>
      <c r="AA14" s="189">
        <f t="shared" si="0"/>
        <v>45231</v>
      </c>
      <c r="AB14" s="189">
        <f t="shared" si="0"/>
        <v>45261</v>
      </c>
      <c r="AC14" s="189">
        <f t="shared" si="0"/>
        <v>45292</v>
      </c>
      <c r="AD14" s="189">
        <f t="shared" si="0"/>
        <v>45323</v>
      </c>
      <c r="AE14" s="189">
        <f t="shared" si="0"/>
        <v>45352</v>
      </c>
      <c r="AF14" s="189">
        <f t="shared" si="0"/>
        <v>45383</v>
      </c>
      <c r="AG14" s="189">
        <f t="shared" si="0"/>
        <v>45413</v>
      </c>
      <c r="AH14" s="189">
        <f t="shared" si="0"/>
        <v>45444</v>
      </c>
      <c r="AI14" s="189">
        <f t="shared" si="0"/>
        <v>45474</v>
      </c>
      <c r="AJ14" s="189">
        <f t="shared" si="0"/>
        <v>45505</v>
      </c>
      <c r="AK14" s="189">
        <f t="shared" si="0"/>
        <v>45536</v>
      </c>
      <c r="AL14" s="189">
        <f t="shared" si="0"/>
        <v>45566</v>
      </c>
      <c r="AM14" s="189">
        <f t="shared" si="0"/>
        <v>45597</v>
      </c>
      <c r="AN14" s="189">
        <f t="shared" si="0"/>
        <v>45627</v>
      </c>
      <c r="AO14" s="189">
        <f t="shared" si="0"/>
        <v>45658</v>
      </c>
      <c r="AP14" s="189">
        <f t="shared" si="0"/>
        <v>45689</v>
      </c>
      <c r="AQ14" s="189">
        <f t="shared" si="0"/>
        <v>45717</v>
      </c>
      <c r="AR14" s="189">
        <f t="shared" si="0"/>
        <v>45748</v>
      </c>
      <c r="AS14" s="189">
        <f t="shared" si="0"/>
        <v>45778</v>
      </c>
      <c r="AT14" s="189">
        <f t="shared" si="0"/>
        <v>45809</v>
      </c>
      <c r="AU14" s="189">
        <f t="shared" si="0"/>
        <v>45839</v>
      </c>
      <c r="AV14" s="189">
        <f t="shared" si="0"/>
        <v>45870</v>
      </c>
      <c r="AW14" s="189">
        <f t="shared" si="0"/>
        <v>45901</v>
      </c>
      <c r="AX14" s="189">
        <f t="shared" si="0"/>
        <v>45931</v>
      </c>
      <c r="AY14" s="189">
        <f t="shared" si="0"/>
        <v>45962</v>
      </c>
      <c r="AZ14" s="189">
        <f t="shared" si="0"/>
        <v>45992</v>
      </c>
      <c r="BA14" s="189">
        <f t="shared" si="0"/>
        <v>46023</v>
      </c>
      <c r="BB14" s="189">
        <f t="shared" si="0"/>
        <v>46054</v>
      </c>
      <c r="BC14" s="189">
        <f t="shared" si="0"/>
        <v>46082</v>
      </c>
      <c r="BD14" s="189">
        <f t="shared" si="0"/>
        <v>46113</v>
      </c>
      <c r="BE14" s="189">
        <f t="shared" si="0"/>
        <v>46143</v>
      </c>
      <c r="BF14" s="189">
        <f t="shared" si="0"/>
        <v>46174</v>
      </c>
      <c r="BG14" s="189">
        <f t="shared" si="0"/>
        <v>46204</v>
      </c>
      <c r="BH14" s="189">
        <f t="shared" si="0"/>
        <v>46235</v>
      </c>
      <c r="BI14" s="189">
        <f t="shared" si="0"/>
        <v>46266</v>
      </c>
      <c r="BJ14" s="189">
        <f t="shared" si="0"/>
        <v>46296</v>
      </c>
      <c r="BK14" s="189">
        <f t="shared" si="0"/>
        <v>46327</v>
      </c>
      <c r="BL14" s="189">
        <f t="shared" si="0"/>
        <v>46357</v>
      </c>
      <c r="BM14" s="189">
        <f t="shared" si="0"/>
        <v>46388</v>
      </c>
      <c r="BN14" s="189">
        <f t="shared" si="0"/>
        <v>46419</v>
      </c>
      <c r="BO14" s="189">
        <f t="shared" si="0"/>
        <v>46447</v>
      </c>
      <c r="BP14" s="189">
        <f t="shared" si="0"/>
        <v>46478</v>
      </c>
      <c r="BQ14" s="189">
        <f t="shared" si="0"/>
        <v>46508</v>
      </c>
      <c r="BR14" s="189">
        <f t="shared" si="0"/>
        <v>46539</v>
      </c>
      <c r="BS14" s="189">
        <f t="shared" si="0"/>
        <v>46569</v>
      </c>
      <c r="BT14" s="189">
        <f t="shared" si="0"/>
        <v>46600</v>
      </c>
      <c r="BU14" s="189">
        <f t="shared" si="0"/>
        <v>46631</v>
      </c>
      <c r="BV14" s="189">
        <f t="shared" si="0"/>
        <v>46661</v>
      </c>
      <c r="BW14" s="189">
        <f t="shared" si="0"/>
        <v>46692</v>
      </c>
      <c r="BX14" s="189">
        <f t="shared" ref="BX14:EI14" si="1">EDATE(BW14,1)</f>
        <v>46722</v>
      </c>
      <c r="BY14" s="189">
        <f t="shared" si="1"/>
        <v>46753</v>
      </c>
      <c r="BZ14" s="189">
        <f t="shared" si="1"/>
        <v>46784</v>
      </c>
      <c r="CA14" s="189">
        <f t="shared" si="1"/>
        <v>46813</v>
      </c>
      <c r="CB14" s="189">
        <f t="shared" si="1"/>
        <v>46844</v>
      </c>
      <c r="CC14" s="189">
        <f t="shared" si="1"/>
        <v>46874</v>
      </c>
      <c r="CD14" s="189">
        <f t="shared" si="1"/>
        <v>46905</v>
      </c>
      <c r="CE14" s="189">
        <f t="shared" si="1"/>
        <v>46935</v>
      </c>
      <c r="CF14" s="189">
        <f t="shared" si="1"/>
        <v>46966</v>
      </c>
      <c r="CG14" s="189">
        <f t="shared" si="1"/>
        <v>46997</v>
      </c>
      <c r="CH14" s="189">
        <f t="shared" si="1"/>
        <v>47027</v>
      </c>
      <c r="CI14" s="189">
        <f t="shared" si="1"/>
        <v>47058</v>
      </c>
      <c r="CJ14" s="189">
        <f t="shared" si="1"/>
        <v>47088</v>
      </c>
      <c r="CK14" s="189">
        <f t="shared" si="1"/>
        <v>47119</v>
      </c>
      <c r="CL14" s="189">
        <f t="shared" si="1"/>
        <v>47150</v>
      </c>
      <c r="CM14" s="189">
        <f t="shared" si="1"/>
        <v>47178</v>
      </c>
      <c r="CN14" s="189">
        <f t="shared" si="1"/>
        <v>47209</v>
      </c>
      <c r="CO14" s="189">
        <f t="shared" si="1"/>
        <v>47239</v>
      </c>
      <c r="CP14" s="189">
        <f t="shared" si="1"/>
        <v>47270</v>
      </c>
      <c r="CQ14" s="189">
        <f t="shared" si="1"/>
        <v>47300</v>
      </c>
      <c r="CR14" s="189">
        <f t="shared" si="1"/>
        <v>47331</v>
      </c>
      <c r="CS14" s="189">
        <f t="shared" si="1"/>
        <v>47362</v>
      </c>
      <c r="CT14" s="189">
        <f t="shared" si="1"/>
        <v>47392</v>
      </c>
      <c r="CU14" s="189">
        <f t="shared" si="1"/>
        <v>47423</v>
      </c>
      <c r="CV14" s="189">
        <f t="shared" si="1"/>
        <v>47453</v>
      </c>
      <c r="CW14" s="189">
        <f t="shared" si="1"/>
        <v>47484</v>
      </c>
      <c r="CX14" s="189">
        <f t="shared" si="1"/>
        <v>47515</v>
      </c>
      <c r="CY14" s="189">
        <f t="shared" si="1"/>
        <v>47543</v>
      </c>
      <c r="CZ14" s="189">
        <f t="shared" si="1"/>
        <v>47574</v>
      </c>
      <c r="DA14" s="189">
        <f t="shared" si="1"/>
        <v>47604</v>
      </c>
      <c r="DB14" s="189">
        <f t="shared" si="1"/>
        <v>47635</v>
      </c>
      <c r="DC14" s="189">
        <f t="shared" si="1"/>
        <v>47665</v>
      </c>
      <c r="DD14" s="189">
        <f t="shared" si="1"/>
        <v>47696</v>
      </c>
      <c r="DE14" s="189">
        <f t="shared" si="1"/>
        <v>47727</v>
      </c>
      <c r="DF14" s="189">
        <f t="shared" si="1"/>
        <v>47757</v>
      </c>
      <c r="DG14" s="189">
        <f t="shared" si="1"/>
        <v>47788</v>
      </c>
      <c r="DH14" s="189">
        <f t="shared" si="1"/>
        <v>47818</v>
      </c>
      <c r="DI14" s="189">
        <f t="shared" si="1"/>
        <v>47849</v>
      </c>
      <c r="DJ14" s="189">
        <f t="shared" si="1"/>
        <v>47880</v>
      </c>
      <c r="DK14" s="189">
        <f t="shared" si="1"/>
        <v>47908</v>
      </c>
      <c r="DL14" s="189">
        <f t="shared" si="1"/>
        <v>47939</v>
      </c>
      <c r="DM14" s="189">
        <f t="shared" si="1"/>
        <v>47969</v>
      </c>
      <c r="DN14" s="189">
        <f t="shared" si="1"/>
        <v>48000</v>
      </c>
      <c r="DO14" s="189">
        <f t="shared" si="1"/>
        <v>48030</v>
      </c>
      <c r="DP14" s="189">
        <f t="shared" si="1"/>
        <v>48061</v>
      </c>
      <c r="DQ14" s="189">
        <f t="shared" si="1"/>
        <v>48092</v>
      </c>
      <c r="DR14" s="189">
        <f t="shared" si="1"/>
        <v>48122</v>
      </c>
      <c r="DS14" s="189">
        <f t="shared" si="1"/>
        <v>48153</v>
      </c>
      <c r="DT14" s="189">
        <f t="shared" si="1"/>
        <v>48183</v>
      </c>
      <c r="DU14" s="189">
        <f t="shared" si="1"/>
        <v>48214</v>
      </c>
      <c r="DV14" s="189">
        <f t="shared" si="1"/>
        <v>48245</v>
      </c>
      <c r="DW14" s="189">
        <f t="shared" si="1"/>
        <v>48274</v>
      </c>
      <c r="DX14" s="189">
        <f t="shared" si="1"/>
        <v>48305</v>
      </c>
      <c r="DY14" s="189">
        <f t="shared" si="1"/>
        <v>48335</v>
      </c>
      <c r="DZ14" s="189">
        <f t="shared" si="1"/>
        <v>48366</v>
      </c>
      <c r="EA14" s="189">
        <f t="shared" si="1"/>
        <v>48396</v>
      </c>
      <c r="EB14" s="189">
        <f t="shared" si="1"/>
        <v>48427</v>
      </c>
      <c r="EC14" s="189">
        <f t="shared" si="1"/>
        <v>48458</v>
      </c>
      <c r="ED14" s="189">
        <f t="shared" si="1"/>
        <v>48488</v>
      </c>
      <c r="EE14" s="189">
        <f t="shared" si="1"/>
        <v>48519</v>
      </c>
      <c r="EF14" s="189">
        <f t="shared" si="1"/>
        <v>48549</v>
      </c>
      <c r="EG14" s="189">
        <f t="shared" si="1"/>
        <v>48580</v>
      </c>
      <c r="EH14" s="189">
        <f t="shared" si="1"/>
        <v>48611</v>
      </c>
      <c r="EI14" s="189">
        <f t="shared" si="1"/>
        <v>48639</v>
      </c>
      <c r="EJ14" s="189">
        <f t="shared" ref="EJ14:EK14" si="2">EDATE(EI14,1)</f>
        <v>48670</v>
      </c>
      <c r="EK14" s="189">
        <f t="shared" si="2"/>
        <v>48700</v>
      </c>
      <c r="EL14" s="183"/>
    </row>
    <row r="15" spans="2:142" ht="14.4" x14ac:dyDescent="0.3">
      <c r="B15" s="179"/>
      <c r="J15" s="190">
        <f>ROUNDUP(J16/12,0)</f>
        <v>4</v>
      </c>
      <c r="K15" s="190">
        <f t="shared" ref="K15:BV15" si="3">ROUNDUP(K16/12,0)</f>
        <v>4</v>
      </c>
      <c r="L15" s="190">
        <f t="shared" si="3"/>
        <v>4</v>
      </c>
      <c r="M15" s="190">
        <f t="shared" si="3"/>
        <v>4</v>
      </c>
      <c r="N15" s="190">
        <f t="shared" si="3"/>
        <v>4</v>
      </c>
      <c r="O15" s="190">
        <f t="shared" si="3"/>
        <v>4</v>
      </c>
      <c r="P15" s="190">
        <f t="shared" si="3"/>
        <v>4</v>
      </c>
      <c r="Q15" s="190">
        <f t="shared" si="3"/>
        <v>4</v>
      </c>
      <c r="R15" s="190">
        <f t="shared" si="3"/>
        <v>4</v>
      </c>
      <c r="S15" s="190">
        <f t="shared" si="3"/>
        <v>4</v>
      </c>
      <c r="T15" s="190">
        <f t="shared" si="3"/>
        <v>4</v>
      </c>
      <c r="U15" s="190">
        <f t="shared" si="3"/>
        <v>4</v>
      </c>
      <c r="V15" s="190">
        <f t="shared" si="3"/>
        <v>5</v>
      </c>
      <c r="W15" s="190">
        <f t="shared" si="3"/>
        <v>5</v>
      </c>
      <c r="X15" s="190">
        <f t="shared" si="3"/>
        <v>5</v>
      </c>
      <c r="Y15" s="190">
        <f t="shared" si="3"/>
        <v>5</v>
      </c>
      <c r="Z15" s="190">
        <f t="shared" si="3"/>
        <v>5</v>
      </c>
      <c r="AA15" s="190">
        <f t="shared" si="3"/>
        <v>5</v>
      </c>
      <c r="AB15" s="190">
        <f t="shared" si="3"/>
        <v>5</v>
      </c>
      <c r="AC15" s="190">
        <f t="shared" si="3"/>
        <v>5</v>
      </c>
      <c r="AD15" s="190">
        <f t="shared" si="3"/>
        <v>5</v>
      </c>
      <c r="AE15" s="190">
        <f t="shared" si="3"/>
        <v>5</v>
      </c>
      <c r="AF15" s="190">
        <f t="shared" si="3"/>
        <v>5</v>
      </c>
      <c r="AG15" s="190">
        <f t="shared" si="3"/>
        <v>5</v>
      </c>
      <c r="AH15" s="190">
        <f t="shared" si="3"/>
        <v>6</v>
      </c>
      <c r="AI15" s="190">
        <f t="shared" si="3"/>
        <v>6</v>
      </c>
      <c r="AJ15" s="190">
        <f t="shared" si="3"/>
        <v>6</v>
      </c>
      <c r="AK15" s="190">
        <f t="shared" si="3"/>
        <v>6</v>
      </c>
      <c r="AL15" s="190">
        <f t="shared" si="3"/>
        <v>6</v>
      </c>
      <c r="AM15" s="190">
        <f t="shared" si="3"/>
        <v>6</v>
      </c>
      <c r="AN15" s="190">
        <f t="shared" si="3"/>
        <v>6</v>
      </c>
      <c r="AO15" s="190">
        <f t="shared" si="3"/>
        <v>6</v>
      </c>
      <c r="AP15" s="190">
        <f t="shared" si="3"/>
        <v>6</v>
      </c>
      <c r="AQ15" s="190">
        <f t="shared" si="3"/>
        <v>6</v>
      </c>
      <c r="AR15" s="190">
        <f t="shared" si="3"/>
        <v>6</v>
      </c>
      <c r="AS15" s="190">
        <f t="shared" si="3"/>
        <v>6</v>
      </c>
      <c r="AT15" s="190">
        <f t="shared" si="3"/>
        <v>7</v>
      </c>
      <c r="AU15" s="190">
        <f t="shared" si="3"/>
        <v>7</v>
      </c>
      <c r="AV15" s="190">
        <f t="shared" si="3"/>
        <v>7</v>
      </c>
      <c r="AW15" s="190">
        <f t="shared" si="3"/>
        <v>7</v>
      </c>
      <c r="AX15" s="190">
        <f t="shared" si="3"/>
        <v>7</v>
      </c>
      <c r="AY15" s="190">
        <f t="shared" si="3"/>
        <v>7</v>
      </c>
      <c r="AZ15" s="190">
        <f t="shared" si="3"/>
        <v>7</v>
      </c>
      <c r="BA15" s="190">
        <f t="shared" si="3"/>
        <v>7</v>
      </c>
      <c r="BB15" s="190">
        <f t="shared" si="3"/>
        <v>7</v>
      </c>
      <c r="BC15" s="190">
        <f t="shared" si="3"/>
        <v>7</v>
      </c>
      <c r="BD15" s="190">
        <f t="shared" si="3"/>
        <v>7</v>
      </c>
      <c r="BE15" s="190">
        <f t="shared" si="3"/>
        <v>7</v>
      </c>
      <c r="BF15" s="190">
        <f t="shared" si="3"/>
        <v>8</v>
      </c>
      <c r="BG15" s="190">
        <f t="shared" si="3"/>
        <v>8</v>
      </c>
      <c r="BH15" s="190">
        <f t="shared" si="3"/>
        <v>8</v>
      </c>
      <c r="BI15" s="190">
        <f t="shared" si="3"/>
        <v>8</v>
      </c>
      <c r="BJ15" s="190">
        <f t="shared" si="3"/>
        <v>8</v>
      </c>
      <c r="BK15" s="190">
        <f t="shared" si="3"/>
        <v>8</v>
      </c>
      <c r="BL15" s="190">
        <f t="shared" si="3"/>
        <v>8</v>
      </c>
      <c r="BM15" s="190">
        <f t="shared" si="3"/>
        <v>8</v>
      </c>
      <c r="BN15" s="190">
        <f t="shared" si="3"/>
        <v>8</v>
      </c>
      <c r="BO15" s="190">
        <f t="shared" si="3"/>
        <v>8</v>
      </c>
      <c r="BP15" s="190">
        <f t="shared" si="3"/>
        <v>8</v>
      </c>
      <c r="BQ15" s="190">
        <f t="shared" si="3"/>
        <v>8</v>
      </c>
      <c r="BR15" s="190">
        <f t="shared" si="3"/>
        <v>9</v>
      </c>
      <c r="BS15" s="190">
        <f t="shared" si="3"/>
        <v>9</v>
      </c>
      <c r="BT15" s="190">
        <f t="shared" si="3"/>
        <v>9</v>
      </c>
      <c r="BU15" s="190">
        <f t="shared" si="3"/>
        <v>9</v>
      </c>
      <c r="BV15" s="190">
        <f t="shared" si="3"/>
        <v>9</v>
      </c>
      <c r="BW15" s="190">
        <f t="shared" ref="BW15:EH15" si="4">ROUNDUP(BW16/12,0)</f>
        <v>9</v>
      </c>
      <c r="BX15" s="190">
        <f t="shared" si="4"/>
        <v>9</v>
      </c>
      <c r="BY15" s="190">
        <f t="shared" si="4"/>
        <v>9</v>
      </c>
      <c r="BZ15" s="190">
        <f t="shared" si="4"/>
        <v>9</v>
      </c>
      <c r="CA15" s="190">
        <f t="shared" si="4"/>
        <v>9</v>
      </c>
      <c r="CB15" s="190">
        <f t="shared" si="4"/>
        <v>9</v>
      </c>
      <c r="CC15" s="190">
        <f t="shared" si="4"/>
        <v>9</v>
      </c>
      <c r="CD15" s="190">
        <f t="shared" si="4"/>
        <v>10</v>
      </c>
      <c r="CE15" s="190">
        <f t="shared" si="4"/>
        <v>10</v>
      </c>
      <c r="CF15" s="190">
        <f t="shared" si="4"/>
        <v>10</v>
      </c>
      <c r="CG15" s="190">
        <f t="shared" si="4"/>
        <v>10</v>
      </c>
      <c r="CH15" s="190">
        <f t="shared" si="4"/>
        <v>10</v>
      </c>
      <c r="CI15" s="190">
        <f t="shared" si="4"/>
        <v>10</v>
      </c>
      <c r="CJ15" s="190">
        <f t="shared" si="4"/>
        <v>10</v>
      </c>
      <c r="CK15" s="190">
        <f t="shared" si="4"/>
        <v>10</v>
      </c>
      <c r="CL15" s="190">
        <f t="shared" si="4"/>
        <v>10</v>
      </c>
      <c r="CM15" s="190">
        <f t="shared" si="4"/>
        <v>10</v>
      </c>
      <c r="CN15" s="190">
        <f t="shared" si="4"/>
        <v>10</v>
      </c>
      <c r="CO15" s="190">
        <f t="shared" si="4"/>
        <v>10</v>
      </c>
      <c r="CP15" s="190">
        <f t="shared" si="4"/>
        <v>11</v>
      </c>
      <c r="CQ15" s="190">
        <f t="shared" si="4"/>
        <v>11</v>
      </c>
      <c r="CR15" s="190">
        <f t="shared" si="4"/>
        <v>11</v>
      </c>
      <c r="CS15" s="190">
        <f t="shared" si="4"/>
        <v>11</v>
      </c>
      <c r="CT15" s="190">
        <f t="shared" si="4"/>
        <v>11</v>
      </c>
      <c r="CU15" s="190">
        <f t="shared" si="4"/>
        <v>11</v>
      </c>
      <c r="CV15" s="190">
        <f t="shared" si="4"/>
        <v>11</v>
      </c>
      <c r="CW15" s="190">
        <f t="shared" si="4"/>
        <v>11</v>
      </c>
      <c r="CX15" s="190">
        <f t="shared" si="4"/>
        <v>11</v>
      </c>
      <c r="CY15" s="190">
        <f t="shared" si="4"/>
        <v>11</v>
      </c>
      <c r="CZ15" s="190">
        <f t="shared" si="4"/>
        <v>11</v>
      </c>
      <c r="DA15" s="190">
        <f t="shared" si="4"/>
        <v>11</v>
      </c>
      <c r="DB15" s="190">
        <f t="shared" si="4"/>
        <v>12</v>
      </c>
      <c r="DC15" s="190">
        <f t="shared" si="4"/>
        <v>12</v>
      </c>
      <c r="DD15" s="190">
        <f t="shared" si="4"/>
        <v>12</v>
      </c>
      <c r="DE15" s="190">
        <f t="shared" si="4"/>
        <v>12</v>
      </c>
      <c r="DF15" s="190">
        <f t="shared" si="4"/>
        <v>12</v>
      </c>
      <c r="DG15" s="190">
        <f t="shared" si="4"/>
        <v>12</v>
      </c>
      <c r="DH15" s="190">
        <f t="shared" si="4"/>
        <v>12</v>
      </c>
      <c r="DI15" s="190">
        <f t="shared" si="4"/>
        <v>12</v>
      </c>
      <c r="DJ15" s="190">
        <f t="shared" si="4"/>
        <v>12</v>
      </c>
      <c r="DK15" s="190">
        <f t="shared" si="4"/>
        <v>12</v>
      </c>
      <c r="DL15" s="190">
        <f t="shared" si="4"/>
        <v>12</v>
      </c>
      <c r="DM15" s="190">
        <f t="shared" si="4"/>
        <v>12</v>
      </c>
      <c r="DN15" s="190">
        <f t="shared" si="4"/>
        <v>13</v>
      </c>
      <c r="DO15" s="190">
        <f t="shared" si="4"/>
        <v>13</v>
      </c>
      <c r="DP15" s="190">
        <f t="shared" si="4"/>
        <v>13</v>
      </c>
      <c r="DQ15" s="190">
        <f t="shared" si="4"/>
        <v>13</v>
      </c>
      <c r="DR15" s="190">
        <f t="shared" si="4"/>
        <v>13</v>
      </c>
      <c r="DS15" s="190">
        <f t="shared" si="4"/>
        <v>13</v>
      </c>
      <c r="DT15" s="190">
        <f t="shared" si="4"/>
        <v>13</v>
      </c>
      <c r="DU15" s="190">
        <f t="shared" si="4"/>
        <v>13</v>
      </c>
      <c r="DV15" s="190">
        <f t="shared" si="4"/>
        <v>13</v>
      </c>
      <c r="DW15" s="190">
        <f t="shared" si="4"/>
        <v>13</v>
      </c>
      <c r="DX15" s="190">
        <f t="shared" si="4"/>
        <v>13</v>
      </c>
      <c r="DY15" s="190">
        <f t="shared" si="4"/>
        <v>13</v>
      </c>
      <c r="DZ15" s="190">
        <f t="shared" si="4"/>
        <v>14</v>
      </c>
      <c r="EA15" s="190">
        <f t="shared" si="4"/>
        <v>14</v>
      </c>
      <c r="EB15" s="190">
        <f t="shared" si="4"/>
        <v>14</v>
      </c>
      <c r="EC15" s="190">
        <f t="shared" si="4"/>
        <v>14</v>
      </c>
      <c r="ED15" s="190">
        <f t="shared" si="4"/>
        <v>14</v>
      </c>
      <c r="EE15" s="190">
        <f t="shared" si="4"/>
        <v>14</v>
      </c>
      <c r="EF15" s="190">
        <f t="shared" si="4"/>
        <v>14</v>
      </c>
      <c r="EG15" s="190">
        <f t="shared" si="4"/>
        <v>14</v>
      </c>
      <c r="EH15" s="190">
        <f t="shared" si="4"/>
        <v>14</v>
      </c>
      <c r="EI15" s="190">
        <f t="shared" ref="EI15:EK15" si="5">ROUNDUP(EI16/12,0)</f>
        <v>14</v>
      </c>
      <c r="EJ15" s="190">
        <f t="shared" si="5"/>
        <v>14</v>
      </c>
      <c r="EK15" s="190">
        <f t="shared" si="5"/>
        <v>14</v>
      </c>
      <c r="EL15" s="183"/>
    </row>
    <row r="16" spans="2:142" ht="14.4" x14ac:dyDescent="0.3">
      <c r="B16" s="179"/>
      <c r="E16" s="191"/>
      <c r="H16" s="192" t="s">
        <v>107</v>
      </c>
      <c r="J16" s="193">
        <f>Summary!C21</f>
        <v>37</v>
      </c>
      <c r="K16" s="193">
        <f t="shared" ref="K16:BV16" si="6">J16+1</f>
        <v>38</v>
      </c>
      <c r="L16" s="193">
        <f t="shared" si="6"/>
        <v>39</v>
      </c>
      <c r="M16" s="193">
        <f t="shared" si="6"/>
        <v>40</v>
      </c>
      <c r="N16" s="193">
        <f t="shared" si="6"/>
        <v>41</v>
      </c>
      <c r="O16" s="193">
        <f t="shared" si="6"/>
        <v>42</v>
      </c>
      <c r="P16" s="193">
        <f t="shared" si="6"/>
        <v>43</v>
      </c>
      <c r="Q16" s="193">
        <f t="shared" si="6"/>
        <v>44</v>
      </c>
      <c r="R16" s="193">
        <f t="shared" si="6"/>
        <v>45</v>
      </c>
      <c r="S16" s="193">
        <f t="shared" si="6"/>
        <v>46</v>
      </c>
      <c r="T16" s="193">
        <f t="shared" si="6"/>
        <v>47</v>
      </c>
      <c r="U16" s="193">
        <f t="shared" si="6"/>
        <v>48</v>
      </c>
      <c r="V16" s="193">
        <f t="shared" si="6"/>
        <v>49</v>
      </c>
      <c r="W16" s="193">
        <f t="shared" si="6"/>
        <v>50</v>
      </c>
      <c r="X16" s="193">
        <f t="shared" si="6"/>
        <v>51</v>
      </c>
      <c r="Y16" s="193">
        <f t="shared" si="6"/>
        <v>52</v>
      </c>
      <c r="Z16" s="193">
        <f t="shared" si="6"/>
        <v>53</v>
      </c>
      <c r="AA16" s="193">
        <f t="shared" si="6"/>
        <v>54</v>
      </c>
      <c r="AB16" s="193">
        <f t="shared" si="6"/>
        <v>55</v>
      </c>
      <c r="AC16" s="193">
        <f t="shared" si="6"/>
        <v>56</v>
      </c>
      <c r="AD16" s="193">
        <f t="shared" si="6"/>
        <v>57</v>
      </c>
      <c r="AE16" s="193">
        <f t="shared" si="6"/>
        <v>58</v>
      </c>
      <c r="AF16" s="193">
        <f t="shared" si="6"/>
        <v>59</v>
      </c>
      <c r="AG16" s="193">
        <f t="shared" si="6"/>
        <v>60</v>
      </c>
      <c r="AH16" s="193">
        <f t="shared" si="6"/>
        <v>61</v>
      </c>
      <c r="AI16" s="193">
        <f t="shared" si="6"/>
        <v>62</v>
      </c>
      <c r="AJ16" s="193">
        <f t="shared" si="6"/>
        <v>63</v>
      </c>
      <c r="AK16" s="193">
        <f t="shared" si="6"/>
        <v>64</v>
      </c>
      <c r="AL16" s="193">
        <f t="shared" si="6"/>
        <v>65</v>
      </c>
      <c r="AM16" s="193">
        <f t="shared" si="6"/>
        <v>66</v>
      </c>
      <c r="AN16" s="193">
        <f t="shared" si="6"/>
        <v>67</v>
      </c>
      <c r="AO16" s="193">
        <f t="shared" si="6"/>
        <v>68</v>
      </c>
      <c r="AP16" s="193">
        <f t="shared" si="6"/>
        <v>69</v>
      </c>
      <c r="AQ16" s="193">
        <f t="shared" si="6"/>
        <v>70</v>
      </c>
      <c r="AR16" s="193">
        <f t="shared" si="6"/>
        <v>71</v>
      </c>
      <c r="AS16" s="193">
        <f t="shared" si="6"/>
        <v>72</v>
      </c>
      <c r="AT16" s="193">
        <f t="shared" si="6"/>
        <v>73</v>
      </c>
      <c r="AU16" s="193">
        <f t="shared" si="6"/>
        <v>74</v>
      </c>
      <c r="AV16" s="193">
        <f t="shared" si="6"/>
        <v>75</v>
      </c>
      <c r="AW16" s="193">
        <f t="shared" si="6"/>
        <v>76</v>
      </c>
      <c r="AX16" s="193">
        <f t="shared" si="6"/>
        <v>77</v>
      </c>
      <c r="AY16" s="193">
        <f t="shared" si="6"/>
        <v>78</v>
      </c>
      <c r="AZ16" s="193">
        <f t="shared" si="6"/>
        <v>79</v>
      </c>
      <c r="BA16" s="193">
        <f t="shared" si="6"/>
        <v>80</v>
      </c>
      <c r="BB16" s="193">
        <f t="shared" si="6"/>
        <v>81</v>
      </c>
      <c r="BC16" s="193">
        <f t="shared" si="6"/>
        <v>82</v>
      </c>
      <c r="BD16" s="193">
        <f t="shared" si="6"/>
        <v>83</v>
      </c>
      <c r="BE16" s="193">
        <f t="shared" si="6"/>
        <v>84</v>
      </c>
      <c r="BF16" s="193">
        <f t="shared" si="6"/>
        <v>85</v>
      </c>
      <c r="BG16" s="193">
        <f t="shared" si="6"/>
        <v>86</v>
      </c>
      <c r="BH16" s="193">
        <f t="shared" si="6"/>
        <v>87</v>
      </c>
      <c r="BI16" s="193">
        <f t="shared" si="6"/>
        <v>88</v>
      </c>
      <c r="BJ16" s="193">
        <f t="shared" si="6"/>
        <v>89</v>
      </c>
      <c r="BK16" s="193">
        <f t="shared" si="6"/>
        <v>90</v>
      </c>
      <c r="BL16" s="193">
        <f t="shared" si="6"/>
        <v>91</v>
      </c>
      <c r="BM16" s="193">
        <f t="shared" si="6"/>
        <v>92</v>
      </c>
      <c r="BN16" s="193">
        <f t="shared" si="6"/>
        <v>93</v>
      </c>
      <c r="BO16" s="193">
        <f t="shared" si="6"/>
        <v>94</v>
      </c>
      <c r="BP16" s="193">
        <f t="shared" si="6"/>
        <v>95</v>
      </c>
      <c r="BQ16" s="193">
        <f t="shared" si="6"/>
        <v>96</v>
      </c>
      <c r="BR16" s="193">
        <f t="shared" si="6"/>
        <v>97</v>
      </c>
      <c r="BS16" s="193">
        <f t="shared" si="6"/>
        <v>98</v>
      </c>
      <c r="BT16" s="193">
        <f t="shared" si="6"/>
        <v>99</v>
      </c>
      <c r="BU16" s="193">
        <f t="shared" si="6"/>
        <v>100</v>
      </c>
      <c r="BV16" s="193">
        <f t="shared" si="6"/>
        <v>101</v>
      </c>
      <c r="BW16" s="193">
        <f t="shared" ref="BW16:EH16" si="7">BV16+1</f>
        <v>102</v>
      </c>
      <c r="BX16" s="193">
        <f t="shared" si="7"/>
        <v>103</v>
      </c>
      <c r="BY16" s="193">
        <f t="shared" si="7"/>
        <v>104</v>
      </c>
      <c r="BZ16" s="193">
        <f t="shared" si="7"/>
        <v>105</v>
      </c>
      <c r="CA16" s="193">
        <f t="shared" si="7"/>
        <v>106</v>
      </c>
      <c r="CB16" s="193">
        <f t="shared" si="7"/>
        <v>107</v>
      </c>
      <c r="CC16" s="193">
        <f t="shared" si="7"/>
        <v>108</v>
      </c>
      <c r="CD16" s="193">
        <f t="shared" si="7"/>
        <v>109</v>
      </c>
      <c r="CE16" s="193">
        <f t="shared" si="7"/>
        <v>110</v>
      </c>
      <c r="CF16" s="193">
        <f t="shared" si="7"/>
        <v>111</v>
      </c>
      <c r="CG16" s="193">
        <f t="shared" si="7"/>
        <v>112</v>
      </c>
      <c r="CH16" s="193">
        <f t="shared" si="7"/>
        <v>113</v>
      </c>
      <c r="CI16" s="193">
        <f t="shared" si="7"/>
        <v>114</v>
      </c>
      <c r="CJ16" s="193">
        <f t="shared" si="7"/>
        <v>115</v>
      </c>
      <c r="CK16" s="193">
        <f t="shared" si="7"/>
        <v>116</v>
      </c>
      <c r="CL16" s="193">
        <f t="shared" si="7"/>
        <v>117</v>
      </c>
      <c r="CM16" s="193">
        <f t="shared" si="7"/>
        <v>118</v>
      </c>
      <c r="CN16" s="193">
        <f t="shared" si="7"/>
        <v>119</v>
      </c>
      <c r="CO16" s="193">
        <f t="shared" si="7"/>
        <v>120</v>
      </c>
      <c r="CP16" s="193">
        <f t="shared" si="7"/>
        <v>121</v>
      </c>
      <c r="CQ16" s="193">
        <f t="shared" si="7"/>
        <v>122</v>
      </c>
      <c r="CR16" s="193">
        <f t="shared" si="7"/>
        <v>123</v>
      </c>
      <c r="CS16" s="193">
        <f t="shared" si="7"/>
        <v>124</v>
      </c>
      <c r="CT16" s="193">
        <f t="shared" si="7"/>
        <v>125</v>
      </c>
      <c r="CU16" s="193">
        <f t="shared" si="7"/>
        <v>126</v>
      </c>
      <c r="CV16" s="193">
        <f t="shared" si="7"/>
        <v>127</v>
      </c>
      <c r="CW16" s="193">
        <f t="shared" si="7"/>
        <v>128</v>
      </c>
      <c r="CX16" s="193">
        <f t="shared" si="7"/>
        <v>129</v>
      </c>
      <c r="CY16" s="193">
        <f t="shared" si="7"/>
        <v>130</v>
      </c>
      <c r="CZ16" s="193">
        <f t="shared" si="7"/>
        <v>131</v>
      </c>
      <c r="DA16" s="193">
        <f t="shared" si="7"/>
        <v>132</v>
      </c>
      <c r="DB16" s="193">
        <f t="shared" si="7"/>
        <v>133</v>
      </c>
      <c r="DC16" s="193">
        <f t="shared" si="7"/>
        <v>134</v>
      </c>
      <c r="DD16" s="193">
        <f t="shared" si="7"/>
        <v>135</v>
      </c>
      <c r="DE16" s="193">
        <f t="shared" si="7"/>
        <v>136</v>
      </c>
      <c r="DF16" s="193">
        <f t="shared" si="7"/>
        <v>137</v>
      </c>
      <c r="DG16" s="193">
        <f t="shared" si="7"/>
        <v>138</v>
      </c>
      <c r="DH16" s="193">
        <f t="shared" si="7"/>
        <v>139</v>
      </c>
      <c r="DI16" s="193">
        <f t="shared" si="7"/>
        <v>140</v>
      </c>
      <c r="DJ16" s="193">
        <f t="shared" si="7"/>
        <v>141</v>
      </c>
      <c r="DK16" s="193">
        <f t="shared" si="7"/>
        <v>142</v>
      </c>
      <c r="DL16" s="193">
        <f t="shared" si="7"/>
        <v>143</v>
      </c>
      <c r="DM16" s="193">
        <f t="shared" si="7"/>
        <v>144</v>
      </c>
      <c r="DN16" s="193">
        <f t="shared" si="7"/>
        <v>145</v>
      </c>
      <c r="DO16" s="193">
        <f t="shared" si="7"/>
        <v>146</v>
      </c>
      <c r="DP16" s="193">
        <f t="shared" si="7"/>
        <v>147</v>
      </c>
      <c r="DQ16" s="193">
        <f t="shared" si="7"/>
        <v>148</v>
      </c>
      <c r="DR16" s="193">
        <f t="shared" si="7"/>
        <v>149</v>
      </c>
      <c r="DS16" s="193">
        <f t="shared" si="7"/>
        <v>150</v>
      </c>
      <c r="DT16" s="193">
        <f t="shared" si="7"/>
        <v>151</v>
      </c>
      <c r="DU16" s="193">
        <f t="shared" si="7"/>
        <v>152</v>
      </c>
      <c r="DV16" s="193">
        <f t="shared" si="7"/>
        <v>153</v>
      </c>
      <c r="DW16" s="193">
        <f t="shared" si="7"/>
        <v>154</v>
      </c>
      <c r="DX16" s="193">
        <f t="shared" si="7"/>
        <v>155</v>
      </c>
      <c r="DY16" s="193">
        <f t="shared" si="7"/>
        <v>156</v>
      </c>
      <c r="DZ16" s="193">
        <f t="shared" si="7"/>
        <v>157</v>
      </c>
      <c r="EA16" s="193">
        <f t="shared" si="7"/>
        <v>158</v>
      </c>
      <c r="EB16" s="193">
        <f t="shared" si="7"/>
        <v>159</v>
      </c>
      <c r="EC16" s="193">
        <f t="shared" si="7"/>
        <v>160</v>
      </c>
      <c r="ED16" s="193">
        <f t="shared" si="7"/>
        <v>161</v>
      </c>
      <c r="EE16" s="193">
        <f t="shared" si="7"/>
        <v>162</v>
      </c>
      <c r="EF16" s="193">
        <f t="shared" si="7"/>
        <v>163</v>
      </c>
      <c r="EG16" s="193">
        <f t="shared" si="7"/>
        <v>164</v>
      </c>
      <c r="EH16" s="193">
        <f t="shared" si="7"/>
        <v>165</v>
      </c>
      <c r="EI16" s="193">
        <f t="shared" ref="EI16:EK16" si="8">EH16+1</f>
        <v>166</v>
      </c>
      <c r="EJ16" s="193">
        <f t="shared" si="8"/>
        <v>167</v>
      </c>
      <c r="EK16" s="193">
        <f t="shared" si="8"/>
        <v>168</v>
      </c>
      <c r="EL16" s="183"/>
    </row>
    <row r="17" spans="2:142" ht="14.4" x14ac:dyDescent="0.3">
      <c r="B17" s="179"/>
      <c r="C17" t="s">
        <v>108</v>
      </c>
      <c r="D17" s="194"/>
      <c r="F17" s="194"/>
      <c r="G17" s="195"/>
      <c r="H17" s="100">
        <f>SUM(J17:U17)</f>
        <v>17127819.927986849</v>
      </c>
      <c r="J17" s="196">
        <f>(Summary!$G$29*Summary!$M$33)/12*(1+Summary!$G$30)^(OpProj!J15-1)</f>
        <v>1427318.3273322375</v>
      </c>
      <c r="K17" s="196">
        <f>(Summary!$G$29*Summary!$M$33)/12*(1+Summary!$G$30)^(OpProj!K15-1)</f>
        <v>1427318.3273322375</v>
      </c>
      <c r="L17" s="196">
        <f>(Summary!$G$29*Summary!$M$33)/12*(1+Summary!$G$30)^(OpProj!L15-1)</f>
        <v>1427318.3273322375</v>
      </c>
      <c r="M17" s="196">
        <f>(Summary!$G$29*Summary!$M$33)/12*(1+Summary!$G$30)^(OpProj!M15-1)</f>
        <v>1427318.3273322375</v>
      </c>
      <c r="N17" s="196">
        <f>(Summary!$G$29*Summary!$M$33)/12*(1+Summary!$G$30)^(OpProj!N15-1)</f>
        <v>1427318.3273322375</v>
      </c>
      <c r="O17" s="196">
        <f>(Summary!$G$29*Summary!$M$33)/12*(1+Summary!$G$30)^(OpProj!O15-1)</f>
        <v>1427318.3273322375</v>
      </c>
      <c r="P17" s="196">
        <f>(Summary!$G$29*Summary!$M$33)/12*(1+Summary!$G$30)^(OpProj!P15-1)</f>
        <v>1427318.3273322375</v>
      </c>
      <c r="Q17" s="196">
        <f>(Summary!$G$29*Summary!$M$33)/12*(1+Summary!$G$30)^(OpProj!Q15-1)</f>
        <v>1427318.3273322375</v>
      </c>
      <c r="R17" s="196">
        <f>(Summary!$G$29*Summary!$M$33)/12*(1+Summary!$G$30)^(OpProj!R15-1)</f>
        <v>1427318.3273322375</v>
      </c>
      <c r="S17" s="196">
        <f>(Summary!$G$29*Summary!$M$33)/12*(1+Summary!$G$30)^(OpProj!S15-1)</f>
        <v>1427318.3273322375</v>
      </c>
      <c r="T17" s="196">
        <f>(Summary!$G$29*Summary!$M$33)/12*(1+Summary!$G$30)^(OpProj!T15-1)</f>
        <v>1427318.3273322375</v>
      </c>
      <c r="U17" s="196">
        <f>(Summary!$G$29*Summary!$M$33)/12*(1+Summary!$G$30)^(OpProj!U15-1)</f>
        <v>1427318.3273322375</v>
      </c>
      <c r="V17" s="196">
        <f>(Summary!$G$29*Summary!$M$33)/12*(1+Summary!$G$30)^(OpProj!V15-1)</f>
        <v>1470137.8771522045</v>
      </c>
      <c r="W17" s="196">
        <f>(Summary!$G$29*Summary!$M$33)/12*(1+Summary!$G$30)^(OpProj!W15-1)</f>
        <v>1470137.8771522045</v>
      </c>
      <c r="X17" s="196">
        <f>(Summary!$G$29*Summary!$M$33)/12*(1+Summary!$G$30)^(OpProj!X15-1)</f>
        <v>1470137.8771522045</v>
      </c>
      <c r="Y17" s="196">
        <f>(Summary!$G$29*Summary!$M$33)/12*(1+Summary!$G$30)^(OpProj!Y15-1)</f>
        <v>1470137.8771522045</v>
      </c>
      <c r="Z17" s="196">
        <f>(Summary!$G$29*Summary!$M$33)/12*(1+Summary!$G$30)^(OpProj!Z15-1)</f>
        <v>1470137.8771522045</v>
      </c>
      <c r="AA17" s="196">
        <f>(Summary!$G$29*Summary!$M$33)/12*(1+Summary!$G$30)^(OpProj!AA15-1)</f>
        <v>1470137.8771522045</v>
      </c>
      <c r="AB17" s="196">
        <f>(Summary!$G$29*Summary!$M$33)/12*(1+Summary!$G$30)^(OpProj!AB15-1)</f>
        <v>1470137.8771522045</v>
      </c>
      <c r="AC17" s="196">
        <f>(Summary!$G$29*Summary!$M$33)/12*(1+Summary!$G$30)^(OpProj!AC15-1)</f>
        <v>1470137.8771522045</v>
      </c>
      <c r="AD17" s="196">
        <f>(Summary!$G$29*Summary!$M$33)/12*(1+Summary!$G$30)^(OpProj!AD15-1)</f>
        <v>1470137.8771522045</v>
      </c>
      <c r="AE17" s="196">
        <f>(Summary!$G$29*Summary!$M$33)/12*(1+Summary!$G$30)^(OpProj!AE15-1)</f>
        <v>1470137.8771522045</v>
      </c>
      <c r="AF17" s="196">
        <f>(Summary!$G$29*Summary!$M$33)/12*(1+Summary!$G$30)^(OpProj!AF15-1)</f>
        <v>1470137.8771522045</v>
      </c>
      <c r="AG17" s="196">
        <f>(Summary!$G$29*Summary!$M$33)/12*(1+Summary!$G$30)^(OpProj!AG15-1)</f>
        <v>1470137.8771522045</v>
      </c>
      <c r="AH17" s="196">
        <f>(Summary!$G$29*Summary!$M$33)/12*(1+Summary!$G$30)^(OpProj!AH15-1)</f>
        <v>1514242.0134667705</v>
      </c>
      <c r="AI17" s="196">
        <f>(Summary!$G$29*Summary!$M$33)/12*(1+Summary!$G$30)^(OpProj!AI15-1)</f>
        <v>1514242.0134667705</v>
      </c>
      <c r="AJ17" s="196">
        <f>(Summary!$G$29*Summary!$M$33)/12*(1+Summary!$G$30)^(OpProj!AJ15-1)</f>
        <v>1514242.0134667705</v>
      </c>
      <c r="AK17" s="196">
        <f>(Summary!$G$29*Summary!$M$33)/12*(1+Summary!$G$30)^(OpProj!AK15-1)</f>
        <v>1514242.0134667705</v>
      </c>
      <c r="AL17" s="196">
        <f>(Summary!$G$29*Summary!$M$33)/12*(1+Summary!$G$30)^(OpProj!AL15-1)</f>
        <v>1514242.0134667705</v>
      </c>
      <c r="AM17" s="196">
        <f>(Summary!$G$29*Summary!$M$33)/12*(1+Summary!$G$30)^(OpProj!AM15-1)</f>
        <v>1514242.0134667705</v>
      </c>
      <c r="AN17" s="196">
        <f>(Summary!$G$29*Summary!$M$33)/12*(1+Summary!$G$30)^(OpProj!AN15-1)</f>
        <v>1514242.0134667705</v>
      </c>
      <c r="AO17" s="196">
        <f>(Summary!$G$29*Summary!$M$33)/12*(1+Summary!$G$30)^(OpProj!AO15-1)</f>
        <v>1514242.0134667705</v>
      </c>
      <c r="AP17" s="196">
        <f>(Summary!$G$29*Summary!$M$33)/12*(1+Summary!$G$30)^(OpProj!AP15-1)</f>
        <v>1514242.0134667705</v>
      </c>
      <c r="AQ17" s="196">
        <f>(Summary!$G$29*Summary!$M$33)/12*(1+Summary!$G$30)^(OpProj!AQ15-1)</f>
        <v>1514242.0134667705</v>
      </c>
      <c r="AR17" s="196">
        <f>(Summary!$G$29*Summary!$M$33)/12*(1+Summary!$G$30)^(OpProj!AR15-1)</f>
        <v>1514242.0134667705</v>
      </c>
      <c r="AS17" s="196">
        <f>(Summary!$G$29*Summary!$M$33)/12*(1+Summary!$G$30)^(OpProj!AS15-1)</f>
        <v>1514242.0134667705</v>
      </c>
      <c r="AT17" s="196">
        <f>(Summary!$G$29*Summary!$M$33)/12*(1+Summary!$G$30)^(OpProj!AT15-1)</f>
        <v>1559669.2738707736</v>
      </c>
      <c r="AU17" s="196">
        <f>(Summary!$G$29*Summary!$M$33)/12*(1+Summary!$G$30)^(OpProj!AU15-1)</f>
        <v>1559669.2738707736</v>
      </c>
      <c r="AV17" s="196">
        <f>(Summary!$G$29*Summary!$M$33)/12*(1+Summary!$G$30)^(OpProj!AV15-1)</f>
        <v>1559669.2738707736</v>
      </c>
      <c r="AW17" s="196">
        <f>(Summary!$G$29*Summary!$M$33)/12*(1+Summary!$G$30)^(OpProj!AW15-1)</f>
        <v>1559669.2738707736</v>
      </c>
      <c r="AX17" s="196">
        <f>(Summary!$G$29*Summary!$M$33)/12*(1+Summary!$G$30)^(OpProj!AX15-1)</f>
        <v>1559669.2738707736</v>
      </c>
      <c r="AY17" s="196">
        <f>(Summary!$G$29*Summary!$M$33)/12*(1+Summary!$G$30)^(OpProj!AY15-1)</f>
        <v>1559669.2738707736</v>
      </c>
      <c r="AZ17" s="196">
        <f>(Summary!$G$29*Summary!$M$33)/12*(1+Summary!$G$30)^(OpProj!AZ15-1)</f>
        <v>1559669.2738707736</v>
      </c>
      <c r="BA17" s="196">
        <f>(Summary!$G$29*Summary!$M$33)/12*(1+Summary!$G$30)^(OpProj!BA15-1)</f>
        <v>1559669.2738707736</v>
      </c>
      <c r="BB17" s="196">
        <f>(Summary!$G$29*Summary!$M$33)/12*(1+Summary!$G$30)^(OpProj!BB15-1)</f>
        <v>1559669.2738707736</v>
      </c>
      <c r="BC17" s="196">
        <f>(Summary!$G$29*Summary!$M$33)/12*(1+Summary!$G$30)^(OpProj!BC15-1)</f>
        <v>1559669.2738707736</v>
      </c>
      <c r="BD17" s="196">
        <f>(Summary!$G$29*Summary!$M$33)/12*(1+Summary!$G$30)^(OpProj!BD15-1)</f>
        <v>1559669.2738707736</v>
      </c>
      <c r="BE17" s="196">
        <f>(Summary!$G$29*Summary!$M$33)/12*(1+Summary!$G$30)^(OpProj!BE15-1)</f>
        <v>1559669.2738707736</v>
      </c>
      <c r="BF17" s="196">
        <f>(Summary!$G$29*Summary!$M$33)/12*(1+Summary!$G$30)^(OpProj!BF15-1)</f>
        <v>1606459.352086897</v>
      </c>
      <c r="BG17" s="196">
        <f>(Summary!$G$29*Summary!$M$33)/12*(1+Summary!$G$30)^(OpProj!BG15-1)</f>
        <v>1606459.352086897</v>
      </c>
      <c r="BH17" s="196">
        <f>(Summary!$G$29*Summary!$M$33)/12*(1+Summary!$G$30)^(OpProj!BH15-1)</f>
        <v>1606459.352086897</v>
      </c>
      <c r="BI17" s="196">
        <f>(Summary!$G$29*Summary!$M$33)/12*(1+Summary!$G$30)^(OpProj!BI15-1)</f>
        <v>1606459.352086897</v>
      </c>
      <c r="BJ17" s="196">
        <f>(Summary!$G$29*Summary!$M$33)/12*(1+Summary!$G$30)^(OpProj!BJ15-1)</f>
        <v>1606459.352086897</v>
      </c>
      <c r="BK17" s="196">
        <f>(Summary!$G$29*Summary!$M$33)/12*(1+Summary!$G$30)^(OpProj!BK15-1)</f>
        <v>1606459.352086897</v>
      </c>
      <c r="BL17" s="196">
        <f>(Summary!$G$29*Summary!$M$33)/12*(1+Summary!$G$30)^(OpProj!BL15-1)</f>
        <v>1606459.352086897</v>
      </c>
      <c r="BM17" s="196">
        <f>(Summary!$G$29*Summary!$M$33)/12*(1+Summary!$G$30)^(OpProj!BM15-1)</f>
        <v>1606459.352086897</v>
      </c>
      <c r="BN17" s="196">
        <f>(Summary!$G$29*Summary!$M$33)/12*(1+Summary!$G$30)^(OpProj!BN15-1)</f>
        <v>1606459.352086897</v>
      </c>
      <c r="BO17" s="196">
        <f>(Summary!$G$29*Summary!$M$33)/12*(1+Summary!$G$30)^(OpProj!BO15-1)</f>
        <v>1606459.352086897</v>
      </c>
      <c r="BP17" s="196">
        <f>(Summary!$G$29*Summary!$M$33)/12*(1+Summary!$G$30)^(OpProj!BP15-1)</f>
        <v>1606459.352086897</v>
      </c>
      <c r="BQ17" s="196">
        <f>(Summary!$G$29*Summary!$M$33)/12*(1+Summary!$G$30)^(OpProj!BQ15-1)</f>
        <v>1606459.352086897</v>
      </c>
      <c r="BR17" s="196">
        <f>(Summary!$G$29*Summary!$M$33)/12*(1+Summary!$G$30)^(OpProj!BR15-1)</f>
        <v>1654653.1326495036</v>
      </c>
      <c r="BS17" s="196">
        <f>(Summary!$G$29*Summary!$M$33)/12*(1+Summary!$G$30)^(OpProj!BS15-1)</f>
        <v>1654653.1326495036</v>
      </c>
      <c r="BT17" s="196">
        <f>(Summary!$G$29*Summary!$M$33)/12*(1+Summary!$G$30)^(OpProj!BT15-1)</f>
        <v>1654653.1326495036</v>
      </c>
      <c r="BU17" s="196">
        <f>(Summary!$G$29*Summary!$M$33)/12*(1+Summary!$G$30)^(OpProj!BU15-1)</f>
        <v>1654653.1326495036</v>
      </c>
      <c r="BV17" s="196">
        <f>(Summary!$G$29*Summary!$M$33)/12*(1+Summary!$G$30)^(OpProj!BV15-1)</f>
        <v>1654653.1326495036</v>
      </c>
      <c r="BW17" s="196">
        <f>(Summary!$G$29*Summary!$M$33)/12*(1+Summary!$G$30)^(OpProj!BW15-1)</f>
        <v>1654653.1326495036</v>
      </c>
      <c r="BX17" s="196">
        <f>(Summary!$G$29*Summary!$M$33)/12*(1+Summary!$G$30)^(OpProj!BX15-1)</f>
        <v>1654653.1326495036</v>
      </c>
      <c r="BY17" s="196">
        <f>(Summary!$G$29*Summary!$M$33)/12*(1+Summary!$G$30)^(OpProj!BY15-1)</f>
        <v>1654653.1326495036</v>
      </c>
      <c r="BZ17" s="196">
        <f>(Summary!$G$29*Summary!$M$33)/12*(1+Summary!$G$30)^(OpProj!BZ15-1)</f>
        <v>1654653.1326495036</v>
      </c>
      <c r="CA17" s="196">
        <f>(Summary!$G$29*Summary!$M$33)/12*(1+Summary!$G$30)^(OpProj!CA15-1)</f>
        <v>1654653.1326495036</v>
      </c>
      <c r="CB17" s="196">
        <f>(Summary!$G$29*Summary!$M$33)/12*(1+Summary!$G$30)^(OpProj!CB15-1)</f>
        <v>1654653.1326495036</v>
      </c>
      <c r="CC17" s="196">
        <f>(Summary!$G$29*Summary!$M$33)/12*(1+Summary!$G$30)^(OpProj!CC15-1)</f>
        <v>1654653.1326495036</v>
      </c>
      <c r="CD17" s="196">
        <f>(Summary!$G$29*Summary!$M$33)/12*(1+Summary!$G$30)^(OpProj!CD15-1)</f>
        <v>1704292.7266289887</v>
      </c>
      <c r="CE17" s="196">
        <f>(Summary!$G$29*Summary!$M$33)/12*(1+Summary!$G$30)^(OpProj!CE15-1)</f>
        <v>1704292.7266289887</v>
      </c>
      <c r="CF17" s="196">
        <f>(Summary!$G$29*Summary!$M$33)/12*(1+Summary!$G$30)^(OpProj!CF15-1)</f>
        <v>1704292.7266289887</v>
      </c>
      <c r="CG17" s="196">
        <f>(Summary!$G$29*Summary!$M$33)/12*(1+Summary!$G$30)^(OpProj!CG15-1)</f>
        <v>1704292.7266289887</v>
      </c>
      <c r="CH17" s="196">
        <f>(Summary!$G$29*Summary!$M$33)/12*(1+Summary!$G$30)^(OpProj!CH15-1)</f>
        <v>1704292.7266289887</v>
      </c>
      <c r="CI17" s="196">
        <f>(Summary!$G$29*Summary!$M$33)/12*(1+Summary!$G$30)^(OpProj!CI15-1)</f>
        <v>1704292.7266289887</v>
      </c>
      <c r="CJ17" s="196">
        <f>(Summary!$G$29*Summary!$M$33)/12*(1+Summary!$G$30)^(OpProj!CJ15-1)</f>
        <v>1704292.7266289887</v>
      </c>
      <c r="CK17" s="196">
        <f>(Summary!$G$29*Summary!$M$33)/12*(1+Summary!$G$30)^(OpProj!CK15-1)</f>
        <v>1704292.7266289887</v>
      </c>
      <c r="CL17" s="196">
        <f>(Summary!$G$29*Summary!$M$33)/12*(1+Summary!$G$30)^(OpProj!CL15-1)</f>
        <v>1704292.7266289887</v>
      </c>
      <c r="CM17" s="196">
        <f>(Summary!$G$29*Summary!$M$33)/12*(1+Summary!$G$30)^(OpProj!CM15-1)</f>
        <v>1704292.7266289887</v>
      </c>
      <c r="CN17" s="196">
        <f>(Summary!$G$29*Summary!$M$33)/12*(1+Summary!$G$30)^(OpProj!CN15-1)</f>
        <v>1704292.7266289887</v>
      </c>
      <c r="CO17" s="196">
        <f>(Summary!$G$29*Summary!$M$33)/12*(1+Summary!$G$30)^(OpProj!CO15-1)</f>
        <v>1704292.7266289887</v>
      </c>
      <c r="CP17" s="196">
        <f>(Summary!$G$29*Summary!$M$33)/12*(1+Summary!$G$30)^(OpProj!CP15-1)</f>
        <v>1755421.5084278586</v>
      </c>
      <c r="CQ17" s="196">
        <f>(Summary!$G$29*Summary!$M$33)/12*(1+Summary!$G$30)^(OpProj!CQ15-1)</f>
        <v>1755421.5084278586</v>
      </c>
      <c r="CR17" s="196">
        <f>(Summary!$G$29*Summary!$M$33)/12*(1+Summary!$G$30)^(OpProj!CR15-1)</f>
        <v>1755421.5084278586</v>
      </c>
      <c r="CS17" s="196">
        <f>(Summary!$G$29*Summary!$M$33)/12*(1+Summary!$G$30)^(OpProj!CS15-1)</f>
        <v>1755421.5084278586</v>
      </c>
      <c r="CT17" s="196">
        <f>(Summary!$G$29*Summary!$M$33)/12*(1+Summary!$G$30)^(OpProj!CT15-1)</f>
        <v>1755421.5084278586</v>
      </c>
      <c r="CU17" s="196">
        <f>(Summary!$G$29*Summary!$M$33)/12*(1+Summary!$G$30)^(OpProj!CU15-1)</f>
        <v>1755421.5084278586</v>
      </c>
      <c r="CV17" s="196">
        <f>(Summary!$G$29*Summary!$M$33)/12*(1+Summary!$G$30)^(OpProj!CV15-1)</f>
        <v>1755421.5084278586</v>
      </c>
      <c r="CW17" s="196">
        <f>(Summary!$G$29*Summary!$M$33)/12*(1+Summary!$G$30)^(OpProj!CW15-1)</f>
        <v>1755421.5084278586</v>
      </c>
      <c r="CX17" s="196">
        <f>(Summary!$G$29*Summary!$M$33)/12*(1+Summary!$G$30)^(OpProj!CX15-1)</f>
        <v>1755421.5084278586</v>
      </c>
      <c r="CY17" s="196">
        <f>(Summary!$G$29*Summary!$M$33)/12*(1+Summary!$G$30)^(OpProj!CY15-1)</f>
        <v>1755421.5084278586</v>
      </c>
      <c r="CZ17" s="196">
        <f>(Summary!$G$29*Summary!$M$33)/12*(1+Summary!$G$30)^(OpProj!CZ15-1)</f>
        <v>1755421.5084278586</v>
      </c>
      <c r="DA17" s="196">
        <f>(Summary!$G$29*Summary!$M$33)/12*(1+Summary!$G$30)^(OpProj!DA15-1)</f>
        <v>1755421.5084278586</v>
      </c>
      <c r="DB17" s="196">
        <f>(Summary!$G$29*Summary!$M$33)/12*(1+Summary!$G$30)^(OpProj!DB15-1)</f>
        <v>1808084.1536806943</v>
      </c>
      <c r="DC17" s="196">
        <f>(Summary!$G$29*Summary!$M$33)/12*(1+Summary!$G$30)^(OpProj!DC15-1)</f>
        <v>1808084.1536806943</v>
      </c>
      <c r="DD17" s="196">
        <f>(Summary!$G$29*Summary!$M$33)/12*(1+Summary!$G$30)^(OpProj!DD15-1)</f>
        <v>1808084.1536806943</v>
      </c>
      <c r="DE17" s="196">
        <f>(Summary!$G$29*Summary!$M$33)/12*(1+Summary!$G$30)^(OpProj!DE15-1)</f>
        <v>1808084.1536806943</v>
      </c>
      <c r="DF17" s="196">
        <f>(Summary!$G$29*Summary!$M$33)/12*(1+Summary!$G$30)^(OpProj!DF15-1)</f>
        <v>1808084.1536806943</v>
      </c>
      <c r="DG17" s="196">
        <f>(Summary!$G$29*Summary!$M$33)/12*(1+Summary!$G$30)^(OpProj!DG15-1)</f>
        <v>1808084.1536806943</v>
      </c>
      <c r="DH17" s="196">
        <f>(Summary!$G$29*Summary!$M$33)/12*(1+Summary!$G$30)^(OpProj!DH15-1)</f>
        <v>1808084.1536806943</v>
      </c>
      <c r="DI17" s="196">
        <f>(Summary!$G$29*Summary!$M$33)/12*(1+Summary!$G$30)^(OpProj!DI15-1)</f>
        <v>1808084.1536806943</v>
      </c>
      <c r="DJ17" s="196">
        <f>(Summary!$G$29*Summary!$M$33)/12*(1+Summary!$G$30)^(OpProj!DJ15-1)</f>
        <v>1808084.1536806943</v>
      </c>
      <c r="DK17" s="196">
        <f>(Summary!$G$29*Summary!$M$33)/12*(1+Summary!$G$30)^(OpProj!DK15-1)</f>
        <v>1808084.1536806943</v>
      </c>
      <c r="DL17" s="196">
        <f>(Summary!$G$29*Summary!$M$33)/12*(1+Summary!$G$30)^(OpProj!DL15-1)</f>
        <v>1808084.1536806943</v>
      </c>
      <c r="DM17" s="196">
        <f>(Summary!$G$29*Summary!$M$33)/12*(1+Summary!$G$30)^(OpProj!DM15-1)</f>
        <v>1808084.1536806943</v>
      </c>
      <c r="DN17" s="196">
        <f>(Summary!$G$29*Summary!$M$33)/12*(1+Summary!$G$30)^(OpProj!DN15-1)</f>
        <v>1862326.678291115</v>
      </c>
      <c r="DO17" s="196">
        <f>(Summary!$G$29*Summary!$M$33)/12*(1+Summary!$G$30)^(OpProj!DO15-1)</f>
        <v>1862326.678291115</v>
      </c>
      <c r="DP17" s="196">
        <f>(Summary!$G$29*Summary!$M$33)/12*(1+Summary!$G$30)^(OpProj!DP15-1)</f>
        <v>1862326.678291115</v>
      </c>
      <c r="DQ17" s="196">
        <f>(Summary!$G$29*Summary!$M$33)/12*(1+Summary!$G$30)^(OpProj!DQ15-1)</f>
        <v>1862326.678291115</v>
      </c>
      <c r="DR17" s="196">
        <f>(Summary!$G$29*Summary!$M$33)/12*(1+Summary!$G$30)^(OpProj!DR15-1)</f>
        <v>1862326.678291115</v>
      </c>
      <c r="DS17" s="196">
        <f>(Summary!$G$29*Summary!$M$33)/12*(1+Summary!$G$30)^(OpProj!DS15-1)</f>
        <v>1862326.678291115</v>
      </c>
      <c r="DT17" s="196">
        <f>(Summary!$G$29*Summary!$M$33)/12*(1+Summary!$G$30)^(OpProj!DT15-1)</f>
        <v>1862326.678291115</v>
      </c>
      <c r="DU17" s="196">
        <f>(Summary!$G$29*Summary!$M$33)/12*(1+Summary!$G$30)^(OpProj!DU15-1)</f>
        <v>1862326.678291115</v>
      </c>
      <c r="DV17" s="196">
        <f>(Summary!$G$29*Summary!$M$33)/12*(1+Summary!$G$30)^(OpProj!DV15-1)</f>
        <v>1862326.678291115</v>
      </c>
      <c r="DW17" s="196">
        <f>(Summary!$G$29*Summary!$M$33)/12*(1+Summary!$G$30)^(OpProj!DW15-1)</f>
        <v>1862326.678291115</v>
      </c>
      <c r="DX17" s="196">
        <f>(Summary!$G$29*Summary!$M$33)/12*(1+Summary!$G$30)^(OpProj!DX15-1)</f>
        <v>1862326.678291115</v>
      </c>
      <c r="DY17" s="196">
        <f>(Summary!$G$29*Summary!$M$33)/12*(1+Summary!$G$30)^(OpProj!DY15-1)</f>
        <v>1862326.678291115</v>
      </c>
      <c r="DZ17" s="196">
        <f>(Summary!$G$29*Summary!$M$33)/12*(1+Summary!$G$30)^(OpProj!DZ15-1)</f>
        <v>1918196.4786398483</v>
      </c>
      <c r="EA17" s="196">
        <f>(Summary!$G$29*Summary!$M$33)/12*(1+Summary!$G$30)^(OpProj!EA15-1)</f>
        <v>1918196.4786398483</v>
      </c>
      <c r="EB17" s="196">
        <f>(Summary!$G$29*Summary!$M$33)/12*(1+Summary!$G$30)^(OpProj!EB15-1)</f>
        <v>1918196.4786398483</v>
      </c>
      <c r="EC17" s="196">
        <f>(Summary!$G$29*Summary!$M$33)/12*(1+Summary!$G$30)^(OpProj!EC15-1)</f>
        <v>1918196.4786398483</v>
      </c>
      <c r="ED17" s="196">
        <f>(Summary!$G$29*Summary!$M$33)/12*(1+Summary!$G$30)^(OpProj!ED15-1)</f>
        <v>1918196.4786398483</v>
      </c>
      <c r="EE17" s="196">
        <f>(Summary!$G$29*Summary!$M$33)/12*(1+Summary!$G$30)^(OpProj!EE15-1)</f>
        <v>1918196.4786398483</v>
      </c>
      <c r="EF17" s="196">
        <f>(Summary!$G$29*Summary!$M$33)/12*(1+Summary!$G$30)^(OpProj!EF15-1)</f>
        <v>1918196.4786398483</v>
      </c>
      <c r="EG17" s="196">
        <f>(Summary!$G$29*Summary!$M$33)/12*(1+Summary!$G$30)^(OpProj!EG15-1)</f>
        <v>1918196.4786398483</v>
      </c>
      <c r="EH17" s="196">
        <f>(Summary!$G$29*Summary!$M$33)/12*(1+Summary!$G$30)^(OpProj!EH15-1)</f>
        <v>1918196.4786398483</v>
      </c>
      <c r="EI17" s="196">
        <f>(Summary!$G$29*Summary!$M$33)/12*(1+Summary!$G$30)^(OpProj!EI15-1)</f>
        <v>1918196.4786398483</v>
      </c>
      <c r="EJ17" s="196">
        <f>(Summary!$G$29*Summary!$M$33)/12*(1+Summary!$G$30)^(OpProj!EJ15-1)</f>
        <v>1918196.4786398483</v>
      </c>
      <c r="EK17" s="196">
        <f>(Summary!$G$29*Summary!$M$33)/12*(1+Summary!$G$30)^(OpProj!EK15-1)</f>
        <v>1918196.4786398483</v>
      </c>
      <c r="EL17" s="183"/>
    </row>
    <row r="18" spans="2:142" ht="16.2" x14ac:dyDescent="0.45">
      <c r="B18" s="179"/>
      <c r="C18" s="197" t="s">
        <v>109</v>
      </c>
      <c r="H18" s="198">
        <f>SUM(J18:M18)</f>
        <v>-5709273.30932895</v>
      </c>
      <c r="J18" s="199">
        <f>(J16&lt;Summary!$G$32+Summary!$C$27)*-OpProj!J17</f>
        <v>-1427318.3273322375</v>
      </c>
      <c r="K18" s="200">
        <f>(K16&lt;Summary!$G$32+Summary!$C$27)*-OpProj!K17</f>
        <v>-1427318.3273322375</v>
      </c>
      <c r="L18" s="200">
        <f>(L16&lt;Summary!$G$32+Summary!$C$27)*-OpProj!L17</f>
        <v>-1427318.3273322375</v>
      </c>
      <c r="M18" s="200">
        <f>(M16&lt;Summary!$G$32+Summary!$C$27)*-OpProj!M17</f>
        <v>-1427318.3273322375</v>
      </c>
      <c r="N18" s="200">
        <f>(N16&lt;Summary!$G$32+Summary!$C$27)*-OpProj!N17</f>
        <v>-1427318.3273322375</v>
      </c>
      <c r="O18" s="200">
        <f>(O16&lt;Summary!$G$32+Summary!$C$27)*-OpProj!O17</f>
        <v>-1427318.3273322375</v>
      </c>
      <c r="P18" s="200">
        <f>(P16&lt;Summary!$G$32+Summary!$C$27)*-OpProj!P17</f>
        <v>0</v>
      </c>
      <c r="Q18" s="200">
        <f>(Q16&lt;Summary!$G$32+Summary!$C$27)*-OpProj!Q17</f>
        <v>0</v>
      </c>
      <c r="R18" s="200">
        <f>(R16&lt;Summary!$G$32+Summary!$C$27)*-OpProj!R17</f>
        <v>0</v>
      </c>
      <c r="S18" s="200">
        <f>(S16&lt;Summary!$G$32+Summary!$C$27)*-OpProj!S17</f>
        <v>0</v>
      </c>
      <c r="T18" s="200">
        <f>(T16&lt;Summary!$G$32+Summary!$C$27)*-OpProj!T17</f>
        <v>0</v>
      </c>
      <c r="U18" s="200">
        <f>(U16&lt;Summary!$G$32+Summary!$C$27)*-OpProj!U17</f>
        <v>0</v>
      </c>
      <c r="V18" s="200">
        <f>(V16&lt;Summary!$G$32+Summary!$C$27)*-OpProj!V17</f>
        <v>0</v>
      </c>
      <c r="W18" s="200">
        <f>(W16&lt;Summary!$G$32+Summary!$C$27)*-OpProj!W17</f>
        <v>0</v>
      </c>
      <c r="X18" s="200">
        <f>(X16&lt;Summary!$G$32+Summary!$C$27)*-OpProj!X17</f>
        <v>0</v>
      </c>
      <c r="Y18" s="200">
        <f>(Y16&lt;Summary!$G$32+Summary!$C$27)*-OpProj!Y17</f>
        <v>0</v>
      </c>
      <c r="Z18" s="200">
        <f>(Z16&lt;Summary!$G$32+Summary!$C$27)*-OpProj!Z17</f>
        <v>0</v>
      </c>
      <c r="AA18" s="200">
        <f>(AA16&lt;Summary!$G$32+Summary!$C$27)*-OpProj!AA17</f>
        <v>0</v>
      </c>
      <c r="AB18" s="200">
        <f>(AB16&lt;Summary!$G$32+Summary!$C$27)*-OpProj!AB17</f>
        <v>0</v>
      </c>
      <c r="AC18" s="200">
        <f>(AC16&lt;Summary!$G$32+Summary!$C$27)*-OpProj!AC17</f>
        <v>0</v>
      </c>
      <c r="AD18" s="200">
        <f>(AD16&lt;Summary!$G$32+Summary!$C$27)*-OpProj!AD17</f>
        <v>0</v>
      </c>
      <c r="AE18" s="200">
        <f>(AE16&lt;Summary!$G$32+Summary!$C$27)*-OpProj!AE17</f>
        <v>0</v>
      </c>
      <c r="AF18" s="200">
        <f>(AF16&lt;Summary!$G$32+Summary!$C$27)*-OpProj!AF17</f>
        <v>0</v>
      </c>
      <c r="AG18" s="200">
        <f>(AG16&lt;Summary!$G$32+Summary!$C$27)*-OpProj!AG17</f>
        <v>0</v>
      </c>
      <c r="AH18" s="200">
        <f>(AH16&lt;Summary!$G$32+Summary!$C$27)*-OpProj!AH17</f>
        <v>0</v>
      </c>
      <c r="AI18" s="200">
        <f>(AI16&lt;Summary!$G$32+Summary!$C$27)*-OpProj!AI17</f>
        <v>0</v>
      </c>
      <c r="AJ18" s="200">
        <f>(AJ16&lt;Summary!$G$32+Summary!$C$27)*-OpProj!AJ17</f>
        <v>0</v>
      </c>
      <c r="AK18" s="200">
        <f>(AK16&lt;Summary!$G$32+Summary!$C$27)*-OpProj!AK17</f>
        <v>0</v>
      </c>
      <c r="AL18" s="200">
        <f>(AL16&lt;Summary!$G$32+Summary!$C$27)*-OpProj!AL17</f>
        <v>0</v>
      </c>
      <c r="AM18" s="200">
        <f>(AM16&lt;Summary!$G$32+Summary!$C$27)*-OpProj!AM17</f>
        <v>0</v>
      </c>
      <c r="AN18" s="200">
        <f>(AN16&lt;Summary!$G$32+Summary!$C$27)*-OpProj!AN17</f>
        <v>0</v>
      </c>
      <c r="AO18" s="200">
        <f>(AO16&lt;Summary!$G$32+Summary!$C$27)*-OpProj!AO17</f>
        <v>0</v>
      </c>
      <c r="AP18" s="200">
        <f>(AP16&lt;Summary!$G$32+Summary!$C$27)*-OpProj!AP17</f>
        <v>0</v>
      </c>
      <c r="AQ18" s="200">
        <f>(AQ16&lt;Summary!$G$32+Summary!$C$27)*-OpProj!AQ17</f>
        <v>0</v>
      </c>
      <c r="AR18" s="200">
        <f>(AR16&lt;Summary!$G$32+Summary!$C$27)*-OpProj!AR17</f>
        <v>0</v>
      </c>
      <c r="AS18" s="200">
        <f>(AS16&lt;Summary!$G$32+Summary!$C$27)*-OpProj!AS17</f>
        <v>0</v>
      </c>
      <c r="AT18" s="200">
        <f>(AT16&lt;Summary!$G$32+Summary!$C$27)*-OpProj!AT17</f>
        <v>0</v>
      </c>
      <c r="AU18" s="200">
        <f>(AU16&lt;Summary!$G$32+Summary!$C$27)*-OpProj!AU17</f>
        <v>0</v>
      </c>
      <c r="AV18" s="200">
        <f>(AV16&lt;Summary!$G$32+Summary!$C$27)*-OpProj!AV17</f>
        <v>0</v>
      </c>
      <c r="AW18" s="200">
        <f>(AW16&lt;Summary!$G$32+Summary!$C$27)*-OpProj!AW17</f>
        <v>0</v>
      </c>
      <c r="AX18" s="200">
        <f>(AX16&lt;Summary!$G$32+Summary!$C$27)*-OpProj!AX17</f>
        <v>0</v>
      </c>
      <c r="AY18" s="200">
        <f>(AY16&lt;Summary!$G$32+Summary!$C$27)*-OpProj!AY17</f>
        <v>0</v>
      </c>
      <c r="AZ18" s="200">
        <f>(AZ16&lt;Summary!$G$32+Summary!$C$27)*-OpProj!AZ17</f>
        <v>0</v>
      </c>
      <c r="BA18" s="200">
        <f>(BA16&lt;Summary!$G$32+Summary!$C$27)*-OpProj!BA17</f>
        <v>0</v>
      </c>
      <c r="BB18" s="200">
        <f>(BB16&lt;Summary!$G$32+Summary!$C$27)*-OpProj!BB17</f>
        <v>0</v>
      </c>
      <c r="BC18" s="200">
        <f>(BC16&lt;Summary!$G$32+Summary!$C$27)*-OpProj!BC17</f>
        <v>0</v>
      </c>
      <c r="BD18" s="200">
        <f>(BD16&lt;Summary!$G$32+Summary!$C$27)*-OpProj!BD17</f>
        <v>0</v>
      </c>
      <c r="BE18" s="200">
        <f>(BE16&lt;Summary!$G$32+Summary!$C$27)*-OpProj!BE17</f>
        <v>0</v>
      </c>
      <c r="BF18" s="200">
        <f>(BF16&lt;Summary!$G$32+Summary!$C$27)*-OpProj!BF17</f>
        <v>0</v>
      </c>
      <c r="BG18" s="200">
        <f>(BG16&lt;Summary!$G$32+Summary!$C$27)*-OpProj!BG17</f>
        <v>0</v>
      </c>
      <c r="BH18" s="200">
        <f>(BH16&lt;Summary!$G$32+Summary!$C$27)*-OpProj!BH17</f>
        <v>0</v>
      </c>
      <c r="BI18" s="200">
        <f>(BI16&lt;Summary!$G$32+Summary!$C$27)*-OpProj!BI17</f>
        <v>0</v>
      </c>
      <c r="BJ18" s="200">
        <f>(BJ16&lt;Summary!$G$32+Summary!$C$27)*-OpProj!BJ17</f>
        <v>0</v>
      </c>
      <c r="BK18" s="200">
        <f>(BK16&lt;Summary!$G$32+Summary!$C$27)*-OpProj!BK17</f>
        <v>0</v>
      </c>
      <c r="BL18" s="200">
        <f>(BL16&lt;Summary!$G$32+Summary!$C$27)*-OpProj!BL17</f>
        <v>0</v>
      </c>
      <c r="BM18" s="200">
        <f>(BM16&lt;Summary!$G$32+Summary!$C$27)*-OpProj!BM17</f>
        <v>0</v>
      </c>
      <c r="BN18" s="200">
        <f>(BN16&lt;Summary!$G$32+Summary!$C$27)*-OpProj!BN17</f>
        <v>0</v>
      </c>
      <c r="BO18" s="200">
        <f>(BO16&lt;Summary!$G$32+Summary!$C$27)*-OpProj!BO17</f>
        <v>0</v>
      </c>
      <c r="BP18" s="200">
        <f>(BP16&lt;Summary!$G$32+Summary!$C$27)*-OpProj!BP17</f>
        <v>0</v>
      </c>
      <c r="BQ18" s="200">
        <f>(BQ16&lt;Summary!$G$32+Summary!$C$27)*-OpProj!BQ17</f>
        <v>0</v>
      </c>
      <c r="BR18" s="200">
        <f>(BR16&lt;Summary!$G$32+Summary!$C$27)*-OpProj!BR17</f>
        <v>0</v>
      </c>
      <c r="BS18" s="200">
        <f>(BS16&lt;Summary!$G$32+Summary!$C$27)*-OpProj!BS17</f>
        <v>0</v>
      </c>
      <c r="BT18" s="200">
        <f>(BT16&lt;Summary!$G$32+Summary!$C$27)*-OpProj!BT17</f>
        <v>0</v>
      </c>
      <c r="BU18" s="200">
        <f>(BU16&lt;Summary!$G$32+Summary!$C$27)*-OpProj!BU17</f>
        <v>0</v>
      </c>
      <c r="BV18" s="200">
        <f>(BV16&lt;Summary!$G$32+Summary!$C$27)*-OpProj!BV17</f>
        <v>0</v>
      </c>
      <c r="BW18" s="200">
        <f>(BW16&lt;Summary!$G$32+Summary!$C$27)*-OpProj!BW17</f>
        <v>0</v>
      </c>
      <c r="BX18" s="200">
        <f>(BX16&lt;Summary!$G$32+Summary!$C$27)*-OpProj!BX17</f>
        <v>0</v>
      </c>
      <c r="BY18" s="200">
        <f>(BY16&lt;Summary!$G$32+Summary!$C$27)*-OpProj!BY17</f>
        <v>0</v>
      </c>
      <c r="BZ18" s="200">
        <f>(BZ16&lt;Summary!$G$32+Summary!$C$27)*-OpProj!BZ17</f>
        <v>0</v>
      </c>
      <c r="CA18" s="200">
        <f>(CA16&lt;Summary!$G$32+Summary!$C$27)*-OpProj!CA17</f>
        <v>0</v>
      </c>
      <c r="CB18" s="200">
        <f>(CB16&lt;Summary!$G$32+Summary!$C$27)*-OpProj!CB17</f>
        <v>0</v>
      </c>
      <c r="CC18" s="200">
        <f>(CC16&lt;Summary!$G$32+Summary!$C$27)*-OpProj!CC17</f>
        <v>0</v>
      </c>
      <c r="CD18" s="200">
        <f>(CD16&lt;Summary!$G$32+Summary!$C$27)*-OpProj!CD17</f>
        <v>0</v>
      </c>
      <c r="CE18" s="200">
        <f>(CE16&lt;Summary!$G$32+Summary!$C$27)*-OpProj!CE17</f>
        <v>0</v>
      </c>
      <c r="CF18" s="200">
        <f>(CF16&lt;Summary!$G$32+Summary!$C$27)*-OpProj!CF17</f>
        <v>0</v>
      </c>
      <c r="CG18" s="200">
        <f>(CG16&lt;Summary!$G$32+Summary!$C$27)*-OpProj!CG17</f>
        <v>0</v>
      </c>
      <c r="CH18" s="200">
        <f>(CH16&lt;Summary!$G$32+Summary!$C$27)*-OpProj!CH17</f>
        <v>0</v>
      </c>
      <c r="CI18" s="200">
        <f>(CI16&lt;Summary!$G$32+Summary!$C$27)*-OpProj!CI17</f>
        <v>0</v>
      </c>
      <c r="CJ18" s="200">
        <f>(CJ16&lt;Summary!$G$32+Summary!$C$27)*-OpProj!CJ17</f>
        <v>0</v>
      </c>
      <c r="CK18" s="200">
        <f>(CK16&lt;Summary!$G$32+Summary!$C$27)*-OpProj!CK17</f>
        <v>0</v>
      </c>
      <c r="CL18" s="200">
        <f>(CL16&lt;Summary!$G$32+Summary!$C$27)*-OpProj!CL17</f>
        <v>0</v>
      </c>
      <c r="CM18" s="200">
        <f>(CM16&lt;Summary!$G$32+Summary!$C$27)*-OpProj!CM17</f>
        <v>0</v>
      </c>
      <c r="CN18" s="200">
        <f>(CN16&lt;Summary!$G$32+Summary!$C$27)*-OpProj!CN17</f>
        <v>0</v>
      </c>
      <c r="CO18" s="200">
        <f>(CO16&lt;Summary!$G$32+Summary!$C$27)*-OpProj!CO17</f>
        <v>0</v>
      </c>
      <c r="CP18" s="200">
        <f>(CP16&lt;Summary!$G$32+Summary!$C$27)*-OpProj!CP17</f>
        <v>0</v>
      </c>
      <c r="CQ18" s="200">
        <f>(CQ16&lt;Summary!$G$32+Summary!$C$27)*-OpProj!CQ17</f>
        <v>0</v>
      </c>
      <c r="CR18" s="200">
        <f>(CR16&lt;Summary!$G$32+Summary!$C$27)*-OpProj!CR17</f>
        <v>0</v>
      </c>
      <c r="CS18" s="200">
        <f>(CS16&lt;Summary!$G$32+Summary!$C$27)*-OpProj!CS17</f>
        <v>0</v>
      </c>
      <c r="CT18" s="200">
        <f>(CT16&lt;Summary!$G$32+Summary!$C$27)*-OpProj!CT17</f>
        <v>0</v>
      </c>
      <c r="CU18" s="200">
        <f>(CU16&lt;Summary!$G$32+Summary!$C$27)*-OpProj!CU17</f>
        <v>0</v>
      </c>
      <c r="CV18" s="200">
        <f>(CV16&lt;Summary!$G$32+Summary!$C$27)*-OpProj!CV17</f>
        <v>0</v>
      </c>
      <c r="CW18" s="200">
        <f>(CW16&lt;Summary!$G$32+Summary!$C$27)*-OpProj!CW17</f>
        <v>0</v>
      </c>
      <c r="CX18" s="200">
        <f>(CX16&lt;Summary!$G$32+Summary!$C$27)*-OpProj!CX17</f>
        <v>0</v>
      </c>
      <c r="CY18" s="200">
        <f>(CY16&lt;Summary!$G$32+Summary!$C$27)*-OpProj!CY17</f>
        <v>0</v>
      </c>
      <c r="CZ18" s="200">
        <f>(CZ16&lt;Summary!$G$32+Summary!$C$27)*-OpProj!CZ17</f>
        <v>0</v>
      </c>
      <c r="DA18" s="200">
        <f>(DA16&lt;Summary!$G$32+Summary!$C$27)*-OpProj!DA17</f>
        <v>0</v>
      </c>
      <c r="DB18" s="200">
        <f>(DB16&lt;Summary!$G$32+Summary!$C$27)*-OpProj!DB17</f>
        <v>0</v>
      </c>
      <c r="DC18" s="200">
        <f>(DC16&lt;Summary!$G$32+Summary!$C$27)*-OpProj!DC17</f>
        <v>0</v>
      </c>
      <c r="DD18" s="200">
        <f>(DD16&lt;Summary!$G$32+Summary!$C$27)*-OpProj!DD17</f>
        <v>0</v>
      </c>
      <c r="DE18" s="200">
        <f>(DE16&lt;Summary!$G$32+Summary!$C$27)*-OpProj!DE17</f>
        <v>0</v>
      </c>
      <c r="DF18" s="200">
        <f>(DF16&lt;Summary!$G$32+Summary!$C$27)*-OpProj!DF17</f>
        <v>0</v>
      </c>
      <c r="DG18" s="200">
        <f>(DG16&lt;Summary!$G$32+Summary!$C$27)*-OpProj!DG17</f>
        <v>0</v>
      </c>
      <c r="DH18" s="200">
        <f>(DH16&lt;Summary!$G$32+Summary!$C$27)*-OpProj!DH17</f>
        <v>0</v>
      </c>
      <c r="DI18" s="200">
        <f>(DI16&lt;Summary!$G$32+Summary!$C$27)*-OpProj!DI17</f>
        <v>0</v>
      </c>
      <c r="DJ18" s="200">
        <f>(DJ16&lt;Summary!$G$32+Summary!$C$27)*-OpProj!DJ17</f>
        <v>0</v>
      </c>
      <c r="DK18" s="200">
        <f>(DK16&lt;Summary!$G$32+Summary!$C$27)*-OpProj!DK17</f>
        <v>0</v>
      </c>
      <c r="DL18" s="200">
        <f>(DL16&lt;Summary!$G$32+Summary!$C$27)*-OpProj!DL17</f>
        <v>0</v>
      </c>
      <c r="DM18" s="200">
        <f>(DM16&lt;Summary!$G$32+Summary!$C$27)*-OpProj!DM17</f>
        <v>0</v>
      </c>
      <c r="DN18" s="200">
        <f>(DN16&lt;Summary!$G$32+Summary!$C$27)*-OpProj!DN17</f>
        <v>0</v>
      </c>
      <c r="DO18" s="200">
        <f>(DO16&lt;Summary!$G$32+Summary!$C$27)*-OpProj!DO17</f>
        <v>0</v>
      </c>
      <c r="DP18" s="200">
        <f>(DP16&lt;Summary!$G$32+Summary!$C$27)*-OpProj!DP17</f>
        <v>0</v>
      </c>
      <c r="DQ18" s="200">
        <f>(DQ16&lt;Summary!$G$32+Summary!$C$27)*-OpProj!DQ17</f>
        <v>0</v>
      </c>
      <c r="DR18" s="200">
        <f>(DR16&lt;Summary!$G$32+Summary!$C$27)*-OpProj!DR17</f>
        <v>0</v>
      </c>
      <c r="DS18" s="200">
        <f>(DS16&lt;Summary!$G$32+Summary!$C$27)*-OpProj!DS17</f>
        <v>0</v>
      </c>
      <c r="DT18" s="200">
        <f>(DT16&lt;Summary!$G$32+Summary!$C$27)*-OpProj!DT17</f>
        <v>0</v>
      </c>
      <c r="DU18" s="200">
        <f>(DU16&lt;Summary!$G$32+Summary!$C$27)*-OpProj!DU17</f>
        <v>0</v>
      </c>
      <c r="DV18" s="200">
        <f>(DV16&lt;Summary!$G$32+Summary!$C$27)*-OpProj!DV17</f>
        <v>0</v>
      </c>
      <c r="DW18" s="200">
        <f>(DW16&lt;Summary!$G$32+Summary!$C$27)*-OpProj!DW17</f>
        <v>0</v>
      </c>
      <c r="DX18" s="200">
        <f>(DX16&lt;Summary!$G$32+Summary!$C$27)*-OpProj!DX17</f>
        <v>0</v>
      </c>
      <c r="DY18" s="200">
        <f>(DY16&lt;Summary!$G$32+Summary!$C$27)*-OpProj!DY17</f>
        <v>0</v>
      </c>
      <c r="DZ18" s="200">
        <f>(DZ16&lt;Summary!$G$32+Summary!$C$27)*-OpProj!DZ17</f>
        <v>0</v>
      </c>
      <c r="EA18" s="200">
        <f>(EA16&lt;Summary!$G$32+Summary!$C$27)*-OpProj!EA17</f>
        <v>0</v>
      </c>
      <c r="EB18" s="200">
        <f>(EB16&lt;Summary!$G$32+Summary!$C$27)*-OpProj!EB17</f>
        <v>0</v>
      </c>
      <c r="EC18" s="200">
        <f>(EC16&lt;Summary!$G$32+Summary!$C$27)*-OpProj!EC17</f>
        <v>0</v>
      </c>
      <c r="ED18" s="200">
        <f>(ED16&lt;Summary!$G$32+Summary!$C$27)*-OpProj!ED17</f>
        <v>0</v>
      </c>
      <c r="EE18" s="200">
        <f>(EE16&lt;Summary!$G$32+Summary!$C$27)*-OpProj!EE17</f>
        <v>0</v>
      </c>
      <c r="EF18" s="200">
        <f>(EF16&lt;Summary!$G$32+Summary!$C$27)*-OpProj!EF17</f>
        <v>0</v>
      </c>
      <c r="EG18" s="200">
        <f>(EG16&lt;Summary!$G$32+Summary!$C$27)*-OpProj!EG17</f>
        <v>0</v>
      </c>
      <c r="EH18" s="200">
        <f>(EH16&lt;Summary!$G$32+Summary!$C$27)*-OpProj!EH17</f>
        <v>0</v>
      </c>
      <c r="EI18" s="200">
        <f>(EI16&lt;Summary!$G$32+Summary!$C$27)*-OpProj!EI17</f>
        <v>0</v>
      </c>
      <c r="EJ18" s="200">
        <f>(EJ16&lt;Summary!$G$32+Summary!$C$27)*-OpProj!EJ17</f>
        <v>0</v>
      </c>
      <c r="EK18" s="200">
        <f>(EK16&lt;Summary!$G$32+Summary!$C$27)*-OpProj!EK17</f>
        <v>0</v>
      </c>
      <c r="EL18" s="183"/>
    </row>
    <row r="19" spans="2:142" ht="14.4" x14ac:dyDescent="0.3">
      <c r="B19" s="179"/>
      <c r="C19" s="201" t="s">
        <v>110</v>
      </c>
      <c r="H19" s="100">
        <f>SUM(H17:H18)</f>
        <v>11418546.618657898</v>
      </c>
      <c r="J19" s="202">
        <f t="shared" ref="J19:BU19" si="9">SUM(J17:J18)</f>
        <v>0</v>
      </c>
      <c r="K19" s="202">
        <f t="shared" si="9"/>
        <v>0</v>
      </c>
      <c r="L19" s="202">
        <f t="shared" si="9"/>
        <v>0</v>
      </c>
      <c r="M19" s="202">
        <f t="shared" si="9"/>
        <v>0</v>
      </c>
      <c r="N19" s="202">
        <f t="shared" si="9"/>
        <v>0</v>
      </c>
      <c r="O19" s="202">
        <f t="shared" si="9"/>
        <v>0</v>
      </c>
      <c r="P19" s="202">
        <f t="shared" si="9"/>
        <v>1427318.3273322375</v>
      </c>
      <c r="Q19" s="202">
        <f t="shared" si="9"/>
        <v>1427318.3273322375</v>
      </c>
      <c r="R19" s="202">
        <f t="shared" si="9"/>
        <v>1427318.3273322375</v>
      </c>
      <c r="S19" s="202">
        <f t="shared" si="9"/>
        <v>1427318.3273322375</v>
      </c>
      <c r="T19" s="202">
        <f t="shared" si="9"/>
        <v>1427318.3273322375</v>
      </c>
      <c r="U19" s="202">
        <f t="shared" si="9"/>
        <v>1427318.3273322375</v>
      </c>
      <c r="V19" s="202">
        <f t="shared" si="9"/>
        <v>1470137.8771522045</v>
      </c>
      <c r="W19" s="202">
        <f t="shared" si="9"/>
        <v>1470137.8771522045</v>
      </c>
      <c r="X19" s="202">
        <f t="shared" si="9"/>
        <v>1470137.8771522045</v>
      </c>
      <c r="Y19" s="202">
        <f t="shared" si="9"/>
        <v>1470137.8771522045</v>
      </c>
      <c r="Z19" s="202">
        <f t="shared" si="9"/>
        <v>1470137.8771522045</v>
      </c>
      <c r="AA19" s="202">
        <f t="shared" si="9"/>
        <v>1470137.8771522045</v>
      </c>
      <c r="AB19" s="202">
        <f t="shared" si="9"/>
        <v>1470137.8771522045</v>
      </c>
      <c r="AC19" s="202">
        <f t="shared" si="9"/>
        <v>1470137.8771522045</v>
      </c>
      <c r="AD19" s="202">
        <f t="shared" si="9"/>
        <v>1470137.8771522045</v>
      </c>
      <c r="AE19" s="202">
        <f t="shared" si="9"/>
        <v>1470137.8771522045</v>
      </c>
      <c r="AF19" s="202">
        <f t="shared" si="9"/>
        <v>1470137.8771522045</v>
      </c>
      <c r="AG19" s="202">
        <f t="shared" si="9"/>
        <v>1470137.8771522045</v>
      </c>
      <c r="AH19" s="202">
        <f t="shared" si="9"/>
        <v>1514242.0134667705</v>
      </c>
      <c r="AI19" s="202">
        <f t="shared" si="9"/>
        <v>1514242.0134667705</v>
      </c>
      <c r="AJ19" s="202">
        <f t="shared" si="9"/>
        <v>1514242.0134667705</v>
      </c>
      <c r="AK19" s="202">
        <f t="shared" si="9"/>
        <v>1514242.0134667705</v>
      </c>
      <c r="AL19" s="202">
        <f t="shared" si="9"/>
        <v>1514242.0134667705</v>
      </c>
      <c r="AM19" s="202">
        <f t="shared" si="9"/>
        <v>1514242.0134667705</v>
      </c>
      <c r="AN19" s="202">
        <f t="shared" si="9"/>
        <v>1514242.0134667705</v>
      </c>
      <c r="AO19" s="202">
        <f t="shared" si="9"/>
        <v>1514242.0134667705</v>
      </c>
      <c r="AP19" s="202">
        <f t="shared" si="9"/>
        <v>1514242.0134667705</v>
      </c>
      <c r="AQ19" s="202">
        <f t="shared" si="9"/>
        <v>1514242.0134667705</v>
      </c>
      <c r="AR19" s="202">
        <f t="shared" si="9"/>
        <v>1514242.0134667705</v>
      </c>
      <c r="AS19" s="202">
        <f t="shared" si="9"/>
        <v>1514242.0134667705</v>
      </c>
      <c r="AT19" s="202">
        <f t="shared" si="9"/>
        <v>1559669.2738707736</v>
      </c>
      <c r="AU19" s="202">
        <f t="shared" si="9"/>
        <v>1559669.2738707736</v>
      </c>
      <c r="AV19" s="202">
        <f t="shared" si="9"/>
        <v>1559669.2738707736</v>
      </c>
      <c r="AW19" s="202">
        <f t="shared" si="9"/>
        <v>1559669.2738707736</v>
      </c>
      <c r="AX19" s="202">
        <f t="shared" si="9"/>
        <v>1559669.2738707736</v>
      </c>
      <c r="AY19" s="202">
        <f t="shared" si="9"/>
        <v>1559669.2738707736</v>
      </c>
      <c r="AZ19" s="202">
        <f t="shared" si="9"/>
        <v>1559669.2738707736</v>
      </c>
      <c r="BA19" s="202">
        <f t="shared" si="9"/>
        <v>1559669.2738707736</v>
      </c>
      <c r="BB19" s="202">
        <f t="shared" si="9"/>
        <v>1559669.2738707736</v>
      </c>
      <c r="BC19" s="202">
        <f t="shared" si="9"/>
        <v>1559669.2738707736</v>
      </c>
      <c r="BD19" s="202">
        <f t="shared" si="9"/>
        <v>1559669.2738707736</v>
      </c>
      <c r="BE19" s="202">
        <f t="shared" si="9"/>
        <v>1559669.2738707736</v>
      </c>
      <c r="BF19" s="202">
        <f t="shared" si="9"/>
        <v>1606459.352086897</v>
      </c>
      <c r="BG19" s="202">
        <f t="shared" si="9"/>
        <v>1606459.352086897</v>
      </c>
      <c r="BH19" s="202">
        <f t="shared" si="9"/>
        <v>1606459.352086897</v>
      </c>
      <c r="BI19" s="202">
        <f t="shared" si="9"/>
        <v>1606459.352086897</v>
      </c>
      <c r="BJ19" s="202">
        <f t="shared" si="9"/>
        <v>1606459.352086897</v>
      </c>
      <c r="BK19" s="202">
        <f t="shared" si="9"/>
        <v>1606459.352086897</v>
      </c>
      <c r="BL19" s="202">
        <f t="shared" si="9"/>
        <v>1606459.352086897</v>
      </c>
      <c r="BM19" s="202">
        <f t="shared" si="9"/>
        <v>1606459.352086897</v>
      </c>
      <c r="BN19" s="202">
        <f t="shared" si="9"/>
        <v>1606459.352086897</v>
      </c>
      <c r="BO19" s="202">
        <f t="shared" si="9"/>
        <v>1606459.352086897</v>
      </c>
      <c r="BP19" s="202">
        <f t="shared" si="9"/>
        <v>1606459.352086897</v>
      </c>
      <c r="BQ19" s="202">
        <f t="shared" si="9"/>
        <v>1606459.352086897</v>
      </c>
      <c r="BR19" s="202">
        <f t="shared" si="9"/>
        <v>1654653.1326495036</v>
      </c>
      <c r="BS19" s="202">
        <f t="shared" si="9"/>
        <v>1654653.1326495036</v>
      </c>
      <c r="BT19" s="202">
        <f t="shared" si="9"/>
        <v>1654653.1326495036</v>
      </c>
      <c r="BU19" s="202">
        <f t="shared" si="9"/>
        <v>1654653.1326495036</v>
      </c>
      <c r="BV19" s="202">
        <f t="shared" ref="BV19:EG19" si="10">SUM(BV17:BV18)</f>
        <v>1654653.1326495036</v>
      </c>
      <c r="BW19" s="202">
        <f t="shared" si="10"/>
        <v>1654653.1326495036</v>
      </c>
      <c r="BX19" s="202">
        <f t="shared" si="10"/>
        <v>1654653.1326495036</v>
      </c>
      <c r="BY19" s="202">
        <f t="shared" si="10"/>
        <v>1654653.1326495036</v>
      </c>
      <c r="BZ19" s="202">
        <f t="shared" si="10"/>
        <v>1654653.1326495036</v>
      </c>
      <c r="CA19" s="202">
        <f t="shared" si="10"/>
        <v>1654653.1326495036</v>
      </c>
      <c r="CB19" s="202">
        <f t="shared" si="10"/>
        <v>1654653.1326495036</v>
      </c>
      <c r="CC19" s="202">
        <f t="shared" si="10"/>
        <v>1654653.1326495036</v>
      </c>
      <c r="CD19" s="202">
        <f t="shared" si="10"/>
        <v>1704292.7266289887</v>
      </c>
      <c r="CE19" s="202">
        <f t="shared" si="10"/>
        <v>1704292.7266289887</v>
      </c>
      <c r="CF19" s="202">
        <f t="shared" si="10"/>
        <v>1704292.7266289887</v>
      </c>
      <c r="CG19" s="202">
        <f t="shared" si="10"/>
        <v>1704292.7266289887</v>
      </c>
      <c r="CH19" s="202">
        <f t="shared" si="10"/>
        <v>1704292.7266289887</v>
      </c>
      <c r="CI19" s="202">
        <f t="shared" si="10"/>
        <v>1704292.7266289887</v>
      </c>
      <c r="CJ19" s="202">
        <f t="shared" si="10"/>
        <v>1704292.7266289887</v>
      </c>
      <c r="CK19" s="202">
        <f t="shared" si="10"/>
        <v>1704292.7266289887</v>
      </c>
      <c r="CL19" s="202">
        <f t="shared" si="10"/>
        <v>1704292.7266289887</v>
      </c>
      <c r="CM19" s="202">
        <f t="shared" si="10"/>
        <v>1704292.7266289887</v>
      </c>
      <c r="CN19" s="202">
        <f t="shared" si="10"/>
        <v>1704292.7266289887</v>
      </c>
      <c r="CO19" s="202">
        <f t="shared" si="10"/>
        <v>1704292.7266289887</v>
      </c>
      <c r="CP19" s="202">
        <f t="shared" si="10"/>
        <v>1755421.5084278586</v>
      </c>
      <c r="CQ19" s="202">
        <f t="shared" si="10"/>
        <v>1755421.5084278586</v>
      </c>
      <c r="CR19" s="202">
        <f t="shared" si="10"/>
        <v>1755421.5084278586</v>
      </c>
      <c r="CS19" s="202">
        <f t="shared" si="10"/>
        <v>1755421.5084278586</v>
      </c>
      <c r="CT19" s="202">
        <f t="shared" si="10"/>
        <v>1755421.5084278586</v>
      </c>
      <c r="CU19" s="202">
        <f t="shared" si="10"/>
        <v>1755421.5084278586</v>
      </c>
      <c r="CV19" s="202">
        <f t="shared" si="10"/>
        <v>1755421.5084278586</v>
      </c>
      <c r="CW19" s="202">
        <f t="shared" si="10"/>
        <v>1755421.5084278586</v>
      </c>
      <c r="CX19" s="202">
        <f t="shared" si="10"/>
        <v>1755421.5084278586</v>
      </c>
      <c r="CY19" s="202">
        <f t="shared" si="10"/>
        <v>1755421.5084278586</v>
      </c>
      <c r="CZ19" s="202">
        <f t="shared" si="10"/>
        <v>1755421.5084278586</v>
      </c>
      <c r="DA19" s="202">
        <f t="shared" si="10"/>
        <v>1755421.5084278586</v>
      </c>
      <c r="DB19" s="202">
        <f t="shared" si="10"/>
        <v>1808084.1536806943</v>
      </c>
      <c r="DC19" s="202">
        <f t="shared" si="10"/>
        <v>1808084.1536806943</v>
      </c>
      <c r="DD19" s="202">
        <f t="shared" si="10"/>
        <v>1808084.1536806943</v>
      </c>
      <c r="DE19" s="202">
        <f t="shared" si="10"/>
        <v>1808084.1536806943</v>
      </c>
      <c r="DF19" s="202">
        <f t="shared" si="10"/>
        <v>1808084.1536806943</v>
      </c>
      <c r="DG19" s="202">
        <f t="shared" si="10"/>
        <v>1808084.1536806943</v>
      </c>
      <c r="DH19" s="202">
        <f t="shared" si="10"/>
        <v>1808084.1536806943</v>
      </c>
      <c r="DI19" s="202">
        <f t="shared" si="10"/>
        <v>1808084.1536806943</v>
      </c>
      <c r="DJ19" s="202">
        <f t="shared" si="10"/>
        <v>1808084.1536806943</v>
      </c>
      <c r="DK19" s="202">
        <f t="shared" si="10"/>
        <v>1808084.1536806943</v>
      </c>
      <c r="DL19" s="202">
        <f t="shared" si="10"/>
        <v>1808084.1536806943</v>
      </c>
      <c r="DM19" s="202">
        <f t="shared" si="10"/>
        <v>1808084.1536806943</v>
      </c>
      <c r="DN19" s="202">
        <f t="shared" si="10"/>
        <v>1862326.678291115</v>
      </c>
      <c r="DO19" s="202">
        <f t="shared" si="10"/>
        <v>1862326.678291115</v>
      </c>
      <c r="DP19" s="202">
        <f t="shared" si="10"/>
        <v>1862326.678291115</v>
      </c>
      <c r="DQ19" s="202">
        <f t="shared" si="10"/>
        <v>1862326.678291115</v>
      </c>
      <c r="DR19" s="202">
        <f t="shared" si="10"/>
        <v>1862326.678291115</v>
      </c>
      <c r="DS19" s="202">
        <f t="shared" si="10"/>
        <v>1862326.678291115</v>
      </c>
      <c r="DT19" s="202">
        <f t="shared" si="10"/>
        <v>1862326.678291115</v>
      </c>
      <c r="DU19" s="202">
        <f t="shared" si="10"/>
        <v>1862326.678291115</v>
      </c>
      <c r="DV19" s="202">
        <f t="shared" si="10"/>
        <v>1862326.678291115</v>
      </c>
      <c r="DW19" s="202">
        <f t="shared" si="10"/>
        <v>1862326.678291115</v>
      </c>
      <c r="DX19" s="202">
        <f t="shared" si="10"/>
        <v>1862326.678291115</v>
      </c>
      <c r="DY19" s="202">
        <f t="shared" si="10"/>
        <v>1862326.678291115</v>
      </c>
      <c r="DZ19" s="202">
        <f t="shared" si="10"/>
        <v>1918196.4786398483</v>
      </c>
      <c r="EA19" s="202">
        <f t="shared" si="10"/>
        <v>1918196.4786398483</v>
      </c>
      <c r="EB19" s="202">
        <f t="shared" si="10"/>
        <v>1918196.4786398483</v>
      </c>
      <c r="EC19" s="202">
        <f t="shared" si="10"/>
        <v>1918196.4786398483</v>
      </c>
      <c r="ED19" s="202">
        <f t="shared" si="10"/>
        <v>1918196.4786398483</v>
      </c>
      <c r="EE19" s="202">
        <f t="shared" si="10"/>
        <v>1918196.4786398483</v>
      </c>
      <c r="EF19" s="202">
        <f t="shared" si="10"/>
        <v>1918196.4786398483</v>
      </c>
      <c r="EG19" s="202">
        <f t="shared" si="10"/>
        <v>1918196.4786398483</v>
      </c>
      <c r="EH19" s="202">
        <f t="shared" ref="EH19:EK19" si="11">SUM(EH17:EH18)</f>
        <v>1918196.4786398483</v>
      </c>
      <c r="EI19" s="202">
        <f t="shared" si="11"/>
        <v>1918196.4786398483</v>
      </c>
      <c r="EJ19" s="202">
        <f t="shared" si="11"/>
        <v>1918196.4786398483</v>
      </c>
      <c r="EK19" s="202">
        <f t="shared" si="11"/>
        <v>1918196.4786398483</v>
      </c>
      <c r="EL19" s="183"/>
    </row>
    <row r="20" spans="2:142" ht="14.4" x14ac:dyDescent="0.3">
      <c r="B20" s="179"/>
      <c r="C20" s="203" t="s">
        <v>111</v>
      </c>
      <c r="G20" s="204">
        <v>1</v>
      </c>
      <c r="H20" s="100">
        <f>+G20*H26</f>
        <v>1780240</v>
      </c>
      <c r="J20" s="205">
        <f>J26*$G$20</f>
        <v>157433.74416</v>
      </c>
      <c r="K20" s="196">
        <f t="shared" ref="K20:BV20" si="12">K26*$G$20</f>
        <v>157433.74416</v>
      </c>
      <c r="L20" s="196">
        <f t="shared" si="12"/>
        <v>157433.74416</v>
      </c>
      <c r="M20" s="196">
        <f t="shared" si="12"/>
        <v>157433.74416</v>
      </c>
      <c r="N20" s="196">
        <f t="shared" si="12"/>
        <v>157433.74416</v>
      </c>
      <c r="O20" s="196">
        <f t="shared" si="12"/>
        <v>157433.74416</v>
      </c>
      <c r="P20" s="196">
        <f t="shared" si="12"/>
        <v>157433.74416</v>
      </c>
      <c r="Q20" s="196">
        <f t="shared" si="12"/>
        <v>157433.74416</v>
      </c>
      <c r="R20" s="196">
        <f t="shared" si="12"/>
        <v>157433.74416</v>
      </c>
      <c r="S20" s="196">
        <f t="shared" si="12"/>
        <v>157433.74416</v>
      </c>
      <c r="T20" s="196">
        <f t="shared" si="12"/>
        <v>157433.74416</v>
      </c>
      <c r="U20" s="196">
        <f t="shared" si="12"/>
        <v>157433.74416</v>
      </c>
      <c r="V20" s="196">
        <f t="shared" si="12"/>
        <v>160582.4190432</v>
      </c>
      <c r="W20" s="196">
        <f t="shared" si="12"/>
        <v>160582.4190432</v>
      </c>
      <c r="X20" s="196">
        <f t="shared" si="12"/>
        <v>160582.4190432</v>
      </c>
      <c r="Y20" s="196">
        <f t="shared" si="12"/>
        <v>160582.4190432</v>
      </c>
      <c r="Z20" s="196">
        <f t="shared" si="12"/>
        <v>160582.4190432</v>
      </c>
      <c r="AA20" s="196">
        <f t="shared" si="12"/>
        <v>160582.4190432</v>
      </c>
      <c r="AB20" s="196">
        <f t="shared" si="12"/>
        <v>160582.4190432</v>
      </c>
      <c r="AC20" s="196">
        <f t="shared" si="12"/>
        <v>160582.4190432</v>
      </c>
      <c r="AD20" s="196">
        <f t="shared" si="12"/>
        <v>160582.4190432</v>
      </c>
      <c r="AE20" s="196">
        <f t="shared" si="12"/>
        <v>160582.4190432</v>
      </c>
      <c r="AF20" s="196">
        <f t="shared" si="12"/>
        <v>160582.4190432</v>
      </c>
      <c r="AG20" s="196">
        <f t="shared" si="12"/>
        <v>160582.4190432</v>
      </c>
      <c r="AH20" s="196">
        <f t="shared" si="12"/>
        <v>163794.06742406401</v>
      </c>
      <c r="AI20" s="196">
        <f t="shared" si="12"/>
        <v>163794.06742406401</v>
      </c>
      <c r="AJ20" s="196">
        <f t="shared" si="12"/>
        <v>163794.06742406401</v>
      </c>
      <c r="AK20" s="196">
        <f t="shared" si="12"/>
        <v>163794.06742406401</v>
      </c>
      <c r="AL20" s="196">
        <f t="shared" si="12"/>
        <v>163794.06742406401</v>
      </c>
      <c r="AM20" s="196">
        <f t="shared" si="12"/>
        <v>163794.06742406401</v>
      </c>
      <c r="AN20" s="196">
        <f t="shared" si="12"/>
        <v>163794.06742406401</v>
      </c>
      <c r="AO20" s="196">
        <f t="shared" si="12"/>
        <v>163794.06742406401</v>
      </c>
      <c r="AP20" s="196">
        <f t="shared" si="12"/>
        <v>163794.06742406401</v>
      </c>
      <c r="AQ20" s="196">
        <f t="shared" si="12"/>
        <v>163794.06742406401</v>
      </c>
      <c r="AR20" s="196">
        <f t="shared" si="12"/>
        <v>163794.06742406401</v>
      </c>
      <c r="AS20" s="196">
        <f t="shared" si="12"/>
        <v>163794.06742406401</v>
      </c>
      <c r="AT20" s="196">
        <f t="shared" si="12"/>
        <v>167069.94877254529</v>
      </c>
      <c r="AU20" s="196">
        <f t="shared" si="12"/>
        <v>167069.94877254529</v>
      </c>
      <c r="AV20" s="196">
        <f t="shared" si="12"/>
        <v>167069.94877254529</v>
      </c>
      <c r="AW20" s="196">
        <f t="shared" si="12"/>
        <v>167069.94877254529</v>
      </c>
      <c r="AX20" s="196">
        <f t="shared" si="12"/>
        <v>167069.94877254529</v>
      </c>
      <c r="AY20" s="196">
        <f t="shared" si="12"/>
        <v>167069.94877254529</v>
      </c>
      <c r="AZ20" s="196">
        <f t="shared" si="12"/>
        <v>167069.94877254529</v>
      </c>
      <c r="BA20" s="196">
        <f t="shared" si="12"/>
        <v>167069.94877254529</v>
      </c>
      <c r="BB20" s="196">
        <f t="shared" si="12"/>
        <v>167069.94877254529</v>
      </c>
      <c r="BC20" s="196">
        <f t="shared" si="12"/>
        <v>167069.94877254529</v>
      </c>
      <c r="BD20" s="196">
        <f t="shared" si="12"/>
        <v>167069.94877254529</v>
      </c>
      <c r="BE20" s="196">
        <f t="shared" si="12"/>
        <v>167069.94877254529</v>
      </c>
      <c r="BF20" s="196">
        <f t="shared" si="12"/>
        <v>170411.34774799616</v>
      </c>
      <c r="BG20" s="196">
        <f t="shared" si="12"/>
        <v>170411.34774799616</v>
      </c>
      <c r="BH20" s="196">
        <f t="shared" si="12"/>
        <v>170411.34774799616</v>
      </c>
      <c r="BI20" s="196">
        <f t="shared" si="12"/>
        <v>170411.34774799616</v>
      </c>
      <c r="BJ20" s="196">
        <f t="shared" si="12"/>
        <v>170411.34774799616</v>
      </c>
      <c r="BK20" s="196">
        <f t="shared" si="12"/>
        <v>170411.34774799616</v>
      </c>
      <c r="BL20" s="196">
        <f t="shared" si="12"/>
        <v>170411.34774799616</v>
      </c>
      <c r="BM20" s="196">
        <f t="shared" si="12"/>
        <v>170411.34774799616</v>
      </c>
      <c r="BN20" s="196">
        <f t="shared" si="12"/>
        <v>170411.34774799616</v>
      </c>
      <c r="BO20" s="196">
        <f t="shared" si="12"/>
        <v>170411.34774799616</v>
      </c>
      <c r="BP20" s="196">
        <f t="shared" si="12"/>
        <v>170411.34774799616</v>
      </c>
      <c r="BQ20" s="196">
        <f t="shared" si="12"/>
        <v>170411.34774799616</v>
      </c>
      <c r="BR20" s="196">
        <f t="shared" si="12"/>
        <v>173819.5747029561</v>
      </c>
      <c r="BS20" s="196">
        <f t="shared" si="12"/>
        <v>173819.5747029561</v>
      </c>
      <c r="BT20" s="196">
        <f t="shared" si="12"/>
        <v>173819.5747029561</v>
      </c>
      <c r="BU20" s="196">
        <f t="shared" si="12"/>
        <v>173819.5747029561</v>
      </c>
      <c r="BV20" s="196">
        <f t="shared" si="12"/>
        <v>173819.5747029561</v>
      </c>
      <c r="BW20" s="196">
        <f t="shared" ref="BW20:EH20" si="13">BW26*$G$20</f>
        <v>173819.5747029561</v>
      </c>
      <c r="BX20" s="196">
        <f t="shared" si="13"/>
        <v>173819.5747029561</v>
      </c>
      <c r="BY20" s="196">
        <f t="shared" si="13"/>
        <v>173819.5747029561</v>
      </c>
      <c r="BZ20" s="196">
        <f t="shared" si="13"/>
        <v>173819.5747029561</v>
      </c>
      <c r="CA20" s="196">
        <f t="shared" si="13"/>
        <v>173819.5747029561</v>
      </c>
      <c r="CB20" s="196">
        <f t="shared" si="13"/>
        <v>173819.5747029561</v>
      </c>
      <c r="CC20" s="196">
        <f t="shared" si="13"/>
        <v>173819.5747029561</v>
      </c>
      <c r="CD20" s="196">
        <f t="shared" si="13"/>
        <v>177295.96619701522</v>
      </c>
      <c r="CE20" s="196">
        <f t="shared" si="13"/>
        <v>177295.96619701522</v>
      </c>
      <c r="CF20" s="196">
        <f t="shared" si="13"/>
        <v>177295.96619701522</v>
      </c>
      <c r="CG20" s="196">
        <f t="shared" si="13"/>
        <v>177295.96619701522</v>
      </c>
      <c r="CH20" s="196">
        <f t="shared" si="13"/>
        <v>177295.96619701522</v>
      </c>
      <c r="CI20" s="196">
        <f t="shared" si="13"/>
        <v>177295.96619701522</v>
      </c>
      <c r="CJ20" s="196">
        <f t="shared" si="13"/>
        <v>177295.96619701522</v>
      </c>
      <c r="CK20" s="196">
        <f t="shared" si="13"/>
        <v>177295.96619701522</v>
      </c>
      <c r="CL20" s="196">
        <f t="shared" si="13"/>
        <v>177295.96619701522</v>
      </c>
      <c r="CM20" s="196">
        <f t="shared" si="13"/>
        <v>177295.96619701522</v>
      </c>
      <c r="CN20" s="196">
        <f t="shared" si="13"/>
        <v>177295.96619701522</v>
      </c>
      <c r="CO20" s="196">
        <f t="shared" si="13"/>
        <v>177295.96619701522</v>
      </c>
      <c r="CP20" s="196">
        <f t="shared" si="13"/>
        <v>180841.88552095555</v>
      </c>
      <c r="CQ20" s="196">
        <f t="shared" si="13"/>
        <v>180841.88552095555</v>
      </c>
      <c r="CR20" s="196">
        <f t="shared" si="13"/>
        <v>180841.88552095555</v>
      </c>
      <c r="CS20" s="196">
        <f t="shared" si="13"/>
        <v>180841.88552095555</v>
      </c>
      <c r="CT20" s="196">
        <f t="shared" si="13"/>
        <v>180841.88552095555</v>
      </c>
      <c r="CU20" s="196">
        <f t="shared" si="13"/>
        <v>180841.88552095555</v>
      </c>
      <c r="CV20" s="196">
        <f t="shared" si="13"/>
        <v>180841.88552095555</v>
      </c>
      <c r="CW20" s="196">
        <f t="shared" si="13"/>
        <v>180841.88552095555</v>
      </c>
      <c r="CX20" s="196">
        <f t="shared" si="13"/>
        <v>180841.88552095555</v>
      </c>
      <c r="CY20" s="196">
        <f t="shared" si="13"/>
        <v>180841.88552095555</v>
      </c>
      <c r="CZ20" s="196">
        <f t="shared" si="13"/>
        <v>180841.88552095555</v>
      </c>
      <c r="DA20" s="196">
        <f t="shared" si="13"/>
        <v>180841.88552095555</v>
      </c>
      <c r="DB20" s="196">
        <f t="shared" si="13"/>
        <v>184458.72323137464</v>
      </c>
      <c r="DC20" s="196">
        <f t="shared" si="13"/>
        <v>184458.72323137464</v>
      </c>
      <c r="DD20" s="196">
        <f t="shared" si="13"/>
        <v>184458.72323137464</v>
      </c>
      <c r="DE20" s="196">
        <f t="shared" si="13"/>
        <v>184458.72323137464</v>
      </c>
      <c r="DF20" s="196">
        <f t="shared" si="13"/>
        <v>184458.72323137464</v>
      </c>
      <c r="DG20" s="196">
        <f t="shared" si="13"/>
        <v>184458.72323137464</v>
      </c>
      <c r="DH20" s="196">
        <f t="shared" si="13"/>
        <v>184458.72323137464</v>
      </c>
      <c r="DI20" s="196">
        <f t="shared" si="13"/>
        <v>184458.72323137464</v>
      </c>
      <c r="DJ20" s="196">
        <f t="shared" si="13"/>
        <v>184458.72323137464</v>
      </c>
      <c r="DK20" s="196">
        <f t="shared" si="13"/>
        <v>184458.72323137464</v>
      </c>
      <c r="DL20" s="196">
        <f t="shared" si="13"/>
        <v>184458.72323137464</v>
      </c>
      <c r="DM20" s="196">
        <f t="shared" si="13"/>
        <v>184458.72323137464</v>
      </c>
      <c r="DN20" s="196">
        <f t="shared" si="13"/>
        <v>188147.89769600215</v>
      </c>
      <c r="DO20" s="196">
        <f t="shared" si="13"/>
        <v>188147.89769600215</v>
      </c>
      <c r="DP20" s="196">
        <f t="shared" si="13"/>
        <v>188147.89769600215</v>
      </c>
      <c r="DQ20" s="196">
        <f t="shared" si="13"/>
        <v>188147.89769600215</v>
      </c>
      <c r="DR20" s="196">
        <f t="shared" si="13"/>
        <v>188147.89769600215</v>
      </c>
      <c r="DS20" s="196">
        <f t="shared" si="13"/>
        <v>188147.89769600215</v>
      </c>
      <c r="DT20" s="196">
        <f t="shared" si="13"/>
        <v>188147.89769600215</v>
      </c>
      <c r="DU20" s="196">
        <f t="shared" si="13"/>
        <v>188147.89769600215</v>
      </c>
      <c r="DV20" s="196">
        <f t="shared" si="13"/>
        <v>188147.89769600215</v>
      </c>
      <c r="DW20" s="196">
        <f t="shared" si="13"/>
        <v>188147.89769600215</v>
      </c>
      <c r="DX20" s="196">
        <f t="shared" si="13"/>
        <v>188147.89769600215</v>
      </c>
      <c r="DY20" s="196">
        <f t="shared" si="13"/>
        <v>188147.89769600215</v>
      </c>
      <c r="DZ20" s="196">
        <f t="shared" si="13"/>
        <v>191910.85564992219</v>
      </c>
      <c r="EA20" s="196">
        <f t="shared" si="13"/>
        <v>191910.85564992219</v>
      </c>
      <c r="EB20" s="196">
        <f t="shared" si="13"/>
        <v>191910.85564992219</v>
      </c>
      <c r="EC20" s="196">
        <f t="shared" si="13"/>
        <v>191910.85564992219</v>
      </c>
      <c r="ED20" s="196">
        <f t="shared" si="13"/>
        <v>191910.85564992219</v>
      </c>
      <c r="EE20" s="196">
        <f t="shared" si="13"/>
        <v>191910.85564992219</v>
      </c>
      <c r="EF20" s="196">
        <f t="shared" si="13"/>
        <v>191910.85564992219</v>
      </c>
      <c r="EG20" s="196">
        <f t="shared" si="13"/>
        <v>191910.85564992219</v>
      </c>
      <c r="EH20" s="196">
        <f t="shared" si="13"/>
        <v>191910.85564992219</v>
      </c>
      <c r="EI20" s="196">
        <f t="shared" ref="EI20:EK20" si="14">EI26*$G$20</f>
        <v>191910.85564992219</v>
      </c>
      <c r="EJ20" s="196">
        <f t="shared" si="14"/>
        <v>191910.85564992219</v>
      </c>
      <c r="EK20" s="196">
        <f t="shared" si="14"/>
        <v>191910.85564992219</v>
      </c>
      <c r="EL20" s="183"/>
    </row>
    <row r="21" spans="2:142" ht="16.2" x14ac:dyDescent="0.45">
      <c r="B21" s="179"/>
      <c r="C21" s="206" t="s">
        <v>120</v>
      </c>
      <c r="H21" s="207">
        <f>Summary!G39*Summary!G40*12</f>
        <v>249000</v>
      </c>
      <c r="J21" s="208">
        <f>$H$21/12*(1+$E$12)^(J$15-1)</f>
        <v>22345.480468749996</v>
      </c>
      <c r="K21" s="208">
        <f t="shared" ref="K21:AO21" si="15">$H$21/12*(1+$E$12)^(K$15-1)</f>
        <v>22345.480468749996</v>
      </c>
      <c r="L21" s="208">
        <f t="shared" si="15"/>
        <v>22345.480468749996</v>
      </c>
      <c r="M21" s="208">
        <f t="shared" si="15"/>
        <v>22345.480468749996</v>
      </c>
      <c r="N21" s="208">
        <f t="shared" si="15"/>
        <v>22345.480468749996</v>
      </c>
      <c r="O21" s="208">
        <f t="shared" si="15"/>
        <v>22345.480468749996</v>
      </c>
      <c r="P21" s="208">
        <f t="shared" si="15"/>
        <v>22345.480468749996</v>
      </c>
      <c r="Q21" s="208">
        <f t="shared" si="15"/>
        <v>22345.480468749996</v>
      </c>
      <c r="R21" s="208">
        <f t="shared" si="15"/>
        <v>22345.480468749996</v>
      </c>
      <c r="S21" s="208">
        <f t="shared" si="15"/>
        <v>22345.480468749996</v>
      </c>
      <c r="T21" s="208">
        <f t="shared" si="15"/>
        <v>22345.480468749996</v>
      </c>
      <c r="U21" s="208">
        <f t="shared" si="15"/>
        <v>22345.480468749996</v>
      </c>
      <c r="V21" s="208">
        <f t="shared" si="15"/>
        <v>22904.117480468743</v>
      </c>
      <c r="W21" s="208">
        <f t="shared" si="15"/>
        <v>22904.117480468743</v>
      </c>
      <c r="X21" s="208">
        <f t="shared" si="15"/>
        <v>22904.117480468743</v>
      </c>
      <c r="Y21" s="208">
        <f t="shared" si="15"/>
        <v>22904.117480468743</v>
      </c>
      <c r="Z21" s="208">
        <f t="shared" si="15"/>
        <v>22904.117480468743</v>
      </c>
      <c r="AA21" s="208">
        <f t="shared" si="15"/>
        <v>22904.117480468743</v>
      </c>
      <c r="AB21" s="208">
        <f t="shared" si="15"/>
        <v>22904.117480468743</v>
      </c>
      <c r="AC21" s="208">
        <f t="shared" si="15"/>
        <v>22904.117480468743</v>
      </c>
      <c r="AD21" s="208">
        <f t="shared" si="15"/>
        <v>22904.117480468743</v>
      </c>
      <c r="AE21" s="208">
        <f t="shared" si="15"/>
        <v>22904.117480468743</v>
      </c>
      <c r="AF21" s="208">
        <f t="shared" si="15"/>
        <v>22904.117480468743</v>
      </c>
      <c r="AG21" s="208">
        <f t="shared" si="15"/>
        <v>22904.117480468743</v>
      </c>
      <c r="AH21" s="208">
        <f t="shared" si="15"/>
        <v>23476.720417480461</v>
      </c>
      <c r="AI21" s="208">
        <f t="shared" si="15"/>
        <v>23476.720417480461</v>
      </c>
      <c r="AJ21" s="208">
        <f t="shared" si="15"/>
        <v>23476.720417480461</v>
      </c>
      <c r="AK21" s="208">
        <f t="shared" si="15"/>
        <v>23476.720417480461</v>
      </c>
      <c r="AL21" s="208">
        <f t="shared" si="15"/>
        <v>23476.720417480461</v>
      </c>
      <c r="AM21" s="208">
        <f t="shared" si="15"/>
        <v>23476.720417480461</v>
      </c>
      <c r="AN21" s="208">
        <f t="shared" si="15"/>
        <v>23476.720417480461</v>
      </c>
      <c r="AO21" s="208">
        <f t="shared" si="15"/>
        <v>23476.720417480461</v>
      </c>
      <c r="AP21" s="208">
        <f t="shared" ref="AP21:BU21" si="16">$H$21/12*(1+$E$12)^(AP$15-1)</f>
        <v>23476.720417480461</v>
      </c>
      <c r="AQ21" s="208">
        <f t="shared" si="16"/>
        <v>23476.720417480461</v>
      </c>
      <c r="AR21" s="208">
        <f t="shared" si="16"/>
        <v>23476.720417480461</v>
      </c>
      <c r="AS21" s="208">
        <f t="shared" si="16"/>
        <v>23476.720417480461</v>
      </c>
      <c r="AT21" s="208">
        <f t="shared" si="16"/>
        <v>24063.638427917471</v>
      </c>
      <c r="AU21" s="208">
        <f t="shared" si="16"/>
        <v>24063.638427917471</v>
      </c>
      <c r="AV21" s="208">
        <f t="shared" si="16"/>
        <v>24063.638427917471</v>
      </c>
      <c r="AW21" s="208">
        <f t="shared" si="16"/>
        <v>24063.638427917471</v>
      </c>
      <c r="AX21" s="208">
        <f t="shared" si="16"/>
        <v>24063.638427917471</v>
      </c>
      <c r="AY21" s="208">
        <f t="shared" si="16"/>
        <v>24063.638427917471</v>
      </c>
      <c r="AZ21" s="208">
        <f t="shared" si="16"/>
        <v>24063.638427917471</v>
      </c>
      <c r="BA21" s="208">
        <f t="shared" si="16"/>
        <v>24063.638427917471</v>
      </c>
      <c r="BB21" s="208">
        <f t="shared" si="16"/>
        <v>24063.638427917471</v>
      </c>
      <c r="BC21" s="208">
        <f t="shared" si="16"/>
        <v>24063.638427917471</v>
      </c>
      <c r="BD21" s="208">
        <f t="shared" si="16"/>
        <v>24063.638427917471</v>
      </c>
      <c r="BE21" s="208">
        <f t="shared" si="16"/>
        <v>24063.638427917471</v>
      </c>
      <c r="BF21" s="208">
        <f t="shared" si="16"/>
        <v>24665.229388615408</v>
      </c>
      <c r="BG21" s="208">
        <f t="shared" si="16"/>
        <v>24665.229388615408</v>
      </c>
      <c r="BH21" s="208">
        <f t="shared" si="16"/>
        <v>24665.229388615408</v>
      </c>
      <c r="BI21" s="208">
        <f t="shared" si="16"/>
        <v>24665.229388615408</v>
      </c>
      <c r="BJ21" s="208">
        <f t="shared" si="16"/>
        <v>24665.229388615408</v>
      </c>
      <c r="BK21" s="208">
        <f t="shared" si="16"/>
        <v>24665.229388615408</v>
      </c>
      <c r="BL21" s="208">
        <f t="shared" si="16"/>
        <v>24665.229388615408</v>
      </c>
      <c r="BM21" s="208">
        <f t="shared" si="16"/>
        <v>24665.229388615408</v>
      </c>
      <c r="BN21" s="208">
        <f t="shared" si="16"/>
        <v>24665.229388615408</v>
      </c>
      <c r="BO21" s="208">
        <f t="shared" si="16"/>
        <v>24665.229388615408</v>
      </c>
      <c r="BP21" s="208">
        <f t="shared" si="16"/>
        <v>24665.229388615408</v>
      </c>
      <c r="BQ21" s="208">
        <f t="shared" si="16"/>
        <v>24665.229388615408</v>
      </c>
      <c r="BR21" s="208">
        <f t="shared" si="16"/>
        <v>25281.860123330793</v>
      </c>
      <c r="BS21" s="208">
        <f t="shared" si="16"/>
        <v>25281.860123330793</v>
      </c>
      <c r="BT21" s="208">
        <f t="shared" si="16"/>
        <v>25281.860123330793</v>
      </c>
      <c r="BU21" s="208">
        <f t="shared" si="16"/>
        <v>25281.860123330793</v>
      </c>
      <c r="BV21" s="208">
        <f t="shared" ref="BV21:DA21" si="17">$H$21/12*(1+$E$12)^(BV$15-1)</f>
        <v>25281.860123330793</v>
      </c>
      <c r="BW21" s="208">
        <f t="shared" si="17"/>
        <v>25281.860123330793</v>
      </c>
      <c r="BX21" s="208">
        <f t="shared" si="17"/>
        <v>25281.860123330793</v>
      </c>
      <c r="BY21" s="208">
        <f t="shared" si="17"/>
        <v>25281.860123330793</v>
      </c>
      <c r="BZ21" s="208">
        <f t="shared" si="17"/>
        <v>25281.860123330793</v>
      </c>
      <c r="CA21" s="208">
        <f t="shared" si="17"/>
        <v>25281.860123330793</v>
      </c>
      <c r="CB21" s="208">
        <f t="shared" si="17"/>
        <v>25281.860123330793</v>
      </c>
      <c r="CC21" s="208">
        <f t="shared" si="17"/>
        <v>25281.860123330793</v>
      </c>
      <c r="CD21" s="208">
        <f t="shared" si="17"/>
        <v>25913.906626414057</v>
      </c>
      <c r="CE21" s="208">
        <f t="shared" si="17"/>
        <v>25913.906626414057</v>
      </c>
      <c r="CF21" s="208">
        <f t="shared" si="17"/>
        <v>25913.906626414057</v>
      </c>
      <c r="CG21" s="208">
        <f t="shared" si="17"/>
        <v>25913.906626414057</v>
      </c>
      <c r="CH21" s="208">
        <f t="shared" si="17"/>
        <v>25913.906626414057</v>
      </c>
      <c r="CI21" s="208">
        <f t="shared" si="17"/>
        <v>25913.906626414057</v>
      </c>
      <c r="CJ21" s="208">
        <f t="shared" si="17"/>
        <v>25913.906626414057</v>
      </c>
      <c r="CK21" s="208">
        <f t="shared" si="17"/>
        <v>25913.906626414057</v>
      </c>
      <c r="CL21" s="208">
        <f t="shared" si="17"/>
        <v>25913.906626414057</v>
      </c>
      <c r="CM21" s="208">
        <f t="shared" si="17"/>
        <v>25913.906626414057</v>
      </c>
      <c r="CN21" s="208">
        <f t="shared" si="17"/>
        <v>25913.906626414057</v>
      </c>
      <c r="CO21" s="208">
        <f t="shared" si="17"/>
        <v>25913.906626414057</v>
      </c>
      <c r="CP21" s="208">
        <f t="shared" si="17"/>
        <v>26561.754292074409</v>
      </c>
      <c r="CQ21" s="208">
        <f t="shared" si="17"/>
        <v>26561.754292074409</v>
      </c>
      <c r="CR21" s="208">
        <f t="shared" si="17"/>
        <v>26561.754292074409</v>
      </c>
      <c r="CS21" s="208">
        <f t="shared" si="17"/>
        <v>26561.754292074409</v>
      </c>
      <c r="CT21" s="208">
        <f t="shared" si="17"/>
        <v>26561.754292074409</v>
      </c>
      <c r="CU21" s="208">
        <f t="shared" si="17"/>
        <v>26561.754292074409</v>
      </c>
      <c r="CV21" s="208">
        <f t="shared" si="17"/>
        <v>26561.754292074409</v>
      </c>
      <c r="CW21" s="208">
        <f t="shared" si="17"/>
        <v>26561.754292074409</v>
      </c>
      <c r="CX21" s="208">
        <f t="shared" si="17"/>
        <v>26561.754292074409</v>
      </c>
      <c r="CY21" s="208">
        <f t="shared" si="17"/>
        <v>26561.754292074409</v>
      </c>
      <c r="CZ21" s="208">
        <f t="shared" si="17"/>
        <v>26561.754292074409</v>
      </c>
      <c r="DA21" s="208">
        <f t="shared" si="17"/>
        <v>26561.754292074409</v>
      </c>
      <c r="DB21" s="208">
        <f t="shared" ref="DB21:EK21" si="18">$H$21/12*(1+$E$12)^(DB$15-1)</f>
        <v>27225.798149376271</v>
      </c>
      <c r="DC21" s="208">
        <f t="shared" si="18"/>
        <v>27225.798149376271</v>
      </c>
      <c r="DD21" s="208">
        <f t="shared" si="18"/>
        <v>27225.798149376271</v>
      </c>
      <c r="DE21" s="208">
        <f t="shared" si="18"/>
        <v>27225.798149376271</v>
      </c>
      <c r="DF21" s="208">
        <f t="shared" si="18"/>
        <v>27225.798149376271</v>
      </c>
      <c r="DG21" s="208">
        <f t="shared" si="18"/>
        <v>27225.798149376271</v>
      </c>
      <c r="DH21" s="208">
        <f t="shared" si="18"/>
        <v>27225.798149376271</v>
      </c>
      <c r="DI21" s="208">
        <f t="shared" si="18"/>
        <v>27225.798149376271</v>
      </c>
      <c r="DJ21" s="208">
        <f t="shared" si="18"/>
        <v>27225.798149376271</v>
      </c>
      <c r="DK21" s="208">
        <f t="shared" si="18"/>
        <v>27225.798149376271</v>
      </c>
      <c r="DL21" s="208">
        <f t="shared" si="18"/>
        <v>27225.798149376271</v>
      </c>
      <c r="DM21" s="208">
        <f t="shared" si="18"/>
        <v>27225.798149376271</v>
      </c>
      <c r="DN21" s="208">
        <f t="shared" si="18"/>
        <v>27906.443103110672</v>
      </c>
      <c r="DO21" s="208">
        <f t="shared" si="18"/>
        <v>27906.443103110672</v>
      </c>
      <c r="DP21" s="208">
        <f t="shared" si="18"/>
        <v>27906.443103110672</v>
      </c>
      <c r="DQ21" s="208">
        <f t="shared" si="18"/>
        <v>27906.443103110672</v>
      </c>
      <c r="DR21" s="208">
        <f t="shared" si="18"/>
        <v>27906.443103110672</v>
      </c>
      <c r="DS21" s="208">
        <f t="shared" si="18"/>
        <v>27906.443103110672</v>
      </c>
      <c r="DT21" s="208">
        <f t="shared" si="18"/>
        <v>27906.443103110672</v>
      </c>
      <c r="DU21" s="208">
        <f t="shared" si="18"/>
        <v>27906.443103110672</v>
      </c>
      <c r="DV21" s="208">
        <f t="shared" si="18"/>
        <v>27906.443103110672</v>
      </c>
      <c r="DW21" s="208">
        <f t="shared" si="18"/>
        <v>27906.443103110672</v>
      </c>
      <c r="DX21" s="208">
        <f t="shared" si="18"/>
        <v>27906.443103110672</v>
      </c>
      <c r="DY21" s="208">
        <f t="shared" si="18"/>
        <v>27906.443103110672</v>
      </c>
      <c r="DZ21" s="208">
        <f t="shared" si="18"/>
        <v>28604.104180688439</v>
      </c>
      <c r="EA21" s="208">
        <f t="shared" si="18"/>
        <v>28604.104180688439</v>
      </c>
      <c r="EB21" s="208">
        <f t="shared" si="18"/>
        <v>28604.104180688439</v>
      </c>
      <c r="EC21" s="208">
        <f t="shared" si="18"/>
        <v>28604.104180688439</v>
      </c>
      <c r="ED21" s="208">
        <f t="shared" si="18"/>
        <v>28604.104180688439</v>
      </c>
      <c r="EE21" s="208">
        <f t="shared" si="18"/>
        <v>28604.104180688439</v>
      </c>
      <c r="EF21" s="208">
        <f t="shared" si="18"/>
        <v>28604.104180688439</v>
      </c>
      <c r="EG21" s="208">
        <f t="shared" si="18"/>
        <v>28604.104180688439</v>
      </c>
      <c r="EH21" s="208">
        <f t="shared" si="18"/>
        <v>28604.104180688439</v>
      </c>
      <c r="EI21" s="208">
        <f t="shared" si="18"/>
        <v>28604.104180688439</v>
      </c>
      <c r="EJ21" s="208">
        <f t="shared" si="18"/>
        <v>28604.104180688439</v>
      </c>
      <c r="EK21" s="208">
        <f t="shared" si="18"/>
        <v>28604.104180688439</v>
      </c>
      <c r="EL21" s="209"/>
    </row>
    <row r="22" spans="2:142" ht="14.4" x14ac:dyDescent="0.3">
      <c r="B22" s="179"/>
      <c r="C22" t="s">
        <v>112</v>
      </c>
      <c r="H22" s="100">
        <f>SUM(H18:H21)</f>
        <v>7738513.3093289481</v>
      </c>
      <c r="J22" s="202">
        <f t="shared" ref="J22:BU22" si="19">SUM(J19:J21)</f>
        <v>179779.22462875</v>
      </c>
      <c r="K22" s="202">
        <f t="shared" si="19"/>
        <v>179779.22462875</v>
      </c>
      <c r="L22" s="202">
        <f t="shared" si="19"/>
        <v>179779.22462875</v>
      </c>
      <c r="M22" s="202">
        <f t="shared" si="19"/>
        <v>179779.22462875</v>
      </c>
      <c r="N22" s="202">
        <f t="shared" si="19"/>
        <v>179779.22462875</v>
      </c>
      <c r="O22" s="202">
        <f t="shared" si="19"/>
        <v>179779.22462875</v>
      </c>
      <c r="P22" s="202">
        <f t="shared" si="19"/>
        <v>1607097.5519609875</v>
      </c>
      <c r="Q22" s="202">
        <f t="shared" si="19"/>
        <v>1607097.5519609875</v>
      </c>
      <c r="R22" s="202">
        <f t="shared" si="19"/>
        <v>1607097.5519609875</v>
      </c>
      <c r="S22" s="202">
        <f t="shared" si="19"/>
        <v>1607097.5519609875</v>
      </c>
      <c r="T22" s="202">
        <f t="shared" si="19"/>
        <v>1607097.5519609875</v>
      </c>
      <c r="U22" s="202">
        <f t="shared" si="19"/>
        <v>1607097.5519609875</v>
      </c>
      <c r="V22" s="202">
        <f t="shared" si="19"/>
        <v>1653624.4136758733</v>
      </c>
      <c r="W22" s="202">
        <f t="shared" si="19"/>
        <v>1653624.4136758733</v>
      </c>
      <c r="X22" s="202">
        <f t="shared" si="19"/>
        <v>1653624.4136758733</v>
      </c>
      <c r="Y22" s="202">
        <f t="shared" si="19"/>
        <v>1653624.4136758733</v>
      </c>
      <c r="Z22" s="202">
        <f t="shared" si="19"/>
        <v>1653624.4136758733</v>
      </c>
      <c r="AA22" s="202">
        <f t="shared" si="19"/>
        <v>1653624.4136758733</v>
      </c>
      <c r="AB22" s="202">
        <f t="shared" si="19"/>
        <v>1653624.4136758733</v>
      </c>
      <c r="AC22" s="202">
        <f t="shared" si="19"/>
        <v>1653624.4136758733</v>
      </c>
      <c r="AD22" s="202">
        <f t="shared" si="19"/>
        <v>1653624.4136758733</v>
      </c>
      <c r="AE22" s="202">
        <f t="shared" si="19"/>
        <v>1653624.4136758733</v>
      </c>
      <c r="AF22" s="202">
        <f t="shared" si="19"/>
        <v>1653624.4136758733</v>
      </c>
      <c r="AG22" s="202">
        <f t="shared" si="19"/>
        <v>1653624.4136758733</v>
      </c>
      <c r="AH22" s="202">
        <f t="shared" si="19"/>
        <v>1701512.801308315</v>
      </c>
      <c r="AI22" s="202">
        <f t="shared" si="19"/>
        <v>1701512.801308315</v>
      </c>
      <c r="AJ22" s="202">
        <f t="shared" si="19"/>
        <v>1701512.801308315</v>
      </c>
      <c r="AK22" s="202">
        <f t="shared" si="19"/>
        <v>1701512.801308315</v>
      </c>
      <c r="AL22" s="202">
        <f t="shared" si="19"/>
        <v>1701512.801308315</v>
      </c>
      <c r="AM22" s="202">
        <f t="shared" si="19"/>
        <v>1701512.801308315</v>
      </c>
      <c r="AN22" s="202">
        <f t="shared" si="19"/>
        <v>1701512.801308315</v>
      </c>
      <c r="AO22" s="202">
        <f t="shared" si="19"/>
        <v>1701512.801308315</v>
      </c>
      <c r="AP22" s="202">
        <f t="shared" si="19"/>
        <v>1701512.801308315</v>
      </c>
      <c r="AQ22" s="202">
        <f t="shared" si="19"/>
        <v>1701512.801308315</v>
      </c>
      <c r="AR22" s="202">
        <f t="shared" si="19"/>
        <v>1701512.801308315</v>
      </c>
      <c r="AS22" s="202">
        <f t="shared" si="19"/>
        <v>1701512.801308315</v>
      </c>
      <c r="AT22" s="202">
        <f t="shared" si="19"/>
        <v>1750802.8610712362</v>
      </c>
      <c r="AU22" s="202">
        <f t="shared" si="19"/>
        <v>1750802.8610712362</v>
      </c>
      <c r="AV22" s="202">
        <f t="shared" si="19"/>
        <v>1750802.8610712362</v>
      </c>
      <c r="AW22" s="202">
        <f t="shared" si="19"/>
        <v>1750802.8610712362</v>
      </c>
      <c r="AX22" s="202">
        <f t="shared" si="19"/>
        <v>1750802.8610712362</v>
      </c>
      <c r="AY22" s="202">
        <f t="shared" si="19"/>
        <v>1750802.8610712362</v>
      </c>
      <c r="AZ22" s="202">
        <f t="shared" si="19"/>
        <v>1750802.8610712362</v>
      </c>
      <c r="BA22" s="202">
        <f t="shared" si="19"/>
        <v>1750802.8610712362</v>
      </c>
      <c r="BB22" s="202">
        <f t="shared" si="19"/>
        <v>1750802.8610712362</v>
      </c>
      <c r="BC22" s="202">
        <f t="shared" si="19"/>
        <v>1750802.8610712362</v>
      </c>
      <c r="BD22" s="202">
        <f t="shared" si="19"/>
        <v>1750802.8610712362</v>
      </c>
      <c r="BE22" s="202">
        <f t="shared" si="19"/>
        <v>1750802.8610712362</v>
      </c>
      <c r="BF22" s="202">
        <f t="shared" si="19"/>
        <v>1801535.9292235086</v>
      </c>
      <c r="BG22" s="202">
        <f t="shared" si="19"/>
        <v>1801535.9292235086</v>
      </c>
      <c r="BH22" s="202">
        <f t="shared" si="19"/>
        <v>1801535.9292235086</v>
      </c>
      <c r="BI22" s="202">
        <f t="shared" si="19"/>
        <v>1801535.9292235086</v>
      </c>
      <c r="BJ22" s="202">
        <f t="shared" si="19"/>
        <v>1801535.9292235086</v>
      </c>
      <c r="BK22" s="202">
        <f t="shared" si="19"/>
        <v>1801535.9292235086</v>
      </c>
      <c r="BL22" s="202">
        <f t="shared" si="19"/>
        <v>1801535.9292235086</v>
      </c>
      <c r="BM22" s="202">
        <f t="shared" si="19"/>
        <v>1801535.9292235086</v>
      </c>
      <c r="BN22" s="202">
        <f t="shared" si="19"/>
        <v>1801535.9292235086</v>
      </c>
      <c r="BO22" s="202">
        <f t="shared" si="19"/>
        <v>1801535.9292235086</v>
      </c>
      <c r="BP22" s="202">
        <f t="shared" si="19"/>
        <v>1801535.9292235086</v>
      </c>
      <c r="BQ22" s="202">
        <f t="shared" si="19"/>
        <v>1801535.9292235086</v>
      </c>
      <c r="BR22" s="202">
        <f t="shared" si="19"/>
        <v>1853754.5674757904</v>
      </c>
      <c r="BS22" s="202">
        <f t="shared" si="19"/>
        <v>1853754.5674757904</v>
      </c>
      <c r="BT22" s="202">
        <f t="shared" si="19"/>
        <v>1853754.5674757904</v>
      </c>
      <c r="BU22" s="202">
        <f t="shared" si="19"/>
        <v>1853754.5674757904</v>
      </c>
      <c r="BV22" s="202">
        <f t="shared" ref="BV22:EG22" si="20">SUM(BV19:BV21)</f>
        <v>1853754.5674757904</v>
      </c>
      <c r="BW22" s="202">
        <f t="shared" si="20"/>
        <v>1853754.5674757904</v>
      </c>
      <c r="BX22" s="202">
        <f t="shared" si="20"/>
        <v>1853754.5674757904</v>
      </c>
      <c r="BY22" s="202">
        <f t="shared" si="20"/>
        <v>1853754.5674757904</v>
      </c>
      <c r="BZ22" s="202">
        <f t="shared" si="20"/>
        <v>1853754.5674757904</v>
      </c>
      <c r="CA22" s="202">
        <f t="shared" si="20"/>
        <v>1853754.5674757904</v>
      </c>
      <c r="CB22" s="202">
        <f t="shared" si="20"/>
        <v>1853754.5674757904</v>
      </c>
      <c r="CC22" s="202">
        <f t="shared" si="20"/>
        <v>1853754.5674757904</v>
      </c>
      <c r="CD22" s="202">
        <f t="shared" si="20"/>
        <v>1907502.599452418</v>
      </c>
      <c r="CE22" s="202">
        <f t="shared" si="20"/>
        <v>1907502.599452418</v>
      </c>
      <c r="CF22" s="202">
        <f t="shared" si="20"/>
        <v>1907502.599452418</v>
      </c>
      <c r="CG22" s="202">
        <f t="shared" si="20"/>
        <v>1907502.599452418</v>
      </c>
      <c r="CH22" s="202">
        <f t="shared" si="20"/>
        <v>1907502.599452418</v>
      </c>
      <c r="CI22" s="202">
        <f t="shared" si="20"/>
        <v>1907502.599452418</v>
      </c>
      <c r="CJ22" s="202">
        <f t="shared" si="20"/>
        <v>1907502.599452418</v>
      </c>
      <c r="CK22" s="202">
        <f t="shared" si="20"/>
        <v>1907502.599452418</v>
      </c>
      <c r="CL22" s="202">
        <f t="shared" si="20"/>
        <v>1907502.599452418</v>
      </c>
      <c r="CM22" s="202">
        <f t="shared" si="20"/>
        <v>1907502.599452418</v>
      </c>
      <c r="CN22" s="202">
        <f t="shared" si="20"/>
        <v>1907502.599452418</v>
      </c>
      <c r="CO22" s="202">
        <f t="shared" si="20"/>
        <v>1907502.599452418</v>
      </c>
      <c r="CP22" s="202">
        <f t="shared" si="20"/>
        <v>1962825.1482408885</v>
      </c>
      <c r="CQ22" s="202">
        <f t="shared" si="20"/>
        <v>1962825.1482408885</v>
      </c>
      <c r="CR22" s="202">
        <f t="shared" si="20"/>
        <v>1962825.1482408885</v>
      </c>
      <c r="CS22" s="202">
        <f t="shared" si="20"/>
        <v>1962825.1482408885</v>
      </c>
      <c r="CT22" s="202">
        <f t="shared" si="20"/>
        <v>1962825.1482408885</v>
      </c>
      <c r="CU22" s="202">
        <f t="shared" si="20"/>
        <v>1962825.1482408885</v>
      </c>
      <c r="CV22" s="202">
        <f t="shared" si="20"/>
        <v>1962825.1482408885</v>
      </c>
      <c r="CW22" s="202">
        <f t="shared" si="20"/>
        <v>1962825.1482408885</v>
      </c>
      <c r="CX22" s="202">
        <f t="shared" si="20"/>
        <v>1962825.1482408885</v>
      </c>
      <c r="CY22" s="202">
        <f t="shared" si="20"/>
        <v>1962825.1482408885</v>
      </c>
      <c r="CZ22" s="202">
        <f t="shared" si="20"/>
        <v>1962825.1482408885</v>
      </c>
      <c r="DA22" s="202">
        <f t="shared" si="20"/>
        <v>1962825.1482408885</v>
      </c>
      <c r="DB22" s="202">
        <f t="shared" si="20"/>
        <v>2019768.6750614452</v>
      </c>
      <c r="DC22" s="202">
        <f t="shared" si="20"/>
        <v>2019768.6750614452</v>
      </c>
      <c r="DD22" s="202">
        <f t="shared" si="20"/>
        <v>2019768.6750614452</v>
      </c>
      <c r="DE22" s="202">
        <f t="shared" si="20"/>
        <v>2019768.6750614452</v>
      </c>
      <c r="DF22" s="202">
        <f t="shared" si="20"/>
        <v>2019768.6750614452</v>
      </c>
      <c r="DG22" s="202">
        <f t="shared" si="20"/>
        <v>2019768.6750614452</v>
      </c>
      <c r="DH22" s="202">
        <f t="shared" si="20"/>
        <v>2019768.6750614452</v>
      </c>
      <c r="DI22" s="202">
        <f t="shared" si="20"/>
        <v>2019768.6750614452</v>
      </c>
      <c r="DJ22" s="202">
        <f t="shared" si="20"/>
        <v>2019768.6750614452</v>
      </c>
      <c r="DK22" s="202">
        <f t="shared" si="20"/>
        <v>2019768.6750614452</v>
      </c>
      <c r="DL22" s="202">
        <f t="shared" si="20"/>
        <v>2019768.6750614452</v>
      </c>
      <c r="DM22" s="202">
        <f t="shared" si="20"/>
        <v>2019768.6750614452</v>
      </c>
      <c r="DN22" s="202">
        <f t="shared" si="20"/>
        <v>2078381.0190902278</v>
      </c>
      <c r="DO22" s="202">
        <f t="shared" si="20"/>
        <v>2078381.0190902278</v>
      </c>
      <c r="DP22" s="202">
        <f t="shared" si="20"/>
        <v>2078381.0190902278</v>
      </c>
      <c r="DQ22" s="202">
        <f t="shared" si="20"/>
        <v>2078381.0190902278</v>
      </c>
      <c r="DR22" s="202">
        <f t="shared" si="20"/>
        <v>2078381.0190902278</v>
      </c>
      <c r="DS22" s="202">
        <f t="shared" si="20"/>
        <v>2078381.0190902278</v>
      </c>
      <c r="DT22" s="202">
        <f t="shared" si="20"/>
        <v>2078381.0190902278</v>
      </c>
      <c r="DU22" s="202">
        <f t="shared" si="20"/>
        <v>2078381.0190902278</v>
      </c>
      <c r="DV22" s="202">
        <f t="shared" si="20"/>
        <v>2078381.0190902278</v>
      </c>
      <c r="DW22" s="202">
        <f t="shared" si="20"/>
        <v>2078381.0190902278</v>
      </c>
      <c r="DX22" s="202">
        <f t="shared" si="20"/>
        <v>2078381.0190902278</v>
      </c>
      <c r="DY22" s="202">
        <f t="shared" si="20"/>
        <v>2078381.0190902278</v>
      </c>
      <c r="DZ22" s="202">
        <f t="shared" si="20"/>
        <v>2138711.4384704591</v>
      </c>
      <c r="EA22" s="202">
        <f t="shared" si="20"/>
        <v>2138711.4384704591</v>
      </c>
      <c r="EB22" s="202">
        <f t="shared" si="20"/>
        <v>2138711.4384704591</v>
      </c>
      <c r="EC22" s="202">
        <f t="shared" si="20"/>
        <v>2138711.4384704591</v>
      </c>
      <c r="ED22" s="202">
        <f t="shared" si="20"/>
        <v>2138711.4384704591</v>
      </c>
      <c r="EE22" s="202">
        <f t="shared" si="20"/>
        <v>2138711.4384704591</v>
      </c>
      <c r="EF22" s="202">
        <f t="shared" si="20"/>
        <v>2138711.4384704591</v>
      </c>
      <c r="EG22" s="202">
        <f t="shared" si="20"/>
        <v>2138711.4384704591</v>
      </c>
      <c r="EH22" s="202">
        <f t="shared" ref="EH22:EK22" si="21">SUM(EH19:EH21)</f>
        <v>2138711.4384704591</v>
      </c>
      <c r="EI22" s="202">
        <f t="shared" si="21"/>
        <v>2138711.4384704591</v>
      </c>
      <c r="EJ22" s="202">
        <f t="shared" si="21"/>
        <v>2138711.4384704591</v>
      </c>
      <c r="EK22" s="202">
        <f t="shared" si="21"/>
        <v>2138711.4384704591</v>
      </c>
      <c r="EL22" s="209"/>
    </row>
    <row r="23" spans="2:142" ht="16.2" x14ac:dyDescent="0.45">
      <c r="B23" s="179"/>
      <c r="C23" s="206" t="s">
        <v>113</v>
      </c>
      <c r="G23" s="191">
        <v>0</v>
      </c>
      <c r="H23" s="210">
        <f>+-G23*H22</f>
        <v>0</v>
      </c>
      <c r="J23" s="208">
        <f t="shared" ref="J23:BU23" si="22">-$G$23*J22</f>
        <v>0</v>
      </c>
      <c r="K23" s="208">
        <f t="shared" si="22"/>
        <v>0</v>
      </c>
      <c r="L23" s="208">
        <f t="shared" si="22"/>
        <v>0</v>
      </c>
      <c r="M23" s="208">
        <f t="shared" si="22"/>
        <v>0</v>
      </c>
      <c r="N23" s="208">
        <f t="shared" si="22"/>
        <v>0</v>
      </c>
      <c r="O23" s="208">
        <f t="shared" si="22"/>
        <v>0</v>
      </c>
      <c r="P23" s="208">
        <f t="shared" si="22"/>
        <v>0</v>
      </c>
      <c r="Q23" s="208">
        <f t="shared" si="22"/>
        <v>0</v>
      </c>
      <c r="R23" s="208">
        <f t="shared" si="22"/>
        <v>0</v>
      </c>
      <c r="S23" s="208">
        <f t="shared" si="22"/>
        <v>0</v>
      </c>
      <c r="T23" s="208">
        <f t="shared" si="22"/>
        <v>0</v>
      </c>
      <c r="U23" s="208">
        <f t="shared" si="22"/>
        <v>0</v>
      </c>
      <c r="V23" s="208">
        <f t="shared" si="22"/>
        <v>0</v>
      </c>
      <c r="W23" s="208">
        <f t="shared" si="22"/>
        <v>0</v>
      </c>
      <c r="X23" s="208">
        <f t="shared" si="22"/>
        <v>0</v>
      </c>
      <c r="Y23" s="208">
        <f t="shared" si="22"/>
        <v>0</v>
      </c>
      <c r="Z23" s="208">
        <f t="shared" si="22"/>
        <v>0</v>
      </c>
      <c r="AA23" s="208">
        <f t="shared" si="22"/>
        <v>0</v>
      </c>
      <c r="AB23" s="208">
        <f t="shared" si="22"/>
        <v>0</v>
      </c>
      <c r="AC23" s="208">
        <f t="shared" si="22"/>
        <v>0</v>
      </c>
      <c r="AD23" s="208">
        <f t="shared" si="22"/>
        <v>0</v>
      </c>
      <c r="AE23" s="208">
        <f t="shared" si="22"/>
        <v>0</v>
      </c>
      <c r="AF23" s="208">
        <f t="shared" si="22"/>
        <v>0</v>
      </c>
      <c r="AG23" s="208">
        <f t="shared" si="22"/>
        <v>0</v>
      </c>
      <c r="AH23" s="208">
        <f t="shared" si="22"/>
        <v>0</v>
      </c>
      <c r="AI23" s="208">
        <f t="shared" si="22"/>
        <v>0</v>
      </c>
      <c r="AJ23" s="208">
        <f t="shared" si="22"/>
        <v>0</v>
      </c>
      <c r="AK23" s="208">
        <f t="shared" si="22"/>
        <v>0</v>
      </c>
      <c r="AL23" s="208">
        <f t="shared" si="22"/>
        <v>0</v>
      </c>
      <c r="AM23" s="208">
        <f t="shared" si="22"/>
        <v>0</v>
      </c>
      <c r="AN23" s="208">
        <f t="shared" si="22"/>
        <v>0</v>
      </c>
      <c r="AO23" s="208">
        <f t="shared" si="22"/>
        <v>0</v>
      </c>
      <c r="AP23" s="208">
        <f t="shared" si="22"/>
        <v>0</v>
      </c>
      <c r="AQ23" s="208">
        <f t="shared" si="22"/>
        <v>0</v>
      </c>
      <c r="AR23" s="208">
        <f t="shared" si="22"/>
        <v>0</v>
      </c>
      <c r="AS23" s="208">
        <f t="shared" si="22"/>
        <v>0</v>
      </c>
      <c r="AT23" s="208">
        <f t="shared" si="22"/>
        <v>0</v>
      </c>
      <c r="AU23" s="208">
        <f t="shared" si="22"/>
        <v>0</v>
      </c>
      <c r="AV23" s="208">
        <f t="shared" si="22"/>
        <v>0</v>
      </c>
      <c r="AW23" s="208">
        <f t="shared" si="22"/>
        <v>0</v>
      </c>
      <c r="AX23" s="208">
        <f t="shared" si="22"/>
        <v>0</v>
      </c>
      <c r="AY23" s="208">
        <f t="shared" si="22"/>
        <v>0</v>
      </c>
      <c r="AZ23" s="208">
        <f t="shared" si="22"/>
        <v>0</v>
      </c>
      <c r="BA23" s="208">
        <f t="shared" si="22"/>
        <v>0</v>
      </c>
      <c r="BB23" s="208">
        <f t="shared" si="22"/>
        <v>0</v>
      </c>
      <c r="BC23" s="208">
        <f t="shared" si="22"/>
        <v>0</v>
      </c>
      <c r="BD23" s="208">
        <f t="shared" si="22"/>
        <v>0</v>
      </c>
      <c r="BE23" s="208">
        <f t="shared" si="22"/>
        <v>0</v>
      </c>
      <c r="BF23" s="208">
        <f t="shared" si="22"/>
        <v>0</v>
      </c>
      <c r="BG23" s="208">
        <f t="shared" si="22"/>
        <v>0</v>
      </c>
      <c r="BH23" s="208">
        <f t="shared" si="22"/>
        <v>0</v>
      </c>
      <c r="BI23" s="208">
        <f t="shared" si="22"/>
        <v>0</v>
      </c>
      <c r="BJ23" s="208">
        <f t="shared" si="22"/>
        <v>0</v>
      </c>
      <c r="BK23" s="208">
        <f t="shared" si="22"/>
        <v>0</v>
      </c>
      <c r="BL23" s="208">
        <f t="shared" si="22"/>
        <v>0</v>
      </c>
      <c r="BM23" s="208">
        <f t="shared" si="22"/>
        <v>0</v>
      </c>
      <c r="BN23" s="208">
        <f t="shared" si="22"/>
        <v>0</v>
      </c>
      <c r="BO23" s="208">
        <f t="shared" si="22"/>
        <v>0</v>
      </c>
      <c r="BP23" s="208">
        <f t="shared" si="22"/>
        <v>0</v>
      </c>
      <c r="BQ23" s="208">
        <f t="shared" si="22"/>
        <v>0</v>
      </c>
      <c r="BR23" s="208">
        <f t="shared" si="22"/>
        <v>0</v>
      </c>
      <c r="BS23" s="208">
        <f t="shared" si="22"/>
        <v>0</v>
      </c>
      <c r="BT23" s="208">
        <f t="shared" si="22"/>
        <v>0</v>
      </c>
      <c r="BU23" s="208">
        <f t="shared" si="22"/>
        <v>0</v>
      </c>
      <c r="BV23" s="208">
        <f t="shared" ref="BV23:EG23" si="23">-$G$23*BV22</f>
        <v>0</v>
      </c>
      <c r="BW23" s="208">
        <f t="shared" si="23"/>
        <v>0</v>
      </c>
      <c r="BX23" s="208">
        <f t="shared" si="23"/>
        <v>0</v>
      </c>
      <c r="BY23" s="208">
        <f t="shared" si="23"/>
        <v>0</v>
      </c>
      <c r="BZ23" s="208">
        <f t="shared" si="23"/>
        <v>0</v>
      </c>
      <c r="CA23" s="208">
        <f t="shared" si="23"/>
        <v>0</v>
      </c>
      <c r="CB23" s="208">
        <f t="shared" si="23"/>
        <v>0</v>
      </c>
      <c r="CC23" s="208">
        <f t="shared" si="23"/>
        <v>0</v>
      </c>
      <c r="CD23" s="208">
        <f t="shared" si="23"/>
        <v>0</v>
      </c>
      <c r="CE23" s="208">
        <f t="shared" si="23"/>
        <v>0</v>
      </c>
      <c r="CF23" s="208">
        <f t="shared" si="23"/>
        <v>0</v>
      </c>
      <c r="CG23" s="208">
        <f t="shared" si="23"/>
        <v>0</v>
      </c>
      <c r="CH23" s="208">
        <f t="shared" si="23"/>
        <v>0</v>
      </c>
      <c r="CI23" s="208">
        <f t="shared" si="23"/>
        <v>0</v>
      </c>
      <c r="CJ23" s="208">
        <f t="shared" si="23"/>
        <v>0</v>
      </c>
      <c r="CK23" s="208">
        <f t="shared" si="23"/>
        <v>0</v>
      </c>
      <c r="CL23" s="208">
        <f t="shared" si="23"/>
        <v>0</v>
      </c>
      <c r="CM23" s="208">
        <f t="shared" si="23"/>
        <v>0</v>
      </c>
      <c r="CN23" s="208">
        <f t="shared" si="23"/>
        <v>0</v>
      </c>
      <c r="CO23" s="208">
        <f t="shared" si="23"/>
        <v>0</v>
      </c>
      <c r="CP23" s="208">
        <f t="shared" si="23"/>
        <v>0</v>
      </c>
      <c r="CQ23" s="208">
        <f t="shared" si="23"/>
        <v>0</v>
      </c>
      <c r="CR23" s="208">
        <f t="shared" si="23"/>
        <v>0</v>
      </c>
      <c r="CS23" s="208">
        <f t="shared" si="23"/>
        <v>0</v>
      </c>
      <c r="CT23" s="208">
        <f t="shared" si="23"/>
        <v>0</v>
      </c>
      <c r="CU23" s="208">
        <f t="shared" si="23"/>
        <v>0</v>
      </c>
      <c r="CV23" s="208">
        <f t="shared" si="23"/>
        <v>0</v>
      </c>
      <c r="CW23" s="208">
        <f t="shared" si="23"/>
        <v>0</v>
      </c>
      <c r="CX23" s="208">
        <f t="shared" si="23"/>
        <v>0</v>
      </c>
      <c r="CY23" s="208">
        <f t="shared" si="23"/>
        <v>0</v>
      </c>
      <c r="CZ23" s="208">
        <f t="shared" si="23"/>
        <v>0</v>
      </c>
      <c r="DA23" s="208">
        <f t="shared" si="23"/>
        <v>0</v>
      </c>
      <c r="DB23" s="208">
        <f t="shared" si="23"/>
        <v>0</v>
      </c>
      <c r="DC23" s="208">
        <f t="shared" si="23"/>
        <v>0</v>
      </c>
      <c r="DD23" s="208">
        <f t="shared" si="23"/>
        <v>0</v>
      </c>
      <c r="DE23" s="208">
        <f t="shared" si="23"/>
        <v>0</v>
      </c>
      <c r="DF23" s="208">
        <f t="shared" si="23"/>
        <v>0</v>
      </c>
      <c r="DG23" s="208">
        <f t="shared" si="23"/>
        <v>0</v>
      </c>
      <c r="DH23" s="208">
        <f t="shared" si="23"/>
        <v>0</v>
      </c>
      <c r="DI23" s="208">
        <f t="shared" si="23"/>
        <v>0</v>
      </c>
      <c r="DJ23" s="208">
        <f t="shared" si="23"/>
        <v>0</v>
      </c>
      <c r="DK23" s="208">
        <f t="shared" si="23"/>
        <v>0</v>
      </c>
      <c r="DL23" s="208">
        <f t="shared" si="23"/>
        <v>0</v>
      </c>
      <c r="DM23" s="208">
        <f t="shared" si="23"/>
        <v>0</v>
      </c>
      <c r="DN23" s="208">
        <f t="shared" si="23"/>
        <v>0</v>
      </c>
      <c r="DO23" s="208">
        <f t="shared" si="23"/>
        <v>0</v>
      </c>
      <c r="DP23" s="208">
        <f t="shared" si="23"/>
        <v>0</v>
      </c>
      <c r="DQ23" s="208">
        <f t="shared" si="23"/>
        <v>0</v>
      </c>
      <c r="DR23" s="208">
        <f t="shared" si="23"/>
        <v>0</v>
      </c>
      <c r="DS23" s="208">
        <f t="shared" si="23"/>
        <v>0</v>
      </c>
      <c r="DT23" s="208">
        <f t="shared" si="23"/>
        <v>0</v>
      </c>
      <c r="DU23" s="208">
        <f t="shared" si="23"/>
        <v>0</v>
      </c>
      <c r="DV23" s="208">
        <f t="shared" si="23"/>
        <v>0</v>
      </c>
      <c r="DW23" s="208">
        <f t="shared" si="23"/>
        <v>0</v>
      </c>
      <c r="DX23" s="208">
        <f t="shared" si="23"/>
        <v>0</v>
      </c>
      <c r="DY23" s="208">
        <f t="shared" si="23"/>
        <v>0</v>
      </c>
      <c r="DZ23" s="208">
        <f t="shared" si="23"/>
        <v>0</v>
      </c>
      <c r="EA23" s="208">
        <f t="shared" si="23"/>
        <v>0</v>
      </c>
      <c r="EB23" s="208">
        <f t="shared" si="23"/>
        <v>0</v>
      </c>
      <c r="EC23" s="208">
        <f t="shared" si="23"/>
        <v>0</v>
      </c>
      <c r="ED23" s="208">
        <f t="shared" si="23"/>
        <v>0</v>
      </c>
      <c r="EE23" s="208">
        <f t="shared" si="23"/>
        <v>0</v>
      </c>
      <c r="EF23" s="208">
        <f t="shared" si="23"/>
        <v>0</v>
      </c>
      <c r="EG23" s="208">
        <f t="shared" si="23"/>
        <v>0</v>
      </c>
      <c r="EH23" s="208">
        <f t="shared" ref="EH23:EK23" si="24">-$G$23*EH22</f>
        <v>0</v>
      </c>
      <c r="EI23" s="208">
        <f t="shared" si="24"/>
        <v>0</v>
      </c>
      <c r="EJ23" s="208">
        <f t="shared" si="24"/>
        <v>0</v>
      </c>
      <c r="EK23" s="208">
        <f t="shared" si="24"/>
        <v>0</v>
      </c>
      <c r="EL23" s="209"/>
    </row>
    <row r="24" spans="2:142" ht="14.4" x14ac:dyDescent="0.3">
      <c r="B24" s="179"/>
      <c r="C24" t="s">
        <v>114</v>
      </c>
      <c r="H24" s="100">
        <f>SUM(H22:H23)</f>
        <v>7738513.3093289481</v>
      </c>
      <c r="J24" s="202">
        <f t="shared" ref="J24:BU24" si="25">SUM(J22:J23)</f>
        <v>179779.22462875</v>
      </c>
      <c r="K24" s="202">
        <f t="shared" si="25"/>
        <v>179779.22462875</v>
      </c>
      <c r="L24" s="202">
        <f t="shared" si="25"/>
        <v>179779.22462875</v>
      </c>
      <c r="M24" s="202">
        <f t="shared" si="25"/>
        <v>179779.22462875</v>
      </c>
      <c r="N24" s="202">
        <f t="shared" si="25"/>
        <v>179779.22462875</v>
      </c>
      <c r="O24" s="202">
        <f t="shared" si="25"/>
        <v>179779.22462875</v>
      </c>
      <c r="P24" s="202">
        <f t="shared" si="25"/>
        <v>1607097.5519609875</v>
      </c>
      <c r="Q24" s="202">
        <f t="shared" si="25"/>
        <v>1607097.5519609875</v>
      </c>
      <c r="R24" s="202">
        <f t="shared" si="25"/>
        <v>1607097.5519609875</v>
      </c>
      <c r="S24" s="202">
        <f t="shared" si="25"/>
        <v>1607097.5519609875</v>
      </c>
      <c r="T24" s="202">
        <f t="shared" si="25"/>
        <v>1607097.5519609875</v>
      </c>
      <c r="U24" s="202">
        <f t="shared" si="25"/>
        <v>1607097.5519609875</v>
      </c>
      <c r="V24" s="202">
        <f t="shared" si="25"/>
        <v>1653624.4136758733</v>
      </c>
      <c r="W24" s="202">
        <f t="shared" si="25"/>
        <v>1653624.4136758733</v>
      </c>
      <c r="X24" s="202">
        <f t="shared" si="25"/>
        <v>1653624.4136758733</v>
      </c>
      <c r="Y24" s="202">
        <f t="shared" si="25"/>
        <v>1653624.4136758733</v>
      </c>
      <c r="Z24" s="202">
        <f t="shared" si="25"/>
        <v>1653624.4136758733</v>
      </c>
      <c r="AA24" s="202">
        <f t="shared" si="25"/>
        <v>1653624.4136758733</v>
      </c>
      <c r="AB24" s="202">
        <f t="shared" si="25"/>
        <v>1653624.4136758733</v>
      </c>
      <c r="AC24" s="202">
        <f t="shared" si="25"/>
        <v>1653624.4136758733</v>
      </c>
      <c r="AD24" s="202">
        <f t="shared" si="25"/>
        <v>1653624.4136758733</v>
      </c>
      <c r="AE24" s="202">
        <f t="shared" si="25"/>
        <v>1653624.4136758733</v>
      </c>
      <c r="AF24" s="202">
        <f t="shared" si="25"/>
        <v>1653624.4136758733</v>
      </c>
      <c r="AG24" s="202">
        <f t="shared" si="25"/>
        <v>1653624.4136758733</v>
      </c>
      <c r="AH24" s="202">
        <f t="shared" si="25"/>
        <v>1701512.801308315</v>
      </c>
      <c r="AI24" s="202">
        <f t="shared" si="25"/>
        <v>1701512.801308315</v>
      </c>
      <c r="AJ24" s="202">
        <f t="shared" si="25"/>
        <v>1701512.801308315</v>
      </c>
      <c r="AK24" s="202">
        <f t="shared" si="25"/>
        <v>1701512.801308315</v>
      </c>
      <c r="AL24" s="202">
        <f t="shared" si="25"/>
        <v>1701512.801308315</v>
      </c>
      <c r="AM24" s="202">
        <f t="shared" si="25"/>
        <v>1701512.801308315</v>
      </c>
      <c r="AN24" s="202">
        <f t="shared" si="25"/>
        <v>1701512.801308315</v>
      </c>
      <c r="AO24" s="202">
        <f t="shared" si="25"/>
        <v>1701512.801308315</v>
      </c>
      <c r="AP24" s="202">
        <f t="shared" si="25"/>
        <v>1701512.801308315</v>
      </c>
      <c r="AQ24" s="202">
        <f t="shared" si="25"/>
        <v>1701512.801308315</v>
      </c>
      <c r="AR24" s="202">
        <f t="shared" si="25"/>
        <v>1701512.801308315</v>
      </c>
      <c r="AS24" s="202">
        <f t="shared" si="25"/>
        <v>1701512.801308315</v>
      </c>
      <c r="AT24" s="202">
        <f t="shared" si="25"/>
        <v>1750802.8610712362</v>
      </c>
      <c r="AU24" s="202">
        <f t="shared" si="25"/>
        <v>1750802.8610712362</v>
      </c>
      <c r="AV24" s="202">
        <f t="shared" si="25"/>
        <v>1750802.8610712362</v>
      </c>
      <c r="AW24" s="202">
        <f t="shared" si="25"/>
        <v>1750802.8610712362</v>
      </c>
      <c r="AX24" s="202">
        <f t="shared" si="25"/>
        <v>1750802.8610712362</v>
      </c>
      <c r="AY24" s="202">
        <f t="shared" si="25"/>
        <v>1750802.8610712362</v>
      </c>
      <c r="AZ24" s="202">
        <f t="shared" si="25"/>
        <v>1750802.8610712362</v>
      </c>
      <c r="BA24" s="202">
        <f t="shared" si="25"/>
        <v>1750802.8610712362</v>
      </c>
      <c r="BB24" s="202">
        <f t="shared" si="25"/>
        <v>1750802.8610712362</v>
      </c>
      <c r="BC24" s="202">
        <f t="shared" si="25"/>
        <v>1750802.8610712362</v>
      </c>
      <c r="BD24" s="202">
        <f t="shared" si="25"/>
        <v>1750802.8610712362</v>
      </c>
      <c r="BE24" s="202">
        <f t="shared" si="25"/>
        <v>1750802.8610712362</v>
      </c>
      <c r="BF24" s="202">
        <f t="shared" si="25"/>
        <v>1801535.9292235086</v>
      </c>
      <c r="BG24" s="202">
        <f t="shared" si="25"/>
        <v>1801535.9292235086</v>
      </c>
      <c r="BH24" s="202">
        <f t="shared" si="25"/>
        <v>1801535.9292235086</v>
      </c>
      <c r="BI24" s="202">
        <f t="shared" si="25"/>
        <v>1801535.9292235086</v>
      </c>
      <c r="BJ24" s="202">
        <f t="shared" si="25"/>
        <v>1801535.9292235086</v>
      </c>
      <c r="BK24" s="202">
        <f t="shared" si="25"/>
        <v>1801535.9292235086</v>
      </c>
      <c r="BL24" s="202">
        <f t="shared" si="25"/>
        <v>1801535.9292235086</v>
      </c>
      <c r="BM24" s="202">
        <f t="shared" si="25"/>
        <v>1801535.9292235086</v>
      </c>
      <c r="BN24" s="202">
        <f t="shared" si="25"/>
        <v>1801535.9292235086</v>
      </c>
      <c r="BO24" s="202">
        <f t="shared" si="25"/>
        <v>1801535.9292235086</v>
      </c>
      <c r="BP24" s="202">
        <f t="shared" si="25"/>
        <v>1801535.9292235086</v>
      </c>
      <c r="BQ24" s="202">
        <f t="shared" si="25"/>
        <v>1801535.9292235086</v>
      </c>
      <c r="BR24" s="202">
        <f t="shared" si="25"/>
        <v>1853754.5674757904</v>
      </c>
      <c r="BS24" s="202">
        <f t="shared" si="25"/>
        <v>1853754.5674757904</v>
      </c>
      <c r="BT24" s="202">
        <f t="shared" si="25"/>
        <v>1853754.5674757904</v>
      </c>
      <c r="BU24" s="202">
        <f t="shared" si="25"/>
        <v>1853754.5674757904</v>
      </c>
      <c r="BV24" s="202">
        <f t="shared" ref="BV24:EG24" si="26">SUM(BV22:BV23)</f>
        <v>1853754.5674757904</v>
      </c>
      <c r="BW24" s="202">
        <f t="shared" si="26"/>
        <v>1853754.5674757904</v>
      </c>
      <c r="BX24" s="202">
        <f t="shared" si="26"/>
        <v>1853754.5674757904</v>
      </c>
      <c r="BY24" s="202">
        <f t="shared" si="26"/>
        <v>1853754.5674757904</v>
      </c>
      <c r="BZ24" s="202">
        <f t="shared" si="26"/>
        <v>1853754.5674757904</v>
      </c>
      <c r="CA24" s="202">
        <f t="shared" si="26"/>
        <v>1853754.5674757904</v>
      </c>
      <c r="CB24" s="202">
        <f t="shared" si="26"/>
        <v>1853754.5674757904</v>
      </c>
      <c r="CC24" s="202">
        <f t="shared" si="26"/>
        <v>1853754.5674757904</v>
      </c>
      <c r="CD24" s="202">
        <f t="shared" si="26"/>
        <v>1907502.599452418</v>
      </c>
      <c r="CE24" s="202">
        <f t="shared" si="26"/>
        <v>1907502.599452418</v>
      </c>
      <c r="CF24" s="202">
        <f t="shared" si="26"/>
        <v>1907502.599452418</v>
      </c>
      <c r="CG24" s="202">
        <f t="shared" si="26"/>
        <v>1907502.599452418</v>
      </c>
      <c r="CH24" s="202">
        <f t="shared" si="26"/>
        <v>1907502.599452418</v>
      </c>
      <c r="CI24" s="202">
        <f t="shared" si="26"/>
        <v>1907502.599452418</v>
      </c>
      <c r="CJ24" s="202">
        <f t="shared" si="26"/>
        <v>1907502.599452418</v>
      </c>
      <c r="CK24" s="202">
        <f t="shared" si="26"/>
        <v>1907502.599452418</v>
      </c>
      <c r="CL24" s="202">
        <f t="shared" si="26"/>
        <v>1907502.599452418</v>
      </c>
      <c r="CM24" s="202">
        <f t="shared" si="26"/>
        <v>1907502.599452418</v>
      </c>
      <c r="CN24" s="202">
        <f t="shared" si="26"/>
        <v>1907502.599452418</v>
      </c>
      <c r="CO24" s="202">
        <f t="shared" si="26"/>
        <v>1907502.599452418</v>
      </c>
      <c r="CP24" s="202">
        <f t="shared" si="26"/>
        <v>1962825.1482408885</v>
      </c>
      <c r="CQ24" s="202">
        <f t="shared" si="26"/>
        <v>1962825.1482408885</v>
      </c>
      <c r="CR24" s="202">
        <f t="shared" si="26"/>
        <v>1962825.1482408885</v>
      </c>
      <c r="CS24" s="202">
        <f t="shared" si="26"/>
        <v>1962825.1482408885</v>
      </c>
      <c r="CT24" s="202">
        <f t="shared" si="26"/>
        <v>1962825.1482408885</v>
      </c>
      <c r="CU24" s="202">
        <f t="shared" si="26"/>
        <v>1962825.1482408885</v>
      </c>
      <c r="CV24" s="202">
        <f t="shared" si="26"/>
        <v>1962825.1482408885</v>
      </c>
      <c r="CW24" s="202">
        <f t="shared" si="26"/>
        <v>1962825.1482408885</v>
      </c>
      <c r="CX24" s="202">
        <f t="shared" si="26"/>
        <v>1962825.1482408885</v>
      </c>
      <c r="CY24" s="202">
        <f t="shared" si="26"/>
        <v>1962825.1482408885</v>
      </c>
      <c r="CZ24" s="202">
        <f t="shared" si="26"/>
        <v>1962825.1482408885</v>
      </c>
      <c r="DA24" s="202">
        <f t="shared" si="26"/>
        <v>1962825.1482408885</v>
      </c>
      <c r="DB24" s="202">
        <f t="shared" si="26"/>
        <v>2019768.6750614452</v>
      </c>
      <c r="DC24" s="202">
        <f t="shared" si="26"/>
        <v>2019768.6750614452</v>
      </c>
      <c r="DD24" s="202">
        <f t="shared" si="26"/>
        <v>2019768.6750614452</v>
      </c>
      <c r="DE24" s="202">
        <f t="shared" si="26"/>
        <v>2019768.6750614452</v>
      </c>
      <c r="DF24" s="202">
        <f t="shared" si="26"/>
        <v>2019768.6750614452</v>
      </c>
      <c r="DG24" s="202">
        <f t="shared" si="26"/>
        <v>2019768.6750614452</v>
      </c>
      <c r="DH24" s="202">
        <f t="shared" si="26"/>
        <v>2019768.6750614452</v>
      </c>
      <c r="DI24" s="202">
        <f t="shared" si="26"/>
        <v>2019768.6750614452</v>
      </c>
      <c r="DJ24" s="202">
        <f t="shared" si="26"/>
        <v>2019768.6750614452</v>
      </c>
      <c r="DK24" s="202">
        <f t="shared" si="26"/>
        <v>2019768.6750614452</v>
      </c>
      <c r="DL24" s="202">
        <f t="shared" si="26"/>
        <v>2019768.6750614452</v>
      </c>
      <c r="DM24" s="202">
        <f t="shared" si="26"/>
        <v>2019768.6750614452</v>
      </c>
      <c r="DN24" s="202">
        <f t="shared" si="26"/>
        <v>2078381.0190902278</v>
      </c>
      <c r="DO24" s="202">
        <f t="shared" si="26"/>
        <v>2078381.0190902278</v>
      </c>
      <c r="DP24" s="202">
        <f t="shared" si="26"/>
        <v>2078381.0190902278</v>
      </c>
      <c r="DQ24" s="202">
        <f t="shared" si="26"/>
        <v>2078381.0190902278</v>
      </c>
      <c r="DR24" s="202">
        <f t="shared" si="26"/>
        <v>2078381.0190902278</v>
      </c>
      <c r="DS24" s="202">
        <f t="shared" si="26"/>
        <v>2078381.0190902278</v>
      </c>
      <c r="DT24" s="202">
        <f t="shared" si="26"/>
        <v>2078381.0190902278</v>
      </c>
      <c r="DU24" s="202">
        <f t="shared" si="26"/>
        <v>2078381.0190902278</v>
      </c>
      <c r="DV24" s="202">
        <f t="shared" si="26"/>
        <v>2078381.0190902278</v>
      </c>
      <c r="DW24" s="202">
        <f t="shared" si="26"/>
        <v>2078381.0190902278</v>
      </c>
      <c r="DX24" s="202">
        <f t="shared" si="26"/>
        <v>2078381.0190902278</v>
      </c>
      <c r="DY24" s="202">
        <f t="shared" si="26"/>
        <v>2078381.0190902278</v>
      </c>
      <c r="DZ24" s="202">
        <f t="shared" si="26"/>
        <v>2138711.4384704591</v>
      </c>
      <c r="EA24" s="202">
        <f t="shared" si="26"/>
        <v>2138711.4384704591</v>
      </c>
      <c r="EB24" s="202">
        <f t="shared" si="26"/>
        <v>2138711.4384704591</v>
      </c>
      <c r="EC24" s="202">
        <f t="shared" si="26"/>
        <v>2138711.4384704591</v>
      </c>
      <c r="ED24" s="202">
        <f t="shared" si="26"/>
        <v>2138711.4384704591</v>
      </c>
      <c r="EE24" s="202">
        <f t="shared" si="26"/>
        <v>2138711.4384704591</v>
      </c>
      <c r="EF24" s="202">
        <f t="shared" si="26"/>
        <v>2138711.4384704591</v>
      </c>
      <c r="EG24" s="202">
        <f t="shared" si="26"/>
        <v>2138711.4384704591</v>
      </c>
      <c r="EH24" s="202">
        <f t="shared" ref="EH24:EK24" si="27">SUM(EH22:EH23)</f>
        <v>2138711.4384704591</v>
      </c>
      <c r="EI24" s="202">
        <f t="shared" si="27"/>
        <v>2138711.4384704591</v>
      </c>
      <c r="EJ24" s="202">
        <f t="shared" si="27"/>
        <v>2138711.4384704591</v>
      </c>
      <c r="EK24" s="202">
        <f t="shared" si="27"/>
        <v>2138711.4384704591</v>
      </c>
      <c r="EL24" s="209"/>
    </row>
    <row r="25" spans="2:142" ht="14.4" x14ac:dyDescent="0.3">
      <c r="B25" s="179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  <c r="DF25" s="202"/>
      <c r="DG25" s="202"/>
      <c r="DH25" s="202"/>
      <c r="DI25" s="202"/>
      <c r="DJ25" s="202"/>
      <c r="DK25" s="202"/>
      <c r="DL25" s="202"/>
      <c r="DM25" s="202"/>
      <c r="DN25" s="202"/>
      <c r="DO25" s="202"/>
      <c r="DP25" s="202"/>
      <c r="DQ25" s="202"/>
      <c r="DR25" s="202"/>
      <c r="DS25" s="202"/>
      <c r="DT25" s="202"/>
      <c r="DU25" s="202"/>
      <c r="DV25" s="202"/>
      <c r="DW25" s="202"/>
      <c r="DX25" s="202"/>
      <c r="DY25" s="202"/>
      <c r="DZ25" s="202"/>
      <c r="EA25" s="202"/>
      <c r="EB25" s="202"/>
      <c r="EC25" s="202"/>
      <c r="ED25" s="202"/>
      <c r="EE25" s="202"/>
      <c r="EF25" s="202"/>
      <c r="EG25" s="202"/>
      <c r="EH25" s="202"/>
      <c r="EI25" s="202"/>
      <c r="EJ25" s="202"/>
      <c r="EK25" s="202"/>
      <c r="EL25" s="209"/>
    </row>
    <row r="26" spans="2:142" ht="16.2" x14ac:dyDescent="0.45">
      <c r="B26" s="179"/>
      <c r="C26" s="211" t="s">
        <v>115</v>
      </c>
      <c r="G26" s="212"/>
      <c r="H26" s="213">
        <v>1780240</v>
      </c>
      <c r="J26" s="208">
        <f t="shared" ref="J26:AO26" si="28">$H$26/12*(1+$E$13)^(J$15-1)</f>
        <v>157433.74416</v>
      </c>
      <c r="K26" s="208">
        <f t="shared" si="28"/>
        <v>157433.74416</v>
      </c>
      <c r="L26" s="208">
        <f t="shared" si="28"/>
        <v>157433.74416</v>
      </c>
      <c r="M26" s="208">
        <f t="shared" si="28"/>
        <v>157433.74416</v>
      </c>
      <c r="N26" s="208">
        <f t="shared" si="28"/>
        <v>157433.74416</v>
      </c>
      <c r="O26" s="208">
        <f t="shared" si="28"/>
        <v>157433.74416</v>
      </c>
      <c r="P26" s="208">
        <f t="shared" si="28"/>
        <v>157433.74416</v>
      </c>
      <c r="Q26" s="208">
        <f t="shared" si="28"/>
        <v>157433.74416</v>
      </c>
      <c r="R26" s="208">
        <f t="shared" si="28"/>
        <v>157433.74416</v>
      </c>
      <c r="S26" s="208">
        <f t="shared" si="28"/>
        <v>157433.74416</v>
      </c>
      <c r="T26" s="208">
        <f t="shared" si="28"/>
        <v>157433.74416</v>
      </c>
      <c r="U26" s="208">
        <f t="shared" si="28"/>
        <v>157433.74416</v>
      </c>
      <c r="V26" s="208">
        <f t="shared" si="28"/>
        <v>160582.4190432</v>
      </c>
      <c r="W26" s="208">
        <f t="shared" si="28"/>
        <v>160582.4190432</v>
      </c>
      <c r="X26" s="208">
        <f t="shared" si="28"/>
        <v>160582.4190432</v>
      </c>
      <c r="Y26" s="208">
        <f t="shared" si="28"/>
        <v>160582.4190432</v>
      </c>
      <c r="Z26" s="208">
        <f t="shared" si="28"/>
        <v>160582.4190432</v>
      </c>
      <c r="AA26" s="208">
        <f t="shared" si="28"/>
        <v>160582.4190432</v>
      </c>
      <c r="AB26" s="208">
        <f t="shared" si="28"/>
        <v>160582.4190432</v>
      </c>
      <c r="AC26" s="208">
        <f t="shared" si="28"/>
        <v>160582.4190432</v>
      </c>
      <c r="AD26" s="208">
        <f t="shared" si="28"/>
        <v>160582.4190432</v>
      </c>
      <c r="AE26" s="208">
        <f t="shared" si="28"/>
        <v>160582.4190432</v>
      </c>
      <c r="AF26" s="208">
        <f t="shared" si="28"/>
        <v>160582.4190432</v>
      </c>
      <c r="AG26" s="208">
        <f t="shared" si="28"/>
        <v>160582.4190432</v>
      </c>
      <c r="AH26" s="208">
        <f t="shared" si="28"/>
        <v>163794.06742406401</v>
      </c>
      <c r="AI26" s="208">
        <f t="shared" si="28"/>
        <v>163794.06742406401</v>
      </c>
      <c r="AJ26" s="208">
        <f t="shared" si="28"/>
        <v>163794.06742406401</v>
      </c>
      <c r="AK26" s="208">
        <f t="shared" si="28"/>
        <v>163794.06742406401</v>
      </c>
      <c r="AL26" s="208">
        <f t="shared" si="28"/>
        <v>163794.06742406401</v>
      </c>
      <c r="AM26" s="208">
        <f t="shared" si="28"/>
        <v>163794.06742406401</v>
      </c>
      <c r="AN26" s="208">
        <f t="shared" si="28"/>
        <v>163794.06742406401</v>
      </c>
      <c r="AO26" s="208">
        <f t="shared" si="28"/>
        <v>163794.06742406401</v>
      </c>
      <c r="AP26" s="208">
        <f t="shared" ref="AP26:BU26" si="29">$H$26/12*(1+$E$13)^(AP$15-1)</f>
        <v>163794.06742406401</v>
      </c>
      <c r="AQ26" s="208">
        <f t="shared" si="29"/>
        <v>163794.06742406401</v>
      </c>
      <c r="AR26" s="208">
        <f t="shared" si="29"/>
        <v>163794.06742406401</v>
      </c>
      <c r="AS26" s="208">
        <f t="shared" si="29"/>
        <v>163794.06742406401</v>
      </c>
      <c r="AT26" s="208">
        <f t="shared" si="29"/>
        <v>167069.94877254529</v>
      </c>
      <c r="AU26" s="208">
        <f t="shared" si="29"/>
        <v>167069.94877254529</v>
      </c>
      <c r="AV26" s="208">
        <f t="shared" si="29"/>
        <v>167069.94877254529</v>
      </c>
      <c r="AW26" s="208">
        <f t="shared" si="29"/>
        <v>167069.94877254529</v>
      </c>
      <c r="AX26" s="208">
        <f t="shared" si="29"/>
        <v>167069.94877254529</v>
      </c>
      <c r="AY26" s="208">
        <f t="shared" si="29"/>
        <v>167069.94877254529</v>
      </c>
      <c r="AZ26" s="208">
        <f t="shared" si="29"/>
        <v>167069.94877254529</v>
      </c>
      <c r="BA26" s="208">
        <f t="shared" si="29"/>
        <v>167069.94877254529</v>
      </c>
      <c r="BB26" s="208">
        <f t="shared" si="29"/>
        <v>167069.94877254529</v>
      </c>
      <c r="BC26" s="208">
        <f t="shared" si="29"/>
        <v>167069.94877254529</v>
      </c>
      <c r="BD26" s="208">
        <f t="shared" si="29"/>
        <v>167069.94877254529</v>
      </c>
      <c r="BE26" s="208">
        <f t="shared" si="29"/>
        <v>167069.94877254529</v>
      </c>
      <c r="BF26" s="208">
        <f t="shared" si="29"/>
        <v>170411.34774799616</v>
      </c>
      <c r="BG26" s="208">
        <f t="shared" si="29"/>
        <v>170411.34774799616</v>
      </c>
      <c r="BH26" s="208">
        <f t="shared" si="29"/>
        <v>170411.34774799616</v>
      </c>
      <c r="BI26" s="208">
        <f t="shared" si="29"/>
        <v>170411.34774799616</v>
      </c>
      <c r="BJ26" s="208">
        <f t="shared" si="29"/>
        <v>170411.34774799616</v>
      </c>
      <c r="BK26" s="208">
        <f t="shared" si="29"/>
        <v>170411.34774799616</v>
      </c>
      <c r="BL26" s="208">
        <f t="shared" si="29"/>
        <v>170411.34774799616</v>
      </c>
      <c r="BM26" s="208">
        <f t="shared" si="29"/>
        <v>170411.34774799616</v>
      </c>
      <c r="BN26" s="208">
        <f t="shared" si="29"/>
        <v>170411.34774799616</v>
      </c>
      <c r="BO26" s="208">
        <f t="shared" si="29"/>
        <v>170411.34774799616</v>
      </c>
      <c r="BP26" s="208">
        <f t="shared" si="29"/>
        <v>170411.34774799616</v>
      </c>
      <c r="BQ26" s="208">
        <f t="shared" si="29"/>
        <v>170411.34774799616</v>
      </c>
      <c r="BR26" s="208">
        <f t="shared" si="29"/>
        <v>173819.5747029561</v>
      </c>
      <c r="BS26" s="208">
        <f t="shared" si="29"/>
        <v>173819.5747029561</v>
      </c>
      <c r="BT26" s="208">
        <f t="shared" si="29"/>
        <v>173819.5747029561</v>
      </c>
      <c r="BU26" s="208">
        <f t="shared" si="29"/>
        <v>173819.5747029561</v>
      </c>
      <c r="BV26" s="208">
        <f t="shared" ref="BV26:DA26" si="30">$H$26/12*(1+$E$13)^(BV$15-1)</f>
        <v>173819.5747029561</v>
      </c>
      <c r="BW26" s="208">
        <f t="shared" si="30"/>
        <v>173819.5747029561</v>
      </c>
      <c r="BX26" s="208">
        <f t="shared" si="30"/>
        <v>173819.5747029561</v>
      </c>
      <c r="BY26" s="208">
        <f t="shared" si="30"/>
        <v>173819.5747029561</v>
      </c>
      <c r="BZ26" s="208">
        <f t="shared" si="30"/>
        <v>173819.5747029561</v>
      </c>
      <c r="CA26" s="208">
        <f t="shared" si="30"/>
        <v>173819.5747029561</v>
      </c>
      <c r="CB26" s="208">
        <f t="shared" si="30"/>
        <v>173819.5747029561</v>
      </c>
      <c r="CC26" s="208">
        <f t="shared" si="30"/>
        <v>173819.5747029561</v>
      </c>
      <c r="CD26" s="208">
        <f t="shared" si="30"/>
        <v>177295.96619701522</v>
      </c>
      <c r="CE26" s="208">
        <f t="shared" si="30"/>
        <v>177295.96619701522</v>
      </c>
      <c r="CF26" s="208">
        <f t="shared" si="30"/>
        <v>177295.96619701522</v>
      </c>
      <c r="CG26" s="208">
        <f t="shared" si="30"/>
        <v>177295.96619701522</v>
      </c>
      <c r="CH26" s="208">
        <f t="shared" si="30"/>
        <v>177295.96619701522</v>
      </c>
      <c r="CI26" s="208">
        <f t="shared" si="30"/>
        <v>177295.96619701522</v>
      </c>
      <c r="CJ26" s="208">
        <f t="shared" si="30"/>
        <v>177295.96619701522</v>
      </c>
      <c r="CK26" s="208">
        <f t="shared" si="30"/>
        <v>177295.96619701522</v>
      </c>
      <c r="CL26" s="208">
        <f t="shared" si="30"/>
        <v>177295.96619701522</v>
      </c>
      <c r="CM26" s="208">
        <f t="shared" si="30"/>
        <v>177295.96619701522</v>
      </c>
      <c r="CN26" s="208">
        <f t="shared" si="30"/>
        <v>177295.96619701522</v>
      </c>
      <c r="CO26" s="208">
        <f t="shared" si="30"/>
        <v>177295.96619701522</v>
      </c>
      <c r="CP26" s="208">
        <f t="shared" si="30"/>
        <v>180841.88552095555</v>
      </c>
      <c r="CQ26" s="208">
        <f t="shared" si="30"/>
        <v>180841.88552095555</v>
      </c>
      <c r="CR26" s="208">
        <f t="shared" si="30"/>
        <v>180841.88552095555</v>
      </c>
      <c r="CS26" s="208">
        <f t="shared" si="30"/>
        <v>180841.88552095555</v>
      </c>
      <c r="CT26" s="208">
        <f t="shared" si="30"/>
        <v>180841.88552095555</v>
      </c>
      <c r="CU26" s="208">
        <f t="shared" si="30"/>
        <v>180841.88552095555</v>
      </c>
      <c r="CV26" s="208">
        <f t="shared" si="30"/>
        <v>180841.88552095555</v>
      </c>
      <c r="CW26" s="208">
        <f t="shared" si="30"/>
        <v>180841.88552095555</v>
      </c>
      <c r="CX26" s="208">
        <f t="shared" si="30"/>
        <v>180841.88552095555</v>
      </c>
      <c r="CY26" s="208">
        <f t="shared" si="30"/>
        <v>180841.88552095555</v>
      </c>
      <c r="CZ26" s="208">
        <f t="shared" si="30"/>
        <v>180841.88552095555</v>
      </c>
      <c r="DA26" s="208">
        <f t="shared" si="30"/>
        <v>180841.88552095555</v>
      </c>
      <c r="DB26" s="208">
        <f t="shared" ref="DB26:EK26" si="31">$H$26/12*(1+$E$13)^(DB$15-1)</f>
        <v>184458.72323137464</v>
      </c>
      <c r="DC26" s="208">
        <f t="shared" si="31"/>
        <v>184458.72323137464</v>
      </c>
      <c r="DD26" s="208">
        <f t="shared" si="31"/>
        <v>184458.72323137464</v>
      </c>
      <c r="DE26" s="208">
        <f t="shared" si="31"/>
        <v>184458.72323137464</v>
      </c>
      <c r="DF26" s="208">
        <f t="shared" si="31"/>
        <v>184458.72323137464</v>
      </c>
      <c r="DG26" s="208">
        <f t="shared" si="31"/>
        <v>184458.72323137464</v>
      </c>
      <c r="DH26" s="208">
        <f t="shared" si="31"/>
        <v>184458.72323137464</v>
      </c>
      <c r="DI26" s="208">
        <f t="shared" si="31"/>
        <v>184458.72323137464</v>
      </c>
      <c r="DJ26" s="208">
        <f t="shared" si="31"/>
        <v>184458.72323137464</v>
      </c>
      <c r="DK26" s="208">
        <f t="shared" si="31"/>
        <v>184458.72323137464</v>
      </c>
      <c r="DL26" s="208">
        <f t="shared" si="31"/>
        <v>184458.72323137464</v>
      </c>
      <c r="DM26" s="208">
        <f t="shared" si="31"/>
        <v>184458.72323137464</v>
      </c>
      <c r="DN26" s="208">
        <f t="shared" si="31"/>
        <v>188147.89769600215</v>
      </c>
      <c r="DO26" s="208">
        <f t="shared" si="31"/>
        <v>188147.89769600215</v>
      </c>
      <c r="DP26" s="208">
        <f t="shared" si="31"/>
        <v>188147.89769600215</v>
      </c>
      <c r="DQ26" s="208">
        <f t="shared" si="31"/>
        <v>188147.89769600215</v>
      </c>
      <c r="DR26" s="208">
        <f t="shared" si="31"/>
        <v>188147.89769600215</v>
      </c>
      <c r="DS26" s="208">
        <f t="shared" si="31"/>
        <v>188147.89769600215</v>
      </c>
      <c r="DT26" s="208">
        <f t="shared" si="31"/>
        <v>188147.89769600215</v>
      </c>
      <c r="DU26" s="208">
        <f t="shared" si="31"/>
        <v>188147.89769600215</v>
      </c>
      <c r="DV26" s="208">
        <f t="shared" si="31"/>
        <v>188147.89769600215</v>
      </c>
      <c r="DW26" s="208">
        <f t="shared" si="31"/>
        <v>188147.89769600215</v>
      </c>
      <c r="DX26" s="208">
        <f t="shared" si="31"/>
        <v>188147.89769600215</v>
      </c>
      <c r="DY26" s="208">
        <f t="shared" si="31"/>
        <v>188147.89769600215</v>
      </c>
      <c r="DZ26" s="208">
        <f t="shared" si="31"/>
        <v>191910.85564992219</v>
      </c>
      <c r="EA26" s="208">
        <f t="shared" si="31"/>
        <v>191910.85564992219</v>
      </c>
      <c r="EB26" s="208">
        <f t="shared" si="31"/>
        <v>191910.85564992219</v>
      </c>
      <c r="EC26" s="208">
        <f t="shared" si="31"/>
        <v>191910.85564992219</v>
      </c>
      <c r="ED26" s="208">
        <f t="shared" si="31"/>
        <v>191910.85564992219</v>
      </c>
      <c r="EE26" s="208">
        <f t="shared" si="31"/>
        <v>191910.85564992219</v>
      </c>
      <c r="EF26" s="208">
        <f t="shared" si="31"/>
        <v>191910.85564992219</v>
      </c>
      <c r="EG26" s="208">
        <f t="shared" si="31"/>
        <v>191910.85564992219</v>
      </c>
      <c r="EH26" s="208">
        <f t="shared" si="31"/>
        <v>191910.85564992219</v>
      </c>
      <c r="EI26" s="208">
        <f t="shared" si="31"/>
        <v>191910.85564992219</v>
      </c>
      <c r="EJ26" s="208">
        <f t="shared" si="31"/>
        <v>191910.85564992219</v>
      </c>
      <c r="EK26" s="208">
        <f t="shared" si="31"/>
        <v>191910.85564992219</v>
      </c>
      <c r="EL26" s="209"/>
    </row>
    <row r="27" spans="2:142" ht="14.4" x14ac:dyDescent="0.3">
      <c r="B27" s="179"/>
      <c r="C27" t="s">
        <v>116</v>
      </c>
      <c r="H27" s="100">
        <f>H24-H26</f>
        <v>5958273.3093289481</v>
      </c>
      <c r="J27" s="202">
        <f t="shared" ref="J27:BU27" si="32">+J24-J26</f>
        <v>22345.48046875</v>
      </c>
      <c r="K27" s="202">
        <f t="shared" si="32"/>
        <v>22345.48046875</v>
      </c>
      <c r="L27" s="202">
        <f t="shared" si="32"/>
        <v>22345.48046875</v>
      </c>
      <c r="M27" s="202">
        <f t="shared" si="32"/>
        <v>22345.48046875</v>
      </c>
      <c r="N27" s="202">
        <f t="shared" si="32"/>
        <v>22345.48046875</v>
      </c>
      <c r="O27" s="202">
        <f t="shared" si="32"/>
        <v>22345.48046875</v>
      </c>
      <c r="P27" s="202">
        <f t="shared" si="32"/>
        <v>1449663.8078009875</v>
      </c>
      <c r="Q27" s="202">
        <f t="shared" si="32"/>
        <v>1449663.8078009875</v>
      </c>
      <c r="R27" s="202">
        <f t="shared" si="32"/>
        <v>1449663.8078009875</v>
      </c>
      <c r="S27" s="202">
        <f t="shared" si="32"/>
        <v>1449663.8078009875</v>
      </c>
      <c r="T27" s="202">
        <f t="shared" si="32"/>
        <v>1449663.8078009875</v>
      </c>
      <c r="U27" s="202">
        <f t="shared" si="32"/>
        <v>1449663.8078009875</v>
      </c>
      <c r="V27" s="202">
        <f t="shared" si="32"/>
        <v>1493041.9946326732</v>
      </c>
      <c r="W27" s="202">
        <f t="shared" si="32"/>
        <v>1493041.9946326732</v>
      </c>
      <c r="X27" s="202">
        <f t="shared" si="32"/>
        <v>1493041.9946326732</v>
      </c>
      <c r="Y27" s="202">
        <f t="shared" si="32"/>
        <v>1493041.9946326732</v>
      </c>
      <c r="Z27" s="202">
        <f t="shared" si="32"/>
        <v>1493041.9946326732</v>
      </c>
      <c r="AA27" s="202">
        <f t="shared" si="32"/>
        <v>1493041.9946326732</v>
      </c>
      <c r="AB27" s="202">
        <f t="shared" si="32"/>
        <v>1493041.9946326732</v>
      </c>
      <c r="AC27" s="202">
        <f t="shared" si="32"/>
        <v>1493041.9946326732</v>
      </c>
      <c r="AD27" s="202">
        <f t="shared" si="32"/>
        <v>1493041.9946326732</v>
      </c>
      <c r="AE27" s="202">
        <f t="shared" si="32"/>
        <v>1493041.9946326732</v>
      </c>
      <c r="AF27" s="202">
        <f t="shared" si="32"/>
        <v>1493041.9946326732</v>
      </c>
      <c r="AG27" s="202">
        <f t="shared" si="32"/>
        <v>1493041.9946326732</v>
      </c>
      <c r="AH27" s="202">
        <f t="shared" si="32"/>
        <v>1537718.733884251</v>
      </c>
      <c r="AI27" s="202">
        <f t="shared" si="32"/>
        <v>1537718.733884251</v>
      </c>
      <c r="AJ27" s="202">
        <f t="shared" si="32"/>
        <v>1537718.733884251</v>
      </c>
      <c r="AK27" s="202">
        <f t="shared" si="32"/>
        <v>1537718.733884251</v>
      </c>
      <c r="AL27" s="202">
        <f t="shared" si="32"/>
        <v>1537718.733884251</v>
      </c>
      <c r="AM27" s="202">
        <f t="shared" si="32"/>
        <v>1537718.733884251</v>
      </c>
      <c r="AN27" s="202">
        <f t="shared" si="32"/>
        <v>1537718.733884251</v>
      </c>
      <c r="AO27" s="202">
        <f t="shared" si="32"/>
        <v>1537718.733884251</v>
      </c>
      <c r="AP27" s="202">
        <f t="shared" si="32"/>
        <v>1537718.733884251</v>
      </c>
      <c r="AQ27" s="202">
        <f t="shared" si="32"/>
        <v>1537718.733884251</v>
      </c>
      <c r="AR27" s="202">
        <f t="shared" si="32"/>
        <v>1537718.733884251</v>
      </c>
      <c r="AS27" s="202">
        <f t="shared" si="32"/>
        <v>1537718.733884251</v>
      </c>
      <c r="AT27" s="202">
        <f t="shared" si="32"/>
        <v>1583732.912298691</v>
      </c>
      <c r="AU27" s="202">
        <f t="shared" si="32"/>
        <v>1583732.912298691</v>
      </c>
      <c r="AV27" s="202">
        <f t="shared" si="32"/>
        <v>1583732.912298691</v>
      </c>
      <c r="AW27" s="202">
        <f t="shared" si="32"/>
        <v>1583732.912298691</v>
      </c>
      <c r="AX27" s="202">
        <f t="shared" si="32"/>
        <v>1583732.912298691</v>
      </c>
      <c r="AY27" s="202">
        <f t="shared" si="32"/>
        <v>1583732.912298691</v>
      </c>
      <c r="AZ27" s="202">
        <f t="shared" si="32"/>
        <v>1583732.912298691</v>
      </c>
      <c r="BA27" s="202">
        <f t="shared" si="32"/>
        <v>1583732.912298691</v>
      </c>
      <c r="BB27" s="202">
        <f t="shared" si="32"/>
        <v>1583732.912298691</v>
      </c>
      <c r="BC27" s="202">
        <f t="shared" si="32"/>
        <v>1583732.912298691</v>
      </c>
      <c r="BD27" s="202">
        <f t="shared" si="32"/>
        <v>1583732.912298691</v>
      </c>
      <c r="BE27" s="202">
        <f t="shared" si="32"/>
        <v>1583732.912298691</v>
      </c>
      <c r="BF27" s="202">
        <f t="shared" si="32"/>
        <v>1631124.5814755124</v>
      </c>
      <c r="BG27" s="202">
        <f t="shared" si="32"/>
        <v>1631124.5814755124</v>
      </c>
      <c r="BH27" s="202">
        <f t="shared" si="32"/>
        <v>1631124.5814755124</v>
      </c>
      <c r="BI27" s="202">
        <f t="shared" si="32"/>
        <v>1631124.5814755124</v>
      </c>
      <c r="BJ27" s="202">
        <f t="shared" si="32"/>
        <v>1631124.5814755124</v>
      </c>
      <c r="BK27" s="202">
        <f t="shared" si="32"/>
        <v>1631124.5814755124</v>
      </c>
      <c r="BL27" s="202">
        <f t="shared" si="32"/>
        <v>1631124.5814755124</v>
      </c>
      <c r="BM27" s="202">
        <f t="shared" si="32"/>
        <v>1631124.5814755124</v>
      </c>
      <c r="BN27" s="202">
        <f t="shared" si="32"/>
        <v>1631124.5814755124</v>
      </c>
      <c r="BO27" s="202">
        <f t="shared" si="32"/>
        <v>1631124.5814755124</v>
      </c>
      <c r="BP27" s="202">
        <f t="shared" si="32"/>
        <v>1631124.5814755124</v>
      </c>
      <c r="BQ27" s="202">
        <f t="shared" si="32"/>
        <v>1631124.5814755124</v>
      </c>
      <c r="BR27" s="202">
        <f t="shared" si="32"/>
        <v>1679934.9927728344</v>
      </c>
      <c r="BS27" s="202">
        <f t="shared" si="32"/>
        <v>1679934.9927728344</v>
      </c>
      <c r="BT27" s="202">
        <f t="shared" si="32"/>
        <v>1679934.9927728344</v>
      </c>
      <c r="BU27" s="202">
        <f t="shared" si="32"/>
        <v>1679934.9927728344</v>
      </c>
      <c r="BV27" s="202">
        <f t="shared" ref="BV27:EG27" si="33">+BV24-BV26</f>
        <v>1679934.9927728344</v>
      </c>
      <c r="BW27" s="202">
        <f t="shared" si="33"/>
        <v>1679934.9927728344</v>
      </c>
      <c r="BX27" s="202">
        <f t="shared" si="33"/>
        <v>1679934.9927728344</v>
      </c>
      <c r="BY27" s="202">
        <f t="shared" si="33"/>
        <v>1679934.9927728344</v>
      </c>
      <c r="BZ27" s="202">
        <f t="shared" si="33"/>
        <v>1679934.9927728344</v>
      </c>
      <c r="CA27" s="202">
        <f t="shared" si="33"/>
        <v>1679934.9927728344</v>
      </c>
      <c r="CB27" s="202">
        <f t="shared" si="33"/>
        <v>1679934.9927728344</v>
      </c>
      <c r="CC27" s="202">
        <f t="shared" si="33"/>
        <v>1679934.9927728344</v>
      </c>
      <c r="CD27" s="202">
        <f t="shared" si="33"/>
        <v>1730206.6332554028</v>
      </c>
      <c r="CE27" s="202">
        <f t="shared" si="33"/>
        <v>1730206.6332554028</v>
      </c>
      <c r="CF27" s="202">
        <f t="shared" si="33"/>
        <v>1730206.6332554028</v>
      </c>
      <c r="CG27" s="202">
        <f t="shared" si="33"/>
        <v>1730206.6332554028</v>
      </c>
      <c r="CH27" s="202">
        <f t="shared" si="33"/>
        <v>1730206.6332554028</v>
      </c>
      <c r="CI27" s="202">
        <f t="shared" si="33"/>
        <v>1730206.6332554028</v>
      </c>
      <c r="CJ27" s="202">
        <f t="shared" si="33"/>
        <v>1730206.6332554028</v>
      </c>
      <c r="CK27" s="202">
        <f t="shared" si="33"/>
        <v>1730206.6332554028</v>
      </c>
      <c r="CL27" s="202">
        <f t="shared" si="33"/>
        <v>1730206.6332554028</v>
      </c>
      <c r="CM27" s="202">
        <f t="shared" si="33"/>
        <v>1730206.6332554028</v>
      </c>
      <c r="CN27" s="202">
        <f t="shared" si="33"/>
        <v>1730206.6332554028</v>
      </c>
      <c r="CO27" s="202">
        <f t="shared" si="33"/>
        <v>1730206.6332554028</v>
      </c>
      <c r="CP27" s="202">
        <f t="shared" si="33"/>
        <v>1781983.2627199329</v>
      </c>
      <c r="CQ27" s="202">
        <f t="shared" si="33"/>
        <v>1781983.2627199329</v>
      </c>
      <c r="CR27" s="202">
        <f t="shared" si="33"/>
        <v>1781983.2627199329</v>
      </c>
      <c r="CS27" s="202">
        <f t="shared" si="33"/>
        <v>1781983.2627199329</v>
      </c>
      <c r="CT27" s="202">
        <f t="shared" si="33"/>
        <v>1781983.2627199329</v>
      </c>
      <c r="CU27" s="202">
        <f t="shared" si="33"/>
        <v>1781983.2627199329</v>
      </c>
      <c r="CV27" s="202">
        <f t="shared" si="33"/>
        <v>1781983.2627199329</v>
      </c>
      <c r="CW27" s="202">
        <f t="shared" si="33"/>
        <v>1781983.2627199329</v>
      </c>
      <c r="CX27" s="202">
        <f t="shared" si="33"/>
        <v>1781983.2627199329</v>
      </c>
      <c r="CY27" s="202">
        <f t="shared" si="33"/>
        <v>1781983.2627199329</v>
      </c>
      <c r="CZ27" s="202">
        <f t="shared" si="33"/>
        <v>1781983.2627199329</v>
      </c>
      <c r="DA27" s="202">
        <f t="shared" si="33"/>
        <v>1781983.2627199329</v>
      </c>
      <c r="DB27" s="202">
        <f t="shared" si="33"/>
        <v>1835309.9518300705</v>
      </c>
      <c r="DC27" s="202">
        <f t="shared" si="33"/>
        <v>1835309.9518300705</v>
      </c>
      <c r="DD27" s="202">
        <f t="shared" si="33"/>
        <v>1835309.9518300705</v>
      </c>
      <c r="DE27" s="202">
        <f t="shared" si="33"/>
        <v>1835309.9518300705</v>
      </c>
      <c r="DF27" s="202">
        <f t="shared" si="33"/>
        <v>1835309.9518300705</v>
      </c>
      <c r="DG27" s="202">
        <f t="shared" si="33"/>
        <v>1835309.9518300705</v>
      </c>
      <c r="DH27" s="202">
        <f t="shared" si="33"/>
        <v>1835309.9518300705</v>
      </c>
      <c r="DI27" s="202">
        <f t="shared" si="33"/>
        <v>1835309.9518300705</v>
      </c>
      <c r="DJ27" s="202">
        <f t="shared" si="33"/>
        <v>1835309.9518300705</v>
      </c>
      <c r="DK27" s="202">
        <f t="shared" si="33"/>
        <v>1835309.9518300705</v>
      </c>
      <c r="DL27" s="202">
        <f t="shared" si="33"/>
        <v>1835309.9518300705</v>
      </c>
      <c r="DM27" s="202">
        <f t="shared" si="33"/>
        <v>1835309.9518300705</v>
      </c>
      <c r="DN27" s="202">
        <f t="shared" si="33"/>
        <v>1890233.1213942256</v>
      </c>
      <c r="DO27" s="202">
        <f t="shared" si="33"/>
        <v>1890233.1213942256</v>
      </c>
      <c r="DP27" s="202">
        <f t="shared" si="33"/>
        <v>1890233.1213942256</v>
      </c>
      <c r="DQ27" s="202">
        <f t="shared" si="33"/>
        <v>1890233.1213942256</v>
      </c>
      <c r="DR27" s="202">
        <f t="shared" si="33"/>
        <v>1890233.1213942256</v>
      </c>
      <c r="DS27" s="202">
        <f t="shared" si="33"/>
        <v>1890233.1213942256</v>
      </c>
      <c r="DT27" s="202">
        <f t="shared" si="33"/>
        <v>1890233.1213942256</v>
      </c>
      <c r="DU27" s="202">
        <f t="shared" si="33"/>
        <v>1890233.1213942256</v>
      </c>
      <c r="DV27" s="202">
        <f t="shared" si="33"/>
        <v>1890233.1213942256</v>
      </c>
      <c r="DW27" s="202">
        <f t="shared" si="33"/>
        <v>1890233.1213942256</v>
      </c>
      <c r="DX27" s="202">
        <f t="shared" si="33"/>
        <v>1890233.1213942256</v>
      </c>
      <c r="DY27" s="202">
        <f t="shared" si="33"/>
        <v>1890233.1213942256</v>
      </c>
      <c r="DZ27" s="202">
        <f t="shared" si="33"/>
        <v>1946800.5828205368</v>
      </c>
      <c r="EA27" s="202">
        <f t="shared" si="33"/>
        <v>1946800.5828205368</v>
      </c>
      <c r="EB27" s="202">
        <f t="shared" si="33"/>
        <v>1946800.5828205368</v>
      </c>
      <c r="EC27" s="202">
        <f t="shared" si="33"/>
        <v>1946800.5828205368</v>
      </c>
      <c r="ED27" s="202">
        <f t="shared" si="33"/>
        <v>1946800.5828205368</v>
      </c>
      <c r="EE27" s="202">
        <f t="shared" si="33"/>
        <v>1946800.5828205368</v>
      </c>
      <c r="EF27" s="202">
        <f t="shared" si="33"/>
        <v>1946800.5828205368</v>
      </c>
      <c r="EG27" s="202">
        <f t="shared" si="33"/>
        <v>1946800.5828205368</v>
      </c>
      <c r="EH27" s="202">
        <f t="shared" ref="EH27:EK27" si="34">+EH24-EH26</f>
        <v>1946800.5828205368</v>
      </c>
      <c r="EI27" s="202">
        <f t="shared" si="34"/>
        <v>1946800.5828205368</v>
      </c>
      <c r="EJ27" s="202">
        <f t="shared" si="34"/>
        <v>1946800.5828205368</v>
      </c>
      <c r="EK27" s="202">
        <f t="shared" si="34"/>
        <v>1946800.5828205368</v>
      </c>
      <c r="EL27" s="209"/>
    </row>
    <row r="28" spans="2:142" ht="14.4" x14ac:dyDescent="0.3">
      <c r="B28" s="179"/>
      <c r="C28" s="211"/>
      <c r="F28" s="214"/>
      <c r="G28" s="215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16"/>
      <c r="CG28" s="216"/>
      <c r="CH28" s="216"/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16"/>
      <c r="CU28" s="216"/>
      <c r="CV28" s="216"/>
      <c r="CW28" s="216"/>
      <c r="CX28" s="216"/>
      <c r="CY28" s="216"/>
      <c r="CZ28" s="216"/>
      <c r="DA28" s="216"/>
      <c r="DB28" s="216"/>
      <c r="DC28" s="216"/>
      <c r="DD28" s="216"/>
      <c r="DE28" s="216"/>
      <c r="DF28" s="216"/>
      <c r="DG28" s="216"/>
      <c r="DH28" s="216"/>
      <c r="DI28" s="216"/>
      <c r="DJ28" s="216"/>
      <c r="DK28" s="216"/>
      <c r="DL28" s="216"/>
      <c r="DM28" s="216"/>
      <c r="DN28" s="216"/>
      <c r="DO28" s="216"/>
      <c r="DP28" s="216"/>
      <c r="DQ28" s="216"/>
      <c r="DR28" s="216"/>
      <c r="DS28" s="216"/>
      <c r="DT28" s="216"/>
      <c r="DU28" s="216"/>
      <c r="DV28" s="216"/>
      <c r="DW28" s="216"/>
      <c r="DX28" s="216"/>
      <c r="DY28" s="216"/>
      <c r="DZ28" s="216"/>
      <c r="EA28" s="216"/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09"/>
    </row>
    <row r="29" spans="2:142" ht="14.4" x14ac:dyDescent="0.3">
      <c r="B29" s="179"/>
      <c r="C29" s="125" t="s">
        <v>31</v>
      </c>
      <c r="D29" s="126"/>
      <c r="E29" s="126"/>
      <c r="F29" s="127"/>
      <c r="G29" s="128"/>
      <c r="H29" s="129">
        <f>SUM(J29:EK29)</f>
        <v>397180572.19467539</v>
      </c>
      <c r="I29" s="126"/>
      <c r="J29" s="130">
        <f>(J16=Summary!$C$22)*SUM(OpProj!J27:U27)/Summary!$G$43</f>
        <v>0</v>
      </c>
      <c r="K29" s="130">
        <f>(K16=Summary!$C$22)*SUM(OpProj!K27:V27)/Summary!$G$43</f>
        <v>0</v>
      </c>
      <c r="L29" s="130">
        <f>(L16=Summary!$C$22)*SUM(OpProj!L27:W27)/Summary!$G$43</f>
        <v>0</v>
      </c>
      <c r="M29" s="130">
        <f>(M16=Summary!$C$22)*SUM(OpProj!M27:X27)/Summary!$G$43</f>
        <v>0</v>
      </c>
      <c r="N29" s="130">
        <f>(N16=Summary!$C$22)*SUM(OpProj!N27:Y27)/Summary!$G$43</f>
        <v>0</v>
      </c>
      <c r="O29" s="130">
        <f>(O16=Summary!$C$22)*SUM(OpProj!O27:Z27)/Summary!$G$43</f>
        <v>0</v>
      </c>
      <c r="P29" s="130">
        <f>(P16=Summary!$C$22)*SUM(OpProj!P27:AA27)/Summary!$G$43</f>
        <v>0</v>
      </c>
      <c r="Q29" s="130">
        <f>(Q16=Summary!$C$22)*SUM(OpProj!Q27:AB27)/Summary!$G$43</f>
        <v>0</v>
      </c>
      <c r="R29" s="130">
        <f>(R16=Summary!$C$22)*SUM(OpProj!R27:AC27)/Summary!$G$43</f>
        <v>0</v>
      </c>
      <c r="S29" s="130">
        <f>(S16=Summary!$C$22)*SUM(OpProj!S27:AD27)/Summary!$G$43</f>
        <v>0</v>
      </c>
      <c r="T29" s="130">
        <f>(T16=Summary!$C$22)*SUM(OpProj!T27:AE27)/Summary!$G$43</f>
        <v>0</v>
      </c>
      <c r="U29" s="130">
        <f>(U16=Summary!$C$22)*SUM(OpProj!U27:AF27)/Summary!$G$43</f>
        <v>397180572.19467539</v>
      </c>
      <c r="V29" s="130">
        <f>(V16=Summary!$C$22)*SUM(OpProj!V27:AG27)/Summary!$G$43</f>
        <v>0</v>
      </c>
      <c r="W29" s="130">
        <f>(W16=Summary!$C$22)*SUM(OpProj!W27:AH27)/Summary!$G$43</f>
        <v>0</v>
      </c>
      <c r="X29" s="130">
        <f>(X16=Summary!$C$22)*SUM(OpProj!X27:AI27)/Summary!$G$43</f>
        <v>0</v>
      </c>
      <c r="Y29" s="130">
        <f>(Y16=Summary!$C$22)*SUM(OpProj!Y27:AJ27)/Summary!$G$43</f>
        <v>0</v>
      </c>
      <c r="Z29" s="130">
        <f>(Z16=Summary!$C$22)*SUM(OpProj!Z27:AK27)/Summary!$G$43</f>
        <v>0</v>
      </c>
      <c r="AA29" s="130">
        <f>(AA16=Summary!$C$22)*SUM(OpProj!AA27:AL27)/Summary!$G$43</f>
        <v>0</v>
      </c>
      <c r="AB29" s="130">
        <f>(AB16=Summary!$C$22)*SUM(OpProj!AB27:AM27)/Summary!$G$43</f>
        <v>0</v>
      </c>
      <c r="AC29" s="130">
        <f>(AC16=Summary!$C$22)*SUM(OpProj!AC27:AN27)/Summary!$G$43</f>
        <v>0</v>
      </c>
      <c r="AD29" s="130">
        <f>(AD16=Summary!$C$22)*SUM(OpProj!AD27:AO27)/Summary!$G$43</f>
        <v>0</v>
      </c>
      <c r="AE29" s="130">
        <f>(AE16=Summary!$C$22)*SUM(OpProj!AE27:AP27)/Summary!$G$43</f>
        <v>0</v>
      </c>
      <c r="AF29" s="130">
        <f>(AF16=Summary!$C$22)*SUM(OpProj!AF27:AQ27)/Summary!$G$43</f>
        <v>0</v>
      </c>
      <c r="AG29" s="130">
        <f>(AG16=Summary!$C$22)*SUM(OpProj!AG27:AR27)/Summary!$G$43</f>
        <v>0</v>
      </c>
      <c r="AH29" s="130">
        <f>(AH16=Summary!$C$22)*SUM(OpProj!AH27:AS27)/Summary!$G$43</f>
        <v>0</v>
      </c>
      <c r="AI29" s="130">
        <f>(AI16=Summary!$C$22)*SUM(OpProj!AI27:AT27)/Summary!$G$43</f>
        <v>0</v>
      </c>
      <c r="AJ29" s="130">
        <f>(AJ16=Summary!$C$22)*SUM(OpProj!AJ27:AU27)/Summary!$G$43</f>
        <v>0</v>
      </c>
      <c r="AK29" s="130">
        <f>(AK16=Summary!$C$22)*SUM(OpProj!AK27:AV27)/Summary!$G$43</f>
        <v>0</v>
      </c>
      <c r="AL29" s="130">
        <f>(AL16=Summary!$C$22)*SUM(OpProj!AL27:AW27)/Summary!$G$43</f>
        <v>0</v>
      </c>
      <c r="AM29" s="130">
        <f>(AM16=Summary!$C$22)*SUM(OpProj!AM27:AX27)/Summary!$G$43</f>
        <v>0</v>
      </c>
      <c r="AN29" s="130">
        <f>(AN16=Summary!$C$22)*SUM(OpProj!AN27:AY27)/Summary!$G$43</f>
        <v>0</v>
      </c>
      <c r="AO29" s="130">
        <f>(AO16=Summary!$C$22)*SUM(OpProj!AO27:AZ27)/Summary!$G$43</f>
        <v>0</v>
      </c>
      <c r="AP29" s="130">
        <f>(AP16=Summary!$C$22)*SUM(OpProj!AP27:BA27)/Summary!$G$43</f>
        <v>0</v>
      </c>
      <c r="AQ29" s="130">
        <f>(AQ16=Summary!$C$22)*SUM(OpProj!AQ27:BB27)/Summary!$G$43</f>
        <v>0</v>
      </c>
      <c r="AR29" s="130">
        <f>(AR16=Summary!$C$22)*SUM(OpProj!AR27:BC27)/Summary!$G$43</f>
        <v>0</v>
      </c>
      <c r="AS29" s="130">
        <f>(AS16=Summary!$C$22)*SUM(OpProj!AS27:BD27)/Summary!$G$43</f>
        <v>0</v>
      </c>
      <c r="AT29" s="130">
        <f>(AT16=Summary!$C$22)*SUM(OpProj!AT27:BE27)/Summary!$G$43</f>
        <v>0</v>
      </c>
      <c r="AU29" s="130">
        <f>(AU16=Summary!$C$22)*SUM(OpProj!AU27:BF27)/Summary!$G$43</f>
        <v>0</v>
      </c>
      <c r="AV29" s="130">
        <f>(AV16=Summary!$C$22)*SUM(OpProj!AV27:BG27)/Summary!$G$43</f>
        <v>0</v>
      </c>
      <c r="AW29" s="130">
        <f>(AW16=Summary!$C$22)*SUM(OpProj!AW27:BH27)/Summary!$G$43</f>
        <v>0</v>
      </c>
      <c r="AX29" s="130">
        <f>(AX16=Summary!$C$22)*SUM(OpProj!AX27:BI27)/Summary!$G$43</f>
        <v>0</v>
      </c>
      <c r="AY29" s="130">
        <f>(AY16=Summary!$C$22)*SUM(OpProj!AY27:BJ27)/Summary!$G$43</f>
        <v>0</v>
      </c>
      <c r="AZ29" s="130">
        <f>(AZ16=Summary!$C$22)*SUM(OpProj!AZ27:BK27)/Summary!$G$43</f>
        <v>0</v>
      </c>
      <c r="BA29" s="130">
        <f>(BA16=Summary!$C$22)*SUM(OpProj!BA27:BL27)/Summary!$G$43</f>
        <v>0</v>
      </c>
      <c r="BB29" s="130">
        <f>(BB16=Summary!$C$22)*SUM(OpProj!BB27:BM27)/Summary!$G$43</f>
        <v>0</v>
      </c>
      <c r="BC29" s="130">
        <f>(BC16=Summary!$C$22)*SUM(OpProj!BC27:BN27)/Summary!$G$43</f>
        <v>0</v>
      </c>
      <c r="BD29" s="130">
        <f>(BD16=Summary!$C$22)*SUM(OpProj!BD27:BO27)/Summary!$G$43</f>
        <v>0</v>
      </c>
      <c r="BE29" s="130">
        <f>(BE16=Summary!$C$22)*SUM(OpProj!BE27:BP27)/Summary!$G$43</f>
        <v>0</v>
      </c>
      <c r="BF29" s="130">
        <f>(BF16=Summary!$C$22)*SUM(OpProj!BF27:BQ27)/Summary!$G$43</f>
        <v>0</v>
      </c>
      <c r="BG29" s="130">
        <f>(BG16=Summary!$C$22)*SUM(OpProj!BG27:BR27)/Summary!$G$43</f>
        <v>0</v>
      </c>
      <c r="BH29" s="130">
        <f>(BH16=Summary!$C$22)*SUM(OpProj!BH27:BS27)/Summary!$G$43</f>
        <v>0</v>
      </c>
      <c r="BI29" s="130">
        <f>(BI16=Summary!$C$22)*SUM(OpProj!BI27:BT27)/Summary!$G$43</f>
        <v>0</v>
      </c>
      <c r="BJ29" s="130">
        <f>(BJ16=Summary!$C$22)*SUM(OpProj!BJ27:BU27)/Summary!$G$43</f>
        <v>0</v>
      </c>
      <c r="BK29" s="130">
        <f>(BK16=Summary!$C$22)*SUM(OpProj!BK27:BV27)/Summary!$G$43</f>
        <v>0</v>
      </c>
      <c r="BL29" s="130">
        <f>(BL16=Summary!$C$22)*SUM(OpProj!BL27:BW27)/Summary!$G$43</f>
        <v>0</v>
      </c>
      <c r="BM29" s="130">
        <f>(BM16=Summary!$C$22)*SUM(OpProj!BM27:BX27)/Summary!$G$43</f>
        <v>0</v>
      </c>
      <c r="BN29" s="130">
        <f>(BN16=Summary!$C$22)*SUM(OpProj!BN27:BY27)/Summary!$G$43</f>
        <v>0</v>
      </c>
      <c r="BO29" s="130">
        <f>(BO16=Summary!$C$22)*SUM(OpProj!BO27:BZ27)/Summary!$G$43</f>
        <v>0</v>
      </c>
      <c r="BP29" s="130">
        <f>(BP16=Summary!$C$22)*SUM(OpProj!BP27:CA27)/Summary!$G$43</f>
        <v>0</v>
      </c>
      <c r="BQ29" s="130">
        <f>(BQ16=Summary!$C$22)*SUM(OpProj!BQ27:CB27)/Summary!$G$43</f>
        <v>0</v>
      </c>
      <c r="BR29" s="130">
        <f>(BR16=Summary!$C$22)*SUM(OpProj!BR27:CC27)/Summary!$G$43</f>
        <v>0</v>
      </c>
      <c r="BS29" s="130">
        <f>(BS16=Summary!$C$22)*SUM(OpProj!BS27:CD27)/Summary!$G$43</f>
        <v>0</v>
      </c>
      <c r="BT29" s="130">
        <f>(BT16=Summary!$C$22)*SUM(OpProj!BT27:CE27)/Summary!$G$43</f>
        <v>0</v>
      </c>
      <c r="BU29" s="130">
        <f>(BU16=Summary!$C$22)*SUM(OpProj!BU27:CF27)/Summary!$G$43</f>
        <v>0</v>
      </c>
      <c r="BV29" s="130">
        <f>(BV16=Summary!$C$22)*SUM(OpProj!BV27:CG27)/Summary!$G$43</f>
        <v>0</v>
      </c>
      <c r="BW29" s="130">
        <f>(BW16=Summary!$C$22)*SUM(OpProj!BW27:CH27)/Summary!$G$43</f>
        <v>0</v>
      </c>
      <c r="BX29" s="130">
        <f>(BX16=Summary!$C$22)*SUM(OpProj!BX27:CI27)/Summary!$G$43</f>
        <v>0</v>
      </c>
      <c r="BY29" s="130">
        <f>(BY16=Summary!$C$22)*SUM(OpProj!BY27:CJ27)/Summary!$G$43</f>
        <v>0</v>
      </c>
      <c r="BZ29" s="130">
        <f>(BZ16=Summary!$C$22)*SUM(OpProj!BZ27:CK27)/Summary!$G$43</f>
        <v>0</v>
      </c>
      <c r="CA29" s="130">
        <f>(CA16=Summary!$C$22)*SUM(OpProj!CA27:CL27)/Summary!$G$43</f>
        <v>0</v>
      </c>
      <c r="CB29" s="130">
        <f>(CB16=Summary!$C$22)*SUM(OpProj!CB27:CM27)/Summary!$G$43</f>
        <v>0</v>
      </c>
      <c r="CC29" s="130">
        <f>(CC16=Summary!$C$22)*SUM(OpProj!CC27:CN27)/Summary!$G$43</f>
        <v>0</v>
      </c>
      <c r="CD29" s="130">
        <f>(CD16=Summary!$C$22)*SUM(OpProj!CD27:CO27)/Summary!$G$43</f>
        <v>0</v>
      </c>
      <c r="CE29" s="130">
        <f>(CE16=Summary!$C$22)*SUM(OpProj!CE27:CP27)/Summary!$G$43</f>
        <v>0</v>
      </c>
      <c r="CF29" s="130">
        <f>(CF16=Summary!$C$22)*SUM(OpProj!CF27:CQ27)/Summary!$G$43</f>
        <v>0</v>
      </c>
      <c r="CG29" s="130">
        <f>(CG16=Summary!$C$22)*SUM(OpProj!CG27:CR27)/Summary!$G$43</f>
        <v>0</v>
      </c>
      <c r="CH29" s="130">
        <f>(CH16=Summary!$C$22)*SUM(OpProj!CH27:CS27)/Summary!$G$43</f>
        <v>0</v>
      </c>
      <c r="CI29" s="130">
        <f>(CI16=Summary!$C$22)*SUM(OpProj!CI27:CT27)/Summary!$G$43</f>
        <v>0</v>
      </c>
      <c r="CJ29" s="130">
        <f>(CJ16=Summary!$C$22)*SUM(OpProj!CJ27:CU27)/Summary!$G$43</f>
        <v>0</v>
      </c>
      <c r="CK29" s="130">
        <f>(CK16=Summary!$C$22)*SUM(OpProj!CK27:CV27)/Summary!$G$43</f>
        <v>0</v>
      </c>
      <c r="CL29" s="130">
        <f>(CL16=Summary!$C$22)*SUM(OpProj!CL27:CW27)/Summary!$G$43</f>
        <v>0</v>
      </c>
      <c r="CM29" s="130">
        <f>(CM16=Summary!$C$22)*SUM(OpProj!CM27:CX27)/Summary!$G$43</f>
        <v>0</v>
      </c>
      <c r="CN29" s="130">
        <f>(CN16=Summary!$C$22)*SUM(OpProj!CN27:CY27)/Summary!$G$43</f>
        <v>0</v>
      </c>
      <c r="CO29" s="130">
        <f>(CO16=Summary!$C$22)*SUM(OpProj!CO27:CZ27)/Summary!$G$43</f>
        <v>0</v>
      </c>
      <c r="CP29" s="130">
        <f>(CP16=Summary!$C$22)*SUM(OpProj!CP27:DA27)/Summary!$G$43</f>
        <v>0</v>
      </c>
      <c r="CQ29" s="130">
        <f>(CQ16=Summary!$C$22)*SUM(OpProj!CQ27:DB27)/Summary!$G$43</f>
        <v>0</v>
      </c>
      <c r="CR29" s="130">
        <f>(CR16=Summary!$C$22)*SUM(OpProj!CR27:DC27)/Summary!$G$43</f>
        <v>0</v>
      </c>
      <c r="CS29" s="130">
        <f>(CS16=Summary!$C$22)*SUM(OpProj!CS27:DD27)/Summary!$G$43</f>
        <v>0</v>
      </c>
      <c r="CT29" s="130">
        <f>(CT16=Summary!$C$22)*SUM(OpProj!CT27:DE27)/Summary!$G$43</f>
        <v>0</v>
      </c>
      <c r="CU29" s="130">
        <f>(CU16=Summary!$C$22)*SUM(OpProj!CU27:DF27)/Summary!$G$43</f>
        <v>0</v>
      </c>
      <c r="CV29" s="130">
        <f>(CV16=Summary!$C$22)*SUM(OpProj!CV27:DG27)/Summary!$G$43</f>
        <v>0</v>
      </c>
      <c r="CW29" s="130">
        <f>(CW16=Summary!$C$22)*SUM(OpProj!CW27:DH27)/Summary!$G$43</f>
        <v>0</v>
      </c>
      <c r="CX29" s="130">
        <f>(CX16=Summary!$C$22)*SUM(OpProj!CX27:DI27)/Summary!$G$43</f>
        <v>0</v>
      </c>
      <c r="CY29" s="130">
        <f>(CY16=Summary!$C$22)*SUM(OpProj!CY27:DJ27)/Summary!$G$43</f>
        <v>0</v>
      </c>
      <c r="CZ29" s="130">
        <f>(CZ16=Summary!$C$22)*SUM(OpProj!CZ27:DK27)/Summary!$G$43</f>
        <v>0</v>
      </c>
      <c r="DA29" s="130">
        <f>(DA16=Summary!$C$22)*SUM(OpProj!DA27:DL27)/Summary!$G$43</f>
        <v>0</v>
      </c>
      <c r="DB29" s="130">
        <f>(DB16=Summary!$C$22)*SUM(OpProj!DB27:DM27)/Summary!$G$43</f>
        <v>0</v>
      </c>
      <c r="DC29" s="130">
        <f>(DC16=Summary!$C$22)*SUM(OpProj!DC27:DN27)/Summary!$G$43</f>
        <v>0</v>
      </c>
      <c r="DD29" s="130">
        <f>(DD16=Summary!$C$22)*SUM(OpProj!DD27:DO27)/Summary!$G$43</f>
        <v>0</v>
      </c>
      <c r="DE29" s="130">
        <f>(DE16=Summary!$C$22)*SUM(OpProj!DE27:DP27)/Summary!$G$43</f>
        <v>0</v>
      </c>
      <c r="DF29" s="130">
        <f>(DF16=Summary!$C$22)*SUM(OpProj!DF27:DQ27)/Summary!$G$43</f>
        <v>0</v>
      </c>
      <c r="DG29" s="130">
        <f>(DG16=Summary!$C$22)*SUM(OpProj!DG27:DR27)/Summary!$G$43</f>
        <v>0</v>
      </c>
      <c r="DH29" s="130">
        <f>(DH16=Summary!$C$22)*SUM(OpProj!DH27:DS27)/Summary!$G$43</f>
        <v>0</v>
      </c>
      <c r="DI29" s="130">
        <f>(DI16=Summary!$C$22)*SUM(OpProj!DI27:DT27)/Summary!$G$43</f>
        <v>0</v>
      </c>
      <c r="DJ29" s="130">
        <f>(DJ16=Summary!$C$22)*SUM(OpProj!DJ27:DU27)/Summary!$G$43</f>
        <v>0</v>
      </c>
      <c r="DK29" s="130">
        <f>(DK16=Summary!$C$22)*SUM(OpProj!DK27:DV27)/Summary!$G$43</f>
        <v>0</v>
      </c>
      <c r="DL29" s="130">
        <f>(DL16=Summary!$C$22)*SUM(OpProj!DL27:DW27)/Summary!$G$43</f>
        <v>0</v>
      </c>
      <c r="DM29" s="130">
        <f>(DM16=Summary!$C$22)*SUM(OpProj!DM27:DX27)/Summary!$G$43</f>
        <v>0</v>
      </c>
      <c r="DN29" s="130">
        <f>(DN16=Summary!$C$22)*SUM(OpProj!DN27:DY27)/Summary!$G$43</f>
        <v>0</v>
      </c>
      <c r="DO29" s="130">
        <f>(DO16=Summary!$C$22)*SUM(OpProj!DO27:DZ27)/Summary!$G$43</f>
        <v>0</v>
      </c>
      <c r="DP29" s="130">
        <f>(DP16=Summary!$C$22)*SUM(OpProj!DP27:EA27)/Summary!$G$43</f>
        <v>0</v>
      </c>
      <c r="DQ29" s="130">
        <f>(DQ16=Summary!$C$22)*SUM(OpProj!DQ27:EB27)/Summary!$G$43</f>
        <v>0</v>
      </c>
      <c r="DR29" s="130">
        <f>(DR16=Summary!$C$22)*SUM(OpProj!DR27:EC27)/Summary!$G$43</f>
        <v>0</v>
      </c>
      <c r="DS29" s="130">
        <f>(DS16=Summary!$C$22)*SUM(OpProj!DS27:ED27)/Summary!$G$43</f>
        <v>0</v>
      </c>
      <c r="DT29" s="130">
        <f>(DT16=Summary!$C$22)*SUM(OpProj!DT27:EE27)/Summary!$G$43</f>
        <v>0</v>
      </c>
      <c r="DU29" s="130">
        <f>(DU16=Summary!$C$22)*SUM(OpProj!DU27:EF27)/Summary!$G$43</f>
        <v>0</v>
      </c>
      <c r="DV29" s="130">
        <f>(DV16=Summary!$C$22)*SUM(OpProj!DV27:EG27)/Summary!$G$43</f>
        <v>0</v>
      </c>
      <c r="DW29" s="130">
        <f>(DW16=Summary!$C$22)*SUM(OpProj!DW27:EH27)/Summary!$G$43</f>
        <v>0</v>
      </c>
      <c r="DX29" s="130">
        <f>(DX16=Summary!$C$22)*SUM(OpProj!DX27:EI27)/Summary!$G$43</f>
        <v>0</v>
      </c>
      <c r="DY29" s="130">
        <f>(DY16=Summary!$C$22)*SUM(OpProj!DY27:EJ27)/Summary!$G$43</f>
        <v>0</v>
      </c>
      <c r="DZ29" s="130">
        <f>(DZ16=Summary!$C$22)*SUM(OpProj!DZ27:EK27)/Summary!$G$43</f>
        <v>0</v>
      </c>
      <c r="EA29" s="130">
        <f>(EA16=Summary!$C$22)*SUM(OpProj!EA27:EL27)/Summary!$G$43</f>
        <v>0</v>
      </c>
      <c r="EB29" s="130">
        <f>(EB16=Summary!$C$22)*SUM(OpProj!EB27:EM27)/Summary!$G$43</f>
        <v>0</v>
      </c>
      <c r="EC29" s="130">
        <f>(EC16=Summary!$C$22)*SUM(OpProj!EC27:EN27)/Summary!$G$43</f>
        <v>0</v>
      </c>
      <c r="ED29" s="130">
        <f>(ED16=Summary!$C$22)*SUM(OpProj!ED27:EO27)/Summary!$G$43</f>
        <v>0</v>
      </c>
      <c r="EE29" s="130">
        <f>(EE16=Summary!$C$22)*SUM(OpProj!EE27:EP27)/Summary!$G$43</f>
        <v>0</v>
      </c>
      <c r="EF29" s="130">
        <f>(EF16=Summary!$C$22)*SUM(OpProj!EF27:EQ27)/Summary!$G$43</f>
        <v>0</v>
      </c>
      <c r="EG29" s="130">
        <f>(EG16=Summary!$C$22)*SUM(OpProj!EG27:ER27)/Summary!$G$43</f>
        <v>0</v>
      </c>
      <c r="EH29" s="130">
        <f>(EH16=Summary!$C$22)*SUM(OpProj!EH27:ES27)/Summary!$G$43</f>
        <v>0</v>
      </c>
      <c r="EI29" s="130">
        <f>(EI16=Summary!$C$22)*SUM(OpProj!EI27:ET27)/Summary!$G$43</f>
        <v>0</v>
      </c>
      <c r="EJ29" s="130">
        <f>(EJ16=Summary!$C$22)*SUM(OpProj!EJ27:EU27)/Summary!$G$43</f>
        <v>0</v>
      </c>
      <c r="EK29" s="131">
        <f>(EK16=Summary!$C$22)*SUM(OpProj!EK27:EV27)/Summary!$G$43</f>
        <v>0</v>
      </c>
      <c r="EL29" s="209"/>
    </row>
    <row r="30" spans="2:142" ht="14.4" x14ac:dyDescent="0.3">
      <c r="B30" s="179"/>
      <c r="C30" s="211"/>
      <c r="F30" s="214"/>
      <c r="G30" s="215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6"/>
      <c r="BK30" s="216"/>
      <c r="BL30" s="216"/>
      <c r="BM30" s="216"/>
      <c r="BN30" s="216"/>
      <c r="BO30" s="216"/>
      <c r="BP30" s="216"/>
      <c r="BQ30" s="216"/>
      <c r="BR30" s="216"/>
      <c r="BS30" s="216"/>
      <c r="BT30" s="216"/>
      <c r="BU30" s="216"/>
      <c r="BV30" s="216"/>
      <c r="BW30" s="216"/>
      <c r="BX30" s="216"/>
      <c r="BY30" s="216"/>
      <c r="BZ30" s="216"/>
      <c r="CA30" s="216"/>
      <c r="CB30" s="216"/>
      <c r="CC30" s="216"/>
      <c r="CD30" s="216"/>
      <c r="CE30" s="216"/>
      <c r="CF30" s="216"/>
      <c r="CG30" s="216"/>
      <c r="CH30" s="216"/>
      <c r="CI30" s="216"/>
      <c r="CJ30" s="216"/>
      <c r="CK30" s="216"/>
      <c r="CL30" s="216"/>
      <c r="CM30" s="216"/>
      <c r="CN30" s="216"/>
      <c r="CO30" s="216"/>
      <c r="CP30" s="216"/>
      <c r="CQ30" s="216"/>
      <c r="CR30" s="216"/>
      <c r="CS30" s="216"/>
      <c r="CT30" s="216"/>
      <c r="CU30" s="216"/>
      <c r="CV30" s="216"/>
      <c r="CW30" s="216"/>
      <c r="CX30" s="216"/>
      <c r="CY30" s="216"/>
      <c r="CZ30" s="216"/>
      <c r="DA30" s="216"/>
      <c r="DB30" s="216"/>
      <c r="DC30" s="216"/>
      <c r="DD30" s="216"/>
      <c r="DE30" s="216"/>
      <c r="DF30" s="216"/>
      <c r="DG30" s="216"/>
      <c r="DH30" s="216"/>
      <c r="DI30" s="216"/>
      <c r="DJ30" s="216"/>
      <c r="DK30" s="216"/>
      <c r="DL30" s="216"/>
      <c r="DM30" s="216"/>
      <c r="DN30" s="216"/>
      <c r="DO30" s="216"/>
      <c r="DP30" s="216"/>
      <c r="DQ30" s="216"/>
      <c r="DR30" s="216"/>
      <c r="DS30" s="216"/>
      <c r="DT30" s="216"/>
      <c r="DU30" s="216"/>
      <c r="DV30" s="216"/>
      <c r="DW30" s="216"/>
      <c r="DX30" s="216"/>
      <c r="DY30" s="216"/>
      <c r="DZ30" s="216"/>
      <c r="EA30" s="216"/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09"/>
    </row>
    <row r="31" spans="2:142" ht="16.2" x14ac:dyDescent="0.45">
      <c r="B31" s="179"/>
      <c r="C31" s="211" t="s">
        <v>143</v>
      </c>
      <c r="F31" s="214"/>
      <c r="G31" s="215"/>
      <c r="H31" s="210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  <c r="CV31" s="217"/>
      <c r="CW31" s="217"/>
      <c r="CX31" s="217"/>
      <c r="CY31" s="217"/>
      <c r="CZ31" s="217"/>
      <c r="DA31" s="217"/>
      <c r="DB31" s="217"/>
      <c r="DC31" s="217"/>
      <c r="DD31" s="217"/>
      <c r="DE31" s="217"/>
      <c r="DF31" s="217"/>
      <c r="DG31" s="217"/>
      <c r="DH31" s="217"/>
      <c r="DI31" s="217"/>
      <c r="DJ31" s="217"/>
      <c r="DK31" s="217"/>
      <c r="DL31" s="217"/>
      <c r="DM31" s="217"/>
      <c r="DN31" s="217"/>
      <c r="DO31" s="217"/>
      <c r="DP31" s="217"/>
      <c r="DQ31" s="217"/>
      <c r="DR31" s="217"/>
      <c r="DS31" s="217"/>
      <c r="DT31" s="217"/>
      <c r="DU31" s="217"/>
      <c r="DV31" s="217"/>
      <c r="DW31" s="217"/>
      <c r="DX31" s="217"/>
      <c r="DY31" s="217"/>
      <c r="DZ31" s="217"/>
      <c r="EA31" s="217"/>
      <c r="EB31" s="217"/>
      <c r="EC31" s="217"/>
      <c r="ED31" s="217"/>
      <c r="EE31" s="217"/>
      <c r="EF31" s="217"/>
      <c r="EG31" s="217"/>
      <c r="EH31" s="217"/>
      <c r="EI31" s="217"/>
      <c r="EJ31" s="217"/>
      <c r="EK31" s="217"/>
      <c r="EL31" s="209"/>
    </row>
    <row r="32" spans="2:142" ht="14.4" x14ac:dyDescent="0.3">
      <c r="B32" s="218"/>
      <c r="C32" s="219"/>
      <c r="D32" s="219"/>
      <c r="E32" s="219"/>
      <c r="F32" s="219"/>
      <c r="G32" s="219"/>
      <c r="H32" s="220"/>
      <c r="I32" s="219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1"/>
      <c r="CA32" s="221"/>
      <c r="CB32" s="221"/>
      <c r="CC32" s="221"/>
      <c r="CD32" s="221"/>
      <c r="CE32" s="221"/>
      <c r="CF32" s="221"/>
      <c r="CG32" s="221"/>
      <c r="CH32" s="221"/>
      <c r="CI32" s="221"/>
      <c r="CJ32" s="221"/>
      <c r="CK32" s="221"/>
      <c r="CL32" s="221"/>
      <c r="CM32" s="221"/>
      <c r="CN32" s="221"/>
      <c r="CO32" s="221"/>
      <c r="CP32" s="221"/>
      <c r="CQ32" s="221"/>
      <c r="CR32" s="221"/>
      <c r="CS32" s="221"/>
      <c r="CT32" s="221"/>
      <c r="CU32" s="221"/>
      <c r="CV32" s="221"/>
      <c r="CW32" s="221"/>
      <c r="CX32" s="221"/>
      <c r="CY32" s="221"/>
      <c r="CZ32" s="221"/>
      <c r="DA32" s="221"/>
      <c r="DB32" s="221"/>
      <c r="DC32" s="221"/>
      <c r="DD32" s="221"/>
      <c r="DE32" s="221"/>
      <c r="DF32" s="221"/>
      <c r="DG32" s="221"/>
      <c r="DH32" s="221"/>
      <c r="DI32" s="221"/>
      <c r="DJ32" s="221"/>
      <c r="DK32" s="221"/>
      <c r="DL32" s="221"/>
      <c r="DM32" s="221"/>
      <c r="DN32" s="221"/>
      <c r="DO32" s="221"/>
      <c r="DP32" s="221"/>
      <c r="DQ32" s="221"/>
      <c r="DR32" s="221"/>
      <c r="DS32" s="221"/>
      <c r="DT32" s="221"/>
      <c r="DU32" s="221"/>
      <c r="DV32" s="221"/>
      <c r="DW32" s="221"/>
      <c r="DX32" s="221"/>
      <c r="DY32" s="221"/>
      <c r="DZ32" s="221"/>
      <c r="EA32" s="221"/>
      <c r="EB32" s="221"/>
      <c r="EC32" s="221"/>
      <c r="ED32" s="221"/>
      <c r="EE32" s="221"/>
      <c r="EF32" s="221"/>
      <c r="EG32" s="221"/>
      <c r="EH32" s="221"/>
      <c r="EI32" s="221"/>
      <c r="EJ32" s="221"/>
      <c r="EK32" s="221"/>
      <c r="EL32" s="222"/>
    </row>
    <row r="33" spans="2:145" ht="14.4" x14ac:dyDescent="0.3">
      <c r="B33" s="12"/>
      <c r="C33" s="12"/>
      <c r="D33" s="12"/>
      <c r="E33" s="12"/>
      <c r="F33" s="12"/>
      <c r="G33" s="12"/>
      <c r="H33" s="224"/>
      <c r="I33" s="12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1"/>
      <c r="DA33" s="111"/>
      <c r="DB33" s="111"/>
      <c r="DC33" s="111"/>
      <c r="DD33" s="111"/>
      <c r="DE33" s="111"/>
      <c r="DF33" s="111"/>
      <c r="DG33" s="111"/>
      <c r="DH33" s="111"/>
      <c r="DI33" s="111"/>
      <c r="DJ33" s="111"/>
      <c r="DK33" s="111"/>
      <c r="DL33" s="111"/>
      <c r="DM33" s="111"/>
      <c r="DN33" s="111"/>
      <c r="DO33" s="111"/>
      <c r="DP33" s="111"/>
      <c r="DQ33" s="111"/>
      <c r="DR33" s="111"/>
      <c r="DS33" s="111"/>
      <c r="DT33" s="111"/>
      <c r="DU33" s="111"/>
      <c r="DV33" s="111"/>
      <c r="DW33" s="111"/>
      <c r="DX33" s="111"/>
      <c r="DY33" s="111"/>
      <c r="DZ33" s="111"/>
      <c r="EA33" s="111"/>
      <c r="EB33" s="111"/>
      <c r="EC33" s="111"/>
      <c r="ED33" s="111"/>
      <c r="EE33" s="111"/>
      <c r="EF33" s="111"/>
      <c r="EG33" s="111"/>
      <c r="EH33" s="111"/>
      <c r="EI33" s="111"/>
      <c r="EJ33" s="111"/>
      <c r="EK33" s="111"/>
      <c r="EL33" s="111"/>
    </row>
    <row r="34" spans="2:145" ht="14.4" x14ac:dyDescent="0.3">
      <c r="B34" s="12"/>
      <c r="C34" s="12"/>
      <c r="D34" s="12"/>
      <c r="E34" s="12"/>
      <c r="F34" s="12"/>
      <c r="G34" s="12"/>
      <c r="H34" s="224"/>
      <c r="I34" s="12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  <c r="CZ34" s="111"/>
      <c r="DA34" s="111"/>
      <c r="DB34" s="111"/>
      <c r="DC34" s="111"/>
      <c r="DD34" s="111"/>
      <c r="DE34" s="111"/>
      <c r="DF34" s="111"/>
      <c r="DG34" s="111"/>
      <c r="DH34" s="111"/>
      <c r="DI34" s="111"/>
      <c r="DJ34" s="111"/>
      <c r="DK34" s="111"/>
      <c r="DL34" s="111"/>
      <c r="DM34" s="111"/>
      <c r="DN34" s="111"/>
      <c r="DO34" s="111"/>
      <c r="DP34" s="111"/>
      <c r="DQ34" s="111"/>
      <c r="DR34" s="111"/>
      <c r="DS34" s="111"/>
      <c r="DT34" s="111"/>
      <c r="DU34" s="111"/>
      <c r="DV34" s="111"/>
      <c r="DW34" s="111"/>
      <c r="DX34" s="111"/>
      <c r="DY34" s="111"/>
      <c r="DZ34" s="111"/>
      <c r="EA34" s="111"/>
      <c r="EB34" s="111"/>
      <c r="EC34" s="111"/>
      <c r="ED34" s="111"/>
      <c r="EE34" s="111"/>
      <c r="EF34" s="111"/>
      <c r="EG34" s="111"/>
      <c r="EH34" s="111"/>
      <c r="EI34" s="111"/>
      <c r="EJ34" s="111"/>
      <c r="EK34" s="111"/>
      <c r="EL34" s="111"/>
    </row>
    <row r="35" spans="2:145" ht="14.4" x14ac:dyDescent="0.3">
      <c r="B35" s="12"/>
      <c r="C35" s="12"/>
      <c r="D35" s="12"/>
      <c r="E35" s="12"/>
      <c r="F35" s="12"/>
      <c r="G35" s="12"/>
      <c r="H35" s="111"/>
      <c r="I35" s="12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223"/>
      <c r="BS35" s="223"/>
      <c r="BT35" s="223"/>
      <c r="BU35" s="223"/>
      <c r="BV35" s="223"/>
      <c r="BW35" s="223"/>
      <c r="BX35" s="223"/>
      <c r="BY35" s="223"/>
      <c r="BZ35" s="223"/>
      <c r="CA35" s="223"/>
      <c r="CB35" s="223"/>
      <c r="CC35" s="223"/>
      <c r="CD35" s="223"/>
      <c r="CE35" s="223"/>
      <c r="CF35" s="223"/>
      <c r="CG35" s="223"/>
      <c r="CH35" s="223"/>
      <c r="CI35" s="223"/>
      <c r="CJ35" s="223"/>
      <c r="CK35" s="223"/>
      <c r="CL35" s="223"/>
      <c r="CM35" s="223"/>
      <c r="CN35" s="223"/>
      <c r="CO35" s="223"/>
      <c r="CP35" s="223"/>
      <c r="CQ35" s="223"/>
      <c r="CR35" s="223"/>
      <c r="CS35" s="223"/>
      <c r="CT35" s="223"/>
      <c r="CU35" s="223"/>
      <c r="CV35" s="223"/>
      <c r="CW35" s="223"/>
      <c r="CX35" s="223"/>
      <c r="CY35" s="223"/>
      <c r="CZ35" s="223"/>
      <c r="DA35" s="223"/>
      <c r="DB35" s="223"/>
      <c r="DC35" s="223"/>
      <c r="DD35" s="223"/>
      <c r="DE35" s="223"/>
      <c r="DF35" s="223"/>
      <c r="DG35" s="223"/>
      <c r="DH35" s="223"/>
      <c r="DI35" s="223"/>
      <c r="DJ35" s="223"/>
      <c r="DK35" s="223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  <c r="DV35" s="223"/>
      <c r="DW35" s="223"/>
      <c r="DX35" s="223"/>
      <c r="DY35" s="223"/>
      <c r="DZ35" s="223"/>
      <c r="EA35" s="223"/>
      <c r="EB35" s="223"/>
      <c r="EC35" s="223"/>
      <c r="ED35" s="223"/>
      <c r="EE35" s="223"/>
      <c r="EF35" s="223"/>
      <c r="EG35" s="223"/>
      <c r="EH35" s="223"/>
      <c r="EI35" s="223"/>
      <c r="EJ35" s="223"/>
      <c r="EK35" s="223"/>
      <c r="EL35" s="223"/>
      <c r="EM35" s="223"/>
      <c r="EN35" s="223"/>
      <c r="EO35" s="111"/>
    </row>
    <row r="36" spans="2:145" ht="14.4" x14ac:dyDescent="0.3">
      <c r="B36" s="12"/>
      <c r="C36" s="29"/>
      <c r="D36" s="12"/>
      <c r="E36" s="12"/>
      <c r="F36" s="12"/>
      <c r="G36" s="12"/>
      <c r="H36" s="111"/>
      <c r="I36" s="12"/>
      <c r="J36" s="111"/>
      <c r="K36" s="224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1"/>
      <c r="DA36" s="111"/>
      <c r="DB36" s="111"/>
      <c r="DC36" s="111"/>
      <c r="DD36" s="111"/>
      <c r="DE36" s="111"/>
      <c r="DF36" s="111"/>
      <c r="DG36" s="111"/>
      <c r="DH36" s="111"/>
      <c r="DI36" s="111"/>
      <c r="DJ36" s="111"/>
      <c r="DK36" s="111"/>
      <c r="DL36" s="111"/>
      <c r="DM36" s="111"/>
      <c r="DN36" s="111"/>
      <c r="DO36" s="111"/>
      <c r="DP36" s="111"/>
      <c r="DQ36" s="111"/>
      <c r="DR36" s="111"/>
      <c r="DS36" s="111"/>
      <c r="DT36" s="111"/>
      <c r="DU36" s="111"/>
      <c r="DV36" s="111"/>
      <c r="DW36" s="111"/>
      <c r="DX36" s="111"/>
      <c r="DY36" s="111"/>
      <c r="DZ36" s="111"/>
      <c r="EA36" s="111"/>
      <c r="EB36" s="111"/>
      <c r="EC36" s="111"/>
      <c r="ED36" s="111"/>
      <c r="EE36" s="111"/>
      <c r="EF36" s="111"/>
      <c r="EG36" s="111"/>
      <c r="EH36" s="111"/>
      <c r="EI36" s="111"/>
      <c r="EJ36" s="111"/>
      <c r="EK36" s="111"/>
      <c r="EL36" s="111"/>
      <c r="EM36" s="111"/>
      <c r="EN36" s="111"/>
      <c r="EO36" s="111"/>
    </row>
    <row r="37" spans="2:145" ht="14.4" x14ac:dyDescent="0.3">
      <c r="B37" s="12"/>
      <c r="C37" s="12"/>
      <c r="D37" s="12"/>
      <c r="E37" s="12"/>
      <c r="F37" s="12"/>
      <c r="G37" s="12"/>
      <c r="H37" s="111"/>
      <c r="I37" s="12"/>
      <c r="J37" s="111"/>
      <c r="K37" s="224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11"/>
      <c r="DA37" s="111"/>
      <c r="DB37" s="111"/>
      <c r="DC37" s="111"/>
      <c r="DD37" s="111"/>
      <c r="DE37" s="111"/>
      <c r="DF37" s="111"/>
      <c r="DG37" s="111"/>
      <c r="DH37" s="111"/>
      <c r="DI37" s="111"/>
      <c r="DJ37" s="111"/>
      <c r="DK37" s="111"/>
      <c r="DL37" s="111"/>
      <c r="DM37" s="111"/>
      <c r="DN37" s="111"/>
      <c r="DO37" s="111"/>
      <c r="DP37" s="111"/>
      <c r="DQ37" s="111"/>
      <c r="DR37" s="111"/>
      <c r="DS37" s="111"/>
      <c r="DT37" s="111"/>
      <c r="DU37" s="111"/>
      <c r="DV37" s="111"/>
      <c r="DW37" s="111"/>
      <c r="DX37" s="111"/>
      <c r="DY37" s="111"/>
      <c r="DZ37" s="111"/>
      <c r="EA37" s="111"/>
      <c r="EB37" s="111"/>
      <c r="EC37" s="111"/>
      <c r="ED37" s="111"/>
      <c r="EE37" s="111"/>
      <c r="EF37" s="111"/>
      <c r="EG37" s="111"/>
      <c r="EH37" s="111"/>
      <c r="EI37" s="111"/>
      <c r="EJ37" s="111"/>
      <c r="EK37" s="111"/>
      <c r="EL37" s="111"/>
      <c r="EM37" s="111"/>
      <c r="EN37" s="111"/>
      <c r="EO37" s="111"/>
    </row>
    <row r="38" spans="2:145" ht="14.4" x14ac:dyDescent="0.3">
      <c r="B38" s="12"/>
      <c r="C38" s="12"/>
      <c r="D38" s="12"/>
      <c r="E38" s="12"/>
      <c r="F38" s="12"/>
      <c r="G38" s="12"/>
      <c r="H38" s="111"/>
      <c r="I38" s="12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1"/>
      <c r="DA38" s="111"/>
      <c r="DB38" s="111"/>
      <c r="DC38" s="111"/>
      <c r="DD38" s="111"/>
      <c r="DE38" s="111"/>
      <c r="DF38" s="111"/>
      <c r="DG38" s="111"/>
      <c r="DH38" s="111"/>
      <c r="DI38" s="111"/>
      <c r="DJ38" s="111"/>
      <c r="DK38" s="111"/>
      <c r="DL38" s="111"/>
      <c r="DM38" s="111"/>
      <c r="DN38" s="111"/>
      <c r="DO38" s="111"/>
      <c r="DP38" s="111"/>
      <c r="DQ38" s="111"/>
      <c r="DR38" s="111"/>
      <c r="DS38" s="111"/>
      <c r="DT38" s="111"/>
      <c r="DU38" s="111"/>
      <c r="DV38" s="111"/>
      <c r="DW38" s="111"/>
      <c r="DX38" s="111"/>
      <c r="DY38" s="111"/>
      <c r="DZ38" s="111"/>
      <c r="EA38" s="111"/>
      <c r="EB38" s="111"/>
      <c r="EC38" s="111"/>
      <c r="ED38" s="111"/>
      <c r="EE38" s="111"/>
      <c r="EF38" s="111"/>
      <c r="EG38" s="111"/>
      <c r="EH38" s="111"/>
      <c r="EI38" s="111"/>
      <c r="EJ38" s="111"/>
      <c r="EK38" s="111"/>
      <c r="EL38" s="111"/>
      <c r="EM38" s="111"/>
      <c r="EN38" s="111"/>
      <c r="EO38" s="111"/>
    </row>
    <row r="39" spans="2:145" ht="14.4" x14ac:dyDescent="0.3">
      <c r="B39" s="12"/>
      <c r="C39" s="29"/>
      <c r="D39" s="12"/>
      <c r="E39" s="12"/>
      <c r="F39" s="12"/>
      <c r="G39" s="12"/>
      <c r="H39" s="225"/>
      <c r="I39" s="12"/>
      <c r="J39" s="111"/>
      <c r="K39" s="224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11"/>
      <c r="CS39" s="111"/>
      <c r="CT39" s="111"/>
      <c r="CU39" s="111"/>
      <c r="CV39" s="111"/>
      <c r="CW39" s="111"/>
      <c r="CX39" s="111"/>
      <c r="CY39" s="111"/>
      <c r="CZ39" s="111"/>
      <c r="DA39" s="111"/>
      <c r="DB39" s="111"/>
      <c r="DC39" s="111"/>
      <c r="DD39" s="111"/>
      <c r="DE39" s="111"/>
      <c r="DF39" s="111"/>
      <c r="DG39" s="111"/>
      <c r="DH39" s="111"/>
      <c r="DI39" s="111"/>
      <c r="DJ39" s="111"/>
      <c r="DK39" s="111"/>
      <c r="DL39" s="111"/>
      <c r="DM39" s="111"/>
      <c r="DN39" s="111"/>
      <c r="DO39" s="111"/>
      <c r="DP39" s="111"/>
      <c r="DQ39" s="111"/>
      <c r="DR39" s="111"/>
      <c r="DS39" s="111"/>
      <c r="DT39" s="111"/>
      <c r="DU39" s="111"/>
      <c r="DV39" s="111"/>
      <c r="DW39" s="111"/>
      <c r="DX39" s="111"/>
      <c r="DY39" s="111"/>
      <c r="DZ39" s="111"/>
      <c r="EA39" s="111"/>
      <c r="EB39" s="111"/>
      <c r="EC39" s="111"/>
      <c r="ED39" s="111"/>
      <c r="EE39" s="111"/>
      <c r="EF39" s="111"/>
      <c r="EG39" s="111"/>
      <c r="EH39" s="111"/>
      <c r="EI39" s="111"/>
      <c r="EJ39" s="111"/>
      <c r="EK39" s="111"/>
      <c r="EL39" s="111"/>
      <c r="EM39" s="111"/>
      <c r="EN39" s="111"/>
      <c r="EO39" s="111"/>
    </row>
    <row r="40" spans="2:145" ht="14.4" x14ac:dyDescent="0.3">
      <c r="B40" s="12"/>
      <c r="C40" s="12"/>
      <c r="D40" s="12"/>
      <c r="E40" s="12"/>
      <c r="F40" s="12"/>
      <c r="G40" s="12"/>
      <c r="H40" s="224"/>
      <c r="I40" s="12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  <c r="CZ40" s="111"/>
      <c r="DA40" s="111"/>
      <c r="DB40" s="111"/>
      <c r="DC40" s="111"/>
      <c r="DD40" s="111"/>
      <c r="DE40" s="111"/>
      <c r="DF40" s="111"/>
      <c r="DG40" s="111"/>
      <c r="DH40" s="111"/>
      <c r="DI40" s="111"/>
      <c r="DJ40" s="111"/>
      <c r="DK40" s="111"/>
      <c r="DL40" s="111"/>
      <c r="DM40" s="111"/>
      <c r="DN40" s="111"/>
      <c r="DO40" s="111"/>
      <c r="DP40" s="111"/>
      <c r="DQ40" s="111"/>
      <c r="DR40" s="111"/>
      <c r="DS40" s="111"/>
      <c r="DT40" s="111"/>
      <c r="DU40" s="111"/>
      <c r="DV40" s="111"/>
      <c r="DW40" s="111"/>
      <c r="DX40" s="111"/>
      <c r="DY40" s="111"/>
      <c r="DZ40" s="111"/>
      <c r="EA40" s="111"/>
      <c r="EB40" s="111"/>
      <c r="EC40" s="111"/>
      <c r="ED40" s="111"/>
      <c r="EE40" s="111"/>
      <c r="EF40" s="111"/>
      <c r="EG40" s="111"/>
      <c r="EH40" s="111"/>
      <c r="EI40" s="111"/>
      <c r="EJ40" s="111"/>
      <c r="EK40" s="111"/>
      <c r="EL40" s="12"/>
    </row>
    <row r="41" spans="2:145" ht="14.4" x14ac:dyDescent="0.3">
      <c r="B41" s="12"/>
      <c r="C41" s="12"/>
      <c r="D41" s="12"/>
      <c r="E41" s="12"/>
      <c r="F41" s="12"/>
      <c r="G41" s="12"/>
      <c r="H41" s="224"/>
      <c r="I41" s="12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1"/>
      <c r="DA41" s="111"/>
      <c r="DB41" s="111"/>
      <c r="DC41" s="111"/>
      <c r="DD41" s="111"/>
      <c r="DE41" s="111"/>
      <c r="DF41" s="111"/>
      <c r="DG41" s="111"/>
      <c r="DH41" s="111"/>
      <c r="DI41" s="111"/>
      <c r="DJ41" s="111"/>
      <c r="DK41" s="111"/>
      <c r="DL41" s="111"/>
      <c r="DM41" s="111"/>
      <c r="DN41" s="111"/>
      <c r="DO41" s="111"/>
      <c r="DP41" s="111"/>
      <c r="DQ41" s="111"/>
      <c r="DR41" s="111"/>
      <c r="DS41" s="111"/>
      <c r="DT41" s="111"/>
      <c r="DU41" s="111"/>
      <c r="DV41" s="111"/>
      <c r="DW41" s="111"/>
      <c r="DX41" s="111"/>
      <c r="DY41" s="111"/>
      <c r="DZ41" s="111"/>
      <c r="EA41" s="111"/>
      <c r="EB41" s="111"/>
      <c r="EC41" s="111"/>
      <c r="ED41" s="111"/>
      <c r="EE41" s="111"/>
      <c r="EF41" s="111"/>
      <c r="EG41" s="111"/>
      <c r="EH41" s="111"/>
      <c r="EI41" s="111"/>
      <c r="EJ41" s="111"/>
      <c r="EK41" s="111"/>
      <c r="EL41" s="12"/>
    </row>
    <row r="42" spans="2:145" ht="14.4" hidden="1" x14ac:dyDescent="0.3">
      <c r="B42" s="12"/>
      <c r="C42" s="12"/>
      <c r="D42" s="12"/>
      <c r="E42" s="12"/>
      <c r="F42" s="12"/>
      <c r="G42" s="12"/>
      <c r="H42" s="224"/>
      <c r="I42" s="12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1"/>
      <c r="DA42" s="111"/>
      <c r="DB42" s="111"/>
      <c r="DC42" s="111"/>
      <c r="DD42" s="111"/>
      <c r="DE42" s="111"/>
      <c r="DF42" s="111"/>
      <c r="DG42" s="111"/>
      <c r="DH42" s="111"/>
      <c r="DI42" s="111"/>
      <c r="DJ42" s="111"/>
      <c r="DK42" s="111"/>
      <c r="DL42" s="111"/>
      <c r="DM42" s="111"/>
      <c r="DN42" s="111"/>
      <c r="DO42" s="111"/>
      <c r="DP42" s="111"/>
      <c r="DQ42" s="111"/>
      <c r="DR42" s="111"/>
      <c r="DS42" s="111"/>
      <c r="DT42" s="111"/>
      <c r="DU42" s="111"/>
      <c r="DV42" s="111"/>
      <c r="DW42" s="111"/>
      <c r="DX42" s="111"/>
      <c r="DY42" s="111"/>
      <c r="DZ42" s="111"/>
      <c r="EA42" s="111"/>
      <c r="EB42" s="111"/>
      <c r="EC42" s="111"/>
      <c r="ED42" s="111"/>
      <c r="EE42" s="111"/>
      <c r="EF42" s="111"/>
      <c r="EG42" s="111"/>
      <c r="EH42" s="111"/>
      <c r="EI42" s="111"/>
      <c r="EJ42" s="111"/>
      <c r="EK42" s="111"/>
      <c r="EL42" s="12"/>
    </row>
    <row r="43" spans="2:145" ht="14.4" hidden="1" x14ac:dyDescent="0.3">
      <c r="B43" s="12"/>
      <c r="C43" s="12"/>
      <c r="D43" s="12"/>
      <c r="E43" s="12"/>
      <c r="F43" s="12"/>
      <c r="G43" s="12"/>
      <c r="H43" s="224"/>
      <c r="I43" s="12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1"/>
      <c r="DA43" s="111"/>
      <c r="DB43" s="111"/>
      <c r="DC43" s="111"/>
      <c r="DD43" s="111"/>
      <c r="DE43" s="111"/>
      <c r="DF43" s="111"/>
      <c r="DG43" s="111"/>
      <c r="DH43" s="111"/>
      <c r="DI43" s="111"/>
      <c r="DJ43" s="111"/>
      <c r="DK43" s="111"/>
      <c r="DL43" s="111"/>
      <c r="DM43" s="111"/>
      <c r="DN43" s="111"/>
      <c r="DO43" s="111"/>
      <c r="DP43" s="111"/>
      <c r="DQ43" s="111"/>
      <c r="DR43" s="111"/>
      <c r="DS43" s="111"/>
      <c r="DT43" s="111"/>
      <c r="DU43" s="111"/>
      <c r="DV43" s="111"/>
      <c r="DW43" s="111"/>
      <c r="DX43" s="111"/>
      <c r="DY43" s="111"/>
      <c r="DZ43" s="111"/>
      <c r="EA43" s="111"/>
      <c r="EB43" s="111"/>
      <c r="EC43" s="111"/>
      <c r="ED43" s="111"/>
      <c r="EE43" s="111"/>
      <c r="EF43" s="111"/>
      <c r="EG43" s="111"/>
      <c r="EH43" s="111"/>
      <c r="EI43" s="111"/>
      <c r="EJ43" s="111"/>
      <c r="EK43" s="111"/>
      <c r="EL43" s="12"/>
    </row>
    <row r="44" spans="2:145" ht="14.4" hidden="1" x14ac:dyDescent="0.3">
      <c r="B44" s="12"/>
      <c r="C44" s="12"/>
      <c r="D44" s="12"/>
      <c r="E44" s="12"/>
      <c r="F44" s="12"/>
      <c r="G44" s="12"/>
      <c r="H44" s="224"/>
      <c r="I44" s="12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  <c r="DB44" s="111"/>
      <c r="DC44" s="111"/>
      <c r="DD44" s="111"/>
      <c r="DE44" s="111"/>
      <c r="DF44" s="111"/>
      <c r="DG44" s="111"/>
      <c r="DH44" s="111"/>
      <c r="DI44" s="111"/>
      <c r="DJ44" s="111"/>
      <c r="DK44" s="111"/>
      <c r="DL44" s="111"/>
      <c r="DM44" s="111"/>
      <c r="DN44" s="111"/>
      <c r="DO44" s="111"/>
      <c r="DP44" s="111"/>
      <c r="DQ44" s="111"/>
      <c r="DR44" s="111"/>
      <c r="DS44" s="111"/>
      <c r="DT44" s="111"/>
      <c r="DU44" s="111"/>
      <c r="DV44" s="111"/>
      <c r="DW44" s="111"/>
      <c r="DX44" s="111"/>
      <c r="DY44" s="111"/>
      <c r="DZ44" s="111"/>
      <c r="EA44" s="111"/>
      <c r="EB44" s="111"/>
      <c r="EC44" s="111"/>
      <c r="ED44" s="111"/>
      <c r="EE44" s="111"/>
      <c r="EF44" s="111"/>
      <c r="EG44" s="111"/>
      <c r="EH44" s="111"/>
      <c r="EI44" s="111"/>
      <c r="EJ44" s="111"/>
      <c r="EK44" s="111"/>
      <c r="EL44" s="12"/>
    </row>
    <row r="45" spans="2:145" ht="14.4" hidden="1" x14ac:dyDescent="0.3">
      <c r="B45" s="12"/>
      <c r="C45" s="12"/>
      <c r="D45" s="12"/>
      <c r="E45" s="12"/>
      <c r="F45" s="12"/>
      <c r="G45" s="12"/>
      <c r="H45" s="224"/>
      <c r="I45" s="12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1"/>
      <c r="DA45" s="111"/>
      <c r="DB45" s="111"/>
      <c r="DC45" s="111"/>
      <c r="DD45" s="111"/>
      <c r="DE45" s="111"/>
      <c r="DF45" s="111"/>
      <c r="DG45" s="111"/>
      <c r="DH45" s="111"/>
      <c r="DI45" s="111"/>
      <c r="DJ45" s="111"/>
      <c r="DK45" s="111"/>
      <c r="DL45" s="111"/>
      <c r="DM45" s="111"/>
      <c r="DN45" s="111"/>
      <c r="DO45" s="111"/>
      <c r="DP45" s="111"/>
      <c r="DQ45" s="111"/>
      <c r="DR45" s="111"/>
      <c r="DS45" s="111"/>
      <c r="DT45" s="111"/>
      <c r="DU45" s="111"/>
      <c r="DV45" s="111"/>
      <c r="DW45" s="111"/>
      <c r="DX45" s="111"/>
      <c r="DY45" s="111"/>
      <c r="DZ45" s="111"/>
      <c r="EA45" s="111"/>
      <c r="EB45" s="111"/>
      <c r="EC45" s="111"/>
      <c r="ED45" s="111"/>
      <c r="EE45" s="111"/>
      <c r="EF45" s="111"/>
      <c r="EG45" s="111"/>
      <c r="EH45" s="111"/>
      <c r="EI45" s="111"/>
      <c r="EJ45" s="111"/>
      <c r="EK45" s="111"/>
      <c r="EL45" s="12"/>
    </row>
    <row r="46" spans="2:145" ht="14.4" hidden="1" x14ac:dyDescent="0.3">
      <c r="B46" s="12"/>
      <c r="C46" s="12"/>
      <c r="D46" s="12"/>
      <c r="E46" s="12"/>
      <c r="F46" s="12"/>
      <c r="G46" s="12"/>
      <c r="H46" s="224"/>
      <c r="I46" s="12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1"/>
      <c r="DA46" s="111"/>
      <c r="DB46" s="111"/>
      <c r="DC46" s="111"/>
      <c r="DD46" s="111"/>
      <c r="DE46" s="111"/>
      <c r="DF46" s="111"/>
      <c r="DG46" s="111"/>
      <c r="DH46" s="111"/>
      <c r="DI46" s="111"/>
      <c r="DJ46" s="111"/>
      <c r="DK46" s="111"/>
      <c r="DL46" s="111"/>
      <c r="DM46" s="111"/>
      <c r="DN46" s="111"/>
      <c r="DO46" s="111"/>
      <c r="DP46" s="111"/>
      <c r="DQ46" s="111"/>
      <c r="DR46" s="111"/>
      <c r="DS46" s="111"/>
      <c r="DT46" s="111"/>
      <c r="DU46" s="111"/>
      <c r="DV46" s="111"/>
      <c r="DW46" s="111"/>
      <c r="DX46" s="111"/>
      <c r="DY46" s="111"/>
      <c r="DZ46" s="111"/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2"/>
    </row>
    <row r="47" spans="2:145" ht="15" customHeight="1" x14ac:dyDescent="0.3">
      <c r="B47" s="12"/>
      <c r="C47" s="12"/>
      <c r="D47" s="12"/>
      <c r="E47" s="12"/>
      <c r="F47" s="12"/>
      <c r="G47" s="12"/>
      <c r="H47" s="22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</row>
    <row r="48" spans="2:145" ht="15" customHeight="1" x14ac:dyDescent="0.3">
      <c r="B48" s="12"/>
      <c r="C48" s="12"/>
      <c r="D48" s="12"/>
      <c r="E48" s="12"/>
      <c r="F48" s="12"/>
      <c r="G48" s="12"/>
      <c r="H48" s="22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Page</vt:lpstr>
      <vt:lpstr>Summary</vt:lpstr>
      <vt:lpstr>Area</vt:lpstr>
      <vt:lpstr>Budget</vt:lpstr>
      <vt:lpstr>MonthlyCF</vt:lpstr>
      <vt:lpstr>OpProj</vt:lpstr>
      <vt:lpstr>Area!Print_Area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David Polnick</cp:lastModifiedBy>
  <dcterms:created xsi:type="dcterms:W3CDTF">2019-02-20T07:18:50Z</dcterms:created>
  <dcterms:modified xsi:type="dcterms:W3CDTF">2026-10-18T01:17:54Z</dcterms:modified>
</cp:coreProperties>
</file>