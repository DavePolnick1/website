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8. Modeling Partnership Cash Flows\"/>
    </mc:Choice>
  </mc:AlternateContent>
  <xr:revisionPtr revIDLastSave="0" documentId="8_{832E20B6-33FB-4798-8C90-6D400036C8DA}" xr6:coauthVersionLast="47" xr6:coauthVersionMax="47" xr10:uidLastSave="{00000000-0000-0000-0000-000000000000}"/>
  <bookViews>
    <workbookView xWindow="-108" yWindow="-108" windowWidth="23256" windowHeight="12456" activeTab="2" xr2:uid="{13EB72CB-4E38-49D7-A23C-7A14ECA4392F}"/>
  </bookViews>
  <sheets>
    <sheet name="Property-Level Cash Flow" sheetId="5" r:id="rId1"/>
    <sheet name="GP-LP Returns" sheetId="3" r:id="rId2"/>
    <sheet name="Co-GP Returns" sheetId="4" r:id="rId3"/>
  </sheets>
  <definedNames>
    <definedName name="_Order1" hidden="1">0</definedName>
    <definedName name="IntroPrintArea" localSheetId="2" hidden="1">#REF!</definedName>
    <definedName name="Intro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V15" i="4" l="1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5" i="5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BE5" i="5" s="1"/>
  <c r="BF5" i="5" s="1"/>
  <c r="BG5" i="5" s="1"/>
  <c r="BH5" i="5" s="1"/>
  <c r="BI5" i="5" s="1"/>
  <c r="BJ5" i="5" s="1"/>
  <c r="BK5" i="5" s="1"/>
  <c r="BL5" i="5" s="1"/>
  <c r="BM5" i="5" s="1"/>
  <c r="BN5" i="5" s="1"/>
  <c r="BO5" i="5" s="1"/>
  <c r="BP5" i="5" s="1"/>
  <c r="BQ5" i="5" s="1"/>
  <c r="BR5" i="5" s="1"/>
  <c r="BS5" i="5" s="1"/>
  <c r="BT5" i="5" s="1"/>
  <c r="BU5" i="5" s="1"/>
  <c r="BV5" i="5" s="1"/>
  <c r="BW5" i="5" s="1"/>
  <c r="BX5" i="5" s="1"/>
  <c r="BY5" i="5" s="1"/>
  <c r="BZ5" i="5" s="1"/>
  <c r="CA5" i="5" s="1"/>
  <c r="CB5" i="5" s="1"/>
  <c r="CC5" i="5" s="1"/>
  <c r="CD5" i="5" s="1"/>
  <c r="CE5" i="5" s="1"/>
  <c r="CF5" i="5" s="1"/>
  <c r="CG5" i="5" s="1"/>
  <c r="CH5" i="5" s="1"/>
  <c r="CI5" i="5" s="1"/>
  <c r="CJ5" i="5" s="1"/>
  <c r="CK5" i="5" s="1"/>
  <c r="CL5" i="5" s="1"/>
  <c r="CM5" i="5" s="1"/>
  <c r="CN5" i="5" s="1"/>
  <c r="CO5" i="5" s="1"/>
  <c r="CP5" i="5" s="1"/>
  <c r="CQ5" i="5" s="1"/>
  <c r="CR5" i="5" s="1"/>
  <c r="CS5" i="5" s="1"/>
  <c r="CT5" i="5" s="1"/>
  <c r="CU5" i="5" s="1"/>
  <c r="CV5" i="5" s="1"/>
  <c r="CW5" i="5" s="1"/>
  <c r="CX5" i="5" s="1"/>
  <c r="CY5" i="5" s="1"/>
  <c r="CZ5" i="5" s="1"/>
  <c r="DA5" i="5" s="1"/>
  <c r="DB5" i="5" s="1"/>
  <c r="DC5" i="5" s="1"/>
  <c r="DD5" i="5" s="1"/>
  <c r="DE5" i="5" s="1"/>
  <c r="DF5" i="5" s="1"/>
  <c r="DG5" i="5" s="1"/>
  <c r="DH5" i="5" s="1"/>
  <c r="DI5" i="5" s="1"/>
  <c r="DJ5" i="5" s="1"/>
  <c r="DK5" i="5" s="1"/>
  <c r="DL5" i="5" s="1"/>
  <c r="DM5" i="5" s="1"/>
  <c r="DN5" i="5" s="1"/>
  <c r="DO5" i="5" s="1"/>
  <c r="DP5" i="5" s="1"/>
  <c r="DQ5" i="5" s="1"/>
  <c r="DR5" i="5" s="1"/>
  <c r="DS5" i="5" s="1"/>
  <c r="DT5" i="5" s="1"/>
  <c r="D6" i="5"/>
  <c r="E7" i="5"/>
  <c r="E6" i="5" s="1"/>
  <c r="F7" i="5"/>
  <c r="F6" i="5" s="1"/>
  <c r="G7" i="5"/>
  <c r="G6" i="5" s="1"/>
  <c r="H7" i="5"/>
  <c r="H6" i="5" s="1"/>
  <c r="I7" i="5"/>
  <c r="J7" i="5" s="1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V11" i="5"/>
  <c r="DW11" i="5"/>
  <c r="I6" i="5" l="1"/>
  <c r="D13" i="5"/>
  <c r="D12" i="5"/>
  <c r="K7" i="5"/>
  <c r="J6" i="5"/>
  <c r="B73" i="4"/>
  <c r="B58" i="4"/>
  <c r="B86" i="4"/>
  <c r="F83" i="4"/>
  <c r="B79" i="4"/>
  <c r="F69" i="4"/>
  <c r="F68" i="4"/>
  <c r="C68" i="4"/>
  <c r="B75" i="4" s="1"/>
  <c r="B64" i="4"/>
  <c r="F54" i="4"/>
  <c r="F53" i="4"/>
  <c r="C53" i="4"/>
  <c r="B60" i="4" s="1"/>
  <c r="B49" i="4"/>
  <c r="F40" i="4"/>
  <c r="F39" i="4"/>
  <c r="C39" i="4"/>
  <c r="B45" i="4" s="1"/>
  <c r="G31" i="4"/>
  <c r="H31" i="4" s="1"/>
  <c r="G17" i="4"/>
  <c r="H17" i="4" s="1"/>
  <c r="F16" i="4"/>
  <c r="G13" i="4"/>
  <c r="H13" i="4" s="1"/>
  <c r="I13" i="4" s="1"/>
  <c r="D13" i="4"/>
  <c r="G12" i="4"/>
  <c r="H12" i="4" s="1"/>
  <c r="I12" i="4" s="1"/>
  <c r="D12" i="4"/>
  <c r="G11" i="4"/>
  <c r="H11" i="4" s="1"/>
  <c r="I11" i="4" s="1"/>
  <c r="D11" i="4"/>
  <c r="H10" i="4"/>
  <c r="C6" i="4"/>
  <c r="K6" i="5" l="1"/>
  <c r="L7" i="5"/>
  <c r="H16" i="4"/>
  <c r="I31" i="4"/>
  <c r="G16" i="4"/>
  <c r="F41" i="4"/>
  <c r="C7" i="4"/>
  <c r="I10" i="4"/>
  <c r="H83" i="4"/>
  <c r="H68" i="4"/>
  <c r="H53" i="4"/>
  <c r="H39" i="4"/>
  <c r="I17" i="4"/>
  <c r="I16" i="4"/>
  <c r="J31" i="4"/>
  <c r="G83" i="4"/>
  <c r="G68" i="4"/>
  <c r="G53" i="4"/>
  <c r="G39" i="4"/>
  <c r="F55" i="4"/>
  <c r="F70" i="4"/>
  <c r="L6" i="5" l="1"/>
  <c r="M7" i="5"/>
  <c r="J16" i="4"/>
  <c r="K31" i="4"/>
  <c r="I83" i="4"/>
  <c r="I68" i="4"/>
  <c r="I53" i="4"/>
  <c r="I39" i="4"/>
  <c r="J17" i="4"/>
  <c r="C68" i="3"/>
  <c r="F69" i="3"/>
  <c r="C53" i="3"/>
  <c r="F54" i="3"/>
  <c r="C39" i="3"/>
  <c r="F40" i="3"/>
  <c r="F41" i="3" s="1"/>
  <c r="G13" i="3"/>
  <c r="H13" i="3" s="1"/>
  <c r="I13" i="3" s="1"/>
  <c r="G12" i="3"/>
  <c r="H12" i="3" s="1"/>
  <c r="I12" i="3" s="1"/>
  <c r="D13" i="3"/>
  <c r="D12" i="3"/>
  <c r="G11" i="3"/>
  <c r="H11" i="3" s="1"/>
  <c r="I11" i="3" s="1"/>
  <c r="H10" i="3"/>
  <c r="D11" i="3"/>
  <c r="C6" i="3"/>
  <c r="C7" i="3" s="1"/>
  <c r="F70" i="3" l="1"/>
  <c r="M6" i="5"/>
  <c r="N7" i="5"/>
  <c r="F55" i="3"/>
  <c r="I10" i="3"/>
  <c r="L31" i="4"/>
  <c r="K16" i="4"/>
  <c r="J83" i="4"/>
  <c r="J68" i="4"/>
  <c r="J53" i="4"/>
  <c r="J39" i="4"/>
  <c r="K17" i="4"/>
  <c r="G31" i="3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AM31" i="3" s="1"/>
  <c r="AN31" i="3" s="1"/>
  <c r="AO31" i="3" s="1"/>
  <c r="AP31" i="3" s="1"/>
  <c r="AQ31" i="3" s="1"/>
  <c r="AR31" i="3" s="1"/>
  <c r="AS31" i="3" s="1"/>
  <c r="AT31" i="3" s="1"/>
  <c r="AU31" i="3" s="1"/>
  <c r="AV31" i="3" s="1"/>
  <c r="AW31" i="3" s="1"/>
  <c r="AX31" i="3" s="1"/>
  <c r="AY31" i="3" s="1"/>
  <c r="AZ31" i="3" s="1"/>
  <c r="BA31" i="3" s="1"/>
  <c r="BB31" i="3" s="1"/>
  <c r="BC31" i="3" s="1"/>
  <c r="BD31" i="3" s="1"/>
  <c r="BE31" i="3" s="1"/>
  <c r="BF31" i="3" s="1"/>
  <c r="BG31" i="3" s="1"/>
  <c r="BH31" i="3" s="1"/>
  <c r="BI31" i="3" s="1"/>
  <c r="BJ31" i="3" s="1"/>
  <c r="BK31" i="3" s="1"/>
  <c r="BL31" i="3" s="1"/>
  <c r="BM31" i="3" s="1"/>
  <c r="BN31" i="3" s="1"/>
  <c r="BO31" i="3" s="1"/>
  <c r="BP31" i="3" s="1"/>
  <c r="BQ31" i="3" s="1"/>
  <c r="BR31" i="3" s="1"/>
  <c r="BS31" i="3" s="1"/>
  <c r="BT31" i="3" s="1"/>
  <c r="BU31" i="3" s="1"/>
  <c r="BV31" i="3" s="1"/>
  <c r="BW31" i="3" s="1"/>
  <c r="BX31" i="3" s="1"/>
  <c r="BY31" i="3" s="1"/>
  <c r="BZ31" i="3" s="1"/>
  <c r="CA31" i="3" s="1"/>
  <c r="CB31" i="3" s="1"/>
  <c r="CC31" i="3" s="1"/>
  <c r="CD31" i="3" s="1"/>
  <c r="CE31" i="3" s="1"/>
  <c r="CF31" i="3" s="1"/>
  <c r="CG31" i="3" s="1"/>
  <c r="CH31" i="3" s="1"/>
  <c r="CI31" i="3" s="1"/>
  <c r="CJ31" i="3" s="1"/>
  <c r="CK31" i="3" s="1"/>
  <c r="CL31" i="3" s="1"/>
  <c r="CM31" i="3" s="1"/>
  <c r="CN31" i="3" s="1"/>
  <c r="CO31" i="3" s="1"/>
  <c r="CP31" i="3" s="1"/>
  <c r="CQ31" i="3" s="1"/>
  <c r="CR31" i="3" s="1"/>
  <c r="CS31" i="3" s="1"/>
  <c r="CT31" i="3" s="1"/>
  <c r="CU31" i="3" s="1"/>
  <c r="CV31" i="3" s="1"/>
  <c r="CW31" i="3" s="1"/>
  <c r="CX31" i="3" s="1"/>
  <c r="CY31" i="3" s="1"/>
  <c r="CZ31" i="3" s="1"/>
  <c r="DA31" i="3" s="1"/>
  <c r="DB31" i="3" s="1"/>
  <c r="DC31" i="3" s="1"/>
  <c r="DD31" i="3" s="1"/>
  <c r="DE31" i="3" s="1"/>
  <c r="DF31" i="3" s="1"/>
  <c r="DG31" i="3" s="1"/>
  <c r="DH31" i="3" s="1"/>
  <c r="DI31" i="3" s="1"/>
  <c r="DJ31" i="3" s="1"/>
  <c r="DK31" i="3" s="1"/>
  <c r="DL31" i="3" s="1"/>
  <c r="DM31" i="3" s="1"/>
  <c r="DN31" i="3" s="1"/>
  <c r="DO31" i="3" s="1"/>
  <c r="DP31" i="3" s="1"/>
  <c r="DQ31" i="3" s="1"/>
  <c r="DR31" i="3" s="1"/>
  <c r="DS31" i="3" s="1"/>
  <c r="DT31" i="3" s="1"/>
  <c r="DU31" i="3" s="1"/>
  <c r="DV31" i="3" s="1"/>
  <c r="G17" i="3"/>
  <c r="G68" i="3" s="1"/>
  <c r="F83" i="3"/>
  <c r="F68" i="3"/>
  <c r="F53" i="3"/>
  <c r="F39" i="3"/>
  <c r="N6" i="5" l="1"/>
  <c r="O7" i="5"/>
  <c r="K83" i="4"/>
  <c r="K68" i="4"/>
  <c r="K53" i="4"/>
  <c r="K39" i="4"/>
  <c r="L17" i="4"/>
  <c r="M31" i="4"/>
  <c r="L16" i="4"/>
  <c r="G83" i="3"/>
  <c r="H17" i="3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G39" i="3"/>
  <c r="G53" i="3"/>
  <c r="O6" i="5" l="1"/>
  <c r="P7" i="5"/>
  <c r="L83" i="4"/>
  <c r="L53" i="4"/>
  <c r="L68" i="4"/>
  <c r="L39" i="4"/>
  <c r="M17" i="4"/>
  <c r="N31" i="4"/>
  <c r="M16" i="4"/>
  <c r="B45" i="3"/>
  <c r="B49" i="3"/>
  <c r="B60" i="3"/>
  <c r="B58" i="3"/>
  <c r="B64" i="3"/>
  <c r="B75" i="3"/>
  <c r="B73" i="3"/>
  <c r="B79" i="3"/>
  <c r="B86" i="3"/>
  <c r="P6" i="5" l="1"/>
  <c r="Q7" i="5"/>
  <c r="M83" i="4"/>
  <c r="M68" i="4"/>
  <c r="M53" i="4"/>
  <c r="M39" i="4"/>
  <c r="N17" i="4"/>
  <c r="O31" i="4"/>
  <c r="N16" i="4"/>
  <c r="F16" i="3"/>
  <c r="Q6" i="5" l="1"/>
  <c r="R7" i="5"/>
  <c r="P31" i="4"/>
  <c r="O16" i="4"/>
  <c r="N83" i="4"/>
  <c r="N68" i="4"/>
  <c r="N53" i="4"/>
  <c r="O17" i="4"/>
  <c r="N39" i="4"/>
  <c r="S7" i="5" l="1"/>
  <c r="R6" i="5"/>
  <c r="O83" i="4"/>
  <c r="O68" i="4"/>
  <c r="O53" i="4"/>
  <c r="O39" i="4"/>
  <c r="P17" i="4"/>
  <c r="Q31" i="4"/>
  <c r="P16" i="4"/>
  <c r="T7" i="5" l="1"/>
  <c r="S6" i="5"/>
  <c r="Q16" i="4"/>
  <c r="R31" i="4"/>
  <c r="P83" i="4"/>
  <c r="P68" i="4"/>
  <c r="P53" i="4"/>
  <c r="P39" i="4"/>
  <c r="Q17" i="4"/>
  <c r="U7" i="5" l="1"/>
  <c r="T6" i="5"/>
  <c r="S31" i="4"/>
  <c r="R16" i="4"/>
  <c r="Q83" i="4"/>
  <c r="Q68" i="4"/>
  <c r="Q53" i="4"/>
  <c r="Q39" i="4"/>
  <c r="R17" i="4"/>
  <c r="V7" i="5" l="1"/>
  <c r="U6" i="5"/>
  <c r="R83" i="4"/>
  <c r="R53" i="4"/>
  <c r="R68" i="4"/>
  <c r="S17" i="4"/>
  <c r="R39" i="4"/>
  <c r="T31" i="4"/>
  <c r="S16" i="4"/>
  <c r="W7" i="5" l="1"/>
  <c r="V6" i="5"/>
  <c r="S83" i="4"/>
  <c r="S68" i="4"/>
  <c r="S53" i="4"/>
  <c r="S39" i="4"/>
  <c r="T17" i="4"/>
  <c r="U31" i="4"/>
  <c r="T16" i="4"/>
  <c r="X7" i="5" l="1"/>
  <c r="W6" i="5"/>
  <c r="V31" i="4"/>
  <c r="U16" i="4"/>
  <c r="T83" i="4"/>
  <c r="T53" i="4"/>
  <c r="T68" i="4"/>
  <c r="T39" i="4"/>
  <c r="U17" i="4"/>
  <c r="Y7" i="5" l="1"/>
  <c r="X6" i="5"/>
  <c r="U83" i="4"/>
  <c r="U68" i="4"/>
  <c r="U53" i="4"/>
  <c r="U39" i="4"/>
  <c r="V17" i="4"/>
  <c r="W31" i="4"/>
  <c r="V16" i="4"/>
  <c r="Z7" i="5" l="1"/>
  <c r="Y6" i="5"/>
  <c r="V83" i="4"/>
  <c r="V68" i="4"/>
  <c r="V53" i="4"/>
  <c r="V39" i="4"/>
  <c r="W17" i="4"/>
  <c r="X31" i="4"/>
  <c r="W16" i="4"/>
  <c r="Z6" i="5" l="1"/>
  <c r="AA7" i="5"/>
  <c r="W83" i="4"/>
  <c r="W68" i="4"/>
  <c r="W53" i="4"/>
  <c r="W39" i="4"/>
  <c r="X17" i="4"/>
  <c r="X16" i="4"/>
  <c r="Y31" i="4"/>
  <c r="AA6" i="5" l="1"/>
  <c r="AB7" i="5"/>
  <c r="X83" i="4"/>
  <c r="X68" i="4"/>
  <c r="X53" i="4"/>
  <c r="X39" i="4"/>
  <c r="Y17" i="4"/>
  <c r="Y16" i="4"/>
  <c r="Z31" i="4"/>
  <c r="AB6" i="5" l="1"/>
  <c r="AC7" i="5"/>
  <c r="Z16" i="4"/>
  <c r="AA31" i="4"/>
  <c r="Y83" i="4"/>
  <c r="Y68" i="4"/>
  <c r="Y53" i="4"/>
  <c r="Y39" i="4"/>
  <c r="Z17" i="4"/>
  <c r="AC6" i="5" l="1"/>
  <c r="AD7" i="5"/>
  <c r="Z83" i="4"/>
  <c r="Z68" i="4"/>
  <c r="Z53" i="4"/>
  <c r="AA17" i="4"/>
  <c r="Z39" i="4"/>
  <c r="AB31" i="4"/>
  <c r="AA16" i="4"/>
  <c r="AD6" i="5" l="1"/>
  <c r="AE7" i="5"/>
  <c r="AC31" i="4"/>
  <c r="AB16" i="4"/>
  <c r="AA83" i="4"/>
  <c r="AA68" i="4"/>
  <c r="AA53" i="4"/>
  <c r="AA39" i="4"/>
  <c r="AB17" i="4"/>
  <c r="AE6" i="5" l="1"/>
  <c r="AF7" i="5"/>
  <c r="AD31" i="4"/>
  <c r="AC16" i="4"/>
  <c r="AB83" i="4"/>
  <c r="AB53" i="4"/>
  <c r="AB68" i="4"/>
  <c r="AB39" i="4"/>
  <c r="AC17" i="4"/>
  <c r="AF6" i="5" l="1"/>
  <c r="AG7" i="5"/>
  <c r="AE31" i="4"/>
  <c r="AD16" i="4"/>
  <c r="AC83" i="4"/>
  <c r="AC68" i="4"/>
  <c r="AC53" i="4"/>
  <c r="AC39" i="4"/>
  <c r="AD17" i="4"/>
  <c r="AG6" i="5" l="1"/>
  <c r="AH7" i="5"/>
  <c r="AD83" i="4"/>
  <c r="AD68" i="4"/>
  <c r="AD53" i="4"/>
  <c r="AD39" i="4"/>
  <c r="AE17" i="4"/>
  <c r="AF31" i="4"/>
  <c r="AE16" i="4"/>
  <c r="AH6" i="5" l="1"/>
  <c r="AI7" i="5"/>
  <c r="AG31" i="4"/>
  <c r="AF16" i="4"/>
  <c r="AE83" i="4"/>
  <c r="AE68" i="4"/>
  <c r="AE39" i="4"/>
  <c r="AE53" i="4"/>
  <c r="AF17" i="4"/>
  <c r="AJ7" i="5" l="1"/>
  <c r="AI6" i="5"/>
  <c r="AH31" i="4"/>
  <c r="AG16" i="4"/>
  <c r="AF83" i="4"/>
  <c r="AF68" i="4"/>
  <c r="AF53" i="4"/>
  <c r="AF39" i="4"/>
  <c r="AG17" i="4"/>
  <c r="AK7" i="5" l="1"/>
  <c r="AJ6" i="5"/>
  <c r="AG83" i="4"/>
  <c r="AG68" i="4"/>
  <c r="AG53" i="4"/>
  <c r="AG39" i="4"/>
  <c r="AH17" i="4"/>
  <c r="AI31" i="4"/>
  <c r="AH16" i="4"/>
  <c r="AL7" i="5" l="1"/>
  <c r="AK6" i="5"/>
  <c r="AJ31" i="4"/>
  <c r="AI16" i="4"/>
  <c r="AH83" i="4"/>
  <c r="AH53" i="4"/>
  <c r="AH68" i="4"/>
  <c r="AH39" i="4"/>
  <c r="AI17" i="4"/>
  <c r="AM7" i="5" l="1"/>
  <c r="AL6" i="5"/>
  <c r="AK31" i="4"/>
  <c r="AJ16" i="4"/>
  <c r="AI83" i="4"/>
  <c r="AI68" i="4"/>
  <c r="AI53" i="4"/>
  <c r="AI39" i="4"/>
  <c r="AJ17" i="4"/>
  <c r="AN7" i="5" l="1"/>
  <c r="AM6" i="5"/>
  <c r="AJ83" i="4"/>
  <c r="AJ68" i="4"/>
  <c r="AJ53" i="4"/>
  <c r="AJ39" i="4"/>
  <c r="AK17" i="4"/>
  <c r="AL31" i="4"/>
  <c r="AK16" i="4"/>
  <c r="AO7" i="5" l="1"/>
  <c r="AN6" i="5"/>
  <c r="AK83" i="4"/>
  <c r="AK68" i="4"/>
  <c r="AK53" i="4"/>
  <c r="AK39" i="4"/>
  <c r="AL17" i="4"/>
  <c r="AM31" i="4"/>
  <c r="AL16" i="4"/>
  <c r="AP7" i="5" l="1"/>
  <c r="AO6" i="5"/>
  <c r="AL83" i="4"/>
  <c r="AL53" i="4"/>
  <c r="AL68" i="4"/>
  <c r="AM17" i="4"/>
  <c r="AL39" i="4"/>
  <c r="AN31" i="4"/>
  <c r="AM16" i="4"/>
  <c r="AP6" i="5" l="1"/>
  <c r="AQ7" i="5"/>
  <c r="AM83" i="4"/>
  <c r="AM68" i="4"/>
  <c r="AM53" i="4"/>
  <c r="AM39" i="4"/>
  <c r="AN17" i="4"/>
  <c r="AN16" i="4"/>
  <c r="AO31" i="4"/>
  <c r="AQ6" i="5" l="1"/>
  <c r="AR7" i="5"/>
  <c r="AN83" i="4"/>
  <c r="AN68" i="4"/>
  <c r="AN53" i="4"/>
  <c r="AN39" i="4"/>
  <c r="AO17" i="4"/>
  <c r="AO16" i="4"/>
  <c r="AP31" i="4"/>
  <c r="AR6" i="5" l="1"/>
  <c r="AS7" i="5"/>
  <c r="AP16" i="4"/>
  <c r="AQ31" i="4"/>
  <c r="AO83" i="4"/>
  <c r="AO68" i="4"/>
  <c r="AO53" i="4"/>
  <c r="AO39" i="4"/>
  <c r="AP17" i="4"/>
  <c r="AS6" i="5" l="1"/>
  <c r="AT7" i="5"/>
  <c r="AR31" i="4"/>
  <c r="AQ16" i="4"/>
  <c r="AP83" i="4"/>
  <c r="AP53" i="4"/>
  <c r="AP68" i="4"/>
  <c r="AQ17" i="4"/>
  <c r="AP39" i="4"/>
  <c r="AT6" i="5" l="1"/>
  <c r="AU7" i="5"/>
  <c r="AQ83" i="4"/>
  <c r="AQ68" i="4"/>
  <c r="AQ53" i="4"/>
  <c r="AQ39" i="4"/>
  <c r="AR17" i="4"/>
  <c r="AS31" i="4"/>
  <c r="AR16" i="4"/>
  <c r="AU6" i="5" l="1"/>
  <c r="AV7" i="5"/>
  <c r="AT31" i="4"/>
  <c r="AS16" i="4"/>
  <c r="AR83" i="4"/>
  <c r="AR53" i="4"/>
  <c r="AR68" i="4"/>
  <c r="AR39" i="4"/>
  <c r="AS17" i="4"/>
  <c r="AV6" i="5" l="1"/>
  <c r="AW7" i="5"/>
  <c r="AU31" i="4"/>
  <c r="AT16" i="4"/>
  <c r="AS83" i="4"/>
  <c r="AS68" i="4"/>
  <c r="AS53" i="4"/>
  <c r="AS39" i="4"/>
  <c r="AT17" i="4"/>
  <c r="AW6" i="5" l="1"/>
  <c r="AX7" i="5"/>
  <c r="AV31" i="4"/>
  <c r="AU16" i="4"/>
  <c r="AT83" i="4"/>
  <c r="AT68" i="4"/>
  <c r="AT53" i="4"/>
  <c r="AT39" i="4"/>
  <c r="AU17" i="4"/>
  <c r="AX6" i="5" l="1"/>
  <c r="AY7" i="5"/>
  <c r="AW31" i="4"/>
  <c r="AV16" i="4"/>
  <c r="AU83" i="4"/>
  <c r="AU68" i="4"/>
  <c r="AU39" i="4"/>
  <c r="AU53" i="4"/>
  <c r="AV17" i="4"/>
  <c r="AZ7" i="5" l="1"/>
  <c r="AY6" i="5"/>
  <c r="AX31" i="4"/>
  <c r="AW16" i="4"/>
  <c r="AV83" i="4"/>
  <c r="AV68" i="4"/>
  <c r="AV53" i="4"/>
  <c r="AV39" i="4"/>
  <c r="AW17" i="4"/>
  <c r="BA7" i="5" l="1"/>
  <c r="AZ6" i="5"/>
  <c r="AY31" i="4"/>
  <c r="AX16" i="4"/>
  <c r="AW83" i="4"/>
  <c r="AW68" i="4"/>
  <c r="AW53" i="4"/>
  <c r="AW39" i="4"/>
  <c r="AX17" i="4"/>
  <c r="BB7" i="5" l="1"/>
  <c r="BA6" i="5"/>
  <c r="AZ31" i="4"/>
  <c r="AY16" i="4"/>
  <c r="AX83" i="4"/>
  <c r="AX68" i="4"/>
  <c r="AX53" i="4"/>
  <c r="AY17" i="4"/>
  <c r="AX39" i="4"/>
  <c r="BC7" i="5" l="1"/>
  <c r="BB6" i="5"/>
  <c r="AY68" i="4"/>
  <c r="AY83" i="4"/>
  <c r="AY53" i="4"/>
  <c r="AY39" i="4"/>
  <c r="AZ17" i="4"/>
  <c r="BA31" i="4"/>
  <c r="AZ16" i="4"/>
  <c r="BD7" i="5" l="1"/>
  <c r="BC6" i="5"/>
  <c r="BB31" i="4"/>
  <c r="BA16" i="4"/>
  <c r="AZ83" i="4"/>
  <c r="AZ68" i="4"/>
  <c r="AZ53" i="4"/>
  <c r="AZ39" i="4"/>
  <c r="BA17" i="4"/>
  <c r="BE7" i="5" l="1"/>
  <c r="BD6" i="5"/>
  <c r="BA83" i="4"/>
  <c r="BA68" i="4"/>
  <c r="BA53" i="4"/>
  <c r="BA39" i="4"/>
  <c r="BB17" i="4"/>
  <c r="BC31" i="4"/>
  <c r="BB16" i="4"/>
  <c r="BF7" i="5" l="1"/>
  <c r="BE6" i="5"/>
  <c r="BD31" i="4"/>
  <c r="BC16" i="4"/>
  <c r="BB83" i="4"/>
  <c r="BB53" i="4"/>
  <c r="BB68" i="4"/>
  <c r="BB39" i="4"/>
  <c r="BC17" i="4"/>
  <c r="BG7" i="5" l="1"/>
  <c r="BF6" i="5"/>
  <c r="BD16" i="4"/>
  <c r="BE31" i="4"/>
  <c r="BC83" i="4"/>
  <c r="BC68" i="4"/>
  <c r="BC53" i="4"/>
  <c r="BC39" i="4"/>
  <c r="BD17" i="4"/>
  <c r="BG6" i="5" l="1"/>
  <c r="BH7" i="5"/>
  <c r="BE16" i="4"/>
  <c r="BF31" i="4"/>
  <c r="BD83" i="4"/>
  <c r="BD68" i="4"/>
  <c r="BD53" i="4"/>
  <c r="BD39" i="4"/>
  <c r="BE17" i="4"/>
  <c r="BH6" i="5" l="1"/>
  <c r="BI7" i="5"/>
  <c r="BE83" i="4"/>
  <c r="BE68" i="4"/>
  <c r="BE53" i="4"/>
  <c r="BE39" i="4"/>
  <c r="BF17" i="4"/>
  <c r="BF16" i="4"/>
  <c r="BG31" i="4"/>
  <c r="BI6" i="5" l="1"/>
  <c r="BJ7" i="5"/>
  <c r="BH31" i="4"/>
  <c r="BG16" i="4"/>
  <c r="BF83" i="4"/>
  <c r="BF68" i="4"/>
  <c r="BF53" i="4"/>
  <c r="BG17" i="4"/>
  <c r="BF39" i="4"/>
  <c r="BJ6" i="5" l="1"/>
  <c r="BK7" i="5"/>
  <c r="BG83" i="4"/>
  <c r="BG68" i="4"/>
  <c r="BG53" i="4"/>
  <c r="BG39" i="4"/>
  <c r="BH17" i="4"/>
  <c r="BI31" i="4"/>
  <c r="BH16" i="4"/>
  <c r="BK6" i="5" l="1"/>
  <c r="BL7" i="5"/>
  <c r="BH83" i="4"/>
  <c r="BH53" i="4"/>
  <c r="BH68" i="4"/>
  <c r="BH39" i="4"/>
  <c r="BI17" i="4"/>
  <c r="BJ31" i="4"/>
  <c r="BI16" i="4"/>
  <c r="BL6" i="5" l="1"/>
  <c r="BM7" i="5"/>
  <c r="BI83" i="4"/>
  <c r="BI68" i="4"/>
  <c r="BI53" i="4"/>
  <c r="BI39" i="4"/>
  <c r="BJ17" i="4"/>
  <c r="BK31" i="4"/>
  <c r="BJ16" i="4"/>
  <c r="BM6" i="5" l="1"/>
  <c r="BN7" i="5"/>
  <c r="BJ83" i="4"/>
  <c r="BJ68" i="4"/>
  <c r="BJ53" i="4"/>
  <c r="BJ39" i="4"/>
  <c r="BK17" i="4"/>
  <c r="BL31" i="4"/>
  <c r="BK16" i="4"/>
  <c r="BO7" i="5" l="1"/>
  <c r="BN6" i="5"/>
  <c r="BK83" i="4"/>
  <c r="BK68" i="4"/>
  <c r="BK39" i="4"/>
  <c r="BK53" i="4"/>
  <c r="BL17" i="4"/>
  <c r="BM31" i="4"/>
  <c r="BL16" i="4"/>
  <c r="BP7" i="5" l="1"/>
  <c r="BO6" i="5"/>
  <c r="BN31" i="4"/>
  <c r="BM16" i="4"/>
  <c r="BL83" i="4"/>
  <c r="BL68" i="4"/>
  <c r="BL53" i="4"/>
  <c r="BL39" i="4"/>
  <c r="BM17" i="4"/>
  <c r="BQ7" i="5" l="1"/>
  <c r="BP6" i="5"/>
  <c r="BO31" i="4"/>
  <c r="BN16" i="4"/>
  <c r="BM83" i="4"/>
  <c r="BM68" i="4"/>
  <c r="BM53" i="4"/>
  <c r="BM39" i="4"/>
  <c r="BN17" i="4"/>
  <c r="BR7" i="5" l="1"/>
  <c r="BQ6" i="5"/>
  <c r="BN83" i="4"/>
  <c r="BN53" i="4"/>
  <c r="BN68" i="4"/>
  <c r="BO17" i="4"/>
  <c r="BN39" i="4"/>
  <c r="BP31" i="4"/>
  <c r="BO16" i="4"/>
  <c r="BS7" i="5" l="1"/>
  <c r="BR6" i="5"/>
  <c r="BQ31" i="4"/>
  <c r="BP16" i="4"/>
  <c r="BO83" i="4"/>
  <c r="BO68" i="4"/>
  <c r="BO53" i="4"/>
  <c r="BO39" i="4"/>
  <c r="BP17" i="4"/>
  <c r="BT7" i="5" l="1"/>
  <c r="BS6" i="5"/>
  <c r="BP83" i="4"/>
  <c r="BP53" i="4"/>
  <c r="BP68" i="4"/>
  <c r="BP39" i="4"/>
  <c r="BQ17" i="4"/>
  <c r="BR31" i="4"/>
  <c r="BQ16" i="4"/>
  <c r="BU7" i="5" l="1"/>
  <c r="BT6" i="5"/>
  <c r="BQ83" i="4"/>
  <c r="BQ68" i="4"/>
  <c r="BQ53" i="4"/>
  <c r="BQ39" i="4"/>
  <c r="BR17" i="4"/>
  <c r="BS31" i="4"/>
  <c r="BR16" i="4"/>
  <c r="BU6" i="5" l="1"/>
  <c r="BV7" i="5"/>
  <c r="BT31" i="4"/>
  <c r="BS16" i="4"/>
  <c r="BR83" i="4"/>
  <c r="BR68" i="4"/>
  <c r="BR53" i="4"/>
  <c r="BR39" i="4"/>
  <c r="BS17" i="4"/>
  <c r="BW7" i="5" l="1"/>
  <c r="BV6" i="5"/>
  <c r="BS83" i="4"/>
  <c r="BS68" i="4"/>
  <c r="BS53" i="4"/>
  <c r="BS39" i="4"/>
  <c r="BT17" i="4"/>
  <c r="BU31" i="4"/>
  <c r="BT16" i="4"/>
  <c r="BX7" i="5" l="1"/>
  <c r="BW6" i="5"/>
  <c r="BU16" i="4"/>
  <c r="BV31" i="4"/>
  <c r="BT83" i="4"/>
  <c r="BT68" i="4"/>
  <c r="BT53" i="4"/>
  <c r="BT39" i="4"/>
  <c r="BU17" i="4"/>
  <c r="BX6" i="5" l="1"/>
  <c r="BY7" i="5"/>
  <c r="BV16" i="4"/>
  <c r="BW31" i="4"/>
  <c r="BU83" i="4"/>
  <c r="BU68" i="4"/>
  <c r="BU53" i="4"/>
  <c r="BU39" i="4"/>
  <c r="BV17" i="4"/>
  <c r="BY6" i="5" l="1"/>
  <c r="BZ7" i="5"/>
  <c r="BX31" i="4"/>
  <c r="BW16" i="4"/>
  <c r="BV83" i="4"/>
  <c r="BV68" i="4"/>
  <c r="BV53" i="4"/>
  <c r="BV39" i="4"/>
  <c r="BW17" i="4"/>
  <c r="BZ6" i="5" l="1"/>
  <c r="CA7" i="5"/>
  <c r="BY31" i="4"/>
  <c r="BX16" i="4"/>
  <c r="BW83" i="4"/>
  <c r="BW68" i="4"/>
  <c r="BW53" i="4"/>
  <c r="BW39" i="4"/>
  <c r="BX17" i="4"/>
  <c r="CA6" i="5" l="1"/>
  <c r="CB7" i="5"/>
  <c r="BZ31" i="4"/>
  <c r="BY16" i="4"/>
  <c r="BX83" i="4"/>
  <c r="BX53" i="4"/>
  <c r="BX68" i="4"/>
  <c r="BX39" i="4"/>
  <c r="BY17" i="4"/>
  <c r="CB6" i="5" l="1"/>
  <c r="CC7" i="5"/>
  <c r="BY83" i="4"/>
  <c r="BY68" i="4"/>
  <c r="BY53" i="4"/>
  <c r="BY39" i="4"/>
  <c r="BZ17" i="4"/>
  <c r="CA31" i="4"/>
  <c r="BZ16" i="4"/>
  <c r="CC6" i="5" l="1"/>
  <c r="CD7" i="5"/>
  <c r="CB31" i="4"/>
  <c r="CA16" i="4"/>
  <c r="BZ83" i="4"/>
  <c r="BZ68" i="4"/>
  <c r="BZ53" i="4"/>
  <c r="BZ39" i="4"/>
  <c r="CA17" i="4"/>
  <c r="CD6" i="5" l="1"/>
  <c r="CE7" i="5"/>
  <c r="CC31" i="4"/>
  <c r="CB16" i="4"/>
  <c r="CA83" i="4"/>
  <c r="CA68" i="4"/>
  <c r="CA39" i="4"/>
  <c r="CA53" i="4"/>
  <c r="CB17" i="4"/>
  <c r="CF7" i="5" l="1"/>
  <c r="CE6" i="5"/>
  <c r="CD31" i="4"/>
  <c r="CC16" i="4"/>
  <c r="CB83" i="4"/>
  <c r="CB68" i="4"/>
  <c r="CB53" i="4"/>
  <c r="CB39" i="4"/>
  <c r="CC17" i="4"/>
  <c r="CG7" i="5" l="1"/>
  <c r="CF6" i="5"/>
  <c r="CE31" i="4"/>
  <c r="CD16" i="4"/>
  <c r="CC83" i="4"/>
  <c r="CC68" i="4"/>
  <c r="CC53" i="4"/>
  <c r="CC39" i="4"/>
  <c r="CD17" i="4"/>
  <c r="CH7" i="5" l="1"/>
  <c r="CG6" i="5"/>
  <c r="CF31" i="4"/>
  <c r="CE16" i="4"/>
  <c r="CD83" i="4"/>
  <c r="CD53" i="4"/>
  <c r="CD68" i="4"/>
  <c r="CE17" i="4"/>
  <c r="CD39" i="4"/>
  <c r="CI7" i="5" l="1"/>
  <c r="CH6" i="5"/>
  <c r="CG31" i="4"/>
  <c r="CF16" i="4"/>
  <c r="CE83" i="4"/>
  <c r="CE68" i="4"/>
  <c r="CE53" i="4"/>
  <c r="CE39" i="4"/>
  <c r="CF17" i="4"/>
  <c r="CJ7" i="5" l="1"/>
  <c r="CI6" i="5"/>
  <c r="CF83" i="4"/>
  <c r="CF53" i="4"/>
  <c r="CF68" i="4"/>
  <c r="CF39" i="4"/>
  <c r="CG17" i="4"/>
  <c r="CH31" i="4"/>
  <c r="CG16" i="4"/>
  <c r="CK7" i="5" l="1"/>
  <c r="CJ6" i="5"/>
  <c r="CG83" i="4"/>
  <c r="CG68" i="4"/>
  <c r="CG53" i="4"/>
  <c r="CG39" i="4"/>
  <c r="CH17" i="4"/>
  <c r="CI31" i="4"/>
  <c r="CH16" i="4"/>
  <c r="CL7" i="5" l="1"/>
  <c r="CK6" i="5"/>
  <c r="CJ31" i="4"/>
  <c r="CI16" i="4"/>
  <c r="CH83" i="4"/>
  <c r="CH68" i="4"/>
  <c r="CH53" i="4"/>
  <c r="CH39" i="4"/>
  <c r="CI17" i="4"/>
  <c r="CM7" i="5" l="1"/>
  <c r="CL6" i="5"/>
  <c r="CI83" i="4"/>
  <c r="CI68" i="4"/>
  <c r="CI53" i="4"/>
  <c r="CI39" i="4"/>
  <c r="CJ17" i="4"/>
  <c r="CJ16" i="4"/>
  <c r="CK31" i="4"/>
  <c r="CN7" i="5" l="1"/>
  <c r="CM6" i="5"/>
  <c r="CK16" i="4"/>
  <c r="CL31" i="4"/>
  <c r="CJ83" i="4"/>
  <c r="CJ68" i="4"/>
  <c r="CJ53" i="4"/>
  <c r="CJ39" i="4"/>
  <c r="CK17" i="4"/>
  <c r="CN6" i="5" l="1"/>
  <c r="CO7" i="5"/>
  <c r="CL16" i="4"/>
  <c r="CM31" i="4"/>
  <c r="CK83" i="4"/>
  <c r="CK68" i="4"/>
  <c r="CK53" i="4"/>
  <c r="CK39" i="4"/>
  <c r="CL17" i="4"/>
  <c r="CO6" i="5" l="1"/>
  <c r="CP7" i="5"/>
  <c r="CN31" i="4"/>
  <c r="CM16" i="4"/>
  <c r="CL83" i="4"/>
  <c r="CL68" i="4"/>
  <c r="CL53" i="4"/>
  <c r="CM17" i="4"/>
  <c r="CL39" i="4"/>
  <c r="CP6" i="5" l="1"/>
  <c r="CQ7" i="5"/>
  <c r="CM83" i="4"/>
  <c r="CM68" i="4"/>
  <c r="CM53" i="4"/>
  <c r="CM39" i="4"/>
  <c r="CN17" i="4"/>
  <c r="CO31" i="4"/>
  <c r="CN16" i="4"/>
  <c r="CQ6" i="5" l="1"/>
  <c r="CR7" i="5"/>
  <c r="CN83" i="4"/>
  <c r="CN53" i="4"/>
  <c r="CN68" i="4"/>
  <c r="CN39" i="4"/>
  <c r="CO17" i="4"/>
  <c r="CP31" i="4"/>
  <c r="CO16" i="4"/>
  <c r="CR6" i="5" l="1"/>
  <c r="CS7" i="5"/>
  <c r="CQ31" i="4"/>
  <c r="CP16" i="4"/>
  <c r="CO83" i="4"/>
  <c r="CO68" i="4"/>
  <c r="CO53" i="4"/>
  <c r="CO39" i="4"/>
  <c r="CP17" i="4"/>
  <c r="CT7" i="5" l="1"/>
  <c r="CS6" i="5"/>
  <c r="CR31" i="4"/>
  <c r="CQ16" i="4"/>
  <c r="CP83" i="4"/>
  <c r="CP68" i="4"/>
  <c r="CP53" i="4"/>
  <c r="CP39" i="4"/>
  <c r="CQ17" i="4"/>
  <c r="CU7" i="5" l="1"/>
  <c r="CT6" i="5"/>
  <c r="CS31" i="4"/>
  <c r="CR16" i="4"/>
  <c r="CQ83" i="4"/>
  <c r="CQ68" i="4"/>
  <c r="CQ53" i="4"/>
  <c r="CQ39" i="4"/>
  <c r="CR17" i="4"/>
  <c r="CV7" i="5" l="1"/>
  <c r="CU6" i="5"/>
  <c r="CT31" i="4"/>
  <c r="CS16" i="4"/>
  <c r="CR83" i="4"/>
  <c r="CR68" i="4"/>
  <c r="CR53" i="4"/>
  <c r="CR39" i="4"/>
  <c r="CS17" i="4"/>
  <c r="CW7" i="5" l="1"/>
  <c r="CV6" i="5"/>
  <c r="CU31" i="4"/>
  <c r="CT16" i="4"/>
  <c r="CS83" i="4"/>
  <c r="CS68" i="4"/>
  <c r="CS53" i="4"/>
  <c r="CS39" i="4"/>
  <c r="CT17" i="4"/>
  <c r="CX7" i="5" l="1"/>
  <c r="CW6" i="5"/>
  <c r="CV31" i="4"/>
  <c r="CU16" i="4"/>
  <c r="CT83" i="4"/>
  <c r="CT53" i="4"/>
  <c r="CT68" i="4"/>
  <c r="CU17" i="4"/>
  <c r="CT39" i="4"/>
  <c r="CY7" i="5" l="1"/>
  <c r="CX6" i="5"/>
  <c r="CW31" i="4"/>
  <c r="CV16" i="4"/>
  <c r="CU83" i="4"/>
  <c r="CU68" i="4"/>
  <c r="CU53" i="4"/>
  <c r="CU39" i="4"/>
  <c r="CV17" i="4"/>
  <c r="CZ7" i="5" l="1"/>
  <c r="CY6" i="5"/>
  <c r="CX31" i="4"/>
  <c r="CW16" i="4"/>
  <c r="CV83" i="4"/>
  <c r="CV68" i="4"/>
  <c r="CV53" i="4"/>
  <c r="CV39" i="4"/>
  <c r="CW17" i="4"/>
  <c r="DA7" i="5" l="1"/>
  <c r="CZ6" i="5"/>
  <c r="CY31" i="4"/>
  <c r="CX16" i="4"/>
  <c r="CW83" i="4"/>
  <c r="CW68" i="4"/>
  <c r="CW53" i="4"/>
  <c r="CW39" i="4"/>
  <c r="CX17" i="4"/>
  <c r="DB7" i="5" l="1"/>
  <c r="DA6" i="5"/>
  <c r="CZ31" i="4"/>
  <c r="CY16" i="4"/>
  <c r="CX83" i="4"/>
  <c r="CX68" i="4"/>
  <c r="CX53" i="4"/>
  <c r="CX39" i="4"/>
  <c r="CY17" i="4"/>
  <c r="DB6" i="5" l="1"/>
  <c r="DC7" i="5"/>
  <c r="CY83" i="4"/>
  <c r="CY68" i="4"/>
  <c r="CY53" i="4"/>
  <c r="CY39" i="4"/>
  <c r="CZ17" i="4"/>
  <c r="DA31" i="4"/>
  <c r="CZ16" i="4"/>
  <c r="DC6" i="5" l="1"/>
  <c r="DD7" i="5"/>
  <c r="DA16" i="4"/>
  <c r="DB31" i="4"/>
  <c r="CZ83" i="4"/>
  <c r="CZ53" i="4"/>
  <c r="CZ68" i="4"/>
  <c r="CZ39" i="4"/>
  <c r="DA17" i="4"/>
  <c r="DD6" i="5" l="1"/>
  <c r="DE7" i="5"/>
  <c r="DB16" i="4"/>
  <c r="DC31" i="4"/>
  <c r="DA83" i="4"/>
  <c r="DA68" i="4"/>
  <c r="DA53" i="4"/>
  <c r="DA39" i="4"/>
  <c r="DB17" i="4"/>
  <c r="DE6" i="5" l="1"/>
  <c r="DF7" i="5"/>
  <c r="DD31" i="4"/>
  <c r="DC16" i="4"/>
  <c r="DB83" i="4"/>
  <c r="DB68" i="4"/>
  <c r="DB53" i="4"/>
  <c r="DB39" i="4"/>
  <c r="DC17" i="4"/>
  <c r="DF6" i="5" l="1"/>
  <c r="DG7" i="5"/>
  <c r="DC68" i="4"/>
  <c r="DC53" i="4"/>
  <c r="DC83" i="4"/>
  <c r="DC39" i="4"/>
  <c r="DD17" i="4"/>
  <c r="DE31" i="4"/>
  <c r="DD16" i="4"/>
  <c r="DG6" i="5" l="1"/>
  <c r="DH7" i="5"/>
  <c r="DD83" i="4"/>
  <c r="DD68" i="4"/>
  <c r="DD53" i="4"/>
  <c r="DD39" i="4"/>
  <c r="DE17" i="4"/>
  <c r="DF31" i="4"/>
  <c r="DE16" i="4"/>
  <c r="DH6" i="5" l="1"/>
  <c r="DI7" i="5"/>
  <c r="DG31" i="4"/>
  <c r="DF16" i="4"/>
  <c r="DE83" i="4"/>
  <c r="DE68" i="4"/>
  <c r="DE53" i="4"/>
  <c r="DE39" i="4"/>
  <c r="DF17" i="4"/>
  <c r="DI6" i="5" l="1"/>
  <c r="DJ7" i="5"/>
  <c r="DF83" i="4"/>
  <c r="DF68" i="4"/>
  <c r="DF53" i="4"/>
  <c r="DF39" i="4"/>
  <c r="DG17" i="4"/>
  <c r="DH31" i="4"/>
  <c r="DG16" i="4"/>
  <c r="DJ6" i="5" l="1"/>
  <c r="DK7" i="5"/>
  <c r="DI31" i="4"/>
  <c r="DH16" i="4"/>
  <c r="DG83" i="4"/>
  <c r="DG68" i="4"/>
  <c r="DG53" i="4"/>
  <c r="DG39" i="4"/>
  <c r="DH17" i="4"/>
  <c r="DL7" i="5" l="1"/>
  <c r="DK6" i="5"/>
  <c r="DH83" i="4"/>
  <c r="DH53" i="4"/>
  <c r="DH68" i="4"/>
  <c r="DH39" i="4"/>
  <c r="DI17" i="4"/>
  <c r="DJ31" i="4"/>
  <c r="DI16" i="4"/>
  <c r="DM7" i="5" l="1"/>
  <c r="DL6" i="5"/>
  <c r="DK31" i="4"/>
  <c r="DJ16" i="4"/>
  <c r="DI83" i="4"/>
  <c r="DI68" i="4"/>
  <c r="DI53" i="4"/>
  <c r="DI39" i="4"/>
  <c r="DJ17" i="4"/>
  <c r="DN7" i="5" l="1"/>
  <c r="DM6" i="5"/>
  <c r="DL31" i="4"/>
  <c r="DK16" i="4"/>
  <c r="DJ83" i="4"/>
  <c r="DJ68" i="4"/>
  <c r="DJ53" i="4"/>
  <c r="DK17" i="4"/>
  <c r="DJ39" i="4"/>
  <c r="DO7" i="5" l="1"/>
  <c r="DN6" i="5"/>
  <c r="DM31" i="4"/>
  <c r="DL16" i="4"/>
  <c r="DK68" i="4"/>
  <c r="DK83" i="4"/>
  <c r="DK53" i="4"/>
  <c r="DK39" i="4"/>
  <c r="DL17" i="4"/>
  <c r="DP7" i="5" l="1"/>
  <c r="DO6" i="5"/>
  <c r="DL83" i="4"/>
  <c r="DL68" i="4"/>
  <c r="DL53" i="4"/>
  <c r="DL39" i="4"/>
  <c r="DM17" i="4"/>
  <c r="DN31" i="4"/>
  <c r="DM16" i="4"/>
  <c r="DQ7" i="5" l="1"/>
  <c r="DP6" i="5"/>
  <c r="DM83" i="4"/>
  <c r="DM68" i="4"/>
  <c r="DM53" i="4"/>
  <c r="DM39" i="4"/>
  <c r="DN17" i="4"/>
  <c r="DO31" i="4"/>
  <c r="DN16" i="4"/>
  <c r="DR7" i="5" l="1"/>
  <c r="DQ6" i="5"/>
  <c r="DP31" i="4"/>
  <c r="DO16" i="4"/>
  <c r="DN83" i="4"/>
  <c r="DN68" i="4"/>
  <c r="DN53" i="4"/>
  <c r="DN39" i="4"/>
  <c r="DO17" i="4"/>
  <c r="DS7" i="5" l="1"/>
  <c r="DR6" i="5"/>
  <c r="DO83" i="4"/>
  <c r="DO68" i="4"/>
  <c r="DO53" i="4"/>
  <c r="DO39" i="4"/>
  <c r="DP17" i="4"/>
  <c r="DQ31" i="4"/>
  <c r="DP16" i="4"/>
  <c r="DS6" i="5" l="1"/>
  <c r="DT7" i="5"/>
  <c r="DT6" i="5" s="1"/>
  <c r="DP83" i="4"/>
  <c r="DP68" i="4"/>
  <c r="DP53" i="4"/>
  <c r="DP39" i="4"/>
  <c r="DQ17" i="4"/>
  <c r="DQ16" i="4"/>
  <c r="DR31" i="4"/>
  <c r="DQ83" i="4" l="1"/>
  <c r="DQ68" i="4"/>
  <c r="DQ53" i="4"/>
  <c r="DQ39" i="4"/>
  <c r="DR17" i="4"/>
  <c r="DR16" i="4"/>
  <c r="DS31" i="4"/>
  <c r="DT31" i="4" l="1"/>
  <c r="DS16" i="4"/>
  <c r="DR83" i="4"/>
  <c r="DR68" i="4"/>
  <c r="DR53" i="4"/>
  <c r="DS17" i="4"/>
  <c r="DR39" i="4"/>
  <c r="DS83" i="4" l="1"/>
  <c r="DS68" i="4"/>
  <c r="DS53" i="4"/>
  <c r="DS39" i="4"/>
  <c r="DT17" i="4"/>
  <c r="DU31" i="4"/>
  <c r="DT16" i="4"/>
  <c r="DV31" i="4" l="1"/>
  <c r="DV16" i="4" s="1"/>
  <c r="DU16" i="4"/>
  <c r="DT83" i="4"/>
  <c r="DT68" i="4"/>
  <c r="DT53" i="4"/>
  <c r="DT39" i="4"/>
  <c r="DU17" i="4"/>
  <c r="DU83" i="4" l="1"/>
  <c r="DU53" i="4"/>
  <c r="DU68" i="4"/>
  <c r="DU39" i="4"/>
  <c r="DV17" i="4"/>
  <c r="DV83" i="4" l="1"/>
  <c r="DV68" i="4"/>
  <c r="DV53" i="4"/>
  <c r="DV39" i="4"/>
  <c r="G16" i="3" l="1"/>
  <c r="F34" i="3" l="1"/>
  <c r="F43" i="3"/>
  <c r="F47" i="3" s="1"/>
  <c r="F42" i="3"/>
  <c r="F27" i="3" s="1"/>
  <c r="H68" i="3"/>
  <c r="H39" i="3"/>
  <c r="H83" i="3"/>
  <c r="H53" i="3"/>
  <c r="F56" i="3" l="1"/>
  <c r="F45" i="3"/>
  <c r="F20" i="3"/>
  <c r="F44" i="3"/>
  <c r="G40" i="3" s="1"/>
  <c r="F57" i="3"/>
  <c r="F48" i="3"/>
  <c r="H16" i="3"/>
  <c r="F49" i="3" l="1"/>
  <c r="F50" i="3" s="1"/>
  <c r="F58" i="3" s="1"/>
  <c r="F62" i="3" s="1"/>
  <c r="F71" i="3"/>
  <c r="G41" i="3"/>
  <c r="I53" i="3"/>
  <c r="I83" i="3"/>
  <c r="I39" i="3"/>
  <c r="I68" i="3"/>
  <c r="L10" i="3" l="1"/>
  <c r="F59" i="3"/>
  <c r="G54" i="3" s="1"/>
  <c r="G55" i="3" s="1"/>
  <c r="F60" i="3"/>
  <c r="F63" i="3"/>
  <c r="F72" i="3"/>
  <c r="I16" i="3"/>
  <c r="F64" i="3" l="1"/>
  <c r="F65" i="3" s="1"/>
  <c r="F73" i="3" s="1"/>
  <c r="J39" i="3"/>
  <c r="J83" i="3"/>
  <c r="J68" i="3"/>
  <c r="J53" i="3"/>
  <c r="F77" i="3" l="1"/>
  <c r="F74" i="3"/>
  <c r="G69" i="3" s="1"/>
  <c r="G70" i="3" s="1"/>
  <c r="F75" i="3"/>
  <c r="J16" i="3"/>
  <c r="F78" i="3" l="1"/>
  <c r="K83" i="3"/>
  <c r="K68" i="3"/>
  <c r="K53" i="3"/>
  <c r="K39" i="3"/>
  <c r="F79" i="3" l="1"/>
  <c r="F80" i="3"/>
  <c r="K16" i="3"/>
  <c r="F85" i="3" l="1"/>
  <c r="F26" i="3" s="1"/>
  <c r="F84" i="3"/>
  <c r="L68" i="3"/>
  <c r="L53" i="3"/>
  <c r="L39" i="3"/>
  <c r="L83" i="3"/>
  <c r="F86" i="3" l="1"/>
  <c r="F87" i="3" s="1"/>
  <c r="F19" i="3"/>
  <c r="F29" i="3"/>
  <c r="L16" i="3"/>
  <c r="F33" i="4" l="1"/>
  <c r="F34" i="4" s="1"/>
  <c r="F22" i="3"/>
  <c r="M83" i="3"/>
  <c r="M53" i="3"/>
  <c r="M39" i="3"/>
  <c r="M68" i="3"/>
  <c r="F42" i="4" l="1"/>
  <c r="F43" i="4"/>
  <c r="F47" i="4" s="1"/>
  <c r="M16" i="3"/>
  <c r="F57" i="4" l="1"/>
  <c r="F48" i="4"/>
  <c r="F49" i="4" s="1"/>
  <c r="F27" i="4"/>
  <c r="F20" i="4"/>
  <c r="F44" i="4"/>
  <c r="G40" i="4" s="1"/>
  <c r="F56" i="4"/>
  <c r="F45" i="4"/>
  <c r="N68" i="3"/>
  <c r="N39" i="3"/>
  <c r="N83" i="3"/>
  <c r="N53" i="3"/>
  <c r="F71" i="4" l="1"/>
  <c r="G41" i="4"/>
  <c r="F50" i="4"/>
  <c r="F58" i="4" s="1"/>
  <c r="F62" i="4" s="1"/>
  <c r="N16" i="3"/>
  <c r="F59" i="4" l="1"/>
  <c r="G54" i="4" s="1"/>
  <c r="F60" i="4"/>
  <c r="F63" i="4"/>
  <c r="F64" i="4" s="1"/>
  <c r="F72" i="4"/>
  <c r="O83" i="3"/>
  <c r="O53" i="3"/>
  <c r="O39" i="3"/>
  <c r="O68" i="3"/>
  <c r="F65" i="4" l="1"/>
  <c r="F73" i="4" s="1"/>
  <c r="G55" i="4"/>
  <c r="O16" i="3"/>
  <c r="F77" i="4" l="1"/>
  <c r="F75" i="4"/>
  <c r="F74" i="4"/>
  <c r="G69" i="4" s="1"/>
  <c r="P68" i="3"/>
  <c r="P39" i="3"/>
  <c r="P83" i="3"/>
  <c r="P53" i="3"/>
  <c r="G70" i="4" l="1"/>
  <c r="F78" i="4"/>
  <c r="F79" i="4" s="1"/>
  <c r="F80" i="4" s="1"/>
  <c r="P16" i="3"/>
  <c r="F85" i="4" l="1"/>
  <c r="F26" i="4" s="1"/>
  <c r="F29" i="4" s="1"/>
  <c r="F84" i="4"/>
  <c r="Q53" i="3"/>
  <c r="Q83" i="3"/>
  <c r="Q39" i="3"/>
  <c r="Q68" i="3"/>
  <c r="F86" i="4" l="1"/>
  <c r="F87" i="4" s="1"/>
  <c r="F19" i="4"/>
  <c r="F22" i="4" s="1"/>
  <c r="Q16" i="3"/>
  <c r="R39" i="3" l="1"/>
  <c r="R83" i="3"/>
  <c r="R68" i="3"/>
  <c r="R53" i="3"/>
  <c r="R16" i="3" l="1"/>
  <c r="S83" i="3" l="1"/>
  <c r="S68" i="3"/>
  <c r="S53" i="3"/>
  <c r="S39" i="3"/>
  <c r="S16" i="3" l="1"/>
  <c r="T68" i="3" l="1"/>
  <c r="T53" i="3"/>
  <c r="T39" i="3"/>
  <c r="T83" i="3"/>
  <c r="T16" i="3" l="1"/>
  <c r="U83" i="3" l="1"/>
  <c r="U53" i="3"/>
  <c r="U39" i="3"/>
  <c r="U68" i="3"/>
  <c r="U16" i="3" l="1"/>
  <c r="V68" i="3" l="1"/>
  <c r="V39" i="3"/>
  <c r="V53" i="3"/>
  <c r="V83" i="3"/>
  <c r="V16" i="3" l="1"/>
  <c r="W83" i="3" l="1"/>
  <c r="W53" i="3"/>
  <c r="W68" i="3"/>
  <c r="W39" i="3"/>
  <c r="W16" i="3" l="1"/>
  <c r="X68" i="3" l="1"/>
  <c r="X39" i="3"/>
  <c r="X83" i="3"/>
  <c r="X53" i="3"/>
  <c r="X16" i="3" l="1"/>
  <c r="Y53" i="3" l="1"/>
  <c r="Y83" i="3"/>
  <c r="Y68" i="3"/>
  <c r="Y39" i="3"/>
  <c r="Y16" i="3" l="1"/>
  <c r="Z39" i="3" l="1"/>
  <c r="Z83" i="3"/>
  <c r="Z68" i="3"/>
  <c r="Z53" i="3"/>
  <c r="Z16" i="3" l="1"/>
  <c r="AA83" i="3" l="1"/>
  <c r="AA68" i="3"/>
  <c r="AA53" i="3"/>
  <c r="AA39" i="3"/>
  <c r="AA16" i="3" l="1"/>
  <c r="AB68" i="3" l="1"/>
  <c r="AB53" i="3"/>
  <c r="AB39" i="3"/>
  <c r="AB83" i="3"/>
  <c r="AB16" i="3" l="1"/>
  <c r="AC83" i="3" l="1"/>
  <c r="AC53" i="3"/>
  <c r="AC39" i="3"/>
  <c r="AC68" i="3"/>
  <c r="AC16" i="3" l="1"/>
  <c r="AD68" i="3" l="1"/>
  <c r="AD39" i="3"/>
  <c r="AD83" i="3"/>
  <c r="AD53" i="3"/>
  <c r="AD16" i="3" l="1"/>
  <c r="AE83" i="3" l="1"/>
  <c r="AE53" i="3"/>
  <c r="AE68" i="3"/>
  <c r="AE39" i="3"/>
  <c r="AE16" i="3" l="1"/>
  <c r="AF68" i="3" l="1"/>
  <c r="AF39" i="3"/>
  <c r="AF83" i="3"/>
  <c r="AF53" i="3"/>
  <c r="AF16" i="3" l="1"/>
  <c r="AG53" i="3" l="1"/>
  <c r="AG83" i="3"/>
  <c r="AG39" i="3"/>
  <c r="AG68" i="3"/>
  <c r="AG16" i="3" l="1"/>
  <c r="AH39" i="3" l="1"/>
  <c r="AH83" i="3"/>
  <c r="AH68" i="3"/>
  <c r="AH53" i="3"/>
  <c r="AH16" i="3" l="1"/>
  <c r="AI83" i="3" l="1"/>
  <c r="AI68" i="3"/>
  <c r="AI53" i="3"/>
  <c r="AI39" i="3"/>
  <c r="AI16" i="3" l="1"/>
  <c r="AJ68" i="3" l="1"/>
  <c r="AJ53" i="3"/>
  <c r="AJ39" i="3"/>
  <c r="AJ83" i="3"/>
  <c r="AJ16" i="3" l="1"/>
  <c r="AK83" i="3" l="1"/>
  <c r="AK53" i="3"/>
  <c r="AK39" i="3"/>
  <c r="AK68" i="3"/>
  <c r="AK16" i="3" l="1"/>
  <c r="AL68" i="3" l="1"/>
  <c r="AL39" i="3"/>
  <c r="AL83" i="3"/>
  <c r="AL53" i="3"/>
  <c r="AL16" i="3" l="1"/>
  <c r="AM83" i="3" l="1"/>
  <c r="AM53" i="3"/>
  <c r="AM39" i="3"/>
  <c r="AM68" i="3"/>
  <c r="AM16" i="3" l="1"/>
  <c r="AN68" i="3" l="1"/>
  <c r="AN39" i="3"/>
  <c r="AN83" i="3"/>
  <c r="AN53" i="3"/>
  <c r="AN16" i="3" l="1"/>
  <c r="AO53" i="3" l="1"/>
  <c r="AO83" i="3"/>
  <c r="AO39" i="3"/>
  <c r="AO68" i="3"/>
  <c r="AO16" i="3" l="1"/>
  <c r="AP39" i="3" l="1"/>
  <c r="AP83" i="3"/>
  <c r="AP68" i="3"/>
  <c r="AP53" i="3"/>
  <c r="AP16" i="3" l="1"/>
  <c r="AQ83" i="3" l="1"/>
  <c r="AQ68" i="3"/>
  <c r="AQ53" i="3"/>
  <c r="AQ39" i="3"/>
  <c r="AQ16" i="3" l="1"/>
  <c r="AR68" i="3" l="1"/>
  <c r="AR53" i="3"/>
  <c r="AR39" i="3"/>
  <c r="AR83" i="3"/>
  <c r="AR16" i="3" l="1"/>
  <c r="AS83" i="3" l="1"/>
  <c r="AS53" i="3"/>
  <c r="AS39" i="3"/>
  <c r="AS68" i="3"/>
  <c r="AS16" i="3" l="1"/>
  <c r="AT68" i="3" l="1"/>
  <c r="AT39" i="3"/>
  <c r="AT53" i="3"/>
  <c r="AT83" i="3"/>
  <c r="AT16" i="3" l="1"/>
  <c r="AU83" i="3" l="1"/>
  <c r="AU53" i="3"/>
  <c r="AU68" i="3"/>
  <c r="AU39" i="3"/>
  <c r="AU16" i="3" l="1"/>
  <c r="AV68" i="3" l="1"/>
  <c r="AV39" i="3"/>
  <c r="AV83" i="3"/>
  <c r="AV53" i="3"/>
  <c r="AV16" i="3" l="1"/>
  <c r="AW53" i="3" l="1"/>
  <c r="AW83" i="3"/>
  <c r="AW68" i="3"/>
  <c r="AW39" i="3"/>
  <c r="AW16" i="3" l="1"/>
  <c r="AX39" i="3" l="1"/>
  <c r="AX83" i="3"/>
  <c r="AX68" i="3"/>
  <c r="AX53" i="3"/>
  <c r="AX16" i="3" l="1"/>
  <c r="AY83" i="3" l="1"/>
  <c r="AY68" i="3"/>
  <c r="AY53" i="3"/>
  <c r="AY39" i="3"/>
  <c r="AY16" i="3" l="1"/>
  <c r="AZ68" i="3" l="1"/>
  <c r="AZ53" i="3"/>
  <c r="AZ39" i="3"/>
  <c r="AZ83" i="3"/>
  <c r="AZ16" i="3" l="1"/>
  <c r="BA83" i="3" l="1"/>
  <c r="BA53" i="3"/>
  <c r="BA39" i="3"/>
  <c r="BA68" i="3"/>
  <c r="BA16" i="3" l="1"/>
  <c r="BB68" i="3" l="1"/>
  <c r="BB39" i="3"/>
  <c r="BB83" i="3"/>
  <c r="BB53" i="3"/>
  <c r="BB16" i="3" l="1"/>
  <c r="BC83" i="3" l="1"/>
  <c r="BC53" i="3"/>
  <c r="BC39" i="3"/>
  <c r="BC68" i="3"/>
  <c r="BC16" i="3" l="1"/>
  <c r="BD68" i="3" l="1"/>
  <c r="BD39" i="3"/>
  <c r="BD83" i="3"/>
  <c r="BD53" i="3"/>
  <c r="BD16" i="3" l="1"/>
  <c r="BE53" i="3" l="1"/>
  <c r="BE83" i="3"/>
  <c r="BE39" i="3"/>
  <c r="BE68" i="3"/>
  <c r="BE16" i="3" l="1"/>
  <c r="BF39" i="3" l="1"/>
  <c r="BF83" i="3"/>
  <c r="BF68" i="3"/>
  <c r="BF53" i="3"/>
  <c r="BF16" i="3" l="1"/>
  <c r="BG83" i="3" l="1"/>
  <c r="BG68" i="3"/>
  <c r="BG53" i="3"/>
  <c r="BG39" i="3"/>
  <c r="BG16" i="3" l="1"/>
  <c r="BH68" i="3" l="1"/>
  <c r="BH53" i="3"/>
  <c r="BH39" i="3"/>
  <c r="BH83" i="3"/>
  <c r="BH16" i="3" l="1"/>
  <c r="BI83" i="3" l="1"/>
  <c r="BI53" i="3"/>
  <c r="BI39" i="3"/>
  <c r="BI68" i="3"/>
  <c r="BI16" i="3" l="1"/>
  <c r="BJ68" i="3" l="1"/>
  <c r="BJ39" i="3"/>
  <c r="BJ53" i="3"/>
  <c r="BJ83" i="3"/>
  <c r="BJ16" i="3" l="1"/>
  <c r="BK83" i="3" l="1"/>
  <c r="BK53" i="3"/>
  <c r="BK39" i="3"/>
  <c r="BK68" i="3"/>
  <c r="BK16" i="3" l="1"/>
  <c r="BL68" i="3" l="1"/>
  <c r="BL39" i="3"/>
  <c r="BL83" i="3"/>
  <c r="BL53" i="3"/>
  <c r="BL16" i="3" l="1"/>
  <c r="BM53" i="3" l="1"/>
  <c r="BM83" i="3"/>
  <c r="BM68" i="3"/>
  <c r="BM39" i="3"/>
  <c r="BM16" i="3" l="1"/>
  <c r="BN39" i="3" l="1"/>
  <c r="BN83" i="3"/>
  <c r="BN68" i="3"/>
  <c r="BN53" i="3"/>
  <c r="BN16" i="3" l="1"/>
  <c r="BO83" i="3" l="1"/>
  <c r="BO68" i="3"/>
  <c r="BO53" i="3"/>
  <c r="BO39" i="3"/>
  <c r="BO16" i="3" l="1"/>
  <c r="BP68" i="3" l="1"/>
  <c r="BP53" i="3"/>
  <c r="BP39" i="3"/>
  <c r="BP83" i="3"/>
  <c r="BP16" i="3" l="1"/>
  <c r="BQ83" i="3" l="1"/>
  <c r="BQ53" i="3"/>
  <c r="BQ39" i="3"/>
  <c r="BQ68" i="3"/>
  <c r="BQ16" i="3" l="1"/>
  <c r="BR68" i="3" l="1"/>
  <c r="BR39" i="3"/>
  <c r="BR83" i="3"/>
  <c r="BR53" i="3"/>
  <c r="BR16" i="3" l="1"/>
  <c r="BS83" i="3" l="1"/>
  <c r="BS53" i="3"/>
  <c r="BS68" i="3"/>
  <c r="BS39" i="3"/>
  <c r="BS16" i="3" l="1"/>
  <c r="BT68" i="3" l="1"/>
  <c r="BT39" i="3"/>
  <c r="BT83" i="3"/>
  <c r="BT53" i="3"/>
  <c r="BT16" i="3" l="1"/>
  <c r="BU53" i="3" l="1"/>
  <c r="BU83" i="3"/>
  <c r="BU68" i="3"/>
  <c r="BU39" i="3"/>
  <c r="BU16" i="3" l="1"/>
  <c r="BV39" i="3" l="1"/>
  <c r="BV83" i="3"/>
  <c r="BV68" i="3"/>
  <c r="BV53" i="3"/>
  <c r="BV16" i="3" l="1"/>
  <c r="BW83" i="3" l="1"/>
  <c r="BW68" i="3"/>
  <c r="BW53" i="3"/>
  <c r="BW39" i="3"/>
  <c r="BW16" i="3" l="1"/>
  <c r="BX68" i="3" l="1"/>
  <c r="BX53" i="3"/>
  <c r="BX39" i="3"/>
  <c r="BX83" i="3"/>
  <c r="BX16" i="3" l="1"/>
  <c r="BY83" i="3" l="1"/>
  <c r="BY53" i="3"/>
  <c r="BY39" i="3"/>
  <c r="BY68" i="3"/>
  <c r="BY16" i="3" l="1"/>
  <c r="BZ68" i="3" l="1"/>
  <c r="BZ39" i="3"/>
  <c r="BZ83" i="3"/>
  <c r="BZ53" i="3"/>
  <c r="BZ16" i="3" l="1"/>
  <c r="CA83" i="3" l="1"/>
  <c r="CA53" i="3"/>
  <c r="CA39" i="3"/>
  <c r="CA68" i="3"/>
  <c r="CA16" i="3" l="1"/>
  <c r="CB68" i="3" l="1"/>
  <c r="CB39" i="3"/>
  <c r="CB83" i="3"/>
  <c r="CB53" i="3"/>
  <c r="CB16" i="3" l="1"/>
  <c r="CC53" i="3" l="1"/>
  <c r="CC68" i="3"/>
  <c r="CC83" i="3"/>
  <c r="CC39" i="3"/>
  <c r="CC16" i="3" l="1"/>
  <c r="CD39" i="3" l="1"/>
  <c r="CD83" i="3"/>
  <c r="CD68" i="3"/>
  <c r="CD53" i="3"/>
  <c r="CD16" i="3" l="1"/>
  <c r="CE83" i="3" l="1"/>
  <c r="CE68" i="3"/>
  <c r="CE53" i="3"/>
  <c r="CE39" i="3"/>
  <c r="CE16" i="3" l="1"/>
  <c r="CF83" i="3" l="1"/>
  <c r="CF68" i="3"/>
  <c r="CF53" i="3"/>
  <c r="CF39" i="3"/>
  <c r="CF16" i="3" l="1"/>
  <c r="CG83" i="3" l="1"/>
  <c r="CG53" i="3"/>
  <c r="CG39" i="3"/>
  <c r="CG68" i="3"/>
  <c r="CG16" i="3" l="1"/>
  <c r="CH83" i="3" l="1"/>
  <c r="CH68" i="3"/>
  <c r="CH39" i="3"/>
  <c r="CH53" i="3"/>
  <c r="CH16" i="3" l="1"/>
  <c r="CI83" i="3" l="1"/>
  <c r="CI53" i="3"/>
  <c r="CI39" i="3"/>
  <c r="CI68" i="3"/>
  <c r="CI16" i="3" l="1"/>
  <c r="CJ68" i="3" l="1"/>
  <c r="CJ39" i="3"/>
  <c r="CJ83" i="3"/>
  <c r="CJ53" i="3"/>
  <c r="CJ16" i="3" l="1"/>
  <c r="CK53" i="3" l="1"/>
  <c r="CK83" i="3"/>
  <c r="CK68" i="3"/>
  <c r="CK39" i="3"/>
  <c r="CK16" i="3" l="1"/>
  <c r="CL39" i="3" l="1"/>
  <c r="CL83" i="3"/>
  <c r="CL68" i="3"/>
  <c r="CL53" i="3"/>
  <c r="CL16" i="3" l="1"/>
  <c r="CM83" i="3" l="1"/>
  <c r="CM68" i="3"/>
  <c r="CM53" i="3"/>
  <c r="CM39" i="3"/>
  <c r="CM16" i="3" l="1"/>
  <c r="CN83" i="3" l="1"/>
  <c r="CN68" i="3"/>
  <c r="CN53" i="3"/>
  <c r="CN39" i="3"/>
  <c r="CN16" i="3" l="1"/>
  <c r="CO83" i="3" l="1"/>
  <c r="CO53" i="3"/>
  <c r="CO39" i="3"/>
  <c r="CO68" i="3"/>
  <c r="CO16" i="3" l="1"/>
  <c r="CP83" i="3" l="1"/>
  <c r="CP68" i="3"/>
  <c r="CP39" i="3"/>
  <c r="CP53" i="3"/>
  <c r="CP16" i="3" l="1"/>
  <c r="CQ83" i="3" l="1"/>
  <c r="CQ53" i="3"/>
  <c r="CQ68" i="3"/>
  <c r="CQ39" i="3"/>
  <c r="CQ16" i="3" l="1"/>
  <c r="CR68" i="3" l="1"/>
  <c r="CR39" i="3"/>
  <c r="CR83" i="3"/>
  <c r="CR53" i="3"/>
  <c r="CR16" i="3" l="1"/>
  <c r="CS53" i="3" l="1"/>
  <c r="CS68" i="3"/>
  <c r="CS83" i="3"/>
  <c r="CS39" i="3"/>
  <c r="CS16" i="3" l="1"/>
  <c r="CT39" i="3" l="1"/>
  <c r="CT83" i="3"/>
  <c r="CT68" i="3"/>
  <c r="CT53" i="3"/>
  <c r="CT16" i="3" l="1"/>
  <c r="CU83" i="3" l="1"/>
  <c r="CU68" i="3"/>
  <c r="CU53" i="3"/>
  <c r="CU39" i="3"/>
  <c r="CU16" i="3" l="1"/>
  <c r="CV83" i="3" l="1"/>
  <c r="CV68" i="3"/>
  <c r="CV53" i="3"/>
  <c r="CV39" i="3"/>
  <c r="CV16" i="3" l="1"/>
  <c r="CW83" i="3" l="1"/>
  <c r="CW53" i="3"/>
  <c r="CW39" i="3"/>
  <c r="CW68" i="3"/>
  <c r="CW16" i="3" l="1"/>
  <c r="CX83" i="3" l="1"/>
  <c r="CX68" i="3"/>
  <c r="CX39" i="3"/>
  <c r="CX53" i="3"/>
  <c r="CX16" i="3" l="1"/>
  <c r="CY83" i="3" l="1"/>
  <c r="CY53" i="3"/>
  <c r="CY68" i="3"/>
  <c r="CY39" i="3"/>
  <c r="CY16" i="3" l="1"/>
  <c r="CZ68" i="3" l="1"/>
  <c r="CZ39" i="3"/>
  <c r="CZ83" i="3"/>
  <c r="CZ53" i="3"/>
  <c r="CZ16" i="3" l="1"/>
  <c r="DA53" i="3" l="1"/>
  <c r="DA83" i="3"/>
  <c r="DA68" i="3"/>
  <c r="DA39" i="3"/>
  <c r="DA16" i="3" l="1"/>
  <c r="DB39" i="3" l="1"/>
  <c r="DB83" i="3"/>
  <c r="DB68" i="3"/>
  <c r="DB53" i="3"/>
  <c r="DB16" i="3" l="1"/>
  <c r="DC83" i="3" l="1"/>
  <c r="DC68" i="3"/>
  <c r="DC53" i="3"/>
  <c r="DC39" i="3"/>
  <c r="DC16" i="3" l="1"/>
  <c r="DD83" i="3" l="1"/>
  <c r="DD68" i="3"/>
  <c r="DD53" i="3"/>
  <c r="DD39" i="3"/>
  <c r="DD16" i="3" l="1"/>
  <c r="DE83" i="3" l="1"/>
  <c r="DE53" i="3"/>
  <c r="DE39" i="3"/>
  <c r="DE68" i="3"/>
  <c r="DE16" i="3" l="1"/>
  <c r="DF83" i="3" l="1"/>
  <c r="DF68" i="3"/>
  <c r="DF39" i="3"/>
  <c r="DF53" i="3"/>
  <c r="DF16" i="3" l="1"/>
  <c r="DG83" i="3" l="1"/>
  <c r="DG53" i="3"/>
  <c r="DG68" i="3"/>
  <c r="DG39" i="3"/>
  <c r="DG16" i="3" l="1"/>
  <c r="DH68" i="3" l="1"/>
  <c r="DH39" i="3"/>
  <c r="DH83" i="3"/>
  <c r="DH53" i="3"/>
  <c r="DH16" i="3" l="1"/>
  <c r="DI53" i="3" l="1"/>
  <c r="DI68" i="3"/>
  <c r="DI83" i="3"/>
  <c r="DI39" i="3"/>
  <c r="DI16" i="3" l="1"/>
  <c r="DJ39" i="3" l="1"/>
  <c r="DJ83" i="3"/>
  <c r="DJ68" i="3"/>
  <c r="DJ53" i="3"/>
  <c r="DJ16" i="3" l="1"/>
  <c r="DK83" i="3" l="1"/>
  <c r="DK68" i="3"/>
  <c r="DK53" i="3"/>
  <c r="DK39" i="3"/>
  <c r="DK16" i="3" l="1"/>
  <c r="DL83" i="3" l="1"/>
  <c r="DL68" i="3"/>
  <c r="DL53" i="3"/>
  <c r="DL39" i="3"/>
  <c r="DL16" i="3" l="1"/>
  <c r="DM83" i="3" l="1"/>
  <c r="DM53" i="3"/>
  <c r="DM39" i="3"/>
  <c r="DM68" i="3"/>
  <c r="DM16" i="3" l="1"/>
  <c r="DN83" i="3" l="1"/>
  <c r="DN68" i="3"/>
  <c r="DN39" i="3"/>
  <c r="DN53" i="3"/>
  <c r="DN16" i="3" l="1"/>
  <c r="DO83" i="3" l="1"/>
  <c r="DO53" i="3"/>
  <c r="DO39" i="3"/>
  <c r="DO68" i="3"/>
  <c r="DO16" i="3" l="1"/>
  <c r="DP68" i="3" l="1"/>
  <c r="DP39" i="3"/>
  <c r="DP83" i="3"/>
  <c r="DP53" i="3"/>
  <c r="DP16" i="3" l="1"/>
  <c r="DQ53" i="3" l="1"/>
  <c r="DQ83" i="3"/>
  <c r="DQ68" i="3"/>
  <c r="DQ39" i="3"/>
  <c r="DQ16" i="3" l="1"/>
  <c r="DR39" i="3" l="1"/>
  <c r="DR83" i="3"/>
  <c r="DR68" i="3"/>
  <c r="DR53" i="3"/>
  <c r="DR16" i="3" l="1"/>
  <c r="DS83" i="3" l="1"/>
  <c r="DS68" i="3"/>
  <c r="DS53" i="3"/>
  <c r="DS39" i="3"/>
  <c r="DS16" i="3" l="1"/>
  <c r="DT83" i="3" l="1"/>
  <c r="DT68" i="3"/>
  <c r="DT53" i="3"/>
  <c r="DT39" i="3"/>
  <c r="DT16" i="3" l="1"/>
  <c r="DU83" i="3" l="1"/>
  <c r="DU53" i="3"/>
  <c r="DU39" i="3"/>
  <c r="DU68" i="3"/>
  <c r="DU16" i="3" l="1"/>
  <c r="DV83" i="3" l="1"/>
  <c r="DV68" i="3"/>
  <c r="DV39" i="3"/>
  <c r="DV53" i="3"/>
  <c r="DV16" i="3" l="1"/>
  <c r="K34" i="3"/>
  <c r="L34" i="3"/>
  <c r="H34" i="3"/>
  <c r="S34" i="3"/>
  <c r="I34" i="3"/>
  <c r="I42" i="3" s="1"/>
  <c r="Q34" i="3"/>
  <c r="J34" i="3"/>
  <c r="M34" i="3"/>
  <c r="M42" i="3" s="1"/>
  <c r="R34" i="3"/>
  <c r="V34" i="3"/>
  <c r="O34" i="3"/>
  <c r="Z34" i="3"/>
  <c r="AL34" i="3"/>
  <c r="N34" i="3"/>
  <c r="N42" i="3" s="1"/>
  <c r="T34" i="3"/>
  <c r="AB34" i="3"/>
  <c r="AF34" i="3"/>
  <c r="AF42" i="3" s="1"/>
  <c r="AH34" i="3"/>
  <c r="P34" i="3"/>
  <c r="U34" i="3"/>
  <c r="AC34" i="3"/>
  <c r="AG34" i="3"/>
  <c r="AM34" i="3"/>
  <c r="AN34" i="3"/>
  <c r="X34" i="3"/>
  <c r="AE34" i="3"/>
  <c r="Y34" i="3"/>
  <c r="AA34" i="3"/>
  <c r="W34" i="3"/>
  <c r="BE34" i="3"/>
  <c r="AU34" i="3"/>
  <c r="BC34" i="3"/>
  <c r="BD34" i="3"/>
  <c r="BD42" i="3" s="1"/>
  <c r="AO34" i="3"/>
  <c r="AR34" i="3"/>
  <c r="AR42" i="3"/>
  <c r="AR56" i="3" s="1"/>
  <c r="AT34" i="3"/>
  <c r="AD34" i="3"/>
  <c r="AJ34" i="3"/>
  <c r="AJ42" i="3" s="1"/>
  <c r="AJ56" i="3" s="1"/>
  <c r="AK34" i="3"/>
  <c r="AV34" i="3"/>
  <c r="AW34" i="3"/>
  <c r="BB34" i="3"/>
  <c r="BB42" i="3" s="1"/>
  <c r="BI34" i="3"/>
  <c r="AQ34" i="3"/>
  <c r="AQ42" i="3" s="1"/>
  <c r="AP34" i="3"/>
  <c r="AS34" i="3"/>
  <c r="AX34" i="3"/>
  <c r="BA34" i="3"/>
  <c r="BA42" i="3" s="1"/>
  <c r="AY34" i="3"/>
  <c r="BG34" i="3"/>
  <c r="BN34" i="3"/>
  <c r="CD34" i="3"/>
  <c r="AI34" i="3"/>
  <c r="AI42" i="3" s="1"/>
  <c r="BH34" i="3"/>
  <c r="BP34" i="3"/>
  <c r="BF34" i="3"/>
  <c r="CA34" i="3"/>
  <c r="BJ34" i="3"/>
  <c r="BL34" i="3"/>
  <c r="CK34" i="3"/>
  <c r="CK42" i="3" s="1"/>
  <c r="CM34" i="3"/>
  <c r="CM42" i="3" s="1"/>
  <c r="BU34" i="3"/>
  <c r="BU42" i="3" s="1"/>
  <c r="BU56" i="3" s="1"/>
  <c r="BU71" i="3" s="1"/>
  <c r="BR34" i="3"/>
  <c r="CF34" i="3"/>
  <c r="CF42" i="3" s="1"/>
  <c r="BX34" i="3"/>
  <c r="BZ34" i="3"/>
  <c r="CG34" i="3"/>
  <c r="CG42" i="3" s="1"/>
  <c r="BM34" i="3"/>
  <c r="CJ34" i="3"/>
  <c r="CJ42" i="3" s="1"/>
  <c r="CJ56" i="3" s="1"/>
  <c r="CO34" i="3"/>
  <c r="AZ34" i="3"/>
  <c r="BO34" i="3"/>
  <c r="CC34" i="3"/>
  <c r="CC42" i="3" s="1"/>
  <c r="CC20" i="3" s="1"/>
  <c r="BQ34" i="3"/>
  <c r="BT34" i="3"/>
  <c r="BV34" i="3"/>
  <c r="CQ34" i="3"/>
  <c r="CQ42" i="3" s="1"/>
  <c r="CQ56" i="3" s="1"/>
  <c r="CL34" i="3"/>
  <c r="CL42" i="3" s="1"/>
  <c r="CB34" i="3"/>
  <c r="BS34" i="3"/>
  <c r="BY34" i="3"/>
  <c r="CN34" i="3"/>
  <c r="DD34" i="3"/>
  <c r="BK34" i="3"/>
  <c r="CI34" i="3"/>
  <c r="CI42" i="3" s="1"/>
  <c r="CI20" i="3" s="1"/>
  <c r="CH34" i="3"/>
  <c r="CX34" i="3"/>
  <c r="CY34" i="3"/>
  <c r="BW34" i="3"/>
  <c r="BW42" i="3" s="1"/>
  <c r="BW56" i="3" s="1"/>
  <c r="CR34" i="3"/>
  <c r="DE34" i="3"/>
  <c r="CS34" i="3"/>
  <c r="CV34" i="3"/>
  <c r="CV42" i="3" s="1"/>
  <c r="CZ34" i="3"/>
  <c r="CZ42" i="3" s="1"/>
  <c r="CZ56" i="3" s="1"/>
  <c r="CP34" i="3"/>
  <c r="CW34" i="3"/>
  <c r="CU34" i="3"/>
  <c r="DC34" i="3"/>
  <c r="CE34" i="3"/>
  <c r="DA34" i="3"/>
  <c r="DI34" i="3"/>
  <c r="DM34" i="3"/>
  <c r="DN34" i="3"/>
  <c r="CT34" i="3"/>
  <c r="DB34" i="3"/>
  <c r="DF34" i="3"/>
  <c r="DG34" i="3"/>
  <c r="DH34" i="3"/>
  <c r="DP34" i="3"/>
  <c r="DO34" i="3"/>
  <c r="DQ34" i="3"/>
  <c r="DL34" i="3"/>
  <c r="DV34" i="3"/>
  <c r="DK34" i="3"/>
  <c r="DR34" i="3"/>
  <c r="DR42" i="3"/>
  <c r="DS34" i="3"/>
  <c r="DJ34" i="3"/>
  <c r="DT34" i="3"/>
  <c r="DU34" i="3"/>
  <c r="DU42" i="3"/>
  <c r="G34" i="3"/>
  <c r="G43" i="3" s="1"/>
  <c r="G47" i="3" s="1"/>
  <c r="G48" i="3" s="1"/>
  <c r="CQ27" i="3" l="1"/>
  <c r="G49" i="3"/>
  <c r="G50" i="3" s="1"/>
  <c r="G57" i="3"/>
  <c r="F35" i="3"/>
  <c r="F36" i="3"/>
  <c r="G42" i="3"/>
  <c r="G27" i="3" s="1"/>
  <c r="DJ42" i="3"/>
  <c r="DK42" i="3"/>
  <c r="DP42" i="3"/>
  <c r="DP27" i="3" s="1"/>
  <c r="CS42" i="3"/>
  <c r="DU56" i="3"/>
  <c r="DU20" i="3"/>
  <c r="DE42" i="3"/>
  <c r="DE27" i="3" s="1"/>
  <c r="CX42" i="3"/>
  <c r="CX27" i="3" s="1"/>
  <c r="DH42" i="3"/>
  <c r="DH27" i="3" s="1"/>
  <c r="CH42" i="3"/>
  <c r="CH27" i="3" s="1"/>
  <c r="DL42" i="3"/>
  <c r="DG42" i="3"/>
  <c r="DG27" i="3" s="1"/>
  <c r="CZ71" i="3"/>
  <c r="BW71" i="3"/>
  <c r="DR20" i="3"/>
  <c r="DR56" i="3"/>
  <c r="DV42" i="3"/>
  <c r="DV27" i="3" s="1"/>
  <c r="DQ42" i="3"/>
  <c r="DQ27" i="3" s="1"/>
  <c r="DC42" i="3"/>
  <c r="DT42" i="3"/>
  <c r="DT27" i="3" s="1"/>
  <c r="CU42" i="3"/>
  <c r="CU27" i="3" s="1"/>
  <c r="CV20" i="3"/>
  <c r="CV56" i="3"/>
  <c r="CV27" i="3"/>
  <c r="BK42" i="3"/>
  <c r="BK27" i="3" s="1"/>
  <c r="DO42" i="3"/>
  <c r="DO27" i="3" s="1"/>
  <c r="DU27" i="3"/>
  <c r="DM42" i="3"/>
  <c r="DM27" i="3" s="1"/>
  <c r="BY42" i="3"/>
  <c r="CQ71" i="3"/>
  <c r="BM42" i="3"/>
  <c r="BM27" i="3" s="1"/>
  <c r="CK20" i="3"/>
  <c r="CK27" i="3"/>
  <c r="CK56" i="3"/>
  <c r="DB42" i="3"/>
  <c r="DB27" i="3" s="1"/>
  <c r="DA42" i="3"/>
  <c r="DA27" i="3" s="1"/>
  <c r="CP42" i="3"/>
  <c r="CP27" i="3" s="1"/>
  <c r="CZ20" i="3"/>
  <c r="BW20" i="3"/>
  <c r="CG20" i="3"/>
  <c r="CG56" i="3"/>
  <c r="BR42" i="3"/>
  <c r="CR42" i="3"/>
  <c r="CR27" i="3" s="1"/>
  <c r="BW27" i="3"/>
  <c r="CY42" i="3"/>
  <c r="DD42" i="3"/>
  <c r="DD27" i="3" s="1"/>
  <c r="BO42" i="3"/>
  <c r="BO27" i="3" s="1"/>
  <c r="CE42" i="3"/>
  <c r="CE27" i="3" s="1"/>
  <c r="DI42" i="3"/>
  <c r="AZ42" i="3"/>
  <c r="DF42" i="3"/>
  <c r="DF27" i="3" s="1"/>
  <c r="DS42" i="3"/>
  <c r="CW42" i="3"/>
  <c r="CW27" i="3" s="1"/>
  <c r="CI56" i="3"/>
  <c r="BS42" i="3"/>
  <c r="BS27" i="3" s="1"/>
  <c r="CO42" i="3"/>
  <c r="CO27" i="3" s="1"/>
  <c r="BJ42" i="3"/>
  <c r="BJ27" i="3" s="1"/>
  <c r="CT42" i="3"/>
  <c r="CT27" i="3" s="1"/>
  <c r="CI27" i="3"/>
  <c r="CB42" i="3"/>
  <c r="BT42" i="3"/>
  <c r="CJ71" i="3"/>
  <c r="CA42" i="3"/>
  <c r="CA27" i="3" s="1"/>
  <c r="DR27" i="3"/>
  <c r="DN42" i="3"/>
  <c r="CN42" i="3"/>
  <c r="CL56" i="3"/>
  <c r="CL20" i="3"/>
  <c r="BQ42" i="3"/>
  <c r="BQ27" i="3" s="1"/>
  <c r="CM20" i="3"/>
  <c r="CM56" i="3"/>
  <c r="CZ27" i="3"/>
  <c r="CF56" i="3"/>
  <c r="CF20" i="3"/>
  <c r="BX42" i="3"/>
  <c r="BX27" i="3" s="1"/>
  <c r="BH42" i="3"/>
  <c r="BH27" i="3" s="1"/>
  <c r="AY42" i="3"/>
  <c r="CL27" i="3"/>
  <c r="CJ20" i="3"/>
  <c r="CG27" i="3"/>
  <c r="BL42" i="3"/>
  <c r="AI56" i="3"/>
  <c r="AI20" i="3"/>
  <c r="BA20" i="3"/>
  <c r="BA56" i="3"/>
  <c r="AK42" i="3"/>
  <c r="AK27" i="3" s="1"/>
  <c r="CJ27" i="3"/>
  <c r="BF42" i="3"/>
  <c r="BF27" i="3" s="1"/>
  <c r="AI27" i="3"/>
  <c r="AJ71" i="3"/>
  <c r="BB20" i="3"/>
  <c r="BB27" i="3"/>
  <c r="BB56" i="3"/>
  <c r="BZ42" i="3"/>
  <c r="BZ27" i="3" s="1"/>
  <c r="CF27" i="3"/>
  <c r="CD42" i="3"/>
  <c r="CC27" i="3"/>
  <c r="BU20" i="3"/>
  <c r="CM27" i="3"/>
  <c r="CQ20" i="3"/>
  <c r="BP42" i="3"/>
  <c r="BP27" i="3" s="1"/>
  <c r="BN42" i="3"/>
  <c r="AS42" i="3"/>
  <c r="BU27" i="3"/>
  <c r="BV42" i="3"/>
  <c r="AP42" i="3"/>
  <c r="AP27" i="3" s="1"/>
  <c r="CC56" i="3"/>
  <c r="AQ20" i="3"/>
  <c r="AQ56" i="3"/>
  <c r="AR71" i="3"/>
  <c r="Y42" i="3"/>
  <c r="Y27" i="3" s="1"/>
  <c r="BA27" i="3"/>
  <c r="AQ27" i="3"/>
  <c r="BI42" i="3"/>
  <c r="BI27" i="3" s="1"/>
  <c r="AV42" i="3"/>
  <c r="AD42" i="3"/>
  <c r="BE42" i="3"/>
  <c r="BE27" i="3" s="1"/>
  <c r="AJ20" i="3"/>
  <c r="AX42" i="3"/>
  <c r="AW42" i="3"/>
  <c r="AJ27" i="3"/>
  <c r="BD56" i="3"/>
  <c r="BD20" i="3"/>
  <c r="BG42" i="3"/>
  <c r="BG27" i="3" s="1"/>
  <c r="AT42" i="3"/>
  <c r="AT27" i="3" s="1"/>
  <c r="AR27" i="3"/>
  <c r="P42" i="3"/>
  <c r="P27" i="3" s="1"/>
  <c r="N20" i="3"/>
  <c r="N56" i="3"/>
  <c r="AA42" i="3"/>
  <c r="AN42" i="3"/>
  <c r="AN27" i="3" s="1"/>
  <c r="R42" i="3"/>
  <c r="W42" i="3"/>
  <c r="W27" i="3" s="1"/>
  <c r="AU42" i="3"/>
  <c r="AU27" i="3" s="1"/>
  <c r="AM42" i="3"/>
  <c r="AM27" i="3" s="1"/>
  <c r="AL42" i="3"/>
  <c r="M56" i="3"/>
  <c r="M20" i="3"/>
  <c r="AF56" i="3"/>
  <c r="AF20" i="3"/>
  <c r="AE42" i="3"/>
  <c r="BD27" i="3"/>
  <c r="AO42" i="3"/>
  <c r="AO27" i="3" s="1"/>
  <c r="X42" i="3"/>
  <c r="AG42" i="3"/>
  <c r="AG27" i="3" s="1"/>
  <c r="AB42" i="3"/>
  <c r="AB27" i="3" s="1"/>
  <c r="AC42" i="3"/>
  <c r="AC27" i="3" s="1"/>
  <c r="AR20" i="3"/>
  <c r="BC42" i="3"/>
  <c r="U42" i="3"/>
  <c r="U27" i="3" s="1"/>
  <c r="AH42" i="3"/>
  <c r="AH27" i="3" s="1"/>
  <c r="J42" i="3"/>
  <c r="N27" i="3"/>
  <c r="V42" i="3"/>
  <c r="H42" i="3"/>
  <c r="H27" i="3" s="1"/>
  <c r="AF27" i="3"/>
  <c r="T42" i="3"/>
  <c r="T27" i="3" s="1"/>
  <c r="Z42" i="3"/>
  <c r="Z27" i="3" s="1"/>
  <c r="Q42" i="3"/>
  <c r="Q27" i="3" s="1"/>
  <c r="O42" i="3"/>
  <c r="O27" i="3" s="1"/>
  <c r="M27" i="3"/>
  <c r="I20" i="3"/>
  <c r="I56" i="3"/>
  <c r="L42" i="3"/>
  <c r="L27" i="3" s="1"/>
  <c r="S42" i="3"/>
  <c r="S27" i="3" s="1"/>
  <c r="I27" i="3"/>
  <c r="K42" i="3"/>
  <c r="K27" i="3" s="1"/>
  <c r="I71" i="3" l="1"/>
  <c r="CF71" i="3"/>
  <c r="AO20" i="3"/>
  <c r="AO56" i="3"/>
  <c r="M71" i="3"/>
  <c r="W20" i="3"/>
  <c r="W56" i="3"/>
  <c r="R20" i="3"/>
  <c r="R56" i="3"/>
  <c r="BG20" i="3"/>
  <c r="BG56" i="3"/>
  <c r="BI20" i="3"/>
  <c r="BI56" i="3"/>
  <c r="Y56" i="3"/>
  <c r="Y20" i="3"/>
  <c r="AQ71" i="3"/>
  <c r="BZ20" i="3"/>
  <c r="BZ56" i="3"/>
  <c r="CM71" i="3"/>
  <c r="CW20" i="3"/>
  <c r="CW56" i="3"/>
  <c r="CR20" i="3"/>
  <c r="CR56" i="3"/>
  <c r="BR20" i="3"/>
  <c r="BR56" i="3"/>
  <c r="DM56" i="3"/>
  <c r="DM20" i="3"/>
  <c r="CU20" i="3"/>
  <c r="CU56" i="3"/>
  <c r="DG20" i="3"/>
  <c r="DG56" i="3"/>
  <c r="DK20" i="3"/>
  <c r="DK56" i="3"/>
  <c r="AL20" i="3"/>
  <c r="AL56" i="3"/>
  <c r="BC20" i="3"/>
  <c r="BC56" i="3"/>
  <c r="AE56" i="3"/>
  <c r="AE20" i="3"/>
  <c r="R27" i="3"/>
  <c r="N71" i="3"/>
  <c r="BD71" i="3"/>
  <c r="AW20" i="3"/>
  <c r="AW56" i="3"/>
  <c r="AW27" i="3"/>
  <c r="BV20" i="3"/>
  <c r="BV56" i="3"/>
  <c r="CD20" i="3"/>
  <c r="CD56" i="3"/>
  <c r="CL71" i="3"/>
  <c r="DN20" i="3"/>
  <c r="DN27" i="3"/>
  <c r="DN56" i="3"/>
  <c r="DA20" i="3"/>
  <c r="DA56" i="3"/>
  <c r="DB20" i="3"/>
  <c r="DB56" i="3"/>
  <c r="BY20" i="3"/>
  <c r="BY56" i="3"/>
  <c r="DV20" i="3"/>
  <c r="DV56" i="3"/>
  <c r="DH20" i="3"/>
  <c r="DH56" i="3"/>
  <c r="CX20" i="3"/>
  <c r="CX56" i="3"/>
  <c r="BS56" i="3"/>
  <c r="BS20" i="3"/>
  <c r="X20" i="3"/>
  <c r="X56" i="3"/>
  <c r="O20" i="3"/>
  <c r="O56" i="3"/>
  <c r="AH56" i="3"/>
  <c r="AH20" i="3"/>
  <c r="AL27" i="3"/>
  <c r="AT20" i="3"/>
  <c r="AT56" i="3"/>
  <c r="AX20" i="3"/>
  <c r="AX56" i="3"/>
  <c r="AX27" i="3"/>
  <c r="CC71" i="3"/>
  <c r="CD27" i="3"/>
  <c r="BF56" i="3"/>
  <c r="BF20" i="3"/>
  <c r="BL20" i="3"/>
  <c r="BL56" i="3"/>
  <c r="BV27" i="3"/>
  <c r="CV71" i="3"/>
  <c r="DQ20" i="3"/>
  <c r="DQ56" i="3"/>
  <c r="CS20" i="3"/>
  <c r="CS56" i="3"/>
  <c r="G45" i="3"/>
  <c r="G20" i="3"/>
  <c r="G56" i="3"/>
  <c r="G44" i="3"/>
  <c r="H40" i="3" s="1"/>
  <c r="AI71" i="3"/>
  <c r="BO20" i="3"/>
  <c r="BO56" i="3"/>
  <c r="DU71" i="3"/>
  <c r="S20" i="3"/>
  <c r="S56" i="3"/>
  <c r="Q56" i="3"/>
  <c r="Q20" i="3"/>
  <c r="V56" i="3"/>
  <c r="V20" i="3"/>
  <c r="AG56" i="3"/>
  <c r="AG20" i="3"/>
  <c r="X27" i="3"/>
  <c r="AF71" i="3"/>
  <c r="BC27" i="3"/>
  <c r="AE27" i="3"/>
  <c r="AV20" i="3"/>
  <c r="AV56" i="3"/>
  <c r="BA71" i="3"/>
  <c r="AY20" i="3"/>
  <c r="AY56" i="3"/>
  <c r="CN56" i="3"/>
  <c r="CN20" i="3"/>
  <c r="CA20" i="3"/>
  <c r="CA56" i="3"/>
  <c r="CB56" i="3"/>
  <c r="CB20" i="3"/>
  <c r="CO20" i="3"/>
  <c r="CO56" i="3"/>
  <c r="DI20" i="3"/>
  <c r="DI56" i="3"/>
  <c r="CG71" i="3"/>
  <c r="BM20" i="3"/>
  <c r="BM56" i="3"/>
  <c r="BY27" i="3"/>
  <c r="DI27" i="3"/>
  <c r="DC20" i="3"/>
  <c r="DC56" i="3"/>
  <c r="CH56" i="3"/>
  <c r="CH20" i="3"/>
  <c r="DP20" i="3"/>
  <c r="DP56" i="3"/>
  <c r="K20" i="3"/>
  <c r="K56" i="3"/>
  <c r="V27" i="3"/>
  <c r="U20" i="3"/>
  <c r="U56" i="3"/>
  <c r="AU56" i="3"/>
  <c r="AU20" i="3"/>
  <c r="AA20" i="3"/>
  <c r="AA56" i="3"/>
  <c r="AA27" i="3"/>
  <c r="BE20" i="3"/>
  <c r="BE56" i="3"/>
  <c r="AP20" i="3"/>
  <c r="AP56" i="3"/>
  <c r="BP20" i="3"/>
  <c r="BP56" i="3"/>
  <c r="AY27" i="3"/>
  <c r="BQ20" i="3"/>
  <c r="BQ56" i="3"/>
  <c r="CN27" i="3"/>
  <c r="CB27" i="3"/>
  <c r="BJ20" i="3"/>
  <c r="BJ56" i="3"/>
  <c r="DS20" i="3"/>
  <c r="DS56" i="3"/>
  <c r="CY20" i="3"/>
  <c r="CY56" i="3"/>
  <c r="CP20" i="3"/>
  <c r="CP56" i="3"/>
  <c r="DC27" i="3"/>
  <c r="DL20" i="3"/>
  <c r="DL56" i="3"/>
  <c r="CS27" i="3"/>
  <c r="G58" i="3"/>
  <c r="G62" i="3" s="1"/>
  <c r="AS20" i="3"/>
  <c r="AS56" i="3"/>
  <c r="BH20" i="3"/>
  <c r="BH56" i="3"/>
  <c r="DF20" i="3"/>
  <c r="DF56" i="3"/>
  <c r="DD20" i="3"/>
  <c r="DD56" i="3"/>
  <c r="L20" i="3"/>
  <c r="L56" i="3"/>
  <c r="T20" i="3"/>
  <c r="T56" i="3"/>
  <c r="AD56" i="3"/>
  <c r="AD20" i="3"/>
  <c r="AD27" i="3"/>
  <c r="BN56" i="3"/>
  <c r="BN20" i="3"/>
  <c r="BT56" i="3"/>
  <c r="BT20" i="3"/>
  <c r="CI71" i="3"/>
  <c r="AZ20" i="3"/>
  <c r="AZ56" i="3"/>
  <c r="CK71" i="3"/>
  <c r="BK56" i="3"/>
  <c r="BK20" i="3"/>
  <c r="DR71" i="3"/>
  <c r="DJ20" i="3"/>
  <c r="DJ56" i="3"/>
  <c r="H20" i="3"/>
  <c r="H56" i="3"/>
  <c r="J20" i="3"/>
  <c r="J56" i="3"/>
  <c r="AC20" i="3"/>
  <c r="AC56" i="3"/>
  <c r="Z20" i="3"/>
  <c r="Z56" i="3"/>
  <c r="J27" i="3"/>
  <c r="D27" i="3" s="1"/>
  <c r="D5" i="3" s="1"/>
  <c r="AB20" i="3"/>
  <c r="AB56" i="3"/>
  <c r="AM56" i="3"/>
  <c r="AM20" i="3"/>
  <c r="AN20" i="3"/>
  <c r="AN56" i="3"/>
  <c r="P56" i="3"/>
  <c r="P20" i="3"/>
  <c r="AV27" i="3"/>
  <c r="AS27" i="3"/>
  <c r="BN27" i="3"/>
  <c r="BB71" i="3"/>
  <c r="AK56" i="3"/>
  <c r="AK20" i="3"/>
  <c r="BX20" i="3"/>
  <c r="BX56" i="3"/>
  <c r="BT27" i="3"/>
  <c r="CT20" i="3"/>
  <c r="CT56" i="3"/>
  <c r="AZ27" i="3"/>
  <c r="CE56" i="3"/>
  <c r="CE20" i="3"/>
  <c r="BL27" i="3"/>
  <c r="CY27" i="3"/>
  <c r="BR27" i="3"/>
  <c r="DO56" i="3"/>
  <c r="DO20" i="3"/>
  <c r="DT56" i="3"/>
  <c r="DT20" i="3"/>
  <c r="DL27" i="3"/>
  <c r="DS27" i="3"/>
  <c r="DE56" i="3"/>
  <c r="DE20" i="3"/>
  <c r="DK27" i="3"/>
  <c r="DJ27" i="3"/>
  <c r="AM71" i="3" l="1"/>
  <c r="DJ71" i="3"/>
  <c r="BK71" i="3"/>
  <c r="BH71" i="3"/>
  <c r="U71" i="3"/>
  <c r="DP71" i="3"/>
  <c r="CA71" i="3"/>
  <c r="AY71" i="3"/>
  <c r="BF71" i="3"/>
  <c r="AX71" i="3"/>
  <c r="BY71" i="3"/>
  <c r="DK71" i="3"/>
  <c r="BG71" i="3"/>
  <c r="H71" i="3"/>
  <c r="BN71" i="3"/>
  <c r="DL71" i="3"/>
  <c r="BJ71" i="3"/>
  <c r="BS71" i="3"/>
  <c r="CD71" i="3"/>
  <c r="AW71" i="3"/>
  <c r="CU71" i="3"/>
  <c r="CT71" i="3"/>
  <c r="DT71" i="3"/>
  <c r="BX71" i="3"/>
  <c r="P71" i="3"/>
  <c r="AB71" i="3"/>
  <c r="DD71" i="3"/>
  <c r="AA71" i="3"/>
  <c r="CH71" i="3"/>
  <c r="BM71" i="3"/>
  <c r="CO71" i="3"/>
  <c r="AV71" i="3"/>
  <c r="V71" i="3"/>
  <c r="DQ71" i="3"/>
  <c r="DV71" i="3"/>
  <c r="DN71" i="3"/>
  <c r="CW71" i="3"/>
  <c r="DE71" i="3"/>
  <c r="CE71" i="3"/>
  <c r="AC71" i="3"/>
  <c r="AS71" i="3"/>
  <c r="CY71" i="3"/>
  <c r="BP71" i="3"/>
  <c r="BE71" i="3"/>
  <c r="BO71" i="3"/>
  <c r="H41" i="3"/>
  <c r="H43" i="3" s="1"/>
  <c r="AT71" i="3"/>
  <c r="AH71" i="3"/>
  <c r="X71" i="3"/>
  <c r="DB71" i="3"/>
  <c r="AE71" i="3"/>
  <c r="BR71" i="3"/>
  <c r="Y71" i="3"/>
  <c r="R71" i="3"/>
  <c r="DO71" i="3"/>
  <c r="AN71" i="3"/>
  <c r="BT71" i="3"/>
  <c r="T71" i="3"/>
  <c r="DC71" i="3"/>
  <c r="CN71" i="3"/>
  <c r="AG71" i="3"/>
  <c r="Q71" i="3"/>
  <c r="G60" i="3"/>
  <c r="G71" i="3"/>
  <c r="G59" i="3"/>
  <c r="H54" i="3" s="1"/>
  <c r="BL71" i="3"/>
  <c r="CX71" i="3"/>
  <c r="BC71" i="3"/>
  <c r="AL71" i="3"/>
  <c r="BZ71" i="3"/>
  <c r="AO71" i="3"/>
  <c r="AZ71" i="3"/>
  <c r="DF71" i="3"/>
  <c r="D20" i="3"/>
  <c r="D6" i="3" s="1"/>
  <c r="D7" i="3" s="1"/>
  <c r="BV71" i="3"/>
  <c r="DG71" i="3"/>
  <c r="BI71" i="3"/>
  <c r="Z71" i="3"/>
  <c r="AD71" i="3"/>
  <c r="DS71" i="3"/>
  <c r="BQ71" i="3"/>
  <c r="AP71" i="3"/>
  <c r="AU71" i="3"/>
  <c r="K71" i="3"/>
  <c r="CB71" i="3"/>
  <c r="S71" i="3"/>
  <c r="O71" i="3"/>
  <c r="DA71" i="3"/>
  <c r="DM71" i="3"/>
  <c r="CR71" i="3"/>
  <c r="W71" i="3"/>
  <c r="J71" i="3"/>
  <c r="AK71" i="3"/>
  <c r="L71" i="3"/>
  <c r="G63" i="3"/>
  <c r="G72" i="3"/>
  <c r="CP71" i="3"/>
  <c r="DI71" i="3"/>
  <c r="CS71" i="3"/>
  <c r="DH71" i="3"/>
  <c r="G64" i="3" l="1"/>
  <c r="H47" i="3"/>
  <c r="H45" i="3"/>
  <c r="H44" i="3"/>
  <c r="I40" i="3" s="1"/>
  <c r="G65" i="3"/>
  <c r="G73" i="3" s="1"/>
  <c r="H55" i="3"/>
  <c r="G77" i="3" l="1"/>
  <c r="G74" i="3"/>
  <c r="H69" i="3" s="1"/>
  <c r="G75" i="3"/>
  <c r="I41" i="3"/>
  <c r="I43" i="3" s="1"/>
  <c r="I44" i="3" s="1"/>
  <c r="J40" i="3" s="1"/>
  <c r="H57" i="3"/>
  <c r="H48" i="3"/>
  <c r="J41" i="3" l="1"/>
  <c r="J43" i="3" s="1"/>
  <c r="J44" i="3" s="1"/>
  <c r="K40" i="3" s="1"/>
  <c r="H49" i="3"/>
  <c r="I47" i="3"/>
  <c r="I45" i="3"/>
  <c r="H70" i="3"/>
  <c r="G78" i="3"/>
  <c r="G79" i="3" l="1"/>
  <c r="H50" i="3"/>
  <c r="H58" i="3" s="1"/>
  <c r="K41" i="3"/>
  <c r="J47" i="3"/>
  <c r="J45" i="3"/>
  <c r="I57" i="3"/>
  <c r="I48" i="3"/>
  <c r="H62" i="3" l="1"/>
  <c r="H59" i="3"/>
  <c r="I54" i="3" s="1"/>
  <c r="H60" i="3"/>
  <c r="G80" i="3"/>
  <c r="K43" i="3"/>
  <c r="J57" i="3"/>
  <c r="J48" i="3"/>
  <c r="I49" i="3"/>
  <c r="J49" i="3" l="1"/>
  <c r="J50" i="3"/>
  <c r="G85" i="3"/>
  <c r="G26" i="3" s="1"/>
  <c r="G84" i="3"/>
  <c r="I55" i="3"/>
  <c r="I50" i="3"/>
  <c r="H63" i="3"/>
  <c r="H72" i="3"/>
  <c r="K47" i="3"/>
  <c r="K45" i="3"/>
  <c r="K44" i="3"/>
  <c r="L40" i="3" s="1"/>
  <c r="H64" i="3" l="1"/>
  <c r="H65" i="3" s="1"/>
  <c r="H73" i="3" s="1"/>
  <c r="L41" i="3"/>
  <c r="L43" i="3" s="1"/>
  <c r="L44" i="3" s="1"/>
  <c r="M40" i="3" s="1"/>
  <c r="I58" i="3"/>
  <c r="G29" i="3"/>
  <c r="G86" i="3"/>
  <c r="G87" i="3" s="1"/>
  <c r="G19" i="3"/>
  <c r="K57" i="3"/>
  <c r="K48" i="3"/>
  <c r="G33" i="4" l="1"/>
  <c r="G34" i="4" s="1"/>
  <c r="K49" i="3"/>
  <c r="K50" i="3" s="1"/>
  <c r="H77" i="3"/>
  <c r="H74" i="3"/>
  <c r="I69" i="3" s="1"/>
  <c r="H75" i="3"/>
  <c r="I62" i="3"/>
  <c r="I60" i="3"/>
  <c r="M41" i="3"/>
  <c r="G22" i="3"/>
  <c r="L47" i="3"/>
  <c r="L45" i="3"/>
  <c r="I59" i="3"/>
  <c r="J54" i="3" s="1"/>
  <c r="G42" i="4" l="1"/>
  <c r="G43" i="4"/>
  <c r="G47" i="4" s="1"/>
  <c r="M43" i="3"/>
  <c r="M44" i="3" s="1"/>
  <c r="N40" i="3" s="1"/>
  <c r="L48" i="3"/>
  <c r="L57" i="3"/>
  <c r="J55" i="3"/>
  <c r="J58" i="3" s="1"/>
  <c r="I63" i="3"/>
  <c r="I72" i="3"/>
  <c r="I70" i="3"/>
  <c r="H78" i="3"/>
  <c r="G57" i="4" l="1"/>
  <c r="G48" i="4"/>
  <c r="G49" i="4" s="1"/>
  <c r="G20" i="4"/>
  <c r="G56" i="4"/>
  <c r="G27" i="4"/>
  <c r="G45" i="4"/>
  <c r="G44" i="4"/>
  <c r="H40" i="4" s="1"/>
  <c r="H41" i="4" s="1"/>
  <c r="I64" i="3"/>
  <c r="I65" i="3" s="1"/>
  <c r="I73" i="3" s="1"/>
  <c r="L49" i="3"/>
  <c r="L50" i="3" s="1"/>
  <c r="M45" i="3"/>
  <c r="H79" i="3"/>
  <c r="H80" i="3" s="1"/>
  <c r="M47" i="3"/>
  <c r="M57" i="3" s="1"/>
  <c r="N41" i="3"/>
  <c r="N43" i="3" s="1"/>
  <c r="J62" i="3"/>
  <c r="J60" i="3"/>
  <c r="J59" i="3"/>
  <c r="K54" i="3" s="1"/>
  <c r="G50" i="4" l="1"/>
  <c r="G58" i="4" s="1"/>
  <c r="G62" i="4" s="1"/>
  <c r="G71" i="4"/>
  <c r="M48" i="3"/>
  <c r="N44" i="3"/>
  <c r="O40" i="3" s="1"/>
  <c r="N45" i="3"/>
  <c r="N47" i="3"/>
  <c r="N48" i="3" s="1"/>
  <c r="I77" i="3"/>
  <c r="I74" i="3"/>
  <c r="J69" i="3" s="1"/>
  <c r="I75" i="3"/>
  <c r="K55" i="3"/>
  <c r="K58" i="3" s="1"/>
  <c r="J63" i="3"/>
  <c r="J72" i="3"/>
  <c r="H84" i="3"/>
  <c r="H85" i="3"/>
  <c r="H26" i="3" s="1"/>
  <c r="N57" i="3"/>
  <c r="G60" i="4" l="1"/>
  <c r="G59" i="4"/>
  <c r="H54" i="4" s="1"/>
  <c r="H55" i="4" s="1"/>
  <c r="J64" i="3"/>
  <c r="G63" i="4"/>
  <c r="G64" i="4" s="1"/>
  <c r="G72" i="4"/>
  <c r="M49" i="3"/>
  <c r="M50" i="3" s="1"/>
  <c r="O41" i="3"/>
  <c r="O43" i="3" s="1"/>
  <c r="K62" i="3"/>
  <c r="K60" i="3"/>
  <c r="K59" i="3"/>
  <c r="L54" i="3" s="1"/>
  <c r="J65" i="3"/>
  <c r="H29" i="3"/>
  <c r="J70" i="3"/>
  <c r="H86" i="3"/>
  <c r="H87" i="3" s="1"/>
  <c r="H19" i="3"/>
  <c r="N49" i="3"/>
  <c r="I78" i="3"/>
  <c r="H33" i="4" l="1"/>
  <c r="G65" i="4"/>
  <c r="G73" i="4" s="1"/>
  <c r="H34" i="4"/>
  <c r="J73" i="3"/>
  <c r="J77" i="3" s="1"/>
  <c r="O47" i="3"/>
  <c r="O45" i="3"/>
  <c r="O44" i="3"/>
  <c r="P40" i="3" s="1"/>
  <c r="P41" i="3" s="1"/>
  <c r="P43" i="3" s="1"/>
  <c r="P47" i="3" s="1"/>
  <c r="N50" i="3"/>
  <c r="H22" i="3"/>
  <c r="L55" i="3"/>
  <c r="L58" i="3" s="1"/>
  <c r="I79" i="3"/>
  <c r="K63" i="3"/>
  <c r="K72" i="3"/>
  <c r="H42" i="4" l="1"/>
  <c r="H43" i="4"/>
  <c r="G77" i="4"/>
  <c r="G75" i="4"/>
  <c r="G74" i="4"/>
  <c r="H69" i="4" s="1"/>
  <c r="J74" i="3"/>
  <c r="K69" i="3" s="1"/>
  <c r="K70" i="3" s="1"/>
  <c r="J75" i="3"/>
  <c r="K64" i="3"/>
  <c r="K65" i="3" s="1"/>
  <c r="P44" i="3"/>
  <c r="Q40" i="3" s="1"/>
  <c r="Q41" i="3" s="1"/>
  <c r="Q43" i="3" s="1"/>
  <c r="P45" i="3"/>
  <c r="L59" i="3"/>
  <c r="M54" i="3" s="1"/>
  <c r="M55" i="3" s="1"/>
  <c r="M58" i="3" s="1"/>
  <c r="M59" i="3" s="1"/>
  <c r="N54" i="3" s="1"/>
  <c r="O48" i="3"/>
  <c r="O57" i="3"/>
  <c r="L62" i="3"/>
  <c r="L60" i="3"/>
  <c r="I80" i="3"/>
  <c r="J78" i="3"/>
  <c r="P57" i="3"/>
  <c r="P48" i="3"/>
  <c r="H44" i="4" l="1"/>
  <c r="I40" i="4" s="1"/>
  <c r="H47" i="4"/>
  <c r="H70" i="4"/>
  <c r="H56" i="4"/>
  <c r="H20" i="4"/>
  <c r="H27" i="4"/>
  <c r="H45" i="4"/>
  <c r="G78" i="4"/>
  <c r="G79" i="4" s="1"/>
  <c r="G80" i="4" s="1"/>
  <c r="O49" i="3"/>
  <c r="O50" i="3" s="1"/>
  <c r="K73" i="3"/>
  <c r="K77" i="3" s="1"/>
  <c r="Q47" i="3"/>
  <c r="Q45" i="3"/>
  <c r="Q44" i="3"/>
  <c r="R40" i="3" s="1"/>
  <c r="L63" i="3"/>
  <c r="L72" i="3"/>
  <c r="N55" i="3"/>
  <c r="N58" i="3" s="1"/>
  <c r="I85" i="3"/>
  <c r="I26" i="3" s="1"/>
  <c r="I84" i="3"/>
  <c r="M62" i="3"/>
  <c r="M60" i="3"/>
  <c r="P49" i="3"/>
  <c r="J79" i="3"/>
  <c r="K75" i="3" l="1"/>
  <c r="K74" i="3"/>
  <c r="L69" i="3" s="1"/>
  <c r="H71" i="4"/>
  <c r="G84" i="4"/>
  <c r="G85" i="4"/>
  <c r="G26" i="4" s="1"/>
  <c r="H48" i="4"/>
  <c r="H49" i="4" s="1"/>
  <c r="H57" i="4"/>
  <c r="I41" i="4"/>
  <c r="J80" i="3"/>
  <c r="N62" i="3"/>
  <c r="N60" i="3"/>
  <c r="R41" i="3"/>
  <c r="R43" i="3" s="1"/>
  <c r="I86" i="3"/>
  <c r="I87" i="3" s="1"/>
  <c r="I19" i="3"/>
  <c r="L70" i="3"/>
  <c r="N59" i="3"/>
  <c r="O54" i="3" s="1"/>
  <c r="P50" i="3"/>
  <c r="Q57" i="3"/>
  <c r="Q48" i="3"/>
  <c r="M63" i="3"/>
  <c r="M72" i="3"/>
  <c r="I29" i="3"/>
  <c r="L64" i="3"/>
  <c r="K78" i="3"/>
  <c r="I33" i="4" l="1"/>
  <c r="H50" i="4"/>
  <c r="G86" i="4"/>
  <c r="G87" i="4" s="1"/>
  <c r="G19" i="4"/>
  <c r="I34" i="4"/>
  <c r="H58" i="4"/>
  <c r="G29" i="4"/>
  <c r="M64" i="3"/>
  <c r="M65" i="3" s="1"/>
  <c r="R47" i="3"/>
  <c r="R45" i="3"/>
  <c r="L65" i="3"/>
  <c r="L73" i="3" s="1"/>
  <c r="N63" i="3"/>
  <c r="N72" i="3"/>
  <c r="R44" i="3"/>
  <c r="S40" i="3" s="1"/>
  <c r="Q49" i="3"/>
  <c r="I22" i="3"/>
  <c r="O55" i="3"/>
  <c r="O58" i="3" s="1"/>
  <c r="K79" i="3"/>
  <c r="J85" i="3"/>
  <c r="J26" i="3" s="1"/>
  <c r="J84" i="3"/>
  <c r="I42" i="4" l="1"/>
  <c r="H59" i="4"/>
  <c r="I54" i="4" s="1"/>
  <c r="H62" i="4"/>
  <c r="I43" i="4"/>
  <c r="I47" i="4" s="1"/>
  <c r="N64" i="3"/>
  <c r="N65" i="3" s="1"/>
  <c r="G22" i="4"/>
  <c r="H60" i="4"/>
  <c r="O62" i="3"/>
  <c r="O60" i="3"/>
  <c r="O59" i="3"/>
  <c r="P54" i="3" s="1"/>
  <c r="Q50" i="3"/>
  <c r="S41" i="3"/>
  <c r="R57" i="3"/>
  <c r="R48" i="3"/>
  <c r="J29" i="3"/>
  <c r="J86" i="3"/>
  <c r="J87" i="3" s="1"/>
  <c r="J19" i="3"/>
  <c r="K80" i="3"/>
  <c r="L77" i="3"/>
  <c r="L74" i="3"/>
  <c r="M69" i="3" s="1"/>
  <c r="L75" i="3"/>
  <c r="J33" i="4" l="1"/>
  <c r="J34" i="4" s="1"/>
  <c r="I55" i="4"/>
  <c r="H63" i="4"/>
  <c r="H64" i="4" s="1"/>
  <c r="H72" i="4"/>
  <c r="I27" i="4"/>
  <c r="I56" i="4"/>
  <c r="I20" i="4"/>
  <c r="I45" i="4"/>
  <c r="I44" i="4"/>
  <c r="J40" i="4" s="1"/>
  <c r="I48" i="4"/>
  <c r="I49" i="4" s="1"/>
  <c r="I57" i="4"/>
  <c r="S43" i="3"/>
  <c r="S44" i="3" s="1"/>
  <c r="T40" i="3" s="1"/>
  <c r="T41" i="3" s="1"/>
  <c r="T43" i="3" s="1"/>
  <c r="R49" i="3"/>
  <c r="M70" i="3"/>
  <c r="M73" i="3" s="1"/>
  <c r="P55" i="3"/>
  <c r="L78" i="3"/>
  <c r="K84" i="3"/>
  <c r="K85" i="3"/>
  <c r="K26" i="3" s="1"/>
  <c r="J22" i="3"/>
  <c r="O63" i="3"/>
  <c r="O72" i="3"/>
  <c r="S47" i="3" l="1"/>
  <c r="S45" i="3"/>
  <c r="I50" i="4"/>
  <c r="I58" i="4" s="1"/>
  <c r="H65" i="4"/>
  <c r="H73" i="4" s="1"/>
  <c r="J41" i="4"/>
  <c r="J42" i="4"/>
  <c r="I71" i="4"/>
  <c r="L79" i="3"/>
  <c r="P58" i="3"/>
  <c r="P59" i="3" s="1"/>
  <c r="Q54" i="3" s="1"/>
  <c r="Q55" i="3" s="1"/>
  <c r="Q58" i="3" s="1"/>
  <c r="L80" i="3"/>
  <c r="T47" i="3"/>
  <c r="T45" i="3"/>
  <c r="T44" i="3"/>
  <c r="U40" i="3" s="1"/>
  <c r="M77" i="3"/>
  <c r="M75" i="3"/>
  <c r="M74" i="3"/>
  <c r="N69" i="3" s="1"/>
  <c r="K86" i="3"/>
  <c r="K87" i="3" s="1"/>
  <c r="K19" i="3"/>
  <c r="R50" i="3"/>
  <c r="S57" i="3"/>
  <c r="S48" i="3"/>
  <c r="O64" i="3"/>
  <c r="K29" i="3"/>
  <c r="K33" i="4" s="1"/>
  <c r="K34" i="4" s="1"/>
  <c r="P60" i="3" l="1"/>
  <c r="P62" i="3"/>
  <c r="J43" i="4"/>
  <c r="J47" i="4" s="1"/>
  <c r="J48" i="4" s="1"/>
  <c r="J49" i="4" s="1"/>
  <c r="H77" i="4"/>
  <c r="H75" i="4"/>
  <c r="H74" i="4"/>
  <c r="I69" i="4" s="1"/>
  <c r="I62" i="4"/>
  <c r="I59" i="4"/>
  <c r="J54" i="4" s="1"/>
  <c r="I60" i="4"/>
  <c r="K42" i="4"/>
  <c r="J56" i="4"/>
  <c r="J27" i="4"/>
  <c r="J20" i="4"/>
  <c r="J45" i="4"/>
  <c r="S49" i="3"/>
  <c r="S50" i="3" s="1"/>
  <c r="Q62" i="3"/>
  <c r="Q60" i="3"/>
  <c r="M78" i="3"/>
  <c r="U41" i="3"/>
  <c r="U43" i="3" s="1"/>
  <c r="T57" i="3"/>
  <c r="T48" i="3"/>
  <c r="N70" i="3"/>
  <c r="N73" i="3" s="1"/>
  <c r="O65" i="3"/>
  <c r="Q59" i="3"/>
  <c r="R54" i="3" s="1"/>
  <c r="P63" i="3"/>
  <c r="P72" i="3"/>
  <c r="K22" i="3"/>
  <c r="L85" i="3"/>
  <c r="L26" i="3" s="1"/>
  <c r="L84" i="3"/>
  <c r="J44" i="4" l="1"/>
  <c r="K40" i="4" s="1"/>
  <c r="K41" i="4" s="1"/>
  <c r="K43" i="4" s="1"/>
  <c r="K47" i="4" s="1"/>
  <c r="J57" i="4"/>
  <c r="J55" i="4"/>
  <c r="J71" i="4"/>
  <c r="I63" i="4"/>
  <c r="I64" i="4" s="1"/>
  <c r="I72" i="4"/>
  <c r="I70" i="4"/>
  <c r="H78" i="4"/>
  <c r="H79" i="4" s="1"/>
  <c r="H80" i="4" s="1"/>
  <c r="J50" i="4"/>
  <c r="K27" i="4"/>
  <c r="K20" i="4"/>
  <c r="K56" i="4"/>
  <c r="K45" i="4"/>
  <c r="K44" i="4"/>
  <c r="L40" i="4" s="1"/>
  <c r="K57" i="4"/>
  <c r="K48" i="4"/>
  <c r="K49" i="4" s="1"/>
  <c r="L29" i="3"/>
  <c r="L33" i="4" s="1"/>
  <c r="L34" i="4" s="1"/>
  <c r="T49" i="3"/>
  <c r="T50" i="3" s="1"/>
  <c r="N74" i="3"/>
  <c r="O69" i="3" s="1"/>
  <c r="O70" i="3" s="1"/>
  <c r="O73" i="3" s="1"/>
  <c r="O74" i="3" s="1"/>
  <c r="P69" i="3" s="1"/>
  <c r="U47" i="3"/>
  <c r="U45" i="3"/>
  <c r="U44" i="3"/>
  <c r="V40" i="3" s="1"/>
  <c r="N77" i="3"/>
  <c r="N75" i="3"/>
  <c r="M79" i="3"/>
  <c r="R55" i="3"/>
  <c r="L86" i="3"/>
  <c r="L87" i="3" s="1"/>
  <c r="L19" i="3"/>
  <c r="L22" i="3" s="1"/>
  <c r="P64" i="3"/>
  <c r="Q63" i="3"/>
  <c r="Q72" i="3"/>
  <c r="H85" i="4" l="1"/>
  <c r="H26" i="4" s="1"/>
  <c r="H84" i="4"/>
  <c r="I65" i="4"/>
  <c r="I73" i="4" s="1"/>
  <c r="K50" i="4"/>
  <c r="L41" i="4"/>
  <c r="L43" i="4" s="1"/>
  <c r="L47" i="4" s="1"/>
  <c r="J58" i="4"/>
  <c r="L42" i="4"/>
  <c r="K71" i="4"/>
  <c r="Q64" i="3"/>
  <c r="Q65" i="3" s="1"/>
  <c r="R58" i="3"/>
  <c r="R59" i="3" s="1"/>
  <c r="S54" i="3" s="1"/>
  <c r="S55" i="3" s="1"/>
  <c r="S58" i="3" s="1"/>
  <c r="P70" i="3"/>
  <c r="P65" i="3"/>
  <c r="N78" i="3"/>
  <c r="V41" i="3"/>
  <c r="V43" i="3" s="1"/>
  <c r="V44" i="3" s="1"/>
  <c r="W40" i="3" s="1"/>
  <c r="M80" i="3"/>
  <c r="O77" i="3"/>
  <c r="O75" i="3"/>
  <c r="U57" i="3"/>
  <c r="U48" i="3"/>
  <c r="U49" i="3"/>
  <c r="L57" i="4" l="1"/>
  <c r="L48" i="4"/>
  <c r="L49" i="4" s="1"/>
  <c r="I77" i="4"/>
  <c r="I74" i="4"/>
  <c r="J69" i="4" s="1"/>
  <c r="I75" i="4"/>
  <c r="J62" i="4"/>
  <c r="J59" i="4"/>
  <c r="K54" i="4" s="1"/>
  <c r="J60" i="4"/>
  <c r="H86" i="4"/>
  <c r="H87" i="4" s="1"/>
  <c r="H19" i="4"/>
  <c r="L20" i="4"/>
  <c r="L56" i="4"/>
  <c r="L27" i="4"/>
  <c r="L45" i="4"/>
  <c r="H29" i="4"/>
  <c r="L44" i="4"/>
  <c r="M40" i="4" s="1"/>
  <c r="P73" i="3"/>
  <c r="P74" i="3" s="1"/>
  <c r="Q69" i="3" s="1"/>
  <c r="N79" i="3"/>
  <c r="N80" i="3" s="1"/>
  <c r="R60" i="3"/>
  <c r="R62" i="3"/>
  <c r="R63" i="3" s="1"/>
  <c r="S62" i="3"/>
  <c r="S60" i="3"/>
  <c r="S59" i="3"/>
  <c r="T54" i="3" s="1"/>
  <c r="W41" i="3"/>
  <c r="W43" i="3" s="1"/>
  <c r="P77" i="3"/>
  <c r="P75" i="3"/>
  <c r="U50" i="3"/>
  <c r="O78" i="3"/>
  <c r="O79" i="3" s="1"/>
  <c r="V47" i="3"/>
  <c r="V45" i="3"/>
  <c r="M85" i="3"/>
  <c r="M26" i="3" s="1"/>
  <c r="M84" i="3"/>
  <c r="J63" i="4" l="1"/>
  <c r="J64" i="4"/>
  <c r="J72" i="4"/>
  <c r="L71" i="4"/>
  <c r="H22" i="4"/>
  <c r="I78" i="4"/>
  <c r="I79" i="4" s="1"/>
  <c r="I80" i="4" s="1"/>
  <c r="L50" i="4"/>
  <c r="J70" i="4"/>
  <c r="M41" i="4"/>
  <c r="K55" i="4"/>
  <c r="K58" i="4" s="1"/>
  <c r="R72" i="3"/>
  <c r="M29" i="3"/>
  <c r="M33" i="4" s="1"/>
  <c r="M34" i="4" s="1"/>
  <c r="W47" i="3"/>
  <c r="W45" i="3"/>
  <c r="W44" i="3"/>
  <c r="X40" i="3" s="1"/>
  <c r="P78" i="3"/>
  <c r="P79" i="3" s="1"/>
  <c r="N85" i="3"/>
  <c r="N26" i="3" s="1"/>
  <c r="N84" i="3"/>
  <c r="T55" i="3"/>
  <c r="T58" i="3" s="1"/>
  <c r="R64" i="3"/>
  <c r="V57" i="3"/>
  <c r="V48" i="3"/>
  <c r="O80" i="3"/>
  <c r="M86" i="3"/>
  <c r="M87" i="3" s="1"/>
  <c r="M19" i="3"/>
  <c r="M22" i="3" s="1"/>
  <c r="Q70" i="3"/>
  <c r="Q73" i="3" s="1"/>
  <c r="Q74" i="3" s="1"/>
  <c r="R69" i="3" s="1"/>
  <c r="S63" i="3"/>
  <c r="S72" i="3"/>
  <c r="K59" i="4" l="1"/>
  <c r="L54" i="4" s="1"/>
  <c r="M43" i="4"/>
  <c r="M47" i="4" s="1"/>
  <c r="I84" i="4"/>
  <c r="I85" i="4"/>
  <c r="I26" i="4" s="1"/>
  <c r="J65" i="4"/>
  <c r="J73" i="4" s="1"/>
  <c r="J75" i="4" s="1"/>
  <c r="M42" i="4"/>
  <c r="K62" i="4"/>
  <c r="K60" i="4"/>
  <c r="N29" i="3"/>
  <c r="N33" i="4" s="1"/>
  <c r="N34" i="4" s="1"/>
  <c r="T59" i="3"/>
  <c r="U54" i="3" s="1"/>
  <c r="U55" i="3" s="1"/>
  <c r="U58" i="3" s="1"/>
  <c r="O85" i="3"/>
  <c r="O26" i="3" s="1"/>
  <c r="O84" i="3"/>
  <c r="R65" i="3"/>
  <c r="P80" i="3"/>
  <c r="S64" i="3"/>
  <c r="R70" i="3"/>
  <c r="N86" i="3"/>
  <c r="N87" i="3" s="1"/>
  <c r="N19" i="3"/>
  <c r="N22" i="3" s="1"/>
  <c r="X41" i="3"/>
  <c r="X43" i="3" s="1"/>
  <c r="T62" i="3"/>
  <c r="T60" i="3"/>
  <c r="Q77" i="3"/>
  <c r="Q75" i="3"/>
  <c r="V49" i="3"/>
  <c r="W48" i="3"/>
  <c r="W57" i="3"/>
  <c r="I86" i="4" l="1"/>
  <c r="I87" i="4" s="1"/>
  <c r="I19" i="4"/>
  <c r="K63" i="4"/>
  <c r="K64" i="4"/>
  <c r="K72" i="4"/>
  <c r="M27" i="4"/>
  <c r="M20" i="4"/>
  <c r="M56" i="4"/>
  <c r="M45" i="4"/>
  <c r="M44" i="4"/>
  <c r="N40" i="4" s="1"/>
  <c r="N42" i="4"/>
  <c r="J74" i="4"/>
  <c r="K69" i="4" s="1"/>
  <c r="J77" i="4"/>
  <c r="M57" i="4"/>
  <c r="M48" i="4"/>
  <c r="M49" i="4" s="1"/>
  <c r="R73" i="3"/>
  <c r="R77" i="3" s="1"/>
  <c r="I29" i="4"/>
  <c r="L55" i="4"/>
  <c r="L58" i="4" s="1"/>
  <c r="O29" i="3"/>
  <c r="O33" i="4" s="1"/>
  <c r="O34" i="4" s="1"/>
  <c r="U62" i="3"/>
  <c r="U60" i="3"/>
  <c r="U59" i="3"/>
  <c r="V54" i="3" s="1"/>
  <c r="X47" i="3"/>
  <c r="X45" i="3"/>
  <c r="X44" i="3"/>
  <c r="Y40" i="3" s="1"/>
  <c r="W49" i="3"/>
  <c r="P85" i="3"/>
  <c r="P26" i="3" s="1"/>
  <c r="P84" i="3"/>
  <c r="V50" i="3"/>
  <c r="Q78" i="3"/>
  <c r="S65" i="3"/>
  <c r="O86" i="3"/>
  <c r="O87" i="3" s="1"/>
  <c r="O19" i="3"/>
  <c r="O22" i="3" s="1"/>
  <c r="T63" i="3"/>
  <c r="T72" i="3"/>
  <c r="L62" i="4" l="1"/>
  <c r="L60" i="4"/>
  <c r="L59" i="4"/>
  <c r="M54" i="4" s="1"/>
  <c r="O42" i="4"/>
  <c r="N56" i="4"/>
  <c r="N27" i="4"/>
  <c r="N20" i="4"/>
  <c r="M50" i="4"/>
  <c r="K65" i="4"/>
  <c r="R74" i="3"/>
  <c r="S69" i="3" s="1"/>
  <c r="S70" i="3" s="1"/>
  <c r="S73" i="3" s="1"/>
  <c r="N41" i="4"/>
  <c r="N43" i="4" s="1"/>
  <c r="N47" i="4" s="1"/>
  <c r="R75" i="3"/>
  <c r="J78" i="4"/>
  <c r="J79" i="4" s="1"/>
  <c r="J80" i="4" s="1"/>
  <c r="I22" i="4"/>
  <c r="K70" i="4"/>
  <c r="K73" i="4" s="1"/>
  <c r="K77" i="4" s="1"/>
  <c r="M71" i="4"/>
  <c r="P29" i="3"/>
  <c r="P33" i="4" s="1"/>
  <c r="P34" i="4" s="1"/>
  <c r="P86" i="3"/>
  <c r="P87" i="3" s="1"/>
  <c r="P19" i="3"/>
  <c r="P22" i="3" s="1"/>
  <c r="R78" i="3"/>
  <c r="W50" i="3"/>
  <c r="V55" i="3"/>
  <c r="V58" i="3" s="1"/>
  <c r="Y41" i="3"/>
  <c r="Y43" i="3" s="1"/>
  <c r="Q79" i="3"/>
  <c r="X57" i="3"/>
  <c r="X48" i="3"/>
  <c r="T64" i="3"/>
  <c r="U63" i="3"/>
  <c r="U72" i="3"/>
  <c r="J85" i="4" l="1"/>
  <c r="J26" i="4" s="1"/>
  <c r="J84" i="4"/>
  <c r="K74" i="4"/>
  <c r="L69" i="4" s="1"/>
  <c r="K78" i="4"/>
  <c r="K79" i="4" s="1"/>
  <c r="K80" i="4" s="1"/>
  <c r="N44" i="4"/>
  <c r="O40" i="4" s="1"/>
  <c r="K75" i="4"/>
  <c r="O56" i="4"/>
  <c r="O27" i="4"/>
  <c r="O20" i="4"/>
  <c r="N57" i="4"/>
  <c r="N48" i="4"/>
  <c r="N49" i="4" s="1"/>
  <c r="N45" i="4"/>
  <c r="M55" i="4"/>
  <c r="M58" i="4" s="1"/>
  <c r="M59" i="4" s="1"/>
  <c r="N54" i="4" s="1"/>
  <c r="P42" i="4"/>
  <c r="N71" i="4"/>
  <c r="L63" i="4"/>
  <c r="L64" i="4" s="1"/>
  <c r="L72" i="4"/>
  <c r="X49" i="3"/>
  <c r="U64" i="3"/>
  <c r="Y47" i="3"/>
  <c r="Y45" i="3"/>
  <c r="S77" i="3"/>
  <c r="S75" i="3"/>
  <c r="V62" i="3"/>
  <c r="V60" i="3"/>
  <c r="X50" i="3"/>
  <c r="U65" i="3"/>
  <c r="R79" i="3"/>
  <c r="Q80" i="3"/>
  <c r="S74" i="3"/>
  <c r="T69" i="3" s="1"/>
  <c r="Y44" i="3"/>
  <c r="Z40" i="3" s="1"/>
  <c r="V59" i="3"/>
  <c r="W54" i="3" s="1"/>
  <c r="T65" i="3"/>
  <c r="O41" i="4" l="1"/>
  <c r="O43" i="4" s="1"/>
  <c r="O71" i="4"/>
  <c r="N50" i="4"/>
  <c r="P20" i="4"/>
  <c r="P27" i="4"/>
  <c r="P56" i="4"/>
  <c r="K84" i="4"/>
  <c r="K85" i="4"/>
  <c r="K26" i="4" s="1"/>
  <c r="K29" i="4" s="1"/>
  <c r="L65" i="4"/>
  <c r="M62" i="4"/>
  <c r="M60" i="4"/>
  <c r="L70" i="4"/>
  <c r="J86" i="4"/>
  <c r="J87" i="4" s="1"/>
  <c r="J19" i="4"/>
  <c r="N55" i="4"/>
  <c r="N58" i="4" s="1"/>
  <c r="J29" i="4"/>
  <c r="T70" i="3"/>
  <c r="T73" i="3" s="1"/>
  <c r="T74" i="3" s="1"/>
  <c r="U69" i="3" s="1"/>
  <c r="W55" i="3"/>
  <c r="W58" i="3" s="1"/>
  <c r="S78" i="3"/>
  <c r="Z41" i="3"/>
  <c r="Z43" i="3" s="1"/>
  <c r="V63" i="3"/>
  <c r="V72" i="3"/>
  <c r="R80" i="3"/>
  <c r="Q85" i="3"/>
  <c r="Q26" i="3" s="1"/>
  <c r="Q84" i="3"/>
  <c r="Y57" i="3"/>
  <c r="Y48" i="3"/>
  <c r="J22" i="4" l="1"/>
  <c r="K86" i="4"/>
  <c r="K87" i="4" s="1"/>
  <c r="K19" i="4"/>
  <c r="K22" i="4" s="1"/>
  <c r="L73" i="4"/>
  <c r="P71" i="4"/>
  <c r="O44" i="4"/>
  <c r="P40" i="4" s="1"/>
  <c r="N62" i="4"/>
  <c r="N60" i="4"/>
  <c r="S79" i="3"/>
  <c r="S80" i="3" s="1"/>
  <c r="N59" i="4"/>
  <c r="O54" i="4" s="1"/>
  <c r="M63" i="4"/>
  <c r="M64" i="4" s="1"/>
  <c r="M72" i="4"/>
  <c r="O47" i="4"/>
  <c r="O45" i="4"/>
  <c r="V64" i="3"/>
  <c r="V65" i="3" s="1"/>
  <c r="Q29" i="3"/>
  <c r="Q33" i="4" s="1"/>
  <c r="Q34" i="4" s="1"/>
  <c r="Z47" i="3"/>
  <c r="Z45" i="3"/>
  <c r="Z44" i="3"/>
  <c r="AA40" i="3" s="1"/>
  <c r="W62" i="3"/>
  <c r="W60" i="3"/>
  <c r="W59" i="3"/>
  <c r="X54" i="3" s="1"/>
  <c r="U70" i="3"/>
  <c r="U73" i="3" s="1"/>
  <c r="T77" i="3"/>
  <c r="T75" i="3"/>
  <c r="Y49" i="3"/>
  <c r="Q86" i="3"/>
  <c r="Q87" i="3" s="1"/>
  <c r="Q19" i="3"/>
  <c r="Q22" i="3" s="1"/>
  <c r="R85" i="3"/>
  <c r="R26" i="3" s="1"/>
  <c r="R84" i="3"/>
  <c r="O57" i="4" l="1"/>
  <c r="O48" i="4"/>
  <c r="O49" i="4" s="1"/>
  <c r="N63" i="4"/>
  <c r="N64" i="4" s="1"/>
  <c r="N72" i="4"/>
  <c r="L77" i="4"/>
  <c r="L75" i="4"/>
  <c r="L74" i="4"/>
  <c r="M69" i="4" s="1"/>
  <c r="P41" i="4"/>
  <c r="P43" i="4" s="1"/>
  <c r="P44" i="4" s="1"/>
  <c r="Q40" i="4" s="1"/>
  <c r="M65" i="4"/>
  <c r="Q42" i="4"/>
  <c r="O55" i="4"/>
  <c r="R29" i="3"/>
  <c r="R33" i="4" s="1"/>
  <c r="R34" i="4" s="1"/>
  <c r="U77" i="3"/>
  <c r="U75" i="3"/>
  <c r="U74" i="3"/>
  <c r="V69" i="3" s="1"/>
  <c r="Y50" i="3"/>
  <c r="W63" i="3"/>
  <c r="W72" i="3"/>
  <c r="S85" i="3"/>
  <c r="S26" i="3" s="1"/>
  <c r="S84" i="3"/>
  <c r="AA41" i="3"/>
  <c r="AA43" i="3" s="1"/>
  <c r="X55" i="3"/>
  <c r="X58" i="3" s="1"/>
  <c r="R86" i="3"/>
  <c r="R87" i="3" s="1"/>
  <c r="R19" i="3"/>
  <c r="R22" i="3" s="1"/>
  <c r="T78" i="3"/>
  <c r="Z57" i="3"/>
  <c r="Z48" i="3"/>
  <c r="N65" i="4" l="1"/>
  <c r="P47" i="4"/>
  <c r="P45" i="4"/>
  <c r="M70" i="4"/>
  <c r="M73" i="4" s="1"/>
  <c r="M74" i="4" s="1"/>
  <c r="N69" i="4" s="1"/>
  <c r="O50" i="4"/>
  <c r="O58" i="4" s="1"/>
  <c r="O62" i="4" s="1"/>
  <c r="Q41" i="4"/>
  <c r="Q43" i="4" s="1"/>
  <c r="Q47" i="4" s="1"/>
  <c r="Q56" i="4"/>
  <c r="Q20" i="4"/>
  <c r="Q27" i="4"/>
  <c r="L78" i="4"/>
  <c r="L79" i="4" s="1"/>
  <c r="L80" i="4" s="1"/>
  <c r="R42" i="4"/>
  <c r="T79" i="3"/>
  <c r="T80" i="3" s="1"/>
  <c r="W64" i="3"/>
  <c r="W65" i="3" s="1"/>
  <c r="Z49" i="3"/>
  <c r="Z50" i="3" s="1"/>
  <c r="S29" i="3"/>
  <c r="S33" i="4" s="1"/>
  <c r="S34" i="4" s="1"/>
  <c r="X62" i="3"/>
  <c r="X60" i="3"/>
  <c r="X59" i="3"/>
  <c r="Y54" i="3" s="1"/>
  <c r="AA47" i="3"/>
  <c r="AA45" i="3"/>
  <c r="AA44" i="3"/>
  <c r="AB40" i="3" s="1"/>
  <c r="S86" i="3"/>
  <c r="S87" i="3" s="1"/>
  <c r="S19" i="3"/>
  <c r="S22" i="3" s="1"/>
  <c r="V70" i="3"/>
  <c r="V73" i="3" s="1"/>
  <c r="U78" i="3"/>
  <c r="Q44" i="4" l="1"/>
  <c r="R40" i="4" s="1"/>
  <c r="N70" i="4"/>
  <c r="N73" i="4" s="1"/>
  <c r="R41" i="4"/>
  <c r="R43" i="4"/>
  <c r="R27" i="4"/>
  <c r="R56" i="4"/>
  <c r="R20" i="4"/>
  <c r="Q57" i="4"/>
  <c r="Q48" i="4"/>
  <c r="Q49" i="4" s="1"/>
  <c r="O63" i="4"/>
  <c r="O64" i="4" s="1"/>
  <c r="O72" i="4"/>
  <c r="P57" i="4"/>
  <c r="P48" i="4"/>
  <c r="P49" i="4" s="1"/>
  <c r="L84" i="4"/>
  <c r="L85" i="4"/>
  <c r="L26" i="4" s="1"/>
  <c r="L29" i="4" s="1"/>
  <c r="O60" i="4"/>
  <c r="Q45" i="4"/>
  <c r="S42" i="4"/>
  <c r="M77" i="4"/>
  <c r="M75" i="4"/>
  <c r="Q71" i="4"/>
  <c r="O59" i="4"/>
  <c r="P54" i="4" s="1"/>
  <c r="P55" i="4" s="1"/>
  <c r="U79" i="3"/>
  <c r="U80" i="3" s="1"/>
  <c r="V77" i="3"/>
  <c r="V75" i="3"/>
  <c r="X63" i="3"/>
  <c r="X72" i="3"/>
  <c r="Y55" i="3"/>
  <c r="V74" i="3"/>
  <c r="W69" i="3" s="1"/>
  <c r="AA57" i="3"/>
  <c r="AA48" i="3"/>
  <c r="AB41" i="3"/>
  <c r="AB43" i="3" s="1"/>
  <c r="T85" i="3"/>
  <c r="T26" i="3" s="1"/>
  <c r="T84" i="3"/>
  <c r="Q50" i="4" l="1"/>
  <c r="N77" i="4"/>
  <c r="N75" i="4"/>
  <c r="N74" i="4"/>
  <c r="O69" i="4" s="1"/>
  <c r="O65" i="4"/>
  <c r="R71" i="4"/>
  <c r="R44" i="4"/>
  <c r="S40" i="4" s="1"/>
  <c r="R47" i="4"/>
  <c r="S27" i="4"/>
  <c r="S20" i="4"/>
  <c r="S56" i="4"/>
  <c r="P50" i="4"/>
  <c r="P58" i="4" s="1"/>
  <c r="M78" i="4"/>
  <c r="M79" i="4" s="1"/>
  <c r="M80" i="4" s="1"/>
  <c r="L86" i="4"/>
  <c r="L87" i="4" s="1"/>
  <c r="L19" i="4"/>
  <c r="L22" i="4" s="1"/>
  <c r="R45" i="4"/>
  <c r="T29" i="3"/>
  <c r="T33" i="4" s="1"/>
  <c r="T34" i="4" s="1"/>
  <c r="X64" i="3"/>
  <c r="AB47" i="3"/>
  <c r="AB45" i="3"/>
  <c r="AB44" i="3"/>
  <c r="AC40" i="3" s="1"/>
  <c r="T86" i="3"/>
  <c r="T87" i="3" s="1"/>
  <c r="T19" i="3"/>
  <c r="T22" i="3" s="1"/>
  <c r="U85" i="3"/>
  <c r="U26" i="3" s="1"/>
  <c r="U84" i="3"/>
  <c r="W70" i="3"/>
  <c r="W73" i="3" s="1"/>
  <c r="Y58" i="3"/>
  <c r="AA49" i="3"/>
  <c r="X65" i="3"/>
  <c r="V78" i="3"/>
  <c r="M84" i="4" l="1"/>
  <c r="M85" i="4"/>
  <c r="M26" i="4" s="1"/>
  <c r="M29" i="4" s="1"/>
  <c r="O70" i="4"/>
  <c r="O73" i="4" s="1"/>
  <c r="O74" i="4" s="1"/>
  <c r="P69" i="4" s="1"/>
  <c r="P59" i="4"/>
  <c r="Q54" i="4" s="1"/>
  <c r="P62" i="4"/>
  <c r="R57" i="4"/>
  <c r="R48" i="4"/>
  <c r="R49" i="4" s="1"/>
  <c r="S41" i="4"/>
  <c r="S43" i="4" s="1"/>
  <c r="N78" i="4"/>
  <c r="N79" i="4" s="1"/>
  <c r="N80" i="4" s="1"/>
  <c r="V79" i="3"/>
  <c r="P60" i="4"/>
  <c r="T42" i="4"/>
  <c r="S71" i="4"/>
  <c r="U29" i="3"/>
  <c r="U33" i="4" s="1"/>
  <c r="U34" i="4" s="1"/>
  <c r="W74" i="3"/>
  <c r="X69" i="3" s="1"/>
  <c r="X70" i="3" s="1"/>
  <c r="X73" i="3" s="1"/>
  <c r="X74" i="3" s="1"/>
  <c r="Y69" i="3" s="1"/>
  <c r="V80" i="3"/>
  <c r="Y62" i="3"/>
  <c r="Y60" i="3"/>
  <c r="W77" i="3"/>
  <c r="W75" i="3"/>
  <c r="AB57" i="3"/>
  <c r="AB48" i="3"/>
  <c r="AC41" i="3"/>
  <c r="AC43" i="3" s="1"/>
  <c r="AA50" i="3"/>
  <c r="U86" i="3"/>
  <c r="U87" i="3" s="1"/>
  <c r="U19" i="3"/>
  <c r="U22" i="3" s="1"/>
  <c r="Y59" i="3"/>
  <c r="Z54" i="3" s="1"/>
  <c r="R50" i="4" l="1"/>
  <c r="P70" i="4"/>
  <c r="N84" i="4"/>
  <c r="N85" i="4"/>
  <c r="N26" i="4" s="1"/>
  <c r="N29" i="4" s="1"/>
  <c r="P63" i="4"/>
  <c r="P64" i="4" s="1"/>
  <c r="P72" i="4"/>
  <c r="S44" i="4"/>
  <c r="T40" i="4" s="1"/>
  <c r="Q55" i="4"/>
  <c r="Q58" i="4" s="1"/>
  <c r="S47" i="4"/>
  <c r="S45" i="4"/>
  <c r="U42" i="4"/>
  <c r="O77" i="4"/>
  <c r="O75" i="4"/>
  <c r="T20" i="4"/>
  <c r="T56" i="4"/>
  <c r="T27" i="4"/>
  <c r="M86" i="4"/>
  <c r="M87" i="4" s="1"/>
  <c r="M19" i="4"/>
  <c r="M22" i="4" s="1"/>
  <c r="AC47" i="3"/>
  <c r="AC45" i="3"/>
  <c r="Y63" i="3"/>
  <c r="Y64" i="3" s="1"/>
  <c r="Y72" i="3"/>
  <c r="V85" i="3"/>
  <c r="V26" i="3" s="1"/>
  <c r="V84" i="3"/>
  <c r="Y70" i="3"/>
  <c r="AC44" i="3"/>
  <c r="AD40" i="3" s="1"/>
  <c r="X77" i="3"/>
  <c r="X75" i="3"/>
  <c r="AB49" i="3"/>
  <c r="Z55" i="3"/>
  <c r="Z58" i="3" s="1"/>
  <c r="W78" i="3"/>
  <c r="O78" i="4" l="1"/>
  <c r="O79" i="4" s="1"/>
  <c r="O80" i="4" s="1"/>
  <c r="Q59" i="4"/>
  <c r="R54" i="4" s="1"/>
  <c r="N86" i="4"/>
  <c r="N87" i="4" s="1"/>
  <c r="N19" i="4"/>
  <c r="N22" i="4" s="1"/>
  <c r="T41" i="4"/>
  <c r="T43" i="4" s="1"/>
  <c r="U27" i="4"/>
  <c r="U56" i="4"/>
  <c r="U20" i="4"/>
  <c r="Q62" i="4"/>
  <c r="Q60" i="4"/>
  <c r="P65" i="4"/>
  <c r="P73" i="4" s="1"/>
  <c r="S57" i="4"/>
  <c r="S48" i="4"/>
  <c r="S49" i="4" s="1"/>
  <c r="T71" i="4"/>
  <c r="V29" i="3"/>
  <c r="V33" i="4" s="1"/>
  <c r="V34" i="4" s="1"/>
  <c r="W79" i="3"/>
  <c r="W80" i="3"/>
  <c r="Z62" i="3"/>
  <c r="Z60" i="3"/>
  <c r="Z59" i="3"/>
  <c r="AA54" i="3" s="1"/>
  <c r="X78" i="3"/>
  <c r="Y65" i="3"/>
  <c r="Y73" i="3" s="1"/>
  <c r="V86" i="3"/>
  <c r="V87" i="3" s="1"/>
  <c r="V19" i="3"/>
  <c r="V22" i="3" s="1"/>
  <c r="AD41" i="3"/>
  <c r="AD43" i="3" s="1"/>
  <c r="AD44" i="3" s="1"/>
  <c r="AE40" i="3" s="1"/>
  <c r="AB50" i="3"/>
  <c r="AC57" i="3"/>
  <c r="AC48" i="3"/>
  <c r="S50" i="4" l="1"/>
  <c r="T47" i="4"/>
  <c r="T45" i="4"/>
  <c r="T44" i="4"/>
  <c r="U40" i="4" s="1"/>
  <c r="P77" i="4"/>
  <c r="P74" i="4"/>
  <c r="Q69" i="4" s="1"/>
  <c r="P75" i="4"/>
  <c r="U71" i="4"/>
  <c r="R55" i="4"/>
  <c r="O85" i="4"/>
  <c r="O26" i="4" s="1"/>
  <c r="O29" i="4" s="1"/>
  <c r="O84" i="4"/>
  <c r="V42" i="4"/>
  <c r="Q63" i="4"/>
  <c r="Q64" i="4" s="1"/>
  <c r="Q72" i="4"/>
  <c r="R58" i="4"/>
  <c r="X79" i="3"/>
  <c r="X80" i="3" s="1"/>
  <c r="Y77" i="3"/>
  <c r="Y74" i="3"/>
  <c r="Z69" i="3" s="1"/>
  <c r="Y75" i="3"/>
  <c r="AA55" i="3"/>
  <c r="AA58" i="3" s="1"/>
  <c r="AA59" i="3" s="1"/>
  <c r="AB54" i="3" s="1"/>
  <c r="AE41" i="3"/>
  <c r="AE43" i="3" s="1"/>
  <c r="Z63" i="3"/>
  <c r="Z72" i="3"/>
  <c r="AC49" i="3"/>
  <c r="W85" i="3"/>
  <c r="W26" i="3" s="1"/>
  <c r="W84" i="3"/>
  <c r="AD47" i="3"/>
  <c r="AD45" i="3"/>
  <c r="R59" i="4" l="1"/>
  <c r="S54" i="4" s="1"/>
  <c r="Q65" i="4"/>
  <c r="P78" i="4"/>
  <c r="P79" i="4" s="1"/>
  <c r="P80" i="4" s="1"/>
  <c r="U41" i="4"/>
  <c r="U43" i="4" s="1"/>
  <c r="S55" i="4"/>
  <c r="S58" i="4" s="1"/>
  <c r="S59" i="4" s="1"/>
  <c r="T54" i="4" s="1"/>
  <c r="R62" i="4"/>
  <c r="R60" i="4"/>
  <c r="V56" i="4"/>
  <c r="V27" i="4"/>
  <c r="V20" i="4"/>
  <c r="T57" i="4"/>
  <c r="T48" i="4"/>
  <c r="T49" i="4" s="1"/>
  <c r="O86" i="4"/>
  <c r="O87" i="4" s="1"/>
  <c r="O19" i="4"/>
  <c r="O22" i="4" s="1"/>
  <c r="Q70" i="4"/>
  <c r="Q73" i="4" s="1"/>
  <c r="W29" i="3"/>
  <c r="W33" i="4" s="1"/>
  <c r="W34" i="4" s="1"/>
  <c r="Z64" i="3"/>
  <c r="Z65" i="3" s="1"/>
  <c r="AE47" i="3"/>
  <c r="AE45" i="3"/>
  <c r="W86" i="3"/>
  <c r="W87" i="3" s="1"/>
  <c r="W19" i="3"/>
  <c r="W22" i="3" s="1"/>
  <c r="AB55" i="3"/>
  <c r="AB58" i="3" s="1"/>
  <c r="AD57" i="3"/>
  <c r="AD48" i="3"/>
  <c r="AE44" i="3"/>
  <c r="AF40" i="3" s="1"/>
  <c r="AA62" i="3"/>
  <c r="AA60" i="3"/>
  <c r="X85" i="3"/>
  <c r="X26" i="3" s="1"/>
  <c r="X84" i="3"/>
  <c r="Z70" i="3"/>
  <c r="AC50" i="3"/>
  <c r="Y78" i="3"/>
  <c r="U44" i="4" l="1"/>
  <c r="V40" i="4" s="1"/>
  <c r="U47" i="4"/>
  <c r="U45" i="4"/>
  <c r="Q74" i="4"/>
  <c r="R69" i="4" s="1"/>
  <c r="Q77" i="4"/>
  <c r="Q75" i="4"/>
  <c r="S62" i="4"/>
  <c r="S60" i="4"/>
  <c r="T55" i="4"/>
  <c r="V71" i="4"/>
  <c r="P85" i="4"/>
  <c r="P26" i="4" s="1"/>
  <c r="P29" i="4" s="1"/>
  <c r="P84" i="4"/>
  <c r="W42" i="4"/>
  <c r="T50" i="4"/>
  <c r="T58" i="4" s="1"/>
  <c r="R63" i="4"/>
  <c r="R64" i="4" s="1"/>
  <c r="R72" i="4"/>
  <c r="Y79" i="3"/>
  <c r="X29" i="3"/>
  <c r="X33" i="4" s="1"/>
  <c r="X34" i="4" s="1"/>
  <c r="AB62" i="3"/>
  <c r="AB60" i="3"/>
  <c r="Y80" i="3"/>
  <c r="X86" i="3"/>
  <c r="X87" i="3" s="1"/>
  <c r="X19" i="3"/>
  <c r="X22" i="3" s="1"/>
  <c r="Z73" i="3"/>
  <c r="AE57" i="3"/>
  <c r="AE48" i="3"/>
  <c r="AA63" i="3"/>
  <c r="AA72" i="3"/>
  <c r="AB59" i="3"/>
  <c r="AC54" i="3" s="1"/>
  <c r="AD49" i="3"/>
  <c r="AF41" i="3"/>
  <c r="T59" i="4" l="1"/>
  <c r="U54" i="4" s="1"/>
  <c r="T62" i="4"/>
  <c r="T60" i="4"/>
  <c r="Q78" i="4"/>
  <c r="Q79" i="4" s="1"/>
  <c r="Q80" i="4" s="1"/>
  <c r="X42" i="4"/>
  <c r="R70" i="4"/>
  <c r="S63" i="4"/>
  <c r="S64" i="4" s="1"/>
  <c r="S72" i="4"/>
  <c r="P86" i="4"/>
  <c r="P87" i="4" s="1"/>
  <c r="P19" i="4"/>
  <c r="P22" i="4" s="1"/>
  <c r="W56" i="4"/>
  <c r="W27" i="4"/>
  <c r="W20" i="4"/>
  <c r="U57" i="4"/>
  <c r="U48" i="4"/>
  <c r="U49" i="4"/>
  <c r="R65" i="4"/>
  <c r="V41" i="4"/>
  <c r="V43" i="4" s="1"/>
  <c r="AE49" i="3"/>
  <c r="AE50" i="3" s="1"/>
  <c r="AA64" i="3"/>
  <c r="AF43" i="3"/>
  <c r="AC55" i="3"/>
  <c r="AA65" i="3"/>
  <c r="Z77" i="3"/>
  <c r="Z75" i="3"/>
  <c r="AB63" i="3"/>
  <c r="AB72" i="3"/>
  <c r="AD50" i="3"/>
  <c r="Y84" i="3"/>
  <c r="Y85" i="3"/>
  <c r="Y26" i="3" s="1"/>
  <c r="Z74" i="3"/>
  <c r="AA69" i="3" s="1"/>
  <c r="Q84" i="4" l="1"/>
  <c r="Q85" i="4"/>
  <c r="Q26" i="4" s="1"/>
  <c r="Q29" i="4" s="1"/>
  <c r="R73" i="4"/>
  <c r="V47" i="4"/>
  <c r="V45" i="4"/>
  <c r="W71" i="4"/>
  <c r="U50" i="4"/>
  <c r="T63" i="4"/>
  <c r="T64" i="4" s="1"/>
  <c r="T72" i="4"/>
  <c r="S65" i="4"/>
  <c r="V44" i="4"/>
  <c r="W40" i="4" s="1"/>
  <c r="X56" i="4"/>
  <c r="X27" i="4"/>
  <c r="X20" i="4"/>
  <c r="U55" i="4"/>
  <c r="Y29" i="3"/>
  <c r="Y33" i="4" s="1"/>
  <c r="Y34" i="4" s="1"/>
  <c r="AB64" i="3"/>
  <c r="AB65" i="3" s="1"/>
  <c r="AF47" i="3"/>
  <c r="AF45" i="3"/>
  <c r="AF44" i="3"/>
  <c r="AG40" i="3" s="1"/>
  <c r="AC58" i="3"/>
  <c r="Z78" i="3"/>
  <c r="AA70" i="3"/>
  <c r="AA73" i="3" s="1"/>
  <c r="Y86" i="3"/>
  <c r="Y87" i="3" s="1"/>
  <c r="Y19" i="3"/>
  <c r="Y22" i="3" s="1"/>
  <c r="X71" i="4" l="1"/>
  <c r="T65" i="4"/>
  <c r="V57" i="4"/>
  <c r="V48" i="4"/>
  <c r="V49" i="4" s="1"/>
  <c r="Y42" i="4"/>
  <c r="R77" i="4"/>
  <c r="R75" i="4"/>
  <c r="W41" i="4"/>
  <c r="W43" i="4" s="1"/>
  <c r="U58" i="4"/>
  <c r="Q86" i="4"/>
  <c r="Q87" i="4" s="1"/>
  <c r="Q19" i="4"/>
  <c r="Q22" i="4" s="1"/>
  <c r="R74" i="4"/>
  <c r="S69" i="4" s="1"/>
  <c r="AA77" i="3"/>
  <c r="AA75" i="3"/>
  <c r="AA74" i="3"/>
  <c r="AB69" i="3" s="1"/>
  <c r="AG41" i="3"/>
  <c r="AG43" i="3" s="1"/>
  <c r="Z79" i="3"/>
  <c r="AF57" i="3"/>
  <c r="AF48" i="3"/>
  <c r="AC62" i="3"/>
  <c r="AC60" i="3"/>
  <c r="AC59" i="3"/>
  <c r="AD54" i="3" s="1"/>
  <c r="S70" i="4" l="1"/>
  <c r="S73" i="4"/>
  <c r="R78" i="4"/>
  <c r="R79" i="4" s="1"/>
  <c r="R80" i="4" s="1"/>
  <c r="U62" i="4"/>
  <c r="U59" i="4"/>
  <c r="V54" i="4" s="1"/>
  <c r="U60" i="4"/>
  <c r="V50" i="4"/>
  <c r="Y20" i="4"/>
  <c r="Y56" i="4"/>
  <c r="Y27" i="4"/>
  <c r="W44" i="4"/>
  <c r="X40" i="4" s="1"/>
  <c r="W47" i="4"/>
  <c r="W45" i="4"/>
  <c r="AG47" i="3"/>
  <c r="AG45" i="3"/>
  <c r="Z80" i="3"/>
  <c r="AF49" i="3"/>
  <c r="AD55" i="3"/>
  <c r="AG44" i="3"/>
  <c r="AH40" i="3" s="1"/>
  <c r="AC63" i="3"/>
  <c r="AC72" i="3"/>
  <c r="AB70" i="3"/>
  <c r="AA78" i="3"/>
  <c r="R85" i="4" l="1"/>
  <c r="R26" i="4" s="1"/>
  <c r="R29" i="4" s="1"/>
  <c r="R84" i="4"/>
  <c r="U63" i="4"/>
  <c r="U64" i="4" s="1"/>
  <c r="U72" i="4"/>
  <c r="V55" i="4"/>
  <c r="V58" i="4" s="1"/>
  <c r="Y71" i="4"/>
  <c r="W57" i="4"/>
  <c r="W48" i="4"/>
  <c r="W49" i="4" s="1"/>
  <c r="X41" i="4"/>
  <c r="X43" i="4" s="1"/>
  <c r="S74" i="4"/>
  <c r="T69" i="4" s="1"/>
  <c r="S77" i="4"/>
  <c r="S75" i="4"/>
  <c r="AB73" i="3"/>
  <c r="Z84" i="3"/>
  <c r="Z85" i="3"/>
  <c r="Z26" i="3" s="1"/>
  <c r="AH41" i="3"/>
  <c r="AH43" i="3" s="1"/>
  <c r="AD58" i="3"/>
  <c r="AF50" i="3"/>
  <c r="AA79" i="3"/>
  <c r="AC64" i="3"/>
  <c r="AG48" i="3"/>
  <c r="AG57" i="3"/>
  <c r="X47" i="4" l="1"/>
  <c r="X45" i="4"/>
  <c r="V62" i="4"/>
  <c r="V60" i="4"/>
  <c r="U65" i="4"/>
  <c r="V59" i="4"/>
  <c r="W54" i="4" s="1"/>
  <c r="S78" i="4"/>
  <c r="S79" i="4" s="1"/>
  <c r="S80" i="4" s="1"/>
  <c r="T70" i="4"/>
  <c r="T73" i="4" s="1"/>
  <c r="R86" i="4"/>
  <c r="R87" i="4" s="1"/>
  <c r="R19" i="4"/>
  <c r="R22" i="4" s="1"/>
  <c r="W50" i="4"/>
  <c r="X44" i="4"/>
  <c r="Y40" i="4" s="1"/>
  <c r="Z29" i="3"/>
  <c r="Z33" i="4" s="1"/>
  <c r="Z34" i="4" s="1"/>
  <c r="AG49" i="3"/>
  <c r="AG50" i="3" s="1"/>
  <c r="AH47" i="3"/>
  <c r="AH45" i="3"/>
  <c r="Z86" i="3"/>
  <c r="Z87" i="3" s="1"/>
  <c r="Z19" i="3"/>
  <c r="Z22" i="3" s="1"/>
  <c r="AB77" i="3"/>
  <c r="AB75" i="3"/>
  <c r="AC65" i="3"/>
  <c r="AH44" i="3"/>
  <c r="AI40" i="3" s="1"/>
  <c r="AB74" i="3"/>
  <c r="AC69" i="3" s="1"/>
  <c r="AD62" i="3"/>
  <c r="AD60" i="3"/>
  <c r="AA80" i="3"/>
  <c r="AD59" i="3"/>
  <c r="AE54" i="3" s="1"/>
  <c r="T74" i="4" l="1"/>
  <c r="U69" i="4" s="1"/>
  <c r="T77" i="4"/>
  <c r="T75" i="4"/>
  <c r="Z42" i="4"/>
  <c r="S84" i="4"/>
  <c r="S85" i="4"/>
  <c r="S26" i="4" s="1"/>
  <c r="S29" i="4" s="1"/>
  <c r="V63" i="4"/>
  <c r="V64" i="4" s="1"/>
  <c r="V72" i="4"/>
  <c r="Y41" i="4"/>
  <c r="W55" i="4"/>
  <c r="W58" i="4" s="1"/>
  <c r="X57" i="4"/>
  <c r="X48" i="4"/>
  <c r="X49" i="4" s="1"/>
  <c r="AA84" i="3"/>
  <c r="AA85" i="3"/>
  <c r="AA26" i="3" s="1"/>
  <c r="AI41" i="3"/>
  <c r="AI43" i="3" s="1"/>
  <c r="AE55" i="3"/>
  <c r="AE58" i="3" s="1"/>
  <c r="AD63" i="3"/>
  <c r="AD72" i="3"/>
  <c r="AB78" i="3"/>
  <c r="AC70" i="3"/>
  <c r="AC73" i="3" s="1"/>
  <c r="AH57" i="3"/>
  <c r="AH48" i="3"/>
  <c r="Y43" i="4" l="1"/>
  <c r="Y44" i="4" s="1"/>
  <c r="Z40" i="4" s="1"/>
  <c r="Z41" i="4" s="1"/>
  <c r="Z43" i="4" s="1"/>
  <c r="Z47" i="4" s="1"/>
  <c r="W62" i="4"/>
  <c r="W60" i="4"/>
  <c r="S86" i="4"/>
  <c r="S87" i="4" s="1"/>
  <c r="S19" i="4"/>
  <c r="S22" i="4" s="1"/>
  <c r="Y47" i="4"/>
  <c r="Y45" i="4"/>
  <c r="Z27" i="4"/>
  <c r="Z20" i="4"/>
  <c r="Z56" i="4"/>
  <c r="X50" i="4"/>
  <c r="W59" i="4"/>
  <c r="X54" i="4" s="1"/>
  <c r="X55" i="4" s="1"/>
  <c r="X58" i="4" s="1"/>
  <c r="V65" i="4"/>
  <c r="T78" i="4"/>
  <c r="T79" i="4" s="1"/>
  <c r="T80" i="4" s="1"/>
  <c r="U70" i="4"/>
  <c r="U73" i="4" s="1"/>
  <c r="AB79" i="3"/>
  <c r="AB80" i="3" s="1"/>
  <c r="AA29" i="3"/>
  <c r="AA33" i="4" s="1"/>
  <c r="AA34" i="4" s="1"/>
  <c r="AE62" i="3"/>
  <c r="AE60" i="3"/>
  <c r="AE59" i="3"/>
  <c r="AF54" i="3" s="1"/>
  <c r="AI47" i="3"/>
  <c r="AI45" i="3"/>
  <c r="AI44" i="3"/>
  <c r="AJ40" i="3" s="1"/>
  <c r="AC77" i="3"/>
  <c r="AC75" i="3"/>
  <c r="AC74" i="3"/>
  <c r="AD69" i="3" s="1"/>
  <c r="AH49" i="3"/>
  <c r="AD64" i="3"/>
  <c r="AA86" i="3"/>
  <c r="AA87" i="3" s="1"/>
  <c r="AA19" i="3"/>
  <c r="AA22" i="3" s="1"/>
  <c r="T85" i="4" l="1"/>
  <c r="T26" i="4" s="1"/>
  <c r="T29" i="4" s="1"/>
  <c r="T84" i="4"/>
  <c r="Y57" i="4"/>
  <c r="Y48" i="4"/>
  <c r="Y49" i="4"/>
  <c r="U74" i="4"/>
  <c r="V69" i="4" s="1"/>
  <c r="Z45" i="4"/>
  <c r="Z44" i="4"/>
  <c r="AA40" i="4" s="1"/>
  <c r="AA42" i="4"/>
  <c r="U77" i="4"/>
  <c r="U75" i="4"/>
  <c r="X59" i="4"/>
  <c r="Y54" i="4" s="1"/>
  <c r="X62" i="4"/>
  <c r="Z71" i="4"/>
  <c r="Z57" i="4"/>
  <c r="Z48" i="4"/>
  <c r="Z49" i="4" s="1"/>
  <c r="X60" i="4"/>
  <c r="W63" i="4"/>
  <c r="W64" i="4" s="1"/>
  <c r="W72" i="4"/>
  <c r="AD70" i="3"/>
  <c r="AI57" i="3"/>
  <c r="AI48" i="3"/>
  <c r="AF55" i="3"/>
  <c r="AF58" i="3" s="1"/>
  <c r="AH50" i="3"/>
  <c r="AD65" i="3"/>
  <c r="AC78" i="3"/>
  <c r="AB85" i="3"/>
  <c r="AB26" i="3" s="1"/>
  <c r="AB84" i="3"/>
  <c r="AJ41" i="3"/>
  <c r="AJ43" i="3" s="1"/>
  <c r="AE63" i="3"/>
  <c r="AE72" i="3"/>
  <c r="U78" i="4" l="1"/>
  <c r="U79" i="4" s="1"/>
  <c r="U80" i="4" s="1"/>
  <c r="Y50" i="4"/>
  <c r="W65" i="4"/>
  <c r="AA56" i="4"/>
  <c r="AA27" i="4"/>
  <c r="AA20" i="4"/>
  <c r="V70" i="4"/>
  <c r="V73" i="4" s="1"/>
  <c r="X63" i="4"/>
  <c r="X64" i="4" s="1"/>
  <c r="X72" i="4"/>
  <c r="AA41" i="4"/>
  <c r="AA43" i="4" s="1"/>
  <c r="AA45" i="4" s="1"/>
  <c r="T86" i="4"/>
  <c r="T87" i="4" s="1"/>
  <c r="T19" i="4"/>
  <c r="T22" i="4" s="1"/>
  <c r="Z50" i="4"/>
  <c r="Y55" i="4"/>
  <c r="AB29" i="3"/>
  <c r="AB33" i="4" s="1"/>
  <c r="AB34" i="4" s="1"/>
  <c r="AD73" i="3"/>
  <c r="AD74" i="3" s="1"/>
  <c r="AE69" i="3" s="1"/>
  <c r="AJ47" i="3"/>
  <c r="AJ45" i="3"/>
  <c r="AF62" i="3"/>
  <c r="AF60" i="3"/>
  <c r="AI49" i="3"/>
  <c r="AB86" i="3"/>
  <c r="AB87" i="3" s="1"/>
  <c r="AB19" i="3"/>
  <c r="AB22" i="3" s="1"/>
  <c r="AE64" i="3"/>
  <c r="AC79" i="3"/>
  <c r="AF59" i="3"/>
  <c r="AG54" i="3" s="1"/>
  <c r="AJ44" i="3"/>
  <c r="AK40" i="3" s="1"/>
  <c r="Y58" i="4" l="1"/>
  <c r="Y59" i="4" s="1"/>
  <c r="Z54" i="4" s="1"/>
  <c r="V77" i="4"/>
  <c r="V75" i="4"/>
  <c r="V74" i="4"/>
  <c r="W69" i="4" s="1"/>
  <c r="X65" i="4"/>
  <c r="AA71" i="4"/>
  <c r="U85" i="4"/>
  <c r="U26" i="4" s="1"/>
  <c r="U29" i="4" s="1"/>
  <c r="U84" i="4"/>
  <c r="AB42" i="4"/>
  <c r="AA44" i="4"/>
  <c r="AB40" i="4" s="1"/>
  <c r="AA47" i="4"/>
  <c r="AD75" i="3"/>
  <c r="AD77" i="3"/>
  <c r="AD78" i="3" s="1"/>
  <c r="AE65" i="3"/>
  <c r="AC80" i="3"/>
  <c r="AE70" i="3"/>
  <c r="AI50" i="3"/>
  <c r="AK41" i="3"/>
  <c r="AK43" i="3" s="1"/>
  <c r="AF63" i="3"/>
  <c r="AF72" i="3"/>
  <c r="AG55" i="3"/>
  <c r="AJ48" i="3"/>
  <c r="AJ57" i="3"/>
  <c r="Y60" i="4" l="1"/>
  <c r="Y62" i="4"/>
  <c r="W70" i="4"/>
  <c r="W73" i="4" s="1"/>
  <c r="W74" i="4" s="1"/>
  <c r="X69" i="4" s="1"/>
  <c r="V78" i="4"/>
  <c r="V79" i="4" s="1"/>
  <c r="V80" i="4" s="1"/>
  <c r="AB56" i="4"/>
  <c r="AB27" i="4"/>
  <c r="AB20" i="4"/>
  <c r="U86" i="4"/>
  <c r="U87" i="4" s="1"/>
  <c r="U19" i="4"/>
  <c r="U22" i="4" s="1"/>
  <c r="AA48" i="4"/>
  <c r="AA49" i="4" s="1"/>
  <c r="AA57" i="4"/>
  <c r="AB41" i="4"/>
  <c r="AB43" i="4" s="1"/>
  <c r="Y63" i="4"/>
  <c r="Y64" i="4" s="1"/>
  <c r="Y72" i="4"/>
  <c r="Z55" i="4"/>
  <c r="Z58" i="4" s="1"/>
  <c r="Z59" i="4" s="1"/>
  <c r="AA54" i="4" s="1"/>
  <c r="AJ49" i="3"/>
  <c r="AJ50" i="3" s="1"/>
  <c r="AD79" i="3"/>
  <c r="AD80" i="3" s="1"/>
  <c r="AF64" i="3"/>
  <c r="AF65" i="3" s="1"/>
  <c r="AE73" i="3"/>
  <c r="AE74" i="3" s="1"/>
  <c r="AF69" i="3" s="1"/>
  <c r="AF70" i="3" s="1"/>
  <c r="AK47" i="3"/>
  <c r="AK45" i="3"/>
  <c r="AG58" i="3"/>
  <c r="AC84" i="3"/>
  <c r="AC85" i="3"/>
  <c r="AC26" i="3" s="1"/>
  <c r="AK44" i="3"/>
  <c r="AL40" i="3" s="1"/>
  <c r="AB44" i="4" l="1"/>
  <c r="AC40" i="4" s="1"/>
  <c r="AB47" i="4"/>
  <c r="AB45" i="4"/>
  <c r="V84" i="4"/>
  <c r="V85" i="4"/>
  <c r="V26" i="4" s="1"/>
  <c r="V29" i="4" s="1"/>
  <c r="X70" i="4"/>
  <c r="X73" i="4" s="1"/>
  <c r="AA50" i="4"/>
  <c r="AB71" i="4"/>
  <c r="Y65" i="4"/>
  <c r="W77" i="4"/>
  <c r="W75" i="4"/>
  <c r="AA55" i="4"/>
  <c r="Z62" i="4"/>
  <c r="Z60" i="4"/>
  <c r="AE77" i="3"/>
  <c r="AE78" i="3" s="1"/>
  <c r="AC29" i="3"/>
  <c r="AC33" i="4" s="1"/>
  <c r="AC34" i="4" s="1"/>
  <c r="AE75" i="3"/>
  <c r="AD84" i="3"/>
  <c r="AD85" i="3"/>
  <c r="AD26" i="3" s="1"/>
  <c r="AF73" i="3"/>
  <c r="AC86" i="3"/>
  <c r="AC87" i="3" s="1"/>
  <c r="AC19" i="3"/>
  <c r="AC22" i="3" s="1"/>
  <c r="AL41" i="3"/>
  <c r="AK57" i="3"/>
  <c r="AK48" i="3"/>
  <c r="AG62" i="3"/>
  <c r="AG60" i="3"/>
  <c r="AG59" i="3"/>
  <c r="AH54" i="3" s="1"/>
  <c r="X74" i="4" l="1"/>
  <c r="Y69" i="4" s="1"/>
  <c r="AE79" i="3"/>
  <c r="X77" i="4"/>
  <c r="X75" i="4"/>
  <c r="AC42" i="4"/>
  <c r="Z63" i="4"/>
  <c r="Z64" i="4" s="1"/>
  <c r="Z72" i="4"/>
  <c r="AA58" i="4"/>
  <c r="Y70" i="4"/>
  <c r="Y73" i="4" s="1"/>
  <c r="V86" i="4"/>
  <c r="V87" i="4" s="1"/>
  <c r="V19" i="4"/>
  <c r="V22" i="4" s="1"/>
  <c r="AB57" i="4"/>
  <c r="AB48" i="4"/>
  <c r="AB49" i="4" s="1"/>
  <c r="W78" i="4"/>
  <c r="W79" i="4" s="1"/>
  <c r="W80" i="4" s="1"/>
  <c r="AC41" i="4"/>
  <c r="AC43" i="4" s="1"/>
  <c r="AK49" i="3"/>
  <c r="AK50" i="3" s="1"/>
  <c r="AD29" i="3"/>
  <c r="AD33" i="4" s="1"/>
  <c r="AD34" i="4" s="1"/>
  <c r="AE80" i="3"/>
  <c r="AL43" i="3"/>
  <c r="AF77" i="3"/>
  <c r="AF75" i="3"/>
  <c r="AD86" i="3"/>
  <c r="AD87" i="3" s="1"/>
  <c r="AD19" i="3"/>
  <c r="AD22" i="3" s="1"/>
  <c r="AH55" i="3"/>
  <c r="AG63" i="3"/>
  <c r="AG72" i="3"/>
  <c r="AF74" i="3"/>
  <c r="AG69" i="3" s="1"/>
  <c r="Y74" i="4" l="1"/>
  <c r="Z69" i="4" s="1"/>
  <c r="Z65" i="4"/>
  <c r="AD42" i="4"/>
  <c r="AA62" i="4"/>
  <c r="AA59" i="4"/>
  <c r="AB54" i="4" s="1"/>
  <c r="AA60" i="4"/>
  <c r="AC56" i="4"/>
  <c r="AC27" i="4"/>
  <c r="AC20" i="4"/>
  <c r="AC45" i="4"/>
  <c r="AC44" i="4"/>
  <c r="AD40" i="4" s="1"/>
  <c r="AC47" i="4"/>
  <c r="Z70" i="4"/>
  <c r="Z73" i="4" s="1"/>
  <c r="Z77" i="4" s="1"/>
  <c r="X78" i="4"/>
  <c r="X79" i="4" s="1"/>
  <c r="X80" i="4" s="1"/>
  <c r="Y77" i="4"/>
  <c r="Y75" i="4"/>
  <c r="AB50" i="4"/>
  <c r="W85" i="4"/>
  <c r="W26" i="4" s="1"/>
  <c r="W29" i="4" s="1"/>
  <c r="W84" i="4"/>
  <c r="AE85" i="3"/>
  <c r="AE26" i="3" s="1"/>
  <c r="AE84" i="3"/>
  <c r="AH58" i="3"/>
  <c r="AL47" i="3"/>
  <c r="AL45" i="3"/>
  <c r="AG64" i="3"/>
  <c r="AG70" i="3"/>
  <c r="AF78" i="3"/>
  <c r="AL44" i="3"/>
  <c r="AM40" i="3" s="1"/>
  <c r="X85" i="4" l="1"/>
  <c r="X26" i="4" s="1"/>
  <c r="X29" i="4" s="1"/>
  <c r="X84" i="4"/>
  <c r="AD41" i="4"/>
  <c r="AD43" i="4" s="1"/>
  <c r="AD47" i="4" s="1"/>
  <c r="AA63" i="4"/>
  <c r="AA64" i="4"/>
  <c r="AA72" i="4"/>
  <c r="AC48" i="4"/>
  <c r="AC57" i="4"/>
  <c r="AC49" i="4"/>
  <c r="W86" i="4"/>
  <c r="W87" i="4" s="1"/>
  <c r="W19" i="4"/>
  <c r="W22" i="4" s="1"/>
  <c r="Y78" i="4"/>
  <c r="Y79" i="4" s="1"/>
  <c r="Y80" i="4" s="1"/>
  <c r="Z75" i="4"/>
  <c r="AB55" i="4"/>
  <c r="AB58" i="4" s="1"/>
  <c r="AD56" i="4"/>
  <c r="AD27" i="4"/>
  <c r="AD20" i="4"/>
  <c r="Z74" i="4"/>
  <c r="AA69" i="4" s="1"/>
  <c r="AC71" i="4"/>
  <c r="Z78" i="4"/>
  <c r="Z79" i="4"/>
  <c r="Z80" i="4" s="1"/>
  <c r="AE29" i="3"/>
  <c r="AE33" i="4" s="1"/>
  <c r="AE34" i="4" s="1"/>
  <c r="AF79" i="3"/>
  <c r="AF80" i="3" s="1"/>
  <c r="AG65" i="3"/>
  <c r="AG73" i="3" s="1"/>
  <c r="AL57" i="3"/>
  <c r="AL48" i="3"/>
  <c r="AE86" i="3"/>
  <c r="AE87" i="3" s="1"/>
  <c r="AE19" i="3"/>
  <c r="AE22" i="3" s="1"/>
  <c r="AM41" i="3"/>
  <c r="AM43" i="3" s="1"/>
  <c r="AH62" i="3"/>
  <c r="AH60" i="3"/>
  <c r="AH59" i="3"/>
  <c r="AI54" i="3" s="1"/>
  <c r="AB59" i="4" l="1"/>
  <c r="AC54" i="4" s="1"/>
  <c r="Y85" i="4"/>
  <c r="Y26" i="4" s="1"/>
  <c r="Y29" i="4" s="1"/>
  <c r="Y84" i="4"/>
  <c r="AA65" i="4"/>
  <c r="AB62" i="4"/>
  <c r="AB60" i="4"/>
  <c r="Z84" i="4"/>
  <c r="Z85" i="4"/>
  <c r="Z26" i="4" s="1"/>
  <c r="Z29" i="4" s="1"/>
  <c r="AD44" i="4"/>
  <c r="AE40" i="4" s="1"/>
  <c r="AA70" i="4"/>
  <c r="AA73" i="4" s="1"/>
  <c r="AA77" i="4" s="1"/>
  <c r="AC50" i="4"/>
  <c r="AC58" i="4" s="1"/>
  <c r="AC59" i="4" s="1"/>
  <c r="AD54" i="4" s="1"/>
  <c r="AD71" i="4"/>
  <c r="AD57" i="4"/>
  <c r="AD48" i="4"/>
  <c r="AD49" i="4" s="1"/>
  <c r="AD45" i="4"/>
  <c r="X86" i="4"/>
  <c r="X87" i="4" s="1"/>
  <c r="X19" i="4"/>
  <c r="X22" i="4" s="1"/>
  <c r="AC55" i="4"/>
  <c r="AE42" i="4"/>
  <c r="AL49" i="3"/>
  <c r="AM47" i="3"/>
  <c r="AM45" i="3"/>
  <c r="AM44" i="3"/>
  <c r="AN40" i="3" s="1"/>
  <c r="AL50" i="3"/>
  <c r="AF85" i="3"/>
  <c r="AF26" i="3" s="1"/>
  <c r="AF84" i="3"/>
  <c r="AI55" i="3"/>
  <c r="AI58" i="3" s="1"/>
  <c r="AG77" i="3"/>
  <c r="AG74" i="3"/>
  <c r="AH69" i="3" s="1"/>
  <c r="AG75" i="3"/>
  <c r="AH63" i="3"/>
  <c r="AH72" i="3"/>
  <c r="AD55" i="4" l="1"/>
  <c r="AB63" i="4"/>
  <c r="AB64" i="4"/>
  <c r="AB72" i="4"/>
  <c r="AA74" i="4"/>
  <c r="AB69" i="4" s="1"/>
  <c r="AE41" i="4"/>
  <c r="AE43" i="4" s="1"/>
  <c r="AE47" i="4" s="1"/>
  <c r="AA78" i="4"/>
  <c r="AA79" i="4" s="1"/>
  <c r="AA80" i="4" s="1"/>
  <c r="AA75" i="4"/>
  <c r="AE56" i="4"/>
  <c r="AE27" i="4"/>
  <c r="AE20" i="4"/>
  <c r="AE45" i="4"/>
  <c r="AD50" i="4"/>
  <c r="Y86" i="4"/>
  <c r="Y87" i="4" s="1"/>
  <c r="Y19" i="4"/>
  <c r="Y22" i="4" s="1"/>
  <c r="AC62" i="4"/>
  <c r="AC60" i="4"/>
  <c r="Z86" i="4"/>
  <c r="Z87" i="4" s="1"/>
  <c r="Z19" i="4"/>
  <c r="Z22" i="4" s="1"/>
  <c r="AF29" i="3"/>
  <c r="AF33" i="4" s="1"/>
  <c r="AF34" i="4" s="1"/>
  <c r="AH64" i="3"/>
  <c r="AH65" i="3" s="1"/>
  <c r="AI62" i="3"/>
  <c r="AI60" i="3"/>
  <c r="AI59" i="3"/>
  <c r="AJ54" i="3" s="1"/>
  <c r="AN41" i="3"/>
  <c r="AN43" i="3" s="1"/>
  <c r="AN44" i="3" s="1"/>
  <c r="AO40" i="3" s="1"/>
  <c r="AH70" i="3"/>
  <c r="AG78" i="3"/>
  <c r="AF86" i="3"/>
  <c r="AF87" i="3" s="1"/>
  <c r="AF19" i="3"/>
  <c r="AF22" i="3" s="1"/>
  <c r="AM57" i="3"/>
  <c r="AM48" i="3"/>
  <c r="AE44" i="4" l="1"/>
  <c r="AF40" i="4" s="1"/>
  <c r="AB70" i="4"/>
  <c r="AE71" i="4"/>
  <c r="AB65" i="4"/>
  <c r="AF42" i="4"/>
  <c r="AG79" i="3"/>
  <c r="AG80" i="3" s="1"/>
  <c r="AA85" i="4"/>
  <c r="AA26" i="4" s="1"/>
  <c r="AA29" i="4" s="1"/>
  <c r="AA84" i="4"/>
  <c r="AD58" i="4"/>
  <c r="AC63" i="4"/>
  <c r="AC64" i="4" s="1"/>
  <c r="AC72" i="4"/>
  <c r="AF41" i="4"/>
  <c r="AF43" i="4" s="1"/>
  <c r="AF47" i="4" s="1"/>
  <c r="AE57" i="4"/>
  <c r="AE48" i="4"/>
  <c r="AE49" i="4" s="1"/>
  <c r="AH73" i="3"/>
  <c r="AH77" i="3" s="1"/>
  <c r="AO41" i="3"/>
  <c r="AO43" i="3" s="1"/>
  <c r="AO44" i="3" s="1"/>
  <c r="AP40" i="3" s="1"/>
  <c r="AJ55" i="3"/>
  <c r="AN47" i="3"/>
  <c r="AN45" i="3"/>
  <c r="AM49" i="3"/>
  <c r="AI63" i="3"/>
  <c r="AI72" i="3"/>
  <c r="AF44" i="4" l="1"/>
  <c r="AG40" i="4" s="1"/>
  <c r="AB73" i="4"/>
  <c r="AB77" i="4"/>
  <c r="AB75" i="4"/>
  <c r="AF48" i="4"/>
  <c r="AF57" i="4"/>
  <c r="AF49" i="4"/>
  <c r="AH75" i="3"/>
  <c r="AG41" i="4"/>
  <c r="AC65" i="4"/>
  <c r="AB74" i="4"/>
  <c r="AC69" i="4" s="1"/>
  <c r="AD62" i="4"/>
  <c r="AD60" i="4"/>
  <c r="AF56" i="4"/>
  <c r="AF27" i="4"/>
  <c r="AF20" i="4"/>
  <c r="AF45" i="4"/>
  <c r="AE50" i="4"/>
  <c r="AH74" i="3"/>
  <c r="AI69" i="3" s="1"/>
  <c r="AA86" i="4"/>
  <c r="AA87" i="4" s="1"/>
  <c r="AA19" i="4"/>
  <c r="AA22" i="4" s="1"/>
  <c r="AD59" i="4"/>
  <c r="AE54" i="4" s="1"/>
  <c r="AJ58" i="3"/>
  <c r="AJ59" i="3" s="1"/>
  <c r="AK54" i="3" s="1"/>
  <c r="AK55" i="3" s="1"/>
  <c r="AK58" i="3" s="1"/>
  <c r="AG84" i="3"/>
  <c r="AG85" i="3"/>
  <c r="AG26" i="3" s="1"/>
  <c r="AN57" i="3"/>
  <c r="AN48" i="3"/>
  <c r="AP41" i="3"/>
  <c r="AP43" i="3" s="1"/>
  <c r="AO47" i="3"/>
  <c r="AO45" i="3"/>
  <c r="AI70" i="3"/>
  <c r="AI64" i="3"/>
  <c r="AM50" i="3"/>
  <c r="AH78" i="3"/>
  <c r="AJ60" i="3" l="1"/>
  <c r="AE55" i="4"/>
  <c r="AE58" i="4" s="1"/>
  <c r="AF50" i="4"/>
  <c r="AC70" i="4"/>
  <c r="AC73" i="4" s="1"/>
  <c r="AF71" i="4"/>
  <c r="AD63" i="4"/>
  <c r="AD64" i="4" s="1"/>
  <c r="AD72" i="4"/>
  <c r="AB78" i="4"/>
  <c r="AB79" i="4" s="1"/>
  <c r="AB80" i="4" s="1"/>
  <c r="AH79" i="3"/>
  <c r="AH80" i="3" s="1"/>
  <c r="AN49" i="3"/>
  <c r="AN50" i="3" s="1"/>
  <c r="AG29" i="3"/>
  <c r="AG33" i="4" s="1"/>
  <c r="AG34" i="4" s="1"/>
  <c r="AG43" i="4" s="1"/>
  <c r="AG47" i="4" s="1"/>
  <c r="AJ62" i="3"/>
  <c r="AJ63" i="3" s="1"/>
  <c r="AP47" i="3"/>
  <c r="AP45" i="3"/>
  <c r="AP44" i="3"/>
  <c r="AQ40" i="3" s="1"/>
  <c r="AK62" i="3"/>
  <c r="AK60" i="3"/>
  <c r="AK59" i="3"/>
  <c r="AL54" i="3" s="1"/>
  <c r="AI65" i="3"/>
  <c r="AI73" i="3" s="1"/>
  <c r="AO57" i="3"/>
  <c r="AO48" i="3"/>
  <c r="AG86" i="3"/>
  <c r="AG87" i="3" s="1"/>
  <c r="AG19" i="3"/>
  <c r="AG22" i="3" s="1"/>
  <c r="AJ72" i="3" l="1"/>
  <c r="AG48" i="4"/>
  <c r="AG49" i="4" s="1"/>
  <c r="AG57" i="4"/>
  <c r="AE59" i="4"/>
  <c r="AF54" i="4" s="1"/>
  <c r="AE62" i="4"/>
  <c r="AE60" i="4"/>
  <c r="AD65" i="4"/>
  <c r="AC77" i="4"/>
  <c r="AC75" i="4"/>
  <c r="AG42" i="4"/>
  <c r="AG50" i="4"/>
  <c r="AB85" i="4"/>
  <c r="AB26" i="4" s="1"/>
  <c r="AB29" i="4" s="1"/>
  <c r="AB84" i="4"/>
  <c r="AC74" i="4"/>
  <c r="AD69" i="4" s="1"/>
  <c r="AJ64" i="3"/>
  <c r="AJ65" i="3" s="1"/>
  <c r="AO49" i="3"/>
  <c r="AO50" i="3" s="1"/>
  <c r="AK63" i="3"/>
  <c r="AK64" i="3" s="1"/>
  <c r="AK72" i="3"/>
  <c r="AQ41" i="3"/>
  <c r="AQ43" i="3" s="1"/>
  <c r="AI77" i="3"/>
  <c r="AI75" i="3"/>
  <c r="AI74" i="3"/>
  <c r="AJ69" i="3" s="1"/>
  <c r="AH85" i="3"/>
  <c r="AH26" i="3" s="1"/>
  <c r="AH84" i="3"/>
  <c r="AL55" i="3"/>
  <c r="AL58" i="3" s="1"/>
  <c r="AP57" i="3"/>
  <c r="AP48" i="3"/>
  <c r="AG56" i="4" l="1"/>
  <c r="AG27" i="4"/>
  <c r="AG20" i="4"/>
  <c r="AG45" i="4"/>
  <c r="AG44" i="4"/>
  <c r="AH40" i="4" s="1"/>
  <c r="AD70" i="4"/>
  <c r="AD73" i="4" s="1"/>
  <c r="AE63" i="4"/>
  <c r="AE64" i="4" s="1"/>
  <c r="AE72" i="4"/>
  <c r="AF55" i="4"/>
  <c r="AF58" i="4" s="1"/>
  <c r="AB86" i="4"/>
  <c r="AB87" i="4" s="1"/>
  <c r="AB19" i="4"/>
  <c r="AB22" i="4" s="1"/>
  <c r="AC78" i="4"/>
  <c r="AC79" i="4" s="1"/>
  <c r="AC80" i="4" s="1"/>
  <c r="AH29" i="3"/>
  <c r="AH33" i="4" s="1"/>
  <c r="AH34" i="4" s="1"/>
  <c r="AQ47" i="3"/>
  <c r="AQ45" i="3"/>
  <c r="AL62" i="3"/>
  <c r="AL60" i="3"/>
  <c r="AL59" i="3"/>
  <c r="AM54" i="3" s="1"/>
  <c r="AI78" i="3"/>
  <c r="AK65" i="3"/>
  <c r="AH86" i="3"/>
  <c r="AH87" i="3" s="1"/>
  <c r="AH19" i="3"/>
  <c r="AH22" i="3" s="1"/>
  <c r="AP49" i="3"/>
  <c r="AQ44" i="3"/>
  <c r="AR40" i="3" s="1"/>
  <c r="AJ70" i="3"/>
  <c r="AJ73" i="3" s="1"/>
  <c r="AJ74" i="3" s="1"/>
  <c r="AK69" i="3" s="1"/>
  <c r="AF59" i="4" l="1"/>
  <c r="AG54" i="4" s="1"/>
  <c r="AD74" i="4"/>
  <c r="AE69" i="4" s="1"/>
  <c r="AD77" i="4"/>
  <c r="AD75" i="4"/>
  <c r="AG55" i="4"/>
  <c r="AG58" i="4" s="1"/>
  <c r="AG62" i="4" s="1"/>
  <c r="AH41" i="4"/>
  <c r="AH43" i="4" s="1"/>
  <c r="AH47" i="4" s="1"/>
  <c r="AE65" i="4"/>
  <c r="AF62" i="4"/>
  <c r="AF60" i="4"/>
  <c r="AC84" i="4"/>
  <c r="AC85" i="4"/>
  <c r="AC26" i="4" s="1"/>
  <c r="AC29" i="4" s="1"/>
  <c r="AH42" i="4"/>
  <c r="AG71" i="4"/>
  <c r="AG60" i="4"/>
  <c r="AM55" i="3"/>
  <c r="AM58" i="3" s="1"/>
  <c r="AM59" i="3" s="1"/>
  <c r="AN54" i="3" s="1"/>
  <c r="AR41" i="3"/>
  <c r="AR43" i="3" s="1"/>
  <c r="AL63" i="3"/>
  <c r="AL72" i="3"/>
  <c r="AK70" i="3"/>
  <c r="AI79" i="3"/>
  <c r="AJ77" i="3"/>
  <c r="AJ75" i="3"/>
  <c r="AP50" i="3"/>
  <c r="AQ57" i="3"/>
  <c r="AQ48" i="3"/>
  <c r="AH57" i="4" l="1"/>
  <c r="AH48" i="4"/>
  <c r="AH49" i="4" s="1"/>
  <c r="AH44" i="4"/>
  <c r="AI40" i="4" s="1"/>
  <c r="AC86" i="4"/>
  <c r="AC87" i="4" s="1"/>
  <c r="AC19" i="4"/>
  <c r="AC22" i="4" s="1"/>
  <c r="AG59" i="4"/>
  <c r="AH54" i="4" s="1"/>
  <c r="AG63" i="4"/>
  <c r="AG64" i="4" s="1"/>
  <c r="AG72" i="4"/>
  <c r="AH20" i="4"/>
  <c r="AH56" i="4"/>
  <c r="AH27" i="4"/>
  <c r="AH45" i="4"/>
  <c r="AD78" i="4"/>
  <c r="AD79" i="4" s="1"/>
  <c r="AD80" i="4" s="1"/>
  <c r="AF63" i="4"/>
  <c r="AF64" i="4" s="1"/>
  <c r="AF72" i="4"/>
  <c r="AE70" i="4"/>
  <c r="AE73" i="4" s="1"/>
  <c r="AK73" i="3"/>
  <c r="AK74" i="3" s="1"/>
  <c r="AL69" i="3" s="1"/>
  <c r="AL70" i="3" s="1"/>
  <c r="AR47" i="3"/>
  <c r="AR45" i="3"/>
  <c r="AR44" i="3"/>
  <c r="AS40" i="3" s="1"/>
  <c r="AI80" i="3"/>
  <c r="AN55" i="3"/>
  <c r="AJ78" i="3"/>
  <c r="AM62" i="3"/>
  <c r="AM60" i="3"/>
  <c r="AQ49" i="3"/>
  <c r="AL64" i="3"/>
  <c r="AE74" i="4" l="1"/>
  <c r="AF69" i="4" s="1"/>
  <c r="AI41" i="4"/>
  <c r="AH71" i="4"/>
  <c r="AF65" i="4"/>
  <c r="AG65" i="4"/>
  <c r="AF70" i="4"/>
  <c r="AD84" i="4"/>
  <c r="AD85" i="4"/>
  <c r="AD26" i="4" s="1"/>
  <c r="AD29" i="4" s="1"/>
  <c r="AH50" i="4"/>
  <c r="AE77" i="4"/>
  <c r="AE75" i="4"/>
  <c r="AH55" i="4"/>
  <c r="AK75" i="3"/>
  <c r="AK77" i="3"/>
  <c r="AK78" i="3" s="1"/>
  <c r="AN58" i="3"/>
  <c r="AN59" i="3" s="1"/>
  <c r="AO54" i="3" s="1"/>
  <c r="AO55" i="3" s="1"/>
  <c r="AO58" i="3" s="1"/>
  <c r="AL65" i="3"/>
  <c r="AL73" i="3" s="1"/>
  <c r="AQ50" i="3"/>
  <c r="AS41" i="3"/>
  <c r="AS43" i="3" s="1"/>
  <c r="AS44" i="3" s="1"/>
  <c r="AT40" i="3" s="1"/>
  <c r="AI85" i="3"/>
  <c r="AI26" i="3" s="1"/>
  <c r="AI84" i="3"/>
  <c r="AM63" i="3"/>
  <c r="AM72" i="3"/>
  <c r="AJ79" i="3"/>
  <c r="AR57" i="3"/>
  <c r="AR48" i="3"/>
  <c r="AF73" i="4" l="1"/>
  <c r="AF74" i="4" s="1"/>
  <c r="AG69" i="4" s="1"/>
  <c r="AF75" i="4"/>
  <c r="AN60" i="3"/>
  <c r="AH58" i="4"/>
  <c r="AD86" i="4"/>
  <c r="AD87" i="4" s="1"/>
  <c r="AD19" i="4"/>
  <c r="AD22" i="4" s="1"/>
  <c r="AN62" i="3"/>
  <c r="AN72" i="3" s="1"/>
  <c r="AE78" i="4"/>
  <c r="AE79" i="4" s="1"/>
  <c r="AE80" i="4" s="1"/>
  <c r="AI29" i="3"/>
  <c r="AI33" i="4" s="1"/>
  <c r="AI34" i="4" s="1"/>
  <c r="AR49" i="3"/>
  <c r="AR50" i="3" s="1"/>
  <c r="AO59" i="3"/>
  <c r="AP54" i="3" s="1"/>
  <c r="AT41" i="3"/>
  <c r="AT43" i="3" s="1"/>
  <c r="AL77" i="3"/>
  <c r="AL75" i="3"/>
  <c r="AL74" i="3"/>
  <c r="AM69" i="3" s="1"/>
  <c r="AO62" i="3"/>
  <c r="AO60" i="3"/>
  <c r="AS47" i="3"/>
  <c r="AS45" i="3"/>
  <c r="AJ80" i="3"/>
  <c r="AK79" i="3"/>
  <c r="AI86" i="3"/>
  <c r="AI87" i="3" s="1"/>
  <c r="AI19" i="3"/>
  <c r="AI22" i="3" s="1"/>
  <c r="AM64" i="3"/>
  <c r="AF77" i="4" l="1"/>
  <c r="AI42" i="4"/>
  <c r="AI43" i="4"/>
  <c r="AH62" i="4"/>
  <c r="AH60" i="4"/>
  <c r="AH59" i="4"/>
  <c r="AI54" i="4" s="1"/>
  <c r="AE84" i="4"/>
  <c r="AE85" i="4"/>
  <c r="AE26" i="4" s="1"/>
  <c r="AE29" i="4" s="1"/>
  <c r="AN63" i="3"/>
  <c r="AF78" i="4"/>
  <c r="AF79" i="4" s="1"/>
  <c r="AF80" i="4" s="1"/>
  <c r="AG70" i="4"/>
  <c r="AG73" i="4" s="1"/>
  <c r="AN64" i="3"/>
  <c r="AN65" i="3" s="1"/>
  <c r="AP55" i="3"/>
  <c r="AP58" i="3" s="1"/>
  <c r="AT47" i="3"/>
  <c r="AT45" i="3"/>
  <c r="AT44" i="3"/>
  <c r="AU40" i="3" s="1"/>
  <c r="AM65" i="3"/>
  <c r="AL78" i="3"/>
  <c r="AS57" i="3"/>
  <c r="AS48" i="3"/>
  <c r="AK80" i="3"/>
  <c r="AO63" i="3"/>
  <c r="AO72" i="3"/>
  <c r="AJ85" i="3"/>
  <c r="AJ26" i="3" s="1"/>
  <c r="AJ84" i="3"/>
  <c r="AM70" i="3"/>
  <c r="AG74" i="4" l="1"/>
  <c r="AH69" i="4" s="1"/>
  <c r="AG77" i="4"/>
  <c r="AG75" i="4"/>
  <c r="AH63" i="4"/>
  <c r="AH64" i="4" s="1"/>
  <c r="AH72" i="4"/>
  <c r="AL79" i="3"/>
  <c r="AL80" i="3" s="1"/>
  <c r="AI44" i="4"/>
  <c r="AJ40" i="4" s="1"/>
  <c r="AI47" i="4"/>
  <c r="AF84" i="4"/>
  <c r="AF85" i="4"/>
  <c r="AF26" i="4" s="1"/>
  <c r="AF29" i="4" s="1"/>
  <c r="AI55" i="4"/>
  <c r="AE86" i="4"/>
  <c r="AE87" i="4" s="1"/>
  <c r="AE19" i="4"/>
  <c r="AE22" i="4" s="1"/>
  <c r="AI56" i="4"/>
  <c r="AI27" i="4"/>
  <c r="AI20" i="4"/>
  <c r="AI45" i="4"/>
  <c r="AP62" i="3"/>
  <c r="AP63" i="3" s="1"/>
  <c r="AP60" i="3"/>
  <c r="AS49" i="3"/>
  <c r="AS50" i="3" s="1"/>
  <c r="AJ29" i="3"/>
  <c r="AJ33" i="4" s="1"/>
  <c r="AJ34" i="4" s="1"/>
  <c r="AP59" i="3"/>
  <c r="AQ54" i="3" s="1"/>
  <c r="AQ55" i="3" s="1"/>
  <c r="AM73" i="3"/>
  <c r="AM74" i="3" s="1"/>
  <c r="AN69" i="3" s="1"/>
  <c r="AJ86" i="3"/>
  <c r="AJ87" i="3" s="1"/>
  <c r="AJ19" i="3"/>
  <c r="AJ22" i="3" s="1"/>
  <c r="AP72" i="3"/>
  <c r="AK85" i="3"/>
  <c r="AK26" i="3" s="1"/>
  <c r="AK84" i="3"/>
  <c r="AU41" i="3"/>
  <c r="AU43" i="3" s="1"/>
  <c r="AU44" i="3" s="1"/>
  <c r="AV40" i="3" s="1"/>
  <c r="AO64" i="3"/>
  <c r="AT57" i="3"/>
  <c r="AT48" i="3"/>
  <c r="AI71" i="4" l="1"/>
  <c r="AJ42" i="4"/>
  <c r="AF86" i="4"/>
  <c r="AF87" i="4" s="1"/>
  <c r="AF19" i="4"/>
  <c r="AF22" i="4" s="1"/>
  <c r="AH65" i="4"/>
  <c r="AI57" i="4"/>
  <c r="AI48" i="4"/>
  <c r="AI49" i="4" s="1"/>
  <c r="AJ41" i="4"/>
  <c r="AJ43" i="4" s="1"/>
  <c r="AG78" i="4"/>
  <c r="AG79" i="4" s="1"/>
  <c r="AG80" i="4" s="1"/>
  <c r="AH70" i="4"/>
  <c r="AH73" i="4" s="1"/>
  <c r="AH77" i="4" s="1"/>
  <c r="AM77" i="3"/>
  <c r="AM78" i="3" s="1"/>
  <c r="AM75" i="3"/>
  <c r="AK29" i="3"/>
  <c r="AK33" i="4" s="1"/>
  <c r="AK34" i="4" s="1"/>
  <c r="AT49" i="3"/>
  <c r="AT50" i="3" s="1"/>
  <c r="AQ58" i="3"/>
  <c r="AQ59" i="3" s="1"/>
  <c r="AR54" i="3" s="1"/>
  <c r="AR55" i="3" s="1"/>
  <c r="AR58" i="3" s="1"/>
  <c r="AP64" i="3"/>
  <c r="AV41" i="3"/>
  <c r="AV43" i="3" s="1"/>
  <c r="AV44" i="3" s="1"/>
  <c r="AW40" i="3" s="1"/>
  <c r="AO65" i="3"/>
  <c r="AN70" i="3"/>
  <c r="AN73" i="3" s="1"/>
  <c r="AL84" i="3"/>
  <c r="AL85" i="3"/>
  <c r="AL26" i="3" s="1"/>
  <c r="AU47" i="3"/>
  <c r="AU45" i="3"/>
  <c r="AK86" i="3"/>
  <c r="AK87" i="3" s="1"/>
  <c r="AK19" i="3"/>
  <c r="AK22" i="3" s="1"/>
  <c r="AG85" i="4" l="1"/>
  <c r="AG26" i="4" s="1"/>
  <c r="AG29" i="4" s="1"/>
  <c r="AG84" i="4"/>
  <c r="AH78" i="4"/>
  <c r="AH79" i="4" s="1"/>
  <c r="AH80" i="4" s="1"/>
  <c r="AI50" i="4"/>
  <c r="AI58" i="4" s="1"/>
  <c r="AJ56" i="4"/>
  <c r="AJ27" i="4"/>
  <c r="AJ20" i="4"/>
  <c r="AJ45" i="4"/>
  <c r="AH75" i="4"/>
  <c r="AJ44" i="4"/>
  <c r="AK40" i="4" s="1"/>
  <c r="AJ47" i="4"/>
  <c r="AK42" i="4"/>
  <c r="AH74" i="4"/>
  <c r="AI69" i="4" s="1"/>
  <c r="AQ60" i="3"/>
  <c r="AQ62" i="3"/>
  <c r="AQ63" i="3" s="1"/>
  <c r="AL29" i="3"/>
  <c r="AL33" i="4" s="1"/>
  <c r="AL34" i="4" s="1"/>
  <c r="AR62" i="3"/>
  <c r="AR60" i="3"/>
  <c r="AR59" i="3"/>
  <c r="AS54" i="3" s="1"/>
  <c r="AP65" i="3"/>
  <c r="AL86" i="3"/>
  <c r="AL87" i="3" s="1"/>
  <c r="AL19" i="3"/>
  <c r="AL22" i="3" s="1"/>
  <c r="AV47" i="3"/>
  <c r="AV45" i="3"/>
  <c r="AW41" i="3"/>
  <c r="AW43" i="3" s="1"/>
  <c r="AN77" i="3"/>
  <c r="AN75" i="3"/>
  <c r="AM79" i="3"/>
  <c r="AN74" i="3"/>
  <c r="AO69" i="3" s="1"/>
  <c r="AU57" i="3"/>
  <c r="AU48" i="3"/>
  <c r="AH85" i="4" l="1"/>
  <c r="AH26" i="4" s="1"/>
  <c r="AH29" i="4" s="1"/>
  <c r="AH84" i="4"/>
  <c r="AI62" i="4"/>
  <c r="AI59" i="4"/>
  <c r="AJ54" i="4" s="1"/>
  <c r="AI60" i="4"/>
  <c r="AK56" i="4"/>
  <c r="AK27" i="4"/>
  <c r="AK20" i="4"/>
  <c r="AL42" i="4"/>
  <c r="AG86" i="4"/>
  <c r="AG87" i="4" s="1"/>
  <c r="AG19" i="4"/>
  <c r="AG22" i="4" s="1"/>
  <c r="AJ57" i="4"/>
  <c r="AJ48" i="4"/>
  <c r="AJ49" i="4"/>
  <c r="AJ71" i="4"/>
  <c r="AQ72" i="3"/>
  <c r="AI70" i="4"/>
  <c r="AK41" i="4"/>
  <c r="AK43" i="4" s="1"/>
  <c r="AK47" i="4" s="1"/>
  <c r="AW47" i="3"/>
  <c r="AW45" i="3"/>
  <c r="AV57" i="3"/>
  <c r="AV48" i="3"/>
  <c r="AN78" i="3"/>
  <c r="AS55" i="3"/>
  <c r="AS58" i="3" s="1"/>
  <c r="AS59" i="3" s="1"/>
  <c r="AT54" i="3" s="1"/>
  <c r="AW44" i="3"/>
  <c r="AX40" i="3" s="1"/>
  <c r="AO70" i="3"/>
  <c r="AO73" i="3" s="1"/>
  <c r="AM80" i="3"/>
  <c r="AU49" i="3"/>
  <c r="AQ64" i="3"/>
  <c r="AR63" i="3"/>
  <c r="AR72" i="3"/>
  <c r="AR64" i="3" l="1"/>
  <c r="AK71" i="4"/>
  <c r="AK57" i="4"/>
  <c r="AK48" i="4"/>
  <c r="AK49" i="4" s="1"/>
  <c r="AJ50" i="4"/>
  <c r="AJ55" i="4"/>
  <c r="AJ58" i="4" s="1"/>
  <c r="AI63" i="4"/>
  <c r="AI64" i="4" s="1"/>
  <c r="AI72" i="4"/>
  <c r="AK44" i="4"/>
  <c r="AL40" i="4" s="1"/>
  <c r="AL56" i="4"/>
  <c r="AL27" i="4"/>
  <c r="AL20" i="4"/>
  <c r="AH86" i="4"/>
  <c r="AH87" i="4" s="1"/>
  <c r="AH19" i="4"/>
  <c r="AH22" i="4" s="1"/>
  <c r="AK45" i="4"/>
  <c r="AX41" i="3"/>
  <c r="AX43" i="3" s="1"/>
  <c r="AX44" i="3" s="1"/>
  <c r="AY40" i="3" s="1"/>
  <c r="AT55" i="3"/>
  <c r="AT58" i="3" s="1"/>
  <c r="AT59" i="3" s="1"/>
  <c r="AU54" i="3" s="1"/>
  <c r="AM84" i="3"/>
  <c r="AM85" i="3"/>
  <c r="AM26" i="3" s="1"/>
  <c r="AO77" i="3"/>
  <c r="AO75" i="3"/>
  <c r="AU50" i="3"/>
  <c r="AR65" i="3"/>
  <c r="AV49" i="3"/>
  <c r="AS62" i="3"/>
  <c r="AS60" i="3"/>
  <c r="AO74" i="3"/>
  <c r="AP69" i="3" s="1"/>
  <c r="AQ65" i="3"/>
  <c r="AN79" i="3"/>
  <c r="AW57" i="3"/>
  <c r="AW48" i="3"/>
  <c r="AJ59" i="4" l="1"/>
  <c r="AK54" i="4" s="1"/>
  <c r="AJ62" i="4"/>
  <c r="AJ60" i="4"/>
  <c r="AI65" i="4"/>
  <c r="AI73" i="4" s="1"/>
  <c r="AI77" i="4" s="1"/>
  <c r="AL41" i="4"/>
  <c r="AL43" i="4" s="1"/>
  <c r="AK50" i="4"/>
  <c r="AL71" i="4"/>
  <c r="AM29" i="3"/>
  <c r="AM33" i="4" s="1"/>
  <c r="AM34" i="4" s="1"/>
  <c r="AU55" i="3"/>
  <c r="AU58" i="3" s="1"/>
  <c r="AU59" i="3" s="1"/>
  <c r="AV54" i="3" s="1"/>
  <c r="AM86" i="3"/>
  <c r="AM87" i="3" s="1"/>
  <c r="AM19" i="3"/>
  <c r="AM22" i="3" s="1"/>
  <c r="AT62" i="3"/>
  <c r="AT60" i="3"/>
  <c r="AN80" i="3"/>
  <c r="AY41" i="3"/>
  <c r="AY43" i="3" s="1"/>
  <c r="AP70" i="3"/>
  <c r="AP73" i="3" s="1"/>
  <c r="AX47" i="3"/>
  <c r="AX45" i="3"/>
  <c r="AS63" i="3"/>
  <c r="AS72" i="3"/>
  <c r="AV50" i="3"/>
  <c r="AW49" i="3"/>
  <c r="AO78" i="3"/>
  <c r="AL44" i="4" l="1"/>
  <c r="AM40" i="4" s="1"/>
  <c r="AM41" i="4" s="1"/>
  <c r="AM43" i="4" s="1"/>
  <c r="AL47" i="4"/>
  <c r="AL45" i="4"/>
  <c r="AI78" i="4"/>
  <c r="AI79" i="4" s="1"/>
  <c r="AI80" i="4" s="1"/>
  <c r="AM42" i="4"/>
  <c r="AJ63" i="4"/>
  <c r="AJ64" i="4" s="1"/>
  <c r="AJ72" i="4"/>
  <c r="AI74" i="4"/>
  <c r="AJ69" i="4" s="1"/>
  <c r="AI75" i="4"/>
  <c r="AK55" i="4"/>
  <c r="AK58" i="4" s="1"/>
  <c r="AO79" i="3"/>
  <c r="AO80" i="3" s="1"/>
  <c r="AS64" i="3"/>
  <c r="AS65" i="3" s="1"/>
  <c r="AP77" i="3"/>
  <c r="AP75" i="3"/>
  <c r="AT63" i="3"/>
  <c r="AT72" i="3"/>
  <c r="AW50" i="3"/>
  <c r="AY47" i="3"/>
  <c r="AY45" i="3"/>
  <c r="AV55" i="3"/>
  <c r="AV58" i="3" s="1"/>
  <c r="AY44" i="3"/>
  <c r="AZ40" i="3" s="1"/>
  <c r="AU62" i="3"/>
  <c r="AU60" i="3"/>
  <c r="AP74" i="3"/>
  <c r="AQ69" i="3" s="1"/>
  <c r="AX57" i="3"/>
  <c r="AX48" i="3"/>
  <c r="AN85" i="3"/>
  <c r="AN26" i="3" s="1"/>
  <c r="AN84" i="3"/>
  <c r="AI85" i="4" l="1"/>
  <c r="AI26" i="4" s="1"/>
  <c r="AI29" i="4" s="1"/>
  <c r="AI84" i="4"/>
  <c r="AJ65" i="4"/>
  <c r="AK59" i="4"/>
  <c r="AL54" i="4" s="1"/>
  <c r="AK62" i="4"/>
  <c r="AK60" i="4"/>
  <c r="AL57" i="4"/>
  <c r="AL48" i="4"/>
  <c r="AL49" i="4" s="1"/>
  <c r="AJ70" i="4"/>
  <c r="AJ73" i="4" s="1"/>
  <c r="AJ77" i="4" s="1"/>
  <c r="AM27" i="4"/>
  <c r="AM20" i="4"/>
  <c r="AM56" i="4"/>
  <c r="AM45" i="4"/>
  <c r="AM44" i="4"/>
  <c r="AN40" i="4" s="1"/>
  <c r="AM47" i="4"/>
  <c r="AX49" i="3"/>
  <c r="AX50" i="3" s="1"/>
  <c r="AT64" i="3"/>
  <c r="AT65" i="3" s="1"/>
  <c r="AN29" i="3"/>
  <c r="AN33" i="4" s="1"/>
  <c r="AN34" i="4" s="1"/>
  <c r="AY57" i="3"/>
  <c r="AY48" i="3"/>
  <c r="AP78" i="3"/>
  <c r="AV62" i="3"/>
  <c r="AV60" i="3"/>
  <c r="AO85" i="3"/>
  <c r="AO26" i="3" s="1"/>
  <c r="AO84" i="3"/>
  <c r="AN86" i="3"/>
  <c r="AN87" i="3" s="1"/>
  <c r="AN19" i="3"/>
  <c r="AN22" i="3" s="1"/>
  <c r="AU63" i="3"/>
  <c r="AU72" i="3"/>
  <c r="AZ41" i="3"/>
  <c r="AZ43" i="3" s="1"/>
  <c r="AV59" i="3"/>
  <c r="AW54" i="3" s="1"/>
  <c r="AQ70" i="3"/>
  <c r="AQ73" i="3" s="1"/>
  <c r="AJ74" i="4" l="1"/>
  <c r="AK69" i="4" s="1"/>
  <c r="AP79" i="3"/>
  <c r="AM57" i="4"/>
  <c r="AM48" i="4"/>
  <c r="AM49" i="4" s="1"/>
  <c r="AK63" i="4"/>
  <c r="AK64" i="4" s="1"/>
  <c r="AK72" i="4"/>
  <c r="AJ78" i="4"/>
  <c r="AJ79" i="4" s="1"/>
  <c r="AJ80" i="4" s="1"/>
  <c r="AN41" i="4"/>
  <c r="AN43" i="4" s="1"/>
  <c r="AN47" i="4" s="1"/>
  <c r="AL55" i="4"/>
  <c r="AL50" i="4"/>
  <c r="AM71" i="4"/>
  <c r="AI86" i="4"/>
  <c r="AI87" i="4" s="1"/>
  <c r="AI19" i="4"/>
  <c r="AI22" i="4" s="1"/>
  <c r="AN42" i="4"/>
  <c r="AJ75" i="4"/>
  <c r="AO29" i="3"/>
  <c r="AO33" i="4" s="1"/>
  <c r="AO34" i="4" s="1"/>
  <c r="AU64" i="3"/>
  <c r="AU65" i="3" s="1"/>
  <c r="AZ47" i="3"/>
  <c r="AZ45" i="3"/>
  <c r="AZ44" i="3"/>
  <c r="BA40" i="3" s="1"/>
  <c r="AQ77" i="3"/>
  <c r="AQ75" i="3"/>
  <c r="AP80" i="3"/>
  <c r="AO86" i="3"/>
  <c r="AO87" i="3" s="1"/>
  <c r="AO19" i="3"/>
  <c r="AO22" i="3" s="1"/>
  <c r="AY49" i="3"/>
  <c r="AQ74" i="3"/>
  <c r="AR69" i="3" s="1"/>
  <c r="AV63" i="3"/>
  <c r="AV72" i="3"/>
  <c r="AW55" i="3"/>
  <c r="AJ85" i="4" l="1"/>
  <c r="AJ26" i="4" s="1"/>
  <c r="AJ29" i="4" s="1"/>
  <c r="AJ84" i="4"/>
  <c r="AM50" i="4"/>
  <c r="AN27" i="4"/>
  <c r="AN56" i="4"/>
  <c r="AN20" i="4"/>
  <c r="AN45" i="4"/>
  <c r="AL58" i="4"/>
  <c r="AO42" i="4"/>
  <c r="AN44" i="4"/>
  <c r="AO40" i="4" s="1"/>
  <c r="AN57" i="4"/>
  <c r="AN48" i="4"/>
  <c r="AN49" i="4" s="1"/>
  <c r="AK65" i="4"/>
  <c r="AK70" i="4"/>
  <c r="AV64" i="3"/>
  <c r="AV65" i="3" s="1"/>
  <c r="AZ57" i="3"/>
  <c r="AZ48" i="3"/>
  <c r="AY50" i="3"/>
  <c r="AW58" i="3"/>
  <c r="AP85" i="3"/>
  <c r="AP26" i="3" s="1"/>
  <c r="AP84" i="3"/>
  <c r="AQ78" i="3"/>
  <c r="BA41" i="3"/>
  <c r="BA43" i="3" s="1"/>
  <c r="AR70" i="3"/>
  <c r="AR73" i="3" s="1"/>
  <c r="AO56" i="4" l="1"/>
  <c r="AO20" i="4"/>
  <c r="AO27" i="4"/>
  <c r="AN50" i="4"/>
  <c r="AL62" i="4"/>
  <c r="AL60" i="4"/>
  <c r="AJ86" i="4"/>
  <c r="AJ87" i="4" s="1"/>
  <c r="AJ19" i="4"/>
  <c r="AJ22" i="4" s="1"/>
  <c r="AK73" i="4"/>
  <c r="AO41" i="4"/>
  <c r="AO43" i="4" s="1"/>
  <c r="AN71" i="4"/>
  <c r="AL59" i="4"/>
  <c r="AM54" i="4" s="1"/>
  <c r="AZ49" i="3"/>
  <c r="AZ50" i="3" s="1"/>
  <c r="AP29" i="3"/>
  <c r="AP33" i="4" s="1"/>
  <c r="AP34" i="4" s="1"/>
  <c r="AQ79" i="3"/>
  <c r="AQ80" i="3" s="1"/>
  <c r="AR77" i="3"/>
  <c r="AR75" i="3"/>
  <c r="AR74" i="3"/>
  <c r="AS69" i="3" s="1"/>
  <c r="BA47" i="3"/>
  <c r="BA45" i="3"/>
  <c r="BA44" i="3"/>
  <c r="BB40" i="3" s="1"/>
  <c r="AW62" i="3"/>
  <c r="AW60" i="3"/>
  <c r="AP86" i="3"/>
  <c r="AP87" i="3" s="1"/>
  <c r="AP19" i="3"/>
  <c r="AP22" i="3" s="1"/>
  <c r="AW59" i="3"/>
  <c r="AX54" i="3" s="1"/>
  <c r="AO47" i="4" l="1"/>
  <c r="AO45" i="4"/>
  <c r="AK77" i="4"/>
  <c r="AK75" i="4"/>
  <c r="AP42" i="4"/>
  <c r="AL63" i="4"/>
  <c r="AL64" i="4"/>
  <c r="AL72" i="4"/>
  <c r="AO71" i="4"/>
  <c r="AO44" i="4"/>
  <c r="AP40" i="4" s="1"/>
  <c r="AM55" i="4"/>
  <c r="AM58" i="4" s="1"/>
  <c r="AM59" i="4" s="1"/>
  <c r="AN54" i="4" s="1"/>
  <c r="AK74" i="4"/>
  <c r="AL69" i="4" s="1"/>
  <c r="AQ84" i="3"/>
  <c r="AQ85" i="3"/>
  <c r="AQ26" i="3" s="1"/>
  <c r="AX55" i="3"/>
  <c r="AX58" i="3" s="1"/>
  <c r="AX59" i="3" s="1"/>
  <c r="AY54" i="3" s="1"/>
  <c r="BB41" i="3"/>
  <c r="BB43" i="3" s="1"/>
  <c r="AW63" i="3"/>
  <c r="AW72" i="3"/>
  <c r="AS70" i="3"/>
  <c r="AS73" i="3" s="1"/>
  <c r="AS74" i="3" s="1"/>
  <c r="AT69" i="3" s="1"/>
  <c r="BA57" i="3"/>
  <c r="BA48" i="3"/>
  <c r="AR78" i="3"/>
  <c r="AN55" i="4" l="1"/>
  <c r="AN58" i="4" s="1"/>
  <c r="AN59" i="4" s="1"/>
  <c r="AO54" i="4" s="1"/>
  <c r="AP41" i="4"/>
  <c r="AP43" i="4" s="1"/>
  <c r="AP47" i="4" s="1"/>
  <c r="AP56" i="4"/>
  <c r="AP27" i="4"/>
  <c r="AP20" i="4"/>
  <c r="AL70" i="4"/>
  <c r="AL65" i="4"/>
  <c r="AK78" i="4"/>
  <c r="AK79" i="4" s="1"/>
  <c r="AK80" i="4" s="1"/>
  <c r="AM62" i="4"/>
  <c r="AM60" i="4"/>
  <c r="AO57" i="4"/>
  <c r="AO48" i="4"/>
  <c r="AO49" i="4"/>
  <c r="AW64" i="3"/>
  <c r="AW65" i="3" s="1"/>
  <c r="AQ29" i="3"/>
  <c r="AQ33" i="4" s="1"/>
  <c r="AQ34" i="4" s="1"/>
  <c r="AR79" i="3"/>
  <c r="AR80" i="3" s="1"/>
  <c r="BA49" i="3"/>
  <c r="BA50" i="3" s="1"/>
  <c r="BB47" i="3"/>
  <c r="BB45" i="3"/>
  <c r="AS77" i="3"/>
  <c r="AS75" i="3"/>
  <c r="BB44" i="3"/>
  <c r="BC40" i="3" s="1"/>
  <c r="AX62" i="3"/>
  <c r="AX60" i="3"/>
  <c r="AT70" i="3"/>
  <c r="AT73" i="3" s="1"/>
  <c r="AY55" i="3"/>
  <c r="AY58" i="3" s="1"/>
  <c r="AQ86" i="3"/>
  <c r="AQ87" i="3" s="1"/>
  <c r="AQ19" i="3"/>
  <c r="AQ22" i="3" s="1"/>
  <c r="AL73" i="4" l="1"/>
  <c r="AL77" i="4" s="1"/>
  <c r="AP44" i="4"/>
  <c r="AQ40" i="4" s="1"/>
  <c r="AQ41" i="4" s="1"/>
  <c r="AL74" i="4"/>
  <c r="AM69" i="4" s="1"/>
  <c r="AL75" i="4"/>
  <c r="AO55" i="4"/>
  <c r="AK85" i="4"/>
  <c r="AK26" i="4" s="1"/>
  <c r="AK29" i="4" s="1"/>
  <c r="AK84" i="4"/>
  <c r="AP71" i="4"/>
  <c r="AO50" i="4"/>
  <c r="AQ43" i="4"/>
  <c r="AQ42" i="4"/>
  <c r="AP57" i="4"/>
  <c r="AP48" i="4"/>
  <c r="AP49" i="4" s="1"/>
  <c r="AM63" i="4"/>
  <c r="AM64" i="4" s="1"/>
  <c r="AM72" i="4"/>
  <c r="AP45" i="4"/>
  <c r="AN62" i="4"/>
  <c r="AN60" i="4"/>
  <c r="AT77" i="3"/>
  <c r="AT75" i="3"/>
  <c r="AT74" i="3"/>
  <c r="AU69" i="3" s="1"/>
  <c r="AY62" i="3"/>
  <c r="AY60" i="3"/>
  <c r="AX63" i="3"/>
  <c r="AX72" i="3"/>
  <c r="BB57" i="3"/>
  <c r="BB48" i="3"/>
  <c r="BC41" i="3"/>
  <c r="BC43" i="3" s="1"/>
  <c r="AS78" i="3"/>
  <c r="AR85" i="3"/>
  <c r="AR26" i="3" s="1"/>
  <c r="AR84" i="3"/>
  <c r="AY59" i="3"/>
  <c r="AZ54" i="3" s="1"/>
  <c r="AM65" i="4" l="1"/>
  <c r="AP50" i="4"/>
  <c r="AK86" i="4"/>
  <c r="AK87" i="4" s="1"/>
  <c r="AK19" i="4"/>
  <c r="AK22" i="4" s="1"/>
  <c r="AQ27" i="4"/>
  <c r="AQ56" i="4"/>
  <c r="AQ20" i="4"/>
  <c r="AQ45" i="4"/>
  <c r="AQ44" i="4"/>
  <c r="AR40" i="4" s="1"/>
  <c r="AQ47" i="4"/>
  <c r="AN63" i="4"/>
  <c r="AN64" i="4" s="1"/>
  <c r="AN72" i="4"/>
  <c r="AO58" i="4"/>
  <c r="AO59" i="4" s="1"/>
  <c r="AP54" i="4" s="1"/>
  <c r="AL78" i="4"/>
  <c r="AL79" i="4" s="1"/>
  <c r="AL80" i="4" s="1"/>
  <c r="AM70" i="4"/>
  <c r="AM73" i="4" s="1"/>
  <c r="AM77" i="4" s="1"/>
  <c r="AX64" i="3"/>
  <c r="AX65" i="3" s="1"/>
  <c r="AR29" i="3"/>
  <c r="AR33" i="4" s="1"/>
  <c r="AR34" i="4" s="1"/>
  <c r="AS79" i="3"/>
  <c r="AS80" i="3" s="1"/>
  <c r="BB49" i="3"/>
  <c r="BB50" i="3" s="1"/>
  <c r="BC44" i="3"/>
  <c r="BD40" i="3" s="1"/>
  <c r="BD41" i="3" s="1"/>
  <c r="BD43" i="3" s="1"/>
  <c r="AZ55" i="3"/>
  <c r="AZ58" i="3" s="1"/>
  <c r="BC47" i="3"/>
  <c r="BC45" i="3"/>
  <c r="AR86" i="3"/>
  <c r="AR87" i="3" s="1"/>
  <c r="AR19" i="3"/>
  <c r="AR22" i="3" s="1"/>
  <c r="AU70" i="3"/>
  <c r="AU73" i="3" s="1"/>
  <c r="AU74" i="3" s="1"/>
  <c r="AV69" i="3" s="1"/>
  <c r="AY63" i="3"/>
  <c r="AY64" i="3" s="1"/>
  <c r="AY72" i="3"/>
  <c r="AT78" i="3"/>
  <c r="AM74" i="4" l="1"/>
  <c r="AN69" i="4" s="1"/>
  <c r="AN65" i="4"/>
  <c r="AQ57" i="4"/>
  <c r="AQ48" i="4"/>
  <c r="AQ49" i="4" s="1"/>
  <c r="AL85" i="4"/>
  <c r="AL26" i="4" s="1"/>
  <c r="AL29" i="4" s="1"/>
  <c r="AL84" i="4"/>
  <c r="AR41" i="4"/>
  <c r="AR43" i="4" s="1"/>
  <c r="AP55" i="4"/>
  <c r="AP58" i="4" s="1"/>
  <c r="AR42" i="4"/>
  <c r="AM75" i="4"/>
  <c r="AN70" i="4"/>
  <c r="AN73" i="4" s="1"/>
  <c r="AM78" i="4"/>
  <c r="AM79" i="4" s="1"/>
  <c r="AM80" i="4" s="1"/>
  <c r="AO62" i="4"/>
  <c r="AO60" i="4"/>
  <c r="AQ71" i="4"/>
  <c r="AZ62" i="3"/>
  <c r="AZ60" i="3"/>
  <c r="BD47" i="3"/>
  <c r="BD45" i="3"/>
  <c r="BD44" i="3"/>
  <c r="BE40" i="3" s="1"/>
  <c r="AV70" i="3"/>
  <c r="AV73" i="3" s="1"/>
  <c r="AZ59" i="3"/>
  <c r="BA54" i="3" s="1"/>
  <c r="BC57" i="3"/>
  <c r="BC48" i="3"/>
  <c r="AS85" i="3"/>
  <c r="AS26" i="3" s="1"/>
  <c r="AS84" i="3"/>
  <c r="AY65" i="3"/>
  <c r="AU77" i="3"/>
  <c r="AU75" i="3"/>
  <c r="AT79" i="3"/>
  <c r="AP62" i="4" l="1"/>
  <c r="AP60" i="4"/>
  <c r="AN77" i="4"/>
  <c r="AN75" i="4"/>
  <c r="AN74" i="4"/>
  <c r="AO69" i="4" s="1"/>
  <c r="AQ50" i="4"/>
  <c r="AM85" i="4"/>
  <c r="AM26" i="4" s="1"/>
  <c r="AM29" i="4" s="1"/>
  <c r="AM84" i="4"/>
  <c r="AP59" i="4"/>
  <c r="AQ54" i="4" s="1"/>
  <c r="AR44" i="4"/>
  <c r="AS40" i="4" s="1"/>
  <c r="AR47" i="4"/>
  <c r="AO63" i="4"/>
  <c r="AO64" i="4" s="1"/>
  <c r="AO72" i="4"/>
  <c r="AR56" i="4"/>
  <c r="AR27" i="4"/>
  <c r="AR20" i="4"/>
  <c r="AR45" i="4"/>
  <c r="AL86" i="4"/>
  <c r="AL87" i="4" s="1"/>
  <c r="AL19" i="4"/>
  <c r="AL22" i="4" s="1"/>
  <c r="AS29" i="3"/>
  <c r="AS33" i="4" s="1"/>
  <c r="AS34" i="4" s="1"/>
  <c r="BC49" i="3"/>
  <c r="BC50" i="3" s="1"/>
  <c r="AT80" i="3"/>
  <c r="AV77" i="3"/>
  <c r="AV75" i="3"/>
  <c r="AV74" i="3"/>
  <c r="AW69" i="3" s="1"/>
  <c r="AU78" i="3"/>
  <c r="BD57" i="3"/>
  <c r="BD48" i="3"/>
  <c r="BE41" i="3"/>
  <c r="BE43" i="3" s="1"/>
  <c r="AS86" i="3"/>
  <c r="AS87" i="3" s="1"/>
  <c r="AS19" i="3"/>
  <c r="AS22" i="3" s="1"/>
  <c r="BA55" i="3"/>
  <c r="BA58" i="3" s="1"/>
  <c r="AZ63" i="3"/>
  <c r="AZ72" i="3"/>
  <c r="AO65" i="4" l="1"/>
  <c r="AS41" i="4"/>
  <c r="AS43" i="4" s="1"/>
  <c r="AS47" i="4" s="1"/>
  <c r="AO70" i="4"/>
  <c r="AR71" i="4"/>
  <c r="AQ55" i="4"/>
  <c r="AQ58" i="4" s="1"/>
  <c r="AN78" i="4"/>
  <c r="AN79" i="4" s="1"/>
  <c r="AN80" i="4" s="1"/>
  <c r="AR48" i="4"/>
  <c r="AR49" i="4" s="1"/>
  <c r="AR57" i="4"/>
  <c r="BD49" i="3"/>
  <c r="BD50" i="3" s="1"/>
  <c r="AM86" i="4"/>
  <c r="AM87" i="4" s="1"/>
  <c r="AM19" i="4"/>
  <c r="AM22" i="4" s="1"/>
  <c r="AS42" i="4"/>
  <c r="AP63" i="4"/>
  <c r="AP64" i="4" s="1"/>
  <c r="AP72" i="4"/>
  <c r="BA59" i="3"/>
  <c r="BB54" i="3" s="1"/>
  <c r="BB55" i="3" s="1"/>
  <c r="BB58" i="3" s="1"/>
  <c r="BE47" i="3"/>
  <c r="BE45" i="3"/>
  <c r="AT85" i="3"/>
  <c r="AT26" i="3" s="1"/>
  <c r="AT84" i="3"/>
  <c r="BE44" i="3"/>
  <c r="BF40" i="3" s="1"/>
  <c r="AV78" i="3"/>
  <c r="BA62" i="3"/>
  <c r="BA60" i="3"/>
  <c r="AU79" i="3"/>
  <c r="AZ64" i="3"/>
  <c r="AW70" i="3"/>
  <c r="AW73" i="3" s="1"/>
  <c r="AP65" i="4" l="1"/>
  <c r="AS44" i="4"/>
  <c r="AT40" i="4" s="1"/>
  <c r="AQ62" i="4"/>
  <c r="AQ60" i="4"/>
  <c r="AS48" i="4"/>
  <c r="AS49" i="4" s="1"/>
  <c r="AS57" i="4"/>
  <c r="AO73" i="4"/>
  <c r="AO74" i="4" s="1"/>
  <c r="AP69" i="4" s="1"/>
  <c r="AP70" i="4" s="1"/>
  <c r="AN85" i="4"/>
  <c r="AN26" i="4" s="1"/>
  <c r="AN29" i="4" s="1"/>
  <c r="AN84" i="4"/>
  <c r="AQ59" i="4"/>
  <c r="AR54" i="4" s="1"/>
  <c r="AS20" i="4"/>
  <c r="AS56" i="4"/>
  <c r="AS27" i="4"/>
  <c r="AS45" i="4"/>
  <c r="AR50" i="4"/>
  <c r="AT29" i="3"/>
  <c r="AT33" i="4" s="1"/>
  <c r="AT34" i="4" s="1"/>
  <c r="AV79" i="3"/>
  <c r="AV80" i="3" s="1"/>
  <c r="BB62" i="3"/>
  <c r="BB60" i="3"/>
  <c r="AW77" i="3"/>
  <c r="AW75" i="3"/>
  <c r="AW74" i="3"/>
  <c r="AX69" i="3" s="1"/>
  <c r="BB59" i="3"/>
  <c r="BC54" i="3" s="1"/>
  <c r="BF41" i="3"/>
  <c r="AU80" i="3"/>
  <c r="AZ65" i="3"/>
  <c r="BA63" i="3"/>
  <c r="BA72" i="3"/>
  <c r="AT86" i="3"/>
  <c r="AT87" i="3" s="1"/>
  <c r="AT19" i="3"/>
  <c r="AT22" i="3" s="1"/>
  <c r="BE48" i="3"/>
  <c r="BE57" i="3"/>
  <c r="AP73" i="4" l="1"/>
  <c r="AS50" i="4"/>
  <c r="AP74" i="4"/>
  <c r="AQ69" i="4" s="1"/>
  <c r="AP77" i="4"/>
  <c r="BA64" i="3"/>
  <c r="AN86" i="4"/>
  <c r="AN87" i="4" s="1"/>
  <c r="AN19" i="4"/>
  <c r="AN22" i="4" s="1"/>
  <c r="AQ63" i="4"/>
  <c r="AQ64" i="4" s="1"/>
  <c r="AQ72" i="4"/>
  <c r="AO77" i="4"/>
  <c r="AO75" i="4"/>
  <c r="AT41" i="4"/>
  <c r="AT43" i="4" s="1"/>
  <c r="AT47" i="4" s="1"/>
  <c r="AR55" i="4"/>
  <c r="AR58" i="4" s="1"/>
  <c r="AT42" i="4"/>
  <c r="AP75" i="4"/>
  <c r="AS71" i="4"/>
  <c r="AX70" i="3"/>
  <c r="AX73" i="3" s="1"/>
  <c r="AX74" i="3" s="1"/>
  <c r="AY69" i="3" s="1"/>
  <c r="BF43" i="3"/>
  <c r="BC55" i="3"/>
  <c r="AU85" i="3"/>
  <c r="AU26" i="3" s="1"/>
  <c r="AU84" i="3"/>
  <c r="AW78" i="3"/>
  <c r="BA65" i="3"/>
  <c r="AV85" i="3"/>
  <c r="AV26" i="3" s="1"/>
  <c r="AV84" i="3"/>
  <c r="BE49" i="3"/>
  <c r="BB63" i="3"/>
  <c r="BB72" i="3"/>
  <c r="AT44" i="4" l="1"/>
  <c r="AU40" i="4" s="1"/>
  <c r="AO78" i="4"/>
  <c r="AO79" i="4" s="1"/>
  <c r="AO80" i="4" s="1"/>
  <c r="AP78" i="4"/>
  <c r="AP79" i="4" s="1"/>
  <c r="AP80" i="4" s="1"/>
  <c r="AQ70" i="4"/>
  <c r="AT56" i="4"/>
  <c r="AT27" i="4"/>
  <c r="AT20" i="4"/>
  <c r="AT45" i="4"/>
  <c r="AT57" i="4"/>
  <c r="AT48" i="4"/>
  <c r="AT49" i="4" s="1"/>
  <c r="AR59" i="4"/>
  <c r="AS54" i="4" s="1"/>
  <c r="AQ65" i="4"/>
  <c r="AR62" i="4"/>
  <c r="AR60" i="4"/>
  <c r="AV29" i="3"/>
  <c r="AV33" i="4" s="1"/>
  <c r="AV34" i="4" s="1"/>
  <c r="AU29" i="3"/>
  <c r="AU33" i="4" s="1"/>
  <c r="AU34" i="4" s="1"/>
  <c r="BC58" i="3"/>
  <c r="BF47" i="3"/>
  <c r="BF45" i="3"/>
  <c r="BE50" i="3"/>
  <c r="AY70" i="3"/>
  <c r="AY73" i="3" s="1"/>
  <c r="AY74" i="3" s="1"/>
  <c r="AZ69" i="3" s="1"/>
  <c r="AU86" i="3"/>
  <c r="AU87" i="3" s="1"/>
  <c r="AU19" i="3"/>
  <c r="AU22" i="3" s="1"/>
  <c r="AX77" i="3"/>
  <c r="AX75" i="3"/>
  <c r="AV86" i="3"/>
  <c r="AV87" i="3" s="1"/>
  <c r="AV19" i="3"/>
  <c r="AV22" i="3" s="1"/>
  <c r="AW79" i="3"/>
  <c r="BB64" i="3"/>
  <c r="BF44" i="3"/>
  <c r="BG40" i="3" s="1"/>
  <c r="AO84" i="4" l="1"/>
  <c r="AO85" i="4"/>
  <c r="AO26" i="4" s="1"/>
  <c r="AO29" i="4" s="1"/>
  <c r="AR63" i="4"/>
  <c r="AR64" i="4" s="1"/>
  <c r="AR72" i="4"/>
  <c r="AP85" i="4"/>
  <c r="AP26" i="4" s="1"/>
  <c r="AP29" i="4" s="1"/>
  <c r="AP84" i="4"/>
  <c r="AS55" i="4"/>
  <c r="AS58" i="4" s="1"/>
  <c r="AS59" i="4" s="1"/>
  <c r="AT54" i="4" s="1"/>
  <c r="AU42" i="4"/>
  <c r="AT71" i="4"/>
  <c r="AV42" i="4"/>
  <c r="AU41" i="4"/>
  <c r="AU43" i="4" s="1"/>
  <c r="AU47" i="4" s="1"/>
  <c r="AT50" i="4"/>
  <c r="AQ73" i="4"/>
  <c r="BF57" i="3"/>
  <c r="BF48" i="3"/>
  <c r="AX78" i="3"/>
  <c r="BB65" i="3"/>
  <c r="AY77" i="3"/>
  <c r="AY75" i="3"/>
  <c r="BC62" i="3"/>
  <c r="BC60" i="3"/>
  <c r="AZ70" i="3"/>
  <c r="BG41" i="3"/>
  <c r="BG43" i="3" s="1"/>
  <c r="BG44" i="3" s="1"/>
  <c r="BH40" i="3" s="1"/>
  <c r="AW80" i="3"/>
  <c r="BC59" i="3"/>
  <c r="BD54" i="3" s="1"/>
  <c r="AR65" i="4" l="1"/>
  <c r="AX79" i="3"/>
  <c r="AU44" i="4"/>
  <c r="AV40" i="4" s="1"/>
  <c r="AU56" i="4"/>
  <c r="AU27" i="4"/>
  <c r="AU20" i="4"/>
  <c r="AU45" i="4"/>
  <c r="AT55" i="4"/>
  <c r="AT58" i="4" s="1"/>
  <c r="AV56" i="4"/>
  <c r="AV27" i="4"/>
  <c r="AV20" i="4"/>
  <c r="AS62" i="4"/>
  <c r="AS60" i="4"/>
  <c r="AU57" i="4"/>
  <c r="AU48" i="4"/>
  <c r="AU49" i="4" s="1"/>
  <c r="AO86" i="4"/>
  <c r="AO87" i="4" s="1"/>
  <c r="AO19" i="4"/>
  <c r="AO22" i="4" s="1"/>
  <c r="AQ77" i="4"/>
  <c r="AQ75" i="4"/>
  <c r="AP86" i="4"/>
  <c r="AP87" i="4" s="1"/>
  <c r="AP19" i="4"/>
  <c r="AP22" i="4" s="1"/>
  <c r="AQ74" i="4"/>
  <c r="AR69" i="4" s="1"/>
  <c r="AZ73" i="3"/>
  <c r="AZ74" i="3" s="1"/>
  <c r="BA69" i="3" s="1"/>
  <c r="AW85" i="3"/>
  <c r="AW26" i="3" s="1"/>
  <c r="AW84" i="3"/>
  <c r="BH41" i="3"/>
  <c r="BH43" i="3" s="1"/>
  <c r="AX80" i="3"/>
  <c r="AY78" i="3"/>
  <c r="BD55" i="3"/>
  <c r="BD58" i="3" s="1"/>
  <c r="BC63" i="3"/>
  <c r="BC72" i="3"/>
  <c r="BG47" i="3"/>
  <c r="BG45" i="3"/>
  <c r="BF49" i="3"/>
  <c r="AU71" i="4" l="1"/>
  <c r="AV41" i="4"/>
  <c r="AV43" i="4" s="1"/>
  <c r="AV44" i="4" s="1"/>
  <c r="AW40" i="4" s="1"/>
  <c r="AV71" i="4"/>
  <c r="AU50" i="4"/>
  <c r="AT59" i="4"/>
  <c r="AU54" i="4" s="1"/>
  <c r="AT62" i="4"/>
  <c r="AT60" i="4"/>
  <c r="AR70" i="4"/>
  <c r="AR73" i="4" s="1"/>
  <c r="AR74" i="4" s="1"/>
  <c r="AS69" i="4" s="1"/>
  <c r="AQ78" i="4"/>
  <c r="AQ79" i="4" s="1"/>
  <c r="AQ80" i="4" s="1"/>
  <c r="AS63" i="4"/>
  <c r="AS64" i="4" s="1"/>
  <c r="AS72" i="4"/>
  <c r="AW29" i="3"/>
  <c r="AW33" i="4" s="1"/>
  <c r="AW34" i="4" s="1"/>
  <c r="AZ75" i="3"/>
  <c r="AZ77" i="3"/>
  <c r="AZ78" i="3" s="1"/>
  <c r="AY79" i="3"/>
  <c r="AY80" i="3" s="1"/>
  <c r="BA70" i="3"/>
  <c r="BA73" i="3" s="1"/>
  <c r="BA75" i="3" s="1"/>
  <c r="BH47" i="3"/>
  <c r="BH45" i="3"/>
  <c r="BH44" i="3"/>
  <c r="BI40" i="3" s="1"/>
  <c r="BD62" i="3"/>
  <c r="BD60" i="3"/>
  <c r="AW86" i="3"/>
  <c r="AW87" i="3" s="1"/>
  <c r="AW19" i="3"/>
  <c r="AW22" i="3" s="1"/>
  <c r="BC64" i="3"/>
  <c r="BF50" i="3"/>
  <c r="BG57" i="3"/>
  <c r="BG48" i="3"/>
  <c r="AX85" i="3"/>
  <c r="AX26" i="3" s="1"/>
  <c r="AX84" i="3"/>
  <c r="BD59" i="3"/>
  <c r="BE54" i="3" s="1"/>
  <c r="AQ84" i="4" l="1"/>
  <c r="AQ85" i="4"/>
  <c r="AQ26" i="4" s="1"/>
  <c r="AQ29" i="4" s="1"/>
  <c r="AS70" i="4"/>
  <c r="AR77" i="4"/>
  <c r="AR75" i="4"/>
  <c r="AW41" i="4"/>
  <c r="AW43" i="4" s="1"/>
  <c r="AW47" i="4" s="1"/>
  <c r="AS65" i="4"/>
  <c r="AS73" i="4" s="1"/>
  <c r="AT63" i="4"/>
  <c r="AT64" i="4" s="1"/>
  <c r="AT72" i="4"/>
  <c r="AV47" i="4"/>
  <c r="AV45" i="4"/>
  <c r="AU55" i="4"/>
  <c r="AU58" i="4" s="1"/>
  <c r="AW42" i="4"/>
  <c r="AZ79" i="3"/>
  <c r="AZ80" i="3" s="1"/>
  <c r="BG49" i="3"/>
  <c r="BG50" i="3" s="1"/>
  <c r="AX29" i="3"/>
  <c r="AX33" i="4" s="1"/>
  <c r="AX34" i="4" s="1"/>
  <c r="BA77" i="3"/>
  <c r="BA78" i="3" s="1"/>
  <c r="BA74" i="3"/>
  <c r="BB69" i="3" s="1"/>
  <c r="BB70" i="3" s="1"/>
  <c r="BB73" i="3" s="1"/>
  <c r="AY85" i="3"/>
  <c r="AY26" i="3" s="1"/>
  <c r="AY84" i="3"/>
  <c r="BC65" i="3"/>
  <c r="BI41" i="3"/>
  <c r="BI43" i="3" s="1"/>
  <c r="AX86" i="3"/>
  <c r="AX87" i="3" s="1"/>
  <c r="AX19" i="3"/>
  <c r="AX22" i="3" s="1"/>
  <c r="BD63" i="3"/>
  <c r="BD72" i="3"/>
  <c r="BE55" i="3"/>
  <c r="BH57" i="3"/>
  <c r="BH48" i="3"/>
  <c r="AU59" i="4" l="1"/>
  <c r="AV54" i="4" s="1"/>
  <c r="AV55" i="4"/>
  <c r="AS77" i="4"/>
  <c r="AS75" i="4"/>
  <c r="AS74" i="4"/>
  <c r="AT69" i="4" s="1"/>
  <c r="AT65" i="4"/>
  <c r="AR78" i="4"/>
  <c r="AR79" i="4" s="1"/>
  <c r="AR80" i="4" s="1"/>
  <c r="AW44" i="4"/>
  <c r="AX40" i="4" s="1"/>
  <c r="AV57" i="4"/>
  <c r="AV48" i="4"/>
  <c r="AV49" i="4" s="1"/>
  <c r="AW48" i="4"/>
  <c r="AW49" i="4" s="1"/>
  <c r="AW57" i="4"/>
  <c r="AU62" i="4"/>
  <c r="AU60" i="4"/>
  <c r="AX42" i="4"/>
  <c r="AW27" i="4"/>
  <c r="AW20" i="4"/>
  <c r="AW56" i="4"/>
  <c r="AW45" i="4"/>
  <c r="AQ86" i="4"/>
  <c r="AQ87" i="4" s="1"/>
  <c r="AQ19" i="4"/>
  <c r="AQ22" i="4" s="1"/>
  <c r="AY29" i="3"/>
  <c r="AY33" i="4" s="1"/>
  <c r="AY34" i="4" s="1"/>
  <c r="BA79" i="3"/>
  <c r="BA80" i="3" s="1"/>
  <c r="BD64" i="3"/>
  <c r="BD65" i="3" s="1"/>
  <c r="BB77" i="3"/>
  <c r="BB78" i="3" s="1"/>
  <c r="BB75" i="3"/>
  <c r="BB74" i="3"/>
  <c r="BC69" i="3" s="1"/>
  <c r="BC70" i="3" s="1"/>
  <c r="BC73" i="3" s="1"/>
  <c r="BI47" i="3"/>
  <c r="BI45" i="3"/>
  <c r="BE58" i="3"/>
  <c r="AZ85" i="3"/>
  <c r="AZ26" i="3" s="1"/>
  <c r="AZ84" i="3"/>
  <c r="BI44" i="3"/>
  <c r="BJ40" i="3" s="1"/>
  <c r="BH49" i="3"/>
  <c r="AY86" i="3"/>
  <c r="AY87" i="3" s="1"/>
  <c r="AY19" i="3"/>
  <c r="AY22" i="3" s="1"/>
  <c r="AU63" i="4" l="1"/>
  <c r="AU64" i="4" s="1"/>
  <c r="AU72" i="4"/>
  <c r="AT70" i="4"/>
  <c r="AY42" i="4"/>
  <c r="AX41" i="4"/>
  <c r="AX43" i="4" s="1"/>
  <c r="AX47" i="4" s="1"/>
  <c r="AS78" i="4"/>
  <c r="AS79" i="4" s="1"/>
  <c r="AS80" i="4" s="1"/>
  <c r="AX56" i="4"/>
  <c r="AX27" i="4"/>
  <c r="AX20" i="4"/>
  <c r="AV50" i="4"/>
  <c r="AV58" i="4" s="1"/>
  <c r="AW50" i="4"/>
  <c r="AR85" i="4"/>
  <c r="AR26" i="4" s="1"/>
  <c r="AR29" i="4" s="1"/>
  <c r="AR84" i="4"/>
  <c r="AW71" i="4"/>
  <c r="AZ29" i="3"/>
  <c r="AZ33" i="4" s="1"/>
  <c r="AZ34" i="4" s="1"/>
  <c r="BC75" i="3"/>
  <c r="BC74" i="3"/>
  <c r="BD69" i="3" s="1"/>
  <c r="BD70" i="3" s="1"/>
  <c r="BD73" i="3" s="1"/>
  <c r="BC77" i="3"/>
  <c r="BC78" i="3" s="1"/>
  <c r="BJ41" i="3"/>
  <c r="BJ43" i="3" s="1"/>
  <c r="BJ44" i="3" s="1"/>
  <c r="BK40" i="3" s="1"/>
  <c r="BE62" i="3"/>
  <c r="BE60" i="3"/>
  <c r="BA85" i="3"/>
  <c r="BA26" i="3" s="1"/>
  <c r="BA84" i="3"/>
  <c r="BE59" i="3"/>
  <c r="BF54" i="3" s="1"/>
  <c r="AZ86" i="3"/>
  <c r="AZ87" i="3" s="1"/>
  <c r="AZ19" i="3"/>
  <c r="AZ22" i="3" s="1"/>
  <c r="BH50" i="3"/>
  <c r="BI57" i="3"/>
  <c r="BI48" i="3"/>
  <c r="BB79" i="3"/>
  <c r="AV62" i="4" l="1"/>
  <c r="AV60" i="4"/>
  <c r="AV59" i="4"/>
  <c r="AW54" i="4" s="1"/>
  <c r="AX44" i="4"/>
  <c r="AY40" i="4" s="1"/>
  <c r="AT73" i="4"/>
  <c r="AX45" i="4"/>
  <c r="AX71" i="4"/>
  <c r="AU65" i="4"/>
  <c r="AX57" i="4"/>
  <c r="AX48" i="4"/>
  <c r="AX49" i="4" s="1"/>
  <c r="AZ42" i="4"/>
  <c r="AY27" i="4"/>
  <c r="AY20" i="4"/>
  <c r="AY56" i="4"/>
  <c r="AR86" i="4"/>
  <c r="AR87" i="4" s="1"/>
  <c r="AR19" i="4"/>
  <c r="AR22" i="4" s="1"/>
  <c r="AS85" i="4"/>
  <c r="AS26" i="4" s="1"/>
  <c r="AS29" i="4" s="1"/>
  <c r="AS84" i="4"/>
  <c r="BC79" i="3"/>
  <c r="BC80" i="3" s="1"/>
  <c r="BA29" i="3"/>
  <c r="BA33" i="4" s="1"/>
  <c r="BA34" i="4" s="1"/>
  <c r="BI49" i="3"/>
  <c r="BI50" i="3" s="1"/>
  <c r="BD77" i="3"/>
  <c r="BD75" i="3"/>
  <c r="BA86" i="3"/>
  <c r="BA87" i="3" s="1"/>
  <c r="BA19" i="3"/>
  <c r="BA22" i="3" s="1"/>
  <c r="BB80" i="3"/>
  <c r="BE63" i="3"/>
  <c r="BE72" i="3"/>
  <c r="BF55" i="3"/>
  <c r="BK41" i="3"/>
  <c r="BK43" i="3" s="1"/>
  <c r="BD74" i="3"/>
  <c r="BE69" i="3" s="1"/>
  <c r="BJ47" i="3"/>
  <c r="BJ45" i="3"/>
  <c r="AT77" i="4" l="1"/>
  <c r="AT75" i="4"/>
  <c r="AY41" i="4"/>
  <c r="AY43" i="4" s="1"/>
  <c r="AS86" i="4"/>
  <c r="AS87" i="4" s="1"/>
  <c r="AS19" i="4"/>
  <c r="AS22" i="4" s="1"/>
  <c r="AZ27" i="4"/>
  <c r="AZ56" i="4"/>
  <c r="AZ20" i="4"/>
  <c r="AT74" i="4"/>
  <c r="AU69" i="4" s="1"/>
  <c r="AW55" i="4"/>
  <c r="AW58" i="4" s="1"/>
  <c r="AY71" i="4"/>
  <c r="BA42" i="4"/>
  <c r="AX50" i="4"/>
  <c r="AV63" i="4"/>
  <c r="AV64" i="4" s="1"/>
  <c r="AV72" i="4"/>
  <c r="BE64" i="3"/>
  <c r="BE65" i="3" s="1"/>
  <c r="BF58" i="3"/>
  <c r="BF59" i="3" s="1"/>
  <c r="BG54" i="3" s="1"/>
  <c r="BG55" i="3" s="1"/>
  <c r="BG58" i="3" s="1"/>
  <c r="BD78" i="3"/>
  <c r="BK47" i="3"/>
  <c r="BK45" i="3"/>
  <c r="BE70" i="3"/>
  <c r="BC85" i="3"/>
  <c r="BC26" i="3" s="1"/>
  <c r="BC84" i="3"/>
  <c r="BJ57" i="3"/>
  <c r="BJ48" i="3"/>
  <c r="BK44" i="3"/>
  <c r="BL40" i="3" s="1"/>
  <c r="BB84" i="3"/>
  <c r="BB85" i="3"/>
  <c r="BB26" i="3" s="1"/>
  <c r="AY47" i="4" l="1"/>
  <c r="AY45" i="4"/>
  <c r="AY44" i="4"/>
  <c r="AZ40" i="4" s="1"/>
  <c r="AW59" i="4"/>
  <c r="AX54" i="4" s="1"/>
  <c r="AU70" i="4"/>
  <c r="AW62" i="4"/>
  <c r="AW60" i="4"/>
  <c r="AV65" i="4"/>
  <c r="BA56" i="4"/>
  <c r="BA27" i="4"/>
  <c r="BA20" i="4"/>
  <c r="BF60" i="3"/>
  <c r="AZ71" i="4"/>
  <c r="AT78" i="4"/>
  <c r="AT79" i="4" s="1"/>
  <c r="AT80" i="4" s="1"/>
  <c r="BF62" i="3"/>
  <c r="BF63" i="3" s="1"/>
  <c r="BJ49" i="3"/>
  <c r="BJ50" i="3" s="1"/>
  <c r="BC29" i="3"/>
  <c r="BC33" i="4" s="1"/>
  <c r="BC34" i="4" s="1"/>
  <c r="BB29" i="3"/>
  <c r="BB33" i="4" s="1"/>
  <c r="BB34" i="4" s="1"/>
  <c r="BG62" i="3"/>
  <c r="BG60" i="3"/>
  <c r="BG59" i="3"/>
  <c r="BH54" i="3" s="1"/>
  <c r="BE73" i="3"/>
  <c r="BK57" i="3"/>
  <c r="BK48" i="3"/>
  <c r="BL41" i="3"/>
  <c r="BL43" i="3" s="1"/>
  <c r="BL44" i="3" s="1"/>
  <c r="BM40" i="3" s="1"/>
  <c r="BD79" i="3"/>
  <c r="BC86" i="3"/>
  <c r="BC87" i="3" s="1"/>
  <c r="BC19" i="3"/>
  <c r="BC22" i="3" s="1"/>
  <c r="BB86" i="3"/>
  <c r="BB87" i="3" s="1"/>
  <c r="BB19" i="3"/>
  <c r="BB22" i="3" s="1"/>
  <c r="AU73" i="4" l="1"/>
  <c r="AU74" i="4" s="1"/>
  <c r="AV69" i="4" s="1"/>
  <c r="BF64" i="3"/>
  <c r="AT84" i="4"/>
  <c r="AT85" i="4"/>
  <c r="AT26" i="4" s="1"/>
  <c r="AT29" i="4" s="1"/>
  <c r="BA71" i="4"/>
  <c r="AU77" i="4"/>
  <c r="AU75" i="4"/>
  <c r="BB42" i="4"/>
  <c r="AX55" i="4"/>
  <c r="AX58" i="4" s="1"/>
  <c r="BC42" i="4"/>
  <c r="AZ41" i="4"/>
  <c r="AZ43" i="4" s="1"/>
  <c r="AZ44" i="4" s="1"/>
  <c r="BA40" i="4" s="1"/>
  <c r="BF72" i="3"/>
  <c r="AW63" i="4"/>
  <c r="AW64" i="4" s="1"/>
  <c r="AW72" i="4"/>
  <c r="AY57" i="4"/>
  <c r="AY48" i="4"/>
  <c r="AY49" i="4" s="1"/>
  <c r="BM41" i="3"/>
  <c r="BM43" i="3" s="1"/>
  <c r="BM44" i="3" s="1"/>
  <c r="BN40" i="3" s="1"/>
  <c r="BL47" i="3"/>
  <c r="BL45" i="3"/>
  <c r="BF65" i="3"/>
  <c r="BH55" i="3"/>
  <c r="BH58" i="3" s="1"/>
  <c r="BE77" i="3"/>
  <c r="BE75" i="3"/>
  <c r="BK49" i="3"/>
  <c r="BG63" i="3"/>
  <c r="BG72" i="3"/>
  <c r="BD80" i="3"/>
  <c r="BE74" i="3"/>
  <c r="BF69" i="3" s="1"/>
  <c r="AV70" i="4" l="1"/>
  <c r="AV73" i="4" s="1"/>
  <c r="AY50" i="4"/>
  <c r="AX59" i="4"/>
  <c r="AY54" i="4" s="1"/>
  <c r="AX62" i="4"/>
  <c r="AX60" i="4"/>
  <c r="AZ47" i="4"/>
  <c r="AZ45" i="4"/>
  <c r="AT86" i="4"/>
  <c r="AT87" i="4" s="1"/>
  <c r="AT19" i="4"/>
  <c r="AT22" i="4" s="1"/>
  <c r="BA41" i="4"/>
  <c r="BA43" i="4" s="1"/>
  <c r="BB27" i="4"/>
  <c r="BB20" i="4"/>
  <c r="BB56" i="4"/>
  <c r="AV77" i="4"/>
  <c r="AV75" i="4"/>
  <c r="AW65" i="4"/>
  <c r="BC56" i="4"/>
  <c r="BC27" i="4"/>
  <c r="BC20" i="4"/>
  <c r="AU78" i="4"/>
  <c r="AU79" i="4" s="1"/>
  <c r="AU80" i="4" s="1"/>
  <c r="BG64" i="3"/>
  <c r="BG65" i="3" s="1"/>
  <c r="BH62" i="3"/>
  <c r="BH60" i="3"/>
  <c r="BH59" i="3"/>
  <c r="BI54" i="3" s="1"/>
  <c r="BK50" i="3"/>
  <c r="BL57" i="3"/>
  <c r="BL48" i="3"/>
  <c r="BE78" i="3"/>
  <c r="BN41" i="3"/>
  <c r="BN43" i="3" s="1"/>
  <c r="BM47" i="3"/>
  <c r="BM45" i="3"/>
  <c r="BD84" i="3"/>
  <c r="BD85" i="3"/>
  <c r="BD26" i="3" s="1"/>
  <c r="BF70" i="3"/>
  <c r="BF73" i="3" s="1"/>
  <c r="AV74" i="4" l="1"/>
  <c r="AW69" i="4" s="1"/>
  <c r="AW70" i="4" s="1"/>
  <c r="AW73" i="4" s="1"/>
  <c r="AW74" i="4" s="1"/>
  <c r="AX69" i="4" s="1"/>
  <c r="AZ57" i="4"/>
  <c r="AZ48" i="4"/>
  <c r="AZ49" i="4" s="1"/>
  <c r="AU84" i="4"/>
  <c r="AU85" i="4"/>
  <c r="AU26" i="4" s="1"/>
  <c r="AU29" i="4" s="1"/>
  <c r="BA44" i="4"/>
  <c r="BB40" i="4" s="1"/>
  <c r="BA47" i="4"/>
  <c r="BA45" i="4"/>
  <c r="AV78" i="4"/>
  <c r="AV79" i="4" s="1"/>
  <c r="AV80" i="4" s="1"/>
  <c r="AX63" i="4"/>
  <c r="AX64" i="4" s="1"/>
  <c r="AX72" i="4"/>
  <c r="AY55" i="4"/>
  <c r="AY58" i="4" s="1"/>
  <c r="AY59" i="4" s="1"/>
  <c r="AZ54" i="4" s="1"/>
  <c r="BB71" i="4"/>
  <c r="BC71" i="4"/>
  <c r="BD29" i="3"/>
  <c r="BD33" i="4" s="1"/>
  <c r="BD34" i="4" s="1"/>
  <c r="BF77" i="3"/>
  <c r="BF75" i="3"/>
  <c r="BF74" i="3"/>
  <c r="BG69" i="3" s="1"/>
  <c r="BN47" i="3"/>
  <c r="BN45" i="3"/>
  <c r="BN44" i="3"/>
  <c r="BO40" i="3" s="1"/>
  <c r="BM57" i="3"/>
  <c r="BM48" i="3"/>
  <c r="BI55" i="3"/>
  <c r="BI58" i="3" s="1"/>
  <c r="BL49" i="3"/>
  <c r="BD86" i="3"/>
  <c r="BD87" i="3" s="1"/>
  <c r="BD19" i="3"/>
  <c r="BD22" i="3" s="1"/>
  <c r="BE79" i="3"/>
  <c r="BH63" i="3"/>
  <c r="BH72" i="3"/>
  <c r="AW75" i="4" l="1"/>
  <c r="AW77" i="4"/>
  <c r="AZ55" i="4"/>
  <c r="AV85" i="4"/>
  <c r="AV26" i="4" s="1"/>
  <c r="AV29" i="4" s="1"/>
  <c r="AV84" i="4"/>
  <c r="AZ50" i="4"/>
  <c r="AY62" i="4"/>
  <c r="AY60" i="4"/>
  <c r="BD42" i="4"/>
  <c r="BA57" i="4"/>
  <c r="BA48" i="4"/>
  <c r="BA49" i="4" s="1"/>
  <c r="BB41" i="4"/>
  <c r="BB43" i="4" s="1"/>
  <c r="AX65" i="4"/>
  <c r="AW78" i="4"/>
  <c r="AW79" i="4" s="1"/>
  <c r="AW80" i="4" s="1"/>
  <c r="AU86" i="4"/>
  <c r="AU87" i="4" s="1"/>
  <c r="AU19" i="4"/>
  <c r="AU22" i="4" s="1"/>
  <c r="AX70" i="4"/>
  <c r="BH64" i="3"/>
  <c r="BH65" i="3" s="1"/>
  <c r="BI62" i="3"/>
  <c r="BI60" i="3"/>
  <c r="BG70" i="3"/>
  <c r="BG73" i="3" s="1"/>
  <c r="BG74" i="3" s="1"/>
  <c r="BH69" i="3" s="1"/>
  <c r="BN57" i="3"/>
  <c r="BN48" i="3"/>
  <c r="BL50" i="3"/>
  <c r="BM49" i="3"/>
  <c r="BI59" i="3"/>
  <c r="BJ54" i="3" s="1"/>
  <c r="BO41" i="3"/>
  <c r="BE80" i="3"/>
  <c r="BF78" i="3"/>
  <c r="AX73" i="4" l="1"/>
  <c r="AX77" i="4" s="1"/>
  <c r="AX74" i="4"/>
  <c r="AY69" i="4" s="1"/>
  <c r="AX75" i="4"/>
  <c r="AW84" i="4"/>
  <c r="AW85" i="4"/>
  <c r="AW26" i="4" s="1"/>
  <c r="AW29" i="4" s="1"/>
  <c r="BB44" i="4"/>
  <c r="BC40" i="4" s="1"/>
  <c r="BB47" i="4"/>
  <c r="BB45" i="4"/>
  <c r="BD56" i="4"/>
  <c r="BD27" i="4"/>
  <c r="BD20" i="4"/>
  <c r="AV86" i="4"/>
  <c r="AV87" i="4" s="1"/>
  <c r="AV19" i="4"/>
  <c r="AV22" i="4" s="1"/>
  <c r="BA50" i="4"/>
  <c r="AY63" i="4"/>
  <c r="AY64" i="4" s="1"/>
  <c r="AY72" i="4"/>
  <c r="AZ58" i="4"/>
  <c r="BF79" i="3"/>
  <c r="BO43" i="3"/>
  <c r="BO44" i="3" s="1"/>
  <c r="BP40" i="3" s="1"/>
  <c r="BF80" i="3"/>
  <c r="BH70" i="3"/>
  <c r="BH73" i="3" s="1"/>
  <c r="BG77" i="3"/>
  <c r="BG75" i="3"/>
  <c r="BN49" i="3"/>
  <c r="BJ55" i="3"/>
  <c r="BJ58" i="3" s="1"/>
  <c r="BJ59" i="3" s="1"/>
  <c r="BK54" i="3" s="1"/>
  <c r="BM50" i="3"/>
  <c r="BE84" i="3"/>
  <c r="BE85" i="3"/>
  <c r="BE26" i="3" s="1"/>
  <c r="BI63" i="3"/>
  <c r="BI72" i="3"/>
  <c r="BB48" i="4" l="1"/>
  <c r="BB49" i="4" s="1"/>
  <c r="BB57" i="4"/>
  <c r="AY65" i="4"/>
  <c r="BC41" i="4"/>
  <c r="BC43" i="4" s="1"/>
  <c r="AW86" i="4"/>
  <c r="AW87" i="4" s="1"/>
  <c r="AW19" i="4"/>
  <c r="AW22" i="4" s="1"/>
  <c r="AY70" i="4"/>
  <c r="AY73" i="4" s="1"/>
  <c r="AZ62" i="4"/>
  <c r="AZ59" i="4"/>
  <c r="BA54" i="4" s="1"/>
  <c r="AZ60" i="4"/>
  <c r="BD71" i="4"/>
  <c r="AX78" i="4"/>
  <c r="AX79" i="4" s="1"/>
  <c r="AX80" i="4" s="1"/>
  <c r="BO45" i="3"/>
  <c r="BO47" i="3"/>
  <c r="BO48" i="3" s="1"/>
  <c r="BI64" i="3"/>
  <c r="BI65" i="3" s="1"/>
  <c r="BE29" i="3"/>
  <c r="BE33" i="4" s="1"/>
  <c r="BE34" i="4" s="1"/>
  <c r="BP41" i="3"/>
  <c r="BP43" i="3" s="1"/>
  <c r="BP47" i="3" s="1"/>
  <c r="BH77" i="3"/>
  <c r="BH75" i="3"/>
  <c r="BH74" i="3"/>
  <c r="BI69" i="3" s="1"/>
  <c r="BK55" i="3"/>
  <c r="BK58" i="3" s="1"/>
  <c r="BE86" i="3"/>
  <c r="BE87" i="3" s="1"/>
  <c r="BE19" i="3"/>
  <c r="BE22" i="3" s="1"/>
  <c r="BG78" i="3"/>
  <c r="BF85" i="3"/>
  <c r="BF26" i="3" s="1"/>
  <c r="BF84" i="3"/>
  <c r="BJ62" i="3"/>
  <c r="BJ60" i="3"/>
  <c r="BN50" i="3"/>
  <c r="BO57" i="3" l="1"/>
  <c r="AY77" i="4"/>
  <c r="AY75" i="4"/>
  <c r="AZ63" i="4"/>
  <c r="AZ64" i="4" s="1"/>
  <c r="AZ72" i="4"/>
  <c r="BC44" i="4"/>
  <c r="BD40" i="4" s="1"/>
  <c r="BC47" i="4"/>
  <c r="BC45" i="4"/>
  <c r="AX85" i="4"/>
  <c r="AX26" i="4" s="1"/>
  <c r="AX29" i="4" s="1"/>
  <c r="AX84" i="4"/>
  <c r="AY74" i="4"/>
  <c r="AZ69" i="4" s="1"/>
  <c r="BE42" i="4"/>
  <c r="BA55" i="4"/>
  <c r="BA58" i="4" s="1"/>
  <c r="BA59" i="4" s="1"/>
  <c r="BB54" i="4" s="1"/>
  <c r="BB55" i="4" s="1"/>
  <c r="BB50" i="4"/>
  <c r="BF29" i="3"/>
  <c r="BF33" i="4" s="1"/>
  <c r="BF34" i="4" s="1"/>
  <c r="BP45" i="3"/>
  <c r="BP44" i="3"/>
  <c r="BQ40" i="3" s="1"/>
  <c r="BQ41" i="3" s="1"/>
  <c r="BQ43" i="3" s="1"/>
  <c r="BQ47" i="3" s="1"/>
  <c r="BK62" i="3"/>
  <c r="BK60" i="3"/>
  <c r="BK59" i="3"/>
  <c r="BL54" i="3" s="1"/>
  <c r="BP57" i="3"/>
  <c r="BP48" i="3"/>
  <c r="BJ63" i="3"/>
  <c r="BJ72" i="3"/>
  <c r="BI70" i="3"/>
  <c r="BI73" i="3" s="1"/>
  <c r="BI74" i="3" s="1"/>
  <c r="BJ69" i="3" s="1"/>
  <c r="BO49" i="3"/>
  <c r="BF86" i="3"/>
  <c r="BF87" i="3" s="1"/>
  <c r="BF19" i="3"/>
  <c r="BF22" i="3" s="1"/>
  <c r="BG79" i="3"/>
  <c r="BH78" i="3"/>
  <c r="BB58" i="4" l="1"/>
  <c r="BC57" i="4"/>
  <c r="BC48" i="4"/>
  <c r="BC49" i="4"/>
  <c r="BD41" i="4"/>
  <c r="BD43" i="4" s="1"/>
  <c r="BD44" i="4" s="1"/>
  <c r="BE40" i="4" s="1"/>
  <c r="BE56" i="4"/>
  <c r="BE27" i="4"/>
  <c r="BE20" i="4"/>
  <c r="AZ70" i="4"/>
  <c r="AZ65" i="4"/>
  <c r="AZ73" i="4" s="1"/>
  <c r="BB59" i="4"/>
  <c r="BC54" i="4" s="1"/>
  <c r="BB62" i="4"/>
  <c r="BF42" i="4"/>
  <c r="BB60" i="4"/>
  <c r="AX86" i="4"/>
  <c r="AX87" i="4" s="1"/>
  <c r="AX19" i="4"/>
  <c r="AX22" i="4" s="1"/>
  <c r="BA62" i="4"/>
  <c r="BA60" i="4"/>
  <c r="BH79" i="3"/>
  <c r="AY78" i="4"/>
  <c r="AY79" i="4" s="1"/>
  <c r="AY80" i="4" s="1"/>
  <c r="BQ44" i="3"/>
  <c r="BR40" i="3" s="1"/>
  <c r="BR41" i="3" s="1"/>
  <c r="BR43" i="3" s="1"/>
  <c r="BR44" i="3" s="1"/>
  <c r="BS40" i="3" s="1"/>
  <c r="BP49" i="3"/>
  <c r="BQ45" i="3"/>
  <c r="BP50" i="3"/>
  <c r="BJ70" i="3"/>
  <c r="BQ57" i="3"/>
  <c r="BQ48" i="3"/>
  <c r="BO50" i="3"/>
  <c r="BJ64" i="3"/>
  <c r="BH80" i="3"/>
  <c r="BL55" i="3"/>
  <c r="BL58" i="3" s="1"/>
  <c r="BI77" i="3"/>
  <c r="BI75" i="3"/>
  <c r="BG80" i="3"/>
  <c r="BK63" i="3"/>
  <c r="BK72" i="3"/>
  <c r="AZ77" i="4" l="1"/>
  <c r="AZ74" i="4"/>
  <c r="BA69" i="4" s="1"/>
  <c r="AY84" i="4"/>
  <c r="AY85" i="4"/>
  <c r="AY26" i="4" s="1"/>
  <c r="AY29" i="4" s="1"/>
  <c r="BE71" i="4"/>
  <c r="BE41" i="4"/>
  <c r="BE43" i="4" s="1"/>
  <c r="BD47" i="4"/>
  <c r="BD45" i="4"/>
  <c r="AZ78" i="4"/>
  <c r="AZ79" i="4" s="1"/>
  <c r="AZ80" i="4" s="1"/>
  <c r="BF56" i="4"/>
  <c r="BF27" i="4"/>
  <c r="BF20" i="4"/>
  <c r="AZ75" i="4"/>
  <c r="BK64" i="3"/>
  <c r="BK65" i="3" s="1"/>
  <c r="BA63" i="4"/>
  <c r="BA64" i="4" s="1"/>
  <c r="BA72" i="4"/>
  <c r="BB63" i="4"/>
  <c r="BB64" i="4" s="1"/>
  <c r="BB72" i="4"/>
  <c r="BC50" i="4"/>
  <c r="BA70" i="4"/>
  <c r="BC55" i="4"/>
  <c r="BC58" i="4" s="1"/>
  <c r="BL59" i="3"/>
  <c r="BM54" i="3" s="1"/>
  <c r="BM55" i="3" s="1"/>
  <c r="BM58" i="3" s="1"/>
  <c r="BM59" i="3" s="1"/>
  <c r="BN54" i="3" s="1"/>
  <c r="BI78" i="3"/>
  <c r="BS41" i="3"/>
  <c r="BS43" i="3" s="1"/>
  <c r="BL62" i="3"/>
  <c r="BL60" i="3"/>
  <c r="BH85" i="3"/>
  <c r="BH26" i="3" s="1"/>
  <c r="BH84" i="3"/>
  <c r="BR47" i="3"/>
  <c r="BR45" i="3"/>
  <c r="BJ65" i="3"/>
  <c r="BJ73" i="3" s="1"/>
  <c r="BG85" i="3"/>
  <c r="BG26" i="3" s="1"/>
  <c r="BG84" i="3"/>
  <c r="BQ49" i="3"/>
  <c r="BE44" i="4" l="1"/>
  <c r="BF40" i="4" s="1"/>
  <c r="BD57" i="4"/>
  <c r="BD48" i="4"/>
  <c r="BD49" i="4" s="1"/>
  <c r="BC59" i="4"/>
  <c r="BD54" i="4" s="1"/>
  <c r="BC62" i="4"/>
  <c r="BB65" i="4"/>
  <c r="BE47" i="4"/>
  <c r="BE45" i="4"/>
  <c r="BF71" i="4"/>
  <c r="BA65" i="4"/>
  <c r="BA73" i="4" s="1"/>
  <c r="BA77" i="4" s="1"/>
  <c r="BF41" i="4"/>
  <c r="BF43" i="4" s="1"/>
  <c r="BC60" i="4"/>
  <c r="AZ85" i="4"/>
  <c r="AZ26" i="4" s="1"/>
  <c r="AZ29" i="4" s="1"/>
  <c r="AZ84" i="4"/>
  <c r="AY86" i="4"/>
  <c r="AY87" i="4" s="1"/>
  <c r="AY19" i="4"/>
  <c r="AY22" i="4" s="1"/>
  <c r="BI79" i="3"/>
  <c r="BI80" i="3" s="1"/>
  <c r="BH29" i="3"/>
  <c r="BH33" i="4" s="1"/>
  <c r="BH34" i="4" s="1"/>
  <c r="BG29" i="3"/>
  <c r="BG33" i="4" s="1"/>
  <c r="BG34" i="4" s="1"/>
  <c r="BJ77" i="3"/>
  <c r="BJ75" i="3"/>
  <c r="BJ74" i="3"/>
  <c r="BK69" i="3" s="1"/>
  <c r="BM62" i="3"/>
  <c r="BM60" i="3"/>
  <c r="BL63" i="3"/>
  <c r="BL72" i="3"/>
  <c r="BQ50" i="3"/>
  <c r="BG86" i="3"/>
  <c r="BG87" i="3" s="1"/>
  <c r="BG19" i="3"/>
  <c r="BG22" i="3" s="1"/>
  <c r="BS47" i="3"/>
  <c r="BS45" i="3"/>
  <c r="BR57" i="3"/>
  <c r="BR48" i="3"/>
  <c r="BN55" i="3"/>
  <c r="BN58" i="3" s="1"/>
  <c r="BS44" i="3"/>
  <c r="BT40" i="3" s="1"/>
  <c r="BH86" i="3"/>
  <c r="BH87" i="3" s="1"/>
  <c r="BH19" i="3"/>
  <c r="BH22" i="3" s="1"/>
  <c r="BD55" i="4" l="1"/>
  <c r="BA78" i="4"/>
  <c r="BA79" i="4" s="1"/>
  <c r="BA80" i="4" s="1"/>
  <c r="BA75" i="4"/>
  <c r="BF44" i="4"/>
  <c r="BG40" i="4" s="1"/>
  <c r="BF47" i="4"/>
  <c r="BF45" i="4"/>
  <c r="BD50" i="4"/>
  <c r="BD58" i="4" s="1"/>
  <c r="BE48" i="4"/>
  <c r="BE49" i="4" s="1"/>
  <c r="BE57" i="4"/>
  <c r="BG42" i="4"/>
  <c r="AZ86" i="4"/>
  <c r="AZ87" i="4" s="1"/>
  <c r="AZ19" i="4"/>
  <c r="AZ22" i="4" s="1"/>
  <c r="BH42" i="4"/>
  <c r="BC63" i="4"/>
  <c r="BC64" i="4" s="1"/>
  <c r="BC72" i="4"/>
  <c r="BA74" i="4"/>
  <c r="BB69" i="4" s="1"/>
  <c r="BN62" i="3"/>
  <c r="BN60" i="3"/>
  <c r="BN59" i="3"/>
  <c r="BO54" i="3" s="1"/>
  <c r="BI85" i="3"/>
  <c r="BI26" i="3" s="1"/>
  <c r="BI84" i="3"/>
  <c r="BM63" i="3"/>
  <c r="BM72" i="3"/>
  <c r="BT41" i="3"/>
  <c r="BT43" i="3" s="1"/>
  <c r="BT44" i="3" s="1"/>
  <c r="BU40" i="3" s="1"/>
  <c r="BK70" i="3"/>
  <c r="BS57" i="3"/>
  <c r="BS48" i="3"/>
  <c r="BR49" i="3"/>
  <c r="BL64" i="3"/>
  <c r="BJ78" i="3"/>
  <c r="BD62" i="4" l="1"/>
  <c r="BD60" i="4"/>
  <c r="BD59" i="4"/>
  <c r="BE54" i="4" s="1"/>
  <c r="BE50" i="4"/>
  <c r="BG20" i="4"/>
  <c r="BG56" i="4"/>
  <c r="BG27" i="4"/>
  <c r="BA84" i="4"/>
  <c r="BA85" i="4"/>
  <c r="BA26" i="4" s="1"/>
  <c r="BA29" i="4" s="1"/>
  <c r="BH56" i="4"/>
  <c r="BH27" i="4"/>
  <c r="BH20" i="4"/>
  <c r="BB70" i="4"/>
  <c r="BB73" i="4" s="1"/>
  <c r="BF57" i="4"/>
  <c r="BF48" i="4"/>
  <c r="BF49" i="4" s="1"/>
  <c r="BC65" i="4"/>
  <c r="BG41" i="4"/>
  <c r="BG43" i="4" s="1"/>
  <c r="BM64" i="3"/>
  <c r="BM65" i="3" s="1"/>
  <c r="BI29" i="3"/>
  <c r="BI33" i="4" s="1"/>
  <c r="BI34" i="4" s="1"/>
  <c r="BU41" i="3"/>
  <c r="BU43" i="3" s="1"/>
  <c r="BK73" i="3"/>
  <c r="BI86" i="3"/>
  <c r="BI87" i="3" s="1"/>
  <c r="BI19" i="3"/>
  <c r="BI22" i="3" s="1"/>
  <c r="BO55" i="3"/>
  <c r="BO58" i="3" s="1"/>
  <c r="BL65" i="3"/>
  <c r="BS49" i="3"/>
  <c r="BT47" i="3"/>
  <c r="BT45" i="3"/>
  <c r="BJ79" i="3"/>
  <c r="BR50" i="3"/>
  <c r="BN63" i="3"/>
  <c r="BN72" i="3"/>
  <c r="BB77" i="4" l="1"/>
  <c r="BB75" i="4"/>
  <c r="BB74" i="4"/>
  <c r="BC69" i="4" s="1"/>
  <c r="BF50" i="4"/>
  <c r="BH71" i="4"/>
  <c r="BG71" i="4"/>
  <c r="BN64" i="3"/>
  <c r="BN65" i="3" s="1"/>
  <c r="BA86" i="4"/>
  <c r="BA87" i="4" s="1"/>
  <c r="BA19" i="4"/>
  <c r="BA22" i="4" s="1"/>
  <c r="BE55" i="4"/>
  <c r="BE58" i="4" s="1"/>
  <c r="BG44" i="4"/>
  <c r="BH40" i="4" s="1"/>
  <c r="BG47" i="4"/>
  <c r="BI42" i="4"/>
  <c r="BG45" i="4"/>
  <c r="BD63" i="4"/>
  <c r="BD64" i="4" s="1"/>
  <c r="BD72" i="4"/>
  <c r="BU47" i="3"/>
  <c r="BU45" i="3"/>
  <c r="BO62" i="3"/>
  <c r="BO60" i="3"/>
  <c r="BS50" i="3"/>
  <c r="BO59" i="3"/>
  <c r="BP54" i="3" s="1"/>
  <c r="BT57" i="3"/>
  <c r="BT48" i="3"/>
  <c r="BU44" i="3"/>
  <c r="BV40" i="3" s="1"/>
  <c r="BJ80" i="3"/>
  <c r="BK77" i="3"/>
  <c r="BK75" i="3"/>
  <c r="BK74" i="3"/>
  <c r="BL69" i="3" s="1"/>
  <c r="BI56" i="4" l="1"/>
  <c r="BI27" i="4"/>
  <c r="BI20" i="4"/>
  <c r="BG48" i="4"/>
  <c r="BG49" i="4" s="1"/>
  <c r="BG57" i="4"/>
  <c r="BC70" i="4"/>
  <c r="BC73" i="4" s="1"/>
  <c r="BC74" i="4" s="1"/>
  <c r="BD69" i="4" s="1"/>
  <c r="BD65" i="4"/>
  <c r="BH41" i="4"/>
  <c r="BH43" i="4" s="1"/>
  <c r="BE62" i="4"/>
  <c r="BE60" i="4"/>
  <c r="BE59" i="4"/>
  <c r="BF54" i="4" s="1"/>
  <c r="BB78" i="4"/>
  <c r="BB79" i="4" s="1"/>
  <c r="BB80" i="4" s="1"/>
  <c r="BT49" i="3"/>
  <c r="BT50" i="3" s="1"/>
  <c r="BV41" i="3"/>
  <c r="BV43" i="3" s="1"/>
  <c r="BK78" i="3"/>
  <c r="BP55" i="3"/>
  <c r="BP58" i="3" s="1"/>
  <c r="BP59" i="3" s="1"/>
  <c r="BQ54" i="3" s="1"/>
  <c r="BJ85" i="3"/>
  <c r="BJ26" i="3" s="1"/>
  <c r="BJ84" i="3"/>
  <c r="BO63" i="3"/>
  <c r="BO72" i="3"/>
  <c r="BL70" i="3"/>
  <c r="BL73" i="3" s="1"/>
  <c r="BU57" i="3"/>
  <c r="BU48" i="3"/>
  <c r="BD70" i="4" l="1"/>
  <c r="BD73" i="4" s="1"/>
  <c r="BH47" i="4"/>
  <c r="BH45" i="4"/>
  <c r="BB85" i="4"/>
  <c r="BB26" i="4" s="1"/>
  <c r="BB29" i="4" s="1"/>
  <c r="BB84" i="4"/>
  <c r="BG50" i="4"/>
  <c r="BF55" i="4"/>
  <c r="BF58" i="4" s="1"/>
  <c r="BE63" i="4"/>
  <c r="BE64" i="4" s="1"/>
  <c r="BE72" i="4"/>
  <c r="BC77" i="4"/>
  <c r="BC75" i="4"/>
  <c r="BH44" i="4"/>
  <c r="BI40" i="4" s="1"/>
  <c r="BI71" i="4"/>
  <c r="BK79" i="3"/>
  <c r="BK80" i="3" s="1"/>
  <c r="BU49" i="3"/>
  <c r="BU50" i="3" s="1"/>
  <c r="BO64" i="3"/>
  <c r="BO65" i="3" s="1"/>
  <c r="BJ29" i="3"/>
  <c r="BJ33" i="4" s="1"/>
  <c r="BJ34" i="4" s="1"/>
  <c r="BV47" i="3"/>
  <c r="BV45" i="3"/>
  <c r="BL77" i="3"/>
  <c r="BL75" i="3"/>
  <c r="BV44" i="3"/>
  <c r="BW40" i="3" s="1"/>
  <c r="BJ86" i="3"/>
  <c r="BJ87" i="3" s="1"/>
  <c r="BJ19" i="3"/>
  <c r="BJ22" i="3" s="1"/>
  <c r="BL74" i="3"/>
  <c r="BM69" i="3" s="1"/>
  <c r="BQ55" i="3"/>
  <c r="BQ58" i="3" s="1"/>
  <c r="BP62" i="3"/>
  <c r="BP60" i="3"/>
  <c r="BF59" i="4" l="1"/>
  <c r="BG54" i="4" s="1"/>
  <c r="BE65" i="4"/>
  <c r="BB86" i="4"/>
  <c r="BB87" i="4" s="1"/>
  <c r="BB19" i="4"/>
  <c r="BB22" i="4" s="1"/>
  <c r="BI41" i="4"/>
  <c r="BI43" i="4" s="1"/>
  <c r="BJ42" i="4"/>
  <c r="BG55" i="4"/>
  <c r="BG58" i="4" s="1"/>
  <c r="BH48" i="4"/>
  <c r="BH49" i="4" s="1"/>
  <c r="BH57" i="4"/>
  <c r="BF62" i="4"/>
  <c r="BF60" i="4"/>
  <c r="BD74" i="4"/>
  <c r="BE69" i="4" s="1"/>
  <c r="BC78" i="4"/>
  <c r="BC79" i="4" s="1"/>
  <c r="BC80" i="4" s="1"/>
  <c r="BD77" i="4"/>
  <c r="BD75" i="4"/>
  <c r="BQ62" i="3"/>
  <c r="BQ60" i="3"/>
  <c r="BQ59" i="3"/>
  <c r="BR54" i="3" s="1"/>
  <c r="BV57" i="3"/>
  <c r="BV48" i="3"/>
  <c r="BP63" i="3"/>
  <c r="BP72" i="3"/>
  <c r="BL78" i="3"/>
  <c r="BM70" i="3"/>
  <c r="BM73" i="3" s="1"/>
  <c r="BK85" i="3"/>
  <c r="BK26" i="3" s="1"/>
  <c r="BK84" i="3"/>
  <c r="BW41" i="3"/>
  <c r="BW43" i="3" s="1"/>
  <c r="BI47" i="4" l="1"/>
  <c r="BI45" i="4"/>
  <c r="BI44" i="4"/>
  <c r="BJ40" i="4" s="1"/>
  <c r="BH50" i="4"/>
  <c r="BG62" i="4"/>
  <c r="BG60" i="4"/>
  <c r="BP64" i="3"/>
  <c r="BG59" i="4"/>
  <c r="BH54" i="4" s="1"/>
  <c r="BF63" i="4"/>
  <c r="BF64" i="4" s="1"/>
  <c r="BF72" i="4"/>
  <c r="BC84" i="4"/>
  <c r="BC85" i="4"/>
  <c r="BC26" i="4" s="1"/>
  <c r="BC29" i="4" s="1"/>
  <c r="BE70" i="4"/>
  <c r="BE73" i="4" s="1"/>
  <c r="BD78" i="4"/>
  <c r="BD79" i="4" s="1"/>
  <c r="BD80" i="4" s="1"/>
  <c r="BJ20" i="4"/>
  <c r="BJ56" i="4"/>
  <c r="BJ27" i="4"/>
  <c r="BK29" i="3"/>
  <c r="BK33" i="4" s="1"/>
  <c r="BK34" i="4" s="1"/>
  <c r="BM77" i="3"/>
  <c r="BM75" i="3"/>
  <c r="BW47" i="3"/>
  <c r="BW45" i="3"/>
  <c r="BR55" i="3"/>
  <c r="BR58" i="3" s="1"/>
  <c r="BR59" i="3" s="1"/>
  <c r="BS54" i="3" s="1"/>
  <c r="BL79" i="3"/>
  <c r="BK86" i="3"/>
  <c r="BK87" i="3" s="1"/>
  <c r="BK19" i="3"/>
  <c r="BK22" i="3" s="1"/>
  <c r="BM74" i="3"/>
  <c r="BN69" i="3" s="1"/>
  <c r="BP65" i="3"/>
  <c r="BW44" i="3"/>
  <c r="BX40" i="3" s="1"/>
  <c r="BV49" i="3"/>
  <c r="BQ63" i="3"/>
  <c r="BQ72" i="3"/>
  <c r="BE77" i="4" l="1"/>
  <c r="BE75" i="4"/>
  <c r="BE74" i="4"/>
  <c r="BF69" i="4" s="1"/>
  <c r="BD85" i="4"/>
  <c r="BD26" i="4" s="1"/>
  <c r="BD29" i="4" s="1"/>
  <c r="BD84" i="4"/>
  <c r="BF65" i="4"/>
  <c r="BH55" i="4"/>
  <c r="BH58" i="4" s="1"/>
  <c r="BJ71" i="4"/>
  <c r="BJ41" i="4"/>
  <c r="BJ43" i="4" s="1"/>
  <c r="BK42" i="4"/>
  <c r="BC86" i="4"/>
  <c r="BC87" i="4" s="1"/>
  <c r="BC19" i="4"/>
  <c r="BC22" i="4" s="1"/>
  <c r="BG63" i="4"/>
  <c r="BG64" i="4" s="1"/>
  <c r="BG72" i="4"/>
  <c r="BI57" i="4"/>
  <c r="BI48" i="4"/>
  <c r="BI49" i="4" s="1"/>
  <c r="BS55" i="3"/>
  <c r="BS58" i="3" s="1"/>
  <c r="BS59" i="3" s="1"/>
  <c r="BT54" i="3" s="1"/>
  <c r="BQ64" i="3"/>
  <c r="BW57" i="3"/>
  <c r="BW48" i="3"/>
  <c r="BN70" i="3"/>
  <c r="BN73" i="3" s="1"/>
  <c r="BX41" i="3"/>
  <c r="BX43" i="3" s="1"/>
  <c r="BL80" i="3"/>
  <c r="BR62" i="3"/>
  <c r="BR60" i="3"/>
  <c r="BV50" i="3"/>
  <c r="BM78" i="3"/>
  <c r="BK27" i="4" l="1"/>
  <c r="BK56" i="4"/>
  <c r="BK20" i="4"/>
  <c r="BJ44" i="4"/>
  <c r="BK40" i="4" s="1"/>
  <c r="BD86" i="4"/>
  <c r="BD87" i="4" s="1"/>
  <c r="BD19" i="4"/>
  <c r="BD22" i="4" s="1"/>
  <c r="BJ47" i="4"/>
  <c r="BJ45" i="4"/>
  <c r="BI50" i="4"/>
  <c r="BG65" i="4"/>
  <c r="BF70" i="4"/>
  <c r="BF73" i="4" s="1"/>
  <c r="BH59" i="4"/>
  <c r="BI54" i="4" s="1"/>
  <c r="BH62" i="4"/>
  <c r="BH60" i="4"/>
  <c r="BE78" i="4"/>
  <c r="BE79" i="4" s="1"/>
  <c r="BE80" i="4" s="1"/>
  <c r="BW49" i="3"/>
  <c r="BW50" i="3" s="1"/>
  <c r="BN77" i="3"/>
  <c r="BN75" i="3"/>
  <c r="BN74" i="3"/>
  <c r="BO69" i="3" s="1"/>
  <c r="BQ65" i="3"/>
  <c r="BR63" i="3"/>
  <c r="BR72" i="3"/>
  <c r="BT55" i="3"/>
  <c r="BT58" i="3" s="1"/>
  <c r="BX47" i="3"/>
  <c r="BX45" i="3"/>
  <c r="BL85" i="3"/>
  <c r="BL26" i="3" s="1"/>
  <c r="BL84" i="3"/>
  <c r="BS62" i="3"/>
  <c r="BS60" i="3"/>
  <c r="BX44" i="3"/>
  <c r="BY40" i="3" s="1"/>
  <c r="BM79" i="3"/>
  <c r="BE85" i="4" l="1"/>
  <c r="BE26" i="4" s="1"/>
  <c r="BE29" i="4" s="1"/>
  <c r="BE84" i="4"/>
  <c r="BK41" i="4"/>
  <c r="BK43" i="4" s="1"/>
  <c r="BH63" i="4"/>
  <c r="BH64" i="4" s="1"/>
  <c r="BH72" i="4"/>
  <c r="BI55" i="4"/>
  <c r="BI58" i="4" s="1"/>
  <c r="BF77" i="4"/>
  <c r="BF75" i="4"/>
  <c r="BK71" i="4"/>
  <c r="BF74" i="4"/>
  <c r="BG69" i="4" s="1"/>
  <c r="BJ57" i="4"/>
  <c r="BJ48" i="4"/>
  <c r="BJ49" i="4" s="1"/>
  <c r="BL29" i="3"/>
  <c r="BL33" i="4" s="1"/>
  <c r="BL34" i="4" s="1"/>
  <c r="BR64" i="3"/>
  <c r="BR65" i="3" s="1"/>
  <c r="BT62" i="3"/>
  <c r="BT60" i="3"/>
  <c r="BM80" i="3"/>
  <c r="BO70" i="3"/>
  <c r="BL86" i="3"/>
  <c r="BL87" i="3" s="1"/>
  <c r="BL19" i="3"/>
  <c r="BL22" i="3" s="1"/>
  <c r="BY41" i="3"/>
  <c r="BX57" i="3"/>
  <c r="BX48" i="3"/>
  <c r="BT59" i="3"/>
  <c r="BU54" i="3" s="1"/>
  <c r="BS63" i="3"/>
  <c r="BS72" i="3"/>
  <c r="BN78" i="3"/>
  <c r="BI59" i="4" l="1"/>
  <c r="BJ54" i="4" s="1"/>
  <c r="BH65" i="4"/>
  <c r="BK47" i="4"/>
  <c r="BK45" i="4"/>
  <c r="BK44" i="4"/>
  <c r="BL40" i="4" s="1"/>
  <c r="BL42" i="4"/>
  <c r="BN79" i="3"/>
  <c r="BN80" i="3" s="1"/>
  <c r="BF78" i="4"/>
  <c r="BF79" i="4" s="1"/>
  <c r="BF80" i="4" s="1"/>
  <c r="BJ50" i="4"/>
  <c r="BJ55" i="4"/>
  <c r="BI62" i="4"/>
  <c r="BI60" i="4"/>
  <c r="BE86" i="4"/>
  <c r="BE87" i="4" s="1"/>
  <c r="BE19" i="4"/>
  <c r="BE22" i="4" s="1"/>
  <c r="BG70" i="4"/>
  <c r="BG73" i="4" s="1"/>
  <c r="BG74" i="4" s="1"/>
  <c r="BH69" i="4" s="1"/>
  <c r="BU55" i="3"/>
  <c r="BU58" i="3" s="1"/>
  <c r="BU59" i="3" s="1"/>
  <c r="BV54" i="3" s="1"/>
  <c r="BY43" i="3"/>
  <c r="BX49" i="3"/>
  <c r="BO73" i="3"/>
  <c r="BO74" i="3" s="1"/>
  <c r="BP69" i="3" s="1"/>
  <c r="BM84" i="3"/>
  <c r="BM85" i="3"/>
  <c r="BM26" i="3" s="1"/>
  <c r="BS64" i="3"/>
  <c r="BT63" i="3"/>
  <c r="BT72" i="3"/>
  <c r="BI63" i="4" l="1"/>
  <c r="BI64" i="4" s="1"/>
  <c r="BI72" i="4"/>
  <c r="BL56" i="4"/>
  <c r="BL20" i="4"/>
  <c r="BL27" i="4"/>
  <c r="BT64" i="3"/>
  <c r="BT65" i="3" s="1"/>
  <c r="BL41" i="4"/>
  <c r="BL43" i="4" s="1"/>
  <c r="BL47" i="4" s="1"/>
  <c r="BF85" i="4"/>
  <c r="BF26" i="4" s="1"/>
  <c r="BF29" i="4" s="1"/>
  <c r="BF84" i="4"/>
  <c r="BH70" i="4"/>
  <c r="BH73" i="4" s="1"/>
  <c r="BG77" i="4"/>
  <c r="BG75" i="4"/>
  <c r="BJ58" i="4"/>
  <c r="BK57" i="4"/>
  <c r="BK48" i="4"/>
  <c r="BK49" i="4" s="1"/>
  <c r="BM29" i="3"/>
  <c r="BM33" i="4" s="1"/>
  <c r="BM34" i="4" s="1"/>
  <c r="BP70" i="3"/>
  <c r="BP73" i="3" s="1"/>
  <c r="BY47" i="3"/>
  <c r="BY45" i="3"/>
  <c r="BU62" i="3"/>
  <c r="BU60" i="3"/>
  <c r="BN85" i="3"/>
  <c r="BN26" i="3" s="1"/>
  <c r="BN84" i="3"/>
  <c r="BV55" i="3"/>
  <c r="BM86" i="3"/>
  <c r="BM87" i="3" s="1"/>
  <c r="BM19" i="3"/>
  <c r="BM22" i="3" s="1"/>
  <c r="BO77" i="3"/>
  <c r="BO75" i="3"/>
  <c r="BS65" i="3"/>
  <c r="BX50" i="3"/>
  <c r="BY44" i="3"/>
  <c r="BZ40" i="3" s="1"/>
  <c r="BH74" i="4" l="1"/>
  <c r="BI69" i="4" s="1"/>
  <c r="BL45" i="4"/>
  <c r="BI70" i="4"/>
  <c r="BK50" i="4"/>
  <c r="BH77" i="4"/>
  <c r="BH75" i="4"/>
  <c r="BL71" i="4"/>
  <c r="BF86" i="4"/>
  <c r="BF87" i="4" s="1"/>
  <c r="BF19" i="4"/>
  <c r="BF22" i="4" s="1"/>
  <c r="BJ62" i="4"/>
  <c r="BJ60" i="4"/>
  <c r="BL44" i="4"/>
  <c r="BM40" i="4" s="1"/>
  <c r="BL48" i="4"/>
  <c r="BL49" i="4" s="1"/>
  <c r="BL57" i="4"/>
  <c r="BG78" i="4"/>
  <c r="BG79" i="4"/>
  <c r="BG80" i="4" s="1"/>
  <c r="BI65" i="4"/>
  <c r="BM42" i="4"/>
  <c r="BJ59" i="4"/>
  <c r="BK54" i="4" s="1"/>
  <c r="BN29" i="3"/>
  <c r="BN33" i="4" s="1"/>
  <c r="BN34" i="4" s="1"/>
  <c r="BP77" i="3"/>
  <c r="BP75" i="3"/>
  <c r="BP74" i="3"/>
  <c r="BQ69" i="3" s="1"/>
  <c r="BV58" i="3"/>
  <c r="BY57" i="3"/>
  <c r="BY48" i="3"/>
  <c r="BU63" i="3"/>
  <c r="BU72" i="3"/>
  <c r="BN86" i="3"/>
  <c r="BN87" i="3" s="1"/>
  <c r="BN19" i="3"/>
  <c r="BN22" i="3" s="1"/>
  <c r="BO78" i="3"/>
  <c r="BZ41" i="3"/>
  <c r="BZ43" i="3" s="1"/>
  <c r="BL50" i="4" l="1"/>
  <c r="BK55" i="4"/>
  <c r="BK58" i="4" s="1"/>
  <c r="BM41" i="4"/>
  <c r="BM43" i="4" s="1"/>
  <c r="BM47" i="4" s="1"/>
  <c r="BN42" i="4"/>
  <c r="BH78" i="4"/>
  <c r="BH79" i="4" s="1"/>
  <c r="BH80" i="4" s="1"/>
  <c r="BJ63" i="4"/>
  <c r="BJ64" i="4" s="1"/>
  <c r="BJ72" i="4"/>
  <c r="BG85" i="4"/>
  <c r="BG26" i="4" s="1"/>
  <c r="BG29" i="4" s="1"/>
  <c r="BG84" i="4"/>
  <c r="BM27" i="4"/>
  <c r="BM56" i="4"/>
  <c r="BM20" i="4"/>
  <c r="BI73" i="4"/>
  <c r="BZ47" i="3"/>
  <c r="BZ45" i="3"/>
  <c r="BZ44" i="3"/>
  <c r="CA40" i="3" s="1"/>
  <c r="BU64" i="3"/>
  <c r="BP78" i="3"/>
  <c r="BV62" i="3"/>
  <c r="BV60" i="3"/>
  <c r="BQ70" i="3"/>
  <c r="BQ73" i="3" s="1"/>
  <c r="BO79" i="3"/>
  <c r="BY49" i="3"/>
  <c r="BV59" i="3"/>
  <c r="BW54" i="3" s="1"/>
  <c r="BM44" i="4" l="1"/>
  <c r="BN40" i="4" s="1"/>
  <c r="BN41" i="4" s="1"/>
  <c r="BN43" i="4" s="1"/>
  <c r="BH84" i="4"/>
  <c r="BH85" i="4"/>
  <c r="BH26" i="4" s="1"/>
  <c r="BH29" i="4" s="1"/>
  <c r="BK59" i="4"/>
  <c r="BL54" i="4" s="1"/>
  <c r="BK62" i="4"/>
  <c r="BK60" i="4"/>
  <c r="BM57" i="4"/>
  <c r="BM48" i="4"/>
  <c r="BM49" i="4" s="1"/>
  <c r="BI77" i="4"/>
  <c r="BI74" i="4"/>
  <c r="BJ69" i="4" s="1"/>
  <c r="BI75" i="4"/>
  <c r="BG86" i="4"/>
  <c r="BG87" i="4" s="1"/>
  <c r="BG19" i="4"/>
  <c r="BG22" i="4" s="1"/>
  <c r="BM45" i="4"/>
  <c r="BJ65" i="4"/>
  <c r="BN20" i="4"/>
  <c r="BN56" i="4"/>
  <c r="BN27" i="4"/>
  <c r="BM71" i="4"/>
  <c r="BQ77" i="3"/>
  <c r="BQ75" i="3"/>
  <c r="BQ74" i="3"/>
  <c r="BR69" i="3" s="1"/>
  <c r="BU65" i="3"/>
  <c r="BV63" i="3"/>
  <c r="BV72" i="3"/>
  <c r="BZ57" i="3"/>
  <c r="BZ48" i="3"/>
  <c r="BW55" i="3"/>
  <c r="BW58" i="3" s="1"/>
  <c r="CA41" i="3"/>
  <c r="CA43" i="3" s="1"/>
  <c r="CA44" i="3" s="1"/>
  <c r="CB40" i="3" s="1"/>
  <c r="BY50" i="3"/>
  <c r="BO80" i="3"/>
  <c r="BP79" i="3"/>
  <c r="BN47" i="4" l="1"/>
  <c r="BN45" i="4"/>
  <c r="BK63" i="4"/>
  <c r="BK64" i="4" s="1"/>
  <c r="BK72" i="4"/>
  <c r="BJ70" i="4"/>
  <c r="BJ73" i="4" s="1"/>
  <c r="BL55" i="4"/>
  <c r="BL58" i="4" s="1"/>
  <c r="BI78" i="4"/>
  <c r="BI79" i="4"/>
  <c r="BI80" i="4" s="1"/>
  <c r="BV64" i="3"/>
  <c r="BV65" i="3" s="1"/>
  <c r="BH86" i="4"/>
  <c r="BH87" i="4" s="1"/>
  <c r="BH19" i="4"/>
  <c r="BH22" i="4" s="1"/>
  <c r="BN71" i="4"/>
  <c r="BN44" i="4"/>
  <c r="BO40" i="4" s="1"/>
  <c r="BM50" i="4"/>
  <c r="BN57" i="4"/>
  <c r="BN48" i="4"/>
  <c r="BN49" i="4" s="1"/>
  <c r="CB41" i="3"/>
  <c r="CB43" i="3" s="1"/>
  <c r="CB44" i="3" s="1"/>
  <c r="CC40" i="3" s="1"/>
  <c r="BW62" i="3"/>
  <c r="BW60" i="3"/>
  <c r="BW59" i="3"/>
  <c r="BX54" i="3" s="1"/>
  <c r="BR70" i="3"/>
  <c r="BR73" i="3" s="1"/>
  <c r="BP80" i="3"/>
  <c r="BO84" i="3"/>
  <c r="BO85" i="3"/>
  <c r="BO26" i="3" s="1"/>
  <c r="CA47" i="3"/>
  <c r="CA45" i="3"/>
  <c r="BZ49" i="3"/>
  <c r="BQ78" i="3"/>
  <c r="BJ74" i="4" l="1"/>
  <c r="BK69" i="4" s="1"/>
  <c r="BJ77" i="4"/>
  <c r="BJ75" i="4"/>
  <c r="BK65" i="4"/>
  <c r="BO41" i="4"/>
  <c r="BI84" i="4"/>
  <c r="BI85" i="4"/>
  <c r="BI26" i="4" s="1"/>
  <c r="BI29" i="4" s="1"/>
  <c r="BN50" i="4"/>
  <c r="BL62" i="4"/>
  <c r="BL60" i="4"/>
  <c r="BL59" i="4"/>
  <c r="BM54" i="4" s="1"/>
  <c r="BO29" i="3"/>
  <c r="BO33" i="4" s="1"/>
  <c r="BO34" i="4" s="1"/>
  <c r="BR77" i="3"/>
  <c r="BR75" i="3"/>
  <c r="BP84" i="3"/>
  <c r="BP85" i="3"/>
  <c r="BP26" i="3" s="1"/>
  <c r="BR74" i="3"/>
  <c r="BS69" i="3" s="1"/>
  <c r="CA48" i="3"/>
  <c r="CA57" i="3"/>
  <c r="BW63" i="3"/>
  <c r="BW72" i="3"/>
  <c r="BZ50" i="3"/>
  <c r="CC41" i="3"/>
  <c r="CC43" i="3" s="1"/>
  <c r="CC44" i="3" s="1"/>
  <c r="CD40" i="3" s="1"/>
  <c r="BO86" i="3"/>
  <c r="BO87" i="3" s="1"/>
  <c r="BO19" i="3"/>
  <c r="BO22" i="3" s="1"/>
  <c r="CB47" i="3"/>
  <c r="CB45" i="3"/>
  <c r="BX55" i="3"/>
  <c r="BX58" i="3" s="1"/>
  <c r="BX59" i="3" s="1"/>
  <c r="BY54" i="3" s="1"/>
  <c r="BQ79" i="3"/>
  <c r="BO43" i="4" l="1"/>
  <c r="BO47" i="4" s="1"/>
  <c r="BO48" i="4" s="1"/>
  <c r="BO49" i="4" s="1"/>
  <c r="BO50" i="4" s="1"/>
  <c r="BO42" i="4"/>
  <c r="BL63" i="4"/>
  <c r="BL64" i="4" s="1"/>
  <c r="BL72" i="4"/>
  <c r="BI86" i="4"/>
  <c r="BI87" i="4" s="1"/>
  <c r="BI19" i="4"/>
  <c r="BI22" i="4" s="1"/>
  <c r="BJ78" i="4"/>
  <c r="BJ79" i="4" s="1"/>
  <c r="BJ80" i="4" s="1"/>
  <c r="BM55" i="4"/>
  <c r="BM58" i="4" s="1"/>
  <c r="BO44" i="4"/>
  <c r="BP40" i="4" s="1"/>
  <c r="BK70" i="4"/>
  <c r="BK73" i="4" s="1"/>
  <c r="BP29" i="3"/>
  <c r="BP33" i="4" s="1"/>
  <c r="BP34" i="4" s="1"/>
  <c r="BW64" i="3"/>
  <c r="BW65" i="3" s="1"/>
  <c r="CA49" i="3"/>
  <c r="CA50" i="3" s="1"/>
  <c r="BY55" i="3"/>
  <c r="BY58" i="3" s="1"/>
  <c r="BY59" i="3" s="1"/>
  <c r="BZ54" i="3" s="1"/>
  <c r="CB57" i="3"/>
  <c r="CB48" i="3"/>
  <c r="BS70" i="3"/>
  <c r="BS73" i="3" s="1"/>
  <c r="BQ80" i="3"/>
  <c r="BP86" i="3"/>
  <c r="BP87" i="3" s="1"/>
  <c r="BP19" i="3"/>
  <c r="BP22" i="3" s="1"/>
  <c r="BX62" i="3"/>
  <c r="BX60" i="3"/>
  <c r="CD41" i="3"/>
  <c r="CD43" i="3" s="1"/>
  <c r="CC47" i="3"/>
  <c r="CC45" i="3"/>
  <c r="BR78" i="3"/>
  <c r="BO57" i="4" l="1"/>
  <c r="BM62" i="4"/>
  <c r="BM60" i="4"/>
  <c r="BM59" i="4"/>
  <c r="BN54" i="4" s="1"/>
  <c r="BJ84" i="4"/>
  <c r="BJ85" i="4"/>
  <c r="BJ26" i="4" s="1"/>
  <c r="BJ29" i="4" s="1"/>
  <c r="BK77" i="4"/>
  <c r="BK75" i="4"/>
  <c r="BP41" i="4"/>
  <c r="BP43" i="4" s="1"/>
  <c r="BO20" i="4"/>
  <c r="BO56" i="4"/>
  <c r="BO27" i="4"/>
  <c r="BO45" i="4"/>
  <c r="BK74" i="4"/>
  <c r="BL69" i="4" s="1"/>
  <c r="BP42" i="4"/>
  <c r="BL65" i="4"/>
  <c r="BR79" i="3"/>
  <c r="BR80" i="3" s="1"/>
  <c r="BS77" i="3"/>
  <c r="BS75" i="3"/>
  <c r="BS74" i="3"/>
  <c r="BT69" i="3" s="1"/>
  <c r="CC57" i="3"/>
  <c r="CC48" i="3"/>
  <c r="CD47" i="3"/>
  <c r="CD45" i="3"/>
  <c r="CB49" i="3"/>
  <c r="CD44" i="3"/>
  <c r="CE40" i="3" s="1"/>
  <c r="BX63" i="3"/>
  <c r="BX72" i="3"/>
  <c r="BZ55" i="3"/>
  <c r="BY62" i="3"/>
  <c r="BY60" i="3"/>
  <c r="BQ84" i="3"/>
  <c r="BQ85" i="3"/>
  <c r="BQ26" i="3" s="1"/>
  <c r="BP44" i="4" l="1"/>
  <c r="BQ40" i="4" s="1"/>
  <c r="BP47" i="4"/>
  <c r="BK78" i="4"/>
  <c r="BK79" i="4" s="1"/>
  <c r="BK80" i="4" s="1"/>
  <c r="BJ86" i="4"/>
  <c r="BJ87" i="4" s="1"/>
  <c r="BJ19" i="4"/>
  <c r="BJ22" i="4" s="1"/>
  <c r="BL70" i="4"/>
  <c r="BL73" i="4" s="1"/>
  <c r="BO71" i="4"/>
  <c r="BN55" i="4"/>
  <c r="BN58" i="4" s="1"/>
  <c r="BN59" i="4" s="1"/>
  <c r="BO54" i="4" s="1"/>
  <c r="BP27" i="4"/>
  <c r="BP56" i="4"/>
  <c r="BP20" i="4"/>
  <c r="BP45" i="4"/>
  <c r="BM63" i="4"/>
  <c r="BM64" i="4" s="1"/>
  <c r="BM72" i="4"/>
  <c r="BX64" i="3"/>
  <c r="BX65" i="3" s="1"/>
  <c r="CC49" i="3"/>
  <c r="CC50" i="3" s="1"/>
  <c r="BQ29" i="3"/>
  <c r="BQ33" i="4" s="1"/>
  <c r="BQ34" i="4" s="1"/>
  <c r="BZ58" i="3"/>
  <c r="BZ59" i="3" s="1"/>
  <c r="CA54" i="3" s="1"/>
  <c r="CA55" i="3" s="1"/>
  <c r="CA58" i="3" s="1"/>
  <c r="CE41" i="3"/>
  <c r="CE43" i="3" s="1"/>
  <c r="CB50" i="3"/>
  <c r="BQ86" i="3"/>
  <c r="BQ87" i="3" s="1"/>
  <c r="BQ19" i="3"/>
  <c r="BQ22" i="3" s="1"/>
  <c r="BT70" i="3"/>
  <c r="BT73" i="3" s="1"/>
  <c r="CD57" i="3"/>
  <c r="CD48" i="3"/>
  <c r="BY63" i="3"/>
  <c r="BY64" i="3" s="1"/>
  <c r="BY72" i="3"/>
  <c r="BR84" i="3"/>
  <c r="BR85" i="3"/>
  <c r="BR26" i="3" s="1"/>
  <c r="BS78" i="3"/>
  <c r="BL77" i="4" l="1"/>
  <c r="BL75" i="4"/>
  <c r="BO55" i="4"/>
  <c r="BO58" i="4" s="1"/>
  <c r="BO59" i="4" s="1"/>
  <c r="BP54" i="4" s="1"/>
  <c r="BN62" i="4"/>
  <c r="BN60" i="4"/>
  <c r="BM65" i="4"/>
  <c r="BK84" i="4"/>
  <c r="BK85" i="4"/>
  <c r="BK26" i="4" s="1"/>
  <c r="BK29" i="4" s="1"/>
  <c r="BQ42" i="4"/>
  <c r="BP71" i="4"/>
  <c r="BL74" i="4"/>
  <c r="BM69" i="4" s="1"/>
  <c r="BP57" i="4"/>
  <c r="BP48" i="4"/>
  <c r="BP49" i="4" s="1"/>
  <c r="BQ41" i="4"/>
  <c r="BQ43" i="4" s="1"/>
  <c r="BQ47" i="4" s="1"/>
  <c r="BS79" i="3"/>
  <c r="BS80" i="3" s="1"/>
  <c r="BZ62" i="3"/>
  <c r="BZ72" i="3" s="1"/>
  <c r="BZ60" i="3"/>
  <c r="BR29" i="3"/>
  <c r="BR33" i="4" s="1"/>
  <c r="BR34" i="4" s="1"/>
  <c r="BT74" i="3"/>
  <c r="BU69" i="3" s="1"/>
  <c r="BU70" i="3" s="1"/>
  <c r="BU73" i="3" s="1"/>
  <c r="CA62" i="3"/>
  <c r="CA60" i="3"/>
  <c r="CE47" i="3"/>
  <c r="CE45" i="3"/>
  <c r="BY65" i="3"/>
  <c r="BT77" i="3"/>
  <c r="BT75" i="3"/>
  <c r="CA59" i="3"/>
  <c r="CB54" i="3" s="1"/>
  <c r="CE44" i="3"/>
  <c r="CF40" i="3" s="1"/>
  <c r="BR86" i="3"/>
  <c r="BR87" i="3" s="1"/>
  <c r="BR19" i="3"/>
  <c r="BR22" i="3" s="1"/>
  <c r="CD49" i="3"/>
  <c r="BZ63" i="3" l="1"/>
  <c r="BP50" i="4"/>
  <c r="BQ48" i="4"/>
  <c r="BQ57" i="4"/>
  <c r="BQ49" i="4"/>
  <c r="BP55" i="4"/>
  <c r="BQ44" i="4"/>
  <c r="BR40" i="4" s="1"/>
  <c r="BQ20" i="4"/>
  <c r="BQ56" i="4"/>
  <c r="BQ27" i="4"/>
  <c r="BQ45" i="4"/>
  <c r="BM70" i="4"/>
  <c r="BM73" i="4" s="1"/>
  <c r="BM74" i="4" s="1"/>
  <c r="BN69" i="4" s="1"/>
  <c r="BN70" i="4" s="1"/>
  <c r="BN63" i="4"/>
  <c r="BN64" i="4" s="1"/>
  <c r="BN72" i="4"/>
  <c r="BO62" i="4"/>
  <c r="BO60" i="4"/>
  <c r="BR42" i="4"/>
  <c r="BK86" i="4"/>
  <c r="BK87" i="4" s="1"/>
  <c r="BK19" i="4"/>
  <c r="BK22" i="4" s="1"/>
  <c r="BL78" i="4"/>
  <c r="BL79" i="4" s="1"/>
  <c r="BL80" i="4" s="1"/>
  <c r="BU77" i="3"/>
  <c r="BU75" i="3"/>
  <c r="BU74" i="3"/>
  <c r="BV69" i="3" s="1"/>
  <c r="CB55" i="3"/>
  <c r="CB58" i="3" s="1"/>
  <c r="BT78" i="3"/>
  <c r="CE57" i="3"/>
  <c r="CE48" i="3"/>
  <c r="CF41" i="3"/>
  <c r="CF43" i="3" s="1"/>
  <c r="BZ64" i="3"/>
  <c r="BS85" i="3"/>
  <c r="BS26" i="3" s="1"/>
  <c r="BS84" i="3"/>
  <c r="CD50" i="3"/>
  <c r="CA63" i="3"/>
  <c r="CA72" i="3"/>
  <c r="BL85" i="4" l="1"/>
  <c r="BL26" i="4" s="1"/>
  <c r="BL29" i="4" s="1"/>
  <c r="BL84" i="4"/>
  <c r="BR56" i="4"/>
  <c r="BR20" i="4"/>
  <c r="BR27" i="4"/>
  <c r="BO63" i="4"/>
  <c r="BO64" i="4" s="1"/>
  <c r="BO72" i="4"/>
  <c r="BQ71" i="4"/>
  <c r="BQ50" i="4"/>
  <c r="BR41" i="4"/>
  <c r="BR43" i="4" s="1"/>
  <c r="BR47" i="4" s="1"/>
  <c r="BN65" i="4"/>
  <c r="BN73" i="4" s="1"/>
  <c r="BP58" i="4"/>
  <c r="BM77" i="4"/>
  <c r="BM75" i="4"/>
  <c r="CE49" i="3"/>
  <c r="CE50" i="3" s="1"/>
  <c r="BT79" i="3"/>
  <c r="BT80" i="3" s="1"/>
  <c r="CA64" i="3"/>
  <c r="CA65" i="3" s="1"/>
  <c r="BS29" i="3"/>
  <c r="BS33" i="4" s="1"/>
  <c r="BS34" i="4" s="1"/>
  <c r="CF47" i="3"/>
  <c r="CF45" i="3"/>
  <c r="CB62" i="3"/>
  <c r="CB60" i="3"/>
  <c r="BZ65" i="3"/>
  <c r="BV70" i="3"/>
  <c r="BV73" i="3" s="1"/>
  <c r="CF44" i="3"/>
  <c r="CG40" i="3" s="1"/>
  <c r="CB59" i="3"/>
  <c r="CC54" i="3" s="1"/>
  <c r="BS86" i="3"/>
  <c r="BS87" i="3" s="1"/>
  <c r="BS19" i="3"/>
  <c r="BS22" i="3" s="1"/>
  <c r="BU78" i="3"/>
  <c r="BR45" i="4" l="1"/>
  <c r="BR44" i="4"/>
  <c r="BS40" i="4" s="1"/>
  <c r="BN74" i="4"/>
  <c r="BO69" i="4" s="1"/>
  <c r="BN77" i="4"/>
  <c r="BN75" i="4"/>
  <c r="BO65" i="4"/>
  <c r="BS42" i="4"/>
  <c r="BS41" i="4"/>
  <c r="BS43" i="4" s="1"/>
  <c r="BS47" i="4" s="1"/>
  <c r="BR57" i="4"/>
  <c r="BR48" i="4"/>
  <c r="BR49" i="4" s="1"/>
  <c r="BR71" i="4"/>
  <c r="BM78" i="4"/>
  <c r="BM79" i="4" s="1"/>
  <c r="BM80" i="4" s="1"/>
  <c r="BL86" i="4"/>
  <c r="BL87" i="4" s="1"/>
  <c r="BL19" i="4"/>
  <c r="BL22" i="4" s="1"/>
  <c r="BP62" i="4"/>
  <c r="BP60" i="4"/>
  <c r="BP59" i="4"/>
  <c r="BQ54" i="4" s="1"/>
  <c r="BV74" i="3"/>
  <c r="BW69" i="3" s="1"/>
  <c r="BW70" i="3" s="1"/>
  <c r="BW73" i="3" s="1"/>
  <c r="BW74" i="3" s="1"/>
  <c r="BX69" i="3" s="1"/>
  <c r="BT85" i="3"/>
  <c r="BT26" i="3" s="1"/>
  <c r="BT84" i="3"/>
  <c r="CC55" i="3"/>
  <c r="CC58" i="3" s="1"/>
  <c r="CG41" i="3"/>
  <c r="CG43" i="3" s="1"/>
  <c r="CB63" i="3"/>
  <c r="CB72" i="3"/>
  <c r="BV77" i="3"/>
  <c r="BV75" i="3"/>
  <c r="BU79" i="3"/>
  <c r="CF57" i="3"/>
  <c r="CF48" i="3"/>
  <c r="BR50" i="4" l="1"/>
  <c r="BS56" i="4"/>
  <c r="BS27" i="4"/>
  <c r="BS20" i="4"/>
  <c r="BS45" i="4"/>
  <c r="BM84" i="4"/>
  <c r="BM85" i="4"/>
  <c r="BM26" i="4" s="1"/>
  <c r="BM29" i="4" s="1"/>
  <c r="BQ55" i="4"/>
  <c r="BQ58" i="4" s="1"/>
  <c r="BQ59" i="4" s="1"/>
  <c r="BR54" i="4" s="1"/>
  <c r="BS44" i="4"/>
  <c r="BT40" i="4" s="1"/>
  <c r="BS57" i="4"/>
  <c r="BS48" i="4"/>
  <c r="BS49" i="4" s="1"/>
  <c r="BN78" i="4"/>
  <c r="BN79" i="4"/>
  <c r="BN80" i="4" s="1"/>
  <c r="BP63" i="4"/>
  <c r="BP64" i="4"/>
  <c r="BP72" i="4"/>
  <c r="BO70" i="4"/>
  <c r="BO73" i="4" s="1"/>
  <c r="BO74" i="4" s="1"/>
  <c r="BP69" i="4" s="1"/>
  <c r="CB64" i="3"/>
  <c r="CB65" i="3" s="1"/>
  <c r="BT29" i="3"/>
  <c r="BT33" i="4" s="1"/>
  <c r="BT34" i="4" s="1"/>
  <c r="CG47" i="3"/>
  <c r="CG45" i="3"/>
  <c r="CG44" i="3"/>
  <c r="CH40" i="3" s="1"/>
  <c r="CC62" i="3"/>
  <c r="CC60" i="3"/>
  <c r="CC59" i="3"/>
  <c r="CD54" i="3" s="1"/>
  <c r="BT86" i="3"/>
  <c r="BT87" i="3" s="1"/>
  <c r="BT19" i="3"/>
  <c r="BT22" i="3" s="1"/>
  <c r="BX70" i="3"/>
  <c r="BX73" i="3" s="1"/>
  <c r="CF49" i="3"/>
  <c r="BW77" i="3"/>
  <c r="BW75" i="3"/>
  <c r="BU80" i="3"/>
  <c r="BV78" i="3"/>
  <c r="BP70" i="4" l="1"/>
  <c r="BR55" i="4"/>
  <c r="BR58" i="4" s="1"/>
  <c r="BN85" i="4"/>
  <c r="BN26" i="4" s="1"/>
  <c r="BN29" i="4" s="1"/>
  <c r="BN84" i="4"/>
  <c r="BT41" i="4"/>
  <c r="BT43" i="4" s="1"/>
  <c r="BT47" i="4" s="1"/>
  <c r="BS71" i="4"/>
  <c r="BQ62" i="4"/>
  <c r="BQ60" i="4"/>
  <c r="BO77" i="4"/>
  <c r="BO75" i="4"/>
  <c r="BP65" i="4"/>
  <c r="BS50" i="4"/>
  <c r="BT42" i="4"/>
  <c r="BM86" i="4"/>
  <c r="BM87" i="4" s="1"/>
  <c r="BM19" i="4"/>
  <c r="BM22" i="4" s="1"/>
  <c r="BV79" i="3"/>
  <c r="BV80" i="3" s="1"/>
  <c r="BX77" i="3"/>
  <c r="BX75" i="3"/>
  <c r="BX74" i="3"/>
  <c r="BY69" i="3" s="1"/>
  <c r="BU85" i="3"/>
  <c r="BU26" i="3" s="1"/>
  <c r="BU84" i="3"/>
  <c r="CH41" i="3"/>
  <c r="CH43" i="3" s="1"/>
  <c r="CF50" i="3"/>
  <c r="CD55" i="3"/>
  <c r="CC63" i="3"/>
  <c r="CC72" i="3"/>
  <c r="BW78" i="3"/>
  <c r="CG48" i="3"/>
  <c r="CG57" i="3"/>
  <c r="BR59" i="4" l="1"/>
  <c r="BS54" i="4" s="1"/>
  <c r="BT44" i="4"/>
  <c r="BU40" i="4" s="1"/>
  <c r="BT57" i="4"/>
  <c r="BT48" i="4"/>
  <c r="BT49" i="4" s="1"/>
  <c r="BT56" i="4"/>
  <c r="BT20" i="4"/>
  <c r="BT27" i="4"/>
  <c r="BT45" i="4"/>
  <c r="BO78" i="4"/>
  <c r="BO79" i="4" s="1"/>
  <c r="BO80" i="4" s="1"/>
  <c r="BN86" i="4"/>
  <c r="BN87" i="4" s="1"/>
  <c r="BN19" i="4"/>
  <c r="BN22" i="4" s="1"/>
  <c r="BQ63" i="4"/>
  <c r="BQ64" i="4" s="1"/>
  <c r="BQ72" i="4"/>
  <c r="BS55" i="4"/>
  <c r="BS58" i="4" s="1"/>
  <c r="BR62" i="4"/>
  <c r="BR60" i="4"/>
  <c r="BP73" i="4"/>
  <c r="BU29" i="3"/>
  <c r="BU33" i="4" s="1"/>
  <c r="BU34" i="4" s="1"/>
  <c r="CC64" i="3"/>
  <c r="CC65" i="3" s="1"/>
  <c r="CH47" i="3"/>
  <c r="CH45" i="3"/>
  <c r="BU86" i="3"/>
  <c r="BU87" i="3" s="1"/>
  <c r="BU19" i="3"/>
  <c r="BU22" i="3" s="1"/>
  <c r="CD58" i="3"/>
  <c r="CD59" i="3" s="1"/>
  <c r="CE54" i="3" s="1"/>
  <c r="BY70" i="3"/>
  <c r="BY73" i="3" s="1"/>
  <c r="CH44" i="3"/>
  <c r="CI40" i="3" s="1"/>
  <c r="BW79" i="3"/>
  <c r="BV85" i="3"/>
  <c r="BV26" i="3" s="1"/>
  <c r="BV84" i="3"/>
  <c r="CG49" i="3"/>
  <c r="BX78" i="3"/>
  <c r="BS62" i="4" l="1"/>
  <c r="BS60" i="4"/>
  <c r="BS59" i="4"/>
  <c r="BT54" i="4" s="1"/>
  <c r="BT71" i="4"/>
  <c r="BU42" i="4"/>
  <c r="BP77" i="4"/>
  <c r="BP74" i="4"/>
  <c r="BQ69" i="4" s="1"/>
  <c r="BP75" i="4"/>
  <c r="BO84" i="4"/>
  <c r="BO85" i="4"/>
  <c r="BO26" i="4" s="1"/>
  <c r="BO29" i="4" s="1"/>
  <c r="BT50" i="4"/>
  <c r="BQ65" i="4"/>
  <c r="BR63" i="4"/>
  <c r="BR64" i="4" s="1"/>
  <c r="BR72" i="4"/>
  <c r="BU41" i="4"/>
  <c r="BU43" i="4" s="1"/>
  <c r="BU47" i="4" s="1"/>
  <c r="BV29" i="3"/>
  <c r="BV33" i="4" s="1"/>
  <c r="BV34" i="4" s="1"/>
  <c r="BY74" i="3"/>
  <c r="BZ69" i="3" s="1"/>
  <c r="CG50" i="3"/>
  <c r="BZ70" i="3"/>
  <c r="BZ73" i="3" s="1"/>
  <c r="BZ74" i="3" s="1"/>
  <c r="CA69" i="3" s="1"/>
  <c r="CE55" i="3"/>
  <c r="CE58" i="3" s="1"/>
  <c r="BY77" i="3"/>
  <c r="BY75" i="3"/>
  <c r="CD62" i="3"/>
  <c r="CD60" i="3"/>
  <c r="BX79" i="3"/>
  <c r="BV86" i="3"/>
  <c r="BV87" i="3" s="1"/>
  <c r="BV19" i="3"/>
  <c r="BV22" i="3" s="1"/>
  <c r="BW80" i="3"/>
  <c r="CI41" i="3"/>
  <c r="CI43" i="3" s="1"/>
  <c r="CH57" i="3"/>
  <c r="CH48" i="3"/>
  <c r="BU56" i="4" l="1"/>
  <c r="BU20" i="4"/>
  <c r="BU27" i="4"/>
  <c r="BU45" i="4"/>
  <c r="BO86" i="4"/>
  <c r="BO87" i="4" s="1"/>
  <c r="BO19" i="4"/>
  <c r="BO22" i="4" s="1"/>
  <c r="BV42" i="4"/>
  <c r="BQ70" i="4"/>
  <c r="BQ73" i="4" s="1"/>
  <c r="BQ74" i="4" s="1"/>
  <c r="BR69" i="4" s="1"/>
  <c r="BT55" i="4"/>
  <c r="BT58" i="4" s="1"/>
  <c r="BU44" i="4"/>
  <c r="BV40" i="4" s="1"/>
  <c r="BP78" i="4"/>
  <c r="BP79" i="4" s="1"/>
  <c r="BP80" i="4" s="1"/>
  <c r="BR65" i="4"/>
  <c r="BU48" i="4"/>
  <c r="BU49" i="4" s="1"/>
  <c r="BU57" i="4"/>
  <c r="BS63" i="4"/>
  <c r="BS64" i="4" s="1"/>
  <c r="BS72" i="4"/>
  <c r="CH49" i="3"/>
  <c r="CH50" i="3" s="1"/>
  <c r="CE62" i="3"/>
  <c r="CE60" i="3"/>
  <c r="CA70" i="3"/>
  <c r="CA73" i="3" s="1"/>
  <c r="CA74" i="3" s="1"/>
  <c r="CB69" i="3" s="1"/>
  <c r="CI47" i="3"/>
  <c r="CI45" i="3"/>
  <c r="CI44" i="3"/>
  <c r="CJ40" i="3" s="1"/>
  <c r="CD63" i="3"/>
  <c r="CD72" i="3"/>
  <c r="BX80" i="3"/>
  <c r="BZ77" i="3"/>
  <c r="BZ75" i="3"/>
  <c r="BY78" i="3"/>
  <c r="CE59" i="3"/>
  <c r="CF54" i="3" s="1"/>
  <c r="BW85" i="3"/>
  <c r="BW26" i="3" s="1"/>
  <c r="BW84" i="3"/>
  <c r="BT62" i="4" l="1"/>
  <c r="BT60" i="4"/>
  <c r="BP85" i="4"/>
  <c r="BP26" i="4" s="1"/>
  <c r="BP29" i="4" s="1"/>
  <c r="BP84" i="4"/>
  <c r="BS65" i="4"/>
  <c r="BY79" i="3"/>
  <c r="BV41" i="4"/>
  <c r="BV43" i="4" s="1"/>
  <c r="BV47" i="4" s="1"/>
  <c r="BR70" i="4"/>
  <c r="BR73" i="4" s="1"/>
  <c r="BU50" i="4"/>
  <c r="BT59" i="4"/>
  <c r="BU54" i="4" s="1"/>
  <c r="BU71" i="4"/>
  <c r="BQ77" i="4"/>
  <c r="BQ75" i="4"/>
  <c r="BV27" i="4"/>
  <c r="BV56" i="4"/>
  <c r="BV20" i="4"/>
  <c r="BW29" i="3"/>
  <c r="BW33" i="4" s="1"/>
  <c r="BW34" i="4" s="1"/>
  <c r="CD64" i="3"/>
  <c r="CD65" i="3" s="1"/>
  <c r="CB70" i="3"/>
  <c r="CB73" i="3" s="1"/>
  <c r="CB74" i="3" s="1"/>
  <c r="CC69" i="3" s="1"/>
  <c r="BZ78" i="3"/>
  <c r="CA77" i="3"/>
  <c r="CA75" i="3"/>
  <c r="CI48" i="3"/>
  <c r="CI57" i="3"/>
  <c r="BX85" i="3"/>
  <c r="BX26" i="3" s="1"/>
  <c r="BX84" i="3"/>
  <c r="BY80" i="3"/>
  <c r="CJ41" i="3"/>
  <c r="CF55" i="3"/>
  <c r="BW86" i="3"/>
  <c r="BW87" i="3" s="1"/>
  <c r="BW19" i="3"/>
  <c r="BW22" i="3" s="1"/>
  <c r="CE63" i="3"/>
  <c r="CE72" i="3"/>
  <c r="BV45" i="4" l="1"/>
  <c r="BV71" i="4"/>
  <c r="BR74" i="4"/>
  <c r="BS69" i="4" s="1"/>
  <c r="BQ78" i="4"/>
  <c r="BQ79" i="4"/>
  <c r="BQ80" i="4" s="1"/>
  <c r="BR77" i="4"/>
  <c r="BR75" i="4"/>
  <c r="BP86" i="4"/>
  <c r="BP87" i="4" s="1"/>
  <c r="BP19" i="4"/>
  <c r="BP22" i="4" s="1"/>
  <c r="BW42" i="4"/>
  <c r="BV44" i="4"/>
  <c r="BW40" i="4" s="1"/>
  <c r="BV48" i="4"/>
  <c r="BV49" i="4" s="1"/>
  <c r="BV57" i="4"/>
  <c r="BU55" i="4"/>
  <c r="BU58" i="4" s="1"/>
  <c r="BU59" i="4" s="1"/>
  <c r="BV54" i="4" s="1"/>
  <c r="BT63" i="4"/>
  <c r="BT64" i="4" s="1"/>
  <c r="BT72" i="4"/>
  <c r="CI49" i="3"/>
  <c r="CI50" i="3" s="1"/>
  <c r="BX29" i="3"/>
  <c r="BX33" i="4" s="1"/>
  <c r="BX34" i="4" s="1"/>
  <c r="CF58" i="3"/>
  <c r="CF59" i="3" s="1"/>
  <c r="CG54" i="3" s="1"/>
  <c r="CG55" i="3" s="1"/>
  <c r="BX86" i="3"/>
  <c r="BX87" i="3" s="1"/>
  <c r="BX19" i="3"/>
  <c r="BX22" i="3" s="1"/>
  <c r="BZ79" i="3"/>
  <c r="CC70" i="3"/>
  <c r="CC73" i="3" s="1"/>
  <c r="CA78" i="3"/>
  <c r="BY85" i="3"/>
  <c r="BY26" i="3" s="1"/>
  <c r="BY84" i="3"/>
  <c r="CB77" i="3"/>
  <c r="CB75" i="3"/>
  <c r="CJ43" i="3"/>
  <c r="CE64" i="3"/>
  <c r="BX42" i="4" l="1"/>
  <c r="BW41" i="4"/>
  <c r="BW43" i="4" s="1"/>
  <c r="BW47" i="4" s="1"/>
  <c r="BR78" i="4"/>
  <c r="BR79" i="4" s="1"/>
  <c r="BR80" i="4" s="1"/>
  <c r="BQ85" i="4"/>
  <c r="BQ26" i="4" s="1"/>
  <c r="BQ29" i="4" s="1"/>
  <c r="BQ84" i="4"/>
  <c r="BV50" i="4"/>
  <c r="BT65" i="4"/>
  <c r="BW56" i="4"/>
  <c r="BW27" i="4"/>
  <c r="BW20" i="4"/>
  <c r="BS70" i="4"/>
  <c r="BS73" i="4" s="1"/>
  <c r="BV55" i="4"/>
  <c r="BU62" i="4"/>
  <c r="BU60" i="4"/>
  <c r="BY29" i="3"/>
  <c r="BY33" i="4" s="1"/>
  <c r="BY34" i="4" s="1"/>
  <c r="CF62" i="3"/>
  <c r="CF72" i="3" s="1"/>
  <c r="CF60" i="3"/>
  <c r="CC77" i="3"/>
  <c r="CC75" i="3"/>
  <c r="CE65" i="3"/>
  <c r="CG58" i="3"/>
  <c r="BY86" i="3"/>
  <c r="BY87" i="3" s="1"/>
  <c r="BY19" i="3"/>
  <c r="BY22" i="3" s="1"/>
  <c r="CJ47" i="3"/>
  <c r="CJ45" i="3"/>
  <c r="CA79" i="3"/>
  <c r="CC74" i="3"/>
  <c r="CD69" i="3" s="1"/>
  <c r="CF63" i="3"/>
  <c r="BZ80" i="3"/>
  <c r="CB78" i="3"/>
  <c r="CJ44" i="3"/>
  <c r="CK40" i="3" s="1"/>
  <c r="BV58" i="4" l="1"/>
  <c r="BV59" i="4" s="1"/>
  <c r="BW54" i="4" s="1"/>
  <c r="BS74" i="4"/>
  <c r="BT69" i="4" s="1"/>
  <c r="BV62" i="4"/>
  <c r="BV60" i="4"/>
  <c r="BY42" i="4"/>
  <c r="BW45" i="4"/>
  <c r="BW44" i="4"/>
  <c r="BX40" i="4" s="1"/>
  <c r="BW57" i="4"/>
  <c r="BW48" i="4"/>
  <c r="BW49" i="4" s="1"/>
  <c r="BQ86" i="4"/>
  <c r="BQ87" i="4" s="1"/>
  <c r="BQ19" i="4"/>
  <c r="BQ22" i="4" s="1"/>
  <c r="BU63" i="4"/>
  <c r="BU64" i="4" s="1"/>
  <c r="BU72" i="4"/>
  <c r="BW71" i="4"/>
  <c r="BT70" i="4"/>
  <c r="BT73" i="4" s="1"/>
  <c r="BR85" i="4"/>
  <c r="BR26" i="4" s="1"/>
  <c r="BR29" i="4" s="1"/>
  <c r="BR84" i="4"/>
  <c r="BX56" i="4"/>
  <c r="BX27" i="4"/>
  <c r="BX20" i="4"/>
  <c r="BS77" i="4"/>
  <c r="BS75" i="4"/>
  <c r="CF64" i="3"/>
  <c r="CF65" i="3" s="1"/>
  <c r="CG62" i="3"/>
  <c r="CG60" i="3"/>
  <c r="CK41" i="3"/>
  <c r="CK43" i="3" s="1"/>
  <c r="CA80" i="3"/>
  <c r="CG59" i="3"/>
  <c r="CH54" i="3" s="1"/>
  <c r="BZ85" i="3"/>
  <c r="BZ26" i="3" s="1"/>
  <c r="BZ84" i="3"/>
  <c r="CJ57" i="3"/>
  <c r="CJ48" i="3"/>
  <c r="CD70" i="3"/>
  <c r="CD73" i="3" s="1"/>
  <c r="CB79" i="3"/>
  <c r="CC78" i="3"/>
  <c r="BT74" i="4" l="1"/>
  <c r="BU69" i="4" s="1"/>
  <c r="BT77" i="4"/>
  <c r="BT75" i="4"/>
  <c r="BU65" i="4"/>
  <c r="BY56" i="4"/>
  <c r="BY27" i="4"/>
  <c r="BY20" i="4"/>
  <c r="BR86" i="4"/>
  <c r="BR87" i="4" s="1"/>
  <c r="BR19" i="4"/>
  <c r="BR22" i="4" s="1"/>
  <c r="BW50" i="4"/>
  <c r="BS78" i="4"/>
  <c r="BS79" i="4" s="1"/>
  <c r="BS80" i="4" s="1"/>
  <c r="BV63" i="4"/>
  <c r="BV64" i="4" s="1"/>
  <c r="BV72" i="4"/>
  <c r="BX71" i="4"/>
  <c r="BX41" i="4"/>
  <c r="BX43" i="4" s="1"/>
  <c r="BX44" i="4" s="1"/>
  <c r="BY40" i="4" s="1"/>
  <c r="BW55" i="4"/>
  <c r="BZ29" i="3"/>
  <c r="BZ33" i="4" s="1"/>
  <c r="BZ34" i="4" s="1"/>
  <c r="CJ49" i="3"/>
  <c r="CJ50" i="3"/>
  <c r="CB80" i="3"/>
  <c r="BZ86" i="3"/>
  <c r="BZ87" i="3" s="1"/>
  <c r="BZ19" i="3"/>
  <c r="BZ22" i="3" s="1"/>
  <c r="CD77" i="3"/>
  <c r="CD75" i="3"/>
  <c r="CG63" i="3"/>
  <c r="CG72" i="3"/>
  <c r="CK47" i="3"/>
  <c r="CK45" i="3"/>
  <c r="CH55" i="3"/>
  <c r="CK44" i="3"/>
  <c r="CL40" i="3" s="1"/>
  <c r="CA85" i="3"/>
  <c r="CA26" i="3" s="1"/>
  <c r="CA84" i="3"/>
  <c r="CD74" i="3"/>
  <c r="CE69" i="3" s="1"/>
  <c r="CC79" i="3"/>
  <c r="BY41" i="4" l="1"/>
  <c r="BY43" i="4" s="1"/>
  <c r="BY71" i="4"/>
  <c r="BV65" i="4"/>
  <c r="BX47" i="4"/>
  <c r="BX45" i="4"/>
  <c r="BW58" i="4"/>
  <c r="BS84" i="4"/>
  <c r="BS85" i="4"/>
  <c r="BS26" i="4" s="1"/>
  <c r="BS29" i="4" s="1"/>
  <c r="BT78" i="4"/>
  <c r="BT79" i="4" s="1"/>
  <c r="BT80" i="4" s="1"/>
  <c r="BZ42" i="4"/>
  <c r="BU70" i="4"/>
  <c r="BU73" i="4" s="1"/>
  <c r="CA29" i="3"/>
  <c r="CA33" i="4" s="1"/>
  <c r="CA34" i="4" s="1"/>
  <c r="CG64" i="3"/>
  <c r="CG65" i="3" s="1"/>
  <c r="CH58" i="3"/>
  <c r="CH59" i="3" s="1"/>
  <c r="CI54" i="3" s="1"/>
  <c r="CK57" i="3"/>
  <c r="CK48" i="3"/>
  <c r="CC80" i="3"/>
  <c r="CB85" i="3"/>
  <c r="CB26" i="3" s="1"/>
  <c r="CB84" i="3"/>
  <c r="CL41" i="3"/>
  <c r="CL43" i="3" s="1"/>
  <c r="CE70" i="3"/>
  <c r="CE73" i="3" s="1"/>
  <c r="CE74" i="3" s="1"/>
  <c r="CF69" i="3" s="1"/>
  <c r="CA86" i="3"/>
  <c r="CA87" i="3" s="1"/>
  <c r="CA19" i="3"/>
  <c r="CA22" i="3" s="1"/>
  <c r="CD78" i="3"/>
  <c r="BT85" i="4" l="1"/>
  <c r="BT26" i="4" s="1"/>
  <c r="BT29" i="4" s="1"/>
  <c r="BT84" i="4"/>
  <c r="BU74" i="4"/>
  <c r="BV69" i="4" s="1"/>
  <c r="BU77" i="4"/>
  <c r="BU75" i="4"/>
  <c r="BS86" i="4"/>
  <c r="BS87" i="4" s="1"/>
  <c r="BS19" i="4"/>
  <c r="BS22" i="4" s="1"/>
  <c r="BZ56" i="4"/>
  <c r="BZ27" i="4"/>
  <c r="BZ20" i="4"/>
  <c r="BW62" i="4"/>
  <c r="BW60" i="4"/>
  <c r="BY44" i="4"/>
  <c r="BZ40" i="4" s="1"/>
  <c r="BY47" i="4"/>
  <c r="BY45" i="4"/>
  <c r="CA42" i="4"/>
  <c r="BX57" i="4"/>
  <c r="BX48" i="4"/>
  <c r="BX49" i="4" s="1"/>
  <c r="BW59" i="4"/>
  <c r="BX54" i="4" s="1"/>
  <c r="CK49" i="3"/>
  <c r="CK50" i="3" s="1"/>
  <c r="CH60" i="3"/>
  <c r="CH62" i="3"/>
  <c r="CH63" i="3" s="1"/>
  <c r="CB29" i="3"/>
  <c r="CB33" i="4" s="1"/>
  <c r="CB34" i="4" s="1"/>
  <c r="CI55" i="3"/>
  <c r="CI58" i="3" s="1"/>
  <c r="CL44" i="3"/>
  <c r="CM40" i="3" s="1"/>
  <c r="CM41" i="3" s="1"/>
  <c r="CF70" i="3"/>
  <c r="CF73" i="3" s="1"/>
  <c r="CB86" i="3"/>
  <c r="CB87" i="3" s="1"/>
  <c r="CB19" i="3"/>
  <c r="CB22" i="3" s="1"/>
  <c r="CC85" i="3"/>
  <c r="CC26" i="3" s="1"/>
  <c r="CC84" i="3"/>
  <c r="CE77" i="3"/>
  <c r="CE75" i="3"/>
  <c r="CL47" i="3"/>
  <c r="CL45" i="3"/>
  <c r="CD79" i="3"/>
  <c r="CB42" i="4" l="1"/>
  <c r="BW63" i="4"/>
  <c r="BW64" i="4" s="1"/>
  <c r="BW72" i="4"/>
  <c r="BX55" i="4"/>
  <c r="BU78" i="4"/>
  <c r="BU79" i="4"/>
  <c r="BU80" i="4" s="1"/>
  <c r="CA20" i="4"/>
  <c r="CA56" i="4"/>
  <c r="CA27" i="4"/>
  <c r="BZ71" i="4"/>
  <c r="BV70" i="4"/>
  <c r="BV73" i="4" s="1"/>
  <c r="BV74" i="4" s="1"/>
  <c r="BW69" i="4" s="1"/>
  <c r="BY57" i="4"/>
  <c r="BY48" i="4"/>
  <c r="BY49" i="4" s="1"/>
  <c r="BT86" i="4"/>
  <c r="BT87" i="4" s="1"/>
  <c r="BT19" i="4"/>
  <c r="BT22" i="4" s="1"/>
  <c r="BX50" i="4"/>
  <c r="BZ41" i="4"/>
  <c r="BZ43" i="4" s="1"/>
  <c r="CH72" i="3"/>
  <c r="CI60" i="3"/>
  <c r="CI62" i="3"/>
  <c r="CH64" i="3"/>
  <c r="CH65" i="3" s="1"/>
  <c r="CC29" i="3"/>
  <c r="CC33" i="4" s="1"/>
  <c r="CC34" i="4" s="1"/>
  <c r="CI59" i="3"/>
  <c r="CJ54" i="3" s="1"/>
  <c r="CC86" i="3"/>
  <c r="CC87" i="3" s="1"/>
  <c r="CC19" i="3"/>
  <c r="CC22" i="3" s="1"/>
  <c r="CF77" i="3"/>
  <c r="CF75" i="3"/>
  <c r="CM43" i="3"/>
  <c r="CI63" i="3"/>
  <c r="CI72" i="3"/>
  <c r="CD80" i="3"/>
  <c r="CF74" i="3"/>
  <c r="CG69" i="3" s="1"/>
  <c r="CL57" i="3"/>
  <c r="CL48" i="3"/>
  <c r="CL49" i="3" s="1"/>
  <c r="CE78" i="3"/>
  <c r="BX58" i="4" l="1"/>
  <c r="BX62" i="4" s="1"/>
  <c r="BY50" i="4"/>
  <c r="CC42" i="4"/>
  <c r="CA71" i="4"/>
  <c r="BX63" i="4"/>
  <c r="BX64" i="4" s="1"/>
  <c r="BX72" i="4"/>
  <c r="BV77" i="4"/>
  <c r="BV75" i="4"/>
  <c r="BW65" i="4"/>
  <c r="BW70" i="4"/>
  <c r="BX60" i="4"/>
  <c r="BU84" i="4"/>
  <c r="BU85" i="4"/>
  <c r="BU26" i="4" s="1"/>
  <c r="BU29" i="4" s="1"/>
  <c r="BZ44" i="4"/>
  <c r="CA40" i="4" s="1"/>
  <c r="BZ47" i="4"/>
  <c r="BZ45" i="4"/>
  <c r="CB56" i="4"/>
  <c r="CB20" i="4"/>
  <c r="CB27" i="4"/>
  <c r="CI64" i="3"/>
  <c r="CE79" i="3"/>
  <c r="CE80" i="3" s="1"/>
  <c r="CJ55" i="3"/>
  <c r="CJ58" i="3" s="1"/>
  <c r="CD85" i="3"/>
  <c r="CD26" i="3" s="1"/>
  <c r="CD84" i="3"/>
  <c r="CF78" i="3"/>
  <c r="CM47" i="3"/>
  <c r="CM45" i="3"/>
  <c r="CI65" i="3"/>
  <c r="CG70" i="3"/>
  <c r="CL50" i="3"/>
  <c r="CM44" i="3"/>
  <c r="CN40" i="3" s="1"/>
  <c r="BX59" i="4" l="1"/>
  <c r="BY54" i="4" s="1"/>
  <c r="BY55" i="4" s="1"/>
  <c r="BW73" i="4"/>
  <c r="BW77" i="4" s="1"/>
  <c r="CC27" i="4"/>
  <c r="CC56" i="4"/>
  <c r="CC20" i="4"/>
  <c r="CA41" i="4"/>
  <c r="CA43" i="4" s="1"/>
  <c r="CA44" i="4" s="1"/>
  <c r="CB40" i="4" s="1"/>
  <c r="BX65" i="4"/>
  <c r="BZ57" i="4"/>
  <c r="BZ48" i="4"/>
  <c r="BZ49" i="4" s="1"/>
  <c r="BU86" i="4"/>
  <c r="BU87" i="4" s="1"/>
  <c r="BU19" i="4"/>
  <c r="BU22" i="4" s="1"/>
  <c r="CB71" i="4"/>
  <c r="BV78" i="4"/>
  <c r="BV79" i="4" s="1"/>
  <c r="BV80" i="4" s="1"/>
  <c r="BY58" i="4"/>
  <c r="CD29" i="3"/>
  <c r="CD33" i="4" s="1"/>
  <c r="CD34" i="4" s="1"/>
  <c r="CJ59" i="3"/>
  <c r="CK54" i="3" s="1"/>
  <c r="CK55" i="3" s="1"/>
  <c r="CK58" i="3" s="1"/>
  <c r="CK59" i="3" s="1"/>
  <c r="CL54" i="3" s="1"/>
  <c r="CJ62" i="3"/>
  <c r="CJ60" i="3"/>
  <c r="CN41" i="3"/>
  <c r="CN43" i="3" s="1"/>
  <c r="CN44" i="3" s="1"/>
  <c r="CO40" i="3" s="1"/>
  <c r="CD86" i="3"/>
  <c r="CD87" i="3" s="1"/>
  <c r="CD19" i="3"/>
  <c r="CD22" i="3" s="1"/>
  <c r="CE85" i="3"/>
  <c r="CE26" i="3" s="1"/>
  <c r="CE84" i="3"/>
  <c r="CM48" i="3"/>
  <c r="CM57" i="3"/>
  <c r="CG73" i="3"/>
  <c r="CF79" i="3"/>
  <c r="BW74" i="4" l="1"/>
  <c r="BX69" i="4" s="1"/>
  <c r="BW75" i="4"/>
  <c r="CB41" i="4"/>
  <c r="CB43" i="4" s="1"/>
  <c r="BZ50" i="4"/>
  <c r="CC71" i="4"/>
  <c r="CD42" i="4"/>
  <c r="BY62" i="4"/>
  <c r="BY60" i="4"/>
  <c r="BX70" i="4"/>
  <c r="BX73" i="4" s="1"/>
  <c r="BX74" i="4" s="1"/>
  <c r="BY69" i="4" s="1"/>
  <c r="BV84" i="4"/>
  <c r="BV85" i="4"/>
  <c r="BV26" i="4" s="1"/>
  <c r="BV29" i="4" s="1"/>
  <c r="CA47" i="4"/>
  <c r="CA45" i="4"/>
  <c r="BW78" i="4"/>
  <c r="BW79" i="4" s="1"/>
  <c r="BW80" i="4" s="1"/>
  <c r="BY59" i="4"/>
  <c r="BZ54" i="4" s="1"/>
  <c r="CE29" i="3"/>
  <c r="CE33" i="4" s="1"/>
  <c r="CE34" i="4" s="1"/>
  <c r="CK60" i="3"/>
  <c r="CK62" i="3"/>
  <c r="CK63" i="3" s="1"/>
  <c r="CJ63" i="3"/>
  <c r="CJ72" i="3"/>
  <c r="CF80" i="3"/>
  <c r="CL55" i="3"/>
  <c r="CL58" i="3" s="1"/>
  <c r="CO41" i="3"/>
  <c r="CN47" i="3"/>
  <c r="CN45" i="3"/>
  <c r="CM49" i="3"/>
  <c r="CE86" i="3"/>
  <c r="CE87" i="3" s="1"/>
  <c r="CE19" i="3"/>
  <c r="CE22" i="3" s="1"/>
  <c r="CG77" i="3"/>
  <c r="CG75" i="3"/>
  <c r="CG74" i="3"/>
  <c r="CH69" i="3" s="1"/>
  <c r="BY70" i="4" l="1"/>
  <c r="CB47" i="4"/>
  <c r="CB45" i="4"/>
  <c r="CB44" i="4"/>
  <c r="CC40" i="4" s="1"/>
  <c r="BW85" i="4"/>
  <c r="BW26" i="4" s="1"/>
  <c r="BW29" i="4" s="1"/>
  <c r="BW84" i="4"/>
  <c r="CA48" i="4"/>
  <c r="CA57" i="4"/>
  <c r="CA49" i="4"/>
  <c r="BY63" i="4"/>
  <c r="BY64" i="4" s="1"/>
  <c r="BY72" i="4"/>
  <c r="BV86" i="4"/>
  <c r="BV87" i="4" s="1"/>
  <c r="BV19" i="4"/>
  <c r="BV22" i="4" s="1"/>
  <c r="CE42" i="4"/>
  <c r="CD27" i="4"/>
  <c r="CD20" i="4"/>
  <c r="CD56" i="4"/>
  <c r="BZ55" i="4"/>
  <c r="BZ58" i="4" s="1"/>
  <c r="BZ59" i="4" s="1"/>
  <c r="CA54" i="4" s="1"/>
  <c r="BX77" i="4"/>
  <c r="BX75" i="4"/>
  <c r="CK64" i="3"/>
  <c r="CJ64" i="3"/>
  <c r="CJ65" i="3" s="1"/>
  <c r="CK72" i="3"/>
  <c r="CK65" i="3"/>
  <c r="CL62" i="3"/>
  <c r="CL60" i="3"/>
  <c r="CL59" i="3"/>
  <c r="CM54" i="3" s="1"/>
  <c r="CO43" i="3"/>
  <c r="CG78" i="3"/>
  <c r="CM50" i="3"/>
  <c r="CH70" i="3"/>
  <c r="CH73" i="3" s="1"/>
  <c r="CH74" i="3" s="1"/>
  <c r="CI69" i="3" s="1"/>
  <c r="CN48" i="3"/>
  <c r="CN49" i="3" s="1"/>
  <c r="CN57" i="3"/>
  <c r="CF85" i="3"/>
  <c r="CF26" i="3" s="1"/>
  <c r="CF84" i="3"/>
  <c r="CA55" i="4" l="1"/>
  <c r="BW86" i="4"/>
  <c r="BW87" i="4" s="1"/>
  <c r="BW19" i="4"/>
  <c r="BW22" i="4" s="1"/>
  <c r="CE56" i="4"/>
  <c r="CE27" i="4"/>
  <c r="CE20" i="4"/>
  <c r="CC41" i="4"/>
  <c r="CC43" i="4" s="1"/>
  <c r="CC44" i="4" s="1"/>
  <c r="CD40" i="4" s="1"/>
  <c r="CA50" i="4"/>
  <c r="CB48" i="4"/>
  <c r="CB57" i="4"/>
  <c r="CB49" i="4"/>
  <c r="BZ62" i="4"/>
  <c r="BZ60" i="4"/>
  <c r="CD71" i="4"/>
  <c r="BX78" i="4"/>
  <c r="BX79" i="4" s="1"/>
  <c r="BX80" i="4" s="1"/>
  <c r="BY65" i="4"/>
  <c r="BY73" i="4" s="1"/>
  <c r="CG79" i="3"/>
  <c r="CF29" i="3"/>
  <c r="CF33" i="4" s="1"/>
  <c r="CF34" i="4" s="1"/>
  <c r="CN50" i="3"/>
  <c r="CL63" i="3"/>
  <c r="CL64" i="3"/>
  <c r="CL72" i="3"/>
  <c r="CH77" i="3"/>
  <c r="CH75" i="3"/>
  <c r="CM55" i="3"/>
  <c r="CM58" i="3" s="1"/>
  <c r="CF86" i="3"/>
  <c r="CF87" i="3" s="1"/>
  <c r="CF19" i="3"/>
  <c r="CF22" i="3" s="1"/>
  <c r="CG80" i="3"/>
  <c r="CO47" i="3"/>
  <c r="CO45" i="3"/>
  <c r="CI70" i="3"/>
  <c r="CI73" i="3" s="1"/>
  <c r="CO44" i="3"/>
  <c r="CP40" i="3" s="1"/>
  <c r="CD41" i="4" l="1"/>
  <c r="CD43" i="4" s="1"/>
  <c r="CD44" i="4" s="1"/>
  <c r="CE40" i="4" s="1"/>
  <c r="BY77" i="4"/>
  <c r="BY74" i="4"/>
  <c r="BZ69" i="4" s="1"/>
  <c r="BY75" i="4"/>
  <c r="BZ63" i="4"/>
  <c r="BZ64" i="4" s="1"/>
  <c r="BZ72" i="4"/>
  <c r="CE71" i="4"/>
  <c r="CB50" i="4"/>
  <c r="CC47" i="4"/>
  <c r="CC45" i="4"/>
  <c r="BX85" i="4"/>
  <c r="BX26" i="4" s="1"/>
  <c r="BX29" i="4" s="1"/>
  <c r="BX84" i="4"/>
  <c r="CF42" i="4"/>
  <c r="CA58" i="4"/>
  <c r="CM62" i="3"/>
  <c r="CM60" i="3"/>
  <c r="CI77" i="3"/>
  <c r="CI75" i="3"/>
  <c r="CI74" i="3"/>
  <c r="CJ69" i="3" s="1"/>
  <c r="CM59" i="3"/>
  <c r="CN54" i="3" s="1"/>
  <c r="CO57" i="3"/>
  <c r="CO48" i="3"/>
  <c r="CG85" i="3"/>
  <c r="CG26" i="3" s="1"/>
  <c r="CG84" i="3"/>
  <c r="CL65" i="3"/>
  <c r="CP41" i="3"/>
  <c r="CP43" i="3" s="1"/>
  <c r="CP44" i="3" s="1"/>
  <c r="CQ40" i="3" s="1"/>
  <c r="CH78" i="3"/>
  <c r="CE41" i="4" l="1"/>
  <c r="CE43" i="4" s="1"/>
  <c r="CE44" i="4" s="1"/>
  <c r="CF40" i="4" s="1"/>
  <c r="CC57" i="4"/>
  <c r="CC48" i="4"/>
  <c r="CC49" i="4" s="1"/>
  <c r="CH79" i="3"/>
  <c r="BZ70" i="4"/>
  <c r="BY78" i="4"/>
  <c r="BY79" i="4" s="1"/>
  <c r="BY80" i="4" s="1"/>
  <c r="CF56" i="4"/>
  <c r="CF27" i="4"/>
  <c r="CF20" i="4"/>
  <c r="BX86" i="4"/>
  <c r="BX87" i="4" s="1"/>
  <c r="BX19" i="4"/>
  <c r="BX22" i="4" s="1"/>
  <c r="CD47" i="4"/>
  <c r="CD45" i="4"/>
  <c r="BZ65" i="4"/>
  <c r="CA62" i="4"/>
  <c r="CA59" i="4"/>
  <c r="CB54" i="4" s="1"/>
  <c r="CA60" i="4"/>
  <c r="CG29" i="3"/>
  <c r="CG33" i="4" s="1"/>
  <c r="CG34" i="4" s="1"/>
  <c r="CG86" i="3"/>
  <c r="CG87" i="3" s="1"/>
  <c r="CG19" i="3"/>
  <c r="CG22" i="3" s="1"/>
  <c r="CP47" i="3"/>
  <c r="CP45" i="3"/>
  <c r="CI78" i="3"/>
  <c r="CN55" i="3"/>
  <c r="CN58" i="3" s="1"/>
  <c r="CN59" i="3" s="1"/>
  <c r="CO54" i="3" s="1"/>
  <c r="CQ41" i="3"/>
  <c r="CQ43" i="3" s="1"/>
  <c r="CH80" i="3"/>
  <c r="CJ70" i="3"/>
  <c r="CJ73" i="3" s="1"/>
  <c r="CO49" i="3"/>
  <c r="CM63" i="3"/>
  <c r="CM72" i="3"/>
  <c r="CF41" i="4" l="1"/>
  <c r="CF43" i="4" s="1"/>
  <c r="CC50" i="4"/>
  <c r="CG42" i="4"/>
  <c r="CD48" i="4"/>
  <c r="CD49" i="4" s="1"/>
  <c r="CD57" i="4"/>
  <c r="BY84" i="4"/>
  <c r="BY85" i="4"/>
  <c r="BY26" i="4" s="1"/>
  <c r="BY29" i="4" s="1"/>
  <c r="CB55" i="4"/>
  <c r="CB58" i="4" s="1"/>
  <c r="CA63" i="4"/>
  <c r="CA64" i="4" s="1"/>
  <c r="CA72" i="4"/>
  <c r="BZ73" i="4"/>
  <c r="CE47" i="4"/>
  <c r="CE45" i="4"/>
  <c r="CF71" i="4"/>
  <c r="CM64" i="3"/>
  <c r="CM65" i="3" s="1"/>
  <c r="CI79" i="3"/>
  <c r="CI80" i="3" s="1"/>
  <c r="CO55" i="3"/>
  <c r="CQ47" i="3"/>
  <c r="CQ45" i="3"/>
  <c r="CJ77" i="3"/>
  <c r="CJ75" i="3"/>
  <c r="CJ74" i="3"/>
  <c r="CK69" i="3" s="1"/>
  <c r="CO50" i="3"/>
  <c r="CH85" i="3"/>
  <c r="CH26" i="3" s="1"/>
  <c r="CH84" i="3"/>
  <c r="CP57" i="3"/>
  <c r="CP48" i="3"/>
  <c r="CQ44" i="3"/>
  <c r="CR40" i="3" s="1"/>
  <c r="CN62" i="3"/>
  <c r="CN60" i="3"/>
  <c r="CF44" i="4" l="1"/>
  <c r="CG40" i="4" s="1"/>
  <c r="CF47" i="4"/>
  <c r="CF45" i="4"/>
  <c r="BZ77" i="4"/>
  <c r="BZ75" i="4"/>
  <c r="BY86" i="4"/>
  <c r="BY87" i="4" s="1"/>
  <c r="BY19" i="4"/>
  <c r="BY22" i="4" s="1"/>
  <c r="CG27" i="4"/>
  <c r="CG20" i="4"/>
  <c r="CG56" i="4"/>
  <c r="CA65" i="4"/>
  <c r="CD50" i="4"/>
  <c r="CE57" i="4"/>
  <c r="CE48" i="4"/>
  <c r="CE49" i="4" s="1"/>
  <c r="CB59" i="4"/>
  <c r="CC54" i="4" s="1"/>
  <c r="CB62" i="4"/>
  <c r="CB60" i="4"/>
  <c r="BZ74" i="4"/>
  <c r="CA69" i="4" s="1"/>
  <c r="CO58" i="3"/>
  <c r="CO62" i="3" s="1"/>
  <c r="CH29" i="3"/>
  <c r="CH33" i="4" s="1"/>
  <c r="CH34" i="4" s="1"/>
  <c r="CO60" i="3"/>
  <c r="CI84" i="3"/>
  <c r="CI85" i="3"/>
  <c r="CI26" i="3" s="1"/>
  <c r="CN63" i="3"/>
  <c r="CN72" i="3"/>
  <c r="CJ78" i="3"/>
  <c r="CR41" i="3"/>
  <c r="CR43" i="3" s="1"/>
  <c r="CR44" i="3" s="1"/>
  <c r="CS40" i="3" s="1"/>
  <c r="CK70" i="3"/>
  <c r="CK73" i="3" s="1"/>
  <c r="CQ57" i="3"/>
  <c r="CQ48" i="3"/>
  <c r="CP49" i="3"/>
  <c r="CH86" i="3"/>
  <c r="CH87" i="3" s="1"/>
  <c r="CH19" i="3"/>
  <c r="CH22" i="3" s="1"/>
  <c r="CH42" i="4" l="1"/>
  <c r="CA70" i="4"/>
  <c r="CA73" i="4"/>
  <c r="BZ78" i="4"/>
  <c r="BZ79" i="4" s="1"/>
  <c r="BZ80" i="4" s="1"/>
  <c r="CE50" i="4"/>
  <c r="CB63" i="4"/>
  <c r="CB64" i="4" s="1"/>
  <c r="CB72" i="4"/>
  <c r="CC55" i="4"/>
  <c r="CC58" i="4" s="1"/>
  <c r="CC59" i="4" s="1"/>
  <c r="CD54" i="4" s="1"/>
  <c r="CG71" i="4"/>
  <c r="CF57" i="4"/>
  <c r="CF48" i="4"/>
  <c r="CF49" i="4" s="1"/>
  <c r="CO59" i="3"/>
  <c r="CP54" i="3" s="1"/>
  <c r="CP55" i="3" s="1"/>
  <c r="CG41" i="4"/>
  <c r="CG43" i="4" s="1"/>
  <c r="CJ79" i="3"/>
  <c r="CJ80" i="3" s="1"/>
  <c r="CI29" i="3"/>
  <c r="CI33" i="4" s="1"/>
  <c r="CI34" i="4" s="1"/>
  <c r="CK77" i="3"/>
  <c r="CK75" i="3"/>
  <c r="CS41" i="3"/>
  <c r="CS43" i="3" s="1"/>
  <c r="CS44" i="3" s="1"/>
  <c r="CT40" i="3" s="1"/>
  <c r="CR47" i="3"/>
  <c r="CR45" i="3"/>
  <c r="CI86" i="3"/>
  <c r="CI87" i="3" s="1"/>
  <c r="CI19" i="3"/>
  <c r="CI22" i="3" s="1"/>
  <c r="CN64" i="3"/>
  <c r="CQ49" i="3"/>
  <c r="CP50" i="3"/>
  <c r="CK74" i="3"/>
  <c r="CL69" i="3" s="1"/>
  <c r="CO63" i="3"/>
  <c r="CO72" i="3"/>
  <c r="CG44" i="4" l="1"/>
  <c r="CH40" i="4" s="1"/>
  <c r="CG47" i="4"/>
  <c r="CG45" i="4"/>
  <c r="CB65" i="4"/>
  <c r="CD55" i="4"/>
  <c r="CD58" i="4" s="1"/>
  <c r="CA74" i="4"/>
  <c r="CB69" i="4" s="1"/>
  <c r="CA77" i="4"/>
  <c r="CA75" i="4"/>
  <c r="CO64" i="3"/>
  <c r="CO65" i="3" s="1"/>
  <c r="CC62" i="4"/>
  <c r="CC60" i="4"/>
  <c r="CI42" i="4"/>
  <c r="CF50" i="4"/>
  <c r="BZ84" i="4"/>
  <c r="BZ85" i="4"/>
  <c r="BZ26" i="4" s="1"/>
  <c r="BZ29" i="4" s="1"/>
  <c r="CH56" i="4"/>
  <c r="CH27" i="4"/>
  <c r="CH20" i="4"/>
  <c r="CP58" i="3"/>
  <c r="CT41" i="3"/>
  <c r="CT43" i="3" s="1"/>
  <c r="CT44" i="3" s="1"/>
  <c r="CU40" i="3" s="1"/>
  <c r="CP62" i="3"/>
  <c r="CP60" i="3"/>
  <c r="CP59" i="3"/>
  <c r="CQ54" i="3" s="1"/>
  <c r="CS47" i="3"/>
  <c r="CS45" i="3"/>
  <c r="CN65" i="3"/>
  <c r="CR57" i="3"/>
  <c r="CR48" i="3"/>
  <c r="CJ85" i="3"/>
  <c r="CJ26" i="3" s="1"/>
  <c r="CJ84" i="3"/>
  <c r="CQ50" i="3"/>
  <c r="CL70" i="3"/>
  <c r="CL73" i="3" s="1"/>
  <c r="CK78" i="3"/>
  <c r="CD62" i="4" l="1"/>
  <c r="CD60" i="4"/>
  <c r="CD59" i="4"/>
  <c r="CE54" i="4" s="1"/>
  <c r="CH71" i="4"/>
  <c r="CI20" i="4"/>
  <c r="CI56" i="4"/>
  <c r="CI27" i="4"/>
  <c r="CA78" i="4"/>
  <c r="CA79" i="4" s="1"/>
  <c r="CA80" i="4" s="1"/>
  <c r="BZ86" i="4"/>
  <c r="BZ87" i="4" s="1"/>
  <c r="BZ19" i="4"/>
  <c r="BZ22" i="4" s="1"/>
  <c r="CB70" i="4"/>
  <c r="CB73" i="4" s="1"/>
  <c r="CG48" i="4"/>
  <c r="CG57" i="4"/>
  <c r="CG49" i="4"/>
  <c r="CC63" i="4"/>
  <c r="CC64" i="4" s="1"/>
  <c r="CC72" i="4"/>
  <c r="CH41" i="4"/>
  <c r="CH43" i="4" s="1"/>
  <c r="CJ29" i="3"/>
  <c r="CJ33" i="4" s="1"/>
  <c r="CJ34" i="4" s="1"/>
  <c r="CR49" i="3"/>
  <c r="CR50" i="3" s="1"/>
  <c r="CK79" i="3"/>
  <c r="CK80" i="3" s="1"/>
  <c r="CL74" i="3"/>
  <c r="CM69" i="3" s="1"/>
  <c r="CM70" i="3" s="1"/>
  <c r="CM73" i="3" s="1"/>
  <c r="CP63" i="3"/>
  <c r="CP72" i="3"/>
  <c r="CU41" i="3"/>
  <c r="CU43" i="3" s="1"/>
  <c r="CS57" i="3"/>
  <c r="CS48" i="3"/>
  <c r="CL77" i="3"/>
  <c r="CL75" i="3"/>
  <c r="CT47" i="3"/>
  <c r="CT45" i="3"/>
  <c r="CJ86" i="3"/>
  <c r="CJ87" i="3" s="1"/>
  <c r="CJ19" i="3"/>
  <c r="CJ22" i="3" s="1"/>
  <c r="CQ55" i="3"/>
  <c r="CQ58" i="3" s="1"/>
  <c r="CH44" i="4" l="1"/>
  <c r="CI40" i="4" s="1"/>
  <c r="CB77" i="4"/>
  <c r="CB75" i="4"/>
  <c r="CI71" i="4"/>
  <c r="CJ42" i="4"/>
  <c r="CI41" i="4"/>
  <c r="CI43" i="4" s="1"/>
  <c r="CH47" i="4"/>
  <c r="CH45" i="4"/>
  <c r="CG50" i="4"/>
  <c r="CA85" i="4"/>
  <c r="CA26" i="4" s="1"/>
  <c r="CA29" i="4" s="1"/>
  <c r="CA84" i="4"/>
  <c r="CE55" i="4"/>
  <c r="CC65" i="4"/>
  <c r="CB74" i="4"/>
  <c r="CC69" i="4" s="1"/>
  <c r="CC70" i="4" s="1"/>
  <c r="CC73" i="4" s="1"/>
  <c r="CC75" i="4" s="1"/>
  <c r="CD63" i="4"/>
  <c r="CD64" i="4" s="1"/>
  <c r="CD72" i="4"/>
  <c r="CQ59" i="3"/>
  <c r="CR54" i="3" s="1"/>
  <c r="CR55" i="3" s="1"/>
  <c r="CM77" i="3"/>
  <c r="CM75" i="3"/>
  <c r="CM74" i="3"/>
  <c r="CN69" i="3" s="1"/>
  <c r="CU47" i="3"/>
  <c r="CU45" i="3"/>
  <c r="CL78" i="3"/>
  <c r="CQ62" i="3"/>
  <c r="CQ60" i="3"/>
  <c r="CT57" i="3"/>
  <c r="CT48" i="3"/>
  <c r="CS49" i="3"/>
  <c r="CK84" i="3"/>
  <c r="CK85" i="3"/>
  <c r="CK26" i="3" s="1"/>
  <c r="CU44" i="3"/>
  <c r="CV40" i="3" s="1"/>
  <c r="CP64" i="3"/>
  <c r="CE58" i="4" l="1"/>
  <c r="CE59" i="4" s="1"/>
  <c r="CF54" i="4" s="1"/>
  <c r="CF55" i="4" s="1"/>
  <c r="CF58" i="4" s="1"/>
  <c r="CD65" i="4"/>
  <c r="CJ20" i="4"/>
  <c r="CJ56" i="4"/>
  <c r="CJ27" i="4"/>
  <c r="CA86" i="4"/>
  <c r="CA87" i="4" s="1"/>
  <c r="CA19" i="4"/>
  <c r="CA22" i="4" s="1"/>
  <c r="CH57" i="4"/>
  <c r="CH48" i="4"/>
  <c r="CH49" i="4" s="1"/>
  <c r="CC74" i="4"/>
  <c r="CD69" i="4" s="1"/>
  <c r="CC77" i="4"/>
  <c r="CI44" i="4"/>
  <c r="CJ40" i="4" s="1"/>
  <c r="CI47" i="4"/>
  <c r="CI45" i="4"/>
  <c r="CB78" i="4"/>
  <c r="CB79" i="4" s="1"/>
  <c r="CB80" i="4" s="1"/>
  <c r="CK29" i="3"/>
  <c r="CK33" i="4" s="1"/>
  <c r="CK34" i="4" s="1"/>
  <c r="CR58" i="3"/>
  <c r="CK86" i="3"/>
  <c r="CK87" i="3" s="1"/>
  <c r="CK19" i="3"/>
  <c r="CK22" i="3" s="1"/>
  <c r="CN70" i="3"/>
  <c r="CU57" i="3"/>
  <c r="CU48" i="3"/>
  <c r="CS50" i="3"/>
  <c r="CP65" i="3"/>
  <c r="CV41" i="3"/>
  <c r="CV43" i="3" s="1"/>
  <c r="CV44" i="3" s="1"/>
  <c r="CW40" i="3" s="1"/>
  <c r="CL79" i="3"/>
  <c r="CQ63" i="3"/>
  <c r="CQ72" i="3"/>
  <c r="CT49" i="3"/>
  <c r="CM78" i="3"/>
  <c r="CE60" i="4" l="1"/>
  <c r="CE62" i="4"/>
  <c r="CF62" i="4"/>
  <c r="CF60" i="4"/>
  <c r="CB85" i="4"/>
  <c r="CB26" i="4" s="1"/>
  <c r="CB29" i="4" s="1"/>
  <c r="CB84" i="4"/>
  <c r="CJ41" i="4"/>
  <c r="CJ43" i="4" s="1"/>
  <c r="CF59" i="4"/>
  <c r="CG54" i="4" s="1"/>
  <c r="CK42" i="4"/>
  <c r="CD70" i="4"/>
  <c r="CD73" i="4" s="1"/>
  <c r="CI57" i="4"/>
  <c r="CI48" i="4"/>
  <c r="CI49" i="4" s="1"/>
  <c r="CH50" i="4"/>
  <c r="CJ71" i="4"/>
  <c r="CE63" i="4"/>
  <c r="CE64" i="4" s="1"/>
  <c r="CE72" i="4"/>
  <c r="CC78" i="4"/>
  <c r="CC79" i="4" s="1"/>
  <c r="CC80" i="4" s="1"/>
  <c r="CU49" i="3"/>
  <c r="CU50" i="3" s="1"/>
  <c r="CM79" i="3"/>
  <c r="CN73" i="3"/>
  <c r="CN74" i="3" s="1"/>
  <c r="CO69" i="3" s="1"/>
  <c r="CW41" i="3"/>
  <c r="CW43" i="3" s="1"/>
  <c r="CT50" i="3"/>
  <c r="CM80" i="3"/>
  <c r="CV47" i="3"/>
  <c r="CV45" i="3"/>
  <c r="CR62" i="3"/>
  <c r="CR60" i="3"/>
  <c r="CQ64" i="3"/>
  <c r="CL80" i="3"/>
  <c r="CR59" i="3"/>
  <c r="CS54" i="3" s="1"/>
  <c r="CD74" i="4" l="1"/>
  <c r="CE69" i="4" s="1"/>
  <c r="CD77" i="4"/>
  <c r="CD75" i="4"/>
  <c r="CG55" i="4"/>
  <c r="CG58" i="4" s="1"/>
  <c r="CJ44" i="4"/>
  <c r="CK40" i="4" s="1"/>
  <c r="CJ47" i="4"/>
  <c r="CJ45" i="4"/>
  <c r="CE65" i="4"/>
  <c r="CI50" i="4"/>
  <c r="CB86" i="4"/>
  <c r="CB87" i="4" s="1"/>
  <c r="CB19" i="4"/>
  <c r="CB22" i="4" s="1"/>
  <c r="CK56" i="4"/>
  <c r="CK27" i="4"/>
  <c r="CK20" i="4"/>
  <c r="CC84" i="4"/>
  <c r="CC85" i="4"/>
  <c r="CC26" i="4" s="1"/>
  <c r="CC29" i="4" s="1"/>
  <c r="CF63" i="4"/>
  <c r="CF64" i="4" s="1"/>
  <c r="CF72" i="4"/>
  <c r="CN77" i="3"/>
  <c r="CO70" i="3"/>
  <c r="CO73" i="3" s="1"/>
  <c r="CN75" i="3"/>
  <c r="CW47" i="3"/>
  <c r="CW45" i="3"/>
  <c r="CS55" i="3"/>
  <c r="CS58" i="3" s="1"/>
  <c r="CQ65" i="3"/>
  <c r="CV57" i="3"/>
  <c r="CV48" i="3"/>
  <c r="CN78" i="3"/>
  <c r="CL84" i="3"/>
  <c r="CL85" i="3"/>
  <c r="CL26" i="3" s="1"/>
  <c r="CW44" i="3"/>
  <c r="CX40" i="3" s="1"/>
  <c r="CR63" i="3"/>
  <c r="CR72" i="3"/>
  <c r="CM85" i="3"/>
  <c r="CM26" i="3" s="1"/>
  <c r="CM84" i="3"/>
  <c r="CJ48" i="4" l="1"/>
  <c r="CJ57" i="4"/>
  <c r="CJ49" i="4"/>
  <c r="CK41" i="4"/>
  <c r="CK43" i="4" s="1"/>
  <c r="CK44" i="4" s="1"/>
  <c r="CL40" i="4" s="1"/>
  <c r="CG59" i="4"/>
  <c r="CH54" i="4" s="1"/>
  <c r="CG62" i="4"/>
  <c r="CG60" i="4"/>
  <c r="CC86" i="4"/>
  <c r="CC87" i="4" s="1"/>
  <c r="CC19" i="4"/>
  <c r="CC22" i="4" s="1"/>
  <c r="CF65" i="4"/>
  <c r="CD78" i="4"/>
  <c r="CD79" i="4" s="1"/>
  <c r="CD80" i="4" s="1"/>
  <c r="CK71" i="4"/>
  <c r="CE70" i="4"/>
  <c r="CM29" i="3"/>
  <c r="CM33" i="4" s="1"/>
  <c r="CM34" i="4" s="1"/>
  <c r="CL29" i="3"/>
  <c r="CL33" i="4" s="1"/>
  <c r="CL34" i="4" s="1"/>
  <c r="CN79" i="3"/>
  <c r="CN80" i="3" s="1"/>
  <c r="CV49" i="3"/>
  <c r="CV50" i="3" s="1"/>
  <c r="CS59" i="3"/>
  <c r="CT54" i="3" s="1"/>
  <c r="CT55" i="3" s="1"/>
  <c r="CT58" i="3" s="1"/>
  <c r="CO77" i="3"/>
  <c r="CO78" i="3" s="1"/>
  <c r="CO75" i="3"/>
  <c r="CO74" i="3"/>
  <c r="CP69" i="3" s="1"/>
  <c r="CP70" i="3" s="1"/>
  <c r="CP73" i="3" s="1"/>
  <c r="CP77" i="3" s="1"/>
  <c r="CL86" i="3"/>
  <c r="CL87" i="3" s="1"/>
  <c r="CL19" i="3"/>
  <c r="CL22" i="3" s="1"/>
  <c r="CX41" i="3"/>
  <c r="CX43" i="3" s="1"/>
  <c r="CM86" i="3"/>
  <c r="CM87" i="3" s="1"/>
  <c r="CM19" i="3"/>
  <c r="CM22" i="3" s="1"/>
  <c r="CS62" i="3"/>
  <c r="CS60" i="3"/>
  <c r="CR64" i="3"/>
  <c r="CW57" i="3"/>
  <c r="CW48" i="3"/>
  <c r="CE73" i="4" l="1"/>
  <c r="CL41" i="4"/>
  <c r="CL43" i="4" s="1"/>
  <c r="CL47" i="4" s="1"/>
  <c r="CK47" i="4"/>
  <c r="CK45" i="4"/>
  <c r="CL42" i="4"/>
  <c r="CG63" i="4"/>
  <c r="CG64" i="4" s="1"/>
  <c r="CG72" i="4"/>
  <c r="CJ50" i="4"/>
  <c r="CM42" i="4"/>
  <c r="CD85" i="4"/>
  <c r="CD26" i="4" s="1"/>
  <c r="CD29" i="4" s="1"/>
  <c r="CD84" i="4"/>
  <c r="CH55" i="4"/>
  <c r="CH58" i="4" s="1"/>
  <c r="CW49" i="3"/>
  <c r="CW50" i="3" s="1"/>
  <c r="CT59" i="3"/>
  <c r="CU54" i="3" s="1"/>
  <c r="CU55" i="3" s="1"/>
  <c r="CP75" i="3"/>
  <c r="CP74" i="3"/>
  <c r="CQ69" i="3" s="1"/>
  <c r="CQ70" i="3" s="1"/>
  <c r="CX47" i="3"/>
  <c r="CX45" i="3"/>
  <c r="CX44" i="3"/>
  <c r="CY40" i="3" s="1"/>
  <c r="CN84" i="3"/>
  <c r="CN85" i="3"/>
  <c r="CN26" i="3" s="1"/>
  <c r="CS63" i="3"/>
  <c r="CS72" i="3"/>
  <c r="CO79" i="3"/>
  <c r="CR65" i="3"/>
  <c r="CT62" i="3"/>
  <c r="CT60" i="3"/>
  <c r="CP78" i="3"/>
  <c r="CG65" i="4" l="1"/>
  <c r="CK48" i="4"/>
  <c r="CK57" i="4"/>
  <c r="CK49" i="4"/>
  <c r="CM56" i="4"/>
  <c r="CM27" i="4"/>
  <c r="CM20" i="4"/>
  <c r="CH59" i="4"/>
  <c r="CI54" i="4" s="1"/>
  <c r="CL44" i="4"/>
  <c r="CM40" i="4" s="1"/>
  <c r="CL48" i="4"/>
  <c r="CL49" i="4" s="1"/>
  <c r="CL57" i="4"/>
  <c r="CH62" i="4"/>
  <c r="CH60" i="4"/>
  <c r="CD86" i="4"/>
  <c r="CD87" i="4" s="1"/>
  <c r="CD19" i="4"/>
  <c r="CD22" i="4" s="1"/>
  <c r="CL56" i="4"/>
  <c r="CL27" i="4"/>
  <c r="CL20" i="4"/>
  <c r="CL45" i="4"/>
  <c r="CE77" i="4"/>
  <c r="CE75" i="4"/>
  <c r="CE74" i="4"/>
  <c r="CF69" i="4" s="1"/>
  <c r="CS64" i="3"/>
  <c r="CN29" i="3"/>
  <c r="CN33" i="4" s="1"/>
  <c r="CN34" i="4" s="1"/>
  <c r="CQ73" i="3"/>
  <c r="CQ77" i="3" s="1"/>
  <c r="CU58" i="3"/>
  <c r="CU59" i="3" s="1"/>
  <c r="CV54" i="3" s="1"/>
  <c r="CV55" i="3" s="1"/>
  <c r="CV58" i="3" s="1"/>
  <c r="CS65" i="3"/>
  <c r="CT63" i="3"/>
  <c r="CT72" i="3"/>
  <c r="CN86" i="3"/>
  <c r="CN87" i="3" s="1"/>
  <c r="CN19" i="3"/>
  <c r="CN22" i="3" s="1"/>
  <c r="CY41" i="3"/>
  <c r="CY43" i="3" s="1"/>
  <c r="CP79" i="3"/>
  <c r="CO80" i="3"/>
  <c r="CX57" i="3"/>
  <c r="CX48" i="3"/>
  <c r="CL50" i="4" l="1"/>
  <c r="CF70" i="4"/>
  <c r="CF73" i="4" s="1"/>
  <c r="CL71" i="4"/>
  <c r="CM41" i="4"/>
  <c r="CM43" i="4" s="1"/>
  <c r="CK50" i="4"/>
  <c r="CI55" i="4"/>
  <c r="CI58" i="4" s="1"/>
  <c r="CE78" i="4"/>
  <c r="CE79" i="4" s="1"/>
  <c r="CE80" i="4" s="1"/>
  <c r="CH63" i="4"/>
  <c r="CH64" i="4" s="1"/>
  <c r="CH72" i="4"/>
  <c r="CN42" i="4"/>
  <c r="CM71" i="4"/>
  <c r="CQ75" i="3"/>
  <c r="CQ74" i="3"/>
  <c r="CR69" i="3" s="1"/>
  <c r="CR70" i="3" s="1"/>
  <c r="CR73" i="3" s="1"/>
  <c r="CR75" i="3" s="1"/>
  <c r="CX49" i="3"/>
  <c r="CX50" i="3" s="1"/>
  <c r="CT64" i="3"/>
  <c r="CT65" i="3" s="1"/>
  <c r="CU60" i="3"/>
  <c r="CU62" i="3"/>
  <c r="CU63" i="3" s="1"/>
  <c r="CY44" i="3"/>
  <c r="CZ40" i="3" s="1"/>
  <c r="CZ41" i="3" s="1"/>
  <c r="CZ43" i="3" s="1"/>
  <c r="CZ44" i="3" s="1"/>
  <c r="DA40" i="3" s="1"/>
  <c r="CV62" i="3"/>
  <c r="CV60" i="3"/>
  <c r="CV59" i="3"/>
  <c r="CW54" i="3" s="1"/>
  <c r="CP80" i="3"/>
  <c r="CO84" i="3"/>
  <c r="CO85" i="3"/>
  <c r="CO26" i="3" s="1"/>
  <c r="CY47" i="3"/>
  <c r="CY45" i="3"/>
  <c r="CQ78" i="3"/>
  <c r="CI59" i="4" l="1"/>
  <c r="CJ54" i="4" s="1"/>
  <c r="CI62" i="4"/>
  <c r="CI60" i="4"/>
  <c r="CF77" i="4"/>
  <c r="CF75" i="4"/>
  <c r="CF74" i="4"/>
  <c r="CG69" i="4" s="1"/>
  <c r="CN56" i="4"/>
  <c r="CN27" i="4"/>
  <c r="CN20" i="4"/>
  <c r="CR77" i="3"/>
  <c r="CR78" i="3" s="1"/>
  <c r="CH65" i="4"/>
  <c r="CE85" i="4"/>
  <c r="CE26" i="4" s="1"/>
  <c r="CE29" i="4" s="1"/>
  <c r="CE84" i="4"/>
  <c r="CM44" i="4"/>
  <c r="CN40" i="4" s="1"/>
  <c r="CM47" i="4"/>
  <c r="CM45" i="4"/>
  <c r="CR74" i="3"/>
  <c r="CS69" i="3" s="1"/>
  <c r="CS70" i="3" s="1"/>
  <c r="CS73" i="3" s="1"/>
  <c r="CO29" i="3"/>
  <c r="CO33" i="4" s="1"/>
  <c r="CO34" i="4" s="1"/>
  <c r="CU64" i="3"/>
  <c r="CU65" i="3" s="1"/>
  <c r="CU72" i="3"/>
  <c r="CQ79" i="3"/>
  <c r="CQ80" i="3" s="1"/>
  <c r="DA41" i="3"/>
  <c r="DA43" i="3" s="1"/>
  <c r="DA44" i="3" s="1"/>
  <c r="DB40" i="3" s="1"/>
  <c r="CP84" i="3"/>
  <c r="CP85" i="3"/>
  <c r="CP26" i="3" s="1"/>
  <c r="CV63" i="3"/>
  <c r="CV72" i="3"/>
  <c r="CO86" i="3"/>
  <c r="CO87" i="3" s="1"/>
  <c r="CO19" i="3"/>
  <c r="CO22" i="3" s="1"/>
  <c r="CW55" i="3"/>
  <c r="CW58" i="3" s="1"/>
  <c r="CZ47" i="3"/>
  <c r="CZ45" i="3"/>
  <c r="CY57" i="3"/>
  <c r="CY48" i="3"/>
  <c r="CN71" i="4" l="1"/>
  <c r="CM48" i="4"/>
  <c r="CM57" i="4"/>
  <c r="CM49" i="4"/>
  <c r="CG70" i="4"/>
  <c r="CG73" i="4" s="1"/>
  <c r="CN41" i="4"/>
  <c r="CN43" i="4" s="1"/>
  <c r="CN44" i="4" s="1"/>
  <c r="CO40" i="4" s="1"/>
  <c r="CE86" i="4"/>
  <c r="CE87" i="4" s="1"/>
  <c r="CE19" i="4"/>
  <c r="CE22" i="4" s="1"/>
  <c r="CF78" i="4"/>
  <c r="CF79" i="4" s="1"/>
  <c r="CF80" i="4" s="1"/>
  <c r="CI63" i="4"/>
  <c r="CI64" i="4" s="1"/>
  <c r="CI72" i="4"/>
  <c r="CO42" i="4"/>
  <c r="CJ55" i="4"/>
  <c r="CJ58" i="4" s="1"/>
  <c r="CP29" i="3"/>
  <c r="CP33" i="4" s="1"/>
  <c r="CP34" i="4" s="1"/>
  <c r="CW62" i="3"/>
  <c r="CW60" i="3"/>
  <c r="CS77" i="3"/>
  <c r="CS75" i="3"/>
  <c r="DB41" i="3"/>
  <c r="DB43" i="3" s="1"/>
  <c r="DB44" i="3" s="1"/>
  <c r="DC40" i="3" s="1"/>
  <c r="CZ57" i="3"/>
  <c r="CZ48" i="3"/>
  <c r="CP86" i="3"/>
  <c r="CP87" i="3" s="1"/>
  <c r="CP19" i="3"/>
  <c r="CP22" i="3" s="1"/>
  <c r="CY49" i="3"/>
  <c r="CQ85" i="3"/>
  <c r="CQ26" i="3" s="1"/>
  <c r="CQ84" i="3"/>
  <c r="CW59" i="3"/>
  <c r="CX54" i="3" s="1"/>
  <c r="CV64" i="3"/>
  <c r="DA47" i="3"/>
  <c r="DA45" i="3"/>
  <c r="CS74" i="3"/>
  <c r="CT69" i="3" s="1"/>
  <c r="CR79" i="3"/>
  <c r="CF85" i="4" l="1"/>
  <c r="CF26" i="4" s="1"/>
  <c r="CF29" i="4" s="1"/>
  <c r="CF84" i="4"/>
  <c r="CO20" i="4"/>
  <c r="CO56" i="4"/>
  <c r="CO27" i="4"/>
  <c r="CM50" i="4"/>
  <c r="CP42" i="4"/>
  <c r="CO41" i="4"/>
  <c r="CJ59" i="4"/>
  <c r="CK54" i="4" s="1"/>
  <c r="CN47" i="4"/>
  <c r="CN45" i="4"/>
  <c r="CJ62" i="4"/>
  <c r="CJ60" i="4"/>
  <c r="CG74" i="4"/>
  <c r="CH69" i="4" s="1"/>
  <c r="CI65" i="4"/>
  <c r="CG77" i="4"/>
  <c r="CG75" i="4"/>
  <c r="CQ29" i="3"/>
  <c r="CQ33" i="4" s="1"/>
  <c r="CQ34" i="4" s="1"/>
  <c r="DC41" i="3"/>
  <c r="DC43" i="3" s="1"/>
  <c r="DC44" i="3" s="1"/>
  <c r="DD40" i="3" s="1"/>
  <c r="CY50" i="3"/>
  <c r="CZ49" i="3"/>
  <c r="CS78" i="3"/>
  <c r="DB47" i="3"/>
  <c r="DB45" i="3"/>
  <c r="CX55" i="3"/>
  <c r="CX58" i="3" s="1"/>
  <c r="CR80" i="3"/>
  <c r="CQ86" i="3"/>
  <c r="CQ87" i="3" s="1"/>
  <c r="CQ19" i="3"/>
  <c r="CQ22" i="3" s="1"/>
  <c r="DA57" i="3"/>
  <c r="DA48" i="3"/>
  <c r="CV65" i="3"/>
  <c r="CT70" i="3"/>
  <c r="CT73" i="3" s="1"/>
  <c r="CW63" i="3"/>
  <c r="CW72" i="3"/>
  <c r="CO43" i="4" l="1"/>
  <c r="CJ63" i="4"/>
  <c r="CJ64" i="4"/>
  <c r="CJ72" i="4"/>
  <c r="CG78" i="4"/>
  <c r="CG79" i="4" s="1"/>
  <c r="CG80" i="4" s="1"/>
  <c r="CN57" i="4"/>
  <c r="CN48" i="4"/>
  <c r="CN49" i="4" s="1"/>
  <c r="CO71" i="4"/>
  <c r="CQ42" i="4"/>
  <c r="CK55" i="4"/>
  <c r="CK58" i="4" s="1"/>
  <c r="CP27" i="4"/>
  <c r="CP20" i="4"/>
  <c r="CP56" i="4"/>
  <c r="CF86" i="4"/>
  <c r="CF87" i="4" s="1"/>
  <c r="CF19" i="4"/>
  <c r="CF22" i="4" s="1"/>
  <c r="CH70" i="4"/>
  <c r="CH73" i="4" s="1"/>
  <c r="CS79" i="3"/>
  <c r="CS80" i="3" s="1"/>
  <c r="CX59" i="3"/>
  <c r="CY54" i="3" s="1"/>
  <c r="CT77" i="3"/>
  <c r="CT75" i="3"/>
  <c r="CY55" i="3"/>
  <c r="CX62" i="3"/>
  <c r="CX60" i="3"/>
  <c r="CT74" i="3"/>
  <c r="CU69" i="3" s="1"/>
  <c r="DB57" i="3"/>
  <c r="DB48" i="3"/>
  <c r="CR84" i="3"/>
  <c r="CR85" i="3"/>
  <c r="CR26" i="3" s="1"/>
  <c r="DD41" i="3"/>
  <c r="DD43" i="3" s="1"/>
  <c r="CW64" i="3"/>
  <c r="DC47" i="3"/>
  <c r="DC45" i="3"/>
  <c r="DA49" i="3"/>
  <c r="CZ50" i="3"/>
  <c r="CH74" i="4" l="1"/>
  <c r="CI69" i="4" s="1"/>
  <c r="CG84" i="4"/>
  <c r="CG85" i="4"/>
  <c r="CG26" i="4" s="1"/>
  <c r="CG29" i="4" s="1"/>
  <c r="CK62" i="4"/>
  <c r="CK60" i="4"/>
  <c r="CN50" i="4"/>
  <c r="CP71" i="4"/>
  <c r="CQ56" i="4"/>
  <c r="CQ27" i="4"/>
  <c r="CQ20" i="4"/>
  <c r="CJ65" i="4"/>
  <c r="CI70" i="4"/>
  <c r="CI73" i="4" s="1"/>
  <c r="CK59" i="4"/>
  <c r="CL54" i="4" s="1"/>
  <c r="CO47" i="4"/>
  <c r="CO45" i="4"/>
  <c r="CH77" i="4"/>
  <c r="CH75" i="4"/>
  <c r="CO44" i="4"/>
  <c r="CP40" i="4" s="1"/>
  <c r="CY58" i="3"/>
  <c r="CY59" i="3" s="1"/>
  <c r="CZ54" i="3" s="1"/>
  <c r="CZ55" i="3" s="1"/>
  <c r="CZ58" i="3" s="1"/>
  <c r="CZ59" i="3" s="1"/>
  <c r="DA54" i="3" s="1"/>
  <c r="CR29" i="3"/>
  <c r="CR33" i="4" s="1"/>
  <c r="CR34" i="4" s="1"/>
  <c r="CR86" i="3"/>
  <c r="CR87" i="3" s="1"/>
  <c r="CR19" i="3"/>
  <c r="CR22" i="3" s="1"/>
  <c r="DD47" i="3"/>
  <c r="DD45" i="3"/>
  <c r="CW65" i="3"/>
  <c r="DD44" i="3"/>
  <c r="DE40" i="3" s="1"/>
  <c r="CU70" i="3"/>
  <c r="CU73" i="3" s="1"/>
  <c r="CX63" i="3"/>
  <c r="CX72" i="3"/>
  <c r="DA50" i="3"/>
  <c r="CS85" i="3"/>
  <c r="CS26" i="3" s="1"/>
  <c r="CS84" i="3"/>
  <c r="DC57" i="3"/>
  <c r="DC48" i="3"/>
  <c r="DB49" i="3"/>
  <c r="CT78" i="3"/>
  <c r="CR42" i="4" l="1"/>
  <c r="CL55" i="4"/>
  <c r="CL58" i="4" s="1"/>
  <c r="CI74" i="4"/>
  <c r="CJ69" i="4" s="1"/>
  <c r="CI77" i="4"/>
  <c r="CI75" i="4"/>
  <c r="CQ71" i="4"/>
  <c r="CO57" i="4"/>
  <c r="CO48" i="4"/>
  <c r="CO49" i="4" s="1"/>
  <c r="CP41" i="4"/>
  <c r="CP43" i="4" s="1"/>
  <c r="CK63" i="4"/>
  <c r="CK64" i="4" s="1"/>
  <c r="CK72" i="4"/>
  <c r="CX64" i="3"/>
  <c r="CX65" i="3" s="1"/>
  <c r="CY60" i="3"/>
  <c r="CY62" i="3"/>
  <c r="CY63" i="3" s="1"/>
  <c r="CH78" i="4"/>
  <c r="CH79" i="4" s="1"/>
  <c r="CH80" i="4" s="1"/>
  <c r="CG86" i="4"/>
  <c r="CG87" i="4" s="1"/>
  <c r="CG19" i="4"/>
  <c r="CG22" i="4" s="1"/>
  <c r="DC49" i="3"/>
  <c r="DC50" i="3" s="1"/>
  <c r="CS29" i="3"/>
  <c r="CS33" i="4" s="1"/>
  <c r="CS34" i="4" s="1"/>
  <c r="CT79" i="3"/>
  <c r="CT80" i="3" s="1"/>
  <c r="CU77" i="3"/>
  <c r="CU75" i="3"/>
  <c r="DD57" i="3"/>
  <c r="DD48" i="3"/>
  <c r="DE41" i="3"/>
  <c r="DE43" i="3" s="1"/>
  <c r="CS86" i="3"/>
  <c r="CS87" i="3" s="1"/>
  <c r="CS19" i="3"/>
  <c r="CS22" i="3" s="1"/>
  <c r="DA55" i="3"/>
  <c r="DA58" i="3" s="1"/>
  <c r="DB50" i="3"/>
  <c r="CU74" i="3"/>
  <c r="CV69" i="3" s="1"/>
  <c r="CZ62" i="3"/>
  <c r="CZ60" i="3"/>
  <c r="CY72" i="3" l="1"/>
  <c r="CO50" i="4"/>
  <c r="CP44" i="4"/>
  <c r="CQ40" i="4" s="1"/>
  <c r="CP47" i="4"/>
  <c r="CP45" i="4"/>
  <c r="CL62" i="4"/>
  <c r="CL60" i="4"/>
  <c r="CH84" i="4"/>
  <c r="CH85" i="4"/>
  <c r="CH26" i="4" s="1"/>
  <c r="CH29" i="4" s="1"/>
  <c r="CR56" i="4"/>
  <c r="CR20" i="4"/>
  <c r="CR27" i="4"/>
  <c r="CS42" i="4"/>
  <c r="CI78" i="4"/>
  <c r="CI79" i="4" s="1"/>
  <c r="CI80" i="4" s="1"/>
  <c r="CK65" i="4"/>
  <c r="CJ70" i="4"/>
  <c r="CJ73" i="4" s="1"/>
  <c r="CJ74" i="4" s="1"/>
  <c r="CK69" i="4" s="1"/>
  <c r="CL59" i="4"/>
  <c r="CM54" i="4" s="1"/>
  <c r="CY64" i="3"/>
  <c r="CY65" i="3" s="1"/>
  <c r="DA59" i="3"/>
  <c r="DB54" i="3" s="1"/>
  <c r="DB55" i="3" s="1"/>
  <c r="DB58" i="3" s="1"/>
  <c r="DB59" i="3" s="1"/>
  <c r="DC54" i="3" s="1"/>
  <c r="DE47" i="3"/>
  <c r="DE45" i="3"/>
  <c r="CZ63" i="3"/>
  <c r="CZ72" i="3"/>
  <c r="DD49" i="3"/>
  <c r="DA62" i="3"/>
  <c r="DA60" i="3"/>
  <c r="CT85" i="3"/>
  <c r="CT26" i="3" s="1"/>
  <c r="CT84" i="3"/>
  <c r="CV70" i="3"/>
  <c r="CV73" i="3" s="1"/>
  <c r="DE44" i="3"/>
  <c r="DF40" i="3" s="1"/>
  <c r="CU78" i="3"/>
  <c r="CK70" i="4" l="1"/>
  <c r="CK73" i="4" s="1"/>
  <c r="CK74" i="4" s="1"/>
  <c r="CL69" i="4" s="1"/>
  <c r="CL63" i="4"/>
  <c r="CL64" i="4" s="1"/>
  <c r="CL72" i="4"/>
  <c r="CM55" i="4"/>
  <c r="CR71" i="4"/>
  <c r="CJ77" i="4"/>
  <c r="CJ75" i="4"/>
  <c r="CP48" i="4"/>
  <c r="CP49" i="4" s="1"/>
  <c r="CP57" i="4"/>
  <c r="CQ41" i="4"/>
  <c r="CQ43" i="4" s="1"/>
  <c r="CI84" i="4"/>
  <c r="CI85" i="4"/>
  <c r="CI26" i="4" s="1"/>
  <c r="CI29" i="4" s="1"/>
  <c r="CS27" i="4"/>
  <c r="CS56" i="4"/>
  <c r="CS20" i="4"/>
  <c r="CH86" i="4"/>
  <c r="CH87" i="4" s="1"/>
  <c r="CH19" i="4"/>
  <c r="CH22" i="4" s="1"/>
  <c r="CT29" i="3"/>
  <c r="CT33" i="4" s="1"/>
  <c r="CT34" i="4" s="1"/>
  <c r="CU79" i="3"/>
  <c r="CU80" i="3" s="1"/>
  <c r="CV77" i="3"/>
  <c r="CV75" i="3"/>
  <c r="CV74" i="3"/>
  <c r="CW69" i="3" s="1"/>
  <c r="DA63" i="3"/>
  <c r="DA72" i="3"/>
  <c r="DC55" i="3"/>
  <c r="DC58" i="3" s="1"/>
  <c r="DB62" i="3"/>
  <c r="DB60" i="3"/>
  <c r="DD50" i="3"/>
  <c r="CT86" i="3"/>
  <c r="CT87" i="3" s="1"/>
  <c r="CT19" i="3"/>
  <c r="CT22" i="3" s="1"/>
  <c r="CZ64" i="3"/>
  <c r="DF41" i="3"/>
  <c r="DE57" i="3"/>
  <c r="DE48" i="3"/>
  <c r="CQ44" i="4" l="1"/>
  <c r="CR40" i="4" s="1"/>
  <c r="CM58" i="4"/>
  <c r="CP50" i="4"/>
  <c r="CI86" i="4"/>
  <c r="CI87" i="4" s="1"/>
  <c r="CI19" i="4"/>
  <c r="CI22" i="4" s="1"/>
  <c r="CR41" i="4"/>
  <c r="CR43" i="4" s="1"/>
  <c r="CJ78" i="4"/>
  <c r="CJ79" i="4" s="1"/>
  <c r="CJ80" i="4" s="1"/>
  <c r="CL65" i="4"/>
  <c r="CQ47" i="4"/>
  <c r="CQ45" i="4"/>
  <c r="CL70" i="4"/>
  <c r="CK77" i="4"/>
  <c r="CK75" i="4"/>
  <c r="CT42" i="4"/>
  <c r="DA64" i="3"/>
  <c r="DA65" i="3" s="1"/>
  <c r="CS71" i="4"/>
  <c r="DF43" i="3"/>
  <c r="DF44" i="3" s="1"/>
  <c r="DG40" i="3" s="1"/>
  <c r="DG41" i="3" s="1"/>
  <c r="DG43" i="3" s="1"/>
  <c r="DC62" i="3"/>
  <c r="DC60" i="3"/>
  <c r="CU85" i="3"/>
  <c r="CU26" i="3" s="1"/>
  <c r="CU84" i="3"/>
  <c r="DB63" i="3"/>
  <c r="DB72" i="3"/>
  <c r="CW70" i="3"/>
  <c r="CW73" i="3" s="1"/>
  <c r="CW74" i="3" s="1"/>
  <c r="CX69" i="3" s="1"/>
  <c r="DC59" i="3"/>
  <c r="DD54" i="3" s="1"/>
  <c r="DE49" i="3"/>
  <c r="CZ65" i="3"/>
  <c r="DF47" i="3"/>
  <c r="DF45" i="3"/>
  <c r="CV78" i="3"/>
  <c r="CR44" i="4" l="1"/>
  <c r="CS40" i="4" s="1"/>
  <c r="CJ85" i="4"/>
  <c r="CJ26" i="4" s="1"/>
  <c r="CJ29" i="4" s="1"/>
  <c r="CJ84" i="4"/>
  <c r="CL73" i="4"/>
  <c r="CK78" i="4"/>
  <c r="CK79" i="4" s="1"/>
  <c r="CK80" i="4" s="1"/>
  <c r="CS41" i="4"/>
  <c r="CS43" i="4" s="1"/>
  <c r="CQ57" i="4"/>
  <c r="CQ48" i="4"/>
  <c r="CQ49" i="4" s="1"/>
  <c r="CR47" i="4"/>
  <c r="CR45" i="4"/>
  <c r="CT56" i="4"/>
  <c r="CT27" i="4"/>
  <c r="CT20" i="4"/>
  <c r="CM62" i="4"/>
  <c r="CM60" i="4"/>
  <c r="CM59" i="4"/>
  <c r="CN54" i="4" s="1"/>
  <c r="CU29" i="3"/>
  <c r="CU33" i="4" s="1"/>
  <c r="CU34" i="4" s="1"/>
  <c r="CV79" i="3"/>
  <c r="CV80" i="3" s="1"/>
  <c r="DB64" i="3"/>
  <c r="DB65" i="3" s="1"/>
  <c r="DG47" i="3"/>
  <c r="DG45" i="3"/>
  <c r="DG44" i="3"/>
  <c r="DH40" i="3" s="1"/>
  <c r="CX70" i="3"/>
  <c r="CX73" i="3" s="1"/>
  <c r="DE50" i="3"/>
  <c r="DD55" i="3"/>
  <c r="DD58" i="3" s="1"/>
  <c r="DF57" i="3"/>
  <c r="DF48" i="3"/>
  <c r="CW77" i="3"/>
  <c r="CW75" i="3"/>
  <c r="CU86" i="3"/>
  <c r="CU87" i="3" s="1"/>
  <c r="CU19" i="3"/>
  <c r="CU22" i="3" s="1"/>
  <c r="DC63" i="3"/>
  <c r="DC72" i="3"/>
  <c r="CU42" i="4" l="1"/>
  <c r="CK84" i="4"/>
  <c r="CK85" i="4"/>
  <c r="CK26" i="4" s="1"/>
  <c r="CK29" i="4" s="1"/>
  <c r="CL77" i="4"/>
  <c r="CL75" i="4"/>
  <c r="CL74" i="4"/>
  <c r="CM69" i="4" s="1"/>
  <c r="CM63" i="4"/>
  <c r="CM64" i="4"/>
  <c r="CM72" i="4"/>
  <c r="CQ50" i="4"/>
  <c r="CJ86" i="4"/>
  <c r="CJ87" i="4" s="1"/>
  <c r="CJ19" i="4"/>
  <c r="CJ22" i="4" s="1"/>
  <c r="CR57" i="4"/>
  <c r="CR48" i="4"/>
  <c r="CR49" i="4" s="1"/>
  <c r="CN55" i="4"/>
  <c r="CN58" i="4" s="1"/>
  <c r="CS44" i="4"/>
  <c r="CT40" i="4" s="1"/>
  <c r="CT71" i="4"/>
  <c r="CS47" i="4"/>
  <c r="CS45" i="4"/>
  <c r="DF49" i="3"/>
  <c r="DC64" i="3"/>
  <c r="DC65" i="3" s="1"/>
  <c r="DD62" i="3"/>
  <c r="DD60" i="3"/>
  <c r="DD59" i="3"/>
  <c r="DE54" i="3" s="1"/>
  <c r="CX77" i="3"/>
  <c r="CX75" i="3"/>
  <c r="CV84" i="3"/>
  <c r="CV85" i="3"/>
  <c r="CV26" i="3" s="1"/>
  <c r="DF50" i="3"/>
  <c r="DH41" i="3"/>
  <c r="CW78" i="3"/>
  <c r="CX74" i="3"/>
  <c r="CY69" i="3" s="1"/>
  <c r="DG57" i="3"/>
  <c r="DG48" i="3"/>
  <c r="CN62" i="4" l="1"/>
  <c r="CN60" i="4"/>
  <c r="CN59" i="4"/>
  <c r="CO54" i="4" s="1"/>
  <c r="CL78" i="4"/>
  <c r="CL79" i="4" s="1"/>
  <c r="CL80" i="4" s="1"/>
  <c r="CR50" i="4"/>
  <c r="CT41" i="4"/>
  <c r="CT43" i="4" s="1"/>
  <c r="CK86" i="4"/>
  <c r="CK87" i="4" s="1"/>
  <c r="CK19" i="4"/>
  <c r="CK22" i="4" s="1"/>
  <c r="CM65" i="4"/>
  <c r="CW79" i="3"/>
  <c r="CW80" i="3" s="1"/>
  <c r="CM70" i="4"/>
  <c r="CM73" i="4" s="1"/>
  <c r="CS57" i="4"/>
  <c r="CS48" i="4"/>
  <c r="CS49" i="4" s="1"/>
  <c r="CU56" i="4"/>
  <c r="CU27" i="4"/>
  <c r="CU20" i="4"/>
  <c r="CV29" i="3"/>
  <c r="CV33" i="4" s="1"/>
  <c r="CV34" i="4" s="1"/>
  <c r="DH43" i="3"/>
  <c r="CX78" i="3"/>
  <c r="CY70" i="3"/>
  <c r="DG49" i="3"/>
  <c r="DE55" i="3"/>
  <c r="DE58" i="3" s="1"/>
  <c r="DE59" i="3" s="1"/>
  <c r="DF54" i="3" s="1"/>
  <c r="CV86" i="3"/>
  <c r="CV87" i="3" s="1"/>
  <c r="CV19" i="3"/>
  <c r="CV22" i="3" s="1"/>
  <c r="DD63" i="3"/>
  <c r="DD72" i="3"/>
  <c r="CT47" i="4" l="1"/>
  <c r="CT45" i="4"/>
  <c r="CT44" i="4"/>
  <c r="CU40" i="4" s="1"/>
  <c r="CL84" i="4"/>
  <c r="CL85" i="4"/>
  <c r="CL26" i="4" s="1"/>
  <c r="CL29" i="4" s="1"/>
  <c r="CM74" i="4"/>
  <c r="CN69" i="4" s="1"/>
  <c r="CM77" i="4"/>
  <c r="CM75" i="4"/>
  <c r="CU71" i="4"/>
  <c r="CO55" i="4"/>
  <c r="CV42" i="4"/>
  <c r="CS50" i="4"/>
  <c r="CN63" i="4"/>
  <c r="CN64" i="4" s="1"/>
  <c r="CN72" i="4"/>
  <c r="DD64" i="3"/>
  <c r="DD65" i="3" s="1"/>
  <c r="CW85" i="3"/>
  <c r="CW26" i="3" s="1"/>
  <c r="CW84" i="3"/>
  <c r="CX79" i="3"/>
  <c r="CY73" i="3"/>
  <c r="DF55" i="3"/>
  <c r="DF58" i="3" s="1"/>
  <c r="DH47" i="3"/>
  <c r="DH45" i="3"/>
  <c r="DE62" i="3"/>
  <c r="DE60" i="3"/>
  <c r="DG50" i="3"/>
  <c r="DH44" i="3"/>
  <c r="DI40" i="3" s="1"/>
  <c r="CV20" i="4" l="1"/>
  <c r="CV56" i="4"/>
  <c r="CV27" i="4"/>
  <c r="CO58" i="4"/>
  <c r="CN70" i="4"/>
  <c r="CN65" i="4"/>
  <c r="CM78" i="4"/>
  <c r="CM79" i="4" s="1"/>
  <c r="CM80" i="4" s="1"/>
  <c r="CL86" i="4"/>
  <c r="CL87" i="4" s="1"/>
  <c r="CL19" i="4"/>
  <c r="CL22" i="4" s="1"/>
  <c r="CU41" i="4"/>
  <c r="CU43" i="4" s="1"/>
  <c r="CT57" i="4"/>
  <c r="CT48" i="4"/>
  <c r="CT49" i="4" s="1"/>
  <c r="CW29" i="3"/>
  <c r="CW33" i="4" s="1"/>
  <c r="CW34" i="4" s="1"/>
  <c r="DF62" i="3"/>
  <c r="DF60" i="3"/>
  <c r="DF59" i="3"/>
  <c r="DG54" i="3" s="1"/>
  <c r="CX80" i="3"/>
  <c r="DI41" i="3"/>
  <c r="DI43" i="3" s="1"/>
  <c r="CW86" i="3"/>
  <c r="CW87" i="3" s="1"/>
  <c r="CW19" i="3"/>
  <c r="CW22" i="3" s="1"/>
  <c r="DH57" i="3"/>
  <c r="DH48" i="3"/>
  <c r="DE63" i="3"/>
  <c r="DE72" i="3"/>
  <c r="CY77" i="3"/>
  <c r="CY75" i="3"/>
  <c r="CY74" i="3"/>
  <c r="CZ69" i="3" s="1"/>
  <c r="CM84" i="4" l="1"/>
  <c r="CM85" i="4"/>
  <c r="CM26" i="4" s="1"/>
  <c r="CM29" i="4" s="1"/>
  <c r="CN73" i="4"/>
  <c r="CT50" i="4"/>
  <c r="CO62" i="4"/>
  <c r="CO60" i="4"/>
  <c r="CV71" i="4"/>
  <c r="CU44" i="4"/>
  <c r="CV40" i="4" s="1"/>
  <c r="CU47" i="4"/>
  <c r="CU45" i="4"/>
  <c r="CW42" i="4"/>
  <c r="CO59" i="4"/>
  <c r="CP54" i="4" s="1"/>
  <c r="DH49" i="3"/>
  <c r="DH50" i="3" s="1"/>
  <c r="DI47" i="3"/>
  <c r="DI45" i="3"/>
  <c r="DI44" i="3"/>
  <c r="DJ40" i="3" s="1"/>
  <c r="CY78" i="3"/>
  <c r="DG55" i="3"/>
  <c r="CX85" i="3"/>
  <c r="CX26" i="3" s="1"/>
  <c r="CX84" i="3"/>
  <c r="CZ70" i="3"/>
  <c r="CZ73" i="3" s="1"/>
  <c r="DE64" i="3"/>
  <c r="DF63" i="3"/>
  <c r="DF72" i="3"/>
  <c r="CO63" i="4" l="1"/>
  <c r="CO64" i="4" s="1"/>
  <c r="CO72" i="4"/>
  <c r="CU57" i="4"/>
  <c r="CU48" i="4"/>
  <c r="CU49" i="4" s="1"/>
  <c r="CV41" i="4"/>
  <c r="CV43" i="4" s="1"/>
  <c r="CN77" i="4"/>
  <c r="CN75" i="4"/>
  <c r="CN74" i="4"/>
  <c r="CO69" i="4" s="1"/>
  <c r="CP55" i="4"/>
  <c r="CP58" i="4" s="1"/>
  <c r="CW20" i="4"/>
  <c r="CW56" i="4"/>
  <c r="CW27" i="4"/>
  <c r="CM86" i="4"/>
  <c r="CM87" i="4" s="1"/>
  <c r="CM19" i="4"/>
  <c r="CM22" i="4" s="1"/>
  <c r="CY79" i="3"/>
  <c r="CY80" i="3" s="1"/>
  <c r="DF64" i="3"/>
  <c r="DF65" i="3" s="1"/>
  <c r="CX29" i="3"/>
  <c r="CX33" i="4" s="1"/>
  <c r="CX34" i="4" s="1"/>
  <c r="CZ77" i="3"/>
  <c r="CZ75" i="3"/>
  <c r="CZ74" i="3"/>
  <c r="DA69" i="3" s="1"/>
  <c r="DJ41" i="3"/>
  <c r="DG58" i="3"/>
  <c r="DE65" i="3"/>
  <c r="CX86" i="3"/>
  <c r="CX87" i="3" s="1"/>
  <c r="CX19" i="3"/>
  <c r="CX22" i="3" s="1"/>
  <c r="DI57" i="3"/>
  <c r="DI48" i="3"/>
  <c r="CV44" i="4" l="1"/>
  <c r="CW40" i="4" s="1"/>
  <c r="CV47" i="4"/>
  <c r="CV45" i="4"/>
  <c r="CP62" i="4"/>
  <c r="CP60" i="4"/>
  <c r="CO70" i="4"/>
  <c r="CU50" i="4"/>
  <c r="CP59" i="4"/>
  <c r="CQ54" i="4" s="1"/>
  <c r="CX42" i="4"/>
  <c r="CW71" i="4"/>
  <c r="CN78" i="4"/>
  <c r="CN79" i="4" s="1"/>
  <c r="CN80" i="4" s="1"/>
  <c r="CO65" i="4"/>
  <c r="DI49" i="3"/>
  <c r="DJ43" i="3"/>
  <c r="DI50" i="3"/>
  <c r="DG62" i="3"/>
  <c r="DG60" i="3"/>
  <c r="DA70" i="3"/>
  <c r="DA73" i="3" s="1"/>
  <c r="DA74" i="3" s="1"/>
  <c r="DB69" i="3" s="1"/>
  <c r="CZ78" i="3"/>
  <c r="CY85" i="3"/>
  <c r="CY26" i="3" s="1"/>
  <c r="CY84" i="3"/>
  <c r="DG59" i="3"/>
  <c r="DH54" i="3" s="1"/>
  <c r="CX27" i="4" l="1"/>
  <c r="CX56" i="4"/>
  <c r="CX20" i="4"/>
  <c r="CN84" i="4"/>
  <c r="CN85" i="4"/>
  <c r="CN26" i="4" s="1"/>
  <c r="CN29" i="4" s="1"/>
  <c r="CQ55" i="4"/>
  <c r="CQ58" i="4" s="1"/>
  <c r="CP63" i="4"/>
  <c r="CP64" i="4" s="1"/>
  <c r="CP72" i="4"/>
  <c r="CV48" i="4"/>
  <c r="CV49" i="4" s="1"/>
  <c r="CV57" i="4"/>
  <c r="CO73" i="4"/>
  <c r="CW41" i="4"/>
  <c r="CW43" i="4" s="1"/>
  <c r="CW44" i="4" s="1"/>
  <c r="CX40" i="4" s="1"/>
  <c r="CY29" i="3"/>
  <c r="CY33" i="4" s="1"/>
  <c r="CY34" i="4" s="1"/>
  <c r="CY86" i="3"/>
  <c r="CY87" i="3" s="1"/>
  <c r="CY19" i="3"/>
  <c r="CY22" i="3" s="1"/>
  <c r="DG63" i="3"/>
  <c r="DG72" i="3"/>
  <c r="CZ79" i="3"/>
  <c r="DB70" i="3"/>
  <c r="DB73" i="3" s="1"/>
  <c r="DA77" i="3"/>
  <c r="DA75" i="3"/>
  <c r="DJ47" i="3"/>
  <c r="DJ45" i="3"/>
  <c r="DH55" i="3"/>
  <c r="DH58" i="3" s="1"/>
  <c r="DJ44" i="3"/>
  <c r="DK40" i="3" s="1"/>
  <c r="CQ59" i="4" l="1"/>
  <c r="CR54" i="4" s="1"/>
  <c r="CQ62" i="4"/>
  <c r="CQ60" i="4"/>
  <c r="CP65" i="4"/>
  <c r="CX41" i="4"/>
  <c r="CX43" i="4" s="1"/>
  <c r="CW47" i="4"/>
  <c r="CW45" i="4"/>
  <c r="CY42" i="4"/>
  <c r="CN86" i="4"/>
  <c r="CN87" i="4" s="1"/>
  <c r="CN19" i="4"/>
  <c r="CN22" i="4" s="1"/>
  <c r="CO77" i="4"/>
  <c r="CO75" i="4"/>
  <c r="CO74" i="4"/>
  <c r="CP69" i="4" s="1"/>
  <c r="CX71" i="4"/>
  <c r="CV50" i="4"/>
  <c r="DG64" i="3"/>
  <c r="DG65" i="3" s="1"/>
  <c r="DH62" i="3"/>
  <c r="DH60" i="3"/>
  <c r="DB77" i="3"/>
  <c r="DB75" i="3"/>
  <c r="DH59" i="3"/>
  <c r="DI54" i="3" s="1"/>
  <c r="CZ80" i="3"/>
  <c r="DJ57" i="3"/>
  <c r="DJ48" i="3"/>
  <c r="DA78" i="3"/>
  <c r="DK41" i="3"/>
  <c r="DK43" i="3" s="1"/>
  <c r="DB74" i="3"/>
  <c r="DC69" i="3" s="1"/>
  <c r="CX44" i="4" l="1"/>
  <c r="CY40" i="4" s="1"/>
  <c r="CX47" i="4"/>
  <c r="CX45" i="4"/>
  <c r="CY56" i="4"/>
  <c r="CY27" i="4"/>
  <c r="CY20" i="4"/>
  <c r="CO78" i="4"/>
  <c r="CO79" i="4" s="1"/>
  <c r="CO80" i="4" s="1"/>
  <c r="CQ63" i="4"/>
  <c r="CQ64" i="4" s="1"/>
  <c r="CQ72" i="4"/>
  <c r="CP70" i="4"/>
  <c r="CP73" i="4" s="1"/>
  <c r="CW48" i="4"/>
  <c r="CW49" i="4" s="1"/>
  <c r="CW57" i="4"/>
  <c r="CR55" i="4"/>
  <c r="CR58" i="4" s="1"/>
  <c r="DJ49" i="3"/>
  <c r="DJ50" i="3" s="1"/>
  <c r="DA79" i="3"/>
  <c r="DA80" i="3" s="1"/>
  <c r="DK47" i="3"/>
  <c r="DK45" i="3"/>
  <c r="DK44" i="3"/>
  <c r="DL40" i="3" s="1"/>
  <c r="CZ84" i="3"/>
  <c r="CZ85" i="3"/>
  <c r="CZ26" i="3" s="1"/>
  <c r="DI55" i="3"/>
  <c r="DI58" i="3" s="1"/>
  <c r="DC70" i="3"/>
  <c r="DB78" i="3"/>
  <c r="DH63" i="3"/>
  <c r="DH72" i="3"/>
  <c r="CQ65" i="4" l="1"/>
  <c r="CP77" i="4"/>
  <c r="CP75" i="4"/>
  <c r="CP74" i="4"/>
  <c r="CQ69" i="4" s="1"/>
  <c r="CY71" i="4"/>
  <c r="CR62" i="4"/>
  <c r="CR60" i="4"/>
  <c r="CO84" i="4"/>
  <c r="CO85" i="4"/>
  <c r="CO26" i="4" s="1"/>
  <c r="CO29" i="4" s="1"/>
  <c r="CX57" i="4"/>
  <c r="CX48" i="4"/>
  <c r="CX49" i="4" s="1"/>
  <c r="CW50" i="4"/>
  <c r="CR59" i="4"/>
  <c r="CS54" i="4" s="1"/>
  <c r="CY41" i="4"/>
  <c r="CY43" i="4" s="1"/>
  <c r="DH64" i="3"/>
  <c r="DH65" i="3" s="1"/>
  <c r="CZ29" i="3"/>
  <c r="CZ33" i="4" s="1"/>
  <c r="CZ34" i="4" s="1"/>
  <c r="DI62" i="3"/>
  <c r="DI60" i="3"/>
  <c r="DI59" i="3"/>
  <c r="DJ54" i="3" s="1"/>
  <c r="DC73" i="3"/>
  <c r="DA84" i="3"/>
  <c r="DA85" i="3"/>
  <c r="DA26" i="3" s="1"/>
  <c r="DL41" i="3"/>
  <c r="DL43" i="3" s="1"/>
  <c r="DL44" i="3" s="1"/>
  <c r="DM40" i="3" s="1"/>
  <c r="DB79" i="3"/>
  <c r="CZ86" i="3"/>
  <c r="CZ87" i="3" s="1"/>
  <c r="CZ19" i="3"/>
  <c r="CZ22" i="3" s="1"/>
  <c r="DK57" i="3"/>
  <c r="DK48" i="3"/>
  <c r="CQ70" i="4" l="1"/>
  <c r="CQ73" i="4" s="1"/>
  <c r="CS55" i="4"/>
  <c r="CS58" i="4" s="1"/>
  <c r="CO86" i="4"/>
  <c r="CO87" i="4" s="1"/>
  <c r="CO19" i="4"/>
  <c r="CO22" i="4" s="1"/>
  <c r="CX50" i="4"/>
  <c r="CP78" i="4"/>
  <c r="CP79" i="4" s="1"/>
  <c r="CP80" i="4" s="1"/>
  <c r="CZ42" i="4"/>
  <c r="CR63" i="4"/>
  <c r="CR64" i="4" s="1"/>
  <c r="CR72" i="4"/>
  <c r="CY47" i="4"/>
  <c r="CY45" i="4"/>
  <c r="CY44" i="4"/>
  <c r="CZ40" i="4" s="1"/>
  <c r="DA29" i="3"/>
  <c r="DA33" i="4" s="1"/>
  <c r="DA34" i="4" s="1"/>
  <c r="DK49" i="3"/>
  <c r="DK50" i="3" s="1"/>
  <c r="DM41" i="3"/>
  <c r="DM43" i="3" s="1"/>
  <c r="DJ55" i="3"/>
  <c r="DJ58" i="3" s="1"/>
  <c r="DB80" i="3"/>
  <c r="DC77" i="3"/>
  <c r="DC75" i="3"/>
  <c r="DL47" i="3"/>
  <c r="DL45" i="3"/>
  <c r="DI63" i="3"/>
  <c r="DI72" i="3"/>
  <c r="DA86" i="3"/>
  <c r="DA87" i="3" s="1"/>
  <c r="DA19" i="3"/>
  <c r="DA22" i="3" s="1"/>
  <c r="DC74" i="3"/>
  <c r="DD69" i="3" s="1"/>
  <c r="CQ77" i="4" l="1"/>
  <c r="CQ75" i="4"/>
  <c r="CQ74" i="4"/>
  <c r="CR69" i="4" s="1"/>
  <c r="CS59" i="4"/>
  <c r="CT54" i="4" s="1"/>
  <c r="CS62" i="4"/>
  <c r="CS60" i="4"/>
  <c r="CY48" i="4"/>
  <c r="CY49" i="4" s="1"/>
  <c r="CY57" i="4"/>
  <c r="CP84" i="4"/>
  <c r="CP85" i="4"/>
  <c r="CP26" i="4" s="1"/>
  <c r="CP29" i="4" s="1"/>
  <c r="CZ41" i="4"/>
  <c r="CZ43" i="4" s="1"/>
  <c r="CZ47" i="4" s="1"/>
  <c r="CR65" i="4"/>
  <c r="DA42" i="4"/>
  <c r="CZ56" i="4"/>
  <c r="CZ20" i="4"/>
  <c r="CZ27" i="4"/>
  <c r="DJ62" i="3"/>
  <c r="DJ60" i="3"/>
  <c r="DM47" i="3"/>
  <c r="DM45" i="3"/>
  <c r="DM44" i="3"/>
  <c r="DN40" i="3" s="1"/>
  <c r="DC78" i="3"/>
  <c r="DB84" i="3"/>
  <c r="DB85" i="3"/>
  <c r="DB26" i="3" s="1"/>
  <c r="DJ59" i="3"/>
  <c r="DK54" i="3" s="1"/>
  <c r="DL57" i="3"/>
  <c r="DL48" i="3"/>
  <c r="DI64" i="3"/>
  <c r="DD70" i="3"/>
  <c r="DD73" i="3" s="1"/>
  <c r="DD74" i="3" s="1"/>
  <c r="DE69" i="3" s="1"/>
  <c r="CZ44" i="4" l="1"/>
  <c r="DA40" i="4" s="1"/>
  <c r="CY50" i="4"/>
  <c r="CS63" i="4"/>
  <c r="CS64" i="4" s="1"/>
  <c r="CS72" i="4"/>
  <c r="CT55" i="4"/>
  <c r="CT58" i="4" s="1"/>
  <c r="DA56" i="4"/>
  <c r="DA20" i="4"/>
  <c r="DA27" i="4"/>
  <c r="CP86" i="4"/>
  <c r="CP87" i="4" s="1"/>
  <c r="CP19" i="4"/>
  <c r="CP22" i="4" s="1"/>
  <c r="CR70" i="4"/>
  <c r="CR73" i="4" s="1"/>
  <c r="CZ57" i="4"/>
  <c r="CZ48" i="4"/>
  <c r="CZ49" i="4" s="1"/>
  <c r="CZ45" i="4"/>
  <c r="CZ71" i="4"/>
  <c r="CQ78" i="4"/>
  <c r="CQ79" i="4" s="1"/>
  <c r="CQ80" i="4" s="1"/>
  <c r="DL49" i="3"/>
  <c r="DB29" i="3"/>
  <c r="DB33" i="4" s="1"/>
  <c r="DB34" i="4" s="1"/>
  <c r="DE70" i="3"/>
  <c r="DE73" i="3" s="1"/>
  <c r="DD77" i="3"/>
  <c r="DD75" i="3"/>
  <c r="DK55" i="3"/>
  <c r="DK58" i="3" s="1"/>
  <c r="DC79" i="3"/>
  <c r="DB86" i="3"/>
  <c r="DB87" i="3" s="1"/>
  <c r="DB19" i="3"/>
  <c r="DB22" i="3" s="1"/>
  <c r="DL50" i="3"/>
  <c r="DN41" i="3"/>
  <c r="DN43" i="3" s="1"/>
  <c r="DI65" i="3"/>
  <c r="DM57" i="3"/>
  <c r="DM48" i="3"/>
  <c r="DJ63" i="3"/>
  <c r="DJ72" i="3"/>
  <c r="CR77" i="4" l="1"/>
  <c r="CR75" i="4"/>
  <c r="CR74" i="4"/>
  <c r="CS69" i="4" s="1"/>
  <c r="CT62" i="4"/>
  <c r="CT60" i="4"/>
  <c r="CS65" i="4"/>
  <c r="CQ84" i="4"/>
  <c r="CQ85" i="4"/>
  <c r="CQ26" i="4" s="1"/>
  <c r="CQ29" i="4" s="1"/>
  <c r="DA71" i="4"/>
  <c r="CT59" i="4"/>
  <c r="CU54" i="4" s="1"/>
  <c r="CZ50" i="4"/>
  <c r="DB42" i="4"/>
  <c r="DA41" i="4"/>
  <c r="DA43" i="4" s="1"/>
  <c r="DE74" i="3"/>
  <c r="DF69" i="3" s="1"/>
  <c r="DF70" i="3" s="1"/>
  <c r="DF73" i="3" s="1"/>
  <c r="DK59" i="3"/>
  <c r="DL54" i="3" s="1"/>
  <c r="DL55" i="3" s="1"/>
  <c r="DN47" i="3"/>
  <c r="DN45" i="3"/>
  <c r="DN44" i="3"/>
  <c r="DO40" i="3" s="1"/>
  <c r="DD78" i="3"/>
  <c r="DC80" i="3"/>
  <c r="DE77" i="3"/>
  <c r="DE75" i="3"/>
  <c r="DK62" i="3"/>
  <c r="DK60" i="3"/>
  <c r="DJ64" i="3"/>
  <c r="DM49" i="3"/>
  <c r="CQ86" i="4" l="1"/>
  <c r="CQ87" i="4" s="1"/>
  <c r="CQ19" i="4"/>
  <c r="CQ22" i="4" s="1"/>
  <c r="CU55" i="4"/>
  <c r="CU58" i="4" s="1"/>
  <c r="CT63" i="4"/>
  <c r="CT64" i="4" s="1"/>
  <c r="CT72" i="4"/>
  <c r="DB27" i="4"/>
  <c r="DB56" i="4"/>
  <c r="DB20" i="4"/>
  <c r="CS70" i="4"/>
  <c r="CS73" i="4" s="1"/>
  <c r="DA47" i="4"/>
  <c r="DA45" i="4"/>
  <c r="DA44" i="4"/>
  <c r="DB40" i="4" s="1"/>
  <c r="CR78" i="4"/>
  <c r="CR79" i="4" s="1"/>
  <c r="CR80" i="4" s="1"/>
  <c r="DL58" i="3"/>
  <c r="DL59" i="3" s="1"/>
  <c r="DM54" i="3" s="1"/>
  <c r="DF77" i="3"/>
  <c r="DF75" i="3"/>
  <c r="DF74" i="3"/>
  <c r="DG69" i="3" s="1"/>
  <c r="DC85" i="3"/>
  <c r="DC26" i="3" s="1"/>
  <c r="DC84" i="3"/>
  <c r="DJ65" i="3"/>
  <c r="DN57" i="3"/>
  <c r="DN48" i="3"/>
  <c r="DO41" i="3"/>
  <c r="DO43" i="3" s="1"/>
  <c r="DO44" i="3" s="1"/>
  <c r="DP40" i="3" s="1"/>
  <c r="DK63" i="3"/>
  <c r="DK72" i="3"/>
  <c r="DM50" i="3"/>
  <c r="DE78" i="3"/>
  <c r="DD79" i="3"/>
  <c r="CR85" i="4" l="1"/>
  <c r="CR26" i="4" s="1"/>
  <c r="CR29" i="4" s="1"/>
  <c r="CR84" i="4"/>
  <c r="DA48" i="4"/>
  <c r="DA49" i="4" s="1"/>
  <c r="DA57" i="4"/>
  <c r="CS74" i="4"/>
  <c r="CT69" i="4" s="1"/>
  <c r="CS77" i="4"/>
  <c r="CS75" i="4"/>
  <c r="CT65" i="4"/>
  <c r="CU59" i="4"/>
  <c r="CV54" i="4" s="1"/>
  <c r="CU62" i="4"/>
  <c r="CU60" i="4"/>
  <c r="DB41" i="4"/>
  <c r="DB43" i="4" s="1"/>
  <c r="DB71" i="4"/>
  <c r="DL60" i="3"/>
  <c r="DL62" i="3"/>
  <c r="DL72" i="3" s="1"/>
  <c r="DK64" i="3"/>
  <c r="DK65" i="3" s="1"/>
  <c r="DE79" i="3"/>
  <c r="DC29" i="3"/>
  <c r="DC33" i="4" s="1"/>
  <c r="DC34" i="4" s="1"/>
  <c r="DM55" i="3"/>
  <c r="DM58" i="3" s="1"/>
  <c r="DP41" i="3"/>
  <c r="DP43" i="3" s="1"/>
  <c r="DE80" i="3"/>
  <c r="DC86" i="3"/>
  <c r="DC87" i="3" s="1"/>
  <c r="DC19" i="3"/>
  <c r="DC22" i="3" s="1"/>
  <c r="DG70" i="3"/>
  <c r="DO47" i="3"/>
  <c r="DO45" i="3"/>
  <c r="DN49" i="3"/>
  <c r="DD80" i="3"/>
  <c r="DF78" i="3"/>
  <c r="DL63" i="3" l="1"/>
  <c r="CV55" i="4"/>
  <c r="CV58" i="4" s="1"/>
  <c r="CT70" i="4"/>
  <c r="CT73" i="4" s="1"/>
  <c r="DB44" i="4"/>
  <c r="DC40" i="4" s="1"/>
  <c r="DA50" i="4"/>
  <c r="DB47" i="4"/>
  <c r="DB45" i="4"/>
  <c r="CS78" i="4"/>
  <c r="CS79" i="4" s="1"/>
  <c r="CS80" i="4" s="1"/>
  <c r="CR86" i="4"/>
  <c r="CR87" i="4" s="1"/>
  <c r="CR19" i="4"/>
  <c r="CR22" i="4" s="1"/>
  <c r="DC42" i="4"/>
  <c r="CU63" i="4"/>
  <c r="CU64" i="4" s="1"/>
  <c r="CU72" i="4"/>
  <c r="DM59" i="3"/>
  <c r="DN54" i="3" s="1"/>
  <c r="DN55" i="3" s="1"/>
  <c r="DM62" i="3"/>
  <c r="DM63" i="3" s="1"/>
  <c r="DL64" i="3"/>
  <c r="DL65" i="3" s="1"/>
  <c r="DM60" i="3"/>
  <c r="DG73" i="3"/>
  <c r="DG74" i="3" s="1"/>
  <c r="DH69" i="3" s="1"/>
  <c r="DE85" i="3"/>
  <c r="DE26" i="3" s="1"/>
  <c r="DE84" i="3"/>
  <c r="DP47" i="3"/>
  <c r="DP45" i="3"/>
  <c r="DD84" i="3"/>
  <c r="DD85" i="3"/>
  <c r="DD26" i="3" s="1"/>
  <c r="DP44" i="3"/>
  <c r="DQ40" i="3" s="1"/>
  <c r="DN50" i="3"/>
  <c r="DO57" i="3"/>
  <c r="DO48" i="3"/>
  <c r="DF79" i="3"/>
  <c r="DN58" i="3" l="1"/>
  <c r="DM72" i="3"/>
  <c r="CU65" i="4"/>
  <c r="CV62" i="4"/>
  <c r="CV60" i="4"/>
  <c r="CV59" i="4"/>
  <c r="CW54" i="4" s="1"/>
  <c r="DC41" i="4"/>
  <c r="DC43" i="4" s="1"/>
  <c r="DC47" i="4" s="1"/>
  <c r="CS84" i="4"/>
  <c r="CS85" i="4"/>
  <c r="CS26" i="4" s="1"/>
  <c r="CS29" i="4" s="1"/>
  <c r="CT74" i="4"/>
  <c r="CU69" i="4" s="1"/>
  <c r="DB57" i="4"/>
  <c r="DB48" i="4"/>
  <c r="DB49" i="4" s="1"/>
  <c r="CT77" i="4"/>
  <c r="CT75" i="4"/>
  <c r="DC27" i="4"/>
  <c r="DC20" i="4"/>
  <c r="DC56" i="4"/>
  <c r="DD29" i="3"/>
  <c r="DD33" i="4" s="1"/>
  <c r="DD34" i="4" s="1"/>
  <c r="DM64" i="3"/>
  <c r="DM65" i="3" s="1"/>
  <c r="DE29" i="3"/>
  <c r="DE33" i="4" s="1"/>
  <c r="DE34" i="4" s="1"/>
  <c r="DN62" i="3"/>
  <c r="DN60" i="3"/>
  <c r="DN59" i="3"/>
  <c r="DO54" i="3" s="1"/>
  <c r="DH70" i="3"/>
  <c r="DH73" i="3" s="1"/>
  <c r="DH74" i="3" s="1"/>
  <c r="DI69" i="3" s="1"/>
  <c r="DF80" i="3"/>
  <c r="DQ41" i="3"/>
  <c r="DQ43" i="3" s="1"/>
  <c r="DP57" i="3"/>
  <c r="DP48" i="3"/>
  <c r="DO49" i="3"/>
  <c r="DD86" i="3"/>
  <c r="DD87" i="3" s="1"/>
  <c r="DD19" i="3"/>
  <c r="DD22" i="3" s="1"/>
  <c r="DG77" i="3"/>
  <c r="DG75" i="3"/>
  <c r="DE86" i="3"/>
  <c r="DE87" i="3" s="1"/>
  <c r="DE19" i="3"/>
  <c r="DE22" i="3" s="1"/>
  <c r="DC44" i="4" l="1"/>
  <c r="DD40" i="4" s="1"/>
  <c r="DD41" i="4" s="1"/>
  <c r="DD43" i="4" s="1"/>
  <c r="DD47" i="4" s="1"/>
  <c r="DC71" i="4"/>
  <c r="CU70" i="4"/>
  <c r="CU73" i="4" s="1"/>
  <c r="CW55" i="4"/>
  <c r="CW58" i="4" s="1"/>
  <c r="DC45" i="4"/>
  <c r="DE42" i="4"/>
  <c r="DB50" i="4"/>
  <c r="CT78" i="4"/>
  <c r="CT79" i="4" s="1"/>
  <c r="CT80" i="4" s="1"/>
  <c r="CV63" i="4"/>
  <c r="CV64" i="4"/>
  <c r="CV72" i="4"/>
  <c r="DC57" i="4"/>
  <c r="DC48" i="4"/>
  <c r="DC49" i="4" s="1"/>
  <c r="DD42" i="4"/>
  <c r="CS86" i="4"/>
  <c r="CS87" i="4" s="1"/>
  <c r="CS19" i="4"/>
  <c r="CS22" i="4" s="1"/>
  <c r="DQ47" i="3"/>
  <c r="DQ45" i="3"/>
  <c r="DQ44" i="3"/>
  <c r="DR40" i="3" s="1"/>
  <c r="DF85" i="3"/>
  <c r="DF26" i="3" s="1"/>
  <c r="DF84" i="3"/>
  <c r="DO50" i="3"/>
  <c r="DI70" i="3"/>
  <c r="DI73" i="3" s="1"/>
  <c r="DO55" i="3"/>
  <c r="DH77" i="3"/>
  <c r="DH75" i="3"/>
  <c r="DG78" i="3"/>
  <c r="DP49" i="3"/>
  <c r="DN63" i="3"/>
  <c r="DN72" i="3"/>
  <c r="DD57" i="4" l="1"/>
  <c r="DD48" i="4"/>
  <c r="DD49" i="4" s="1"/>
  <c r="DD20" i="4"/>
  <c r="DD56" i="4"/>
  <c r="DD27" i="4"/>
  <c r="DD45" i="4"/>
  <c r="CV65" i="4"/>
  <c r="CT84" i="4"/>
  <c r="CT85" i="4"/>
  <c r="CT26" i="4" s="1"/>
  <c r="CT29" i="4" s="1"/>
  <c r="DE56" i="4"/>
  <c r="DE27" i="4"/>
  <c r="DE20" i="4"/>
  <c r="DC50" i="4"/>
  <c r="DD44" i="4"/>
  <c r="DE40" i="4" s="1"/>
  <c r="CU74" i="4"/>
  <c r="CV69" i="4" s="1"/>
  <c r="CU77" i="4"/>
  <c r="CU75" i="4"/>
  <c r="CW59" i="4"/>
  <c r="CX54" i="4" s="1"/>
  <c r="CW62" i="4"/>
  <c r="CW60" i="4"/>
  <c r="DF29" i="3"/>
  <c r="DF33" i="4" s="1"/>
  <c r="DF34" i="4" s="1"/>
  <c r="DG79" i="3"/>
  <c r="DG80" i="3" s="1"/>
  <c r="DO58" i="3"/>
  <c r="DO59" i="3" s="1"/>
  <c r="DP54" i="3" s="1"/>
  <c r="DI77" i="3"/>
  <c r="DI75" i="3"/>
  <c r="DI74" i="3"/>
  <c r="DJ69" i="3" s="1"/>
  <c r="DP50" i="3"/>
  <c r="DF86" i="3"/>
  <c r="DF87" i="3" s="1"/>
  <c r="DF19" i="3"/>
  <c r="DF22" i="3" s="1"/>
  <c r="DR41" i="3"/>
  <c r="DN64" i="3"/>
  <c r="DH78" i="3"/>
  <c r="DQ57" i="3"/>
  <c r="DQ48" i="3"/>
  <c r="CV70" i="4" l="1"/>
  <c r="CV73" i="4" s="1"/>
  <c r="DE41" i="4"/>
  <c r="DE43" i="4" s="1"/>
  <c r="DD71" i="4"/>
  <c r="CW63" i="4"/>
  <c r="CW64" i="4" s="1"/>
  <c r="CW72" i="4"/>
  <c r="DE71" i="4"/>
  <c r="CU78" i="4"/>
  <c r="CU79" i="4" s="1"/>
  <c r="CU80" i="4" s="1"/>
  <c r="CT86" i="4"/>
  <c r="CT87" i="4" s="1"/>
  <c r="CT19" i="4"/>
  <c r="CT22" i="4" s="1"/>
  <c r="CX55" i="4"/>
  <c r="CX58" i="4" s="1"/>
  <c r="CX59" i="4" s="1"/>
  <c r="CY54" i="4" s="1"/>
  <c r="DD50" i="4"/>
  <c r="DF42" i="4"/>
  <c r="DO62" i="3"/>
  <c r="DO63" i="3" s="1"/>
  <c r="DO60" i="3"/>
  <c r="DH79" i="3"/>
  <c r="DH80" i="3" s="1"/>
  <c r="DJ70" i="3"/>
  <c r="DJ73" i="3" s="1"/>
  <c r="DG85" i="3"/>
  <c r="DG26" i="3" s="1"/>
  <c r="DG84" i="3"/>
  <c r="DI78" i="3"/>
  <c r="DP55" i="3"/>
  <c r="DP58" i="3" s="1"/>
  <c r="DQ49" i="3"/>
  <c r="DR43" i="3"/>
  <c r="DR44" i="3" s="1"/>
  <c r="DS40" i="3" s="1"/>
  <c r="DN65" i="3"/>
  <c r="CW65" i="4" l="1"/>
  <c r="CY55" i="4"/>
  <c r="CY58" i="4" s="1"/>
  <c r="DE44" i="4"/>
  <c r="DF40" i="4" s="1"/>
  <c r="DE47" i="4"/>
  <c r="DE45" i="4"/>
  <c r="CV77" i="4"/>
  <c r="CV75" i="4"/>
  <c r="CV74" i="4"/>
  <c r="CW69" i="4" s="1"/>
  <c r="CX62" i="4"/>
  <c r="CX60" i="4"/>
  <c r="CU85" i="4"/>
  <c r="CU26" i="4" s="1"/>
  <c r="CU29" i="4" s="1"/>
  <c r="CU84" i="4"/>
  <c r="DF27" i="4"/>
  <c r="DF20" i="4"/>
  <c r="DF56" i="4"/>
  <c r="DI79" i="3"/>
  <c r="DI80" i="3" s="1"/>
  <c r="DO72" i="3"/>
  <c r="DG29" i="3"/>
  <c r="DG33" i="4" s="1"/>
  <c r="DG34" i="4" s="1"/>
  <c r="DO64" i="3"/>
  <c r="DO65" i="3" s="1"/>
  <c r="DJ77" i="3"/>
  <c r="DJ75" i="3"/>
  <c r="DJ74" i="3"/>
  <c r="DK69" i="3" s="1"/>
  <c r="DP62" i="3"/>
  <c r="DP60" i="3"/>
  <c r="DS41" i="3"/>
  <c r="DS43" i="3" s="1"/>
  <c r="DH85" i="3"/>
  <c r="DH26" i="3" s="1"/>
  <c r="DH84" i="3"/>
  <c r="DP59" i="3"/>
  <c r="DQ54" i="3" s="1"/>
  <c r="DR47" i="3"/>
  <c r="DR45" i="3"/>
  <c r="DQ50" i="3"/>
  <c r="DG86" i="3"/>
  <c r="DG87" i="3" s="1"/>
  <c r="DG19" i="3"/>
  <c r="DG22" i="3" s="1"/>
  <c r="CY62" i="4" l="1"/>
  <c r="CY60" i="4"/>
  <c r="CY59" i="4"/>
  <c r="CZ54" i="4" s="1"/>
  <c r="DF41" i="4"/>
  <c r="DF43" i="4" s="1"/>
  <c r="DF71" i="4"/>
  <c r="CX63" i="4"/>
  <c r="CX64" i="4" s="1"/>
  <c r="CX72" i="4"/>
  <c r="CW70" i="4"/>
  <c r="CW73" i="4" s="1"/>
  <c r="CW74" i="4" s="1"/>
  <c r="CX69" i="4" s="1"/>
  <c r="DE48" i="4"/>
  <c r="DE49" i="4" s="1"/>
  <c r="DE57" i="4"/>
  <c r="DG42" i="4"/>
  <c r="CV78" i="4"/>
  <c r="CV79" i="4" s="1"/>
  <c r="CV80" i="4" s="1"/>
  <c r="CU86" i="4"/>
  <c r="CU87" i="4" s="1"/>
  <c r="CU19" i="4"/>
  <c r="CU22" i="4" s="1"/>
  <c r="DH29" i="3"/>
  <c r="DH33" i="4" s="1"/>
  <c r="DH34" i="4" s="1"/>
  <c r="DS47" i="3"/>
  <c r="DS45" i="3"/>
  <c r="DS44" i="3"/>
  <c r="DT40" i="3" s="1"/>
  <c r="DP63" i="3"/>
  <c r="DP72" i="3"/>
  <c r="DI85" i="3"/>
  <c r="DI26" i="3" s="1"/>
  <c r="DI84" i="3"/>
  <c r="DK70" i="3"/>
  <c r="DK73" i="3" s="1"/>
  <c r="DR57" i="3"/>
  <c r="DR48" i="3"/>
  <c r="DQ55" i="3"/>
  <c r="DQ58" i="3" s="1"/>
  <c r="DH86" i="3"/>
  <c r="DH87" i="3" s="1"/>
  <c r="DH19" i="3"/>
  <c r="DH22" i="3" s="1"/>
  <c r="DJ78" i="3"/>
  <c r="CX70" i="4" l="1"/>
  <c r="DF47" i="4"/>
  <c r="DF45" i="4"/>
  <c r="DF44" i="4"/>
  <c r="DG40" i="4" s="1"/>
  <c r="DE50" i="4"/>
  <c r="CW77" i="4"/>
  <c r="CW75" i="4"/>
  <c r="DH42" i="4"/>
  <c r="DG56" i="4"/>
  <c r="DG27" i="4"/>
  <c r="DG20" i="4"/>
  <c r="CZ55" i="4"/>
  <c r="CZ58" i="4" s="1"/>
  <c r="CX65" i="4"/>
  <c r="CX73" i="4" s="1"/>
  <c r="CV84" i="4"/>
  <c r="CV85" i="4"/>
  <c r="CV26" i="4" s="1"/>
  <c r="CV29" i="4" s="1"/>
  <c r="CY63" i="4"/>
  <c r="CY64" i="4" s="1"/>
  <c r="CY72" i="4"/>
  <c r="DI29" i="3"/>
  <c r="DI33" i="4" s="1"/>
  <c r="DI34" i="4" s="1"/>
  <c r="DK77" i="3"/>
  <c r="DK75" i="3"/>
  <c r="DQ62" i="3"/>
  <c r="DQ60" i="3"/>
  <c r="DQ59" i="3"/>
  <c r="DR54" i="3" s="1"/>
  <c r="DT41" i="3"/>
  <c r="DK74" i="3"/>
  <c r="DL69" i="3" s="1"/>
  <c r="DJ79" i="3"/>
  <c r="DR49" i="3"/>
  <c r="DP64" i="3"/>
  <c r="DI86" i="3"/>
  <c r="DI87" i="3" s="1"/>
  <c r="DI19" i="3"/>
  <c r="DI22" i="3" s="1"/>
  <c r="DS57" i="3"/>
  <c r="DS48" i="3"/>
  <c r="CX77" i="4" l="1"/>
  <c r="CX75" i="4"/>
  <c r="CX74" i="4"/>
  <c r="CY69" i="4" s="1"/>
  <c r="CZ62" i="4"/>
  <c r="CZ60" i="4"/>
  <c r="DG41" i="4"/>
  <c r="DG43" i="4" s="1"/>
  <c r="CZ59" i="4"/>
  <c r="DA54" i="4" s="1"/>
  <c r="DH56" i="4"/>
  <c r="DH27" i="4"/>
  <c r="DH20" i="4"/>
  <c r="CV86" i="4"/>
  <c r="CV87" i="4" s="1"/>
  <c r="CV19" i="4"/>
  <c r="CV22" i="4" s="1"/>
  <c r="CW78" i="4"/>
  <c r="CW79" i="4" s="1"/>
  <c r="CW80" i="4" s="1"/>
  <c r="DF57" i="4"/>
  <c r="DF48" i="4"/>
  <c r="DF49" i="4" s="1"/>
  <c r="DI42" i="4"/>
  <c r="DG71" i="4"/>
  <c r="CY65" i="4"/>
  <c r="DS49" i="3"/>
  <c r="DS50" i="3" s="1"/>
  <c r="DT43" i="3"/>
  <c r="DT44" i="3" s="1"/>
  <c r="DU40" i="3" s="1"/>
  <c r="DR50" i="3"/>
  <c r="DQ63" i="3"/>
  <c r="DQ72" i="3"/>
  <c r="DL70" i="3"/>
  <c r="DL73" i="3" s="1"/>
  <c r="DJ80" i="3"/>
  <c r="DR55" i="3"/>
  <c r="DP65" i="3"/>
  <c r="DK78" i="3"/>
  <c r="DA55" i="4" l="1"/>
  <c r="DA58" i="4"/>
  <c r="DA59" i="4"/>
  <c r="DB54" i="4" s="1"/>
  <c r="DG44" i="4"/>
  <c r="DH40" i="4" s="1"/>
  <c r="DG47" i="4"/>
  <c r="DG45" i="4"/>
  <c r="CW84" i="4"/>
  <c r="CW85" i="4"/>
  <c r="CW26" i="4" s="1"/>
  <c r="CW29" i="4" s="1"/>
  <c r="CZ63" i="4"/>
  <c r="CZ64" i="4" s="1"/>
  <c r="CZ72" i="4"/>
  <c r="DI56" i="4"/>
  <c r="DI27" i="4"/>
  <c r="DI20" i="4"/>
  <c r="DF50" i="4"/>
  <c r="CY70" i="4"/>
  <c r="CY73" i="4" s="1"/>
  <c r="DH71" i="4"/>
  <c r="CX78" i="4"/>
  <c r="CX79" i="4"/>
  <c r="CX80" i="4" s="1"/>
  <c r="DL77" i="3"/>
  <c r="DL75" i="3"/>
  <c r="DL74" i="3"/>
  <c r="DM69" i="3" s="1"/>
  <c r="DU41" i="3"/>
  <c r="DR58" i="3"/>
  <c r="DR59" i="3" s="1"/>
  <c r="DS54" i="3" s="1"/>
  <c r="DT47" i="3"/>
  <c r="DT45" i="3"/>
  <c r="DQ64" i="3"/>
  <c r="DJ85" i="3"/>
  <c r="DJ26" i="3" s="1"/>
  <c r="DJ84" i="3"/>
  <c r="DK79" i="3"/>
  <c r="CY74" i="4" l="1"/>
  <c r="CZ69" i="4" s="1"/>
  <c r="CW86" i="4"/>
  <c r="CW87" i="4" s="1"/>
  <c r="CW19" i="4"/>
  <c r="CW22" i="4" s="1"/>
  <c r="CZ70" i="4"/>
  <c r="CY77" i="4"/>
  <c r="CY75" i="4"/>
  <c r="DI71" i="4"/>
  <c r="DG48" i="4"/>
  <c r="DG57" i="4"/>
  <c r="DG49" i="4"/>
  <c r="DH41" i="4"/>
  <c r="DH43" i="4" s="1"/>
  <c r="DB55" i="4"/>
  <c r="DB58" i="4" s="1"/>
  <c r="CZ65" i="4"/>
  <c r="DA62" i="4"/>
  <c r="DA60" i="4"/>
  <c r="CX84" i="4"/>
  <c r="CX85" i="4"/>
  <c r="CX26" i="4" s="1"/>
  <c r="CX29" i="4" s="1"/>
  <c r="DJ29" i="3"/>
  <c r="DJ33" i="4" s="1"/>
  <c r="DJ34" i="4" s="1"/>
  <c r="DU43" i="3"/>
  <c r="DM70" i="3"/>
  <c r="DM73" i="3" s="1"/>
  <c r="DT57" i="3"/>
  <c r="DT48" i="3"/>
  <c r="DJ86" i="3"/>
  <c r="DJ87" i="3" s="1"/>
  <c r="DJ19" i="3"/>
  <c r="DJ22" i="3" s="1"/>
  <c r="DQ65" i="3"/>
  <c r="DS55" i="3"/>
  <c r="DS58" i="3" s="1"/>
  <c r="DK80" i="3"/>
  <c r="DR62" i="3"/>
  <c r="DR60" i="3"/>
  <c r="DL78" i="3"/>
  <c r="DL79" i="3" s="1"/>
  <c r="DB62" i="4" l="1"/>
  <c r="DB60" i="4"/>
  <c r="DB59" i="4"/>
  <c r="DC54" i="4" s="1"/>
  <c r="DA63" i="4"/>
  <c r="DA64" i="4" s="1"/>
  <c r="DA72" i="4"/>
  <c r="DH44" i="4"/>
  <c r="DI40" i="4" s="1"/>
  <c r="DH47" i="4"/>
  <c r="DH45" i="4"/>
  <c r="CY78" i="4"/>
  <c r="CY79" i="4" s="1"/>
  <c r="CY80" i="4" s="1"/>
  <c r="DJ42" i="4"/>
  <c r="DG50" i="4"/>
  <c r="CZ73" i="4"/>
  <c r="CX86" i="4"/>
  <c r="CX87" i="4" s="1"/>
  <c r="CX19" i="4"/>
  <c r="CX22" i="4" s="1"/>
  <c r="DT49" i="3"/>
  <c r="DT50" i="3" s="1"/>
  <c r="DM77" i="3"/>
  <c r="DM75" i="3"/>
  <c r="DM74" i="3"/>
  <c r="DN69" i="3" s="1"/>
  <c r="DS62" i="3"/>
  <c r="DS60" i="3"/>
  <c r="DL80" i="3"/>
  <c r="DR63" i="3"/>
  <c r="DR72" i="3"/>
  <c r="DK84" i="3"/>
  <c r="DK85" i="3"/>
  <c r="DK26" i="3" s="1"/>
  <c r="DU47" i="3"/>
  <c r="DU45" i="3"/>
  <c r="DS59" i="3"/>
  <c r="DT54" i="3" s="1"/>
  <c r="DU44" i="3"/>
  <c r="DV40" i="3" s="1"/>
  <c r="CY84" i="4" l="1"/>
  <c r="CY85" i="4"/>
  <c r="CY26" i="4" s="1"/>
  <c r="CY29" i="4" s="1"/>
  <c r="CZ77" i="4"/>
  <c r="CZ75" i="4"/>
  <c r="CZ74" i="4"/>
  <c r="DA69" i="4" s="1"/>
  <c r="DA65" i="4"/>
  <c r="DI41" i="4"/>
  <c r="DI43" i="4" s="1"/>
  <c r="DI44" i="4" s="1"/>
  <c r="DJ40" i="4" s="1"/>
  <c r="DC55" i="4"/>
  <c r="DC58" i="4" s="1"/>
  <c r="DC59" i="4" s="1"/>
  <c r="DD54" i="4" s="1"/>
  <c r="DH48" i="4"/>
  <c r="DH49" i="4" s="1"/>
  <c r="DH57" i="4"/>
  <c r="DJ20" i="4"/>
  <c r="DJ56" i="4"/>
  <c r="DJ27" i="4"/>
  <c r="DB63" i="4"/>
  <c r="DB64" i="4" s="1"/>
  <c r="DB72" i="4"/>
  <c r="DK29" i="3"/>
  <c r="DK33" i="4" s="1"/>
  <c r="DK34" i="4" s="1"/>
  <c r="DR64" i="3"/>
  <c r="DR65" i="3"/>
  <c r="DT55" i="3"/>
  <c r="DT58" i="3" s="1"/>
  <c r="DN70" i="3"/>
  <c r="DV41" i="3"/>
  <c r="DV43" i="3" s="1"/>
  <c r="DS63" i="3"/>
  <c r="DS64" i="3"/>
  <c r="DS72" i="3"/>
  <c r="DL85" i="3"/>
  <c r="DL26" i="3" s="1"/>
  <c r="DL84" i="3"/>
  <c r="DU57" i="3"/>
  <c r="DU48" i="3"/>
  <c r="DK86" i="3"/>
  <c r="DK87" i="3" s="1"/>
  <c r="DK19" i="3"/>
  <c r="DK22" i="3" s="1"/>
  <c r="DM78" i="3"/>
  <c r="DJ41" i="4" l="1"/>
  <c r="DJ43" i="4" s="1"/>
  <c r="DH50" i="4"/>
  <c r="DD55" i="4"/>
  <c r="DD58" i="4" s="1"/>
  <c r="DC62" i="4"/>
  <c r="DC60" i="4"/>
  <c r="DA70" i="4"/>
  <c r="DA73" i="4" s="1"/>
  <c r="DJ71" i="4"/>
  <c r="DK42" i="4"/>
  <c r="CZ78" i="4"/>
  <c r="CZ79" i="4"/>
  <c r="CZ80" i="4" s="1"/>
  <c r="DB65" i="4"/>
  <c r="DI47" i="4"/>
  <c r="DI45" i="4"/>
  <c r="DM79" i="3"/>
  <c r="DM80" i="3" s="1"/>
  <c r="CY86" i="4"/>
  <c r="CY87" i="4" s="1"/>
  <c r="CY19" i="4"/>
  <c r="CY22" i="4" s="1"/>
  <c r="DU49" i="3"/>
  <c r="DL29" i="3"/>
  <c r="DL33" i="4" s="1"/>
  <c r="DL34" i="4" s="1"/>
  <c r="DN73" i="3"/>
  <c r="DN74" i="3" s="1"/>
  <c r="DO69" i="3" s="1"/>
  <c r="DO70" i="3" s="1"/>
  <c r="DO73" i="3" s="1"/>
  <c r="DV47" i="3"/>
  <c r="DV45" i="3"/>
  <c r="E45" i="3" s="1"/>
  <c r="DV44" i="3"/>
  <c r="DT62" i="3"/>
  <c r="DT60" i="3"/>
  <c r="DT59" i="3"/>
  <c r="DU54" i="3" s="1"/>
  <c r="DS65" i="3"/>
  <c r="DU50" i="3"/>
  <c r="DL86" i="3"/>
  <c r="DL87" i="3" s="1"/>
  <c r="DL19" i="3"/>
  <c r="DL22" i="3" s="1"/>
  <c r="DJ47" i="4" l="1"/>
  <c r="DJ45" i="4"/>
  <c r="DJ44" i="4"/>
  <c r="DK40" i="4" s="1"/>
  <c r="CZ85" i="4"/>
  <c r="CZ26" i="4" s="1"/>
  <c r="CZ29" i="4" s="1"/>
  <c r="CZ84" i="4"/>
  <c r="DA74" i="4"/>
  <c r="DB69" i="4" s="1"/>
  <c r="DA77" i="4"/>
  <c r="DA75" i="4"/>
  <c r="DD62" i="4"/>
  <c r="DD60" i="4"/>
  <c r="DL42" i="4"/>
  <c r="DI57" i="4"/>
  <c r="DI48" i="4"/>
  <c r="DI49" i="4" s="1"/>
  <c r="DC63" i="4"/>
  <c r="DC64" i="4" s="1"/>
  <c r="DC72" i="4"/>
  <c r="DK56" i="4"/>
  <c r="DK27" i="4"/>
  <c r="DK20" i="4"/>
  <c r="DD59" i="4"/>
  <c r="DE54" i="4" s="1"/>
  <c r="DN77" i="3"/>
  <c r="DN78" i="3" s="1"/>
  <c r="DN75" i="3"/>
  <c r="DO77" i="3"/>
  <c r="DO75" i="3"/>
  <c r="DO74" i="3"/>
  <c r="DP69" i="3" s="1"/>
  <c r="DV57" i="3"/>
  <c r="DV48" i="3"/>
  <c r="DT63" i="3"/>
  <c r="DT72" i="3"/>
  <c r="DM84" i="3"/>
  <c r="DM85" i="3"/>
  <c r="DM26" i="3" s="1"/>
  <c r="DU55" i="3"/>
  <c r="DK71" i="4" l="1"/>
  <c r="DB70" i="4"/>
  <c r="DB73" i="4" s="1"/>
  <c r="CZ86" i="4"/>
  <c r="CZ87" i="4" s="1"/>
  <c r="CZ19" i="4"/>
  <c r="CZ22" i="4" s="1"/>
  <c r="DL56" i="4"/>
  <c r="DL27" i="4"/>
  <c r="DL20" i="4"/>
  <c r="DE55" i="4"/>
  <c r="DE58" i="4" s="1"/>
  <c r="DK41" i="4"/>
  <c r="DK43" i="4" s="1"/>
  <c r="DK44" i="4" s="1"/>
  <c r="DL40" i="4" s="1"/>
  <c r="DD63" i="4"/>
  <c r="DD64" i="4" s="1"/>
  <c r="DD72" i="4"/>
  <c r="DA78" i="4"/>
  <c r="DA79" i="4" s="1"/>
  <c r="DA80" i="4" s="1"/>
  <c r="DC65" i="4"/>
  <c r="DI50" i="4"/>
  <c r="DJ57" i="4"/>
  <c r="DJ48" i="4"/>
  <c r="DJ49" i="4" s="1"/>
  <c r="DM29" i="3"/>
  <c r="DM33" i="4" s="1"/>
  <c r="DM34" i="4" s="1"/>
  <c r="DN79" i="3"/>
  <c r="DN80" i="3" s="1"/>
  <c r="DM86" i="3"/>
  <c r="DM87" i="3" s="1"/>
  <c r="DM19" i="3"/>
  <c r="DM22" i="3" s="1"/>
  <c r="DP70" i="3"/>
  <c r="DV49" i="3"/>
  <c r="DU58" i="3"/>
  <c r="DT64" i="3"/>
  <c r="DO78" i="3"/>
  <c r="DE62" i="4" l="1"/>
  <c r="DE60" i="4"/>
  <c r="DE59" i="4"/>
  <c r="DF54" i="4" s="1"/>
  <c r="DD65" i="4"/>
  <c r="DM42" i="4"/>
  <c r="DB74" i="4"/>
  <c r="DC69" i="4" s="1"/>
  <c r="DB77" i="4"/>
  <c r="DB75" i="4"/>
  <c r="DA84" i="4"/>
  <c r="DA85" i="4"/>
  <c r="DA26" i="4" s="1"/>
  <c r="DA29" i="4" s="1"/>
  <c r="DL41" i="4"/>
  <c r="DL43" i="4" s="1"/>
  <c r="DK47" i="4"/>
  <c r="DK45" i="4"/>
  <c r="DJ50" i="4"/>
  <c r="DL71" i="4"/>
  <c r="DO79" i="3"/>
  <c r="DO80" i="3" s="1"/>
  <c r="DP73" i="3"/>
  <c r="DN85" i="3"/>
  <c r="DN26" i="3" s="1"/>
  <c r="DN84" i="3"/>
  <c r="DV50" i="3"/>
  <c r="DT65" i="3"/>
  <c r="DU62" i="3"/>
  <c r="DU60" i="3"/>
  <c r="DU59" i="3"/>
  <c r="DV54" i="3" s="1"/>
  <c r="DL47" i="4" l="1"/>
  <c r="DL45" i="4"/>
  <c r="DM27" i="4"/>
  <c r="DM56" i="4"/>
  <c r="DM20" i="4"/>
  <c r="DK57" i="4"/>
  <c r="DK48" i="4"/>
  <c r="DK49" i="4" s="1"/>
  <c r="DB78" i="4"/>
  <c r="DB79" i="4"/>
  <c r="DB80" i="4" s="1"/>
  <c r="DF55" i="4"/>
  <c r="DF58" i="4" s="1"/>
  <c r="DF59" i="4" s="1"/>
  <c r="DG54" i="4" s="1"/>
  <c r="DC70" i="4"/>
  <c r="DC73" i="4" s="1"/>
  <c r="DC74" i="4" s="1"/>
  <c r="DD69" i="4" s="1"/>
  <c r="DL44" i="4"/>
  <c r="DM40" i="4" s="1"/>
  <c r="DA86" i="4"/>
  <c r="DA87" i="4" s="1"/>
  <c r="DA19" i="4"/>
  <c r="DA22" i="4" s="1"/>
  <c r="DE63" i="4"/>
  <c r="DE64" i="4" s="1"/>
  <c r="DE72" i="4"/>
  <c r="DN29" i="3"/>
  <c r="DN33" i="4" s="1"/>
  <c r="DN34" i="4" s="1"/>
  <c r="DU63" i="3"/>
  <c r="DU64" i="3" s="1"/>
  <c r="DU72" i="3"/>
  <c r="DO85" i="3"/>
  <c r="DO26" i="3" s="1"/>
  <c r="DO84" i="3"/>
  <c r="DP77" i="3"/>
  <c r="DP75" i="3"/>
  <c r="DN86" i="3"/>
  <c r="DN87" i="3" s="1"/>
  <c r="DN19" i="3"/>
  <c r="DN22" i="3" s="1"/>
  <c r="DV55" i="3"/>
  <c r="DV58" i="3" s="1"/>
  <c r="DP74" i="3"/>
  <c r="DQ69" i="3" s="1"/>
  <c r="DD70" i="4" l="1"/>
  <c r="DD73" i="4" s="1"/>
  <c r="DK50" i="4"/>
  <c r="DF62" i="4"/>
  <c r="DF60" i="4"/>
  <c r="DB85" i="4"/>
  <c r="DB26" i="4" s="1"/>
  <c r="DB29" i="4" s="1"/>
  <c r="DB84" i="4"/>
  <c r="DM71" i="4"/>
  <c r="DG55" i="4"/>
  <c r="DG58" i="4" s="1"/>
  <c r="DM41" i="4"/>
  <c r="DM43" i="4" s="1"/>
  <c r="DE65" i="4"/>
  <c r="DN42" i="4"/>
  <c r="DC77" i="4"/>
  <c r="DC75" i="4"/>
  <c r="DL57" i="4"/>
  <c r="DL48" i="4"/>
  <c r="DL49" i="4" s="1"/>
  <c r="DO29" i="3"/>
  <c r="DO33" i="4" s="1"/>
  <c r="DO34" i="4" s="1"/>
  <c r="DV62" i="3"/>
  <c r="DV60" i="3"/>
  <c r="E60" i="3" s="1"/>
  <c r="DO86" i="3"/>
  <c r="DO87" i="3" s="1"/>
  <c r="DO19" i="3"/>
  <c r="DO22" i="3" s="1"/>
  <c r="DP78" i="3"/>
  <c r="DV59" i="3"/>
  <c r="DU65" i="3"/>
  <c r="DQ70" i="3"/>
  <c r="DQ73" i="3" s="1"/>
  <c r="DG59" i="4" l="1"/>
  <c r="DH54" i="4" s="1"/>
  <c r="DM47" i="4"/>
  <c r="DM45" i="4"/>
  <c r="DM44" i="4"/>
  <c r="DN40" i="4" s="1"/>
  <c r="DD77" i="4"/>
  <c r="DD75" i="4"/>
  <c r="DD74" i="4"/>
  <c r="DE69" i="4" s="1"/>
  <c r="DG62" i="4"/>
  <c r="DG60" i="4"/>
  <c r="DF63" i="4"/>
  <c r="DF64" i="4" s="1"/>
  <c r="DF72" i="4"/>
  <c r="DH55" i="4"/>
  <c r="DH58" i="4" s="1"/>
  <c r="DN56" i="4"/>
  <c r="DN27" i="4"/>
  <c r="DN20" i="4"/>
  <c r="DB86" i="4"/>
  <c r="DB87" i="4" s="1"/>
  <c r="DB19" i="4"/>
  <c r="DB22" i="4" s="1"/>
  <c r="DC78" i="4"/>
  <c r="DC79" i="4" s="1"/>
  <c r="DC80" i="4" s="1"/>
  <c r="DL50" i="4"/>
  <c r="DO42" i="4"/>
  <c r="DP79" i="3"/>
  <c r="DQ74" i="3"/>
  <c r="DR69" i="3" s="1"/>
  <c r="DR70" i="3" s="1"/>
  <c r="DP80" i="3"/>
  <c r="DQ77" i="3"/>
  <c r="DQ75" i="3"/>
  <c r="DV63" i="3"/>
  <c r="DV72" i="3"/>
  <c r="DH59" i="4" l="1"/>
  <c r="DI54" i="4" s="1"/>
  <c r="DG63" i="4"/>
  <c r="DG64" i="4" s="1"/>
  <c r="DG72" i="4"/>
  <c r="DE70" i="4"/>
  <c r="DE73" i="4" s="1"/>
  <c r="DO56" i="4"/>
  <c r="DO27" i="4"/>
  <c r="DO20" i="4"/>
  <c r="DH62" i="4"/>
  <c r="DH60" i="4"/>
  <c r="DD78" i="4"/>
  <c r="DD79" i="4" s="1"/>
  <c r="DD80" i="4" s="1"/>
  <c r="DN41" i="4"/>
  <c r="DN43" i="4" s="1"/>
  <c r="DN44" i="4" s="1"/>
  <c r="DO40" i="4" s="1"/>
  <c r="DC85" i="4"/>
  <c r="DC26" i="4" s="1"/>
  <c r="DC29" i="4" s="1"/>
  <c r="DC84" i="4"/>
  <c r="DN71" i="4"/>
  <c r="DF65" i="4"/>
  <c r="DM48" i="4"/>
  <c r="DM49" i="4" s="1"/>
  <c r="DM57" i="4"/>
  <c r="DR73" i="3"/>
  <c r="DR74" i="3" s="1"/>
  <c r="DS69" i="3" s="1"/>
  <c r="DS70" i="3" s="1"/>
  <c r="DS73" i="3" s="1"/>
  <c r="DQ78" i="3"/>
  <c r="DP85" i="3"/>
  <c r="DP26" i="3" s="1"/>
  <c r="DP84" i="3"/>
  <c r="DV64" i="3"/>
  <c r="DR75" i="3" l="1"/>
  <c r="DE77" i="4"/>
  <c r="DE75" i="4"/>
  <c r="DE74" i="4"/>
  <c r="DF69" i="4" s="1"/>
  <c r="DO41" i="4"/>
  <c r="DO43" i="4" s="1"/>
  <c r="DD84" i="4"/>
  <c r="DD85" i="4"/>
  <c r="DD26" i="4" s="1"/>
  <c r="DD29" i="4" s="1"/>
  <c r="DC86" i="4"/>
  <c r="DC87" i="4" s="1"/>
  <c r="DC19" i="4"/>
  <c r="DC22" i="4" s="1"/>
  <c r="DH63" i="4"/>
  <c r="DH64" i="4" s="1"/>
  <c r="DH72" i="4"/>
  <c r="DN47" i="4"/>
  <c r="DN45" i="4"/>
  <c r="DG65" i="4"/>
  <c r="DM50" i="4"/>
  <c r="DO71" i="4"/>
  <c r="DI55" i="4"/>
  <c r="DI58" i="4" s="1"/>
  <c r="DP29" i="3"/>
  <c r="DP33" i="4" s="1"/>
  <c r="DP34" i="4" s="1"/>
  <c r="DR77" i="3"/>
  <c r="DR78" i="3" s="1"/>
  <c r="DQ79" i="3"/>
  <c r="DQ80" i="3" s="1"/>
  <c r="DS77" i="3"/>
  <c r="DS75" i="3"/>
  <c r="DS74" i="3"/>
  <c r="DT69" i="3" s="1"/>
  <c r="DV65" i="3"/>
  <c r="DP86" i="3"/>
  <c r="DP87" i="3" s="1"/>
  <c r="DP19" i="3"/>
  <c r="DP22" i="3" s="1"/>
  <c r="DO47" i="4" l="1"/>
  <c r="DO45" i="4"/>
  <c r="DO44" i="4"/>
  <c r="DP40" i="4" s="1"/>
  <c r="DP41" i="4" s="1"/>
  <c r="DP43" i="4" s="1"/>
  <c r="DD86" i="4"/>
  <c r="DD87" i="4" s="1"/>
  <c r="DD19" i="4"/>
  <c r="DD22" i="4" s="1"/>
  <c r="DH65" i="4"/>
  <c r="DI59" i="4"/>
  <c r="DJ54" i="4" s="1"/>
  <c r="DI62" i="4"/>
  <c r="DI60" i="4"/>
  <c r="DP42" i="4"/>
  <c r="DF70" i="4"/>
  <c r="DF73" i="4" s="1"/>
  <c r="DN57" i="4"/>
  <c r="DN48" i="4"/>
  <c r="DN49" i="4" s="1"/>
  <c r="DE78" i="4"/>
  <c r="DE79" i="4" s="1"/>
  <c r="DE80" i="4" s="1"/>
  <c r="DR79" i="3"/>
  <c r="DR80" i="3" s="1"/>
  <c r="DT70" i="3"/>
  <c r="DT73" i="3" s="1"/>
  <c r="DQ84" i="3"/>
  <c r="DQ85" i="3"/>
  <c r="DQ26" i="3" s="1"/>
  <c r="DS78" i="3"/>
  <c r="DE85" i="4" l="1"/>
  <c r="DE26" i="4" s="1"/>
  <c r="DE29" i="4" s="1"/>
  <c r="DE84" i="4"/>
  <c r="DF77" i="4"/>
  <c r="DF75" i="4"/>
  <c r="DP44" i="4"/>
  <c r="DQ40" i="4" s="1"/>
  <c r="DP47" i="4"/>
  <c r="DF74" i="4"/>
  <c r="DG69" i="4" s="1"/>
  <c r="DI63" i="4"/>
  <c r="DI64" i="4"/>
  <c r="DI72" i="4"/>
  <c r="DN50" i="4"/>
  <c r="DP56" i="4"/>
  <c r="DP27" i="4"/>
  <c r="DP20" i="4"/>
  <c r="DP45" i="4"/>
  <c r="DJ55" i="4"/>
  <c r="DJ58" i="4" s="1"/>
  <c r="DO48" i="4"/>
  <c r="DO49" i="4" s="1"/>
  <c r="DO57" i="4"/>
  <c r="DS79" i="3"/>
  <c r="DQ29" i="3"/>
  <c r="DQ33" i="4" s="1"/>
  <c r="DQ34" i="4" s="1"/>
  <c r="DT77" i="3"/>
  <c r="DT75" i="3"/>
  <c r="DT74" i="3"/>
  <c r="DU69" i="3" s="1"/>
  <c r="DR84" i="3"/>
  <c r="DR85" i="3"/>
  <c r="DR26" i="3" s="1"/>
  <c r="DQ86" i="3"/>
  <c r="DQ87" i="3" s="1"/>
  <c r="DQ19" i="3"/>
  <c r="DQ22" i="3" s="1"/>
  <c r="DS80" i="3"/>
  <c r="DO50" i="4" l="1"/>
  <c r="DP57" i="4"/>
  <c r="DP48" i="4"/>
  <c r="DP49" i="4" s="1"/>
  <c r="DJ59" i="4"/>
  <c r="DK54" i="4" s="1"/>
  <c r="DJ62" i="4"/>
  <c r="DJ60" i="4"/>
  <c r="DQ41" i="4"/>
  <c r="DQ43" i="4" s="1"/>
  <c r="DI65" i="4"/>
  <c r="DF78" i="4"/>
  <c r="DF79" i="4" s="1"/>
  <c r="DF80" i="4" s="1"/>
  <c r="DE86" i="4"/>
  <c r="DE87" i="4" s="1"/>
  <c r="DE19" i="4"/>
  <c r="DE22" i="4" s="1"/>
  <c r="DQ42" i="4"/>
  <c r="DP71" i="4"/>
  <c r="DG70" i="4"/>
  <c r="DG73" i="4" s="1"/>
  <c r="DR29" i="3"/>
  <c r="DR33" i="4" s="1"/>
  <c r="DR34" i="4" s="1"/>
  <c r="DS85" i="3"/>
  <c r="DS26" i="3" s="1"/>
  <c r="DS84" i="3"/>
  <c r="DU70" i="3"/>
  <c r="DU73" i="3" s="1"/>
  <c r="DR86" i="3"/>
  <c r="DR87" i="3" s="1"/>
  <c r="DR19" i="3"/>
  <c r="DR22" i="3" s="1"/>
  <c r="DT78" i="3"/>
  <c r="DP50" i="4" l="1"/>
  <c r="DQ27" i="4"/>
  <c r="DQ56" i="4"/>
  <c r="DQ20" i="4"/>
  <c r="DQ45" i="4"/>
  <c r="DG77" i="4"/>
  <c r="DG75" i="4"/>
  <c r="DR42" i="4"/>
  <c r="DQ44" i="4"/>
  <c r="DR40" i="4" s="1"/>
  <c r="DQ47" i="4"/>
  <c r="DF84" i="4"/>
  <c r="DF85" i="4"/>
  <c r="DF26" i="4" s="1"/>
  <c r="DF29" i="4" s="1"/>
  <c r="DJ63" i="4"/>
  <c r="DJ64" i="4" s="1"/>
  <c r="DJ72" i="4"/>
  <c r="DG74" i="4"/>
  <c r="DH69" i="4" s="1"/>
  <c r="DK55" i="4"/>
  <c r="DK58" i="4" s="1"/>
  <c r="DT79" i="3"/>
  <c r="DT80" i="3" s="1"/>
  <c r="DS29" i="3"/>
  <c r="DS33" i="4" s="1"/>
  <c r="DS34" i="4" s="1"/>
  <c r="DU77" i="3"/>
  <c r="DU75" i="3"/>
  <c r="DU74" i="3"/>
  <c r="DV69" i="3" s="1"/>
  <c r="DS86" i="3"/>
  <c r="DS87" i="3" s="1"/>
  <c r="DS19" i="3"/>
  <c r="DS22" i="3" s="1"/>
  <c r="DK62" i="4" l="1"/>
  <c r="DK60" i="4"/>
  <c r="DQ48" i="4"/>
  <c r="DQ57" i="4"/>
  <c r="DQ49" i="4"/>
  <c r="DH70" i="4"/>
  <c r="DH73" i="4" s="1"/>
  <c r="DF86" i="4"/>
  <c r="DF87" i="4" s="1"/>
  <c r="DF19" i="4"/>
  <c r="DF22" i="4" s="1"/>
  <c r="DS42" i="4"/>
  <c r="DQ71" i="4"/>
  <c r="DJ65" i="4"/>
  <c r="DG78" i="4"/>
  <c r="DG79" i="4" s="1"/>
  <c r="DG80" i="4" s="1"/>
  <c r="DK59" i="4"/>
  <c r="DL54" i="4" s="1"/>
  <c r="DR56" i="4"/>
  <c r="DR27" i="4"/>
  <c r="DR20" i="4"/>
  <c r="DR41" i="4"/>
  <c r="DR43" i="4" s="1"/>
  <c r="DR47" i="4" s="1"/>
  <c r="DV70" i="3"/>
  <c r="DV73" i="3" s="1"/>
  <c r="DT85" i="3"/>
  <c r="DT26" i="3" s="1"/>
  <c r="DT84" i="3"/>
  <c r="DU78" i="3"/>
  <c r="DG84" i="4" l="1"/>
  <c r="DG85" i="4"/>
  <c r="DG26" i="4" s="1"/>
  <c r="DG29" i="4" s="1"/>
  <c r="DQ50" i="4"/>
  <c r="DS56" i="4"/>
  <c r="DS27" i="4"/>
  <c r="DS20" i="4"/>
  <c r="DH77" i="4"/>
  <c r="DH75" i="4"/>
  <c r="DR57" i="4"/>
  <c r="DR48" i="4"/>
  <c r="DR49" i="4" s="1"/>
  <c r="DL55" i="4"/>
  <c r="DL58" i="4" s="1"/>
  <c r="DL59" i="4" s="1"/>
  <c r="DM54" i="4" s="1"/>
  <c r="DR44" i="4"/>
  <c r="DS40" i="4" s="1"/>
  <c r="DR45" i="4"/>
  <c r="DR71" i="4"/>
  <c r="DH74" i="4"/>
  <c r="DI69" i="4" s="1"/>
  <c r="DK63" i="4"/>
  <c r="DK64" i="4" s="1"/>
  <c r="DK72" i="4"/>
  <c r="DU79" i="3"/>
  <c r="DU80" i="3" s="1"/>
  <c r="DT29" i="3"/>
  <c r="DT33" i="4" s="1"/>
  <c r="DT34" i="4" s="1"/>
  <c r="DV77" i="3"/>
  <c r="DV75" i="3"/>
  <c r="E75" i="3" s="1"/>
  <c r="DT86" i="3"/>
  <c r="DT87" i="3" s="1"/>
  <c r="DT19" i="3"/>
  <c r="DT22" i="3" s="1"/>
  <c r="DV74" i="3"/>
  <c r="DT42" i="4" l="1"/>
  <c r="DR50" i="4"/>
  <c r="DS71" i="4"/>
  <c r="DS41" i="4"/>
  <c r="DS43" i="4" s="1"/>
  <c r="DM55" i="4"/>
  <c r="DM58" i="4" s="1"/>
  <c r="DM59" i="4" s="1"/>
  <c r="DN54" i="4" s="1"/>
  <c r="DK65" i="4"/>
  <c r="DL62" i="4"/>
  <c r="DL60" i="4"/>
  <c r="DH78" i="4"/>
  <c r="DH79" i="4" s="1"/>
  <c r="DH80" i="4" s="1"/>
  <c r="DI70" i="4"/>
  <c r="DG86" i="4"/>
  <c r="DG87" i="4" s="1"/>
  <c r="DG19" i="4"/>
  <c r="DG22" i="4" s="1"/>
  <c r="DV78" i="3"/>
  <c r="DU85" i="3"/>
  <c r="DU26" i="3" s="1"/>
  <c r="DU84" i="3"/>
  <c r="DI73" i="4" l="1"/>
  <c r="DI74" i="4" s="1"/>
  <c r="DJ69" i="4" s="1"/>
  <c r="DN55" i="4"/>
  <c r="DN58" i="4" s="1"/>
  <c r="DM62" i="4"/>
  <c r="DM60" i="4"/>
  <c r="DH85" i="4"/>
  <c r="DH26" i="4" s="1"/>
  <c r="DH29" i="4" s="1"/>
  <c r="DH84" i="4"/>
  <c r="DI77" i="4"/>
  <c r="DI75" i="4"/>
  <c r="DS44" i="4"/>
  <c r="DT40" i="4" s="1"/>
  <c r="DS47" i="4"/>
  <c r="DS45" i="4"/>
  <c r="DV79" i="3"/>
  <c r="DV80" i="3" s="1"/>
  <c r="DL63" i="4"/>
  <c r="DL64" i="4" s="1"/>
  <c r="DL72" i="4"/>
  <c r="DT56" i="4"/>
  <c r="DT27" i="4"/>
  <c r="DT20" i="4"/>
  <c r="DU29" i="3"/>
  <c r="DU33" i="4" s="1"/>
  <c r="DU34" i="4" s="1"/>
  <c r="DU86" i="3"/>
  <c r="DU87" i="3" s="1"/>
  <c r="DU19" i="3"/>
  <c r="DU22" i="3" s="1"/>
  <c r="DJ70" i="4" l="1"/>
  <c r="DJ73" i="4" s="1"/>
  <c r="DN62" i="4"/>
  <c r="DN60" i="4"/>
  <c r="DL65" i="4"/>
  <c r="DM63" i="4"/>
  <c r="DM64" i="4" s="1"/>
  <c r="DM72" i="4"/>
  <c r="DU42" i="4"/>
  <c r="DT71" i="4"/>
  <c r="DT41" i="4"/>
  <c r="DT43" i="4" s="1"/>
  <c r="DI78" i="4"/>
  <c r="DI79" i="4" s="1"/>
  <c r="DI80" i="4" s="1"/>
  <c r="DH86" i="4"/>
  <c r="DH87" i="4" s="1"/>
  <c r="DH19" i="4"/>
  <c r="DH22" i="4" s="1"/>
  <c r="DS48" i="4"/>
  <c r="DS49" i="4" s="1"/>
  <c r="DS57" i="4"/>
  <c r="DN59" i="4"/>
  <c r="DO54" i="4" s="1"/>
  <c r="DV84" i="3"/>
  <c r="DV85" i="3"/>
  <c r="DV26" i="3" s="1"/>
  <c r="DJ74" i="4" l="1"/>
  <c r="DK69" i="4" s="1"/>
  <c r="DJ77" i="4"/>
  <c r="DJ75" i="4"/>
  <c r="DT47" i="4"/>
  <c r="DT45" i="4"/>
  <c r="DT44" i="4"/>
  <c r="DU40" i="4" s="1"/>
  <c r="DS50" i="4"/>
  <c r="DM65" i="4"/>
  <c r="DN63" i="4"/>
  <c r="DN64" i="4" s="1"/>
  <c r="DN72" i="4"/>
  <c r="DO55" i="4"/>
  <c r="DO58" i="4" s="1"/>
  <c r="DJ78" i="4"/>
  <c r="DJ79" i="4" s="1"/>
  <c r="DJ80" i="4" s="1"/>
  <c r="DK70" i="4"/>
  <c r="DK73" i="4" s="1"/>
  <c r="DU56" i="4"/>
  <c r="DU20" i="4"/>
  <c r="DU27" i="4"/>
  <c r="DI84" i="4"/>
  <c r="DI85" i="4"/>
  <c r="DI26" i="4" s="1"/>
  <c r="DI29" i="4" s="1"/>
  <c r="DV29" i="3"/>
  <c r="D30" i="3" s="1"/>
  <c r="D26" i="3"/>
  <c r="DV86" i="3"/>
  <c r="DV87" i="3" s="1"/>
  <c r="DV19" i="3"/>
  <c r="DK77" i="4" l="1"/>
  <c r="DK75" i="4"/>
  <c r="DK74" i="4"/>
  <c r="DL69" i="4" s="1"/>
  <c r="D29" i="3"/>
  <c r="DV33" i="4"/>
  <c r="DU41" i="4"/>
  <c r="DU43" i="4" s="1"/>
  <c r="DU44" i="4" s="1"/>
  <c r="DV40" i="4" s="1"/>
  <c r="DU71" i="4"/>
  <c r="DJ85" i="4"/>
  <c r="DJ26" i="4" s="1"/>
  <c r="DJ29" i="4" s="1"/>
  <c r="DJ84" i="4"/>
  <c r="DO62" i="4"/>
  <c r="DO60" i="4"/>
  <c r="DI86" i="4"/>
  <c r="DI87" i="4" s="1"/>
  <c r="DI19" i="4"/>
  <c r="DI22" i="4" s="1"/>
  <c r="DN65" i="4"/>
  <c r="DO59" i="4"/>
  <c r="DP54" i="4" s="1"/>
  <c r="DT57" i="4"/>
  <c r="DT48" i="4"/>
  <c r="DT49" i="4" s="1"/>
  <c r="DV22" i="3"/>
  <c r="D19" i="3"/>
  <c r="D28" i="3"/>
  <c r="D22" i="3" l="1"/>
  <c r="D23" i="3"/>
  <c r="DV41" i="4"/>
  <c r="DT50" i="4"/>
  <c r="DU47" i="4"/>
  <c r="DU45" i="4"/>
  <c r="DO63" i="4"/>
  <c r="DO64" i="4" s="1"/>
  <c r="DO72" i="4"/>
  <c r="DV34" i="4"/>
  <c r="F36" i="4" s="1"/>
  <c r="L10" i="4"/>
  <c r="DP55" i="4"/>
  <c r="DP58" i="4" s="1"/>
  <c r="DP59" i="4" s="1"/>
  <c r="DQ54" i="4" s="1"/>
  <c r="DL70" i="4"/>
  <c r="DL73" i="4" s="1"/>
  <c r="DJ86" i="4"/>
  <c r="DJ87" i="4" s="1"/>
  <c r="DJ19" i="4"/>
  <c r="DJ22" i="4" s="1"/>
  <c r="DK78" i="4"/>
  <c r="DK79" i="4" s="1"/>
  <c r="DK80" i="4" s="1"/>
  <c r="D21" i="3"/>
  <c r="L9" i="3" s="1"/>
  <c r="L8" i="3" s="1"/>
  <c r="DL77" i="4" l="1"/>
  <c r="DL75" i="4"/>
  <c r="DQ55" i="4"/>
  <c r="DQ58" i="4" s="1"/>
  <c r="DQ59" i="4" s="1"/>
  <c r="DR54" i="4" s="1"/>
  <c r="DU48" i="4"/>
  <c r="DU49" i="4" s="1"/>
  <c r="DU57" i="4"/>
  <c r="DP62" i="4"/>
  <c r="DP60" i="4"/>
  <c r="DK85" i="4"/>
  <c r="DK26" i="4" s="1"/>
  <c r="DK29" i="4" s="1"/>
  <c r="DK84" i="4"/>
  <c r="DV42" i="4"/>
  <c r="F35" i="4"/>
  <c r="DL74" i="4"/>
  <c r="DM69" i="4" s="1"/>
  <c r="DO65" i="4"/>
  <c r="DV43" i="4"/>
  <c r="DV47" i="4" s="1"/>
  <c r="DU50" i="4" l="1"/>
  <c r="DR55" i="4"/>
  <c r="DR58" i="4" s="1"/>
  <c r="DQ62" i="4"/>
  <c r="DQ60" i="4"/>
  <c r="DV56" i="4"/>
  <c r="DV27" i="4"/>
  <c r="DV20" i="4"/>
  <c r="DV45" i="4"/>
  <c r="E45" i="4" s="1"/>
  <c r="DV57" i="4"/>
  <c r="DV48" i="4"/>
  <c r="DV49" i="4" s="1"/>
  <c r="DK86" i="4"/>
  <c r="DK87" i="4" s="1"/>
  <c r="DK19" i="4"/>
  <c r="DK22" i="4" s="1"/>
  <c r="DM70" i="4"/>
  <c r="DM73" i="4" s="1"/>
  <c r="DV44" i="4"/>
  <c r="DP63" i="4"/>
  <c r="DP64" i="4" s="1"/>
  <c r="DP72" i="4"/>
  <c r="DL78" i="4"/>
  <c r="DL79" i="4" s="1"/>
  <c r="DL80" i="4" s="1"/>
  <c r="DM77" i="4" l="1"/>
  <c r="DM75" i="4"/>
  <c r="DM74" i="4"/>
  <c r="DN69" i="4" s="1"/>
  <c r="DR62" i="4"/>
  <c r="DR60" i="4"/>
  <c r="DR59" i="4"/>
  <c r="DS54" i="4" s="1"/>
  <c r="DP65" i="4"/>
  <c r="DV50" i="4"/>
  <c r="DL84" i="4"/>
  <c r="DL85" i="4"/>
  <c r="DL26" i="4" s="1"/>
  <c r="DL29" i="4" s="1"/>
  <c r="D20" i="4"/>
  <c r="D6" i="4" s="1"/>
  <c r="D27" i="4"/>
  <c r="D5" i="4" s="1"/>
  <c r="DQ63" i="4"/>
  <c r="DQ64" i="4" s="1"/>
  <c r="DQ72" i="4"/>
  <c r="DV71" i="4"/>
  <c r="DS55" i="4" l="1"/>
  <c r="DS58" i="4" s="1"/>
  <c r="DS59" i="4" s="1"/>
  <c r="DT54" i="4" s="1"/>
  <c r="DL86" i="4"/>
  <c r="DL87" i="4" s="1"/>
  <c r="DL19" i="4"/>
  <c r="DL22" i="4" s="1"/>
  <c r="DR63" i="4"/>
  <c r="DR64" i="4" s="1"/>
  <c r="DR72" i="4"/>
  <c r="DN70" i="4"/>
  <c r="DN73" i="4" s="1"/>
  <c r="DQ65" i="4"/>
  <c r="D7" i="4"/>
  <c r="DM78" i="4"/>
  <c r="DM79" i="4" s="1"/>
  <c r="DM80" i="4" s="1"/>
  <c r="DR65" i="4" l="1"/>
  <c r="DN77" i="4"/>
  <c r="DN75" i="4"/>
  <c r="DN74" i="4"/>
  <c r="DO69" i="4" s="1"/>
  <c r="DT55" i="4"/>
  <c r="DM84" i="4"/>
  <c r="DM85" i="4"/>
  <c r="DM26" i="4" s="1"/>
  <c r="DM29" i="4" s="1"/>
  <c r="DS62" i="4"/>
  <c r="DS60" i="4"/>
  <c r="DT58" i="4" l="1"/>
  <c r="DO70" i="4"/>
  <c r="DO73" i="4" s="1"/>
  <c r="DN78" i="4"/>
  <c r="DN79" i="4" s="1"/>
  <c r="DN80" i="4" s="1"/>
  <c r="DS63" i="4"/>
  <c r="DS64" i="4" s="1"/>
  <c r="DS72" i="4"/>
  <c r="DM86" i="4"/>
  <c r="DM87" i="4" s="1"/>
  <c r="DM19" i="4"/>
  <c r="DM22" i="4" s="1"/>
  <c r="DN84" i="4" l="1"/>
  <c r="DN85" i="4"/>
  <c r="DN26" i="4" s="1"/>
  <c r="DN29" i="4" s="1"/>
  <c r="DS65" i="4"/>
  <c r="DO77" i="4"/>
  <c r="DO75" i="4"/>
  <c r="DO74" i="4"/>
  <c r="DP69" i="4" s="1"/>
  <c r="DT62" i="4"/>
  <c r="DT60" i="4"/>
  <c r="DT59" i="4"/>
  <c r="DU54" i="4" s="1"/>
  <c r="DP70" i="4" l="1"/>
  <c r="DP73" i="4" s="1"/>
  <c r="DT63" i="4"/>
  <c r="DT64" i="4" s="1"/>
  <c r="DT72" i="4"/>
  <c r="DO78" i="4"/>
  <c r="DO79" i="4" s="1"/>
  <c r="DO80" i="4" s="1"/>
  <c r="DU55" i="4"/>
  <c r="DU58" i="4" s="1"/>
  <c r="DN86" i="4"/>
  <c r="DN87" i="4" s="1"/>
  <c r="DN19" i="4"/>
  <c r="DN22" i="4" s="1"/>
  <c r="DU62" i="4" l="1"/>
  <c r="DU60" i="4"/>
  <c r="DU59" i="4"/>
  <c r="DV54" i="4" s="1"/>
  <c r="DP77" i="4"/>
  <c r="DP75" i="4"/>
  <c r="DP74" i="4"/>
  <c r="DQ69" i="4" s="1"/>
  <c r="DO84" i="4"/>
  <c r="DO85" i="4"/>
  <c r="DO26" i="4" s="1"/>
  <c r="DO29" i="4" s="1"/>
  <c r="DT65" i="4"/>
  <c r="DO86" i="4" l="1"/>
  <c r="DO87" i="4" s="1"/>
  <c r="DO19" i="4"/>
  <c r="DO22" i="4" s="1"/>
  <c r="DV55" i="4"/>
  <c r="DV58" i="4" s="1"/>
  <c r="DQ70" i="4"/>
  <c r="DQ73" i="4" s="1"/>
  <c r="DP78" i="4"/>
  <c r="DP79" i="4" s="1"/>
  <c r="DP80" i="4" s="1"/>
  <c r="DU63" i="4"/>
  <c r="DU64" i="4" s="1"/>
  <c r="DU72" i="4"/>
  <c r="DV59" i="4" l="1"/>
  <c r="DP84" i="4"/>
  <c r="DP85" i="4"/>
  <c r="DP26" i="4" s="1"/>
  <c r="DP29" i="4" s="1"/>
  <c r="DQ77" i="4"/>
  <c r="DQ75" i="4"/>
  <c r="DQ74" i="4"/>
  <c r="DR69" i="4" s="1"/>
  <c r="DV62" i="4"/>
  <c r="DV60" i="4"/>
  <c r="E60" i="4" s="1"/>
  <c r="DU65" i="4"/>
  <c r="DV63" i="4" l="1"/>
  <c r="DV64" i="4" s="1"/>
  <c r="DV72" i="4"/>
  <c r="DQ78" i="4"/>
  <c r="DQ79" i="4" s="1"/>
  <c r="DQ80" i="4" s="1"/>
  <c r="DR70" i="4"/>
  <c r="DR73" i="4" s="1"/>
  <c r="DP86" i="4"/>
  <c r="DP87" i="4" s="1"/>
  <c r="DP19" i="4"/>
  <c r="DP22" i="4" s="1"/>
  <c r="DR74" i="4" l="1"/>
  <c r="DS69" i="4" s="1"/>
  <c r="DR77" i="4"/>
  <c r="DR75" i="4"/>
  <c r="DQ84" i="4"/>
  <c r="DQ85" i="4"/>
  <c r="DQ26" i="4" s="1"/>
  <c r="DQ29" i="4" s="1"/>
  <c r="DV65" i="4"/>
  <c r="DR78" i="4" l="1"/>
  <c r="DR79" i="4" s="1"/>
  <c r="DR80" i="4" s="1"/>
  <c r="DQ86" i="4"/>
  <c r="DQ87" i="4" s="1"/>
  <c r="DQ19" i="4"/>
  <c r="DQ22" i="4" s="1"/>
  <c r="DS70" i="4"/>
  <c r="DS73" i="4" l="1"/>
  <c r="DR85" i="4"/>
  <c r="DR26" i="4" s="1"/>
  <c r="DR29" i="4" s="1"/>
  <c r="DR84" i="4"/>
  <c r="DR86" i="4" l="1"/>
  <c r="DR87" i="4" s="1"/>
  <c r="DR19" i="4"/>
  <c r="DR22" i="4" s="1"/>
  <c r="DS77" i="4"/>
  <c r="DS75" i="4"/>
  <c r="DS74" i="4"/>
  <c r="DT69" i="4" s="1"/>
  <c r="DT70" i="4" l="1"/>
  <c r="DT73" i="4" s="1"/>
  <c r="DT74" i="4" s="1"/>
  <c r="DU69" i="4" s="1"/>
  <c r="DS78" i="4"/>
  <c r="DS79" i="4" s="1"/>
  <c r="DS80" i="4" s="1"/>
  <c r="DS85" i="4" l="1"/>
  <c r="DS26" i="4" s="1"/>
  <c r="DS29" i="4" s="1"/>
  <c r="DS84" i="4"/>
  <c r="DU70" i="4"/>
  <c r="DU73" i="4" s="1"/>
  <c r="DT77" i="4"/>
  <c r="DT75" i="4"/>
  <c r="DU77" i="4" l="1"/>
  <c r="DU75" i="4"/>
  <c r="DU74" i="4"/>
  <c r="DV69" i="4" s="1"/>
  <c r="DS86" i="4"/>
  <c r="DS87" i="4" s="1"/>
  <c r="DS19" i="4"/>
  <c r="DS22" i="4" s="1"/>
  <c r="DT78" i="4"/>
  <c r="DT79" i="4" s="1"/>
  <c r="DT80" i="4" s="1"/>
  <c r="DT85" i="4" l="1"/>
  <c r="DT26" i="4" s="1"/>
  <c r="DT29" i="4" s="1"/>
  <c r="DT84" i="4"/>
  <c r="DV70" i="4"/>
  <c r="DV73" i="4" s="1"/>
  <c r="DU78" i="4"/>
  <c r="DU79" i="4" s="1"/>
  <c r="DU80" i="4" s="1"/>
  <c r="DU84" i="4" l="1"/>
  <c r="DU85" i="4"/>
  <c r="DU26" i="4" s="1"/>
  <c r="DU29" i="4" s="1"/>
  <c r="DV74" i="4"/>
  <c r="DV77" i="4"/>
  <c r="DV75" i="4"/>
  <c r="E75" i="4" s="1"/>
  <c r="DT86" i="4"/>
  <c r="DT87" i="4" s="1"/>
  <c r="DT19" i="4"/>
  <c r="DT22" i="4" s="1"/>
  <c r="DV78" i="4" l="1"/>
  <c r="DV79" i="4" s="1"/>
  <c r="DV80" i="4" s="1"/>
  <c r="DU86" i="4"/>
  <c r="DU87" i="4" s="1"/>
  <c r="DU19" i="4"/>
  <c r="DU22" i="4" s="1"/>
  <c r="DV85" i="4" l="1"/>
  <c r="DV26" i="4" s="1"/>
  <c r="DV84" i="4"/>
  <c r="DV86" i="4" l="1"/>
  <c r="DV87" i="4" s="1"/>
  <c r="DV19" i="4"/>
  <c r="D26" i="4"/>
  <c r="DV29" i="4"/>
  <c r="D29" i="4" l="1"/>
  <c r="D30" i="4"/>
  <c r="D28" i="4"/>
  <c r="D19" i="4"/>
  <c r="DV22" i="4"/>
  <c r="D22" i="4" s="1"/>
  <c r="D23" i="4" l="1"/>
  <c r="D21" i="4"/>
  <c r="L9" i="4" s="1"/>
  <c r="L8" i="4" s="1"/>
</calcChain>
</file>

<file path=xl/sharedStrings.xml><?xml version="1.0" encoding="utf-8"?>
<sst xmlns="http://schemas.openxmlformats.org/spreadsheetml/2006/main" count="171" uniqueCount="93">
  <si>
    <t>%</t>
  </si>
  <si>
    <t>Cash Flow Remaining</t>
  </si>
  <si>
    <t>Distribution to LP</t>
  </si>
  <si>
    <t>LP Req'd Return</t>
  </si>
  <si>
    <t>Hurdle 4</t>
  </si>
  <si>
    <t>.</t>
  </si>
  <si>
    <t>Ending Balance (LP Capital Account)</t>
  </si>
  <si>
    <t>Prior Distributions</t>
  </si>
  <si>
    <t>Contributions from LP</t>
  </si>
  <si>
    <t>Req'd Return by LP (Pref)</t>
  </si>
  <si>
    <t>Beginning Balance (LP Capital Account)</t>
  </si>
  <si>
    <t>Hurdle 3</t>
  </si>
  <si>
    <t>Hurdle 2</t>
  </si>
  <si>
    <t>Distributions to LP (Hurdle 1)</t>
  </si>
  <si>
    <t>Hurdle 1</t>
  </si>
  <si>
    <t>Net Property Levered Before Tax Cash Flow</t>
  </si>
  <si>
    <t>Gross Property Levered Before Tax Cash Flow</t>
  </si>
  <si>
    <t>LP Equity Multiple</t>
  </si>
  <si>
    <t>LP IRR</t>
  </si>
  <si>
    <t>Total LP Profit</t>
  </si>
  <si>
    <t>Total LP Contributions</t>
  </si>
  <si>
    <t>Total LP Distributions</t>
  </si>
  <si>
    <t>Limited Partner (LP) Returns</t>
  </si>
  <si>
    <t>Summary of Investor Level Returns</t>
  </si>
  <si>
    <t>Month ending</t>
  </si>
  <si>
    <t>Hurdle 1 (Preferred Return)</t>
  </si>
  <si>
    <t>LP %</t>
  </si>
  <si>
    <t>Incentive Breakdown</t>
  </si>
  <si>
    <t>Promote Structure</t>
  </si>
  <si>
    <t>Distribution as %</t>
  </si>
  <si>
    <t>Total Equity</t>
  </si>
  <si>
    <t>Net BTCF:</t>
  </si>
  <si>
    <t>Profit Dist.:</t>
  </si>
  <si>
    <t>Amount</t>
  </si>
  <si>
    <t>Equity Contributions</t>
  </si>
  <si>
    <t>Error Check:</t>
  </si>
  <si>
    <t>AUM</t>
  </si>
  <si>
    <t>GP</t>
  </si>
  <si>
    <t>GP %</t>
  </si>
  <si>
    <t>GP Returns</t>
  </si>
  <si>
    <t>Total GP Distributions</t>
  </si>
  <si>
    <t>Total GP Contributions</t>
  </si>
  <si>
    <t>Total GP Profit</t>
  </si>
  <si>
    <t>GP IRR</t>
  </si>
  <si>
    <t>GP Equity Multiple</t>
  </si>
  <si>
    <t>Property Levered IRR (Net of GP Fees)</t>
  </si>
  <si>
    <t>Distribution to GP</t>
  </si>
  <si>
    <t>General Partner Fees</t>
  </si>
  <si>
    <t>Property Levered Emx (Net of GP Fees)</t>
  </si>
  <si>
    <t>Partnership</t>
  </si>
  <si>
    <t>Net Cash Flow for Distribution</t>
  </si>
  <si>
    <t>Limited Partner (LP)</t>
  </si>
  <si>
    <t>General Partner (GP)</t>
  </si>
  <si>
    <t>PARTNERSHIP LEVEL RETURNS - EQUITY WATERFALL (IRR RETURN HURDLES)</t>
  </si>
  <si>
    <t>Req'd Return by LP</t>
  </si>
  <si>
    <t>AUM Fee %</t>
  </si>
  <si>
    <t>General Partner (Sponsor)</t>
  </si>
  <si>
    <t>Sponsor %</t>
  </si>
  <si>
    <t>Sponsor</t>
  </si>
  <si>
    <t>Sponsor Returns</t>
  </si>
  <si>
    <t>Total Sponsor Distributions</t>
  </si>
  <si>
    <t>Total Sponsor Contributions</t>
  </si>
  <si>
    <t>Total Sponsor Profit</t>
  </si>
  <si>
    <t>Sponsor IRR</t>
  </si>
  <si>
    <t>Sponsor Equity Multiple</t>
  </si>
  <si>
    <t>Property Levered IRR (Net of Sponsor Fees)</t>
  </si>
  <si>
    <t>Property Levered Emx (Net of Sponsor Fees)</t>
  </si>
  <si>
    <t>Distribution to Sponsor</t>
  </si>
  <si>
    <t>Limited Partner (Investors)</t>
  </si>
  <si>
    <t>Investors %</t>
  </si>
  <si>
    <t>Limited Partner (Investors) Returns</t>
  </si>
  <si>
    <t>Total Investors Distributions</t>
  </si>
  <si>
    <t>Total Investors Contributions</t>
  </si>
  <si>
    <t>Total Investors Profit</t>
  </si>
  <si>
    <t>Investors IRR</t>
  </si>
  <si>
    <t>Investors Equity Multiple</t>
  </si>
  <si>
    <t>Investors Req'd Return</t>
  </si>
  <si>
    <t>Beginning Balance (Investors Capital Account)</t>
  </si>
  <si>
    <t>Req'd Return by Investors (Pref)</t>
  </si>
  <si>
    <t>Contributions from Investors</t>
  </si>
  <si>
    <t>Distributions to Investors (Hurdle 1)</t>
  </si>
  <si>
    <t>Ending Balance (Investors Capital Account)</t>
  </si>
  <si>
    <t>Distribution to Investors</t>
  </si>
  <si>
    <t>Req'd Return by Investors</t>
  </si>
  <si>
    <t>Hint: The Net Levered Cash Flow line should link to the GP-LP waterfall</t>
  </si>
  <si>
    <t>Levered Equity Multiple</t>
  </si>
  <si>
    <t>Levered Internal Rate of Return</t>
  </si>
  <si>
    <t>Net Levered Cash Flow</t>
  </si>
  <si>
    <t>Net Proceeds from Sale</t>
  </si>
  <si>
    <t>Cash Flow after Financing</t>
  </si>
  <si>
    <t>Total Project Cost</t>
  </si>
  <si>
    <t>DEVELOPMENT CASH FLOWS</t>
  </si>
  <si>
    <t>FROST AND MAIN - SUMMARY PROPERTY-LEVEL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</si>
</sst>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1" formatCode="_(* #,##0_);_(* \(#,##0\);_(* &quot;-&quot;_);_(@_)"/>
    <numFmt numFmtId="164" formatCode="&quot;Month&quot;\ 0"/>
    <numFmt numFmtId="165" formatCode="0.0%"/>
    <numFmt numFmtId="166" formatCode="&quot;Year&quot;\ 0"/>
    <numFmt numFmtId="171" formatCode="&quot;LP Check -&quot;\ 0.0%\ &quot;IRR&quot;"/>
    <numFmt numFmtId="172" formatCode="0.000%"/>
    <numFmt numFmtId="173" formatCode="&quot; up to &quot;0.0%\ \I\R\R&quot; to LP&quot;"/>
    <numFmt numFmtId="174" formatCode="0.00&quot;x&quot;"/>
    <numFmt numFmtId="175" formatCode="&quot;&gt;&quot;\ 0.0%\ \I\R\R&quot; to LP&quot;"/>
    <numFmt numFmtId="176" formatCode="&quot; Up to &quot;0.0%\ \I\R\R&quot; to LP&quot;"/>
    <numFmt numFmtId="177" formatCode="#,##0.000&quot;MM&quot;"/>
    <numFmt numFmtId="178" formatCode="0.00&quot;X&quot;"/>
  </numFmts>
  <fonts count="1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7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3" fillId="0" borderId="0" xfId="0" applyFont="1"/>
    <xf numFmtId="165" fontId="2" fillId="0" borderId="0" xfId="0" applyNumberFormat="1" applyFont="1"/>
    <xf numFmtId="41" fontId="0" fillId="0" borderId="0" xfId="0" applyNumberFormat="1" applyAlignment="1">
      <alignment horizontal="right"/>
    </xf>
    <xf numFmtId="41" fontId="0" fillId="0" borderId="0" xfId="0" applyNumberFormat="1"/>
    <xf numFmtId="166" fontId="0" fillId="0" borderId="0" xfId="0" applyNumberFormat="1"/>
    <xf numFmtId="41" fontId="4" fillId="0" borderId="0" xfId="0" applyNumberFormat="1" applyFont="1"/>
    <xf numFmtId="0" fontId="0" fillId="0" borderId="0" xfId="0" applyAlignment="1">
      <alignment horizontal="left" indent="1"/>
    </xf>
    <xf numFmtId="15" fontId="3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0" xfId="0" applyFont="1"/>
    <xf numFmtId="0" fontId="7" fillId="0" borderId="0" xfId="0" applyFont="1"/>
    <xf numFmtId="41" fontId="3" fillId="0" borderId="0" xfId="0" applyNumberFormat="1" applyFont="1"/>
    <xf numFmtId="0" fontId="10" fillId="4" borderId="0" xfId="0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11" fillId="5" borderId="0" xfId="0" applyFont="1" applyFill="1"/>
    <xf numFmtId="0" fontId="5" fillId="5" borderId="0" xfId="0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4" fillId="0" borderId="0" xfId="0" applyFont="1"/>
    <xf numFmtId="15" fontId="6" fillId="0" borderId="0" xfId="0" applyNumberFormat="1" applyFont="1" applyAlignment="1">
      <alignment horizontal="center"/>
    </xf>
    <xf numFmtId="0" fontId="0" fillId="0" borderId="7" xfId="0" applyBorder="1" applyAlignment="1">
      <alignment horizontal="right" vertical="center"/>
    </xf>
    <xf numFmtId="0" fontId="1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right" vertical="center"/>
    </xf>
    <xf numFmtId="177" fontId="0" fillId="0" borderId="5" xfId="0" applyNumberFormat="1" applyBorder="1" applyAlignment="1">
      <alignment horizontal="left" vertical="center"/>
    </xf>
    <xf numFmtId="9" fontId="2" fillId="0" borderId="0" xfId="0" applyNumberFormat="1" applyFont="1" applyAlignment="1">
      <alignment horizontal="center"/>
    </xf>
    <xf numFmtId="0" fontId="0" fillId="0" borderId="4" xfId="0" applyBorder="1" applyAlignment="1">
      <alignment horizontal="right" vertical="center"/>
    </xf>
    <xf numFmtId="177" fontId="0" fillId="0" borderId="3" xfId="0" applyNumberFormat="1" applyBorder="1" applyAlignment="1">
      <alignment horizontal="left" vertical="center"/>
    </xf>
    <xf numFmtId="165" fontId="0" fillId="0" borderId="0" xfId="0" applyNumberForma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75" fontId="3" fillId="0" borderId="0" xfId="0" applyNumberFormat="1" applyFont="1" applyProtection="1">
      <protection locked="0"/>
    </xf>
    <xf numFmtId="173" fontId="3" fillId="0" borderId="0" xfId="0" applyNumberFormat="1" applyFont="1" applyAlignment="1">
      <alignment horizontal="left"/>
    </xf>
    <xf numFmtId="165" fontId="0" fillId="0" borderId="2" xfId="0" applyNumberFormat="1" applyBorder="1" applyAlignment="1">
      <alignment horizontal="center"/>
    </xf>
    <xf numFmtId="175" fontId="2" fillId="0" borderId="0" xfId="0" applyNumberFormat="1" applyFont="1"/>
    <xf numFmtId="9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73" fontId="3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3" fontId="2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10" fontId="3" fillId="0" borderId="0" xfId="0" applyNumberFormat="1" applyFont="1"/>
    <xf numFmtId="174" fontId="3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0" xfId="0" applyFont="1"/>
    <xf numFmtId="6" fontId="8" fillId="0" borderId="0" xfId="0" applyNumberFormat="1" applyFont="1"/>
    <xf numFmtId="166" fontId="0" fillId="0" borderId="0" xfId="0" applyNumberFormat="1" applyAlignment="1">
      <alignment horizontal="center"/>
    </xf>
    <xf numFmtId="165" fontId="3" fillId="0" borderId="0" xfId="0" applyNumberFormat="1" applyFont="1"/>
    <xf numFmtId="3" fontId="6" fillId="0" borderId="0" xfId="0" applyNumberFormat="1" applyFont="1" applyAlignment="1" applyProtection="1">
      <alignment horizontal="center"/>
      <protection locked="0"/>
    </xf>
    <xf numFmtId="3" fontId="3" fillId="0" borderId="0" xfId="0" applyNumberFormat="1" applyFont="1" applyAlignment="1" applyProtection="1">
      <alignment horizontal="center"/>
      <protection locked="0"/>
    </xf>
    <xf numFmtId="3" fontId="8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1" fontId="0" fillId="0" borderId="0" xfId="0" applyNumberFormat="1" applyAlignment="1">
      <alignment horizontal="left"/>
    </xf>
    <xf numFmtId="3" fontId="2" fillId="0" borderId="0" xfId="0" applyNumberFormat="1" applyFont="1" applyAlignment="1" applyProtection="1">
      <alignment horizontal="center"/>
      <protection locked="0"/>
    </xf>
    <xf numFmtId="10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11" fillId="5" borderId="0" xfId="0" applyFont="1" applyFill="1" applyAlignment="1">
      <alignment horizontal="center"/>
    </xf>
    <xf numFmtId="49" fontId="11" fillId="5" borderId="0" xfId="0" applyNumberFormat="1" applyFont="1" applyFill="1"/>
    <xf numFmtId="49" fontId="0" fillId="5" borderId="0" xfId="0" applyNumberFormat="1" applyFill="1"/>
    <xf numFmtId="49" fontId="2" fillId="5" borderId="0" xfId="0" applyNumberFormat="1" applyFont="1" applyFill="1"/>
    <xf numFmtId="49" fontId="3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center"/>
    </xf>
    <xf numFmtId="0" fontId="7" fillId="5" borderId="0" xfId="0" applyFont="1" applyFill="1"/>
    <xf numFmtId="0" fontId="0" fillId="5" borderId="0" xfId="0" applyFill="1"/>
    <xf numFmtId="165" fontId="7" fillId="5" borderId="0" xfId="0" applyNumberFormat="1" applyFont="1" applyFill="1" applyAlignment="1">
      <alignment horizontal="left"/>
    </xf>
    <xf numFmtId="172" fontId="0" fillId="0" borderId="0" xfId="0" applyNumberFormat="1"/>
    <xf numFmtId="49" fontId="3" fillId="5" borderId="0" xfId="0" applyNumberFormat="1" applyFont="1" applyFill="1" applyAlignment="1">
      <alignment horizontal="right"/>
    </xf>
    <xf numFmtId="49" fontId="0" fillId="5" borderId="0" xfId="0" applyNumberFormat="1" applyFill="1" applyAlignment="1">
      <alignment horizontal="right"/>
    </xf>
    <xf numFmtId="0" fontId="2" fillId="0" borderId="0" xfId="0" applyFont="1" applyAlignment="1">
      <alignment horizontal="right"/>
    </xf>
    <xf numFmtId="0" fontId="11" fillId="5" borderId="0" xfId="0" applyFont="1" applyFill="1" applyAlignment="1">
      <alignment horizontal="center"/>
    </xf>
    <xf numFmtId="0" fontId="17" fillId="0" borderId="0" xfId="0" quotePrefix="1" applyFont="1"/>
    <xf numFmtId="178" fontId="7" fillId="0" borderId="0" xfId="0" applyNumberFormat="1" applyFont="1"/>
    <xf numFmtId="0" fontId="7" fillId="0" borderId="0" xfId="0" applyFont="1" applyAlignment="1">
      <alignment horizontal="left" indent="1"/>
    </xf>
    <xf numFmtId="10" fontId="7" fillId="0" borderId="0" xfId="0" applyNumberFormat="1" applyFont="1" applyAlignment="1">
      <alignment horizontal="right"/>
    </xf>
    <xf numFmtId="41" fontId="5" fillId="0" borderId="0" xfId="0" applyNumberFormat="1" applyFont="1"/>
    <xf numFmtId="41" fontId="14" fillId="0" borderId="0" xfId="0" applyNumberFormat="1" applyFont="1"/>
    <xf numFmtId="41" fontId="14" fillId="0" borderId="0" xfId="0" applyNumberFormat="1" applyFont="1" applyAlignment="1">
      <alignment horizontal="right"/>
    </xf>
    <xf numFmtId="164" fontId="0" fillId="0" borderId="8" xfId="0" applyNumberFormat="1" applyBorder="1"/>
    <xf numFmtId="0" fontId="0" fillId="0" borderId="8" xfId="0" applyBorder="1"/>
    <xf numFmtId="15" fontId="2" fillId="0" borderId="0" xfId="0" applyNumberFormat="1" applyFont="1"/>
  </cellXfs>
  <cellStyles count="1">
    <cellStyle name="Normal" xfId="0" builtinId="0"/>
  </cellStyles>
  <dxfs count="8">
    <dxf>
      <font>
        <color theme="9" tint="-0.24994659260841701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1"/>
      </font>
    </dxf>
    <dxf>
      <font>
        <color theme="9" tint="-0.24994659260841701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209C-553B-45D0-BAA2-FE008FA549A4}">
  <dimension ref="A1:EQ35"/>
  <sheetViews>
    <sheetView zoomScaleNormal="100" workbookViewId="0"/>
  </sheetViews>
  <sheetFormatPr defaultColWidth="0" defaultRowHeight="14.4" zeroHeight="1" x14ac:dyDescent="0.3"/>
  <cols>
    <col min="1" max="1" width="2.44140625" customWidth="1"/>
    <col min="2" max="2" width="29.33203125" customWidth="1"/>
    <col min="3" max="3" width="2.109375" customWidth="1"/>
    <col min="4" max="4" width="12.33203125" bestFit="1" customWidth="1"/>
    <col min="5" max="5" width="11.5546875" bestFit="1" customWidth="1"/>
    <col min="6" max="6" width="9.6640625" bestFit="1" customWidth="1"/>
    <col min="7" max="7" width="9.88671875" bestFit="1" customWidth="1"/>
    <col min="8" max="8" width="9.5546875" bestFit="1" customWidth="1"/>
    <col min="9" max="9" width="10.109375" bestFit="1" customWidth="1"/>
    <col min="10" max="10" width="9.44140625" bestFit="1" customWidth="1"/>
    <col min="11" max="11" width="9.6640625" bestFit="1" customWidth="1"/>
    <col min="12" max="12" width="9.88671875" bestFit="1" customWidth="1"/>
    <col min="13" max="13" width="9.6640625" bestFit="1" customWidth="1"/>
    <col min="14" max="14" width="9.44140625" bestFit="1" customWidth="1"/>
    <col min="15" max="15" width="10" bestFit="1" customWidth="1"/>
    <col min="16" max="16" width="9.6640625" bestFit="1" customWidth="1"/>
    <col min="17" max="17" width="9.33203125" bestFit="1" customWidth="1"/>
    <col min="18" max="18" width="9.6640625" bestFit="1" customWidth="1"/>
    <col min="19" max="19" width="9.88671875" bestFit="1" customWidth="1"/>
    <col min="20" max="20" width="9.5546875" bestFit="1" customWidth="1"/>
    <col min="21" max="21" width="10.109375" bestFit="1" customWidth="1"/>
    <col min="22" max="22" width="9.44140625" bestFit="1" customWidth="1"/>
    <col min="23" max="23" width="9.33203125" bestFit="1" customWidth="1"/>
    <col min="24" max="24" width="9.88671875" bestFit="1" customWidth="1"/>
    <col min="25" max="25" width="9.6640625" bestFit="1" customWidth="1"/>
    <col min="26" max="26" width="9.44140625" bestFit="1" customWidth="1"/>
    <col min="27" max="27" width="10" bestFit="1" customWidth="1"/>
    <col min="28" max="28" width="9.6640625" bestFit="1" customWidth="1"/>
    <col min="29" max="29" width="9.33203125" bestFit="1" customWidth="1"/>
    <col min="30" max="30" width="9.6640625" bestFit="1" customWidth="1"/>
    <col min="31" max="31" width="9.88671875" bestFit="1" customWidth="1"/>
    <col min="32" max="32" width="11.33203125" bestFit="1" customWidth="1"/>
    <col min="33" max="33" width="10.109375" bestFit="1" customWidth="1"/>
    <col min="34" max="34" width="10.5546875" bestFit="1" customWidth="1"/>
    <col min="35" max="35" width="9.33203125" bestFit="1" customWidth="1"/>
    <col min="36" max="36" width="9.88671875" bestFit="1" customWidth="1"/>
    <col min="37" max="37" width="9.6640625" bestFit="1" customWidth="1"/>
    <col min="38" max="38" width="9.44140625" bestFit="1" customWidth="1"/>
    <col min="39" max="39" width="10" bestFit="1" customWidth="1"/>
    <col min="40" max="40" width="9.6640625" bestFit="1" customWidth="1"/>
    <col min="41" max="41" width="9.33203125" bestFit="1" customWidth="1"/>
    <col min="42" max="42" width="9.6640625" bestFit="1" customWidth="1"/>
    <col min="43" max="43" width="9.88671875" bestFit="1" customWidth="1"/>
    <col min="44" max="44" width="9.5546875" bestFit="1" customWidth="1"/>
    <col min="45" max="45" width="10.109375" bestFit="1" customWidth="1"/>
    <col min="46" max="46" width="9.44140625" bestFit="1" customWidth="1"/>
    <col min="47" max="47" width="9.33203125" bestFit="1" customWidth="1"/>
    <col min="48" max="48" width="9.88671875" bestFit="1" customWidth="1"/>
    <col min="49" max="49" width="9.6640625" bestFit="1" customWidth="1"/>
    <col min="50" max="50" width="9.44140625" bestFit="1" customWidth="1"/>
    <col min="51" max="51" width="10" bestFit="1" customWidth="1"/>
    <col min="52" max="52" width="9.6640625" bestFit="1" customWidth="1"/>
    <col min="53" max="53" width="9.33203125" bestFit="1" customWidth="1"/>
    <col min="54" max="54" width="9.6640625" bestFit="1" customWidth="1"/>
    <col min="55" max="55" width="9.88671875" bestFit="1" customWidth="1"/>
    <col min="56" max="56" width="9.5546875" bestFit="1" customWidth="1"/>
    <col min="57" max="57" width="10.109375" bestFit="1" customWidth="1"/>
    <col min="58" max="58" width="9.44140625" bestFit="1" customWidth="1"/>
    <col min="59" max="59" width="9.33203125" bestFit="1" customWidth="1"/>
    <col min="60" max="60" width="9.88671875" bestFit="1" customWidth="1"/>
    <col min="61" max="61" width="9.6640625" bestFit="1" customWidth="1"/>
    <col min="62" max="62" width="9.44140625" bestFit="1" customWidth="1"/>
    <col min="63" max="63" width="10" bestFit="1" customWidth="1"/>
    <col min="64" max="64" width="9.6640625" bestFit="1" customWidth="1"/>
    <col min="65" max="65" width="9.33203125" bestFit="1" customWidth="1"/>
    <col min="66" max="66" width="9.6640625" bestFit="1" customWidth="1"/>
    <col min="67" max="67" width="9.88671875" bestFit="1" customWidth="1"/>
    <col min="68" max="68" width="9.5546875" bestFit="1" customWidth="1"/>
    <col min="69" max="69" width="10.109375" bestFit="1" customWidth="1"/>
    <col min="70" max="70" width="9.44140625" bestFit="1" customWidth="1"/>
    <col min="71" max="71" width="9.33203125" bestFit="1" customWidth="1"/>
    <col min="72" max="72" width="9.88671875" bestFit="1" customWidth="1"/>
    <col min="73" max="73" width="9.6640625" bestFit="1" customWidth="1"/>
    <col min="74" max="74" width="9.44140625" bestFit="1" customWidth="1"/>
    <col min="75" max="75" width="10" bestFit="1" customWidth="1"/>
    <col min="76" max="76" width="9.6640625" bestFit="1" customWidth="1"/>
    <col min="77" max="77" width="9.33203125" bestFit="1" customWidth="1"/>
    <col min="78" max="78" width="9.6640625" bestFit="1" customWidth="1"/>
    <col min="79" max="79" width="9.88671875" bestFit="1" customWidth="1"/>
    <col min="80" max="80" width="9.5546875" bestFit="1" customWidth="1"/>
    <col min="81" max="81" width="10.109375" bestFit="1" customWidth="1"/>
    <col min="82" max="82" width="9.44140625" bestFit="1" customWidth="1"/>
    <col min="83" max="83" width="9.33203125" bestFit="1" customWidth="1"/>
    <col min="84" max="84" width="9.88671875" bestFit="1" customWidth="1"/>
    <col min="85" max="85" width="9.6640625" bestFit="1" customWidth="1"/>
    <col min="86" max="86" width="9.44140625" bestFit="1" customWidth="1"/>
    <col min="87" max="87" width="10" bestFit="1" customWidth="1"/>
    <col min="88" max="88" width="9.6640625" bestFit="1" customWidth="1"/>
    <col min="89" max="89" width="9.33203125" bestFit="1" customWidth="1"/>
    <col min="90" max="90" width="9.6640625" bestFit="1" customWidth="1"/>
    <col min="91" max="91" width="9.88671875" bestFit="1" customWidth="1"/>
    <col min="92" max="92" width="9.5546875" bestFit="1" customWidth="1"/>
    <col min="93" max="93" width="10.109375" bestFit="1" customWidth="1"/>
    <col min="94" max="94" width="9.44140625" bestFit="1" customWidth="1"/>
    <col min="95" max="95" width="9.33203125" bestFit="1" customWidth="1"/>
    <col min="96" max="96" width="9.88671875" bestFit="1" customWidth="1"/>
    <col min="97" max="97" width="9.6640625" bestFit="1" customWidth="1"/>
    <col min="98" max="98" width="9.44140625" bestFit="1" customWidth="1"/>
    <col min="99" max="99" width="10" bestFit="1" customWidth="1"/>
    <col min="100" max="100" width="9.6640625" bestFit="1" customWidth="1"/>
    <col min="101" max="101" width="9.33203125" bestFit="1" customWidth="1"/>
    <col min="102" max="102" width="9.6640625" bestFit="1" customWidth="1"/>
    <col min="103" max="103" width="9.88671875" bestFit="1" customWidth="1"/>
    <col min="104" max="123" width="10.33203125" bestFit="1" customWidth="1"/>
    <col min="124" max="124" width="11.5546875" bestFit="1" customWidth="1"/>
    <col min="125" max="125" width="2" customWidth="1"/>
    <col min="126" max="147" width="0" hidden="1" customWidth="1"/>
    <col min="148" max="16384" width="9.109375" hidden="1"/>
  </cols>
  <sheetData>
    <row r="1" spans="2:128" x14ac:dyDescent="0.3"/>
    <row r="2" spans="2:128" ht="15.6" x14ac:dyDescent="0.3">
      <c r="B2" s="2" t="s">
        <v>92</v>
      </c>
      <c r="C2" s="2"/>
      <c r="D2" s="1"/>
      <c r="E2" s="1"/>
      <c r="F2" s="1"/>
    </row>
    <row r="3" spans="2:128" ht="5.0999999999999996" customHeight="1" x14ac:dyDescent="0.3">
      <c r="B3" s="6"/>
      <c r="C3" s="6"/>
    </row>
    <row r="4" spans="2:128" x14ac:dyDescent="0.3">
      <c r="B4" s="3" t="s">
        <v>91</v>
      </c>
      <c r="C4" s="3"/>
      <c r="D4" s="3"/>
      <c r="E4" s="3"/>
      <c r="F4" s="3"/>
    </row>
    <row r="5" spans="2:128" x14ac:dyDescent="0.3">
      <c r="D5" s="101">
        <v>43830</v>
      </c>
      <c r="E5" s="14">
        <f>EOMONTH(D5,1)</f>
        <v>43861</v>
      </c>
      <c r="F5" s="14">
        <f>EOMONTH(E5,1)</f>
        <v>43890</v>
      </c>
      <c r="G5" s="14">
        <f>EOMONTH(F5,1)</f>
        <v>43921</v>
      </c>
      <c r="H5" s="14">
        <f>EOMONTH(G5,1)</f>
        <v>43951</v>
      </c>
      <c r="I5" s="14">
        <f>EOMONTH(H5,1)</f>
        <v>43982</v>
      </c>
      <c r="J5" s="14">
        <f>EOMONTH(I5,1)</f>
        <v>44012</v>
      </c>
      <c r="K5" s="14">
        <f>EOMONTH(J5,1)</f>
        <v>44043</v>
      </c>
      <c r="L5" s="14">
        <f>EOMONTH(K5,1)</f>
        <v>44074</v>
      </c>
      <c r="M5" s="14">
        <f>EOMONTH(L5,1)</f>
        <v>44104</v>
      </c>
      <c r="N5" s="14">
        <f>EOMONTH(M5,1)</f>
        <v>44135</v>
      </c>
      <c r="O5" s="14">
        <f>EOMONTH(N5,1)</f>
        <v>44165</v>
      </c>
      <c r="P5" s="14">
        <f>EOMONTH(O5,1)</f>
        <v>44196</v>
      </c>
      <c r="Q5" s="14">
        <f>EOMONTH(P5,1)</f>
        <v>44227</v>
      </c>
      <c r="R5" s="14">
        <f>EOMONTH(Q5,1)</f>
        <v>44255</v>
      </c>
      <c r="S5" s="14">
        <f>EOMONTH(R5,1)</f>
        <v>44286</v>
      </c>
      <c r="T5" s="14">
        <f>EOMONTH(S5,1)</f>
        <v>44316</v>
      </c>
      <c r="U5" s="14">
        <f>EOMONTH(T5,1)</f>
        <v>44347</v>
      </c>
      <c r="V5" s="14">
        <f>EOMONTH(U5,1)</f>
        <v>44377</v>
      </c>
      <c r="W5" s="14">
        <f>EOMONTH(V5,1)</f>
        <v>44408</v>
      </c>
      <c r="X5" s="14">
        <f>EOMONTH(W5,1)</f>
        <v>44439</v>
      </c>
      <c r="Y5" s="14">
        <f>EOMONTH(X5,1)</f>
        <v>44469</v>
      </c>
      <c r="Z5" s="14">
        <f>EOMONTH(Y5,1)</f>
        <v>44500</v>
      </c>
      <c r="AA5" s="14">
        <f>EOMONTH(Z5,1)</f>
        <v>44530</v>
      </c>
      <c r="AB5" s="14">
        <f>EOMONTH(AA5,1)</f>
        <v>44561</v>
      </c>
      <c r="AC5" s="14">
        <f>EOMONTH(AB5,1)</f>
        <v>44592</v>
      </c>
      <c r="AD5" s="14">
        <f>EOMONTH(AC5,1)</f>
        <v>44620</v>
      </c>
      <c r="AE5" s="14">
        <f>EOMONTH(AD5,1)</f>
        <v>44651</v>
      </c>
      <c r="AF5" s="14">
        <f>EOMONTH(AE5,1)</f>
        <v>44681</v>
      </c>
      <c r="AG5" s="14">
        <f>EOMONTH(AF5,1)</f>
        <v>44712</v>
      </c>
      <c r="AH5" s="14">
        <f>EOMONTH(AG5,1)</f>
        <v>44742</v>
      </c>
      <c r="AI5" s="14">
        <f>EOMONTH(AH5,1)</f>
        <v>44773</v>
      </c>
      <c r="AJ5" s="14">
        <f>EOMONTH(AI5,1)</f>
        <v>44804</v>
      </c>
      <c r="AK5" s="14">
        <f>EOMONTH(AJ5,1)</f>
        <v>44834</v>
      </c>
      <c r="AL5" s="14">
        <f>EOMONTH(AK5,1)</f>
        <v>44865</v>
      </c>
      <c r="AM5" s="14">
        <f>EOMONTH(AL5,1)</f>
        <v>44895</v>
      </c>
      <c r="AN5" s="14">
        <f>EOMONTH(AM5,1)</f>
        <v>44926</v>
      </c>
      <c r="AO5" s="14">
        <f>EOMONTH(AN5,1)</f>
        <v>44957</v>
      </c>
      <c r="AP5" s="14">
        <f>EOMONTH(AO5,1)</f>
        <v>44985</v>
      </c>
      <c r="AQ5" s="14">
        <f>EOMONTH(AP5,1)</f>
        <v>45016</v>
      </c>
      <c r="AR5" s="14">
        <f>EOMONTH(AQ5,1)</f>
        <v>45046</v>
      </c>
      <c r="AS5" s="14">
        <f>EOMONTH(AR5,1)</f>
        <v>45077</v>
      </c>
      <c r="AT5" s="14">
        <f>EOMONTH(AS5,1)</f>
        <v>45107</v>
      </c>
      <c r="AU5" s="14">
        <f>EOMONTH(AT5,1)</f>
        <v>45138</v>
      </c>
      <c r="AV5" s="14">
        <f>EOMONTH(AU5,1)</f>
        <v>45169</v>
      </c>
      <c r="AW5" s="14">
        <f>EOMONTH(AV5,1)</f>
        <v>45199</v>
      </c>
      <c r="AX5" s="14">
        <f>EOMONTH(AW5,1)</f>
        <v>45230</v>
      </c>
      <c r="AY5" s="14">
        <f>EOMONTH(AX5,1)</f>
        <v>45260</v>
      </c>
      <c r="AZ5" s="14">
        <f>EOMONTH(AY5,1)</f>
        <v>45291</v>
      </c>
      <c r="BA5" s="14">
        <f>EOMONTH(AZ5,1)</f>
        <v>45322</v>
      </c>
      <c r="BB5" s="14">
        <f>EOMONTH(BA5,1)</f>
        <v>45351</v>
      </c>
      <c r="BC5" s="14">
        <f>EOMONTH(BB5,1)</f>
        <v>45382</v>
      </c>
      <c r="BD5" s="14">
        <f>EOMONTH(BC5,1)</f>
        <v>45412</v>
      </c>
      <c r="BE5" s="14">
        <f>EOMONTH(BD5,1)</f>
        <v>45443</v>
      </c>
      <c r="BF5" s="14">
        <f>EOMONTH(BE5,1)</f>
        <v>45473</v>
      </c>
      <c r="BG5" s="14">
        <f>EOMONTH(BF5,1)</f>
        <v>45504</v>
      </c>
      <c r="BH5" s="14">
        <f>EOMONTH(BG5,1)</f>
        <v>45535</v>
      </c>
      <c r="BI5" s="14">
        <f>EOMONTH(BH5,1)</f>
        <v>45565</v>
      </c>
      <c r="BJ5" s="14">
        <f>EOMONTH(BI5,1)</f>
        <v>45596</v>
      </c>
      <c r="BK5" s="14">
        <f>EOMONTH(BJ5,1)</f>
        <v>45626</v>
      </c>
      <c r="BL5" s="14">
        <f>EOMONTH(BK5,1)</f>
        <v>45657</v>
      </c>
      <c r="BM5" s="14">
        <f>EOMONTH(BL5,1)</f>
        <v>45688</v>
      </c>
      <c r="BN5" s="14">
        <f>EOMONTH(BM5,1)</f>
        <v>45716</v>
      </c>
      <c r="BO5" s="14">
        <f>EOMONTH(BN5,1)</f>
        <v>45747</v>
      </c>
      <c r="BP5" s="14">
        <f>EOMONTH(BO5,1)</f>
        <v>45777</v>
      </c>
      <c r="BQ5" s="14">
        <f>EOMONTH(BP5,1)</f>
        <v>45808</v>
      </c>
      <c r="BR5" s="14">
        <f>EOMONTH(BQ5,1)</f>
        <v>45838</v>
      </c>
      <c r="BS5" s="14">
        <f>EOMONTH(BR5,1)</f>
        <v>45869</v>
      </c>
      <c r="BT5" s="14">
        <f>EOMONTH(BS5,1)</f>
        <v>45900</v>
      </c>
      <c r="BU5" s="14">
        <f>EOMONTH(BT5,1)</f>
        <v>45930</v>
      </c>
      <c r="BV5" s="14">
        <f>EOMONTH(BU5,1)</f>
        <v>45961</v>
      </c>
      <c r="BW5" s="14">
        <f>EOMONTH(BV5,1)</f>
        <v>45991</v>
      </c>
      <c r="BX5" s="14">
        <f>EOMONTH(BW5,1)</f>
        <v>46022</v>
      </c>
      <c r="BY5" s="14">
        <f>EOMONTH(BX5,1)</f>
        <v>46053</v>
      </c>
      <c r="BZ5" s="14">
        <f>EOMONTH(BY5,1)</f>
        <v>46081</v>
      </c>
      <c r="CA5" s="14">
        <f>EOMONTH(BZ5,1)</f>
        <v>46112</v>
      </c>
      <c r="CB5" s="14">
        <f>EOMONTH(CA5,1)</f>
        <v>46142</v>
      </c>
      <c r="CC5" s="14">
        <f>EOMONTH(CB5,1)</f>
        <v>46173</v>
      </c>
      <c r="CD5" s="14">
        <f>EOMONTH(CC5,1)</f>
        <v>46203</v>
      </c>
      <c r="CE5" s="14">
        <f>EOMONTH(CD5,1)</f>
        <v>46234</v>
      </c>
      <c r="CF5" s="14">
        <f>EOMONTH(CE5,1)</f>
        <v>46265</v>
      </c>
      <c r="CG5" s="14">
        <f>EOMONTH(CF5,1)</f>
        <v>46295</v>
      </c>
      <c r="CH5" s="14">
        <f>EOMONTH(CG5,1)</f>
        <v>46326</v>
      </c>
      <c r="CI5" s="14">
        <f>EOMONTH(CH5,1)</f>
        <v>46356</v>
      </c>
      <c r="CJ5" s="14">
        <f>EOMONTH(CI5,1)</f>
        <v>46387</v>
      </c>
      <c r="CK5" s="14">
        <f>EOMONTH(CJ5,1)</f>
        <v>46418</v>
      </c>
      <c r="CL5" s="14">
        <f>EOMONTH(CK5,1)</f>
        <v>46446</v>
      </c>
      <c r="CM5" s="14">
        <f>EOMONTH(CL5,1)</f>
        <v>46477</v>
      </c>
      <c r="CN5" s="14">
        <f>EOMONTH(CM5,1)</f>
        <v>46507</v>
      </c>
      <c r="CO5" s="14">
        <f>EOMONTH(CN5,1)</f>
        <v>46538</v>
      </c>
      <c r="CP5" s="14">
        <f>EOMONTH(CO5,1)</f>
        <v>46568</v>
      </c>
      <c r="CQ5" s="14">
        <f>EOMONTH(CP5,1)</f>
        <v>46599</v>
      </c>
      <c r="CR5" s="14">
        <f>EOMONTH(CQ5,1)</f>
        <v>46630</v>
      </c>
      <c r="CS5" s="14">
        <f>EOMONTH(CR5,1)</f>
        <v>46660</v>
      </c>
      <c r="CT5" s="14">
        <f>EOMONTH(CS5,1)</f>
        <v>46691</v>
      </c>
      <c r="CU5" s="14">
        <f>EOMONTH(CT5,1)</f>
        <v>46721</v>
      </c>
      <c r="CV5" s="14">
        <f>EOMONTH(CU5,1)</f>
        <v>46752</v>
      </c>
      <c r="CW5" s="14">
        <f>EOMONTH(CV5,1)</f>
        <v>46783</v>
      </c>
      <c r="CX5" s="14">
        <f>EOMONTH(CW5,1)</f>
        <v>46812</v>
      </c>
      <c r="CY5" s="14">
        <f>EOMONTH(CX5,1)</f>
        <v>46843</v>
      </c>
      <c r="CZ5" s="14">
        <f>EOMONTH(CY5,1)</f>
        <v>46873</v>
      </c>
      <c r="DA5" s="14">
        <f>EOMONTH(CZ5,1)</f>
        <v>46904</v>
      </c>
      <c r="DB5" s="14">
        <f>EOMONTH(DA5,1)</f>
        <v>46934</v>
      </c>
      <c r="DC5" s="14">
        <f>EOMONTH(DB5,1)</f>
        <v>46965</v>
      </c>
      <c r="DD5" s="14">
        <f>EOMONTH(DC5,1)</f>
        <v>46996</v>
      </c>
      <c r="DE5" s="14">
        <f>EOMONTH(DD5,1)</f>
        <v>47026</v>
      </c>
      <c r="DF5" s="14">
        <f>EOMONTH(DE5,1)</f>
        <v>47057</v>
      </c>
      <c r="DG5" s="14">
        <f>EOMONTH(DF5,1)</f>
        <v>47087</v>
      </c>
      <c r="DH5" s="14">
        <f>EOMONTH(DG5,1)</f>
        <v>47118</v>
      </c>
      <c r="DI5" s="14">
        <f>EOMONTH(DH5,1)</f>
        <v>47149</v>
      </c>
      <c r="DJ5" s="14">
        <f>EOMONTH(DI5,1)</f>
        <v>47177</v>
      </c>
      <c r="DK5" s="14">
        <f>EOMONTH(DJ5,1)</f>
        <v>47208</v>
      </c>
      <c r="DL5" s="14">
        <f>EOMONTH(DK5,1)</f>
        <v>47238</v>
      </c>
      <c r="DM5" s="14">
        <f>EOMONTH(DL5,1)</f>
        <v>47269</v>
      </c>
      <c r="DN5" s="14">
        <f>EOMONTH(DM5,1)</f>
        <v>47299</v>
      </c>
      <c r="DO5" s="14">
        <f>EOMONTH(DN5,1)</f>
        <v>47330</v>
      </c>
      <c r="DP5" s="14">
        <f>EOMONTH(DO5,1)</f>
        <v>47361</v>
      </c>
      <c r="DQ5" s="14">
        <f>EOMONTH(DP5,1)</f>
        <v>47391</v>
      </c>
      <c r="DR5" s="14">
        <f>EOMONTH(DQ5,1)</f>
        <v>47422</v>
      </c>
      <c r="DS5" s="14">
        <f>EOMONTH(DR5,1)</f>
        <v>47452</v>
      </c>
      <c r="DT5" s="14">
        <f>EOMONTH(DS5,1)</f>
        <v>47483</v>
      </c>
    </row>
    <row r="6" spans="2:128" x14ac:dyDescent="0.3">
      <c r="D6" s="11">
        <f>ROUNDUP(D7/12,0)</f>
        <v>0</v>
      </c>
      <c r="E6" s="11">
        <f>ROUNDUP(E7/12,0)</f>
        <v>1</v>
      </c>
      <c r="F6" s="11">
        <f>ROUNDUP(F7/12,0)</f>
        <v>1</v>
      </c>
      <c r="G6" s="11">
        <f>ROUNDUP(G7/12,0)</f>
        <v>1</v>
      </c>
      <c r="H6" s="11">
        <f>ROUNDUP(H7/12,0)</f>
        <v>1</v>
      </c>
      <c r="I6" s="11">
        <f>ROUNDUP(I7/12,0)</f>
        <v>1</v>
      </c>
      <c r="J6" s="11">
        <f>ROUNDUP(J7/12,0)</f>
        <v>1</v>
      </c>
      <c r="K6" s="11">
        <f>ROUNDUP(K7/12,0)</f>
        <v>1</v>
      </c>
      <c r="L6" s="11">
        <f>ROUNDUP(L7/12,0)</f>
        <v>1</v>
      </c>
      <c r="M6" s="11">
        <f>ROUNDUP(M7/12,0)</f>
        <v>1</v>
      </c>
      <c r="N6" s="11">
        <f>ROUNDUP(N7/12,0)</f>
        <v>1</v>
      </c>
      <c r="O6" s="11">
        <f>ROUNDUP(O7/12,0)</f>
        <v>1</v>
      </c>
      <c r="P6" s="11">
        <f>ROUNDUP(P7/12,0)</f>
        <v>1</v>
      </c>
      <c r="Q6" s="11">
        <f>ROUNDUP(Q7/12,0)</f>
        <v>2</v>
      </c>
      <c r="R6" s="11">
        <f>ROUNDUP(R7/12,0)</f>
        <v>2</v>
      </c>
      <c r="S6" s="11">
        <f>ROUNDUP(S7/12,0)</f>
        <v>2</v>
      </c>
      <c r="T6" s="11">
        <f>ROUNDUP(T7/12,0)</f>
        <v>2</v>
      </c>
      <c r="U6" s="11">
        <f>ROUNDUP(U7/12,0)</f>
        <v>2</v>
      </c>
      <c r="V6" s="11">
        <f>ROUNDUP(V7/12,0)</f>
        <v>2</v>
      </c>
      <c r="W6" s="11">
        <f>ROUNDUP(W7/12,0)</f>
        <v>2</v>
      </c>
      <c r="X6" s="11">
        <f>ROUNDUP(X7/12,0)</f>
        <v>2</v>
      </c>
      <c r="Y6" s="11">
        <f>ROUNDUP(Y7/12,0)</f>
        <v>2</v>
      </c>
      <c r="Z6" s="11">
        <f>ROUNDUP(Z7/12,0)</f>
        <v>2</v>
      </c>
      <c r="AA6" s="11">
        <f>ROUNDUP(AA7/12,0)</f>
        <v>2</v>
      </c>
      <c r="AB6" s="11">
        <f>ROUNDUP(AB7/12,0)</f>
        <v>2</v>
      </c>
      <c r="AC6" s="11">
        <f>ROUNDUP(AC7/12,0)</f>
        <v>3</v>
      </c>
      <c r="AD6" s="11">
        <f>ROUNDUP(AD7/12,0)</f>
        <v>3</v>
      </c>
      <c r="AE6" s="11">
        <f>ROUNDUP(AE7/12,0)</f>
        <v>3</v>
      </c>
      <c r="AF6" s="11">
        <f>ROUNDUP(AF7/12,0)</f>
        <v>3</v>
      </c>
      <c r="AG6" s="11">
        <f>ROUNDUP(AG7/12,0)</f>
        <v>3</v>
      </c>
      <c r="AH6" s="11">
        <f>ROUNDUP(AH7/12,0)</f>
        <v>3</v>
      </c>
      <c r="AI6" s="11">
        <f>ROUNDUP(AI7/12,0)</f>
        <v>3</v>
      </c>
      <c r="AJ6" s="11">
        <f>ROUNDUP(AJ7/12,0)</f>
        <v>3</v>
      </c>
      <c r="AK6" s="11">
        <f>ROUNDUP(AK7/12,0)</f>
        <v>3</v>
      </c>
      <c r="AL6" s="11">
        <f>ROUNDUP(AL7/12,0)</f>
        <v>3</v>
      </c>
      <c r="AM6" s="11">
        <f>ROUNDUP(AM7/12,0)</f>
        <v>3</v>
      </c>
      <c r="AN6" s="11">
        <f>ROUNDUP(AN7/12,0)</f>
        <v>3</v>
      </c>
      <c r="AO6" s="11">
        <f>ROUNDUP(AO7/12,0)</f>
        <v>4</v>
      </c>
      <c r="AP6" s="11">
        <f>ROUNDUP(AP7/12,0)</f>
        <v>4</v>
      </c>
      <c r="AQ6" s="11">
        <f>ROUNDUP(AQ7/12,0)</f>
        <v>4</v>
      </c>
      <c r="AR6" s="11">
        <f>ROUNDUP(AR7/12,0)</f>
        <v>4</v>
      </c>
      <c r="AS6" s="11">
        <f>ROUNDUP(AS7/12,0)</f>
        <v>4</v>
      </c>
      <c r="AT6" s="11">
        <f>ROUNDUP(AT7/12,0)</f>
        <v>4</v>
      </c>
      <c r="AU6" s="11">
        <f>ROUNDUP(AU7/12,0)</f>
        <v>4</v>
      </c>
      <c r="AV6" s="11">
        <f>ROUNDUP(AV7/12,0)</f>
        <v>4</v>
      </c>
      <c r="AW6" s="11">
        <f>ROUNDUP(AW7/12,0)</f>
        <v>4</v>
      </c>
      <c r="AX6" s="11">
        <f>ROUNDUP(AX7/12,0)</f>
        <v>4</v>
      </c>
      <c r="AY6" s="11">
        <f>ROUNDUP(AY7/12,0)</f>
        <v>4</v>
      </c>
      <c r="AZ6" s="11">
        <f>ROUNDUP(AZ7/12,0)</f>
        <v>4</v>
      </c>
      <c r="BA6" s="11">
        <f>ROUNDUP(BA7/12,0)</f>
        <v>5</v>
      </c>
      <c r="BB6" s="11">
        <f>ROUNDUP(BB7/12,0)</f>
        <v>5</v>
      </c>
      <c r="BC6" s="11">
        <f>ROUNDUP(BC7/12,0)</f>
        <v>5</v>
      </c>
      <c r="BD6" s="11">
        <f>ROUNDUP(BD7/12,0)</f>
        <v>5</v>
      </c>
      <c r="BE6" s="11">
        <f>ROUNDUP(BE7/12,0)</f>
        <v>5</v>
      </c>
      <c r="BF6" s="11">
        <f>ROUNDUP(BF7/12,0)</f>
        <v>5</v>
      </c>
      <c r="BG6" s="11">
        <f>ROUNDUP(BG7/12,0)</f>
        <v>5</v>
      </c>
      <c r="BH6" s="11">
        <f>ROUNDUP(BH7/12,0)</f>
        <v>5</v>
      </c>
      <c r="BI6" s="11">
        <f>ROUNDUP(BI7/12,0)</f>
        <v>5</v>
      </c>
      <c r="BJ6" s="11">
        <f>ROUNDUP(BJ7/12,0)</f>
        <v>5</v>
      </c>
      <c r="BK6" s="11">
        <f>ROUNDUP(BK7/12,0)</f>
        <v>5</v>
      </c>
      <c r="BL6" s="11">
        <f>ROUNDUP(BL7/12,0)</f>
        <v>5</v>
      </c>
      <c r="BM6" s="11">
        <f>ROUNDUP(BM7/12,0)</f>
        <v>6</v>
      </c>
      <c r="BN6" s="11">
        <f>ROUNDUP(BN7/12,0)</f>
        <v>6</v>
      </c>
      <c r="BO6" s="11">
        <f>ROUNDUP(BO7/12,0)</f>
        <v>6</v>
      </c>
      <c r="BP6" s="11">
        <f>ROUNDUP(BP7/12,0)</f>
        <v>6</v>
      </c>
      <c r="BQ6" s="11">
        <f>ROUNDUP(BQ7/12,0)</f>
        <v>6</v>
      </c>
      <c r="BR6" s="11">
        <f>ROUNDUP(BR7/12,0)</f>
        <v>6</v>
      </c>
      <c r="BS6" s="11">
        <f>ROUNDUP(BS7/12,0)</f>
        <v>6</v>
      </c>
      <c r="BT6" s="11">
        <f>ROUNDUP(BT7/12,0)</f>
        <v>6</v>
      </c>
      <c r="BU6" s="11">
        <f>ROUNDUP(BU7/12,0)</f>
        <v>6</v>
      </c>
      <c r="BV6" s="11">
        <f>ROUNDUP(BV7/12,0)</f>
        <v>6</v>
      </c>
      <c r="BW6" s="11">
        <f>ROUNDUP(BW7/12,0)</f>
        <v>6</v>
      </c>
      <c r="BX6" s="11">
        <f>ROUNDUP(BX7/12,0)</f>
        <v>6</v>
      </c>
      <c r="BY6" s="11">
        <f>ROUNDUP(BY7/12,0)</f>
        <v>7</v>
      </c>
      <c r="BZ6" s="11">
        <f>ROUNDUP(BZ7/12,0)</f>
        <v>7</v>
      </c>
      <c r="CA6" s="11">
        <f>ROUNDUP(CA7/12,0)</f>
        <v>7</v>
      </c>
      <c r="CB6" s="11">
        <f>ROUNDUP(CB7/12,0)</f>
        <v>7</v>
      </c>
      <c r="CC6" s="11">
        <f>ROUNDUP(CC7/12,0)</f>
        <v>7</v>
      </c>
      <c r="CD6" s="11">
        <f>ROUNDUP(CD7/12,0)</f>
        <v>7</v>
      </c>
      <c r="CE6" s="11">
        <f>ROUNDUP(CE7/12,0)</f>
        <v>7</v>
      </c>
      <c r="CF6" s="11">
        <f>ROUNDUP(CF7/12,0)</f>
        <v>7</v>
      </c>
      <c r="CG6" s="11">
        <f>ROUNDUP(CG7/12,0)</f>
        <v>7</v>
      </c>
      <c r="CH6" s="11">
        <f>ROUNDUP(CH7/12,0)</f>
        <v>7</v>
      </c>
      <c r="CI6" s="11">
        <f>ROUNDUP(CI7/12,0)</f>
        <v>7</v>
      </c>
      <c r="CJ6" s="11">
        <f>ROUNDUP(CJ7/12,0)</f>
        <v>7</v>
      </c>
      <c r="CK6" s="11">
        <f>ROUNDUP(CK7/12,0)</f>
        <v>8</v>
      </c>
      <c r="CL6" s="11">
        <f>ROUNDUP(CL7/12,0)</f>
        <v>8</v>
      </c>
      <c r="CM6" s="11">
        <f>ROUNDUP(CM7/12,0)</f>
        <v>8</v>
      </c>
      <c r="CN6" s="11">
        <f>ROUNDUP(CN7/12,0)</f>
        <v>8</v>
      </c>
      <c r="CO6" s="11">
        <f>ROUNDUP(CO7/12,0)</f>
        <v>8</v>
      </c>
      <c r="CP6" s="11">
        <f>ROUNDUP(CP7/12,0)</f>
        <v>8</v>
      </c>
      <c r="CQ6" s="11">
        <f>ROUNDUP(CQ7/12,0)</f>
        <v>8</v>
      </c>
      <c r="CR6" s="11">
        <f>ROUNDUP(CR7/12,0)</f>
        <v>8</v>
      </c>
      <c r="CS6" s="11">
        <f>ROUNDUP(CS7/12,0)</f>
        <v>8</v>
      </c>
      <c r="CT6" s="11">
        <f>ROUNDUP(CT7/12,0)</f>
        <v>8</v>
      </c>
      <c r="CU6" s="11">
        <f>ROUNDUP(CU7/12,0)</f>
        <v>8</v>
      </c>
      <c r="CV6" s="11">
        <f>ROUNDUP(CV7/12,0)</f>
        <v>8</v>
      </c>
      <c r="CW6" s="11">
        <f>ROUNDUP(CW7/12,0)</f>
        <v>9</v>
      </c>
      <c r="CX6" s="11">
        <f>ROUNDUP(CX7/12,0)</f>
        <v>9</v>
      </c>
      <c r="CY6" s="11">
        <f>ROUNDUP(CY7/12,0)</f>
        <v>9</v>
      </c>
      <c r="CZ6" s="11">
        <f>ROUNDUP(CZ7/12,0)</f>
        <v>9</v>
      </c>
      <c r="DA6" s="11">
        <f>ROUNDUP(DA7/12,0)</f>
        <v>9</v>
      </c>
      <c r="DB6" s="11">
        <f>ROUNDUP(DB7/12,0)</f>
        <v>9</v>
      </c>
      <c r="DC6" s="11">
        <f>ROUNDUP(DC7/12,0)</f>
        <v>9</v>
      </c>
      <c r="DD6" s="11">
        <f>ROUNDUP(DD7/12,0)</f>
        <v>9</v>
      </c>
      <c r="DE6" s="11">
        <f>ROUNDUP(DE7/12,0)</f>
        <v>9</v>
      </c>
      <c r="DF6" s="11">
        <f>ROUNDUP(DF7/12,0)</f>
        <v>9</v>
      </c>
      <c r="DG6" s="11">
        <f>ROUNDUP(DG7/12,0)</f>
        <v>9</v>
      </c>
      <c r="DH6" s="11">
        <f>ROUNDUP(DH7/12,0)</f>
        <v>9</v>
      </c>
      <c r="DI6" s="11">
        <f>ROUNDUP(DI7/12,0)</f>
        <v>10</v>
      </c>
      <c r="DJ6" s="11">
        <f>ROUNDUP(DJ7/12,0)</f>
        <v>10</v>
      </c>
      <c r="DK6" s="11">
        <f>ROUNDUP(DK7/12,0)</f>
        <v>10</v>
      </c>
      <c r="DL6" s="11">
        <f>ROUNDUP(DL7/12,0)</f>
        <v>10</v>
      </c>
      <c r="DM6" s="11">
        <f>ROUNDUP(DM7/12,0)</f>
        <v>10</v>
      </c>
      <c r="DN6" s="11">
        <f>ROUNDUP(DN7/12,0)</f>
        <v>10</v>
      </c>
      <c r="DO6" s="11">
        <f>ROUNDUP(DO7/12,0)</f>
        <v>10</v>
      </c>
      <c r="DP6" s="11">
        <f>ROUNDUP(DP7/12,0)</f>
        <v>10</v>
      </c>
      <c r="DQ6" s="11">
        <f>ROUNDUP(DQ7/12,0)</f>
        <v>10</v>
      </c>
      <c r="DR6" s="11">
        <f>ROUNDUP(DR7/12,0)</f>
        <v>10</v>
      </c>
      <c r="DS6" s="11">
        <f>ROUNDUP(DS7/12,0)</f>
        <v>10</v>
      </c>
      <c r="DT6" s="11">
        <f>ROUNDUP(DT7/12,0)</f>
        <v>10</v>
      </c>
    </row>
    <row r="7" spans="2:128" x14ac:dyDescent="0.3">
      <c r="B7" s="100"/>
      <c r="C7" s="100"/>
      <c r="D7" s="99">
        <v>0</v>
      </c>
      <c r="E7" s="99">
        <f>D7+1</f>
        <v>1</v>
      </c>
      <c r="F7" s="99">
        <f>E7+1</f>
        <v>2</v>
      </c>
      <c r="G7" s="99">
        <f>F7+1</f>
        <v>3</v>
      </c>
      <c r="H7" s="99">
        <f>G7+1</f>
        <v>4</v>
      </c>
      <c r="I7" s="99">
        <f>H7+1</f>
        <v>5</v>
      </c>
      <c r="J7" s="99">
        <f>I7+1</f>
        <v>6</v>
      </c>
      <c r="K7" s="99">
        <f>J7+1</f>
        <v>7</v>
      </c>
      <c r="L7" s="99">
        <f>K7+1</f>
        <v>8</v>
      </c>
      <c r="M7" s="99">
        <f>L7+1</f>
        <v>9</v>
      </c>
      <c r="N7" s="99">
        <f>M7+1</f>
        <v>10</v>
      </c>
      <c r="O7" s="99">
        <f>N7+1</f>
        <v>11</v>
      </c>
      <c r="P7" s="99">
        <f>O7+1</f>
        <v>12</v>
      </c>
      <c r="Q7" s="99">
        <f>P7+1</f>
        <v>13</v>
      </c>
      <c r="R7" s="99">
        <f>Q7+1</f>
        <v>14</v>
      </c>
      <c r="S7" s="99">
        <f>R7+1</f>
        <v>15</v>
      </c>
      <c r="T7" s="99">
        <f>S7+1</f>
        <v>16</v>
      </c>
      <c r="U7" s="99">
        <f>T7+1</f>
        <v>17</v>
      </c>
      <c r="V7" s="99">
        <f>U7+1</f>
        <v>18</v>
      </c>
      <c r="W7" s="99">
        <f>V7+1</f>
        <v>19</v>
      </c>
      <c r="X7" s="99">
        <f>W7+1</f>
        <v>20</v>
      </c>
      <c r="Y7" s="99">
        <f>X7+1</f>
        <v>21</v>
      </c>
      <c r="Z7" s="99">
        <f>Y7+1</f>
        <v>22</v>
      </c>
      <c r="AA7" s="99">
        <f>Z7+1</f>
        <v>23</v>
      </c>
      <c r="AB7" s="99">
        <f>AA7+1</f>
        <v>24</v>
      </c>
      <c r="AC7" s="99">
        <f>AB7+1</f>
        <v>25</v>
      </c>
      <c r="AD7" s="99">
        <f>AC7+1</f>
        <v>26</v>
      </c>
      <c r="AE7" s="99">
        <f>AD7+1</f>
        <v>27</v>
      </c>
      <c r="AF7" s="99">
        <f>AE7+1</f>
        <v>28</v>
      </c>
      <c r="AG7" s="99">
        <f>AF7+1</f>
        <v>29</v>
      </c>
      <c r="AH7" s="99">
        <f>AG7+1</f>
        <v>30</v>
      </c>
      <c r="AI7" s="99">
        <f>AH7+1</f>
        <v>31</v>
      </c>
      <c r="AJ7" s="99">
        <f>AI7+1</f>
        <v>32</v>
      </c>
      <c r="AK7" s="99">
        <f>AJ7+1</f>
        <v>33</v>
      </c>
      <c r="AL7" s="99">
        <f>AK7+1</f>
        <v>34</v>
      </c>
      <c r="AM7" s="99">
        <f>AL7+1</f>
        <v>35</v>
      </c>
      <c r="AN7" s="99">
        <f>AM7+1</f>
        <v>36</v>
      </c>
      <c r="AO7" s="99">
        <f>AN7+1</f>
        <v>37</v>
      </c>
      <c r="AP7" s="99">
        <f>AO7+1</f>
        <v>38</v>
      </c>
      <c r="AQ7" s="99">
        <f>AP7+1</f>
        <v>39</v>
      </c>
      <c r="AR7" s="99">
        <f>AQ7+1</f>
        <v>40</v>
      </c>
      <c r="AS7" s="99">
        <f>AR7+1</f>
        <v>41</v>
      </c>
      <c r="AT7" s="99">
        <f>AS7+1</f>
        <v>42</v>
      </c>
      <c r="AU7" s="99">
        <f>AT7+1</f>
        <v>43</v>
      </c>
      <c r="AV7" s="99">
        <f>AU7+1</f>
        <v>44</v>
      </c>
      <c r="AW7" s="99">
        <f>AV7+1</f>
        <v>45</v>
      </c>
      <c r="AX7" s="99">
        <f>AW7+1</f>
        <v>46</v>
      </c>
      <c r="AY7" s="99">
        <f>AX7+1</f>
        <v>47</v>
      </c>
      <c r="AZ7" s="99">
        <f>AY7+1</f>
        <v>48</v>
      </c>
      <c r="BA7" s="99">
        <f>AZ7+1</f>
        <v>49</v>
      </c>
      <c r="BB7" s="99">
        <f>BA7+1</f>
        <v>50</v>
      </c>
      <c r="BC7" s="99">
        <f>BB7+1</f>
        <v>51</v>
      </c>
      <c r="BD7" s="99">
        <f>BC7+1</f>
        <v>52</v>
      </c>
      <c r="BE7" s="99">
        <f>BD7+1</f>
        <v>53</v>
      </c>
      <c r="BF7" s="99">
        <f>BE7+1</f>
        <v>54</v>
      </c>
      <c r="BG7" s="99">
        <f>BF7+1</f>
        <v>55</v>
      </c>
      <c r="BH7" s="99">
        <f>BG7+1</f>
        <v>56</v>
      </c>
      <c r="BI7" s="99">
        <f>BH7+1</f>
        <v>57</v>
      </c>
      <c r="BJ7" s="99">
        <f>BI7+1</f>
        <v>58</v>
      </c>
      <c r="BK7" s="99">
        <f>BJ7+1</f>
        <v>59</v>
      </c>
      <c r="BL7" s="99">
        <f>BK7+1</f>
        <v>60</v>
      </c>
      <c r="BM7" s="99">
        <f>BL7+1</f>
        <v>61</v>
      </c>
      <c r="BN7" s="99">
        <f>BM7+1</f>
        <v>62</v>
      </c>
      <c r="BO7" s="99">
        <f>BN7+1</f>
        <v>63</v>
      </c>
      <c r="BP7" s="99">
        <f>BO7+1</f>
        <v>64</v>
      </c>
      <c r="BQ7" s="99">
        <f>BP7+1</f>
        <v>65</v>
      </c>
      <c r="BR7" s="99">
        <f>BQ7+1</f>
        <v>66</v>
      </c>
      <c r="BS7" s="99">
        <f>BR7+1</f>
        <v>67</v>
      </c>
      <c r="BT7" s="99">
        <f>BS7+1</f>
        <v>68</v>
      </c>
      <c r="BU7" s="99">
        <f>BT7+1</f>
        <v>69</v>
      </c>
      <c r="BV7" s="99">
        <f>BU7+1</f>
        <v>70</v>
      </c>
      <c r="BW7" s="99">
        <f>BV7+1</f>
        <v>71</v>
      </c>
      <c r="BX7" s="99">
        <f>BW7+1</f>
        <v>72</v>
      </c>
      <c r="BY7" s="99">
        <f>BX7+1</f>
        <v>73</v>
      </c>
      <c r="BZ7" s="99">
        <f>BY7+1</f>
        <v>74</v>
      </c>
      <c r="CA7" s="99">
        <f>BZ7+1</f>
        <v>75</v>
      </c>
      <c r="CB7" s="99">
        <f>CA7+1</f>
        <v>76</v>
      </c>
      <c r="CC7" s="99">
        <f>CB7+1</f>
        <v>77</v>
      </c>
      <c r="CD7" s="99">
        <f>CC7+1</f>
        <v>78</v>
      </c>
      <c r="CE7" s="99">
        <f>CD7+1</f>
        <v>79</v>
      </c>
      <c r="CF7" s="99">
        <f>CE7+1</f>
        <v>80</v>
      </c>
      <c r="CG7" s="99">
        <f>CF7+1</f>
        <v>81</v>
      </c>
      <c r="CH7" s="99">
        <f>CG7+1</f>
        <v>82</v>
      </c>
      <c r="CI7" s="99">
        <f>CH7+1</f>
        <v>83</v>
      </c>
      <c r="CJ7" s="99">
        <f>CI7+1</f>
        <v>84</v>
      </c>
      <c r="CK7" s="99">
        <f>CJ7+1</f>
        <v>85</v>
      </c>
      <c r="CL7" s="99">
        <f>CK7+1</f>
        <v>86</v>
      </c>
      <c r="CM7" s="99">
        <f>CL7+1</f>
        <v>87</v>
      </c>
      <c r="CN7" s="99">
        <f>CM7+1</f>
        <v>88</v>
      </c>
      <c r="CO7" s="99">
        <f>CN7+1</f>
        <v>89</v>
      </c>
      <c r="CP7" s="99">
        <f>CO7+1</f>
        <v>90</v>
      </c>
      <c r="CQ7" s="99">
        <f>CP7+1</f>
        <v>91</v>
      </c>
      <c r="CR7" s="99">
        <f>CQ7+1</f>
        <v>92</v>
      </c>
      <c r="CS7" s="99">
        <f>CR7+1</f>
        <v>93</v>
      </c>
      <c r="CT7" s="99">
        <f>CS7+1</f>
        <v>94</v>
      </c>
      <c r="CU7" s="99">
        <f>CT7+1</f>
        <v>95</v>
      </c>
      <c r="CV7" s="99">
        <f>CU7+1</f>
        <v>96</v>
      </c>
      <c r="CW7" s="99">
        <f>CV7+1</f>
        <v>97</v>
      </c>
      <c r="CX7" s="99">
        <f>CW7+1</f>
        <v>98</v>
      </c>
      <c r="CY7" s="99">
        <f>CX7+1</f>
        <v>99</v>
      </c>
      <c r="CZ7" s="99">
        <f>CY7+1</f>
        <v>100</v>
      </c>
      <c r="DA7" s="99">
        <f>CZ7+1</f>
        <v>101</v>
      </c>
      <c r="DB7" s="99">
        <f>DA7+1</f>
        <v>102</v>
      </c>
      <c r="DC7" s="99">
        <f>DB7+1</f>
        <v>103</v>
      </c>
      <c r="DD7" s="99">
        <f>DC7+1</f>
        <v>104</v>
      </c>
      <c r="DE7" s="99">
        <f>DD7+1</f>
        <v>105</v>
      </c>
      <c r="DF7" s="99">
        <f>DE7+1</f>
        <v>106</v>
      </c>
      <c r="DG7" s="99">
        <f>DF7+1</f>
        <v>107</v>
      </c>
      <c r="DH7" s="99">
        <f>DG7+1</f>
        <v>108</v>
      </c>
      <c r="DI7" s="99">
        <f>DH7+1</f>
        <v>109</v>
      </c>
      <c r="DJ7" s="99">
        <f>DI7+1</f>
        <v>110</v>
      </c>
      <c r="DK7" s="99">
        <f>DJ7+1</f>
        <v>111</v>
      </c>
      <c r="DL7" s="99">
        <f>DK7+1</f>
        <v>112</v>
      </c>
      <c r="DM7" s="99">
        <f>DL7+1</f>
        <v>113</v>
      </c>
      <c r="DN7" s="99">
        <f>DM7+1</f>
        <v>114</v>
      </c>
      <c r="DO7" s="99">
        <f>DN7+1</f>
        <v>115</v>
      </c>
      <c r="DP7" s="99">
        <f>DO7+1</f>
        <v>116</v>
      </c>
      <c r="DQ7" s="99">
        <f>DP7+1</f>
        <v>117</v>
      </c>
      <c r="DR7" s="99">
        <f>DQ7+1</f>
        <v>118</v>
      </c>
      <c r="DS7" s="99">
        <f>DR7+1</f>
        <v>119</v>
      </c>
      <c r="DT7" s="99">
        <f>DS7+1</f>
        <v>120</v>
      </c>
    </row>
    <row r="8" spans="2:128" x14ac:dyDescent="0.3">
      <c r="B8" t="s">
        <v>90</v>
      </c>
      <c r="D8" s="10">
        <v>-1914790.7714435607</v>
      </c>
      <c r="E8" s="22">
        <v>-9600.4766748483908</v>
      </c>
      <c r="F8" s="22">
        <v>-22344.153737569322</v>
      </c>
      <c r="G8" s="22">
        <v>-47790.625890841024</v>
      </c>
      <c r="H8" s="22">
        <v>-93935.734295262373</v>
      </c>
      <c r="I8" s="22">
        <v>-169679.63037970162</v>
      </c>
      <c r="J8" s="22">
        <v>-281670.01846022281</v>
      </c>
      <c r="K8" s="22">
        <v>-379699.33107354102</v>
      </c>
      <c r="L8" s="22">
        <v>-502424.74416514701</v>
      </c>
      <c r="M8" s="22">
        <v>-578026.71134872199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2">
        <v>0</v>
      </c>
      <c r="BU8" s="22">
        <v>0</v>
      </c>
      <c r="BV8" s="22">
        <v>0</v>
      </c>
      <c r="BW8" s="22">
        <v>0</v>
      </c>
      <c r="BX8" s="22">
        <v>0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0</v>
      </c>
      <c r="CF8" s="22">
        <v>0</v>
      </c>
      <c r="CG8" s="22">
        <v>0</v>
      </c>
      <c r="CH8" s="22">
        <v>0</v>
      </c>
      <c r="CI8" s="22">
        <v>0</v>
      </c>
      <c r="CJ8" s="22">
        <v>0</v>
      </c>
      <c r="CK8" s="22">
        <v>0</v>
      </c>
      <c r="CL8" s="22">
        <v>0</v>
      </c>
      <c r="CM8" s="22">
        <v>0</v>
      </c>
      <c r="CN8" s="22">
        <v>0</v>
      </c>
      <c r="CO8" s="22">
        <v>0</v>
      </c>
      <c r="CP8" s="22">
        <v>0</v>
      </c>
      <c r="CQ8" s="22">
        <v>0</v>
      </c>
      <c r="CR8" s="22">
        <v>0</v>
      </c>
      <c r="CS8" s="22">
        <v>0</v>
      </c>
      <c r="CT8" s="22">
        <v>0</v>
      </c>
      <c r="CU8" s="22">
        <v>0</v>
      </c>
      <c r="CV8" s="22">
        <v>0</v>
      </c>
      <c r="CW8" s="22">
        <v>0</v>
      </c>
      <c r="CX8" s="22">
        <v>0</v>
      </c>
      <c r="CY8" s="22">
        <v>0</v>
      </c>
      <c r="CZ8" s="22">
        <v>0</v>
      </c>
      <c r="DA8" s="22">
        <v>0</v>
      </c>
      <c r="DB8" s="22">
        <v>0</v>
      </c>
      <c r="DC8" s="22">
        <v>0</v>
      </c>
      <c r="DD8" s="22">
        <v>0</v>
      </c>
      <c r="DE8" s="22">
        <v>0</v>
      </c>
      <c r="DF8" s="22">
        <v>0</v>
      </c>
      <c r="DG8" s="22">
        <v>0</v>
      </c>
      <c r="DH8" s="22">
        <v>0</v>
      </c>
      <c r="DI8" s="22">
        <v>0</v>
      </c>
      <c r="DJ8" s="22">
        <v>0</v>
      </c>
      <c r="DK8" s="22">
        <v>0</v>
      </c>
      <c r="DL8" s="22">
        <v>0</v>
      </c>
      <c r="DM8" s="22">
        <v>0</v>
      </c>
      <c r="DN8" s="22">
        <v>0</v>
      </c>
      <c r="DO8" s="22">
        <v>0</v>
      </c>
      <c r="DP8" s="22">
        <v>0</v>
      </c>
      <c r="DQ8" s="22">
        <v>0</v>
      </c>
      <c r="DR8" s="22">
        <v>0</v>
      </c>
      <c r="DS8" s="22">
        <v>0</v>
      </c>
      <c r="DT8" s="22">
        <v>0</v>
      </c>
    </row>
    <row r="9" spans="2:128" x14ac:dyDescent="0.3">
      <c r="B9" s="7" t="s">
        <v>89</v>
      </c>
      <c r="C9" s="7"/>
      <c r="D9" s="10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39483.975652349989</v>
      </c>
      <c r="AI9" s="22">
        <v>22477.421176789932</v>
      </c>
      <c r="AJ9" s="22">
        <v>22477.421176789932</v>
      </c>
      <c r="AK9" s="22">
        <v>22477.421176789932</v>
      </c>
      <c r="AL9" s="22">
        <v>22477.421176789932</v>
      </c>
      <c r="AM9" s="22">
        <v>22477.421176789932</v>
      </c>
      <c r="AN9" s="22">
        <v>23113.074140863653</v>
      </c>
      <c r="AO9" s="22">
        <v>23113.074140863653</v>
      </c>
      <c r="AP9" s="22">
        <v>23113.074140863653</v>
      </c>
      <c r="AQ9" s="22">
        <v>23113.074140863653</v>
      </c>
      <c r="AR9" s="22">
        <v>23113.074140863653</v>
      </c>
      <c r="AS9" s="22">
        <v>23113.074140863653</v>
      </c>
      <c r="AT9" s="22">
        <v>23113.074140863653</v>
      </c>
      <c r="AU9" s="22">
        <v>23113.074140863653</v>
      </c>
      <c r="AV9" s="22">
        <v>23113.074140863653</v>
      </c>
      <c r="AW9" s="22">
        <v>23113.074140863653</v>
      </c>
      <c r="AX9" s="22">
        <v>23113.074140863653</v>
      </c>
      <c r="AY9" s="22">
        <v>23113.074140863653</v>
      </c>
      <c r="AZ9" s="22">
        <v>25489.355284502402</v>
      </c>
      <c r="BA9" s="22">
        <v>25489.355284502402</v>
      </c>
      <c r="BB9" s="22">
        <v>25489.355284502402</v>
      </c>
      <c r="BC9" s="22">
        <v>25489.355284502402</v>
      </c>
      <c r="BD9" s="22">
        <v>25489.355284502402</v>
      </c>
      <c r="BE9" s="22">
        <v>25489.355284502402</v>
      </c>
      <c r="BF9" s="22">
        <v>25489.355284502402</v>
      </c>
      <c r="BG9" s="22">
        <v>14593.281966277813</v>
      </c>
      <c r="BH9" s="22">
        <v>14593.281966277813</v>
      </c>
      <c r="BI9" s="22">
        <v>14593.281966277813</v>
      </c>
      <c r="BJ9" s="22">
        <v>14593.281966277813</v>
      </c>
      <c r="BK9" s="22">
        <v>14593.281966277813</v>
      </c>
      <c r="BL9" s="22">
        <v>17053.940726528657</v>
      </c>
      <c r="BM9" s="22">
        <v>17053.940726528657</v>
      </c>
      <c r="BN9" s="22">
        <v>17053.940726528657</v>
      </c>
      <c r="BO9" s="22">
        <v>17053.940726528657</v>
      </c>
      <c r="BP9" s="22">
        <v>17053.940726528657</v>
      </c>
      <c r="BQ9" s="22">
        <v>17053.940726528657</v>
      </c>
      <c r="BR9" s="22">
        <v>17053.940726528657</v>
      </c>
      <c r="BS9" s="22">
        <v>17053.940726528657</v>
      </c>
      <c r="BT9" s="22">
        <v>17053.940726528657</v>
      </c>
      <c r="BU9" s="22">
        <v>17053.940726528657</v>
      </c>
      <c r="BV9" s="22">
        <v>17053.940726528657</v>
      </c>
      <c r="BW9" s="22">
        <v>17053.940726528657</v>
      </c>
      <c r="BX9" s="22">
        <v>19601.77021553598</v>
      </c>
      <c r="BY9" s="22">
        <v>19601.77021553598</v>
      </c>
      <c r="BZ9" s="22">
        <v>19601.77021553598</v>
      </c>
      <c r="CA9" s="22">
        <v>19601.77021553598</v>
      </c>
      <c r="CB9" s="22">
        <v>19601.77021553598</v>
      </c>
      <c r="CC9" s="22">
        <v>19601.77021553598</v>
      </c>
      <c r="CD9" s="22">
        <v>19601.77021553598</v>
      </c>
      <c r="CE9" s="22">
        <v>19601.77021553598</v>
      </c>
      <c r="CF9" s="22">
        <v>19601.77021553598</v>
      </c>
      <c r="CG9" s="22">
        <v>19601.77021553598</v>
      </c>
      <c r="CH9" s="22">
        <v>19601.77021553598</v>
      </c>
      <c r="CI9" s="22">
        <v>19601.77021553598</v>
      </c>
      <c r="CJ9" s="22">
        <v>22239.652574481515</v>
      </c>
      <c r="CK9" s="22">
        <v>22239.652574481515</v>
      </c>
      <c r="CL9" s="22">
        <v>22239.652574481515</v>
      </c>
      <c r="CM9" s="22">
        <v>22239.652574481515</v>
      </c>
      <c r="CN9" s="22">
        <v>22239.652574481515</v>
      </c>
      <c r="CO9" s="22">
        <v>22239.652574481515</v>
      </c>
      <c r="CP9" s="22">
        <v>22239.652574481515</v>
      </c>
      <c r="CQ9" s="22">
        <v>22239.652574481515</v>
      </c>
      <c r="CR9" s="22">
        <v>22239.652574481515</v>
      </c>
      <c r="CS9" s="22">
        <v>22239.652574481515</v>
      </c>
      <c r="CT9" s="22">
        <v>22239.652574481515</v>
      </c>
      <c r="CU9" s="22">
        <v>22239.652574481515</v>
      </c>
      <c r="CV9" s="22">
        <v>24970.561749168672</v>
      </c>
      <c r="CW9" s="22">
        <v>24970.561749168672</v>
      </c>
      <c r="CX9" s="22">
        <v>24970.561749168672</v>
      </c>
      <c r="CY9" s="22">
        <v>24970.561749168672</v>
      </c>
      <c r="CZ9" s="22">
        <v>24970.561749168672</v>
      </c>
      <c r="DA9" s="22">
        <v>24970.561749168672</v>
      </c>
      <c r="DB9" s="22">
        <v>24970.561749168672</v>
      </c>
      <c r="DC9" s="22">
        <v>24970.561749168672</v>
      </c>
      <c r="DD9" s="22">
        <v>24970.561749168672</v>
      </c>
      <c r="DE9" s="22">
        <v>24970.561749168672</v>
      </c>
      <c r="DF9" s="22">
        <v>24970.561749168672</v>
      </c>
      <c r="DG9" s="22">
        <v>24970.561749168672</v>
      </c>
      <c r="DH9" s="22">
        <v>27797.566350969311</v>
      </c>
      <c r="DI9" s="22">
        <v>27797.566350969311</v>
      </c>
      <c r="DJ9" s="22">
        <v>27797.566350969311</v>
      </c>
      <c r="DK9" s="22">
        <v>27797.566350969311</v>
      </c>
      <c r="DL9" s="22">
        <v>27797.566350969311</v>
      </c>
      <c r="DM9" s="22">
        <v>27797.566350969311</v>
      </c>
      <c r="DN9" s="22">
        <v>27797.566350969311</v>
      </c>
      <c r="DO9" s="22">
        <v>27797.566350969311</v>
      </c>
      <c r="DP9" s="22">
        <v>27797.566350969311</v>
      </c>
      <c r="DQ9" s="22">
        <v>27797.566350969311</v>
      </c>
      <c r="DR9" s="22">
        <v>27797.566350969311</v>
      </c>
      <c r="DS9" s="22">
        <v>27797.566350969311</v>
      </c>
      <c r="DT9" s="22">
        <v>27797.566350969311</v>
      </c>
    </row>
    <row r="10" spans="2:128" ht="16.2" x14ac:dyDescent="0.45">
      <c r="B10" t="s">
        <v>88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9736709.2227963302</v>
      </c>
      <c r="DU10" s="10"/>
    </row>
    <row r="11" spans="2:128" s="20" customFormat="1" x14ac:dyDescent="0.3">
      <c r="B11" s="20" t="s">
        <v>87</v>
      </c>
      <c r="D11" s="98">
        <f>SUM(D8:D10)</f>
        <v>-1914790.7714435607</v>
      </c>
      <c r="E11" s="97">
        <f>SUM(E8:E10)</f>
        <v>-9600.4766748483908</v>
      </c>
      <c r="F11" s="97">
        <f>SUM(F8:F10)</f>
        <v>-22344.153737569322</v>
      </c>
      <c r="G11" s="97">
        <f>SUM(G8:G10)</f>
        <v>-47790.625890841024</v>
      </c>
      <c r="H11" s="97">
        <f>SUM(H8:H10)</f>
        <v>-93935.734295262373</v>
      </c>
      <c r="I11" s="97">
        <f>SUM(I8:I10)</f>
        <v>-169679.63037970162</v>
      </c>
      <c r="J11" s="97">
        <f>SUM(J8:J10)</f>
        <v>-281670.01846022281</v>
      </c>
      <c r="K11" s="97">
        <f>SUM(K8:K10)</f>
        <v>-379699.33107354102</v>
      </c>
      <c r="L11" s="97">
        <f>SUM(L8:L10)</f>
        <v>-502424.74416514701</v>
      </c>
      <c r="M11" s="97">
        <f>SUM(M8:M10)</f>
        <v>-578026.71134872199</v>
      </c>
      <c r="N11" s="97">
        <f>SUM(N8:N10)</f>
        <v>0</v>
      </c>
      <c r="O11" s="97">
        <f>SUM(O8:O10)</f>
        <v>0</v>
      </c>
      <c r="P11" s="97">
        <f>SUM(P8:P10)</f>
        <v>0</v>
      </c>
      <c r="Q11" s="97">
        <f>SUM(Q8:Q10)</f>
        <v>0</v>
      </c>
      <c r="R11" s="97">
        <f>SUM(R8:R10)</f>
        <v>0</v>
      </c>
      <c r="S11" s="97">
        <f>SUM(S8:S10)</f>
        <v>0</v>
      </c>
      <c r="T11" s="97">
        <f>SUM(T8:T10)</f>
        <v>0</v>
      </c>
      <c r="U11" s="97">
        <f>SUM(U8:U10)</f>
        <v>0</v>
      </c>
      <c r="V11" s="97">
        <f>SUM(V8:V10)</f>
        <v>0</v>
      </c>
      <c r="W11" s="97">
        <f>SUM(W8:W10)</f>
        <v>0</v>
      </c>
      <c r="X11" s="97">
        <f>SUM(X8:X10)</f>
        <v>0</v>
      </c>
      <c r="Y11" s="97">
        <f>SUM(Y8:Y10)</f>
        <v>0</v>
      </c>
      <c r="Z11" s="97">
        <f>SUM(Z8:Z10)</f>
        <v>0</v>
      </c>
      <c r="AA11" s="97">
        <f>SUM(AA8:AA10)</f>
        <v>0</v>
      </c>
      <c r="AB11" s="97">
        <f>SUM(AB8:AB10)</f>
        <v>0</v>
      </c>
      <c r="AC11" s="97">
        <f>SUM(AC8:AC10)</f>
        <v>0</v>
      </c>
      <c r="AD11" s="97">
        <f>SUM(AD8:AD10)</f>
        <v>0</v>
      </c>
      <c r="AE11" s="97">
        <f>SUM(AE8:AE10)</f>
        <v>0</v>
      </c>
      <c r="AF11" s="97">
        <f>SUM(AF8:AF10)</f>
        <v>0</v>
      </c>
      <c r="AG11" s="97">
        <f>SUM(AG8:AG10)</f>
        <v>0</v>
      </c>
      <c r="AH11" s="97">
        <f>SUM(AH8:AH10)</f>
        <v>39483.975652349989</v>
      </c>
      <c r="AI11" s="97">
        <f>SUM(AI8:AI10)</f>
        <v>22477.421176789932</v>
      </c>
      <c r="AJ11" s="97">
        <f>SUM(AJ8:AJ10)</f>
        <v>22477.421176789932</v>
      </c>
      <c r="AK11" s="97">
        <f>SUM(AK8:AK10)</f>
        <v>22477.421176789932</v>
      </c>
      <c r="AL11" s="97">
        <f>SUM(AL8:AL10)</f>
        <v>22477.421176789932</v>
      </c>
      <c r="AM11" s="97">
        <f>SUM(AM8:AM10)</f>
        <v>22477.421176789932</v>
      </c>
      <c r="AN11" s="97">
        <f>SUM(AN8:AN10)</f>
        <v>23113.074140863653</v>
      </c>
      <c r="AO11" s="97">
        <f>SUM(AO8:AO10)</f>
        <v>23113.074140863653</v>
      </c>
      <c r="AP11" s="97">
        <f>SUM(AP8:AP10)</f>
        <v>23113.074140863653</v>
      </c>
      <c r="AQ11" s="97">
        <f>SUM(AQ8:AQ10)</f>
        <v>23113.074140863653</v>
      </c>
      <c r="AR11" s="97">
        <f>SUM(AR8:AR10)</f>
        <v>23113.074140863653</v>
      </c>
      <c r="AS11" s="97">
        <f>SUM(AS8:AS10)</f>
        <v>23113.074140863653</v>
      </c>
      <c r="AT11" s="97">
        <f>SUM(AT8:AT10)</f>
        <v>23113.074140863653</v>
      </c>
      <c r="AU11" s="97">
        <f>SUM(AU8:AU10)</f>
        <v>23113.074140863653</v>
      </c>
      <c r="AV11" s="97">
        <f>SUM(AV8:AV10)</f>
        <v>23113.074140863653</v>
      </c>
      <c r="AW11" s="97">
        <f>SUM(AW8:AW10)</f>
        <v>23113.074140863653</v>
      </c>
      <c r="AX11" s="97">
        <f>SUM(AX8:AX10)</f>
        <v>23113.074140863653</v>
      </c>
      <c r="AY11" s="97">
        <f>SUM(AY8:AY10)</f>
        <v>23113.074140863653</v>
      </c>
      <c r="AZ11" s="97">
        <f>SUM(AZ8:AZ10)</f>
        <v>25489.355284502402</v>
      </c>
      <c r="BA11" s="97">
        <f>SUM(BA8:BA10)</f>
        <v>25489.355284502402</v>
      </c>
      <c r="BB11" s="97">
        <f>SUM(BB8:BB10)</f>
        <v>25489.355284502402</v>
      </c>
      <c r="BC11" s="97">
        <f>SUM(BC8:BC10)</f>
        <v>25489.355284502402</v>
      </c>
      <c r="BD11" s="97">
        <f>SUM(BD8:BD10)</f>
        <v>25489.355284502402</v>
      </c>
      <c r="BE11" s="97">
        <f>SUM(BE8:BE10)</f>
        <v>25489.355284502402</v>
      </c>
      <c r="BF11" s="97">
        <f>SUM(BF8:BF10)</f>
        <v>25489.355284502402</v>
      </c>
      <c r="BG11" s="97">
        <f>SUM(BG8:BG10)</f>
        <v>14593.281966277813</v>
      </c>
      <c r="BH11" s="97">
        <f>SUM(BH8:BH10)</f>
        <v>14593.281966277813</v>
      </c>
      <c r="BI11" s="97">
        <f>SUM(BI8:BI10)</f>
        <v>14593.281966277813</v>
      </c>
      <c r="BJ11" s="97">
        <f>SUM(BJ8:BJ10)</f>
        <v>14593.281966277813</v>
      </c>
      <c r="BK11" s="97">
        <f>SUM(BK8:BK10)</f>
        <v>14593.281966277813</v>
      </c>
      <c r="BL11" s="97">
        <f>SUM(BL8:BL10)</f>
        <v>17053.940726528657</v>
      </c>
      <c r="BM11" s="97">
        <f>SUM(BM8:BM10)</f>
        <v>17053.940726528657</v>
      </c>
      <c r="BN11" s="97">
        <f>SUM(BN8:BN10)</f>
        <v>17053.940726528657</v>
      </c>
      <c r="BO11" s="97">
        <f>SUM(BO8:BO10)</f>
        <v>17053.940726528657</v>
      </c>
      <c r="BP11" s="97">
        <f>SUM(BP8:BP10)</f>
        <v>17053.940726528657</v>
      </c>
      <c r="BQ11" s="97">
        <f>SUM(BQ8:BQ10)</f>
        <v>17053.940726528657</v>
      </c>
      <c r="BR11" s="97">
        <f>SUM(BR8:BR10)</f>
        <v>17053.940726528657</v>
      </c>
      <c r="BS11" s="97">
        <f>SUM(BS8:BS10)</f>
        <v>17053.940726528657</v>
      </c>
      <c r="BT11" s="97">
        <f>SUM(BT8:BT10)</f>
        <v>17053.940726528657</v>
      </c>
      <c r="BU11" s="97">
        <f>SUM(BU8:BU10)</f>
        <v>17053.940726528657</v>
      </c>
      <c r="BV11" s="97">
        <f>SUM(BV8:BV10)</f>
        <v>17053.940726528657</v>
      </c>
      <c r="BW11" s="97">
        <f>SUM(BW8:BW10)</f>
        <v>17053.940726528657</v>
      </c>
      <c r="BX11" s="97">
        <f>SUM(BX8:BX10)</f>
        <v>19601.77021553598</v>
      </c>
      <c r="BY11" s="97">
        <f>SUM(BY8:BY10)</f>
        <v>19601.77021553598</v>
      </c>
      <c r="BZ11" s="97">
        <f>SUM(BZ8:BZ10)</f>
        <v>19601.77021553598</v>
      </c>
      <c r="CA11" s="97">
        <f>SUM(CA8:CA10)</f>
        <v>19601.77021553598</v>
      </c>
      <c r="CB11" s="97">
        <f>SUM(CB8:CB10)</f>
        <v>19601.77021553598</v>
      </c>
      <c r="CC11" s="97">
        <f>SUM(CC8:CC10)</f>
        <v>19601.77021553598</v>
      </c>
      <c r="CD11" s="97">
        <f>SUM(CD8:CD10)</f>
        <v>19601.77021553598</v>
      </c>
      <c r="CE11" s="97">
        <f>SUM(CE8:CE10)</f>
        <v>19601.77021553598</v>
      </c>
      <c r="CF11" s="97">
        <f>SUM(CF8:CF10)</f>
        <v>19601.77021553598</v>
      </c>
      <c r="CG11" s="97">
        <f>SUM(CG8:CG10)</f>
        <v>19601.77021553598</v>
      </c>
      <c r="CH11" s="97">
        <f>SUM(CH8:CH10)</f>
        <v>19601.77021553598</v>
      </c>
      <c r="CI11" s="97">
        <f>SUM(CI8:CI10)</f>
        <v>19601.77021553598</v>
      </c>
      <c r="CJ11" s="97">
        <f>SUM(CJ8:CJ10)</f>
        <v>22239.652574481515</v>
      </c>
      <c r="CK11" s="97">
        <f>SUM(CK8:CK10)</f>
        <v>22239.652574481515</v>
      </c>
      <c r="CL11" s="97">
        <f>SUM(CL8:CL10)</f>
        <v>22239.652574481515</v>
      </c>
      <c r="CM11" s="97">
        <f>SUM(CM8:CM10)</f>
        <v>22239.652574481515</v>
      </c>
      <c r="CN11" s="97">
        <f>SUM(CN8:CN10)</f>
        <v>22239.652574481515</v>
      </c>
      <c r="CO11" s="97">
        <f>SUM(CO8:CO10)</f>
        <v>22239.652574481515</v>
      </c>
      <c r="CP11" s="97">
        <f>SUM(CP8:CP10)</f>
        <v>22239.652574481515</v>
      </c>
      <c r="CQ11" s="97">
        <f>SUM(CQ8:CQ10)</f>
        <v>22239.652574481515</v>
      </c>
      <c r="CR11" s="97">
        <f>SUM(CR8:CR10)</f>
        <v>22239.652574481515</v>
      </c>
      <c r="CS11" s="97">
        <f>SUM(CS8:CS10)</f>
        <v>22239.652574481515</v>
      </c>
      <c r="CT11" s="97">
        <f>SUM(CT8:CT10)</f>
        <v>22239.652574481515</v>
      </c>
      <c r="CU11" s="97">
        <f>SUM(CU8:CU10)</f>
        <v>22239.652574481515</v>
      </c>
      <c r="CV11" s="97">
        <f>SUM(CV8:CV10)</f>
        <v>24970.561749168672</v>
      </c>
      <c r="CW11" s="97">
        <f>SUM(CW8:CW10)</f>
        <v>24970.561749168672</v>
      </c>
      <c r="CX11" s="97">
        <f>SUM(CX8:CX10)</f>
        <v>24970.561749168672</v>
      </c>
      <c r="CY11" s="97">
        <f>SUM(CY8:CY10)</f>
        <v>24970.561749168672</v>
      </c>
      <c r="CZ11" s="97">
        <f>SUM(CZ8:CZ10)</f>
        <v>24970.561749168672</v>
      </c>
      <c r="DA11" s="97">
        <f>SUM(DA8:DA10)</f>
        <v>24970.561749168672</v>
      </c>
      <c r="DB11" s="97">
        <f>SUM(DB8:DB10)</f>
        <v>24970.561749168672</v>
      </c>
      <c r="DC11" s="97">
        <f>SUM(DC8:DC10)</f>
        <v>24970.561749168672</v>
      </c>
      <c r="DD11" s="97">
        <f>SUM(DD8:DD10)</f>
        <v>24970.561749168672</v>
      </c>
      <c r="DE11" s="97">
        <f>SUM(DE8:DE10)</f>
        <v>24970.561749168672</v>
      </c>
      <c r="DF11" s="97">
        <f>SUM(DF8:DF10)</f>
        <v>24970.561749168672</v>
      </c>
      <c r="DG11" s="97">
        <f>SUM(DG8:DG10)</f>
        <v>24970.561749168672</v>
      </c>
      <c r="DH11" s="97">
        <f>SUM(DH8:DH10)</f>
        <v>27797.566350969311</v>
      </c>
      <c r="DI11" s="97">
        <f>SUM(DI8:DI10)</f>
        <v>27797.566350969311</v>
      </c>
      <c r="DJ11" s="97">
        <f>SUM(DJ8:DJ10)</f>
        <v>27797.566350969311</v>
      </c>
      <c r="DK11" s="97">
        <f>SUM(DK8:DK10)</f>
        <v>27797.566350969311</v>
      </c>
      <c r="DL11" s="97">
        <f>SUM(DL8:DL10)</f>
        <v>27797.566350969311</v>
      </c>
      <c r="DM11" s="97">
        <f>SUM(DM8:DM10)</f>
        <v>27797.566350969311</v>
      </c>
      <c r="DN11" s="97">
        <f>SUM(DN8:DN10)</f>
        <v>27797.566350969311</v>
      </c>
      <c r="DO11" s="97">
        <f>SUM(DO8:DO10)</f>
        <v>27797.566350969311</v>
      </c>
      <c r="DP11" s="97">
        <f>SUM(DP8:DP10)</f>
        <v>27797.566350969311</v>
      </c>
      <c r="DQ11" s="97">
        <f>SUM(DQ8:DQ10)</f>
        <v>27797.566350969311</v>
      </c>
      <c r="DR11" s="97">
        <f>SUM(DR8:DR10)</f>
        <v>27797.566350969311</v>
      </c>
      <c r="DS11" s="97">
        <f>SUM(DS8:DS10)</f>
        <v>27797.566350969311</v>
      </c>
      <c r="DT11" s="96">
        <f>SUM(DT8:DT10)</f>
        <v>9764506.7891472988</v>
      </c>
      <c r="DU11" s="96"/>
      <c r="DV11" s="96" t="e">
        <f>+#REF!</f>
        <v>#REF!</v>
      </c>
      <c r="DW11" s="96" t="e">
        <f>+#REF!</f>
        <v>#REF!</v>
      </c>
      <c r="DX11" s="96"/>
    </row>
    <row r="12" spans="2:128" x14ac:dyDescent="0.3">
      <c r="B12" s="94" t="s">
        <v>86</v>
      </c>
      <c r="C12" s="94"/>
      <c r="D12" s="95">
        <f>XIRR(D11:DT11,D5:DT5)</f>
        <v>0.12964536547660827</v>
      </c>
      <c r="E12" s="10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</row>
    <row r="13" spans="2:128" x14ac:dyDescent="0.3">
      <c r="B13" s="94" t="s">
        <v>85</v>
      </c>
      <c r="C13" s="21"/>
      <c r="D13" s="93">
        <f>SUMIF(D11:DT11,"&gt;0")/-SUMIF(D11:DT11,"&lt;0")</f>
        <v>2.9462999835480779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</row>
    <row r="14" spans="2:128" x14ac:dyDescent="0.3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</row>
    <row r="15" spans="2:128" hidden="1" x14ac:dyDescent="0.3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</row>
    <row r="16" spans="2:128" hidden="1" x14ac:dyDescent="0.3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</row>
    <row r="17" spans="2:124" hidden="1" x14ac:dyDescent="0.3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</row>
    <row r="18" spans="2:124" hidden="1" x14ac:dyDescent="0.3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</row>
    <row r="19" spans="2:124" hidden="1" x14ac:dyDescent="0.3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</row>
    <row r="20" spans="2:124" x14ac:dyDescent="0.3">
      <c r="B20" s="92" t="s">
        <v>84</v>
      </c>
    </row>
    <row r="21" spans="2:124" x14ac:dyDescent="0.3"/>
    <row r="22" spans="2:124" x14ac:dyDescent="0.3"/>
    <row r="23" spans="2:124" x14ac:dyDescent="0.3"/>
    <row r="24" spans="2:124" x14ac:dyDescent="0.3"/>
    <row r="25" spans="2:124" x14ac:dyDescent="0.3"/>
    <row r="26" spans="2:124" x14ac:dyDescent="0.3"/>
    <row r="27" spans="2:124" x14ac:dyDescent="0.3"/>
    <row r="28" spans="2:124" x14ac:dyDescent="0.3"/>
    <row r="29" spans="2:124" x14ac:dyDescent="0.3"/>
    <row r="30" spans="2:124" x14ac:dyDescent="0.3"/>
    <row r="31" spans="2:124" x14ac:dyDescent="0.3"/>
    <row r="32" spans="2:124" x14ac:dyDescent="0.3"/>
    <row r="33" customFormat="1" x14ac:dyDescent="0.3"/>
    <row r="34" customFormat="1" x14ac:dyDescent="0.3"/>
    <row r="35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A885-22B9-4F7A-8506-7F7C58147087}">
  <sheetPr codeName="Sheet3">
    <tabColor theme="8" tint="0.79998168889431442"/>
    <pageSetUpPr fitToPage="1"/>
  </sheetPr>
  <dimension ref="A1:DZ88"/>
  <sheetViews>
    <sheetView showGridLines="0" topLeftCell="A12" zoomScale="85" zoomScaleNormal="85" zoomScaleSheetLayoutView="85" workbookViewId="0">
      <selection activeCell="D29" sqref="D29"/>
    </sheetView>
  </sheetViews>
  <sheetFormatPr defaultColWidth="0" defaultRowHeight="14.4" zeroHeight="1" x14ac:dyDescent="0.3"/>
  <cols>
    <col min="1" max="1" width="1.109375" customWidth="1"/>
    <col min="2" max="2" width="29.6640625" customWidth="1"/>
    <col min="3" max="3" width="15.44140625" customWidth="1"/>
    <col min="4" max="4" width="20.6640625" bestFit="1" customWidth="1"/>
    <col min="5" max="5" width="20.44140625" customWidth="1"/>
    <col min="6" max="6" width="19.5546875" style="31" bestFit="1" customWidth="1"/>
    <col min="7" max="7" width="13.44140625" style="31" bestFit="1" customWidth="1"/>
    <col min="8" max="8" width="12.6640625" style="31" bestFit="1" customWidth="1"/>
    <col min="9" max="9" width="13.6640625" style="31" bestFit="1" customWidth="1"/>
    <col min="10" max="11" width="12.6640625" style="31" bestFit="1" customWidth="1"/>
    <col min="12" max="12" width="13" style="31" bestFit="1" customWidth="1"/>
    <col min="13" max="14" width="12.6640625" style="31" bestFit="1" customWidth="1"/>
    <col min="15" max="15" width="12.88671875" style="31" customWidth="1"/>
    <col min="16" max="16" width="12.5546875" style="31" customWidth="1"/>
    <col min="17" max="18" width="12.6640625" bestFit="1" customWidth="1"/>
    <col min="19" max="19" width="13.44140625" bestFit="1" customWidth="1"/>
    <col min="20" max="20" width="12.6640625" bestFit="1" customWidth="1"/>
    <col min="21" max="21" width="13.6640625" bestFit="1" customWidth="1"/>
    <col min="22" max="23" width="12.6640625" bestFit="1" customWidth="1"/>
    <col min="24" max="24" width="13" bestFit="1" customWidth="1"/>
    <col min="25" max="26" width="12.6640625" bestFit="1" customWidth="1"/>
    <col min="27" max="27" width="13.109375" bestFit="1" customWidth="1"/>
    <col min="28" max="28" width="12.88671875" bestFit="1" customWidth="1"/>
    <col min="29" max="30" width="12.6640625" bestFit="1" customWidth="1"/>
    <col min="31" max="31" width="13.44140625" bestFit="1" customWidth="1"/>
    <col min="32" max="32" width="12.6640625" bestFit="1" customWidth="1"/>
    <col min="33" max="33" width="13.6640625" bestFit="1" customWidth="1"/>
    <col min="34" max="35" width="12.6640625" bestFit="1" customWidth="1"/>
    <col min="36" max="36" width="13" bestFit="1" customWidth="1"/>
    <col min="37" max="38" width="12.6640625" bestFit="1" customWidth="1"/>
    <col min="39" max="39" width="13.109375" bestFit="1" customWidth="1"/>
    <col min="40" max="40" width="12.88671875" bestFit="1" customWidth="1"/>
    <col min="41" max="42" width="12.6640625" bestFit="1" customWidth="1"/>
    <col min="43" max="43" width="13.44140625" bestFit="1" customWidth="1"/>
    <col min="44" max="44" width="12.6640625" bestFit="1" customWidth="1"/>
    <col min="45" max="45" width="13.6640625" bestFit="1" customWidth="1"/>
    <col min="46" max="47" width="12.6640625" bestFit="1" customWidth="1"/>
    <col min="48" max="48" width="13" bestFit="1" customWidth="1"/>
    <col min="49" max="50" width="12.6640625" bestFit="1" customWidth="1"/>
    <col min="51" max="51" width="13.109375" bestFit="1" customWidth="1"/>
    <col min="52" max="52" width="12.88671875" bestFit="1" customWidth="1"/>
    <col min="53" max="54" width="12.6640625" bestFit="1" customWidth="1"/>
    <col min="55" max="55" width="13.44140625" bestFit="1" customWidth="1"/>
    <col min="56" max="56" width="12.6640625" bestFit="1" customWidth="1"/>
    <col min="57" max="57" width="13.6640625" bestFit="1" customWidth="1"/>
    <col min="58" max="59" width="12.6640625" bestFit="1" customWidth="1"/>
    <col min="60" max="60" width="13" bestFit="1" customWidth="1"/>
    <col min="61" max="62" width="12.6640625" bestFit="1" customWidth="1"/>
    <col min="63" max="63" width="13.109375" bestFit="1" customWidth="1"/>
    <col min="64" max="64" width="12.88671875" bestFit="1" customWidth="1"/>
    <col min="65" max="66" width="12.6640625" bestFit="1" customWidth="1"/>
    <col min="67" max="67" width="13.44140625" bestFit="1" customWidth="1"/>
    <col min="68" max="68" width="12.6640625" bestFit="1" customWidth="1"/>
    <col min="69" max="69" width="13.6640625" bestFit="1" customWidth="1"/>
    <col min="70" max="71" width="12.6640625" bestFit="1" customWidth="1"/>
    <col min="72" max="72" width="13" bestFit="1" customWidth="1"/>
    <col min="73" max="74" width="12.6640625" bestFit="1" customWidth="1"/>
    <col min="75" max="75" width="13.109375" bestFit="1" customWidth="1"/>
    <col min="76" max="76" width="12.88671875" bestFit="1" customWidth="1"/>
    <col min="77" max="78" width="12.6640625" bestFit="1" customWidth="1"/>
    <col min="79" max="79" width="13.44140625" bestFit="1" customWidth="1"/>
    <col min="80" max="80" width="12.6640625" bestFit="1" customWidth="1"/>
    <col min="81" max="81" width="13.6640625" bestFit="1" customWidth="1"/>
    <col min="82" max="83" width="12.6640625" bestFit="1" customWidth="1"/>
    <col min="84" max="84" width="13" bestFit="1" customWidth="1"/>
    <col min="85" max="86" width="12.6640625" bestFit="1" customWidth="1"/>
    <col min="87" max="87" width="13.109375" bestFit="1" customWidth="1"/>
    <col min="88" max="88" width="12.88671875" bestFit="1" customWidth="1"/>
    <col min="89" max="90" width="12.6640625" bestFit="1" customWidth="1"/>
    <col min="91" max="91" width="13.44140625" bestFit="1" customWidth="1"/>
    <col min="92" max="92" width="12.6640625" bestFit="1" customWidth="1"/>
    <col min="93" max="93" width="13.6640625" bestFit="1" customWidth="1"/>
    <col min="94" max="95" width="12.6640625" bestFit="1" customWidth="1"/>
    <col min="96" max="126" width="14.33203125" bestFit="1" customWidth="1"/>
    <col min="127" max="127" width="2.88671875" customWidth="1"/>
    <col min="128" max="130" width="0" hidden="1" customWidth="1"/>
    <col min="131" max="16384" width="9.109375" hidden="1"/>
  </cols>
  <sheetData>
    <row r="1" spans="2:126" ht="5.0999999999999996" customHeight="1" x14ac:dyDescent="0.3">
      <c r="F1"/>
      <c r="P1"/>
    </row>
    <row r="2" spans="2:126" ht="18" x14ac:dyDescent="0.35">
      <c r="B2" s="23" t="s">
        <v>53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2:126" ht="5.0999999999999996" customHeight="1" x14ac:dyDescent="0.3">
      <c r="B3" s="34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2:126" ht="15.6" x14ac:dyDescent="0.3">
      <c r="B4" s="26" t="s">
        <v>34</v>
      </c>
      <c r="C4" s="27" t="s">
        <v>0</v>
      </c>
      <c r="D4" s="27" t="s">
        <v>33</v>
      </c>
      <c r="F4" s="38"/>
      <c r="M4"/>
    </row>
    <row r="5" spans="2:126" x14ac:dyDescent="0.3">
      <c r="B5" t="s">
        <v>52</v>
      </c>
      <c r="C5" s="15">
        <v>0.1</v>
      </c>
      <c r="D5" s="28">
        <f>+D27</f>
        <v>399996.21974694147</v>
      </c>
      <c r="F5" s="17"/>
      <c r="G5" s="41"/>
      <c r="M5"/>
    </row>
    <row r="6" spans="2:126" x14ac:dyDescent="0.3">
      <c r="B6" t="s">
        <v>51</v>
      </c>
      <c r="C6" s="29">
        <f>1-C5</f>
        <v>0.9</v>
      </c>
      <c r="D6" s="30">
        <f>+D20</f>
        <v>3599965.9777224748</v>
      </c>
      <c r="F6" s="17"/>
      <c r="G6" s="41"/>
    </row>
    <row r="7" spans="2:126" ht="15" thickBot="1" x14ac:dyDescent="0.35">
      <c r="B7" t="s">
        <v>30</v>
      </c>
      <c r="C7" s="19">
        <f>SUM(C5:C6)</f>
        <v>1</v>
      </c>
      <c r="D7" s="28">
        <f>SUM(D5:D6)</f>
        <v>3999962.1974694161</v>
      </c>
      <c r="F7" s="17"/>
      <c r="G7" s="41"/>
    </row>
    <row r="8" spans="2:126" ht="15.6" x14ac:dyDescent="0.3">
      <c r="F8" s="91" t="s">
        <v>28</v>
      </c>
      <c r="G8" s="91"/>
      <c r="H8" s="91" t="s">
        <v>29</v>
      </c>
      <c r="I8" s="91"/>
      <c r="K8" s="36" t="s">
        <v>35</v>
      </c>
      <c r="L8" s="37" t="str">
        <f>IF(L9=L10,"OK","ERROR")</f>
        <v>OK</v>
      </c>
    </row>
    <row r="9" spans="2:126" ht="15.6" x14ac:dyDescent="0.3">
      <c r="B9" s="26" t="s">
        <v>28</v>
      </c>
      <c r="C9" s="78"/>
      <c r="D9" s="78"/>
      <c r="E9" s="78"/>
      <c r="F9" s="91" t="s">
        <v>27</v>
      </c>
      <c r="G9" s="91"/>
      <c r="H9" s="78" t="s">
        <v>38</v>
      </c>
      <c r="I9" s="78" t="s">
        <v>26</v>
      </c>
      <c r="K9" s="39" t="s">
        <v>32</v>
      </c>
      <c r="L9" s="40">
        <f>ROUND(D21+D28,0)/1000000</f>
        <v>7.785126</v>
      </c>
    </row>
    <row r="10" spans="2:126" ht="15" thickBot="1" x14ac:dyDescent="0.35">
      <c r="B10" t="s">
        <v>25</v>
      </c>
      <c r="E10" s="75">
        <v>0.08</v>
      </c>
      <c r="F10" s="45" t="s">
        <v>37</v>
      </c>
      <c r="G10" s="46" t="s">
        <v>49</v>
      </c>
      <c r="H10" s="77">
        <f>C5</f>
        <v>0.1</v>
      </c>
      <c r="I10" s="44">
        <f>C6</f>
        <v>0.9</v>
      </c>
      <c r="J10" s="17"/>
      <c r="K10" s="42" t="s">
        <v>31</v>
      </c>
      <c r="L10" s="43">
        <f>ROUND(SUM(F33:DV33),0)/1000000</f>
        <v>7.785126</v>
      </c>
    </row>
    <row r="11" spans="2:126" x14ac:dyDescent="0.3">
      <c r="B11" t="s">
        <v>12</v>
      </c>
      <c r="D11" s="48">
        <f>E10</f>
        <v>0.08</v>
      </c>
      <c r="E11" s="76">
        <v>0.11</v>
      </c>
      <c r="F11" s="77">
        <v>0.2</v>
      </c>
      <c r="G11" s="50">
        <f>1-F11</f>
        <v>0.8</v>
      </c>
      <c r="H11" s="47">
        <f>F11+$C$5*G11</f>
        <v>0.28000000000000003</v>
      </c>
      <c r="I11" s="44">
        <f>1-H11</f>
        <v>0.72</v>
      </c>
      <c r="J11" s="17"/>
    </row>
    <row r="12" spans="2:126" x14ac:dyDescent="0.3">
      <c r="B12" t="s">
        <v>11</v>
      </c>
      <c r="D12" s="48">
        <f>E11</f>
        <v>0.11</v>
      </c>
      <c r="E12" s="76">
        <v>0.14000000000000001</v>
      </c>
      <c r="F12" s="77">
        <v>0.3</v>
      </c>
      <c r="G12" s="50">
        <f t="shared" ref="G12:G13" si="0">1-F12</f>
        <v>0.7</v>
      </c>
      <c r="H12" s="47">
        <f t="shared" ref="H12:H13" si="1">F12+$C$5*G12</f>
        <v>0.37</v>
      </c>
      <c r="I12" s="44">
        <f t="shared" ref="I12:I13" si="2">1-H12</f>
        <v>0.63</v>
      </c>
      <c r="J12" s="17"/>
    </row>
    <row r="13" spans="2:126" x14ac:dyDescent="0.3">
      <c r="B13" t="s">
        <v>4</v>
      </c>
      <c r="D13" s="48">
        <f>E12</f>
        <v>0.14000000000000001</v>
      </c>
      <c r="E13" s="49"/>
      <c r="F13" s="77">
        <v>0.4</v>
      </c>
      <c r="G13" s="50">
        <f t="shared" si="0"/>
        <v>0.6</v>
      </c>
      <c r="H13" s="47">
        <f t="shared" si="1"/>
        <v>0.46</v>
      </c>
      <c r="I13" s="44">
        <f t="shared" si="2"/>
        <v>0.54</v>
      </c>
      <c r="J13" s="17"/>
    </row>
    <row r="14" spans="2:126" x14ac:dyDescent="0.3">
      <c r="D14" s="51"/>
      <c r="E14" s="49"/>
      <c r="F14" s="41"/>
      <c r="G14" s="52"/>
      <c r="H14" s="53"/>
      <c r="I14" s="53"/>
    </row>
    <row r="15" spans="2:126" x14ac:dyDescent="0.3">
      <c r="D15" s="51"/>
      <c r="E15" s="54" t="s">
        <v>24</v>
      </c>
      <c r="F15" s="35">
        <f>'Property-Level Cash Flow'!D5</f>
        <v>43830</v>
      </c>
      <c r="G15" s="35">
        <f>'Property-Level Cash Flow'!E5</f>
        <v>43861</v>
      </c>
      <c r="H15" s="35">
        <f>'Property-Level Cash Flow'!F5</f>
        <v>43890</v>
      </c>
      <c r="I15" s="35">
        <f>'Property-Level Cash Flow'!G5</f>
        <v>43921</v>
      </c>
      <c r="J15" s="35">
        <f>'Property-Level Cash Flow'!H5</f>
        <v>43951</v>
      </c>
      <c r="K15" s="35">
        <f>'Property-Level Cash Flow'!I5</f>
        <v>43982</v>
      </c>
      <c r="L15" s="35">
        <f>'Property-Level Cash Flow'!J5</f>
        <v>44012</v>
      </c>
      <c r="M15" s="35">
        <f>'Property-Level Cash Flow'!K5</f>
        <v>44043</v>
      </c>
      <c r="N15" s="35">
        <f>'Property-Level Cash Flow'!L5</f>
        <v>44074</v>
      </c>
      <c r="O15" s="35">
        <f>'Property-Level Cash Flow'!M5</f>
        <v>44104</v>
      </c>
      <c r="P15" s="35">
        <f>'Property-Level Cash Flow'!N5</f>
        <v>44135</v>
      </c>
      <c r="Q15" s="35">
        <f>'Property-Level Cash Flow'!O5</f>
        <v>44165</v>
      </c>
      <c r="R15" s="35">
        <f>'Property-Level Cash Flow'!P5</f>
        <v>44196</v>
      </c>
      <c r="S15" s="35">
        <f>'Property-Level Cash Flow'!Q5</f>
        <v>44227</v>
      </c>
      <c r="T15" s="35">
        <f>'Property-Level Cash Flow'!R5</f>
        <v>44255</v>
      </c>
      <c r="U15" s="35">
        <f>'Property-Level Cash Flow'!S5</f>
        <v>44286</v>
      </c>
      <c r="V15" s="35">
        <f>'Property-Level Cash Flow'!T5</f>
        <v>44316</v>
      </c>
      <c r="W15" s="35">
        <f>'Property-Level Cash Flow'!U5</f>
        <v>44347</v>
      </c>
      <c r="X15" s="35">
        <f>'Property-Level Cash Flow'!V5</f>
        <v>44377</v>
      </c>
      <c r="Y15" s="35">
        <f>'Property-Level Cash Flow'!W5</f>
        <v>44408</v>
      </c>
      <c r="Z15" s="35">
        <f>'Property-Level Cash Flow'!X5</f>
        <v>44439</v>
      </c>
      <c r="AA15" s="35">
        <f>'Property-Level Cash Flow'!Y5</f>
        <v>44469</v>
      </c>
      <c r="AB15" s="35">
        <f>'Property-Level Cash Flow'!Z5</f>
        <v>44500</v>
      </c>
      <c r="AC15" s="35">
        <f>'Property-Level Cash Flow'!AA5</f>
        <v>44530</v>
      </c>
      <c r="AD15" s="35">
        <f>'Property-Level Cash Flow'!AB5</f>
        <v>44561</v>
      </c>
      <c r="AE15" s="35">
        <f>'Property-Level Cash Flow'!AC5</f>
        <v>44592</v>
      </c>
      <c r="AF15" s="35">
        <f>'Property-Level Cash Flow'!AD5</f>
        <v>44620</v>
      </c>
      <c r="AG15" s="35">
        <f>'Property-Level Cash Flow'!AE5</f>
        <v>44651</v>
      </c>
      <c r="AH15" s="35">
        <f>'Property-Level Cash Flow'!AF5</f>
        <v>44681</v>
      </c>
      <c r="AI15" s="35">
        <f>'Property-Level Cash Flow'!AG5</f>
        <v>44712</v>
      </c>
      <c r="AJ15" s="35">
        <f>'Property-Level Cash Flow'!AH5</f>
        <v>44742</v>
      </c>
      <c r="AK15" s="35">
        <f>'Property-Level Cash Flow'!AI5</f>
        <v>44773</v>
      </c>
      <c r="AL15" s="35">
        <f>'Property-Level Cash Flow'!AJ5</f>
        <v>44804</v>
      </c>
      <c r="AM15" s="35">
        <f>'Property-Level Cash Flow'!AK5</f>
        <v>44834</v>
      </c>
      <c r="AN15" s="35">
        <f>'Property-Level Cash Flow'!AL5</f>
        <v>44865</v>
      </c>
      <c r="AO15" s="35">
        <f>'Property-Level Cash Flow'!AM5</f>
        <v>44895</v>
      </c>
      <c r="AP15" s="35">
        <f>'Property-Level Cash Flow'!AN5</f>
        <v>44926</v>
      </c>
      <c r="AQ15" s="35">
        <f>'Property-Level Cash Flow'!AO5</f>
        <v>44957</v>
      </c>
      <c r="AR15" s="35">
        <f>'Property-Level Cash Flow'!AP5</f>
        <v>44985</v>
      </c>
      <c r="AS15" s="35">
        <f>'Property-Level Cash Flow'!AQ5</f>
        <v>45016</v>
      </c>
      <c r="AT15" s="35">
        <f>'Property-Level Cash Flow'!AR5</f>
        <v>45046</v>
      </c>
      <c r="AU15" s="35">
        <f>'Property-Level Cash Flow'!AS5</f>
        <v>45077</v>
      </c>
      <c r="AV15" s="35">
        <f>'Property-Level Cash Flow'!AT5</f>
        <v>45107</v>
      </c>
      <c r="AW15" s="35">
        <f>'Property-Level Cash Flow'!AU5</f>
        <v>45138</v>
      </c>
      <c r="AX15" s="35">
        <f>'Property-Level Cash Flow'!AV5</f>
        <v>45169</v>
      </c>
      <c r="AY15" s="35">
        <f>'Property-Level Cash Flow'!AW5</f>
        <v>45199</v>
      </c>
      <c r="AZ15" s="35">
        <f>'Property-Level Cash Flow'!AX5</f>
        <v>45230</v>
      </c>
      <c r="BA15" s="35">
        <f>'Property-Level Cash Flow'!AY5</f>
        <v>45260</v>
      </c>
      <c r="BB15" s="35">
        <f>'Property-Level Cash Flow'!AZ5</f>
        <v>45291</v>
      </c>
      <c r="BC15" s="35">
        <f>'Property-Level Cash Flow'!BA5</f>
        <v>45322</v>
      </c>
      <c r="BD15" s="35">
        <f>'Property-Level Cash Flow'!BB5</f>
        <v>45351</v>
      </c>
      <c r="BE15" s="35">
        <f>'Property-Level Cash Flow'!BC5</f>
        <v>45382</v>
      </c>
      <c r="BF15" s="35">
        <f>'Property-Level Cash Flow'!BD5</f>
        <v>45412</v>
      </c>
      <c r="BG15" s="35">
        <f>'Property-Level Cash Flow'!BE5</f>
        <v>45443</v>
      </c>
      <c r="BH15" s="35">
        <f>'Property-Level Cash Flow'!BF5</f>
        <v>45473</v>
      </c>
      <c r="BI15" s="35">
        <f>'Property-Level Cash Flow'!BG5</f>
        <v>45504</v>
      </c>
      <c r="BJ15" s="35">
        <f>'Property-Level Cash Flow'!BH5</f>
        <v>45535</v>
      </c>
      <c r="BK15" s="35">
        <f>'Property-Level Cash Flow'!BI5</f>
        <v>45565</v>
      </c>
      <c r="BL15" s="35">
        <f>'Property-Level Cash Flow'!BJ5</f>
        <v>45596</v>
      </c>
      <c r="BM15" s="35">
        <f>'Property-Level Cash Flow'!BK5</f>
        <v>45626</v>
      </c>
      <c r="BN15" s="35">
        <f>'Property-Level Cash Flow'!BL5</f>
        <v>45657</v>
      </c>
      <c r="BO15" s="35">
        <f>'Property-Level Cash Flow'!BM5</f>
        <v>45688</v>
      </c>
      <c r="BP15" s="35">
        <f>'Property-Level Cash Flow'!BN5</f>
        <v>45716</v>
      </c>
      <c r="BQ15" s="35">
        <f>'Property-Level Cash Flow'!BO5</f>
        <v>45747</v>
      </c>
      <c r="BR15" s="35">
        <f>'Property-Level Cash Flow'!BP5</f>
        <v>45777</v>
      </c>
      <c r="BS15" s="35">
        <f>'Property-Level Cash Flow'!BQ5</f>
        <v>45808</v>
      </c>
      <c r="BT15" s="35">
        <f>'Property-Level Cash Flow'!BR5</f>
        <v>45838</v>
      </c>
      <c r="BU15" s="35">
        <f>'Property-Level Cash Flow'!BS5</f>
        <v>45869</v>
      </c>
      <c r="BV15" s="35">
        <f>'Property-Level Cash Flow'!BT5</f>
        <v>45900</v>
      </c>
      <c r="BW15" s="35">
        <f>'Property-Level Cash Flow'!BU5</f>
        <v>45930</v>
      </c>
      <c r="BX15" s="35">
        <f>'Property-Level Cash Flow'!BV5</f>
        <v>45961</v>
      </c>
      <c r="BY15" s="35">
        <f>'Property-Level Cash Flow'!BW5</f>
        <v>45991</v>
      </c>
      <c r="BZ15" s="35">
        <f>'Property-Level Cash Flow'!BX5</f>
        <v>46022</v>
      </c>
      <c r="CA15" s="35">
        <f>'Property-Level Cash Flow'!BY5</f>
        <v>46053</v>
      </c>
      <c r="CB15" s="35">
        <f>'Property-Level Cash Flow'!BZ5</f>
        <v>46081</v>
      </c>
      <c r="CC15" s="35">
        <f>'Property-Level Cash Flow'!CA5</f>
        <v>46112</v>
      </c>
      <c r="CD15" s="35">
        <f>'Property-Level Cash Flow'!CB5</f>
        <v>46142</v>
      </c>
      <c r="CE15" s="35">
        <f>'Property-Level Cash Flow'!CC5</f>
        <v>46173</v>
      </c>
      <c r="CF15" s="35">
        <f>'Property-Level Cash Flow'!CD5</f>
        <v>46203</v>
      </c>
      <c r="CG15" s="35">
        <f>'Property-Level Cash Flow'!CE5</f>
        <v>46234</v>
      </c>
      <c r="CH15" s="35">
        <f>'Property-Level Cash Flow'!CF5</f>
        <v>46265</v>
      </c>
      <c r="CI15" s="35">
        <f>'Property-Level Cash Flow'!CG5</f>
        <v>46295</v>
      </c>
      <c r="CJ15" s="35">
        <f>'Property-Level Cash Flow'!CH5</f>
        <v>46326</v>
      </c>
      <c r="CK15" s="35">
        <f>'Property-Level Cash Flow'!CI5</f>
        <v>46356</v>
      </c>
      <c r="CL15" s="35">
        <f>'Property-Level Cash Flow'!CJ5</f>
        <v>46387</v>
      </c>
      <c r="CM15" s="35">
        <f>'Property-Level Cash Flow'!CK5</f>
        <v>46418</v>
      </c>
      <c r="CN15" s="35">
        <f>'Property-Level Cash Flow'!CL5</f>
        <v>46446</v>
      </c>
      <c r="CO15" s="35">
        <f>'Property-Level Cash Flow'!CM5</f>
        <v>46477</v>
      </c>
      <c r="CP15" s="35">
        <f>'Property-Level Cash Flow'!CN5</f>
        <v>46507</v>
      </c>
      <c r="CQ15" s="35">
        <f>'Property-Level Cash Flow'!CO5</f>
        <v>46538</v>
      </c>
      <c r="CR15" s="35">
        <f>'Property-Level Cash Flow'!CP5</f>
        <v>46568</v>
      </c>
      <c r="CS15" s="35">
        <f>'Property-Level Cash Flow'!CQ5</f>
        <v>46599</v>
      </c>
      <c r="CT15" s="35">
        <f>'Property-Level Cash Flow'!CR5</f>
        <v>46630</v>
      </c>
      <c r="CU15" s="35">
        <f>'Property-Level Cash Flow'!CS5</f>
        <v>46660</v>
      </c>
      <c r="CV15" s="35">
        <f>'Property-Level Cash Flow'!CT5</f>
        <v>46691</v>
      </c>
      <c r="CW15" s="35">
        <f>'Property-Level Cash Flow'!CU5</f>
        <v>46721</v>
      </c>
      <c r="CX15" s="35">
        <f>'Property-Level Cash Flow'!CV5</f>
        <v>46752</v>
      </c>
      <c r="CY15" s="35">
        <f>'Property-Level Cash Flow'!CW5</f>
        <v>46783</v>
      </c>
      <c r="CZ15" s="35">
        <f>'Property-Level Cash Flow'!CX5</f>
        <v>46812</v>
      </c>
      <c r="DA15" s="35">
        <f>'Property-Level Cash Flow'!CY5</f>
        <v>46843</v>
      </c>
      <c r="DB15" s="35">
        <f>'Property-Level Cash Flow'!CZ5</f>
        <v>46873</v>
      </c>
      <c r="DC15" s="35">
        <f>'Property-Level Cash Flow'!DA5</f>
        <v>46904</v>
      </c>
      <c r="DD15" s="35">
        <f>'Property-Level Cash Flow'!DB5</f>
        <v>46934</v>
      </c>
      <c r="DE15" s="35">
        <f>'Property-Level Cash Flow'!DC5</f>
        <v>46965</v>
      </c>
      <c r="DF15" s="35">
        <f>'Property-Level Cash Flow'!DD5</f>
        <v>46996</v>
      </c>
      <c r="DG15" s="35">
        <f>'Property-Level Cash Flow'!DE5</f>
        <v>47026</v>
      </c>
      <c r="DH15" s="35">
        <f>'Property-Level Cash Flow'!DF5</f>
        <v>47057</v>
      </c>
      <c r="DI15" s="35">
        <f>'Property-Level Cash Flow'!DG5</f>
        <v>47087</v>
      </c>
      <c r="DJ15" s="35">
        <f>'Property-Level Cash Flow'!DH5</f>
        <v>47118</v>
      </c>
      <c r="DK15" s="35">
        <f>'Property-Level Cash Flow'!DI5</f>
        <v>47149</v>
      </c>
      <c r="DL15" s="35">
        <f>'Property-Level Cash Flow'!DJ5</f>
        <v>47177</v>
      </c>
      <c r="DM15" s="35">
        <f>'Property-Level Cash Flow'!DK5</f>
        <v>47208</v>
      </c>
      <c r="DN15" s="35">
        <f>'Property-Level Cash Flow'!DL5</f>
        <v>47238</v>
      </c>
      <c r="DO15" s="35">
        <f>'Property-Level Cash Flow'!DM5</f>
        <v>47269</v>
      </c>
      <c r="DP15" s="35">
        <f>'Property-Level Cash Flow'!DN5</f>
        <v>47299</v>
      </c>
      <c r="DQ15" s="35">
        <f>'Property-Level Cash Flow'!DO5</f>
        <v>47330</v>
      </c>
      <c r="DR15" s="35">
        <f>'Property-Level Cash Flow'!DP5</f>
        <v>47361</v>
      </c>
      <c r="DS15" s="35">
        <f>'Property-Level Cash Flow'!DQ5</f>
        <v>47391</v>
      </c>
      <c r="DT15" s="35">
        <f>'Property-Level Cash Flow'!DR5</f>
        <v>47422</v>
      </c>
      <c r="DU15" s="35">
        <f>'Property-Level Cash Flow'!DS5</f>
        <v>47452</v>
      </c>
      <c r="DV15" s="35">
        <f>'Property-Level Cash Flow'!DT5</f>
        <v>47483</v>
      </c>
    </row>
    <row r="16" spans="2:126" x14ac:dyDescent="0.3">
      <c r="B16" s="61"/>
      <c r="C16" s="62"/>
      <c r="D16" s="63"/>
      <c r="F16" s="64">
        <f t="shared" ref="F16:AK16" si="3">IF(F31="","",ROUNDUP(F31/12,0))</f>
        <v>0</v>
      </c>
      <c r="G16" s="64">
        <f t="shared" si="3"/>
        <v>1</v>
      </c>
      <c r="H16" s="64">
        <f t="shared" si="3"/>
        <v>1</v>
      </c>
      <c r="I16" s="64">
        <f t="shared" si="3"/>
        <v>1</v>
      </c>
      <c r="J16" s="64">
        <f t="shared" si="3"/>
        <v>1</v>
      </c>
      <c r="K16" s="64">
        <f t="shared" si="3"/>
        <v>1</v>
      </c>
      <c r="L16" s="64">
        <f t="shared" si="3"/>
        <v>1</v>
      </c>
      <c r="M16" s="64">
        <f t="shared" si="3"/>
        <v>1</v>
      </c>
      <c r="N16" s="64">
        <f t="shared" si="3"/>
        <v>1</v>
      </c>
      <c r="O16" s="64">
        <f t="shared" si="3"/>
        <v>1</v>
      </c>
      <c r="P16" s="64">
        <f t="shared" si="3"/>
        <v>1</v>
      </c>
      <c r="Q16" s="64">
        <f t="shared" si="3"/>
        <v>1</v>
      </c>
      <c r="R16" s="64">
        <f t="shared" si="3"/>
        <v>1</v>
      </c>
      <c r="S16" s="64">
        <f t="shared" si="3"/>
        <v>2</v>
      </c>
      <c r="T16" s="64">
        <f t="shared" si="3"/>
        <v>2</v>
      </c>
      <c r="U16" s="64">
        <f t="shared" si="3"/>
        <v>2</v>
      </c>
      <c r="V16" s="64">
        <f t="shared" si="3"/>
        <v>2</v>
      </c>
      <c r="W16" s="64">
        <f t="shared" si="3"/>
        <v>2</v>
      </c>
      <c r="X16" s="64">
        <f t="shared" si="3"/>
        <v>2</v>
      </c>
      <c r="Y16" s="64">
        <f t="shared" si="3"/>
        <v>2</v>
      </c>
      <c r="Z16" s="64">
        <f t="shared" si="3"/>
        <v>2</v>
      </c>
      <c r="AA16" s="64">
        <f t="shared" si="3"/>
        <v>2</v>
      </c>
      <c r="AB16" s="64">
        <f t="shared" si="3"/>
        <v>2</v>
      </c>
      <c r="AC16" s="64">
        <f t="shared" si="3"/>
        <v>2</v>
      </c>
      <c r="AD16" s="64">
        <f t="shared" si="3"/>
        <v>2</v>
      </c>
      <c r="AE16" s="64">
        <f t="shared" si="3"/>
        <v>3</v>
      </c>
      <c r="AF16" s="64">
        <f t="shared" si="3"/>
        <v>3</v>
      </c>
      <c r="AG16" s="64">
        <f t="shared" si="3"/>
        <v>3</v>
      </c>
      <c r="AH16" s="64">
        <f t="shared" si="3"/>
        <v>3</v>
      </c>
      <c r="AI16" s="64">
        <f t="shared" si="3"/>
        <v>3</v>
      </c>
      <c r="AJ16" s="64">
        <f t="shared" si="3"/>
        <v>3</v>
      </c>
      <c r="AK16" s="64">
        <f t="shared" si="3"/>
        <v>3</v>
      </c>
      <c r="AL16" s="64">
        <f t="shared" ref="AL16:BQ16" si="4">IF(AL31="","",ROUNDUP(AL31/12,0))</f>
        <v>3</v>
      </c>
      <c r="AM16" s="64">
        <f t="shared" si="4"/>
        <v>3</v>
      </c>
      <c r="AN16" s="64">
        <f t="shared" si="4"/>
        <v>3</v>
      </c>
      <c r="AO16" s="64">
        <f t="shared" si="4"/>
        <v>3</v>
      </c>
      <c r="AP16" s="64">
        <f t="shared" si="4"/>
        <v>3</v>
      </c>
      <c r="AQ16" s="64">
        <f t="shared" si="4"/>
        <v>4</v>
      </c>
      <c r="AR16" s="64">
        <f t="shared" si="4"/>
        <v>4</v>
      </c>
      <c r="AS16" s="64">
        <f t="shared" si="4"/>
        <v>4</v>
      </c>
      <c r="AT16" s="64">
        <f t="shared" si="4"/>
        <v>4</v>
      </c>
      <c r="AU16" s="64">
        <f t="shared" si="4"/>
        <v>4</v>
      </c>
      <c r="AV16" s="64">
        <f t="shared" si="4"/>
        <v>4</v>
      </c>
      <c r="AW16" s="64">
        <f t="shared" si="4"/>
        <v>4</v>
      </c>
      <c r="AX16" s="64">
        <f t="shared" si="4"/>
        <v>4</v>
      </c>
      <c r="AY16" s="64">
        <f t="shared" si="4"/>
        <v>4</v>
      </c>
      <c r="AZ16" s="64">
        <f t="shared" si="4"/>
        <v>4</v>
      </c>
      <c r="BA16" s="64">
        <f t="shared" si="4"/>
        <v>4</v>
      </c>
      <c r="BB16" s="64">
        <f t="shared" si="4"/>
        <v>4</v>
      </c>
      <c r="BC16" s="64">
        <f t="shared" si="4"/>
        <v>5</v>
      </c>
      <c r="BD16" s="64">
        <f t="shared" si="4"/>
        <v>5</v>
      </c>
      <c r="BE16" s="64">
        <f t="shared" si="4"/>
        <v>5</v>
      </c>
      <c r="BF16" s="64">
        <f t="shared" si="4"/>
        <v>5</v>
      </c>
      <c r="BG16" s="64">
        <f t="shared" si="4"/>
        <v>5</v>
      </c>
      <c r="BH16" s="64">
        <f t="shared" si="4"/>
        <v>5</v>
      </c>
      <c r="BI16" s="64">
        <f t="shared" si="4"/>
        <v>5</v>
      </c>
      <c r="BJ16" s="64">
        <f t="shared" si="4"/>
        <v>5</v>
      </c>
      <c r="BK16" s="64">
        <f t="shared" si="4"/>
        <v>5</v>
      </c>
      <c r="BL16" s="64">
        <f t="shared" si="4"/>
        <v>5</v>
      </c>
      <c r="BM16" s="64">
        <f t="shared" si="4"/>
        <v>5</v>
      </c>
      <c r="BN16" s="64">
        <f t="shared" si="4"/>
        <v>5</v>
      </c>
      <c r="BO16" s="64">
        <f t="shared" si="4"/>
        <v>6</v>
      </c>
      <c r="BP16" s="64">
        <f t="shared" si="4"/>
        <v>6</v>
      </c>
      <c r="BQ16" s="64">
        <f t="shared" si="4"/>
        <v>6</v>
      </c>
      <c r="BR16" s="64">
        <f t="shared" ref="BR16:CW16" si="5">IF(BR31="","",ROUNDUP(BR31/12,0))</f>
        <v>6</v>
      </c>
      <c r="BS16" s="64">
        <f t="shared" si="5"/>
        <v>6</v>
      </c>
      <c r="BT16" s="64">
        <f t="shared" si="5"/>
        <v>6</v>
      </c>
      <c r="BU16" s="64">
        <f t="shared" si="5"/>
        <v>6</v>
      </c>
      <c r="BV16" s="64">
        <f t="shared" si="5"/>
        <v>6</v>
      </c>
      <c r="BW16" s="64">
        <f t="shared" si="5"/>
        <v>6</v>
      </c>
      <c r="BX16" s="64">
        <f t="shared" si="5"/>
        <v>6</v>
      </c>
      <c r="BY16" s="64">
        <f t="shared" si="5"/>
        <v>6</v>
      </c>
      <c r="BZ16" s="64">
        <f t="shared" si="5"/>
        <v>6</v>
      </c>
      <c r="CA16" s="64">
        <f t="shared" si="5"/>
        <v>7</v>
      </c>
      <c r="CB16" s="64">
        <f t="shared" si="5"/>
        <v>7</v>
      </c>
      <c r="CC16" s="64">
        <f t="shared" si="5"/>
        <v>7</v>
      </c>
      <c r="CD16" s="64">
        <f t="shared" si="5"/>
        <v>7</v>
      </c>
      <c r="CE16" s="64">
        <f t="shared" si="5"/>
        <v>7</v>
      </c>
      <c r="CF16" s="64">
        <f t="shared" si="5"/>
        <v>7</v>
      </c>
      <c r="CG16" s="64">
        <f t="shared" si="5"/>
        <v>7</v>
      </c>
      <c r="CH16" s="64">
        <f t="shared" si="5"/>
        <v>7</v>
      </c>
      <c r="CI16" s="64">
        <f t="shared" si="5"/>
        <v>7</v>
      </c>
      <c r="CJ16" s="64">
        <f t="shared" si="5"/>
        <v>7</v>
      </c>
      <c r="CK16" s="64">
        <f t="shared" si="5"/>
        <v>7</v>
      </c>
      <c r="CL16" s="64">
        <f t="shared" si="5"/>
        <v>7</v>
      </c>
      <c r="CM16" s="64">
        <f t="shared" si="5"/>
        <v>8</v>
      </c>
      <c r="CN16" s="64">
        <f t="shared" si="5"/>
        <v>8</v>
      </c>
      <c r="CO16" s="64">
        <f t="shared" si="5"/>
        <v>8</v>
      </c>
      <c r="CP16" s="64">
        <f t="shared" si="5"/>
        <v>8</v>
      </c>
      <c r="CQ16" s="64">
        <f t="shared" si="5"/>
        <v>8</v>
      </c>
      <c r="CR16" s="64">
        <f t="shared" si="5"/>
        <v>8</v>
      </c>
      <c r="CS16" s="64">
        <f t="shared" si="5"/>
        <v>8</v>
      </c>
      <c r="CT16" s="64">
        <f t="shared" si="5"/>
        <v>8</v>
      </c>
      <c r="CU16" s="64">
        <f t="shared" si="5"/>
        <v>8</v>
      </c>
      <c r="CV16" s="64">
        <f t="shared" si="5"/>
        <v>8</v>
      </c>
      <c r="CW16" s="64">
        <f t="shared" si="5"/>
        <v>8</v>
      </c>
      <c r="CX16" s="64">
        <f t="shared" ref="CX16:DV16" si="6">IF(CX31="","",ROUNDUP(CX31/12,0))</f>
        <v>8</v>
      </c>
      <c r="CY16" s="64">
        <f t="shared" si="6"/>
        <v>9</v>
      </c>
      <c r="CZ16" s="64">
        <f t="shared" si="6"/>
        <v>9</v>
      </c>
      <c r="DA16" s="64">
        <f t="shared" si="6"/>
        <v>9</v>
      </c>
      <c r="DB16" s="64">
        <f t="shared" si="6"/>
        <v>9</v>
      </c>
      <c r="DC16" s="64">
        <f t="shared" si="6"/>
        <v>9</v>
      </c>
      <c r="DD16" s="64">
        <f t="shared" si="6"/>
        <v>9</v>
      </c>
      <c r="DE16" s="64">
        <f t="shared" si="6"/>
        <v>9</v>
      </c>
      <c r="DF16" s="64">
        <f t="shared" si="6"/>
        <v>9</v>
      </c>
      <c r="DG16" s="64">
        <f t="shared" si="6"/>
        <v>9</v>
      </c>
      <c r="DH16" s="64">
        <f t="shared" si="6"/>
        <v>9</v>
      </c>
      <c r="DI16" s="64">
        <f t="shared" si="6"/>
        <v>9</v>
      </c>
      <c r="DJ16" s="64">
        <f t="shared" si="6"/>
        <v>9</v>
      </c>
      <c r="DK16" s="64">
        <f t="shared" si="6"/>
        <v>10</v>
      </c>
      <c r="DL16" s="64">
        <f t="shared" si="6"/>
        <v>10</v>
      </c>
      <c r="DM16" s="64">
        <f t="shared" si="6"/>
        <v>10</v>
      </c>
      <c r="DN16" s="64">
        <f t="shared" si="6"/>
        <v>10</v>
      </c>
      <c r="DO16" s="64">
        <f t="shared" si="6"/>
        <v>10</v>
      </c>
      <c r="DP16" s="64">
        <f t="shared" si="6"/>
        <v>10</v>
      </c>
      <c r="DQ16" s="64">
        <f t="shared" si="6"/>
        <v>10</v>
      </c>
      <c r="DR16" s="64">
        <f t="shared" si="6"/>
        <v>10</v>
      </c>
      <c r="DS16" s="64">
        <f t="shared" si="6"/>
        <v>10</v>
      </c>
      <c r="DT16" s="64">
        <f t="shared" si="6"/>
        <v>10</v>
      </c>
      <c r="DU16" s="64">
        <f t="shared" si="6"/>
        <v>10</v>
      </c>
      <c r="DV16" s="64">
        <f t="shared" si="6"/>
        <v>10</v>
      </c>
    </row>
    <row r="17" spans="2:130" ht="15.6" x14ac:dyDescent="0.3">
      <c r="B17" s="79" t="s">
        <v>23</v>
      </c>
      <c r="C17" s="80"/>
      <c r="D17" s="81"/>
      <c r="E17" s="82"/>
      <c r="F17" s="83">
        <v>0</v>
      </c>
      <c r="G17" s="83">
        <f>F17+1</f>
        <v>1</v>
      </c>
      <c r="H17" s="83">
        <f t="shared" ref="H17:BS17" si="7">G17+1</f>
        <v>2</v>
      </c>
      <c r="I17" s="83">
        <f t="shared" si="7"/>
        <v>3</v>
      </c>
      <c r="J17" s="83">
        <f t="shared" si="7"/>
        <v>4</v>
      </c>
      <c r="K17" s="83">
        <f t="shared" si="7"/>
        <v>5</v>
      </c>
      <c r="L17" s="83">
        <f t="shared" si="7"/>
        <v>6</v>
      </c>
      <c r="M17" s="83">
        <f t="shared" si="7"/>
        <v>7</v>
      </c>
      <c r="N17" s="83">
        <f t="shared" si="7"/>
        <v>8</v>
      </c>
      <c r="O17" s="83">
        <f t="shared" si="7"/>
        <v>9</v>
      </c>
      <c r="P17" s="83">
        <f t="shared" si="7"/>
        <v>10</v>
      </c>
      <c r="Q17" s="83">
        <f t="shared" si="7"/>
        <v>11</v>
      </c>
      <c r="R17" s="83">
        <f t="shared" si="7"/>
        <v>12</v>
      </c>
      <c r="S17" s="83">
        <f t="shared" si="7"/>
        <v>13</v>
      </c>
      <c r="T17" s="83">
        <f t="shared" si="7"/>
        <v>14</v>
      </c>
      <c r="U17" s="83">
        <f t="shared" si="7"/>
        <v>15</v>
      </c>
      <c r="V17" s="83">
        <f t="shared" si="7"/>
        <v>16</v>
      </c>
      <c r="W17" s="83">
        <f t="shared" si="7"/>
        <v>17</v>
      </c>
      <c r="X17" s="83">
        <f t="shared" si="7"/>
        <v>18</v>
      </c>
      <c r="Y17" s="83">
        <f t="shared" si="7"/>
        <v>19</v>
      </c>
      <c r="Z17" s="83">
        <f t="shared" si="7"/>
        <v>20</v>
      </c>
      <c r="AA17" s="83">
        <f t="shared" si="7"/>
        <v>21</v>
      </c>
      <c r="AB17" s="83">
        <f t="shared" si="7"/>
        <v>22</v>
      </c>
      <c r="AC17" s="83">
        <f t="shared" si="7"/>
        <v>23</v>
      </c>
      <c r="AD17" s="83">
        <f t="shared" si="7"/>
        <v>24</v>
      </c>
      <c r="AE17" s="83">
        <f t="shared" si="7"/>
        <v>25</v>
      </c>
      <c r="AF17" s="83">
        <f t="shared" si="7"/>
        <v>26</v>
      </c>
      <c r="AG17" s="83">
        <f t="shared" si="7"/>
        <v>27</v>
      </c>
      <c r="AH17" s="83">
        <f t="shared" si="7"/>
        <v>28</v>
      </c>
      <c r="AI17" s="83">
        <f t="shared" si="7"/>
        <v>29</v>
      </c>
      <c r="AJ17" s="83">
        <f t="shared" si="7"/>
        <v>30</v>
      </c>
      <c r="AK17" s="83">
        <f t="shared" si="7"/>
        <v>31</v>
      </c>
      <c r="AL17" s="83">
        <f t="shared" si="7"/>
        <v>32</v>
      </c>
      <c r="AM17" s="83">
        <f t="shared" si="7"/>
        <v>33</v>
      </c>
      <c r="AN17" s="83">
        <f t="shared" si="7"/>
        <v>34</v>
      </c>
      <c r="AO17" s="83">
        <f t="shared" si="7"/>
        <v>35</v>
      </c>
      <c r="AP17" s="83">
        <f t="shared" si="7"/>
        <v>36</v>
      </c>
      <c r="AQ17" s="83">
        <f t="shared" si="7"/>
        <v>37</v>
      </c>
      <c r="AR17" s="83">
        <f t="shared" si="7"/>
        <v>38</v>
      </c>
      <c r="AS17" s="83">
        <f t="shared" si="7"/>
        <v>39</v>
      </c>
      <c r="AT17" s="83">
        <f t="shared" si="7"/>
        <v>40</v>
      </c>
      <c r="AU17" s="83">
        <f t="shared" si="7"/>
        <v>41</v>
      </c>
      <c r="AV17" s="83">
        <f t="shared" si="7"/>
        <v>42</v>
      </c>
      <c r="AW17" s="83">
        <f t="shared" si="7"/>
        <v>43</v>
      </c>
      <c r="AX17" s="83">
        <f t="shared" si="7"/>
        <v>44</v>
      </c>
      <c r="AY17" s="83">
        <f t="shared" si="7"/>
        <v>45</v>
      </c>
      <c r="AZ17" s="83">
        <f t="shared" si="7"/>
        <v>46</v>
      </c>
      <c r="BA17" s="83">
        <f t="shared" si="7"/>
        <v>47</v>
      </c>
      <c r="BB17" s="83">
        <f t="shared" si="7"/>
        <v>48</v>
      </c>
      <c r="BC17" s="83">
        <f t="shared" si="7"/>
        <v>49</v>
      </c>
      <c r="BD17" s="83">
        <f t="shared" si="7"/>
        <v>50</v>
      </c>
      <c r="BE17" s="83">
        <f t="shared" si="7"/>
        <v>51</v>
      </c>
      <c r="BF17" s="83">
        <f t="shared" si="7"/>
        <v>52</v>
      </c>
      <c r="BG17" s="83">
        <f t="shared" si="7"/>
        <v>53</v>
      </c>
      <c r="BH17" s="83">
        <f t="shared" si="7"/>
        <v>54</v>
      </c>
      <c r="BI17" s="83">
        <f t="shared" si="7"/>
        <v>55</v>
      </c>
      <c r="BJ17" s="83">
        <f t="shared" si="7"/>
        <v>56</v>
      </c>
      <c r="BK17" s="83">
        <f t="shared" si="7"/>
        <v>57</v>
      </c>
      <c r="BL17" s="83">
        <f t="shared" si="7"/>
        <v>58</v>
      </c>
      <c r="BM17" s="83">
        <f t="shared" si="7"/>
        <v>59</v>
      </c>
      <c r="BN17" s="83">
        <f t="shared" si="7"/>
        <v>60</v>
      </c>
      <c r="BO17" s="83">
        <f t="shared" si="7"/>
        <v>61</v>
      </c>
      <c r="BP17" s="83">
        <f t="shared" si="7"/>
        <v>62</v>
      </c>
      <c r="BQ17" s="83">
        <f t="shared" si="7"/>
        <v>63</v>
      </c>
      <c r="BR17" s="83">
        <f t="shared" si="7"/>
        <v>64</v>
      </c>
      <c r="BS17" s="83">
        <f t="shared" si="7"/>
        <v>65</v>
      </c>
      <c r="BT17" s="83">
        <f t="shared" ref="BT17:DV17" si="8">BS17+1</f>
        <v>66</v>
      </c>
      <c r="BU17" s="83">
        <f t="shared" si="8"/>
        <v>67</v>
      </c>
      <c r="BV17" s="83">
        <f t="shared" si="8"/>
        <v>68</v>
      </c>
      <c r="BW17" s="83">
        <f t="shared" si="8"/>
        <v>69</v>
      </c>
      <c r="BX17" s="83">
        <f t="shared" si="8"/>
        <v>70</v>
      </c>
      <c r="BY17" s="83">
        <f t="shared" si="8"/>
        <v>71</v>
      </c>
      <c r="BZ17" s="83">
        <f t="shared" si="8"/>
        <v>72</v>
      </c>
      <c r="CA17" s="83">
        <f t="shared" si="8"/>
        <v>73</v>
      </c>
      <c r="CB17" s="83">
        <f t="shared" si="8"/>
        <v>74</v>
      </c>
      <c r="CC17" s="83">
        <f t="shared" si="8"/>
        <v>75</v>
      </c>
      <c r="CD17" s="83">
        <f t="shared" si="8"/>
        <v>76</v>
      </c>
      <c r="CE17" s="83">
        <f t="shared" si="8"/>
        <v>77</v>
      </c>
      <c r="CF17" s="83">
        <f t="shared" si="8"/>
        <v>78</v>
      </c>
      <c r="CG17" s="83">
        <f t="shared" si="8"/>
        <v>79</v>
      </c>
      <c r="CH17" s="83">
        <f t="shared" si="8"/>
        <v>80</v>
      </c>
      <c r="CI17" s="83">
        <f t="shared" si="8"/>
        <v>81</v>
      </c>
      <c r="CJ17" s="83">
        <f t="shared" si="8"/>
        <v>82</v>
      </c>
      <c r="CK17" s="83">
        <f t="shared" si="8"/>
        <v>83</v>
      </c>
      <c r="CL17" s="83">
        <f t="shared" si="8"/>
        <v>84</v>
      </c>
      <c r="CM17" s="83">
        <f t="shared" si="8"/>
        <v>85</v>
      </c>
      <c r="CN17" s="83">
        <f t="shared" si="8"/>
        <v>86</v>
      </c>
      <c r="CO17" s="83">
        <f t="shared" si="8"/>
        <v>87</v>
      </c>
      <c r="CP17" s="83">
        <f t="shared" si="8"/>
        <v>88</v>
      </c>
      <c r="CQ17" s="83">
        <f t="shared" si="8"/>
        <v>89</v>
      </c>
      <c r="CR17" s="83">
        <f t="shared" si="8"/>
        <v>90</v>
      </c>
      <c r="CS17" s="83">
        <f t="shared" si="8"/>
        <v>91</v>
      </c>
      <c r="CT17" s="83">
        <f t="shared" si="8"/>
        <v>92</v>
      </c>
      <c r="CU17" s="83">
        <f t="shared" si="8"/>
        <v>93</v>
      </c>
      <c r="CV17" s="83">
        <f t="shared" si="8"/>
        <v>94</v>
      </c>
      <c r="CW17" s="83">
        <f t="shared" si="8"/>
        <v>95</v>
      </c>
      <c r="CX17" s="83">
        <f t="shared" si="8"/>
        <v>96</v>
      </c>
      <c r="CY17" s="83">
        <f t="shared" si="8"/>
        <v>97</v>
      </c>
      <c r="CZ17" s="83">
        <f t="shared" si="8"/>
        <v>98</v>
      </c>
      <c r="DA17" s="83">
        <f t="shared" si="8"/>
        <v>99</v>
      </c>
      <c r="DB17" s="83">
        <f t="shared" si="8"/>
        <v>100</v>
      </c>
      <c r="DC17" s="83">
        <f t="shared" si="8"/>
        <v>101</v>
      </c>
      <c r="DD17" s="83">
        <f t="shared" si="8"/>
        <v>102</v>
      </c>
      <c r="DE17" s="83">
        <f t="shared" si="8"/>
        <v>103</v>
      </c>
      <c r="DF17" s="83">
        <f t="shared" si="8"/>
        <v>104</v>
      </c>
      <c r="DG17" s="83">
        <f t="shared" si="8"/>
        <v>105</v>
      </c>
      <c r="DH17" s="83">
        <f t="shared" si="8"/>
        <v>106</v>
      </c>
      <c r="DI17" s="83">
        <f t="shared" si="8"/>
        <v>107</v>
      </c>
      <c r="DJ17" s="83">
        <f t="shared" si="8"/>
        <v>108</v>
      </c>
      <c r="DK17" s="83">
        <f t="shared" si="8"/>
        <v>109</v>
      </c>
      <c r="DL17" s="83">
        <f t="shared" si="8"/>
        <v>110</v>
      </c>
      <c r="DM17" s="83">
        <f t="shared" si="8"/>
        <v>111</v>
      </c>
      <c r="DN17" s="83">
        <f t="shared" si="8"/>
        <v>112</v>
      </c>
      <c r="DO17" s="83">
        <f t="shared" si="8"/>
        <v>113</v>
      </c>
      <c r="DP17" s="83">
        <f t="shared" si="8"/>
        <v>114</v>
      </c>
      <c r="DQ17" s="83">
        <f t="shared" si="8"/>
        <v>115</v>
      </c>
      <c r="DR17" s="83">
        <f t="shared" si="8"/>
        <v>116</v>
      </c>
      <c r="DS17" s="83">
        <f t="shared" si="8"/>
        <v>117</v>
      </c>
      <c r="DT17" s="83">
        <f t="shared" si="8"/>
        <v>118</v>
      </c>
      <c r="DU17" s="83">
        <f t="shared" si="8"/>
        <v>119</v>
      </c>
      <c r="DV17" s="83">
        <f t="shared" si="8"/>
        <v>120</v>
      </c>
    </row>
    <row r="18" spans="2:130" x14ac:dyDescent="0.3">
      <c r="B18" s="55" t="s">
        <v>22</v>
      </c>
      <c r="D18" s="56"/>
      <c r="E18" s="49"/>
      <c r="F18" s="41"/>
      <c r="G18" s="52"/>
      <c r="H18" s="53"/>
      <c r="I18" s="53"/>
    </row>
    <row r="19" spans="2:130" x14ac:dyDescent="0.3">
      <c r="B19" s="13" t="s">
        <v>21</v>
      </c>
      <c r="D19" s="57">
        <f>SUM(F19:DV19)</f>
        <v>9764032.5812972188</v>
      </c>
      <c r="E19" s="49"/>
      <c r="F19" s="58">
        <f>F47+F62+F77+F84</f>
        <v>0</v>
      </c>
      <c r="G19" s="58">
        <f t="shared" ref="G19:BR19" si="9">G47+G62+G77+G84</f>
        <v>0</v>
      </c>
      <c r="H19" s="58">
        <f t="shared" si="9"/>
        <v>0</v>
      </c>
      <c r="I19" s="58">
        <f t="shared" si="9"/>
        <v>0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58">
        <f t="shared" si="9"/>
        <v>0</v>
      </c>
      <c r="N19" s="58">
        <f t="shared" si="9"/>
        <v>0</v>
      </c>
      <c r="O19" s="58">
        <f t="shared" si="9"/>
        <v>0</v>
      </c>
      <c r="P19" s="58">
        <f t="shared" si="9"/>
        <v>0</v>
      </c>
      <c r="Q19" s="58">
        <f t="shared" si="9"/>
        <v>0</v>
      </c>
      <c r="R19" s="58">
        <f t="shared" si="9"/>
        <v>0</v>
      </c>
      <c r="S19" s="58">
        <f t="shared" si="9"/>
        <v>0</v>
      </c>
      <c r="T19" s="58">
        <f t="shared" si="9"/>
        <v>0</v>
      </c>
      <c r="U19" s="58">
        <f t="shared" si="9"/>
        <v>0</v>
      </c>
      <c r="V19" s="58">
        <f t="shared" si="9"/>
        <v>0</v>
      </c>
      <c r="W19" s="58">
        <f t="shared" si="9"/>
        <v>0</v>
      </c>
      <c r="X19" s="58">
        <f t="shared" si="9"/>
        <v>0</v>
      </c>
      <c r="Y19" s="58">
        <f t="shared" si="9"/>
        <v>0</v>
      </c>
      <c r="Z19" s="58">
        <f t="shared" si="9"/>
        <v>0</v>
      </c>
      <c r="AA19" s="58">
        <f t="shared" si="9"/>
        <v>0</v>
      </c>
      <c r="AB19" s="58">
        <f t="shared" si="9"/>
        <v>0</v>
      </c>
      <c r="AC19" s="58">
        <f t="shared" si="9"/>
        <v>0</v>
      </c>
      <c r="AD19" s="58">
        <f t="shared" si="9"/>
        <v>0</v>
      </c>
      <c r="AE19" s="58">
        <f t="shared" si="9"/>
        <v>0</v>
      </c>
      <c r="AF19" s="58">
        <f t="shared" si="9"/>
        <v>0</v>
      </c>
      <c r="AG19" s="58">
        <f t="shared" si="9"/>
        <v>0</v>
      </c>
      <c r="AH19" s="58">
        <f t="shared" si="9"/>
        <v>0</v>
      </c>
      <c r="AI19" s="58">
        <f t="shared" si="9"/>
        <v>0</v>
      </c>
      <c r="AJ19" s="58">
        <f t="shared" si="9"/>
        <v>35535.578087114991</v>
      </c>
      <c r="AK19" s="58">
        <f t="shared" si="9"/>
        <v>20229.679059110938</v>
      </c>
      <c r="AL19" s="58">
        <f t="shared" si="9"/>
        <v>20229.679059110938</v>
      </c>
      <c r="AM19" s="58">
        <f t="shared" si="9"/>
        <v>20229.679059110938</v>
      </c>
      <c r="AN19" s="58">
        <f t="shared" si="9"/>
        <v>20229.679059110938</v>
      </c>
      <c r="AO19" s="58">
        <f t="shared" si="9"/>
        <v>20229.679059110938</v>
      </c>
      <c r="AP19" s="58">
        <f t="shared" si="9"/>
        <v>20801.766726777289</v>
      </c>
      <c r="AQ19" s="58">
        <f t="shared" si="9"/>
        <v>20801.766726777289</v>
      </c>
      <c r="AR19" s="58">
        <f t="shared" si="9"/>
        <v>20801.766726777289</v>
      </c>
      <c r="AS19" s="58">
        <f t="shared" si="9"/>
        <v>20801.766726777289</v>
      </c>
      <c r="AT19" s="58">
        <f t="shared" si="9"/>
        <v>20801.766726777289</v>
      </c>
      <c r="AU19" s="58">
        <f t="shared" si="9"/>
        <v>20801.766726777289</v>
      </c>
      <c r="AV19" s="58">
        <f t="shared" si="9"/>
        <v>20801.766726777289</v>
      </c>
      <c r="AW19" s="58">
        <f t="shared" si="9"/>
        <v>20801.766726777289</v>
      </c>
      <c r="AX19" s="58">
        <f t="shared" si="9"/>
        <v>20801.766726777289</v>
      </c>
      <c r="AY19" s="58">
        <f t="shared" si="9"/>
        <v>20801.766726777289</v>
      </c>
      <c r="AZ19" s="58">
        <f t="shared" si="9"/>
        <v>20801.766726777289</v>
      </c>
      <c r="BA19" s="58">
        <f t="shared" si="9"/>
        <v>20801.766726777289</v>
      </c>
      <c r="BB19" s="58">
        <f t="shared" si="9"/>
        <v>22940.419756052164</v>
      </c>
      <c r="BC19" s="58">
        <f t="shared" si="9"/>
        <v>22940.419756052164</v>
      </c>
      <c r="BD19" s="58">
        <f t="shared" si="9"/>
        <v>22940.419756052164</v>
      </c>
      <c r="BE19" s="58">
        <f t="shared" si="9"/>
        <v>22940.419756052164</v>
      </c>
      <c r="BF19" s="58">
        <f t="shared" si="9"/>
        <v>22940.419756052164</v>
      </c>
      <c r="BG19" s="58">
        <f t="shared" si="9"/>
        <v>22940.419756052164</v>
      </c>
      <c r="BH19" s="58">
        <f t="shared" si="9"/>
        <v>22940.419756052164</v>
      </c>
      <c r="BI19" s="58">
        <f t="shared" si="9"/>
        <v>13133.953769650032</v>
      </c>
      <c r="BJ19" s="58">
        <f t="shared" si="9"/>
        <v>13133.953769650032</v>
      </c>
      <c r="BK19" s="58">
        <f t="shared" si="9"/>
        <v>13133.953769650032</v>
      </c>
      <c r="BL19" s="58">
        <f t="shared" si="9"/>
        <v>13133.953769650032</v>
      </c>
      <c r="BM19" s="58">
        <f t="shared" si="9"/>
        <v>13133.953769650032</v>
      </c>
      <c r="BN19" s="58">
        <f t="shared" si="9"/>
        <v>15348.546653875792</v>
      </c>
      <c r="BO19" s="58">
        <f t="shared" si="9"/>
        <v>15348.546653875792</v>
      </c>
      <c r="BP19" s="58">
        <f t="shared" si="9"/>
        <v>15348.546653875792</v>
      </c>
      <c r="BQ19" s="58">
        <f t="shared" si="9"/>
        <v>15348.546653875792</v>
      </c>
      <c r="BR19" s="58">
        <f t="shared" si="9"/>
        <v>15348.546653875792</v>
      </c>
      <c r="BS19" s="58">
        <f t="shared" ref="BS19:DV19" si="10">BS47+BS62+BS77+BS84</f>
        <v>15348.546653875792</v>
      </c>
      <c r="BT19" s="58">
        <f t="shared" si="10"/>
        <v>15348.546653875792</v>
      </c>
      <c r="BU19" s="58">
        <f t="shared" si="10"/>
        <v>15348.546653875792</v>
      </c>
      <c r="BV19" s="58">
        <f t="shared" si="10"/>
        <v>15348.546653875792</v>
      </c>
      <c r="BW19" s="58">
        <f t="shared" si="10"/>
        <v>15348.546653875792</v>
      </c>
      <c r="BX19" s="58">
        <f t="shared" si="10"/>
        <v>15348.546653875792</v>
      </c>
      <c r="BY19" s="58">
        <f t="shared" si="10"/>
        <v>15348.546653875792</v>
      </c>
      <c r="BZ19" s="58">
        <f t="shared" si="10"/>
        <v>17641.593193982382</v>
      </c>
      <c r="CA19" s="58">
        <f t="shared" si="10"/>
        <v>17641.593193982382</v>
      </c>
      <c r="CB19" s="58">
        <f t="shared" si="10"/>
        <v>17641.593193982382</v>
      </c>
      <c r="CC19" s="58">
        <f t="shared" si="10"/>
        <v>17641.593193982382</v>
      </c>
      <c r="CD19" s="58">
        <f t="shared" si="10"/>
        <v>17641.593193982382</v>
      </c>
      <c r="CE19" s="58">
        <f t="shared" si="10"/>
        <v>17641.593193982382</v>
      </c>
      <c r="CF19" s="58">
        <f t="shared" si="10"/>
        <v>17641.593193982382</v>
      </c>
      <c r="CG19" s="58">
        <f t="shared" si="10"/>
        <v>17641.593193982382</v>
      </c>
      <c r="CH19" s="58">
        <f t="shared" si="10"/>
        <v>17641.593193982382</v>
      </c>
      <c r="CI19" s="58">
        <f t="shared" si="10"/>
        <v>17641.593193982382</v>
      </c>
      <c r="CJ19" s="58">
        <f t="shared" si="10"/>
        <v>17641.593193982382</v>
      </c>
      <c r="CK19" s="58">
        <f t="shared" si="10"/>
        <v>17641.593193982382</v>
      </c>
      <c r="CL19" s="58">
        <f t="shared" si="10"/>
        <v>20015.687317033364</v>
      </c>
      <c r="CM19" s="58">
        <f t="shared" si="10"/>
        <v>20015.687317033364</v>
      </c>
      <c r="CN19" s="58">
        <f t="shared" si="10"/>
        <v>20015.687317033364</v>
      </c>
      <c r="CO19" s="58">
        <f t="shared" si="10"/>
        <v>20015.687317033364</v>
      </c>
      <c r="CP19" s="58">
        <f t="shared" si="10"/>
        <v>20015.687317033364</v>
      </c>
      <c r="CQ19" s="58">
        <f t="shared" si="10"/>
        <v>20015.687317033364</v>
      </c>
      <c r="CR19" s="58">
        <f t="shared" si="10"/>
        <v>20015.687317033364</v>
      </c>
      <c r="CS19" s="58">
        <f t="shared" si="10"/>
        <v>20015.687317033364</v>
      </c>
      <c r="CT19" s="58">
        <f t="shared" si="10"/>
        <v>20015.687317033364</v>
      </c>
      <c r="CU19" s="58">
        <f t="shared" si="10"/>
        <v>20015.687317033364</v>
      </c>
      <c r="CV19" s="58">
        <f t="shared" si="10"/>
        <v>20015.687317033364</v>
      </c>
      <c r="CW19" s="58">
        <f t="shared" si="10"/>
        <v>20015.687317033364</v>
      </c>
      <c r="CX19" s="58">
        <f t="shared" si="10"/>
        <v>22473.505574251805</v>
      </c>
      <c r="CY19" s="58">
        <f t="shared" si="10"/>
        <v>22473.505574251805</v>
      </c>
      <c r="CZ19" s="58">
        <f t="shared" si="10"/>
        <v>22473.505574251805</v>
      </c>
      <c r="DA19" s="58">
        <f t="shared" si="10"/>
        <v>22473.505574251805</v>
      </c>
      <c r="DB19" s="58">
        <f t="shared" si="10"/>
        <v>22473.505574251805</v>
      </c>
      <c r="DC19" s="58">
        <f t="shared" si="10"/>
        <v>22473.505574251805</v>
      </c>
      <c r="DD19" s="58">
        <f t="shared" si="10"/>
        <v>22473.505574251805</v>
      </c>
      <c r="DE19" s="58">
        <f t="shared" si="10"/>
        <v>22473.505574251805</v>
      </c>
      <c r="DF19" s="58">
        <f t="shared" si="10"/>
        <v>22473.505574251805</v>
      </c>
      <c r="DG19" s="58">
        <f t="shared" si="10"/>
        <v>22473.505574251805</v>
      </c>
      <c r="DH19" s="58">
        <f t="shared" si="10"/>
        <v>22473.505574251805</v>
      </c>
      <c r="DI19" s="58">
        <f t="shared" si="10"/>
        <v>22473.505574251805</v>
      </c>
      <c r="DJ19" s="58">
        <f t="shared" si="10"/>
        <v>25017.809715872379</v>
      </c>
      <c r="DK19" s="58">
        <f t="shared" si="10"/>
        <v>25017.809715872379</v>
      </c>
      <c r="DL19" s="58">
        <f t="shared" si="10"/>
        <v>25017.809715872379</v>
      </c>
      <c r="DM19" s="58">
        <f t="shared" si="10"/>
        <v>25017.809715872379</v>
      </c>
      <c r="DN19" s="58">
        <f t="shared" si="10"/>
        <v>25017.809715872379</v>
      </c>
      <c r="DO19" s="58">
        <f t="shared" si="10"/>
        <v>25017.809715872379</v>
      </c>
      <c r="DP19" s="58">
        <f t="shared" si="10"/>
        <v>25017.809715872379</v>
      </c>
      <c r="DQ19" s="58">
        <f t="shared" si="10"/>
        <v>25017.809715872379</v>
      </c>
      <c r="DR19" s="58">
        <f t="shared" si="10"/>
        <v>25017.809715872379</v>
      </c>
      <c r="DS19" s="58">
        <f t="shared" si="10"/>
        <v>25017.809715872379</v>
      </c>
      <c r="DT19" s="58">
        <f t="shared" si="10"/>
        <v>25017.809715872379</v>
      </c>
      <c r="DU19" s="58">
        <f t="shared" si="10"/>
        <v>25017.809715872379</v>
      </c>
      <c r="DV19" s="58">
        <f t="shared" si="10"/>
        <v>7945508.9905924182</v>
      </c>
    </row>
    <row r="20" spans="2:130" x14ac:dyDescent="0.3">
      <c r="B20" s="13" t="s">
        <v>20</v>
      </c>
      <c r="D20" s="57">
        <f>SUM(F20:DV20)</f>
        <v>3599965.9777224748</v>
      </c>
      <c r="E20" s="49"/>
      <c r="F20" s="58">
        <f>F42</f>
        <v>1723311.6942992047</v>
      </c>
      <c r="G20" s="58">
        <f t="shared" ref="G20:BR20" si="11">G42</f>
        <v>8640.4290073635511</v>
      </c>
      <c r="H20" s="58">
        <f t="shared" si="11"/>
        <v>20109.73836381239</v>
      </c>
      <c r="I20" s="58">
        <f t="shared" si="11"/>
        <v>43011.56330175692</v>
      </c>
      <c r="J20" s="58">
        <f t="shared" si="11"/>
        <v>84542.160865736136</v>
      </c>
      <c r="K20" s="58">
        <f t="shared" si="11"/>
        <v>152711.66734173146</v>
      </c>
      <c r="L20" s="58">
        <f t="shared" si="11"/>
        <v>253503.01661420055</v>
      </c>
      <c r="M20" s="58">
        <f t="shared" si="11"/>
        <v>341729.39796618692</v>
      </c>
      <c r="N20" s="58">
        <f t="shared" si="11"/>
        <v>452182.26974863233</v>
      </c>
      <c r="O20" s="58">
        <f t="shared" si="11"/>
        <v>520224.0402138498</v>
      </c>
      <c r="P20" s="58">
        <f t="shared" si="11"/>
        <v>0</v>
      </c>
      <c r="Q20" s="58">
        <f t="shared" si="11"/>
        <v>0</v>
      </c>
      <c r="R20" s="58">
        <f t="shared" si="11"/>
        <v>0</v>
      </c>
      <c r="S20" s="58">
        <f t="shared" si="11"/>
        <v>0</v>
      </c>
      <c r="T20" s="58">
        <f t="shared" si="11"/>
        <v>0</v>
      </c>
      <c r="U20" s="58">
        <f t="shared" si="11"/>
        <v>0</v>
      </c>
      <c r="V20" s="58">
        <f t="shared" si="11"/>
        <v>0</v>
      </c>
      <c r="W20" s="58">
        <f t="shared" si="11"/>
        <v>0</v>
      </c>
      <c r="X20" s="58">
        <f t="shared" si="11"/>
        <v>0</v>
      </c>
      <c r="Y20" s="58">
        <f t="shared" si="11"/>
        <v>0</v>
      </c>
      <c r="Z20" s="58">
        <f t="shared" si="11"/>
        <v>0</v>
      </c>
      <c r="AA20" s="58">
        <f t="shared" si="11"/>
        <v>0</v>
      </c>
      <c r="AB20" s="58">
        <f t="shared" si="11"/>
        <v>0</v>
      </c>
      <c r="AC20" s="58">
        <f t="shared" si="11"/>
        <v>0</v>
      </c>
      <c r="AD20" s="58">
        <f t="shared" si="11"/>
        <v>0</v>
      </c>
      <c r="AE20" s="58">
        <f t="shared" si="11"/>
        <v>0</v>
      </c>
      <c r="AF20" s="58">
        <f t="shared" si="11"/>
        <v>0</v>
      </c>
      <c r="AG20" s="58">
        <f t="shared" si="11"/>
        <v>0</v>
      </c>
      <c r="AH20" s="58">
        <f t="shared" si="11"/>
        <v>0</v>
      </c>
      <c r="AI20" s="58">
        <f t="shared" si="11"/>
        <v>0</v>
      </c>
      <c r="AJ20" s="58">
        <f t="shared" si="11"/>
        <v>0</v>
      </c>
      <c r="AK20" s="58">
        <f t="shared" si="11"/>
        <v>0</v>
      </c>
      <c r="AL20" s="58">
        <f t="shared" si="11"/>
        <v>0</v>
      </c>
      <c r="AM20" s="58">
        <f t="shared" si="11"/>
        <v>0</v>
      </c>
      <c r="AN20" s="58">
        <f t="shared" si="11"/>
        <v>0</v>
      </c>
      <c r="AO20" s="58">
        <f t="shared" si="11"/>
        <v>0</v>
      </c>
      <c r="AP20" s="58">
        <f t="shared" si="11"/>
        <v>0</v>
      </c>
      <c r="AQ20" s="58">
        <f t="shared" si="11"/>
        <v>0</v>
      </c>
      <c r="AR20" s="58">
        <f t="shared" si="11"/>
        <v>0</v>
      </c>
      <c r="AS20" s="58">
        <f t="shared" si="11"/>
        <v>0</v>
      </c>
      <c r="AT20" s="58">
        <f t="shared" si="11"/>
        <v>0</v>
      </c>
      <c r="AU20" s="58">
        <f t="shared" si="11"/>
        <v>0</v>
      </c>
      <c r="AV20" s="58">
        <f t="shared" si="11"/>
        <v>0</v>
      </c>
      <c r="AW20" s="58">
        <f t="shared" si="11"/>
        <v>0</v>
      </c>
      <c r="AX20" s="58">
        <f t="shared" si="11"/>
        <v>0</v>
      </c>
      <c r="AY20" s="58">
        <f t="shared" si="11"/>
        <v>0</v>
      </c>
      <c r="AZ20" s="58">
        <f t="shared" si="11"/>
        <v>0</v>
      </c>
      <c r="BA20" s="58">
        <f t="shared" si="11"/>
        <v>0</v>
      </c>
      <c r="BB20" s="58">
        <f t="shared" si="11"/>
        <v>0</v>
      </c>
      <c r="BC20" s="58">
        <f t="shared" si="11"/>
        <v>0</v>
      </c>
      <c r="BD20" s="58">
        <f t="shared" si="11"/>
        <v>0</v>
      </c>
      <c r="BE20" s="58">
        <f t="shared" si="11"/>
        <v>0</v>
      </c>
      <c r="BF20" s="58">
        <f t="shared" si="11"/>
        <v>0</v>
      </c>
      <c r="BG20" s="58">
        <f t="shared" si="11"/>
        <v>0</v>
      </c>
      <c r="BH20" s="58">
        <f t="shared" si="11"/>
        <v>0</v>
      </c>
      <c r="BI20" s="58">
        <f t="shared" si="11"/>
        <v>0</v>
      </c>
      <c r="BJ20" s="58">
        <f t="shared" si="11"/>
        <v>0</v>
      </c>
      <c r="BK20" s="58">
        <f t="shared" si="11"/>
        <v>0</v>
      </c>
      <c r="BL20" s="58">
        <f t="shared" si="11"/>
        <v>0</v>
      </c>
      <c r="BM20" s="58">
        <f t="shared" si="11"/>
        <v>0</v>
      </c>
      <c r="BN20" s="58">
        <f t="shared" si="11"/>
        <v>0</v>
      </c>
      <c r="BO20" s="58">
        <f t="shared" si="11"/>
        <v>0</v>
      </c>
      <c r="BP20" s="58">
        <f t="shared" si="11"/>
        <v>0</v>
      </c>
      <c r="BQ20" s="58">
        <f t="shared" si="11"/>
        <v>0</v>
      </c>
      <c r="BR20" s="58">
        <f t="shared" si="11"/>
        <v>0</v>
      </c>
      <c r="BS20" s="58">
        <f t="shared" ref="BS20:DV20" si="12">BS42</f>
        <v>0</v>
      </c>
      <c r="BT20" s="58">
        <f t="shared" si="12"/>
        <v>0</v>
      </c>
      <c r="BU20" s="58">
        <f t="shared" si="12"/>
        <v>0</v>
      </c>
      <c r="BV20" s="58">
        <f t="shared" si="12"/>
        <v>0</v>
      </c>
      <c r="BW20" s="58">
        <f t="shared" si="12"/>
        <v>0</v>
      </c>
      <c r="BX20" s="58">
        <f t="shared" si="12"/>
        <v>0</v>
      </c>
      <c r="BY20" s="58">
        <f t="shared" si="12"/>
        <v>0</v>
      </c>
      <c r="BZ20" s="58">
        <f t="shared" si="12"/>
        <v>0</v>
      </c>
      <c r="CA20" s="58">
        <f t="shared" si="12"/>
        <v>0</v>
      </c>
      <c r="CB20" s="58">
        <f t="shared" si="12"/>
        <v>0</v>
      </c>
      <c r="CC20" s="58">
        <f t="shared" si="12"/>
        <v>0</v>
      </c>
      <c r="CD20" s="58">
        <f t="shared" si="12"/>
        <v>0</v>
      </c>
      <c r="CE20" s="58">
        <f t="shared" si="12"/>
        <v>0</v>
      </c>
      <c r="CF20" s="58">
        <f t="shared" si="12"/>
        <v>0</v>
      </c>
      <c r="CG20" s="58">
        <f t="shared" si="12"/>
        <v>0</v>
      </c>
      <c r="CH20" s="58">
        <f t="shared" si="12"/>
        <v>0</v>
      </c>
      <c r="CI20" s="58">
        <f t="shared" si="12"/>
        <v>0</v>
      </c>
      <c r="CJ20" s="58">
        <f t="shared" si="12"/>
        <v>0</v>
      </c>
      <c r="CK20" s="58">
        <f t="shared" si="12"/>
        <v>0</v>
      </c>
      <c r="CL20" s="58">
        <f t="shared" si="12"/>
        <v>0</v>
      </c>
      <c r="CM20" s="58">
        <f t="shared" si="12"/>
        <v>0</v>
      </c>
      <c r="CN20" s="58">
        <f t="shared" si="12"/>
        <v>0</v>
      </c>
      <c r="CO20" s="58">
        <f t="shared" si="12"/>
        <v>0</v>
      </c>
      <c r="CP20" s="58">
        <f t="shared" si="12"/>
        <v>0</v>
      </c>
      <c r="CQ20" s="58">
        <f t="shared" si="12"/>
        <v>0</v>
      </c>
      <c r="CR20" s="58">
        <f t="shared" si="12"/>
        <v>0</v>
      </c>
      <c r="CS20" s="58">
        <f t="shared" si="12"/>
        <v>0</v>
      </c>
      <c r="CT20" s="58">
        <f t="shared" si="12"/>
        <v>0</v>
      </c>
      <c r="CU20" s="58">
        <f t="shared" si="12"/>
        <v>0</v>
      </c>
      <c r="CV20" s="58">
        <f t="shared" si="12"/>
        <v>0</v>
      </c>
      <c r="CW20" s="58">
        <f t="shared" si="12"/>
        <v>0</v>
      </c>
      <c r="CX20" s="58">
        <f t="shared" si="12"/>
        <v>0</v>
      </c>
      <c r="CY20" s="58">
        <f t="shared" si="12"/>
        <v>0</v>
      </c>
      <c r="CZ20" s="58">
        <f t="shared" si="12"/>
        <v>0</v>
      </c>
      <c r="DA20" s="58">
        <f t="shared" si="12"/>
        <v>0</v>
      </c>
      <c r="DB20" s="58">
        <f t="shared" si="12"/>
        <v>0</v>
      </c>
      <c r="DC20" s="58">
        <f t="shared" si="12"/>
        <v>0</v>
      </c>
      <c r="DD20" s="58">
        <f t="shared" si="12"/>
        <v>0</v>
      </c>
      <c r="DE20" s="58">
        <f t="shared" si="12"/>
        <v>0</v>
      </c>
      <c r="DF20" s="58">
        <f t="shared" si="12"/>
        <v>0</v>
      </c>
      <c r="DG20" s="58">
        <f t="shared" si="12"/>
        <v>0</v>
      </c>
      <c r="DH20" s="58">
        <f t="shared" si="12"/>
        <v>0</v>
      </c>
      <c r="DI20" s="58">
        <f t="shared" si="12"/>
        <v>0</v>
      </c>
      <c r="DJ20" s="58">
        <f t="shared" si="12"/>
        <v>0</v>
      </c>
      <c r="DK20" s="58">
        <f t="shared" si="12"/>
        <v>0</v>
      </c>
      <c r="DL20" s="58">
        <f t="shared" si="12"/>
        <v>0</v>
      </c>
      <c r="DM20" s="58">
        <f t="shared" si="12"/>
        <v>0</v>
      </c>
      <c r="DN20" s="58">
        <f t="shared" si="12"/>
        <v>0</v>
      </c>
      <c r="DO20" s="58">
        <f t="shared" si="12"/>
        <v>0</v>
      </c>
      <c r="DP20" s="58">
        <f t="shared" si="12"/>
        <v>0</v>
      </c>
      <c r="DQ20" s="58">
        <f t="shared" si="12"/>
        <v>0</v>
      </c>
      <c r="DR20" s="58">
        <f t="shared" si="12"/>
        <v>0</v>
      </c>
      <c r="DS20" s="58">
        <f t="shared" si="12"/>
        <v>0</v>
      </c>
      <c r="DT20" s="58">
        <f t="shared" si="12"/>
        <v>0</v>
      </c>
      <c r="DU20" s="58">
        <f t="shared" si="12"/>
        <v>0</v>
      </c>
      <c r="DV20" s="58">
        <f t="shared" si="12"/>
        <v>0</v>
      </c>
    </row>
    <row r="21" spans="2:130" x14ac:dyDescent="0.3">
      <c r="B21" s="13" t="s">
        <v>19</v>
      </c>
      <c r="D21" s="57">
        <f>D19-D20</f>
        <v>6164066.6035747435</v>
      </c>
      <c r="E21" s="49"/>
      <c r="F21" s="41"/>
      <c r="G21" s="52"/>
      <c r="H21" s="53"/>
      <c r="I21" s="53"/>
    </row>
    <row r="22" spans="2:130" x14ac:dyDescent="0.3">
      <c r="B22" s="13" t="s">
        <v>18</v>
      </c>
      <c r="D22" s="59">
        <f>XIRR(F22:DV22,$F$15:$DV$15)</f>
        <v>0.11986599564552305</v>
      </c>
      <c r="E22" s="49"/>
      <c r="F22" s="58">
        <f>-F20+F19</f>
        <v>-1723311.6942992047</v>
      </c>
      <c r="G22" s="58">
        <f t="shared" ref="G22:BR22" si="13">-G20+G19</f>
        <v>-8640.4290073635511</v>
      </c>
      <c r="H22" s="58">
        <f t="shared" si="13"/>
        <v>-20109.73836381239</v>
      </c>
      <c r="I22" s="58">
        <f t="shared" si="13"/>
        <v>-43011.56330175692</v>
      </c>
      <c r="J22" s="58">
        <f t="shared" si="13"/>
        <v>-84542.160865736136</v>
      </c>
      <c r="K22" s="58">
        <f t="shared" si="13"/>
        <v>-152711.66734173146</v>
      </c>
      <c r="L22" s="58">
        <f t="shared" si="13"/>
        <v>-253503.01661420055</v>
      </c>
      <c r="M22" s="58">
        <f t="shared" si="13"/>
        <v>-341729.39796618692</v>
      </c>
      <c r="N22" s="58">
        <f t="shared" si="13"/>
        <v>-452182.26974863233</v>
      </c>
      <c r="O22" s="58">
        <f t="shared" si="13"/>
        <v>-520224.0402138498</v>
      </c>
      <c r="P22" s="58">
        <f t="shared" si="13"/>
        <v>0</v>
      </c>
      <c r="Q22" s="58">
        <f t="shared" si="13"/>
        <v>0</v>
      </c>
      <c r="R22" s="58">
        <f t="shared" si="13"/>
        <v>0</v>
      </c>
      <c r="S22" s="58">
        <f t="shared" si="13"/>
        <v>0</v>
      </c>
      <c r="T22" s="58">
        <f t="shared" si="13"/>
        <v>0</v>
      </c>
      <c r="U22" s="58">
        <f t="shared" si="13"/>
        <v>0</v>
      </c>
      <c r="V22" s="58">
        <f t="shared" si="13"/>
        <v>0</v>
      </c>
      <c r="W22" s="58">
        <f t="shared" si="13"/>
        <v>0</v>
      </c>
      <c r="X22" s="58">
        <f t="shared" si="13"/>
        <v>0</v>
      </c>
      <c r="Y22" s="58">
        <f t="shared" si="13"/>
        <v>0</v>
      </c>
      <c r="Z22" s="58">
        <f t="shared" si="13"/>
        <v>0</v>
      </c>
      <c r="AA22" s="58">
        <f t="shared" si="13"/>
        <v>0</v>
      </c>
      <c r="AB22" s="58">
        <f t="shared" si="13"/>
        <v>0</v>
      </c>
      <c r="AC22" s="58">
        <f t="shared" si="13"/>
        <v>0</v>
      </c>
      <c r="AD22" s="58">
        <f t="shared" si="13"/>
        <v>0</v>
      </c>
      <c r="AE22" s="58">
        <f t="shared" si="13"/>
        <v>0</v>
      </c>
      <c r="AF22" s="58">
        <f t="shared" si="13"/>
        <v>0</v>
      </c>
      <c r="AG22" s="58">
        <f t="shared" si="13"/>
        <v>0</v>
      </c>
      <c r="AH22" s="58">
        <f t="shared" si="13"/>
        <v>0</v>
      </c>
      <c r="AI22" s="58">
        <f t="shared" si="13"/>
        <v>0</v>
      </c>
      <c r="AJ22" s="58">
        <f t="shared" si="13"/>
        <v>35535.578087114991</v>
      </c>
      <c r="AK22" s="58">
        <f t="shared" si="13"/>
        <v>20229.679059110938</v>
      </c>
      <c r="AL22" s="58">
        <f t="shared" si="13"/>
        <v>20229.679059110938</v>
      </c>
      <c r="AM22" s="58">
        <f t="shared" si="13"/>
        <v>20229.679059110938</v>
      </c>
      <c r="AN22" s="58">
        <f t="shared" si="13"/>
        <v>20229.679059110938</v>
      </c>
      <c r="AO22" s="58">
        <f t="shared" si="13"/>
        <v>20229.679059110938</v>
      </c>
      <c r="AP22" s="58">
        <f t="shared" si="13"/>
        <v>20801.766726777289</v>
      </c>
      <c r="AQ22" s="58">
        <f t="shared" si="13"/>
        <v>20801.766726777289</v>
      </c>
      <c r="AR22" s="58">
        <f t="shared" si="13"/>
        <v>20801.766726777289</v>
      </c>
      <c r="AS22" s="58">
        <f t="shared" si="13"/>
        <v>20801.766726777289</v>
      </c>
      <c r="AT22" s="58">
        <f t="shared" si="13"/>
        <v>20801.766726777289</v>
      </c>
      <c r="AU22" s="58">
        <f t="shared" si="13"/>
        <v>20801.766726777289</v>
      </c>
      <c r="AV22" s="58">
        <f t="shared" si="13"/>
        <v>20801.766726777289</v>
      </c>
      <c r="AW22" s="58">
        <f t="shared" si="13"/>
        <v>20801.766726777289</v>
      </c>
      <c r="AX22" s="58">
        <f t="shared" si="13"/>
        <v>20801.766726777289</v>
      </c>
      <c r="AY22" s="58">
        <f t="shared" si="13"/>
        <v>20801.766726777289</v>
      </c>
      <c r="AZ22" s="58">
        <f t="shared" si="13"/>
        <v>20801.766726777289</v>
      </c>
      <c r="BA22" s="58">
        <f t="shared" si="13"/>
        <v>20801.766726777289</v>
      </c>
      <c r="BB22" s="58">
        <f t="shared" si="13"/>
        <v>22940.419756052164</v>
      </c>
      <c r="BC22" s="58">
        <f t="shared" si="13"/>
        <v>22940.419756052164</v>
      </c>
      <c r="BD22" s="58">
        <f t="shared" si="13"/>
        <v>22940.419756052164</v>
      </c>
      <c r="BE22" s="58">
        <f t="shared" si="13"/>
        <v>22940.419756052164</v>
      </c>
      <c r="BF22" s="58">
        <f t="shared" si="13"/>
        <v>22940.419756052164</v>
      </c>
      <c r="BG22" s="58">
        <f t="shared" si="13"/>
        <v>22940.419756052164</v>
      </c>
      <c r="BH22" s="58">
        <f t="shared" si="13"/>
        <v>22940.419756052164</v>
      </c>
      <c r="BI22" s="58">
        <f t="shared" si="13"/>
        <v>13133.953769650032</v>
      </c>
      <c r="BJ22" s="58">
        <f t="shared" si="13"/>
        <v>13133.953769650032</v>
      </c>
      <c r="BK22" s="58">
        <f t="shared" si="13"/>
        <v>13133.953769650032</v>
      </c>
      <c r="BL22" s="58">
        <f t="shared" si="13"/>
        <v>13133.953769650032</v>
      </c>
      <c r="BM22" s="58">
        <f t="shared" si="13"/>
        <v>13133.953769650032</v>
      </c>
      <c r="BN22" s="58">
        <f t="shared" si="13"/>
        <v>15348.546653875792</v>
      </c>
      <c r="BO22" s="58">
        <f t="shared" si="13"/>
        <v>15348.546653875792</v>
      </c>
      <c r="BP22" s="58">
        <f t="shared" si="13"/>
        <v>15348.546653875792</v>
      </c>
      <c r="BQ22" s="58">
        <f t="shared" si="13"/>
        <v>15348.546653875792</v>
      </c>
      <c r="BR22" s="58">
        <f t="shared" si="13"/>
        <v>15348.546653875792</v>
      </c>
      <c r="BS22" s="58">
        <f t="shared" ref="BS22:DV22" si="14">-BS20+BS19</f>
        <v>15348.546653875792</v>
      </c>
      <c r="BT22" s="58">
        <f t="shared" si="14"/>
        <v>15348.546653875792</v>
      </c>
      <c r="BU22" s="58">
        <f t="shared" si="14"/>
        <v>15348.546653875792</v>
      </c>
      <c r="BV22" s="58">
        <f t="shared" si="14"/>
        <v>15348.546653875792</v>
      </c>
      <c r="BW22" s="58">
        <f t="shared" si="14"/>
        <v>15348.546653875792</v>
      </c>
      <c r="BX22" s="58">
        <f t="shared" si="14"/>
        <v>15348.546653875792</v>
      </c>
      <c r="BY22" s="58">
        <f t="shared" si="14"/>
        <v>15348.546653875792</v>
      </c>
      <c r="BZ22" s="58">
        <f t="shared" si="14"/>
        <v>17641.593193982382</v>
      </c>
      <c r="CA22" s="58">
        <f t="shared" si="14"/>
        <v>17641.593193982382</v>
      </c>
      <c r="CB22" s="58">
        <f t="shared" si="14"/>
        <v>17641.593193982382</v>
      </c>
      <c r="CC22" s="58">
        <f t="shared" si="14"/>
        <v>17641.593193982382</v>
      </c>
      <c r="CD22" s="58">
        <f t="shared" si="14"/>
        <v>17641.593193982382</v>
      </c>
      <c r="CE22" s="58">
        <f t="shared" si="14"/>
        <v>17641.593193982382</v>
      </c>
      <c r="CF22" s="58">
        <f t="shared" si="14"/>
        <v>17641.593193982382</v>
      </c>
      <c r="CG22" s="58">
        <f t="shared" si="14"/>
        <v>17641.593193982382</v>
      </c>
      <c r="CH22" s="58">
        <f t="shared" si="14"/>
        <v>17641.593193982382</v>
      </c>
      <c r="CI22" s="58">
        <f t="shared" si="14"/>
        <v>17641.593193982382</v>
      </c>
      <c r="CJ22" s="58">
        <f t="shared" si="14"/>
        <v>17641.593193982382</v>
      </c>
      <c r="CK22" s="58">
        <f t="shared" si="14"/>
        <v>17641.593193982382</v>
      </c>
      <c r="CL22" s="58">
        <f t="shared" si="14"/>
        <v>20015.687317033364</v>
      </c>
      <c r="CM22" s="58">
        <f t="shared" si="14"/>
        <v>20015.687317033364</v>
      </c>
      <c r="CN22" s="58">
        <f t="shared" si="14"/>
        <v>20015.687317033364</v>
      </c>
      <c r="CO22" s="58">
        <f t="shared" si="14"/>
        <v>20015.687317033364</v>
      </c>
      <c r="CP22" s="58">
        <f t="shared" si="14"/>
        <v>20015.687317033364</v>
      </c>
      <c r="CQ22" s="58">
        <f t="shared" si="14"/>
        <v>20015.687317033364</v>
      </c>
      <c r="CR22" s="58">
        <f t="shared" si="14"/>
        <v>20015.687317033364</v>
      </c>
      <c r="CS22" s="58">
        <f t="shared" si="14"/>
        <v>20015.687317033364</v>
      </c>
      <c r="CT22" s="58">
        <f t="shared" si="14"/>
        <v>20015.687317033364</v>
      </c>
      <c r="CU22" s="58">
        <f t="shared" si="14"/>
        <v>20015.687317033364</v>
      </c>
      <c r="CV22" s="58">
        <f t="shared" si="14"/>
        <v>20015.687317033364</v>
      </c>
      <c r="CW22" s="58">
        <f t="shared" si="14"/>
        <v>20015.687317033364</v>
      </c>
      <c r="CX22" s="58">
        <f t="shared" si="14"/>
        <v>22473.505574251805</v>
      </c>
      <c r="CY22" s="58">
        <f t="shared" si="14"/>
        <v>22473.505574251805</v>
      </c>
      <c r="CZ22" s="58">
        <f t="shared" si="14"/>
        <v>22473.505574251805</v>
      </c>
      <c r="DA22" s="58">
        <f t="shared" si="14"/>
        <v>22473.505574251805</v>
      </c>
      <c r="DB22" s="58">
        <f t="shared" si="14"/>
        <v>22473.505574251805</v>
      </c>
      <c r="DC22" s="58">
        <f t="shared" si="14"/>
        <v>22473.505574251805</v>
      </c>
      <c r="DD22" s="58">
        <f t="shared" si="14"/>
        <v>22473.505574251805</v>
      </c>
      <c r="DE22" s="58">
        <f t="shared" si="14"/>
        <v>22473.505574251805</v>
      </c>
      <c r="DF22" s="58">
        <f t="shared" si="14"/>
        <v>22473.505574251805</v>
      </c>
      <c r="DG22" s="58">
        <f t="shared" si="14"/>
        <v>22473.505574251805</v>
      </c>
      <c r="DH22" s="58">
        <f t="shared" si="14"/>
        <v>22473.505574251805</v>
      </c>
      <c r="DI22" s="58">
        <f t="shared" si="14"/>
        <v>22473.505574251805</v>
      </c>
      <c r="DJ22" s="58">
        <f t="shared" si="14"/>
        <v>25017.809715872379</v>
      </c>
      <c r="DK22" s="58">
        <f t="shared" si="14"/>
        <v>25017.809715872379</v>
      </c>
      <c r="DL22" s="58">
        <f t="shared" si="14"/>
        <v>25017.809715872379</v>
      </c>
      <c r="DM22" s="58">
        <f t="shared" si="14"/>
        <v>25017.809715872379</v>
      </c>
      <c r="DN22" s="58">
        <f t="shared" si="14"/>
        <v>25017.809715872379</v>
      </c>
      <c r="DO22" s="58">
        <f t="shared" si="14"/>
        <v>25017.809715872379</v>
      </c>
      <c r="DP22" s="58">
        <f t="shared" si="14"/>
        <v>25017.809715872379</v>
      </c>
      <c r="DQ22" s="58">
        <f t="shared" si="14"/>
        <v>25017.809715872379</v>
      </c>
      <c r="DR22" s="58">
        <f t="shared" si="14"/>
        <v>25017.809715872379</v>
      </c>
      <c r="DS22" s="58">
        <f t="shared" si="14"/>
        <v>25017.809715872379</v>
      </c>
      <c r="DT22" s="58">
        <f t="shared" si="14"/>
        <v>25017.809715872379</v>
      </c>
      <c r="DU22" s="58">
        <f t="shared" si="14"/>
        <v>25017.809715872379</v>
      </c>
      <c r="DV22" s="58">
        <f t="shared" si="14"/>
        <v>7945508.9905924182</v>
      </c>
    </row>
    <row r="23" spans="2:130" x14ac:dyDescent="0.3">
      <c r="B23" s="13" t="s">
        <v>17</v>
      </c>
      <c r="D23" s="60">
        <f>SUMIF(F22:DV22,"&gt;0")/-SUMIF($F$22:$DV$22,"&lt;0")</f>
        <v>2.7122569051262122</v>
      </c>
      <c r="E23" s="49"/>
      <c r="F23" s="41"/>
      <c r="G23" s="52"/>
      <c r="H23" s="53"/>
      <c r="I23" s="53"/>
    </row>
    <row r="24" spans="2:130" x14ac:dyDescent="0.3">
      <c r="B24" s="13"/>
      <c r="D24" s="51"/>
      <c r="E24" s="49"/>
      <c r="F24" s="41"/>
      <c r="G24" s="52"/>
      <c r="H24" s="53"/>
      <c r="I24" s="53"/>
    </row>
    <row r="25" spans="2:130" x14ac:dyDescent="0.3">
      <c r="B25" s="55" t="s">
        <v>39</v>
      </c>
      <c r="D25" s="51"/>
      <c r="E25" s="49"/>
      <c r="F25" s="41"/>
      <c r="G25" s="52"/>
      <c r="H25" s="53"/>
      <c r="I25" s="53"/>
    </row>
    <row r="26" spans="2:130" x14ac:dyDescent="0.3">
      <c r="B26" s="13" t="s">
        <v>40</v>
      </c>
      <c r="D26" s="57">
        <f t="shared" ref="D26:D27" si="15">SUM(F26:DV26)</f>
        <v>2021055.9752998578</v>
      </c>
      <c r="E26" s="49"/>
      <c r="F26" s="58">
        <f>+F48+F63+F78+F85+F32</f>
        <v>0</v>
      </c>
      <c r="G26" s="58">
        <f t="shared" ref="G26:BR26" si="16">+G48+G63+G78+G85+G32</f>
        <v>0</v>
      </c>
      <c r="H26" s="58">
        <f t="shared" si="16"/>
        <v>0</v>
      </c>
      <c r="I26" s="58">
        <f t="shared" si="16"/>
        <v>0</v>
      </c>
      <c r="J26" s="58">
        <f t="shared" si="16"/>
        <v>0</v>
      </c>
      <c r="K26" s="58">
        <f t="shared" si="16"/>
        <v>0</v>
      </c>
      <c r="L26" s="58">
        <f t="shared" si="16"/>
        <v>0</v>
      </c>
      <c r="M26" s="58">
        <f t="shared" si="16"/>
        <v>0</v>
      </c>
      <c r="N26" s="58">
        <f t="shared" si="16"/>
        <v>0</v>
      </c>
      <c r="O26" s="58">
        <f t="shared" si="16"/>
        <v>0</v>
      </c>
      <c r="P26" s="58">
        <f t="shared" si="16"/>
        <v>0</v>
      </c>
      <c r="Q26" s="58">
        <f t="shared" si="16"/>
        <v>0</v>
      </c>
      <c r="R26" s="58">
        <f t="shared" si="16"/>
        <v>0</v>
      </c>
      <c r="S26" s="58">
        <f t="shared" si="16"/>
        <v>0</v>
      </c>
      <c r="T26" s="58">
        <f t="shared" si="16"/>
        <v>0</v>
      </c>
      <c r="U26" s="58">
        <f t="shared" si="16"/>
        <v>0</v>
      </c>
      <c r="V26" s="58">
        <f t="shared" si="16"/>
        <v>0</v>
      </c>
      <c r="W26" s="58">
        <f t="shared" si="16"/>
        <v>0</v>
      </c>
      <c r="X26" s="58">
        <f t="shared" si="16"/>
        <v>0</v>
      </c>
      <c r="Y26" s="58">
        <f t="shared" si="16"/>
        <v>0</v>
      </c>
      <c r="Z26" s="58">
        <f t="shared" si="16"/>
        <v>0</v>
      </c>
      <c r="AA26" s="58">
        <f t="shared" si="16"/>
        <v>0</v>
      </c>
      <c r="AB26" s="58">
        <f t="shared" si="16"/>
        <v>0</v>
      </c>
      <c r="AC26" s="58">
        <f t="shared" si="16"/>
        <v>0</v>
      </c>
      <c r="AD26" s="58">
        <f t="shared" si="16"/>
        <v>0</v>
      </c>
      <c r="AE26" s="58">
        <f t="shared" si="16"/>
        <v>0</v>
      </c>
      <c r="AF26" s="58">
        <f t="shared" si="16"/>
        <v>0</v>
      </c>
      <c r="AG26" s="58">
        <f t="shared" si="16"/>
        <v>0</v>
      </c>
      <c r="AH26" s="58">
        <f t="shared" si="16"/>
        <v>0</v>
      </c>
      <c r="AI26" s="58">
        <f t="shared" si="16"/>
        <v>0</v>
      </c>
      <c r="AJ26" s="58">
        <f t="shared" si="16"/>
        <v>3948.3975652349991</v>
      </c>
      <c r="AK26" s="58">
        <f t="shared" si="16"/>
        <v>2247.7421176789935</v>
      </c>
      <c r="AL26" s="58">
        <f t="shared" si="16"/>
        <v>2247.7421176789935</v>
      </c>
      <c r="AM26" s="58">
        <f t="shared" si="16"/>
        <v>2247.7421176789935</v>
      </c>
      <c r="AN26" s="58">
        <f t="shared" si="16"/>
        <v>2247.7421176789935</v>
      </c>
      <c r="AO26" s="58">
        <f t="shared" si="16"/>
        <v>2247.7421176789935</v>
      </c>
      <c r="AP26" s="58">
        <f t="shared" si="16"/>
        <v>2311.3074140863655</v>
      </c>
      <c r="AQ26" s="58">
        <f t="shared" si="16"/>
        <v>2311.3074140863655</v>
      </c>
      <c r="AR26" s="58">
        <f t="shared" si="16"/>
        <v>2311.3074140863655</v>
      </c>
      <c r="AS26" s="58">
        <f t="shared" si="16"/>
        <v>2311.3074140863655</v>
      </c>
      <c r="AT26" s="58">
        <f t="shared" si="16"/>
        <v>2311.3074140863655</v>
      </c>
      <c r="AU26" s="58">
        <f t="shared" si="16"/>
        <v>2311.3074140863655</v>
      </c>
      <c r="AV26" s="58">
        <f t="shared" si="16"/>
        <v>2311.3074140863655</v>
      </c>
      <c r="AW26" s="58">
        <f t="shared" si="16"/>
        <v>2311.3074140863655</v>
      </c>
      <c r="AX26" s="58">
        <f t="shared" si="16"/>
        <v>2311.3074140863655</v>
      </c>
      <c r="AY26" s="58">
        <f t="shared" si="16"/>
        <v>2311.3074140863655</v>
      </c>
      <c r="AZ26" s="58">
        <f t="shared" si="16"/>
        <v>2311.3074140863655</v>
      </c>
      <c r="BA26" s="58">
        <f t="shared" si="16"/>
        <v>2311.3074140863655</v>
      </c>
      <c r="BB26" s="58">
        <f t="shared" si="16"/>
        <v>2548.9355284502403</v>
      </c>
      <c r="BC26" s="58">
        <f t="shared" si="16"/>
        <v>2548.9355284502403</v>
      </c>
      <c r="BD26" s="58">
        <f t="shared" si="16"/>
        <v>2548.9355284502403</v>
      </c>
      <c r="BE26" s="58">
        <f t="shared" si="16"/>
        <v>2548.9355284502403</v>
      </c>
      <c r="BF26" s="58">
        <f t="shared" si="16"/>
        <v>2548.9355284502403</v>
      </c>
      <c r="BG26" s="58">
        <f t="shared" si="16"/>
        <v>2548.9355284502403</v>
      </c>
      <c r="BH26" s="58">
        <f t="shared" si="16"/>
        <v>2548.9355284502403</v>
      </c>
      <c r="BI26" s="58">
        <f t="shared" si="16"/>
        <v>1459.3281966277814</v>
      </c>
      <c r="BJ26" s="58">
        <f t="shared" si="16"/>
        <v>1459.3281966277814</v>
      </c>
      <c r="BK26" s="58">
        <f t="shared" si="16"/>
        <v>1459.3281966277814</v>
      </c>
      <c r="BL26" s="58">
        <f t="shared" si="16"/>
        <v>1459.3281966277814</v>
      </c>
      <c r="BM26" s="58">
        <f t="shared" si="16"/>
        <v>1459.3281966277814</v>
      </c>
      <c r="BN26" s="58">
        <f t="shared" si="16"/>
        <v>1705.3940726528658</v>
      </c>
      <c r="BO26" s="58">
        <f t="shared" si="16"/>
        <v>1705.3940726528658</v>
      </c>
      <c r="BP26" s="58">
        <f t="shared" si="16"/>
        <v>1705.3940726528658</v>
      </c>
      <c r="BQ26" s="58">
        <f t="shared" si="16"/>
        <v>1705.3940726528658</v>
      </c>
      <c r="BR26" s="58">
        <f t="shared" si="16"/>
        <v>1705.3940726528658</v>
      </c>
      <c r="BS26" s="58">
        <f t="shared" ref="BS26:DV26" si="17">+BS48+BS63+BS78+BS85+BS32</f>
        <v>1705.3940726528658</v>
      </c>
      <c r="BT26" s="58">
        <f t="shared" si="17"/>
        <v>1705.3940726528658</v>
      </c>
      <c r="BU26" s="58">
        <f t="shared" si="17"/>
        <v>1705.3940726528658</v>
      </c>
      <c r="BV26" s="58">
        <f t="shared" si="17"/>
        <v>1705.3940726528658</v>
      </c>
      <c r="BW26" s="58">
        <f t="shared" si="17"/>
        <v>1705.3940726528658</v>
      </c>
      <c r="BX26" s="58">
        <f t="shared" si="17"/>
        <v>1705.3940726528658</v>
      </c>
      <c r="BY26" s="58">
        <f t="shared" si="17"/>
        <v>1705.3940726528658</v>
      </c>
      <c r="BZ26" s="58">
        <f t="shared" si="17"/>
        <v>1960.177021553598</v>
      </c>
      <c r="CA26" s="58">
        <f t="shared" si="17"/>
        <v>1960.177021553598</v>
      </c>
      <c r="CB26" s="58">
        <f t="shared" si="17"/>
        <v>1960.177021553598</v>
      </c>
      <c r="CC26" s="58">
        <f t="shared" si="17"/>
        <v>1960.177021553598</v>
      </c>
      <c r="CD26" s="58">
        <f t="shared" si="17"/>
        <v>1960.177021553598</v>
      </c>
      <c r="CE26" s="58">
        <f t="shared" si="17"/>
        <v>1960.177021553598</v>
      </c>
      <c r="CF26" s="58">
        <f t="shared" si="17"/>
        <v>1960.177021553598</v>
      </c>
      <c r="CG26" s="58">
        <f t="shared" si="17"/>
        <v>1960.177021553598</v>
      </c>
      <c r="CH26" s="58">
        <f t="shared" si="17"/>
        <v>1960.177021553598</v>
      </c>
      <c r="CI26" s="58">
        <f t="shared" si="17"/>
        <v>1960.177021553598</v>
      </c>
      <c r="CJ26" s="58">
        <f t="shared" si="17"/>
        <v>1960.177021553598</v>
      </c>
      <c r="CK26" s="58">
        <f t="shared" si="17"/>
        <v>1960.177021553598</v>
      </c>
      <c r="CL26" s="58">
        <f t="shared" si="17"/>
        <v>2223.9652574481515</v>
      </c>
      <c r="CM26" s="58">
        <f t="shared" si="17"/>
        <v>2223.9652574481515</v>
      </c>
      <c r="CN26" s="58">
        <f t="shared" si="17"/>
        <v>2223.9652574481515</v>
      </c>
      <c r="CO26" s="58">
        <f t="shared" si="17"/>
        <v>2223.9652574481515</v>
      </c>
      <c r="CP26" s="58">
        <f t="shared" si="17"/>
        <v>2223.9652574481515</v>
      </c>
      <c r="CQ26" s="58">
        <f t="shared" si="17"/>
        <v>2223.9652574481515</v>
      </c>
      <c r="CR26" s="58">
        <f t="shared" si="17"/>
        <v>2223.9652574481515</v>
      </c>
      <c r="CS26" s="58">
        <f t="shared" si="17"/>
        <v>2223.9652574481515</v>
      </c>
      <c r="CT26" s="58">
        <f t="shared" si="17"/>
        <v>2223.9652574481515</v>
      </c>
      <c r="CU26" s="58">
        <f t="shared" si="17"/>
        <v>2223.9652574481515</v>
      </c>
      <c r="CV26" s="58">
        <f t="shared" si="17"/>
        <v>2223.9652574481515</v>
      </c>
      <c r="CW26" s="58">
        <f t="shared" si="17"/>
        <v>2223.9652574481515</v>
      </c>
      <c r="CX26" s="58">
        <f t="shared" si="17"/>
        <v>2497.0561749168673</v>
      </c>
      <c r="CY26" s="58">
        <f t="shared" si="17"/>
        <v>2497.0561749168673</v>
      </c>
      <c r="CZ26" s="58">
        <f t="shared" si="17"/>
        <v>2497.0561749168673</v>
      </c>
      <c r="DA26" s="58">
        <f t="shared" si="17"/>
        <v>2497.0561749168673</v>
      </c>
      <c r="DB26" s="58">
        <f t="shared" si="17"/>
        <v>2497.0561749168673</v>
      </c>
      <c r="DC26" s="58">
        <f t="shared" si="17"/>
        <v>2497.0561749168673</v>
      </c>
      <c r="DD26" s="58">
        <f t="shared" si="17"/>
        <v>2497.0561749168673</v>
      </c>
      <c r="DE26" s="58">
        <f t="shared" si="17"/>
        <v>2497.0561749168673</v>
      </c>
      <c r="DF26" s="58">
        <f t="shared" si="17"/>
        <v>2497.0561749168673</v>
      </c>
      <c r="DG26" s="58">
        <f t="shared" si="17"/>
        <v>2497.0561749168673</v>
      </c>
      <c r="DH26" s="58">
        <f t="shared" si="17"/>
        <v>2497.0561749168673</v>
      </c>
      <c r="DI26" s="58">
        <f t="shared" si="17"/>
        <v>2497.0561749168673</v>
      </c>
      <c r="DJ26" s="58">
        <f t="shared" si="17"/>
        <v>2779.7566350969314</v>
      </c>
      <c r="DK26" s="58">
        <f t="shared" si="17"/>
        <v>2779.7566350969314</v>
      </c>
      <c r="DL26" s="58">
        <f t="shared" si="17"/>
        <v>2779.7566350969314</v>
      </c>
      <c r="DM26" s="58">
        <f t="shared" si="17"/>
        <v>2779.7566350969314</v>
      </c>
      <c r="DN26" s="58">
        <f t="shared" si="17"/>
        <v>2779.7566350969314</v>
      </c>
      <c r="DO26" s="58">
        <f t="shared" si="17"/>
        <v>2779.7566350969314</v>
      </c>
      <c r="DP26" s="58">
        <f t="shared" si="17"/>
        <v>2779.7566350969314</v>
      </c>
      <c r="DQ26" s="58">
        <f t="shared" si="17"/>
        <v>2779.7566350969314</v>
      </c>
      <c r="DR26" s="58">
        <f t="shared" si="17"/>
        <v>2779.7566350969314</v>
      </c>
      <c r="DS26" s="58">
        <f t="shared" si="17"/>
        <v>2779.7566350969314</v>
      </c>
      <c r="DT26" s="58">
        <f t="shared" si="17"/>
        <v>2779.7566350969314</v>
      </c>
      <c r="DU26" s="58">
        <f t="shared" si="17"/>
        <v>2779.7566350969314</v>
      </c>
      <c r="DV26" s="58">
        <f t="shared" si="17"/>
        <v>1818997.7985548801</v>
      </c>
    </row>
    <row r="27" spans="2:130" x14ac:dyDescent="0.3">
      <c r="B27" s="13" t="s">
        <v>41</v>
      </c>
      <c r="D27" s="57">
        <f t="shared" si="15"/>
        <v>399996.21974694147</v>
      </c>
      <c r="E27" s="49"/>
      <c r="F27" s="58">
        <f>-(MIN(F34,0)+F42)</f>
        <v>191479.07714435598</v>
      </c>
      <c r="G27" s="58">
        <f t="shared" ref="G27:BR27" si="18">-(MIN(G34,0)+G42)</f>
        <v>960.04766748483962</v>
      </c>
      <c r="H27" s="58">
        <f t="shared" si="18"/>
        <v>2234.4153737569322</v>
      </c>
      <c r="I27" s="58">
        <f t="shared" si="18"/>
        <v>4779.0625890841038</v>
      </c>
      <c r="J27" s="58">
        <f t="shared" si="18"/>
        <v>9393.5734295262373</v>
      </c>
      <c r="K27" s="58">
        <f t="shared" si="18"/>
        <v>16967.963037970156</v>
      </c>
      <c r="L27" s="58">
        <f t="shared" si="18"/>
        <v>28167.001846022264</v>
      </c>
      <c r="M27" s="58">
        <f t="shared" si="18"/>
        <v>37969.933107354096</v>
      </c>
      <c r="N27" s="58">
        <f t="shared" si="18"/>
        <v>50242.474416514684</v>
      </c>
      <c r="O27" s="58">
        <f t="shared" si="18"/>
        <v>57802.671134872187</v>
      </c>
      <c r="P27" s="58">
        <f t="shared" si="18"/>
        <v>0</v>
      </c>
      <c r="Q27" s="58">
        <f t="shared" si="18"/>
        <v>0</v>
      </c>
      <c r="R27" s="58">
        <f t="shared" si="18"/>
        <v>0</v>
      </c>
      <c r="S27" s="58">
        <f t="shared" si="18"/>
        <v>0</v>
      </c>
      <c r="T27" s="58">
        <f t="shared" si="18"/>
        <v>0</v>
      </c>
      <c r="U27" s="58">
        <f t="shared" si="18"/>
        <v>0</v>
      </c>
      <c r="V27" s="58">
        <f t="shared" si="18"/>
        <v>0</v>
      </c>
      <c r="W27" s="58">
        <f t="shared" si="18"/>
        <v>0</v>
      </c>
      <c r="X27" s="58">
        <f t="shared" si="18"/>
        <v>0</v>
      </c>
      <c r="Y27" s="58">
        <f t="shared" si="18"/>
        <v>0</v>
      </c>
      <c r="Z27" s="58">
        <f t="shared" si="18"/>
        <v>0</v>
      </c>
      <c r="AA27" s="58">
        <f t="shared" si="18"/>
        <v>0</v>
      </c>
      <c r="AB27" s="58">
        <f t="shared" si="18"/>
        <v>0</v>
      </c>
      <c r="AC27" s="58">
        <f t="shared" si="18"/>
        <v>0</v>
      </c>
      <c r="AD27" s="58">
        <f t="shared" si="18"/>
        <v>0</v>
      </c>
      <c r="AE27" s="58">
        <f t="shared" si="18"/>
        <v>0</v>
      </c>
      <c r="AF27" s="58">
        <f t="shared" si="18"/>
        <v>0</v>
      </c>
      <c r="AG27" s="58">
        <f t="shared" si="18"/>
        <v>0</v>
      </c>
      <c r="AH27" s="58">
        <f t="shared" si="18"/>
        <v>0</v>
      </c>
      <c r="AI27" s="58">
        <f t="shared" si="18"/>
        <v>0</v>
      </c>
      <c r="AJ27" s="58">
        <f t="shared" si="18"/>
        <v>0</v>
      </c>
      <c r="AK27" s="58">
        <f t="shared" si="18"/>
        <v>0</v>
      </c>
      <c r="AL27" s="58">
        <f t="shared" si="18"/>
        <v>0</v>
      </c>
      <c r="AM27" s="58">
        <f t="shared" si="18"/>
        <v>0</v>
      </c>
      <c r="AN27" s="58">
        <f t="shared" si="18"/>
        <v>0</v>
      </c>
      <c r="AO27" s="58">
        <f t="shared" si="18"/>
        <v>0</v>
      </c>
      <c r="AP27" s="58">
        <f t="shared" si="18"/>
        <v>0</v>
      </c>
      <c r="AQ27" s="58">
        <f t="shared" si="18"/>
        <v>0</v>
      </c>
      <c r="AR27" s="58">
        <f t="shared" si="18"/>
        <v>0</v>
      </c>
      <c r="AS27" s="58">
        <f t="shared" si="18"/>
        <v>0</v>
      </c>
      <c r="AT27" s="58">
        <f t="shared" si="18"/>
        <v>0</v>
      </c>
      <c r="AU27" s="58">
        <f t="shared" si="18"/>
        <v>0</v>
      </c>
      <c r="AV27" s="58">
        <f t="shared" si="18"/>
        <v>0</v>
      </c>
      <c r="AW27" s="58">
        <f t="shared" si="18"/>
        <v>0</v>
      </c>
      <c r="AX27" s="58">
        <f t="shared" si="18"/>
        <v>0</v>
      </c>
      <c r="AY27" s="58">
        <f t="shared" si="18"/>
        <v>0</v>
      </c>
      <c r="AZ27" s="58">
        <f t="shared" si="18"/>
        <v>0</v>
      </c>
      <c r="BA27" s="58">
        <f t="shared" si="18"/>
        <v>0</v>
      </c>
      <c r="BB27" s="58">
        <f t="shared" si="18"/>
        <v>0</v>
      </c>
      <c r="BC27" s="58">
        <f t="shared" si="18"/>
        <v>0</v>
      </c>
      <c r="BD27" s="58">
        <f t="shared" si="18"/>
        <v>0</v>
      </c>
      <c r="BE27" s="58">
        <f t="shared" si="18"/>
        <v>0</v>
      </c>
      <c r="BF27" s="58">
        <f t="shared" si="18"/>
        <v>0</v>
      </c>
      <c r="BG27" s="58">
        <f t="shared" si="18"/>
        <v>0</v>
      </c>
      <c r="BH27" s="58">
        <f t="shared" si="18"/>
        <v>0</v>
      </c>
      <c r="BI27" s="58">
        <f t="shared" si="18"/>
        <v>0</v>
      </c>
      <c r="BJ27" s="58">
        <f t="shared" si="18"/>
        <v>0</v>
      </c>
      <c r="BK27" s="58">
        <f t="shared" si="18"/>
        <v>0</v>
      </c>
      <c r="BL27" s="58">
        <f t="shared" si="18"/>
        <v>0</v>
      </c>
      <c r="BM27" s="58">
        <f t="shared" si="18"/>
        <v>0</v>
      </c>
      <c r="BN27" s="58">
        <f t="shared" si="18"/>
        <v>0</v>
      </c>
      <c r="BO27" s="58">
        <f t="shared" si="18"/>
        <v>0</v>
      </c>
      <c r="BP27" s="58">
        <f t="shared" si="18"/>
        <v>0</v>
      </c>
      <c r="BQ27" s="58">
        <f t="shared" si="18"/>
        <v>0</v>
      </c>
      <c r="BR27" s="58">
        <f t="shared" si="18"/>
        <v>0</v>
      </c>
      <c r="BS27" s="58">
        <f t="shared" ref="BS27:DV27" si="19">-(MIN(BS34,0)+BS42)</f>
        <v>0</v>
      </c>
      <c r="BT27" s="58">
        <f t="shared" si="19"/>
        <v>0</v>
      </c>
      <c r="BU27" s="58">
        <f t="shared" si="19"/>
        <v>0</v>
      </c>
      <c r="BV27" s="58">
        <f t="shared" si="19"/>
        <v>0</v>
      </c>
      <c r="BW27" s="58">
        <f t="shared" si="19"/>
        <v>0</v>
      </c>
      <c r="BX27" s="58">
        <f t="shared" si="19"/>
        <v>0</v>
      </c>
      <c r="BY27" s="58">
        <f t="shared" si="19"/>
        <v>0</v>
      </c>
      <c r="BZ27" s="58">
        <f t="shared" si="19"/>
        <v>0</v>
      </c>
      <c r="CA27" s="58">
        <f t="shared" si="19"/>
        <v>0</v>
      </c>
      <c r="CB27" s="58">
        <f t="shared" si="19"/>
        <v>0</v>
      </c>
      <c r="CC27" s="58">
        <f t="shared" si="19"/>
        <v>0</v>
      </c>
      <c r="CD27" s="58">
        <f t="shared" si="19"/>
        <v>0</v>
      </c>
      <c r="CE27" s="58">
        <f t="shared" si="19"/>
        <v>0</v>
      </c>
      <c r="CF27" s="58">
        <f t="shared" si="19"/>
        <v>0</v>
      </c>
      <c r="CG27" s="58">
        <f t="shared" si="19"/>
        <v>0</v>
      </c>
      <c r="CH27" s="58">
        <f t="shared" si="19"/>
        <v>0</v>
      </c>
      <c r="CI27" s="58">
        <f t="shared" si="19"/>
        <v>0</v>
      </c>
      <c r="CJ27" s="58">
        <f t="shared" si="19"/>
        <v>0</v>
      </c>
      <c r="CK27" s="58">
        <f t="shared" si="19"/>
        <v>0</v>
      </c>
      <c r="CL27" s="58">
        <f t="shared" si="19"/>
        <v>0</v>
      </c>
      <c r="CM27" s="58">
        <f t="shared" si="19"/>
        <v>0</v>
      </c>
      <c r="CN27" s="58">
        <f t="shared" si="19"/>
        <v>0</v>
      </c>
      <c r="CO27" s="58">
        <f t="shared" si="19"/>
        <v>0</v>
      </c>
      <c r="CP27" s="58">
        <f t="shared" si="19"/>
        <v>0</v>
      </c>
      <c r="CQ27" s="58">
        <f t="shared" si="19"/>
        <v>0</v>
      </c>
      <c r="CR27" s="58">
        <f t="shared" si="19"/>
        <v>0</v>
      </c>
      <c r="CS27" s="58">
        <f t="shared" si="19"/>
        <v>0</v>
      </c>
      <c r="CT27" s="58">
        <f t="shared" si="19"/>
        <v>0</v>
      </c>
      <c r="CU27" s="58">
        <f t="shared" si="19"/>
        <v>0</v>
      </c>
      <c r="CV27" s="58">
        <f t="shared" si="19"/>
        <v>0</v>
      </c>
      <c r="CW27" s="58">
        <f t="shared" si="19"/>
        <v>0</v>
      </c>
      <c r="CX27" s="58">
        <f t="shared" si="19"/>
        <v>0</v>
      </c>
      <c r="CY27" s="58">
        <f t="shared" si="19"/>
        <v>0</v>
      </c>
      <c r="CZ27" s="58">
        <f t="shared" si="19"/>
        <v>0</v>
      </c>
      <c r="DA27" s="58">
        <f t="shared" si="19"/>
        <v>0</v>
      </c>
      <c r="DB27" s="58">
        <f t="shared" si="19"/>
        <v>0</v>
      </c>
      <c r="DC27" s="58">
        <f t="shared" si="19"/>
        <v>0</v>
      </c>
      <c r="DD27" s="58">
        <f t="shared" si="19"/>
        <v>0</v>
      </c>
      <c r="DE27" s="58">
        <f t="shared" si="19"/>
        <v>0</v>
      </c>
      <c r="DF27" s="58">
        <f t="shared" si="19"/>
        <v>0</v>
      </c>
      <c r="DG27" s="58">
        <f t="shared" si="19"/>
        <v>0</v>
      </c>
      <c r="DH27" s="58">
        <f t="shared" si="19"/>
        <v>0</v>
      </c>
      <c r="DI27" s="58">
        <f t="shared" si="19"/>
        <v>0</v>
      </c>
      <c r="DJ27" s="58">
        <f t="shared" si="19"/>
        <v>0</v>
      </c>
      <c r="DK27" s="58">
        <f t="shared" si="19"/>
        <v>0</v>
      </c>
      <c r="DL27" s="58">
        <f t="shared" si="19"/>
        <v>0</v>
      </c>
      <c r="DM27" s="58">
        <f t="shared" si="19"/>
        <v>0</v>
      </c>
      <c r="DN27" s="58">
        <f t="shared" si="19"/>
        <v>0</v>
      </c>
      <c r="DO27" s="58">
        <f t="shared" si="19"/>
        <v>0</v>
      </c>
      <c r="DP27" s="58">
        <f t="shared" si="19"/>
        <v>0</v>
      </c>
      <c r="DQ27" s="58">
        <f t="shared" si="19"/>
        <v>0</v>
      </c>
      <c r="DR27" s="58">
        <f t="shared" si="19"/>
        <v>0</v>
      </c>
      <c r="DS27" s="58">
        <f t="shared" si="19"/>
        <v>0</v>
      </c>
      <c r="DT27" s="58">
        <f t="shared" si="19"/>
        <v>0</v>
      </c>
      <c r="DU27" s="58">
        <f t="shared" si="19"/>
        <v>0</v>
      </c>
      <c r="DV27" s="58">
        <f t="shared" si="19"/>
        <v>0</v>
      </c>
    </row>
    <row r="28" spans="2:130" x14ac:dyDescent="0.3">
      <c r="B28" s="13" t="s">
        <v>42</v>
      </c>
      <c r="D28" s="57">
        <f>D26-D27</f>
        <v>1621059.7555529163</v>
      </c>
      <c r="E28" s="49"/>
      <c r="F28" s="41"/>
      <c r="G28" s="52"/>
      <c r="H28" s="53"/>
      <c r="I28" s="53"/>
    </row>
    <row r="29" spans="2:130" x14ac:dyDescent="0.3">
      <c r="B29" s="13" t="s">
        <v>43</v>
      </c>
      <c r="D29" s="59">
        <f>XIRR(F29:DV29,$F$15:$DV$15)</f>
        <v>0.19425916075706481</v>
      </c>
      <c r="E29" s="49"/>
      <c r="F29" s="58">
        <f>-F27+F26</f>
        <v>-191479.07714435598</v>
      </c>
      <c r="G29" s="58">
        <f t="shared" ref="G29:BR29" si="20">-G27+G26</f>
        <v>-960.04766748483962</v>
      </c>
      <c r="H29" s="58">
        <f t="shared" si="20"/>
        <v>-2234.4153737569322</v>
      </c>
      <c r="I29" s="58">
        <f t="shared" si="20"/>
        <v>-4779.0625890841038</v>
      </c>
      <c r="J29" s="58">
        <f t="shared" si="20"/>
        <v>-9393.5734295262373</v>
      </c>
      <c r="K29" s="58">
        <f t="shared" si="20"/>
        <v>-16967.963037970156</v>
      </c>
      <c r="L29" s="58">
        <f t="shared" si="20"/>
        <v>-28167.001846022264</v>
      </c>
      <c r="M29" s="58">
        <f t="shared" si="20"/>
        <v>-37969.933107354096</v>
      </c>
      <c r="N29" s="58">
        <f t="shared" si="20"/>
        <v>-50242.474416514684</v>
      </c>
      <c r="O29" s="58">
        <f t="shared" si="20"/>
        <v>-57802.671134872187</v>
      </c>
      <c r="P29" s="58">
        <f t="shared" si="20"/>
        <v>0</v>
      </c>
      <c r="Q29" s="58">
        <f t="shared" si="20"/>
        <v>0</v>
      </c>
      <c r="R29" s="58">
        <f t="shared" si="20"/>
        <v>0</v>
      </c>
      <c r="S29" s="58">
        <f t="shared" si="20"/>
        <v>0</v>
      </c>
      <c r="T29" s="58">
        <f t="shared" si="20"/>
        <v>0</v>
      </c>
      <c r="U29" s="58">
        <f t="shared" si="20"/>
        <v>0</v>
      </c>
      <c r="V29" s="58">
        <f t="shared" si="20"/>
        <v>0</v>
      </c>
      <c r="W29" s="58">
        <f t="shared" si="20"/>
        <v>0</v>
      </c>
      <c r="X29" s="58">
        <f t="shared" si="20"/>
        <v>0</v>
      </c>
      <c r="Y29" s="58">
        <f t="shared" si="20"/>
        <v>0</v>
      </c>
      <c r="Z29" s="58">
        <f t="shared" si="20"/>
        <v>0</v>
      </c>
      <c r="AA29" s="58">
        <f t="shared" si="20"/>
        <v>0</v>
      </c>
      <c r="AB29" s="58">
        <f t="shared" si="20"/>
        <v>0</v>
      </c>
      <c r="AC29" s="58">
        <f t="shared" si="20"/>
        <v>0</v>
      </c>
      <c r="AD29" s="58">
        <f t="shared" si="20"/>
        <v>0</v>
      </c>
      <c r="AE29" s="58">
        <f t="shared" si="20"/>
        <v>0</v>
      </c>
      <c r="AF29" s="58">
        <f t="shared" si="20"/>
        <v>0</v>
      </c>
      <c r="AG29" s="58">
        <f t="shared" si="20"/>
        <v>0</v>
      </c>
      <c r="AH29" s="58">
        <f t="shared" si="20"/>
        <v>0</v>
      </c>
      <c r="AI29" s="58">
        <f t="shared" si="20"/>
        <v>0</v>
      </c>
      <c r="AJ29" s="58">
        <f t="shared" si="20"/>
        <v>3948.3975652349991</v>
      </c>
      <c r="AK29" s="58">
        <f t="shared" si="20"/>
        <v>2247.7421176789935</v>
      </c>
      <c r="AL29" s="58">
        <f t="shared" si="20"/>
        <v>2247.7421176789935</v>
      </c>
      <c r="AM29" s="58">
        <f t="shared" si="20"/>
        <v>2247.7421176789935</v>
      </c>
      <c r="AN29" s="58">
        <f t="shared" si="20"/>
        <v>2247.7421176789935</v>
      </c>
      <c r="AO29" s="58">
        <f t="shared" si="20"/>
        <v>2247.7421176789935</v>
      </c>
      <c r="AP29" s="58">
        <f t="shared" si="20"/>
        <v>2311.3074140863655</v>
      </c>
      <c r="AQ29" s="58">
        <f t="shared" si="20"/>
        <v>2311.3074140863655</v>
      </c>
      <c r="AR29" s="58">
        <f t="shared" si="20"/>
        <v>2311.3074140863655</v>
      </c>
      <c r="AS29" s="58">
        <f t="shared" si="20"/>
        <v>2311.3074140863655</v>
      </c>
      <c r="AT29" s="58">
        <f t="shared" si="20"/>
        <v>2311.3074140863655</v>
      </c>
      <c r="AU29" s="58">
        <f t="shared" si="20"/>
        <v>2311.3074140863655</v>
      </c>
      <c r="AV29" s="58">
        <f t="shared" si="20"/>
        <v>2311.3074140863655</v>
      </c>
      <c r="AW29" s="58">
        <f t="shared" si="20"/>
        <v>2311.3074140863655</v>
      </c>
      <c r="AX29" s="58">
        <f t="shared" si="20"/>
        <v>2311.3074140863655</v>
      </c>
      <c r="AY29" s="58">
        <f t="shared" si="20"/>
        <v>2311.3074140863655</v>
      </c>
      <c r="AZ29" s="58">
        <f t="shared" si="20"/>
        <v>2311.3074140863655</v>
      </c>
      <c r="BA29" s="58">
        <f t="shared" si="20"/>
        <v>2311.3074140863655</v>
      </c>
      <c r="BB29" s="58">
        <f t="shared" si="20"/>
        <v>2548.9355284502403</v>
      </c>
      <c r="BC29" s="58">
        <f t="shared" si="20"/>
        <v>2548.9355284502403</v>
      </c>
      <c r="BD29" s="58">
        <f t="shared" si="20"/>
        <v>2548.9355284502403</v>
      </c>
      <c r="BE29" s="58">
        <f t="shared" si="20"/>
        <v>2548.9355284502403</v>
      </c>
      <c r="BF29" s="58">
        <f t="shared" si="20"/>
        <v>2548.9355284502403</v>
      </c>
      <c r="BG29" s="58">
        <f t="shared" si="20"/>
        <v>2548.9355284502403</v>
      </c>
      <c r="BH29" s="58">
        <f t="shared" si="20"/>
        <v>2548.9355284502403</v>
      </c>
      <c r="BI29" s="58">
        <f t="shared" si="20"/>
        <v>1459.3281966277814</v>
      </c>
      <c r="BJ29" s="58">
        <f t="shared" si="20"/>
        <v>1459.3281966277814</v>
      </c>
      <c r="BK29" s="58">
        <f t="shared" si="20"/>
        <v>1459.3281966277814</v>
      </c>
      <c r="BL29" s="58">
        <f t="shared" si="20"/>
        <v>1459.3281966277814</v>
      </c>
      <c r="BM29" s="58">
        <f t="shared" si="20"/>
        <v>1459.3281966277814</v>
      </c>
      <c r="BN29" s="58">
        <f t="shared" si="20"/>
        <v>1705.3940726528658</v>
      </c>
      <c r="BO29" s="58">
        <f t="shared" si="20"/>
        <v>1705.3940726528658</v>
      </c>
      <c r="BP29" s="58">
        <f t="shared" si="20"/>
        <v>1705.3940726528658</v>
      </c>
      <c r="BQ29" s="58">
        <f t="shared" si="20"/>
        <v>1705.3940726528658</v>
      </c>
      <c r="BR29" s="58">
        <f t="shared" si="20"/>
        <v>1705.3940726528658</v>
      </c>
      <c r="BS29" s="58">
        <f t="shared" ref="BS29:DV29" si="21">-BS27+BS26</f>
        <v>1705.3940726528658</v>
      </c>
      <c r="BT29" s="58">
        <f t="shared" si="21"/>
        <v>1705.3940726528658</v>
      </c>
      <c r="BU29" s="58">
        <f t="shared" si="21"/>
        <v>1705.3940726528658</v>
      </c>
      <c r="BV29" s="58">
        <f t="shared" si="21"/>
        <v>1705.3940726528658</v>
      </c>
      <c r="BW29" s="58">
        <f t="shared" si="21"/>
        <v>1705.3940726528658</v>
      </c>
      <c r="BX29" s="58">
        <f t="shared" si="21"/>
        <v>1705.3940726528658</v>
      </c>
      <c r="BY29" s="58">
        <f t="shared" si="21"/>
        <v>1705.3940726528658</v>
      </c>
      <c r="BZ29" s="58">
        <f t="shared" si="21"/>
        <v>1960.177021553598</v>
      </c>
      <c r="CA29" s="58">
        <f t="shared" si="21"/>
        <v>1960.177021553598</v>
      </c>
      <c r="CB29" s="58">
        <f t="shared" si="21"/>
        <v>1960.177021553598</v>
      </c>
      <c r="CC29" s="58">
        <f t="shared" si="21"/>
        <v>1960.177021553598</v>
      </c>
      <c r="CD29" s="58">
        <f t="shared" si="21"/>
        <v>1960.177021553598</v>
      </c>
      <c r="CE29" s="58">
        <f t="shared" si="21"/>
        <v>1960.177021553598</v>
      </c>
      <c r="CF29" s="58">
        <f t="shared" si="21"/>
        <v>1960.177021553598</v>
      </c>
      <c r="CG29" s="58">
        <f t="shared" si="21"/>
        <v>1960.177021553598</v>
      </c>
      <c r="CH29" s="58">
        <f t="shared" si="21"/>
        <v>1960.177021553598</v>
      </c>
      <c r="CI29" s="58">
        <f t="shared" si="21"/>
        <v>1960.177021553598</v>
      </c>
      <c r="CJ29" s="58">
        <f t="shared" si="21"/>
        <v>1960.177021553598</v>
      </c>
      <c r="CK29" s="58">
        <f t="shared" si="21"/>
        <v>1960.177021553598</v>
      </c>
      <c r="CL29" s="58">
        <f t="shared" si="21"/>
        <v>2223.9652574481515</v>
      </c>
      <c r="CM29" s="58">
        <f t="shared" si="21"/>
        <v>2223.9652574481515</v>
      </c>
      <c r="CN29" s="58">
        <f t="shared" si="21"/>
        <v>2223.9652574481515</v>
      </c>
      <c r="CO29" s="58">
        <f t="shared" si="21"/>
        <v>2223.9652574481515</v>
      </c>
      <c r="CP29" s="58">
        <f t="shared" si="21"/>
        <v>2223.9652574481515</v>
      </c>
      <c r="CQ29" s="58">
        <f t="shared" si="21"/>
        <v>2223.9652574481515</v>
      </c>
      <c r="CR29" s="58">
        <f t="shared" si="21"/>
        <v>2223.9652574481515</v>
      </c>
      <c r="CS29" s="58">
        <f t="shared" si="21"/>
        <v>2223.9652574481515</v>
      </c>
      <c r="CT29" s="58">
        <f t="shared" si="21"/>
        <v>2223.9652574481515</v>
      </c>
      <c r="CU29" s="58">
        <f t="shared" si="21"/>
        <v>2223.9652574481515</v>
      </c>
      <c r="CV29" s="58">
        <f t="shared" si="21"/>
        <v>2223.9652574481515</v>
      </c>
      <c r="CW29" s="58">
        <f t="shared" si="21"/>
        <v>2223.9652574481515</v>
      </c>
      <c r="CX29" s="58">
        <f t="shared" si="21"/>
        <v>2497.0561749168673</v>
      </c>
      <c r="CY29" s="58">
        <f t="shared" si="21"/>
        <v>2497.0561749168673</v>
      </c>
      <c r="CZ29" s="58">
        <f t="shared" si="21"/>
        <v>2497.0561749168673</v>
      </c>
      <c r="DA29" s="58">
        <f t="shared" si="21"/>
        <v>2497.0561749168673</v>
      </c>
      <c r="DB29" s="58">
        <f t="shared" si="21"/>
        <v>2497.0561749168673</v>
      </c>
      <c r="DC29" s="58">
        <f t="shared" si="21"/>
        <v>2497.0561749168673</v>
      </c>
      <c r="DD29" s="58">
        <f t="shared" si="21"/>
        <v>2497.0561749168673</v>
      </c>
      <c r="DE29" s="58">
        <f t="shared" si="21"/>
        <v>2497.0561749168673</v>
      </c>
      <c r="DF29" s="58">
        <f t="shared" si="21"/>
        <v>2497.0561749168673</v>
      </c>
      <c r="DG29" s="58">
        <f t="shared" si="21"/>
        <v>2497.0561749168673</v>
      </c>
      <c r="DH29" s="58">
        <f t="shared" si="21"/>
        <v>2497.0561749168673</v>
      </c>
      <c r="DI29" s="58">
        <f t="shared" si="21"/>
        <v>2497.0561749168673</v>
      </c>
      <c r="DJ29" s="58">
        <f t="shared" si="21"/>
        <v>2779.7566350969314</v>
      </c>
      <c r="DK29" s="58">
        <f t="shared" si="21"/>
        <v>2779.7566350969314</v>
      </c>
      <c r="DL29" s="58">
        <f t="shared" si="21"/>
        <v>2779.7566350969314</v>
      </c>
      <c r="DM29" s="58">
        <f t="shared" si="21"/>
        <v>2779.7566350969314</v>
      </c>
      <c r="DN29" s="58">
        <f t="shared" si="21"/>
        <v>2779.7566350969314</v>
      </c>
      <c r="DO29" s="58">
        <f t="shared" si="21"/>
        <v>2779.7566350969314</v>
      </c>
      <c r="DP29" s="58">
        <f t="shared" si="21"/>
        <v>2779.7566350969314</v>
      </c>
      <c r="DQ29" s="58">
        <f t="shared" si="21"/>
        <v>2779.7566350969314</v>
      </c>
      <c r="DR29" s="58">
        <f t="shared" si="21"/>
        <v>2779.7566350969314</v>
      </c>
      <c r="DS29" s="58">
        <f t="shared" si="21"/>
        <v>2779.7566350969314</v>
      </c>
      <c r="DT29" s="58">
        <f t="shared" si="21"/>
        <v>2779.7566350969314</v>
      </c>
      <c r="DU29" s="58">
        <f t="shared" si="21"/>
        <v>2779.7566350969314</v>
      </c>
      <c r="DV29" s="58">
        <f t="shared" si="21"/>
        <v>1818997.7985548801</v>
      </c>
    </row>
    <row r="30" spans="2:130" x14ac:dyDescent="0.3">
      <c r="B30" s="13" t="s">
        <v>44</v>
      </c>
      <c r="D30" s="60">
        <f>SUMIF(F29:DV29,"&gt;0")/-SUMIF($F$29:$DV$29,"&lt;0")</f>
        <v>5.0526876893448733</v>
      </c>
      <c r="E30" s="49"/>
      <c r="F30" s="41"/>
      <c r="G30" s="52"/>
      <c r="H30" s="53"/>
      <c r="I30" s="53"/>
    </row>
    <row r="31" spans="2:130" ht="15.6" x14ac:dyDescent="0.3">
      <c r="B31" s="79" t="s">
        <v>50</v>
      </c>
      <c r="C31" s="89"/>
      <c r="D31" s="88" t="s">
        <v>55</v>
      </c>
      <c r="E31" s="88" t="s">
        <v>36</v>
      </c>
      <c r="F31" s="83">
        <v>0</v>
      </c>
      <c r="G31" s="83">
        <f>F31+1</f>
        <v>1</v>
      </c>
      <c r="H31" s="83">
        <f t="shared" ref="H31:BS31" si="22">G31+1</f>
        <v>2</v>
      </c>
      <c r="I31" s="83">
        <f t="shared" si="22"/>
        <v>3</v>
      </c>
      <c r="J31" s="83">
        <f t="shared" si="22"/>
        <v>4</v>
      </c>
      <c r="K31" s="83">
        <f t="shared" si="22"/>
        <v>5</v>
      </c>
      <c r="L31" s="83">
        <f t="shared" si="22"/>
        <v>6</v>
      </c>
      <c r="M31" s="83">
        <f t="shared" si="22"/>
        <v>7</v>
      </c>
      <c r="N31" s="83">
        <f t="shared" si="22"/>
        <v>8</v>
      </c>
      <c r="O31" s="83">
        <f t="shared" si="22"/>
        <v>9</v>
      </c>
      <c r="P31" s="83">
        <f t="shared" si="22"/>
        <v>10</v>
      </c>
      <c r="Q31" s="83">
        <f t="shared" si="22"/>
        <v>11</v>
      </c>
      <c r="R31" s="83">
        <f t="shared" si="22"/>
        <v>12</v>
      </c>
      <c r="S31" s="83">
        <f t="shared" si="22"/>
        <v>13</v>
      </c>
      <c r="T31" s="83">
        <f t="shared" si="22"/>
        <v>14</v>
      </c>
      <c r="U31" s="83">
        <f t="shared" si="22"/>
        <v>15</v>
      </c>
      <c r="V31" s="83">
        <f t="shared" si="22"/>
        <v>16</v>
      </c>
      <c r="W31" s="83">
        <f t="shared" si="22"/>
        <v>17</v>
      </c>
      <c r="X31" s="83">
        <f t="shared" si="22"/>
        <v>18</v>
      </c>
      <c r="Y31" s="83">
        <f t="shared" si="22"/>
        <v>19</v>
      </c>
      <c r="Z31" s="83">
        <f t="shared" si="22"/>
        <v>20</v>
      </c>
      <c r="AA31" s="83">
        <f t="shared" si="22"/>
        <v>21</v>
      </c>
      <c r="AB31" s="83">
        <f t="shared" si="22"/>
        <v>22</v>
      </c>
      <c r="AC31" s="83">
        <f t="shared" si="22"/>
        <v>23</v>
      </c>
      <c r="AD31" s="83">
        <f t="shared" si="22"/>
        <v>24</v>
      </c>
      <c r="AE31" s="83">
        <f t="shared" si="22"/>
        <v>25</v>
      </c>
      <c r="AF31" s="83">
        <f t="shared" si="22"/>
        <v>26</v>
      </c>
      <c r="AG31" s="83">
        <f t="shared" si="22"/>
        <v>27</v>
      </c>
      <c r="AH31" s="83">
        <f t="shared" si="22"/>
        <v>28</v>
      </c>
      <c r="AI31" s="83">
        <f t="shared" si="22"/>
        <v>29</v>
      </c>
      <c r="AJ31" s="83">
        <f t="shared" si="22"/>
        <v>30</v>
      </c>
      <c r="AK31" s="83">
        <f t="shared" si="22"/>
        <v>31</v>
      </c>
      <c r="AL31" s="83">
        <f t="shared" si="22"/>
        <v>32</v>
      </c>
      <c r="AM31" s="83">
        <f t="shared" si="22"/>
        <v>33</v>
      </c>
      <c r="AN31" s="83">
        <f t="shared" si="22"/>
        <v>34</v>
      </c>
      <c r="AO31" s="83">
        <f t="shared" si="22"/>
        <v>35</v>
      </c>
      <c r="AP31" s="83">
        <f t="shared" si="22"/>
        <v>36</v>
      </c>
      <c r="AQ31" s="83">
        <f t="shared" si="22"/>
        <v>37</v>
      </c>
      <c r="AR31" s="83">
        <f t="shared" si="22"/>
        <v>38</v>
      </c>
      <c r="AS31" s="83">
        <f t="shared" si="22"/>
        <v>39</v>
      </c>
      <c r="AT31" s="83">
        <f t="shared" si="22"/>
        <v>40</v>
      </c>
      <c r="AU31" s="83">
        <f t="shared" si="22"/>
        <v>41</v>
      </c>
      <c r="AV31" s="83">
        <f t="shared" si="22"/>
        <v>42</v>
      </c>
      <c r="AW31" s="83">
        <f t="shared" si="22"/>
        <v>43</v>
      </c>
      <c r="AX31" s="83">
        <f t="shared" si="22"/>
        <v>44</v>
      </c>
      <c r="AY31" s="83">
        <f t="shared" si="22"/>
        <v>45</v>
      </c>
      <c r="AZ31" s="83">
        <f t="shared" si="22"/>
        <v>46</v>
      </c>
      <c r="BA31" s="83">
        <f t="shared" si="22"/>
        <v>47</v>
      </c>
      <c r="BB31" s="83">
        <f t="shared" si="22"/>
        <v>48</v>
      </c>
      <c r="BC31" s="83">
        <f t="shared" si="22"/>
        <v>49</v>
      </c>
      <c r="BD31" s="83">
        <f t="shared" si="22"/>
        <v>50</v>
      </c>
      <c r="BE31" s="83">
        <f t="shared" si="22"/>
        <v>51</v>
      </c>
      <c r="BF31" s="83">
        <f t="shared" si="22"/>
        <v>52</v>
      </c>
      <c r="BG31" s="83">
        <f t="shared" si="22"/>
        <v>53</v>
      </c>
      <c r="BH31" s="83">
        <f t="shared" si="22"/>
        <v>54</v>
      </c>
      <c r="BI31" s="83">
        <f t="shared" si="22"/>
        <v>55</v>
      </c>
      <c r="BJ31" s="83">
        <f t="shared" si="22"/>
        <v>56</v>
      </c>
      <c r="BK31" s="83">
        <f t="shared" si="22"/>
        <v>57</v>
      </c>
      <c r="BL31" s="83">
        <f t="shared" si="22"/>
        <v>58</v>
      </c>
      <c r="BM31" s="83">
        <f t="shared" si="22"/>
        <v>59</v>
      </c>
      <c r="BN31" s="83">
        <f t="shared" si="22"/>
        <v>60</v>
      </c>
      <c r="BO31" s="83">
        <f t="shared" si="22"/>
        <v>61</v>
      </c>
      <c r="BP31" s="83">
        <f t="shared" si="22"/>
        <v>62</v>
      </c>
      <c r="BQ31" s="83">
        <f t="shared" si="22"/>
        <v>63</v>
      </c>
      <c r="BR31" s="83">
        <f t="shared" si="22"/>
        <v>64</v>
      </c>
      <c r="BS31" s="83">
        <f t="shared" si="22"/>
        <v>65</v>
      </c>
      <c r="BT31" s="83">
        <f t="shared" ref="BT31:DV31" si="23">BS31+1</f>
        <v>66</v>
      </c>
      <c r="BU31" s="83">
        <f t="shared" si="23"/>
        <v>67</v>
      </c>
      <c r="BV31" s="83">
        <f t="shared" si="23"/>
        <v>68</v>
      </c>
      <c r="BW31" s="83">
        <f t="shared" si="23"/>
        <v>69</v>
      </c>
      <c r="BX31" s="83">
        <f t="shared" si="23"/>
        <v>70</v>
      </c>
      <c r="BY31" s="83">
        <f t="shared" si="23"/>
        <v>71</v>
      </c>
      <c r="BZ31" s="83">
        <f t="shared" si="23"/>
        <v>72</v>
      </c>
      <c r="CA31" s="83">
        <f t="shared" si="23"/>
        <v>73</v>
      </c>
      <c r="CB31" s="83">
        <f t="shared" si="23"/>
        <v>74</v>
      </c>
      <c r="CC31" s="83">
        <f t="shared" si="23"/>
        <v>75</v>
      </c>
      <c r="CD31" s="83">
        <f t="shared" si="23"/>
        <v>76</v>
      </c>
      <c r="CE31" s="83">
        <f t="shared" si="23"/>
        <v>77</v>
      </c>
      <c r="CF31" s="83">
        <f t="shared" si="23"/>
        <v>78</v>
      </c>
      <c r="CG31" s="83">
        <f t="shared" si="23"/>
        <v>79</v>
      </c>
      <c r="CH31" s="83">
        <f t="shared" si="23"/>
        <v>80</v>
      </c>
      <c r="CI31" s="83">
        <f t="shared" si="23"/>
        <v>81</v>
      </c>
      <c r="CJ31" s="83">
        <f t="shared" si="23"/>
        <v>82</v>
      </c>
      <c r="CK31" s="83">
        <f t="shared" si="23"/>
        <v>83</v>
      </c>
      <c r="CL31" s="83">
        <f t="shared" si="23"/>
        <v>84</v>
      </c>
      <c r="CM31" s="83">
        <f t="shared" si="23"/>
        <v>85</v>
      </c>
      <c r="CN31" s="83">
        <f t="shared" si="23"/>
        <v>86</v>
      </c>
      <c r="CO31" s="83">
        <f t="shared" si="23"/>
        <v>87</v>
      </c>
      <c r="CP31" s="83">
        <f t="shared" si="23"/>
        <v>88</v>
      </c>
      <c r="CQ31" s="83">
        <f t="shared" si="23"/>
        <v>89</v>
      </c>
      <c r="CR31" s="83">
        <f t="shared" si="23"/>
        <v>90</v>
      </c>
      <c r="CS31" s="83">
        <f t="shared" si="23"/>
        <v>91</v>
      </c>
      <c r="CT31" s="83">
        <f t="shared" si="23"/>
        <v>92</v>
      </c>
      <c r="CU31" s="83">
        <f t="shared" si="23"/>
        <v>93</v>
      </c>
      <c r="CV31" s="83">
        <f t="shared" si="23"/>
        <v>94</v>
      </c>
      <c r="CW31" s="83">
        <f t="shared" si="23"/>
        <v>95</v>
      </c>
      <c r="CX31" s="83">
        <f t="shared" si="23"/>
        <v>96</v>
      </c>
      <c r="CY31" s="83">
        <f t="shared" si="23"/>
        <v>97</v>
      </c>
      <c r="CZ31" s="83">
        <f t="shared" si="23"/>
        <v>98</v>
      </c>
      <c r="DA31" s="83">
        <f t="shared" si="23"/>
        <v>99</v>
      </c>
      <c r="DB31" s="83">
        <f t="shared" si="23"/>
        <v>100</v>
      </c>
      <c r="DC31" s="83">
        <f t="shared" si="23"/>
        <v>101</v>
      </c>
      <c r="DD31" s="83">
        <f t="shared" si="23"/>
        <v>102</v>
      </c>
      <c r="DE31" s="83">
        <f t="shared" si="23"/>
        <v>103</v>
      </c>
      <c r="DF31" s="83">
        <f t="shared" si="23"/>
        <v>104</v>
      </c>
      <c r="DG31" s="83">
        <f t="shared" si="23"/>
        <v>105</v>
      </c>
      <c r="DH31" s="83">
        <f t="shared" si="23"/>
        <v>106</v>
      </c>
      <c r="DI31" s="83">
        <f t="shared" si="23"/>
        <v>107</v>
      </c>
      <c r="DJ31" s="83">
        <f t="shared" si="23"/>
        <v>108</v>
      </c>
      <c r="DK31" s="83">
        <f t="shared" si="23"/>
        <v>109</v>
      </c>
      <c r="DL31" s="83">
        <f t="shared" si="23"/>
        <v>110</v>
      </c>
      <c r="DM31" s="83">
        <f t="shared" si="23"/>
        <v>111</v>
      </c>
      <c r="DN31" s="83">
        <f t="shared" si="23"/>
        <v>112</v>
      </c>
      <c r="DO31" s="83">
        <f t="shared" si="23"/>
        <v>113</v>
      </c>
      <c r="DP31" s="83">
        <f t="shared" si="23"/>
        <v>114</v>
      </c>
      <c r="DQ31" s="83">
        <f t="shared" si="23"/>
        <v>115</v>
      </c>
      <c r="DR31" s="83">
        <f t="shared" si="23"/>
        <v>116</v>
      </c>
      <c r="DS31" s="83">
        <f t="shared" si="23"/>
        <v>117</v>
      </c>
      <c r="DT31" s="83">
        <f t="shared" si="23"/>
        <v>118</v>
      </c>
      <c r="DU31" s="83">
        <f t="shared" si="23"/>
        <v>119</v>
      </c>
      <c r="DV31" s="83">
        <f t="shared" si="23"/>
        <v>120</v>
      </c>
      <c r="DW31" s="7"/>
      <c r="DX31" s="7"/>
      <c r="DY31" s="7"/>
      <c r="DZ31" s="7"/>
    </row>
    <row r="32" spans="2:130" x14ac:dyDescent="0.3">
      <c r="B32" s="16" t="s">
        <v>47</v>
      </c>
      <c r="C32" s="90"/>
      <c r="D32" s="8"/>
      <c r="E32" s="18"/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0</v>
      </c>
      <c r="AJ32" s="72">
        <v>0</v>
      </c>
      <c r="AK32" s="72">
        <v>0</v>
      </c>
      <c r="AL32" s="72">
        <v>0</v>
      </c>
      <c r="AM32" s="72">
        <v>0</v>
      </c>
      <c r="AN32" s="72">
        <v>0</v>
      </c>
      <c r="AO32" s="72">
        <v>0</v>
      </c>
      <c r="AP32" s="72">
        <v>0</v>
      </c>
      <c r="AQ32" s="72">
        <v>0</v>
      </c>
      <c r="AR32" s="72">
        <v>0</v>
      </c>
      <c r="AS32" s="72">
        <v>0</v>
      </c>
      <c r="AT32" s="72">
        <v>0</v>
      </c>
      <c r="AU32" s="72">
        <v>0</v>
      </c>
      <c r="AV32" s="72">
        <v>0</v>
      </c>
      <c r="AW32" s="72">
        <v>0</v>
      </c>
      <c r="AX32" s="72">
        <v>0</v>
      </c>
      <c r="AY32" s="72">
        <v>0</v>
      </c>
      <c r="AZ32" s="72">
        <v>0</v>
      </c>
      <c r="BA32" s="72">
        <v>0</v>
      </c>
      <c r="BB32" s="72">
        <v>0</v>
      </c>
      <c r="BC32" s="72">
        <v>0</v>
      </c>
      <c r="BD32" s="72">
        <v>0</v>
      </c>
      <c r="BE32" s="72">
        <v>0</v>
      </c>
      <c r="BF32" s="72">
        <v>0</v>
      </c>
      <c r="BG32" s="72">
        <v>0</v>
      </c>
      <c r="BH32" s="72">
        <v>0</v>
      </c>
      <c r="BI32" s="72">
        <v>0</v>
      </c>
      <c r="BJ32" s="72">
        <v>0</v>
      </c>
      <c r="BK32" s="72">
        <v>0</v>
      </c>
      <c r="BL32" s="72">
        <v>0</v>
      </c>
      <c r="BM32" s="72">
        <v>0</v>
      </c>
      <c r="BN32" s="72">
        <v>0</v>
      </c>
      <c r="BO32" s="72">
        <v>0</v>
      </c>
      <c r="BP32" s="72">
        <v>0</v>
      </c>
      <c r="BQ32" s="72">
        <v>0</v>
      </c>
      <c r="BR32" s="72">
        <v>0</v>
      </c>
      <c r="BS32" s="72">
        <v>0</v>
      </c>
      <c r="BT32" s="72">
        <v>0</v>
      </c>
      <c r="BU32" s="72">
        <v>0</v>
      </c>
      <c r="BV32" s="72">
        <v>0</v>
      </c>
      <c r="BW32" s="72">
        <v>0</v>
      </c>
      <c r="BX32" s="72">
        <v>0</v>
      </c>
      <c r="BY32" s="72">
        <v>0</v>
      </c>
      <c r="BZ32" s="72">
        <v>0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  <c r="DC32" s="72">
        <v>0</v>
      </c>
      <c r="DD32" s="72">
        <v>0</v>
      </c>
      <c r="DE32" s="72">
        <v>0</v>
      </c>
      <c r="DF32" s="72">
        <v>0</v>
      </c>
      <c r="DG32" s="72">
        <v>0</v>
      </c>
      <c r="DH32" s="72">
        <v>0</v>
      </c>
      <c r="DI32" s="72">
        <v>0</v>
      </c>
      <c r="DJ32" s="72">
        <v>0</v>
      </c>
      <c r="DK32" s="72">
        <v>0</v>
      </c>
      <c r="DL32" s="72">
        <v>0</v>
      </c>
      <c r="DM32" s="72">
        <v>0</v>
      </c>
      <c r="DN32" s="72">
        <v>0</v>
      </c>
      <c r="DO32" s="72">
        <v>0</v>
      </c>
      <c r="DP32" s="72">
        <v>0</v>
      </c>
      <c r="DQ32" s="72">
        <v>0</v>
      </c>
      <c r="DR32" s="72">
        <v>0</v>
      </c>
      <c r="DS32" s="72">
        <v>0</v>
      </c>
      <c r="DT32" s="72">
        <v>0</v>
      </c>
      <c r="DU32" s="72">
        <v>0</v>
      </c>
      <c r="DV32" s="72">
        <v>0</v>
      </c>
      <c r="DW32" s="7"/>
      <c r="DX32" s="7"/>
      <c r="DY32" s="7"/>
      <c r="DZ32" s="7"/>
    </row>
    <row r="33" spans="2:130" x14ac:dyDescent="0.3">
      <c r="B33" s="16" t="s">
        <v>16</v>
      </c>
      <c r="E33" s="4"/>
      <c r="F33" s="66">
        <f>'Property-Level Cash Flow'!D11</f>
        <v>-1914790.7714435607</v>
      </c>
      <c r="G33" s="66">
        <f>'Property-Level Cash Flow'!E11</f>
        <v>-9600.4766748483908</v>
      </c>
      <c r="H33" s="66">
        <f>'Property-Level Cash Flow'!F11</f>
        <v>-22344.153737569322</v>
      </c>
      <c r="I33" s="66">
        <f>'Property-Level Cash Flow'!G11</f>
        <v>-47790.625890841024</v>
      </c>
      <c r="J33" s="66">
        <f>'Property-Level Cash Flow'!H11</f>
        <v>-93935.734295262373</v>
      </c>
      <c r="K33" s="66">
        <f>'Property-Level Cash Flow'!I11</f>
        <v>-169679.63037970162</v>
      </c>
      <c r="L33" s="66">
        <f>'Property-Level Cash Flow'!J11</f>
        <v>-281670.01846022281</v>
      </c>
      <c r="M33" s="66">
        <f>'Property-Level Cash Flow'!K11</f>
        <v>-379699.33107354102</v>
      </c>
      <c r="N33" s="66">
        <f>'Property-Level Cash Flow'!L11</f>
        <v>-502424.74416514701</v>
      </c>
      <c r="O33" s="66">
        <f>'Property-Level Cash Flow'!M11</f>
        <v>-578026.71134872199</v>
      </c>
      <c r="P33" s="66">
        <f>'Property-Level Cash Flow'!N11</f>
        <v>0</v>
      </c>
      <c r="Q33" s="66">
        <f>'Property-Level Cash Flow'!O11</f>
        <v>0</v>
      </c>
      <c r="R33" s="66">
        <f>'Property-Level Cash Flow'!P11</f>
        <v>0</v>
      </c>
      <c r="S33" s="66">
        <f>'Property-Level Cash Flow'!Q11</f>
        <v>0</v>
      </c>
      <c r="T33" s="66">
        <f>'Property-Level Cash Flow'!R11</f>
        <v>0</v>
      </c>
      <c r="U33" s="66">
        <f>'Property-Level Cash Flow'!S11</f>
        <v>0</v>
      </c>
      <c r="V33" s="66">
        <f>'Property-Level Cash Flow'!T11</f>
        <v>0</v>
      </c>
      <c r="W33" s="66">
        <f>'Property-Level Cash Flow'!U11</f>
        <v>0</v>
      </c>
      <c r="X33" s="66">
        <f>'Property-Level Cash Flow'!V11</f>
        <v>0</v>
      </c>
      <c r="Y33" s="66">
        <f>'Property-Level Cash Flow'!W11</f>
        <v>0</v>
      </c>
      <c r="Z33" s="66">
        <f>'Property-Level Cash Flow'!X11</f>
        <v>0</v>
      </c>
      <c r="AA33" s="66">
        <f>'Property-Level Cash Flow'!Y11</f>
        <v>0</v>
      </c>
      <c r="AB33" s="66">
        <f>'Property-Level Cash Flow'!Z11</f>
        <v>0</v>
      </c>
      <c r="AC33" s="66">
        <f>'Property-Level Cash Flow'!AA11</f>
        <v>0</v>
      </c>
      <c r="AD33" s="66">
        <f>'Property-Level Cash Flow'!AB11</f>
        <v>0</v>
      </c>
      <c r="AE33" s="66">
        <f>'Property-Level Cash Flow'!AC11</f>
        <v>0</v>
      </c>
      <c r="AF33" s="66">
        <f>'Property-Level Cash Flow'!AD11</f>
        <v>0</v>
      </c>
      <c r="AG33" s="66">
        <f>'Property-Level Cash Flow'!AE11</f>
        <v>0</v>
      </c>
      <c r="AH33" s="66">
        <f>'Property-Level Cash Flow'!AF11</f>
        <v>0</v>
      </c>
      <c r="AI33" s="66">
        <f>'Property-Level Cash Flow'!AG11</f>
        <v>0</v>
      </c>
      <c r="AJ33" s="66">
        <f>'Property-Level Cash Flow'!AH11</f>
        <v>39483.975652349989</v>
      </c>
      <c r="AK33" s="66">
        <f>'Property-Level Cash Flow'!AI11</f>
        <v>22477.421176789932</v>
      </c>
      <c r="AL33" s="66">
        <f>'Property-Level Cash Flow'!AJ11</f>
        <v>22477.421176789932</v>
      </c>
      <c r="AM33" s="66">
        <f>'Property-Level Cash Flow'!AK11</f>
        <v>22477.421176789932</v>
      </c>
      <c r="AN33" s="66">
        <f>'Property-Level Cash Flow'!AL11</f>
        <v>22477.421176789932</v>
      </c>
      <c r="AO33" s="66">
        <f>'Property-Level Cash Flow'!AM11</f>
        <v>22477.421176789932</v>
      </c>
      <c r="AP33" s="66">
        <f>'Property-Level Cash Flow'!AN11</f>
        <v>23113.074140863653</v>
      </c>
      <c r="AQ33" s="66">
        <f>'Property-Level Cash Flow'!AO11</f>
        <v>23113.074140863653</v>
      </c>
      <c r="AR33" s="66">
        <f>'Property-Level Cash Flow'!AP11</f>
        <v>23113.074140863653</v>
      </c>
      <c r="AS33" s="66">
        <f>'Property-Level Cash Flow'!AQ11</f>
        <v>23113.074140863653</v>
      </c>
      <c r="AT33" s="66">
        <f>'Property-Level Cash Flow'!AR11</f>
        <v>23113.074140863653</v>
      </c>
      <c r="AU33" s="66">
        <f>'Property-Level Cash Flow'!AS11</f>
        <v>23113.074140863653</v>
      </c>
      <c r="AV33" s="66">
        <f>'Property-Level Cash Flow'!AT11</f>
        <v>23113.074140863653</v>
      </c>
      <c r="AW33" s="66">
        <f>'Property-Level Cash Flow'!AU11</f>
        <v>23113.074140863653</v>
      </c>
      <c r="AX33" s="66">
        <f>'Property-Level Cash Flow'!AV11</f>
        <v>23113.074140863653</v>
      </c>
      <c r="AY33" s="66">
        <f>'Property-Level Cash Flow'!AW11</f>
        <v>23113.074140863653</v>
      </c>
      <c r="AZ33" s="66">
        <f>'Property-Level Cash Flow'!AX11</f>
        <v>23113.074140863653</v>
      </c>
      <c r="BA33" s="66">
        <f>'Property-Level Cash Flow'!AY11</f>
        <v>23113.074140863653</v>
      </c>
      <c r="BB33" s="66">
        <f>'Property-Level Cash Flow'!AZ11</f>
        <v>25489.355284502402</v>
      </c>
      <c r="BC33" s="66">
        <f>'Property-Level Cash Flow'!BA11</f>
        <v>25489.355284502402</v>
      </c>
      <c r="BD33" s="66">
        <f>'Property-Level Cash Flow'!BB11</f>
        <v>25489.355284502402</v>
      </c>
      <c r="BE33" s="66">
        <f>'Property-Level Cash Flow'!BC11</f>
        <v>25489.355284502402</v>
      </c>
      <c r="BF33" s="66">
        <f>'Property-Level Cash Flow'!BD11</f>
        <v>25489.355284502402</v>
      </c>
      <c r="BG33" s="66">
        <f>'Property-Level Cash Flow'!BE11</f>
        <v>25489.355284502402</v>
      </c>
      <c r="BH33" s="66">
        <f>'Property-Level Cash Flow'!BF11</f>
        <v>25489.355284502402</v>
      </c>
      <c r="BI33" s="66">
        <f>'Property-Level Cash Flow'!BG11</f>
        <v>14593.281966277813</v>
      </c>
      <c r="BJ33" s="66">
        <f>'Property-Level Cash Flow'!BH11</f>
        <v>14593.281966277813</v>
      </c>
      <c r="BK33" s="66">
        <f>'Property-Level Cash Flow'!BI11</f>
        <v>14593.281966277813</v>
      </c>
      <c r="BL33" s="66">
        <f>'Property-Level Cash Flow'!BJ11</f>
        <v>14593.281966277813</v>
      </c>
      <c r="BM33" s="66">
        <f>'Property-Level Cash Flow'!BK11</f>
        <v>14593.281966277813</v>
      </c>
      <c r="BN33" s="66">
        <f>'Property-Level Cash Flow'!BL11</f>
        <v>17053.940726528657</v>
      </c>
      <c r="BO33" s="66">
        <f>'Property-Level Cash Flow'!BM11</f>
        <v>17053.940726528657</v>
      </c>
      <c r="BP33" s="66">
        <f>'Property-Level Cash Flow'!BN11</f>
        <v>17053.940726528657</v>
      </c>
      <c r="BQ33" s="66">
        <f>'Property-Level Cash Flow'!BO11</f>
        <v>17053.940726528657</v>
      </c>
      <c r="BR33" s="66">
        <f>'Property-Level Cash Flow'!BP11</f>
        <v>17053.940726528657</v>
      </c>
      <c r="BS33" s="66">
        <f>'Property-Level Cash Flow'!BQ11</f>
        <v>17053.940726528657</v>
      </c>
      <c r="BT33" s="66">
        <f>'Property-Level Cash Flow'!BR11</f>
        <v>17053.940726528657</v>
      </c>
      <c r="BU33" s="66">
        <f>'Property-Level Cash Flow'!BS11</f>
        <v>17053.940726528657</v>
      </c>
      <c r="BV33" s="66">
        <f>'Property-Level Cash Flow'!BT11</f>
        <v>17053.940726528657</v>
      </c>
      <c r="BW33" s="66">
        <f>'Property-Level Cash Flow'!BU11</f>
        <v>17053.940726528657</v>
      </c>
      <c r="BX33" s="66">
        <f>'Property-Level Cash Flow'!BV11</f>
        <v>17053.940726528657</v>
      </c>
      <c r="BY33" s="66">
        <f>'Property-Level Cash Flow'!BW11</f>
        <v>17053.940726528657</v>
      </c>
      <c r="BZ33" s="66">
        <f>'Property-Level Cash Flow'!BX11</f>
        <v>19601.77021553598</v>
      </c>
      <c r="CA33" s="66">
        <f>'Property-Level Cash Flow'!BY11</f>
        <v>19601.77021553598</v>
      </c>
      <c r="CB33" s="66">
        <f>'Property-Level Cash Flow'!BZ11</f>
        <v>19601.77021553598</v>
      </c>
      <c r="CC33" s="66">
        <f>'Property-Level Cash Flow'!CA11</f>
        <v>19601.77021553598</v>
      </c>
      <c r="CD33" s="66">
        <f>'Property-Level Cash Flow'!CB11</f>
        <v>19601.77021553598</v>
      </c>
      <c r="CE33" s="66">
        <f>'Property-Level Cash Flow'!CC11</f>
        <v>19601.77021553598</v>
      </c>
      <c r="CF33" s="66">
        <f>'Property-Level Cash Flow'!CD11</f>
        <v>19601.77021553598</v>
      </c>
      <c r="CG33" s="66">
        <f>'Property-Level Cash Flow'!CE11</f>
        <v>19601.77021553598</v>
      </c>
      <c r="CH33" s="66">
        <f>'Property-Level Cash Flow'!CF11</f>
        <v>19601.77021553598</v>
      </c>
      <c r="CI33" s="66">
        <f>'Property-Level Cash Flow'!CG11</f>
        <v>19601.77021553598</v>
      </c>
      <c r="CJ33" s="66">
        <f>'Property-Level Cash Flow'!CH11</f>
        <v>19601.77021553598</v>
      </c>
      <c r="CK33" s="66">
        <f>'Property-Level Cash Flow'!CI11</f>
        <v>19601.77021553598</v>
      </c>
      <c r="CL33" s="66">
        <f>'Property-Level Cash Flow'!CJ11</f>
        <v>22239.652574481515</v>
      </c>
      <c r="CM33" s="66">
        <f>'Property-Level Cash Flow'!CK11</f>
        <v>22239.652574481515</v>
      </c>
      <c r="CN33" s="66">
        <f>'Property-Level Cash Flow'!CL11</f>
        <v>22239.652574481515</v>
      </c>
      <c r="CO33" s="66">
        <f>'Property-Level Cash Flow'!CM11</f>
        <v>22239.652574481515</v>
      </c>
      <c r="CP33" s="66">
        <f>'Property-Level Cash Flow'!CN11</f>
        <v>22239.652574481515</v>
      </c>
      <c r="CQ33" s="66">
        <f>'Property-Level Cash Flow'!CO11</f>
        <v>22239.652574481515</v>
      </c>
      <c r="CR33" s="66">
        <f>'Property-Level Cash Flow'!CP11</f>
        <v>22239.652574481515</v>
      </c>
      <c r="CS33" s="66">
        <f>'Property-Level Cash Flow'!CQ11</f>
        <v>22239.652574481515</v>
      </c>
      <c r="CT33" s="66">
        <f>'Property-Level Cash Flow'!CR11</f>
        <v>22239.652574481515</v>
      </c>
      <c r="CU33" s="66">
        <f>'Property-Level Cash Flow'!CS11</f>
        <v>22239.652574481515</v>
      </c>
      <c r="CV33" s="66">
        <f>'Property-Level Cash Flow'!CT11</f>
        <v>22239.652574481515</v>
      </c>
      <c r="CW33" s="66">
        <f>'Property-Level Cash Flow'!CU11</f>
        <v>22239.652574481515</v>
      </c>
      <c r="CX33" s="66">
        <f>'Property-Level Cash Flow'!CV11</f>
        <v>24970.561749168672</v>
      </c>
      <c r="CY33" s="66">
        <f>'Property-Level Cash Flow'!CW11</f>
        <v>24970.561749168672</v>
      </c>
      <c r="CZ33" s="66">
        <f>'Property-Level Cash Flow'!CX11</f>
        <v>24970.561749168672</v>
      </c>
      <c r="DA33" s="66">
        <f>'Property-Level Cash Flow'!CY11</f>
        <v>24970.561749168672</v>
      </c>
      <c r="DB33" s="66">
        <f>'Property-Level Cash Flow'!CZ11</f>
        <v>24970.561749168672</v>
      </c>
      <c r="DC33" s="66">
        <f>'Property-Level Cash Flow'!DA11</f>
        <v>24970.561749168672</v>
      </c>
      <c r="DD33" s="66">
        <f>'Property-Level Cash Flow'!DB11</f>
        <v>24970.561749168672</v>
      </c>
      <c r="DE33" s="66">
        <f>'Property-Level Cash Flow'!DC11</f>
        <v>24970.561749168672</v>
      </c>
      <c r="DF33" s="66">
        <f>'Property-Level Cash Flow'!DD11</f>
        <v>24970.561749168672</v>
      </c>
      <c r="DG33" s="66">
        <f>'Property-Level Cash Flow'!DE11</f>
        <v>24970.561749168672</v>
      </c>
      <c r="DH33" s="66">
        <f>'Property-Level Cash Flow'!DF11</f>
        <v>24970.561749168672</v>
      </c>
      <c r="DI33" s="66">
        <f>'Property-Level Cash Flow'!DG11</f>
        <v>24970.561749168672</v>
      </c>
      <c r="DJ33" s="66">
        <f>'Property-Level Cash Flow'!DH11</f>
        <v>27797.566350969311</v>
      </c>
      <c r="DK33" s="66">
        <f>'Property-Level Cash Flow'!DI11</f>
        <v>27797.566350969311</v>
      </c>
      <c r="DL33" s="66">
        <f>'Property-Level Cash Flow'!DJ11</f>
        <v>27797.566350969311</v>
      </c>
      <c r="DM33" s="66">
        <f>'Property-Level Cash Flow'!DK11</f>
        <v>27797.566350969311</v>
      </c>
      <c r="DN33" s="66">
        <f>'Property-Level Cash Flow'!DL11</f>
        <v>27797.566350969311</v>
      </c>
      <c r="DO33" s="66">
        <f>'Property-Level Cash Flow'!DM11</f>
        <v>27797.566350969311</v>
      </c>
      <c r="DP33" s="66">
        <f>'Property-Level Cash Flow'!DN11</f>
        <v>27797.566350969311</v>
      </c>
      <c r="DQ33" s="66">
        <f>'Property-Level Cash Flow'!DO11</f>
        <v>27797.566350969311</v>
      </c>
      <c r="DR33" s="66">
        <f>'Property-Level Cash Flow'!DP11</f>
        <v>27797.566350969311</v>
      </c>
      <c r="DS33" s="66">
        <f>'Property-Level Cash Flow'!DQ11</f>
        <v>27797.566350969311</v>
      </c>
      <c r="DT33" s="66">
        <f>'Property-Level Cash Flow'!DR11</f>
        <v>27797.566350969311</v>
      </c>
      <c r="DU33" s="66">
        <f>'Property-Level Cash Flow'!DS11</f>
        <v>27797.566350969311</v>
      </c>
      <c r="DV33" s="66">
        <f>'Property-Level Cash Flow'!DT11</f>
        <v>9764506.7891472988</v>
      </c>
      <c r="DW33" s="7"/>
      <c r="DX33" s="7"/>
      <c r="DY33" s="7"/>
      <c r="DZ33" s="7"/>
    </row>
    <row r="34" spans="2:130" x14ac:dyDescent="0.3">
      <c r="B34" t="s">
        <v>15</v>
      </c>
      <c r="E34" s="5"/>
      <c r="F34" s="67">
        <f>F33-F32</f>
        <v>-1914790.7714435607</v>
      </c>
      <c r="G34" s="67">
        <f t="shared" ref="G34:BR34" si="24">G33-G32</f>
        <v>-9600.4766748483908</v>
      </c>
      <c r="H34" s="67">
        <f t="shared" si="24"/>
        <v>-22344.153737569322</v>
      </c>
      <c r="I34" s="67">
        <f t="shared" si="24"/>
        <v>-47790.625890841024</v>
      </c>
      <c r="J34" s="67">
        <f t="shared" si="24"/>
        <v>-93935.734295262373</v>
      </c>
      <c r="K34" s="67">
        <f t="shared" si="24"/>
        <v>-169679.63037970162</v>
      </c>
      <c r="L34" s="67">
        <f t="shared" si="24"/>
        <v>-281670.01846022281</v>
      </c>
      <c r="M34" s="67">
        <f t="shared" si="24"/>
        <v>-379699.33107354102</v>
      </c>
      <c r="N34" s="67">
        <f t="shared" si="24"/>
        <v>-502424.74416514701</v>
      </c>
      <c r="O34" s="67">
        <f t="shared" si="24"/>
        <v>-578026.71134872199</v>
      </c>
      <c r="P34" s="67">
        <f t="shared" si="24"/>
        <v>0</v>
      </c>
      <c r="Q34" s="67">
        <f t="shared" si="24"/>
        <v>0</v>
      </c>
      <c r="R34" s="67">
        <f t="shared" si="24"/>
        <v>0</v>
      </c>
      <c r="S34" s="67">
        <f t="shared" si="24"/>
        <v>0</v>
      </c>
      <c r="T34" s="67">
        <f t="shared" si="24"/>
        <v>0</v>
      </c>
      <c r="U34" s="67">
        <f t="shared" si="24"/>
        <v>0</v>
      </c>
      <c r="V34" s="67">
        <f t="shared" si="24"/>
        <v>0</v>
      </c>
      <c r="W34" s="67">
        <f t="shared" si="24"/>
        <v>0</v>
      </c>
      <c r="X34" s="67">
        <f t="shared" si="24"/>
        <v>0</v>
      </c>
      <c r="Y34" s="67">
        <f t="shared" si="24"/>
        <v>0</v>
      </c>
      <c r="Z34" s="67">
        <f t="shared" si="24"/>
        <v>0</v>
      </c>
      <c r="AA34" s="67">
        <f t="shared" si="24"/>
        <v>0</v>
      </c>
      <c r="AB34" s="67">
        <f t="shared" si="24"/>
        <v>0</v>
      </c>
      <c r="AC34" s="67">
        <f t="shared" si="24"/>
        <v>0</v>
      </c>
      <c r="AD34" s="67">
        <f t="shared" si="24"/>
        <v>0</v>
      </c>
      <c r="AE34" s="67">
        <f t="shared" si="24"/>
        <v>0</v>
      </c>
      <c r="AF34" s="67">
        <f t="shared" si="24"/>
        <v>0</v>
      </c>
      <c r="AG34" s="67">
        <f t="shared" si="24"/>
        <v>0</v>
      </c>
      <c r="AH34" s="67">
        <f t="shared" si="24"/>
        <v>0</v>
      </c>
      <c r="AI34" s="67">
        <f t="shared" si="24"/>
        <v>0</v>
      </c>
      <c r="AJ34" s="67">
        <f t="shared" si="24"/>
        <v>39483.975652349989</v>
      </c>
      <c r="AK34" s="67">
        <f t="shared" si="24"/>
        <v>22477.421176789932</v>
      </c>
      <c r="AL34" s="67">
        <f t="shared" si="24"/>
        <v>22477.421176789932</v>
      </c>
      <c r="AM34" s="67">
        <f t="shared" si="24"/>
        <v>22477.421176789932</v>
      </c>
      <c r="AN34" s="67">
        <f t="shared" si="24"/>
        <v>22477.421176789932</v>
      </c>
      <c r="AO34" s="67">
        <f t="shared" si="24"/>
        <v>22477.421176789932</v>
      </c>
      <c r="AP34" s="67">
        <f t="shared" si="24"/>
        <v>23113.074140863653</v>
      </c>
      <c r="AQ34" s="67">
        <f t="shared" si="24"/>
        <v>23113.074140863653</v>
      </c>
      <c r="AR34" s="67">
        <f t="shared" si="24"/>
        <v>23113.074140863653</v>
      </c>
      <c r="AS34" s="67">
        <f t="shared" si="24"/>
        <v>23113.074140863653</v>
      </c>
      <c r="AT34" s="67">
        <f t="shared" si="24"/>
        <v>23113.074140863653</v>
      </c>
      <c r="AU34" s="67">
        <f t="shared" si="24"/>
        <v>23113.074140863653</v>
      </c>
      <c r="AV34" s="67">
        <f t="shared" si="24"/>
        <v>23113.074140863653</v>
      </c>
      <c r="AW34" s="67">
        <f t="shared" si="24"/>
        <v>23113.074140863653</v>
      </c>
      <c r="AX34" s="67">
        <f t="shared" si="24"/>
        <v>23113.074140863653</v>
      </c>
      <c r="AY34" s="67">
        <f t="shared" si="24"/>
        <v>23113.074140863653</v>
      </c>
      <c r="AZ34" s="67">
        <f t="shared" si="24"/>
        <v>23113.074140863653</v>
      </c>
      <c r="BA34" s="67">
        <f t="shared" si="24"/>
        <v>23113.074140863653</v>
      </c>
      <c r="BB34" s="67">
        <f t="shared" si="24"/>
        <v>25489.355284502402</v>
      </c>
      <c r="BC34" s="67">
        <f t="shared" si="24"/>
        <v>25489.355284502402</v>
      </c>
      <c r="BD34" s="67">
        <f t="shared" si="24"/>
        <v>25489.355284502402</v>
      </c>
      <c r="BE34" s="67">
        <f t="shared" si="24"/>
        <v>25489.355284502402</v>
      </c>
      <c r="BF34" s="67">
        <f t="shared" si="24"/>
        <v>25489.355284502402</v>
      </c>
      <c r="BG34" s="67">
        <f t="shared" si="24"/>
        <v>25489.355284502402</v>
      </c>
      <c r="BH34" s="67">
        <f t="shared" si="24"/>
        <v>25489.355284502402</v>
      </c>
      <c r="BI34" s="67">
        <f t="shared" si="24"/>
        <v>14593.281966277813</v>
      </c>
      <c r="BJ34" s="67">
        <f t="shared" si="24"/>
        <v>14593.281966277813</v>
      </c>
      <c r="BK34" s="67">
        <f t="shared" si="24"/>
        <v>14593.281966277813</v>
      </c>
      <c r="BL34" s="67">
        <f t="shared" si="24"/>
        <v>14593.281966277813</v>
      </c>
      <c r="BM34" s="67">
        <f t="shared" si="24"/>
        <v>14593.281966277813</v>
      </c>
      <c r="BN34" s="67">
        <f t="shared" si="24"/>
        <v>17053.940726528657</v>
      </c>
      <c r="BO34" s="67">
        <f t="shared" si="24"/>
        <v>17053.940726528657</v>
      </c>
      <c r="BP34" s="67">
        <f t="shared" si="24"/>
        <v>17053.940726528657</v>
      </c>
      <c r="BQ34" s="67">
        <f t="shared" si="24"/>
        <v>17053.940726528657</v>
      </c>
      <c r="BR34" s="67">
        <f t="shared" si="24"/>
        <v>17053.940726528657</v>
      </c>
      <c r="BS34" s="67">
        <f t="shared" ref="BS34:DV34" si="25">BS33-BS32</f>
        <v>17053.940726528657</v>
      </c>
      <c r="BT34" s="67">
        <f t="shared" si="25"/>
        <v>17053.940726528657</v>
      </c>
      <c r="BU34" s="67">
        <f t="shared" si="25"/>
        <v>17053.940726528657</v>
      </c>
      <c r="BV34" s="67">
        <f t="shared" si="25"/>
        <v>17053.940726528657</v>
      </c>
      <c r="BW34" s="67">
        <f t="shared" si="25"/>
        <v>17053.940726528657</v>
      </c>
      <c r="BX34" s="67">
        <f t="shared" si="25"/>
        <v>17053.940726528657</v>
      </c>
      <c r="BY34" s="67">
        <f t="shared" si="25"/>
        <v>17053.940726528657</v>
      </c>
      <c r="BZ34" s="67">
        <f t="shared" si="25"/>
        <v>19601.77021553598</v>
      </c>
      <c r="CA34" s="67">
        <f t="shared" si="25"/>
        <v>19601.77021553598</v>
      </c>
      <c r="CB34" s="67">
        <f t="shared" si="25"/>
        <v>19601.77021553598</v>
      </c>
      <c r="CC34" s="67">
        <f t="shared" si="25"/>
        <v>19601.77021553598</v>
      </c>
      <c r="CD34" s="67">
        <f t="shared" si="25"/>
        <v>19601.77021553598</v>
      </c>
      <c r="CE34" s="67">
        <f t="shared" si="25"/>
        <v>19601.77021553598</v>
      </c>
      <c r="CF34" s="67">
        <f t="shared" si="25"/>
        <v>19601.77021553598</v>
      </c>
      <c r="CG34" s="67">
        <f t="shared" si="25"/>
        <v>19601.77021553598</v>
      </c>
      <c r="CH34" s="67">
        <f t="shared" si="25"/>
        <v>19601.77021553598</v>
      </c>
      <c r="CI34" s="67">
        <f t="shared" si="25"/>
        <v>19601.77021553598</v>
      </c>
      <c r="CJ34" s="67">
        <f t="shared" si="25"/>
        <v>19601.77021553598</v>
      </c>
      <c r="CK34" s="67">
        <f t="shared" si="25"/>
        <v>19601.77021553598</v>
      </c>
      <c r="CL34" s="67">
        <f t="shared" si="25"/>
        <v>22239.652574481515</v>
      </c>
      <c r="CM34" s="67">
        <f t="shared" si="25"/>
        <v>22239.652574481515</v>
      </c>
      <c r="CN34" s="67">
        <f t="shared" si="25"/>
        <v>22239.652574481515</v>
      </c>
      <c r="CO34" s="67">
        <f t="shared" si="25"/>
        <v>22239.652574481515</v>
      </c>
      <c r="CP34" s="67">
        <f t="shared" si="25"/>
        <v>22239.652574481515</v>
      </c>
      <c r="CQ34" s="67">
        <f t="shared" si="25"/>
        <v>22239.652574481515</v>
      </c>
      <c r="CR34" s="67">
        <f t="shared" si="25"/>
        <v>22239.652574481515</v>
      </c>
      <c r="CS34" s="67">
        <f t="shared" si="25"/>
        <v>22239.652574481515</v>
      </c>
      <c r="CT34" s="67">
        <f t="shared" si="25"/>
        <v>22239.652574481515</v>
      </c>
      <c r="CU34" s="67">
        <f t="shared" si="25"/>
        <v>22239.652574481515</v>
      </c>
      <c r="CV34" s="67">
        <f t="shared" si="25"/>
        <v>22239.652574481515</v>
      </c>
      <c r="CW34" s="67">
        <f t="shared" si="25"/>
        <v>22239.652574481515</v>
      </c>
      <c r="CX34" s="67">
        <f t="shared" si="25"/>
        <v>24970.561749168672</v>
      </c>
      <c r="CY34" s="67">
        <f t="shared" si="25"/>
        <v>24970.561749168672</v>
      </c>
      <c r="CZ34" s="67">
        <f t="shared" si="25"/>
        <v>24970.561749168672</v>
      </c>
      <c r="DA34" s="67">
        <f t="shared" si="25"/>
        <v>24970.561749168672</v>
      </c>
      <c r="DB34" s="67">
        <f t="shared" si="25"/>
        <v>24970.561749168672</v>
      </c>
      <c r="DC34" s="67">
        <f t="shared" si="25"/>
        <v>24970.561749168672</v>
      </c>
      <c r="DD34" s="67">
        <f t="shared" si="25"/>
        <v>24970.561749168672</v>
      </c>
      <c r="DE34" s="67">
        <f t="shared" si="25"/>
        <v>24970.561749168672</v>
      </c>
      <c r="DF34" s="67">
        <f t="shared" si="25"/>
        <v>24970.561749168672</v>
      </c>
      <c r="DG34" s="67">
        <f t="shared" si="25"/>
        <v>24970.561749168672</v>
      </c>
      <c r="DH34" s="67">
        <f t="shared" si="25"/>
        <v>24970.561749168672</v>
      </c>
      <c r="DI34" s="67">
        <f t="shared" si="25"/>
        <v>24970.561749168672</v>
      </c>
      <c r="DJ34" s="67">
        <f t="shared" si="25"/>
        <v>27797.566350969311</v>
      </c>
      <c r="DK34" s="67">
        <f t="shared" si="25"/>
        <v>27797.566350969311</v>
      </c>
      <c r="DL34" s="67">
        <f t="shared" si="25"/>
        <v>27797.566350969311</v>
      </c>
      <c r="DM34" s="67">
        <f t="shared" si="25"/>
        <v>27797.566350969311</v>
      </c>
      <c r="DN34" s="67">
        <f t="shared" si="25"/>
        <v>27797.566350969311</v>
      </c>
      <c r="DO34" s="67">
        <f t="shared" si="25"/>
        <v>27797.566350969311</v>
      </c>
      <c r="DP34" s="67">
        <f t="shared" si="25"/>
        <v>27797.566350969311</v>
      </c>
      <c r="DQ34" s="67">
        <f t="shared" si="25"/>
        <v>27797.566350969311</v>
      </c>
      <c r="DR34" s="67">
        <f t="shared" si="25"/>
        <v>27797.566350969311</v>
      </c>
      <c r="DS34" s="67">
        <f t="shared" si="25"/>
        <v>27797.566350969311</v>
      </c>
      <c r="DT34" s="67">
        <f t="shared" si="25"/>
        <v>27797.566350969311</v>
      </c>
      <c r="DU34" s="67">
        <f t="shared" si="25"/>
        <v>27797.566350969311</v>
      </c>
      <c r="DV34" s="67">
        <f t="shared" si="25"/>
        <v>9764506.7891472988</v>
      </c>
    </row>
    <row r="35" spans="2:130" x14ac:dyDescent="0.3">
      <c r="B35" s="13" t="s">
        <v>45</v>
      </c>
      <c r="F35" s="73">
        <f>XIRR($F$34:$DV$34,$F$15:$DV$15)</f>
        <v>0.12964536547660827</v>
      </c>
    </row>
    <row r="36" spans="2:130" x14ac:dyDescent="0.3">
      <c r="B36" s="13" t="s">
        <v>48</v>
      </c>
      <c r="F36" s="74">
        <f>SUMIF(F34:DV34,"&gt;0")/-SUMIF($F$34:$DV$34,"&lt;0")</f>
        <v>2.9462999835480779</v>
      </c>
    </row>
    <row r="37" spans="2:130" x14ac:dyDescent="0.3">
      <c r="B37" s="13"/>
      <c r="E37" s="4"/>
      <c r="F37" s="68"/>
      <c r="P37" s="68"/>
    </row>
    <row r="38" spans="2:130" ht="15.6" x14ac:dyDescent="0.3">
      <c r="B38" s="79" t="s">
        <v>14</v>
      </c>
      <c r="G38" s="44"/>
      <c r="H38" s="69"/>
      <c r="I38" s="53"/>
    </row>
    <row r="39" spans="2:130" x14ac:dyDescent="0.3">
      <c r="B39" s="84" t="s">
        <v>3</v>
      </c>
      <c r="C39" s="86">
        <f>E10</f>
        <v>0.08</v>
      </c>
      <c r="D39" s="85"/>
      <c r="E39" s="85"/>
      <c r="F39" s="83">
        <f>F$17</f>
        <v>0</v>
      </c>
      <c r="G39" s="83">
        <f t="shared" ref="G39:BR39" si="26">G$17</f>
        <v>1</v>
      </c>
      <c r="H39" s="83">
        <f t="shared" si="26"/>
        <v>2</v>
      </c>
      <c r="I39" s="83">
        <f t="shared" si="26"/>
        <v>3</v>
      </c>
      <c r="J39" s="83">
        <f t="shared" si="26"/>
        <v>4</v>
      </c>
      <c r="K39" s="83">
        <f t="shared" si="26"/>
        <v>5</v>
      </c>
      <c r="L39" s="83">
        <f t="shared" si="26"/>
        <v>6</v>
      </c>
      <c r="M39" s="83">
        <f t="shared" si="26"/>
        <v>7</v>
      </c>
      <c r="N39" s="83">
        <f t="shared" si="26"/>
        <v>8</v>
      </c>
      <c r="O39" s="83">
        <f t="shared" si="26"/>
        <v>9</v>
      </c>
      <c r="P39" s="83">
        <f t="shared" si="26"/>
        <v>10</v>
      </c>
      <c r="Q39" s="83">
        <f t="shared" si="26"/>
        <v>11</v>
      </c>
      <c r="R39" s="83">
        <f t="shared" si="26"/>
        <v>12</v>
      </c>
      <c r="S39" s="83">
        <f t="shared" si="26"/>
        <v>13</v>
      </c>
      <c r="T39" s="83">
        <f t="shared" si="26"/>
        <v>14</v>
      </c>
      <c r="U39" s="83">
        <f t="shared" si="26"/>
        <v>15</v>
      </c>
      <c r="V39" s="83">
        <f t="shared" si="26"/>
        <v>16</v>
      </c>
      <c r="W39" s="83">
        <f t="shared" si="26"/>
        <v>17</v>
      </c>
      <c r="X39" s="83">
        <f t="shared" si="26"/>
        <v>18</v>
      </c>
      <c r="Y39" s="83">
        <f t="shared" si="26"/>
        <v>19</v>
      </c>
      <c r="Z39" s="83">
        <f t="shared" si="26"/>
        <v>20</v>
      </c>
      <c r="AA39" s="83">
        <f t="shared" si="26"/>
        <v>21</v>
      </c>
      <c r="AB39" s="83">
        <f t="shared" si="26"/>
        <v>22</v>
      </c>
      <c r="AC39" s="83">
        <f t="shared" si="26"/>
        <v>23</v>
      </c>
      <c r="AD39" s="83">
        <f t="shared" si="26"/>
        <v>24</v>
      </c>
      <c r="AE39" s="83">
        <f t="shared" si="26"/>
        <v>25</v>
      </c>
      <c r="AF39" s="83">
        <f t="shared" si="26"/>
        <v>26</v>
      </c>
      <c r="AG39" s="83">
        <f t="shared" si="26"/>
        <v>27</v>
      </c>
      <c r="AH39" s="83">
        <f t="shared" si="26"/>
        <v>28</v>
      </c>
      <c r="AI39" s="83">
        <f t="shared" si="26"/>
        <v>29</v>
      </c>
      <c r="AJ39" s="83">
        <f t="shared" si="26"/>
        <v>30</v>
      </c>
      <c r="AK39" s="83">
        <f t="shared" si="26"/>
        <v>31</v>
      </c>
      <c r="AL39" s="83">
        <f t="shared" si="26"/>
        <v>32</v>
      </c>
      <c r="AM39" s="83">
        <f t="shared" si="26"/>
        <v>33</v>
      </c>
      <c r="AN39" s="83">
        <f t="shared" si="26"/>
        <v>34</v>
      </c>
      <c r="AO39" s="83">
        <f t="shared" si="26"/>
        <v>35</v>
      </c>
      <c r="AP39" s="83">
        <f t="shared" si="26"/>
        <v>36</v>
      </c>
      <c r="AQ39" s="83">
        <f t="shared" si="26"/>
        <v>37</v>
      </c>
      <c r="AR39" s="83">
        <f t="shared" si="26"/>
        <v>38</v>
      </c>
      <c r="AS39" s="83">
        <f t="shared" si="26"/>
        <v>39</v>
      </c>
      <c r="AT39" s="83">
        <f t="shared" si="26"/>
        <v>40</v>
      </c>
      <c r="AU39" s="83">
        <f t="shared" si="26"/>
        <v>41</v>
      </c>
      <c r="AV39" s="83">
        <f t="shared" si="26"/>
        <v>42</v>
      </c>
      <c r="AW39" s="83">
        <f t="shared" si="26"/>
        <v>43</v>
      </c>
      <c r="AX39" s="83">
        <f t="shared" si="26"/>
        <v>44</v>
      </c>
      <c r="AY39" s="83">
        <f t="shared" si="26"/>
        <v>45</v>
      </c>
      <c r="AZ39" s="83">
        <f t="shared" si="26"/>
        <v>46</v>
      </c>
      <c r="BA39" s="83">
        <f t="shared" si="26"/>
        <v>47</v>
      </c>
      <c r="BB39" s="83">
        <f t="shared" si="26"/>
        <v>48</v>
      </c>
      <c r="BC39" s="83">
        <f t="shared" si="26"/>
        <v>49</v>
      </c>
      <c r="BD39" s="83">
        <f t="shared" si="26"/>
        <v>50</v>
      </c>
      <c r="BE39" s="83">
        <f t="shared" si="26"/>
        <v>51</v>
      </c>
      <c r="BF39" s="83">
        <f t="shared" si="26"/>
        <v>52</v>
      </c>
      <c r="BG39" s="83">
        <f t="shared" si="26"/>
        <v>53</v>
      </c>
      <c r="BH39" s="83">
        <f t="shared" si="26"/>
        <v>54</v>
      </c>
      <c r="BI39" s="83">
        <f t="shared" si="26"/>
        <v>55</v>
      </c>
      <c r="BJ39" s="83">
        <f t="shared" si="26"/>
        <v>56</v>
      </c>
      <c r="BK39" s="83">
        <f t="shared" si="26"/>
        <v>57</v>
      </c>
      <c r="BL39" s="83">
        <f t="shared" si="26"/>
        <v>58</v>
      </c>
      <c r="BM39" s="83">
        <f t="shared" si="26"/>
        <v>59</v>
      </c>
      <c r="BN39" s="83">
        <f t="shared" si="26"/>
        <v>60</v>
      </c>
      <c r="BO39" s="83">
        <f t="shared" si="26"/>
        <v>61</v>
      </c>
      <c r="BP39" s="83">
        <f t="shared" si="26"/>
        <v>62</v>
      </c>
      <c r="BQ39" s="83">
        <f t="shared" si="26"/>
        <v>63</v>
      </c>
      <c r="BR39" s="83">
        <f t="shared" si="26"/>
        <v>64</v>
      </c>
      <c r="BS39" s="83">
        <f t="shared" ref="BS39:DV39" si="27">BS$17</f>
        <v>65</v>
      </c>
      <c r="BT39" s="83">
        <f t="shared" si="27"/>
        <v>66</v>
      </c>
      <c r="BU39" s="83">
        <f t="shared" si="27"/>
        <v>67</v>
      </c>
      <c r="BV39" s="83">
        <f t="shared" si="27"/>
        <v>68</v>
      </c>
      <c r="BW39" s="83">
        <f t="shared" si="27"/>
        <v>69</v>
      </c>
      <c r="BX39" s="83">
        <f t="shared" si="27"/>
        <v>70</v>
      </c>
      <c r="BY39" s="83">
        <f t="shared" si="27"/>
        <v>71</v>
      </c>
      <c r="BZ39" s="83">
        <f t="shared" si="27"/>
        <v>72</v>
      </c>
      <c r="CA39" s="83">
        <f t="shared" si="27"/>
        <v>73</v>
      </c>
      <c r="CB39" s="83">
        <f t="shared" si="27"/>
        <v>74</v>
      </c>
      <c r="CC39" s="83">
        <f t="shared" si="27"/>
        <v>75</v>
      </c>
      <c r="CD39" s="83">
        <f t="shared" si="27"/>
        <v>76</v>
      </c>
      <c r="CE39" s="83">
        <f t="shared" si="27"/>
        <v>77</v>
      </c>
      <c r="CF39" s="83">
        <f t="shared" si="27"/>
        <v>78</v>
      </c>
      <c r="CG39" s="83">
        <f t="shared" si="27"/>
        <v>79</v>
      </c>
      <c r="CH39" s="83">
        <f t="shared" si="27"/>
        <v>80</v>
      </c>
      <c r="CI39" s="83">
        <f t="shared" si="27"/>
        <v>81</v>
      </c>
      <c r="CJ39" s="83">
        <f t="shared" si="27"/>
        <v>82</v>
      </c>
      <c r="CK39" s="83">
        <f t="shared" si="27"/>
        <v>83</v>
      </c>
      <c r="CL39" s="83">
        <f t="shared" si="27"/>
        <v>84</v>
      </c>
      <c r="CM39" s="83">
        <f t="shared" si="27"/>
        <v>85</v>
      </c>
      <c r="CN39" s="83">
        <f t="shared" si="27"/>
        <v>86</v>
      </c>
      <c r="CO39" s="83">
        <f t="shared" si="27"/>
        <v>87</v>
      </c>
      <c r="CP39" s="83">
        <f t="shared" si="27"/>
        <v>88</v>
      </c>
      <c r="CQ39" s="83">
        <f t="shared" si="27"/>
        <v>89</v>
      </c>
      <c r="CR39" s="83">
        <f t="shared" si="27"/>
        <v>90</v>
      </c>
      <c r="CS39" s="83">
        <f t="shared" si="27"/>
        <v>91</v>
      </c>
      <c r="CT39" s="83">
        <f t="shared" si="27"/>
        <v>92</v>
      </c>
      <c r="CU39" s="83">
        <f t="shared" si="27"/>
        <v>93</v>
      </c>
      <c r="CV39" s="83">
        <f t="shared" si="27"/>
        <v>94</v>
      </c>
      <c r="CW39" s="83">
        <f t="shared" si="27"/>
        <v>95</v>
      </c>
      <c r="CX39" s="83">
        <f t="shared" si="27"/>
        <v>96</v>
      </c>
      <c r="CY39" s="83">
        <f t="shared" si="27"/>
        <v>97</v>
      </c>
      <c r="CZ39" s="83">
        <f t="shared" si="27"/>
        <v>98</v>
      </c>
      <c r="DA39" s="83">
        <f t="shared" si="27"/>
        <v>99</v>
      </c>
      <c r="DB39" s="83">
        <f t="shared" si="27"/>
        <v>100</v>
      </c>
      <c r="DC39" s="83">
        <f t="shared" si="27"/>
        <v>101</v>
      </c>
      <c r="DD39" s="83">
        <f t="shared" si="27"/>
        <v>102</v>
      </c>
      <c r="DE39" s="83">
        <f t="shared" si="27"/>
        <v>103</v>
      </c>
      <c r="DF39" s="83">
        <f t="shared" si="27"/>
        <v>104</v>
      </c>
      <c r="DG39" s="83">
        <f t="shared" si="27"/>
        <v>105</v>
      </c>
      <c r="DH39" s="83">
        <f t="shared" si="27"/>
        <v>106</v>
      </c>
      <c r="DI39" s="83">
        <f t="shared" si="27"/>
        <v>107</v>
      </c>
      <c r="DJ39" s="83">
        <f t="shared" si="27"/>
        <v>108</v>
      </c>
      <c r="DK39" s="83">
        <f t="shared" si="27"/>
        <v>109</v>
      </c>
      <c r="DL39" s="83">
        <f t="shared" si="27"/>
        <v>110</v>
      </c>
      <c r="DM39" s="83">
        <f t="shared" si="27"/>
        <v>111</v>
      </c>
      <c r="DN39" s="83">
        <f t="shared" si="27"/>
        <v>112</v>
      </c>
      <c r="DO39" s="83">
        <f t="shared" si="27"/>
        <v>113</v>
      </c>
      <c r="DP39" s="83">
        <f t="shared" si="27"/>
        <v>114</v>
      </c>
      <c r="DQ39" s="83">
        <f t="shared" si="27"/>
        <v>115</v>
      </c>
      <c r="DR39" s="83">
        <f t="shared" si="27"/>
        <v>116</v>
      </c>
      <c r="DS39" s="83">
        <f t="shared" si="27"/>
        <v>117</v>
      </c>
      <c r="DT39" s="83">
        <f t="shared" si="27"/>
        <v>118</v>
      </c>
      <c r="DU39" s="83">
        <f t="shared" si="27"/>
        <v>119</v>
      </c>
      <c r="DV39" s="83">
        <f t="shared" si="27"/>
        <v>120</v>
      </c>
    </row>
    <row r="40" spans="2:130" x14ac:dyDescent="0.3">
      <c r="B40" t="s">
        <v>10</v>
      </c>
      <c r="F40" s="70">
        <f>E44</f>
        <v>0</v>
      </c>
      <c r="G40" s="70">
        <f t="shared" ref="G40:BR40" si="28">F44</f>
        <v>1723311.6942992047</v>
      </c>
      <c r="H40" s="70">
        <f t="shared" si="28"/>
        <v>1743039.9626366103</v>
      </c>
      <c r="I40" s="70">
        <f t="shared" si="28"/>
        <v>1774364.472602966</v>
      </c>
      <c r="J40" s="70">
        <f t="shared" si="28"/>
        <v>1828792.3503475708</v>
      </c>
      <c r="K40" s="70">
        <f t="shared" si="28"/>
        <v>1925101.0162603871</v>
      </c>
      <c r="L40" s="70">
        <f t="shared" si="28"/>
        <v>2090198.8415055361</v>
      </c>
      <c r="M40" s="70">
        <f t="shared" si="28"/>
        <v>2357150.2604018776</v>
      </c>
      <c r="N40" s="70">
        <f t="shared" si="28"/>
        <v>2714045.6341172927</v>
      </c>
      <c r="O40" s="70">
        <f t="shared" si="28"/>
        <v>3183690.1551957591</v>
      </c>
      <c r="P40" s="70">
        <f t="shared" si="28"/>
        <v>3724398.1537290602</v>
      </c>
      <c r="Q40" s="70">
        <f t="shared" si="28"/>
        <v>3748361.0435917941</v>
      </c>
      <c r="R40" s="70">
        <f t="shared" si="28"/>
        <v>3772478.1114094276</v>
      </c>
      <c r="S40" s="70">
        <f t="shared" si="28"/>
        <v>3796750.3491675649</v>
      </c>
      <c r="T40" s="70">
        <f t="shared" si="28"/>
        <v>3821178.755234275</v>
      </c>
      <c r="U40" s="70">
        <f t="shared" si="28"/>
        <v>3845764.3344011577</v>
      </c>
      <c r="V40" s="70">
        <f t="shared" si="28"/>
        <v>3870508.0979246721</v>
      </c>
      <c r="W40" s="70">
        <f t="shared" si="28"/>
        <v>3895411.0635677315</v>
      </c>
      <c r="X40" s="70">
        <f t="shared" si="28"/>
        <v>3920474.2556415666</v>
      </c>
      <c r="Y40" s="70">
        <f t="shared" si="28"/>
        <v>3945698.7050478579</v>
      </c>
      <c r="Z40" s="70">
        <f t="shared" si="28"/>
        <v>3971085.4493211373</v>
      </c>
      <c r="AA40" s="70">
        <f t="shared" si="28"/>
        <v>3996635.532671466</v>
      </c>
      <c r="AB40" s="70">
        <f t="shared" si="28"/>
        <v>4022350.0060273837</v>
      </c>
      <c r="AC40" s="70">
        <f t="shared" si="28"/>
        <v>4048229.9270791365</v>
      </c>
      <c r="AD40" s="70">
        <f t="shared" si="28"/>
        <v>4074276.3603221807</v>
      </c>
      <c r="AE40" s="70">
        <f t="shared" si="28"/>
        <v>4100490.3771009687</v>
      </c>
      <c r="AF40" s="70">
        <f t="shared" si="28"/>
        <v>4126873.0556530156</v>
      </c>
      <c r="AG40" s="70">
        <f t="shared" si="28"/>
        <v>4153425.4811532488</v>
      </c>
      <c r="AH40" s="70">
        <f t="shared" si="28"/>
        <v>4180148.7457586443</v>
      </c>
      <c r="AI40" s="70">
        <f t="shared" si="28"/>
        <v>4207043.9486531485</v>
      </c>
      <c r="AJ40" s="70">
        <f t="shared" si="28"/>
        <v>4234112.1960928906</v>
      </c>
      <c r="AK40" s="70">
        <f t="shared" si="28"/>
        <v>4225819.02336457</v>
      </c>
      <c r="AL40" s="70">
        <f t="shared" si="28"/>
        <v>4232778.3911412125</v>
      </c>
      <c r="AM40" s="70">
        <f t="shared" si="28"/>
        <v>4239782.5356996767</v>
      </c>
      <c r="AN40" s="70">
        <f t="shared" si="28"/>
        <v>4246831.7451351248</v>
      </c>
      <c r="AO40" s="70">
        <f t="shared" si="28"/>
        <v>4253926.3093963321</v>
      </c>
      <c r="AP40" s="70">
        <f t="shared" si="28"/>
        <v>4261066.520297613</v>
      </c>
      <c r="AQ40" s="70">
        <f t="shared" si="28"/>
        <v>4267680.5838631587</v>
      </c>
      <c r="AR40" s="70">
        <f t="shared" si="28"/>
        <v>4274337.2025128342</v>
      </c>
      <c r="AS40" s="70">
        <f t="shared" si="28"/>
        <v>4281036.650047333</v>
      </c>
      <c r="AT40" s="70">
        <f t="shared" si="28"/>
        <v>4287779.2020289889</v>
      </c>
      <c r="AU40" s="70">
        <f t="shared" si="28"/>
        <v>4294565.1357931131</v>
      </c>
      <c r="AV40" s="70">
        <f t="shared" si="28"/>
        <v>4301394.7304594005</v>
      </c>
      <c r="AW40" s="70">
        <f t="shared" si="28"/>
        <v>4308268.2669434091</v>
      </c>
      <c r="AX40" s="70">
        <f t="shared" si="28"/>
        <v>4315186.027968118</v>
      </c>
      <c r="AY40" s="70">
        <f t="shared" si="28"/>
        <v>4322148.298075554</v>
      </c>
      <c r="AZ40" s="70">
        <f t="shared" si="28"/>
        <v>4329155.3636384951</v>
      </c>
      <c r="BA40" s="70">
        <f t="shared" si="28"/>
        <v>4336207.5128722508</v>
      </c>
      <c r="BB40" s="70">
        <f t="shared" si="28"/>
        <v>4343305.0358465165</v>
      </c>
      <c r="BC40" s="70">
        <f t="shared" si="28"/>
        <v>4348309.5714680301</v>
      </c>
      <c r="BD40" s="70">
        <f t="shared" si="28"/>
        <v>4353346.3064224198</v>
      </c>
      <c r="BE40" s="70">
        <f t="shared" si="28"/>
        <v>4358415.4478811622</v>
      </c>
      <c r="BF40" s="70">
        <f t="shared" si="28"/>
        <v>4363517.2043486815</v>
      </c>
      <c r="BG40" s="70">
        <f t="shared" si="28"/>
        <v>4368651.7856709268</v>
      </c>
      <c r="BH40" s="70">
        <f t="shared" si="28"/>
        <v>4373819.4030440021</v>
      </c>
      <c r="BI40" s="70">
        <f t="shared" si="28"/>
        <v>4379020.2690228522</v>
      </c>
      <c r="BJ40" s="70">
        <f t="shared" si="28"/>
        <v>4394061.0635164101</v>
      </c>
      <c r="BK40" s="70">
        <f t="shared" si="28"/>
        <v>4409198.6309346184</v>
      </c>
      <c r="BL40" s="70">
        <f t="shared" si="28"/>
        <v>4424433.5939173875</v>
      </c>
      <c r="BM40" s="70">
        <f t="shared" si="28"/>
        <v>4439766.5791107127</v>
      </c>
      <c r="BN40" s="70">
        <f t="shared" si="28"/>
        <v>4455198.2171924477</v>
      </c>
      <c r="BO40" s="70">
        <f t="shared" si="28"/>
        <v>4468514.5500140218</v>
      </c>
      <c r="BP40" s="70">
        <f t="shared" si="28"/>
        <v>4481916.5605219239</v>
      </c>
      <c r="BQ40" s="70">
        <f t="shared" si="28"/>
        <v>4495404.7999689691</v>
      </c>
      <c r="BR40" s="70">
        <f t="shared" si="28"/>
        <v>4508979.8231547475</v>
      </c>
      <c r="BS40" s="70">
        <f t="shared" ref="BS40:DV40" si="29">BR44</f>
        <v>4522642.1884484468</v>
      </c>
      <c r="BT40" s="70">
        <f t="shared" si="29"/>
        <v>4536392.4578118194</v>
      </c>
      <c r="BU40" s="70">
        <f t="shared" si="29"/>
        <v>4550231.1968222968</v>
      </c>
      <c r="BV40" s="70">
        <f t="shared" si="29"/>
        <v>4564158.9746962525</v>
      </c>
      <c r="BW40" s="70">
        <f t="shared" si="29"/>
        <v>4578176.3643124141</v>
      </c>
      <c r="BX40" s="70">
        <f t="shared" si="29"/>
        <v>4592283.9422354298</v>
      </c>
      <c r="BY40" s="70">
        <f t="shared" si="29"/>
        <v>4606482.2887395816</v>
      </c>
      <c r="BZ40" s="70">
        <f t="shared" si="29"/>
        <v>4620771.9878326533</v>
      </c>
      <c r="CA40" s="70">
        <f t="shared" si="29"/>
        <v>4632860.5807398465</v>
      </c>
      <c r="CB40" s="70">
        <f t="shared" si="29"/>
        <v>4645026.9520177916</v>
      </c>
      <c r="CC40" s="70">
        <f t="shared" si="29"/>
        <v>4657271.6020948691</v>
      </c>
      <c r="CD40" s="70">
        <f t="shared" si="29"/>
        <v>4669595.0346192289</v>
      </c>
      <c r="CE40" s="70">
        <f t="shared" si="29"/>
        <v>4681997.7564795092</v>
      </c>
      <c r="CF40" s="70">
        <f t="shared" si="29"/>
        <v>4694480.2778256843</v>
      </c>
      <c r="CG40" s="70">
        <f t="shared" si="29"/>
        <v>4707043.1120900493</v>
      </c>
      <c r="CH40" s="70">
        <f t="shared" si="29"/>
        <v>4719686.7760083387</v>
      </c>
      <c r="CI40" s="70">
        <f t="shared" si="29"/>
        <v>4732411.7896409789</v>
      </c>
      <c r="CJ40" s="70">
        <f t="shared" si="29"/>
        <v>4745218.6763944812</v>
      </c>
      <c r="CK40" s="70">
        <f t="shared" si="29"/>
        <v>4758107.9630429707</v>
      </c>
      <c r="CL40" s="70">
        <f t="shared" si="29"/>
        <v>4771080.1797498539</v>
      </c>
      <c r="CM40" s="70">
        <f t="shared" si="29"/>
        <v>4781761.7659665719</v>
      </c>
      <c r="CN40" s="70">
        <f t="shared" si="29"/>
        <v>4792512.0778306304</v>
      </c>
      <c r="CO40" s="70">
        <f t="shared" si="29"/>
        <v>4803331.5575249149</v>
      </c>
      <c r="CP40" s="70">
        <f t="shared" si="29"/>
        <v>4814220.6500773262</v>
      </c>
      <c r="CQ40" s="70">
        <f t="shared" si="29"/>
        <v>4825179.8033790905</v>
      </c>
      <c r="CR40" s="70">
        <f t="shared" si="29"/>
        <v>4836209.4682031786</v>
      </c>
      <c r="CS40" s="70">
        <f t="shared" si="29"/>
        <v>4847310.098222848</v>
      </c>
      <c r="CT40" s="70">
        <f t="shared" si="29"/>
        <v>4858482.1500303047</v>
      </c>
      <c r="CU40" s="70">
        <f t="shared" si="29"/>
        <v>4869726.0831554802</v>
      </c>
      <c r="CV40" s="70">
        <f t="shared" si="29"/>
        <v>4881042.3600849379</v>
      </c>
      <c r="CW40" s="70">
        <f t="shared" si="29"/>
        <v>4892431.4462808929</v>
      </c>
      <c r="CX40" s="70">
        <f t="shared" si="29"/>
        <v>4903893.8102003587</v>
      </c>
      <c r="CY40" s="70">
        <f t="shared" si="29"/>
        <v>4912972.1050571958</v>
      </c>
      <c r="CZ40" s="70">
        <f t="shared" si="29"/>
        <v>4922108.809936489</v>
      </c>
      <c r="DA40" s="70">
        <f t="shared" si="29"/>
        <v>4931304.3006500816</v>
      </c>
      <c r="DB40" s="70">
        <f t="shared" si="29"/>
        <v>4940558.9554278022</v>
      </c>
      <c r="DC40" s="70">
        <f t="shared" si="29"/>
        <v>4949873.1549330205</v>
      </c>
      <c r="DD40" s="70">
        <f t="shared" si="29"/>
        <v>4959247.2822783059</v>
      </c>
      <c r="DE40" s="70">
        <f t="shared" si="29"/>
        <v>4968681.7230411852</v>
      </c>
      <c r="DF40" s="70">
        <f t="shared" si="29"/>
        <v>4978176.8652800042</v>
      </c>
      <c r="DG40" s="70">
        <f t="shared" si="29"/>
        <v>4987733.0995498868</v>
      </c>
      <c r="DH40" s="70">
        <f t="shared" si="29"/>
        <v>4997350.8189188</v>
      </c>
      <c r="DI40" s="70">
        <f t="shared" si="29"/>
        <v>5007030.4189837221</v>
      </c>
      <c r="DJ40" s="70">
        <f t="shared" si="29"/>
        <v>5016772.2978869146</v>
      </c>
      <c r="DK40" s="70">
        <f t="shared" si="29"/>
        <v>5024032.5521906773</v>
      </c>
      <c r="DL40" s="70">
        <f t="shared" si="29"/>
        <v>5031339.5191892367</v>
      </c>
      <c r="DM40" s="70">
        <f t="shared" si="29"/>
        <v>5038693.4994334774</v>
      </c>
      <c r="DN40" s="70">
        <f t="shared" si="29"/>
        <v>5046094.7954080384</v>
      </c>
      <c r="DO40" s="70">
        <f t="shared" si="29"/>
        <v>5053543.7115437528</v>
      </c>
      <c r="DP40" s="70">
        <f t="shared" si="29"/>
        <v>5061040.5542301713</v>
      </c>
      <c r="DQ40" s="70">
        <f t="shared" si="29"/>
        <v>5068585.6318281638</v>
      </c>
      <c r="DR40" s="70">
        <f t="shared" si="29"/>
        <v>5076179.2546826042</v>
      </c>
      <c r="DS40" s="70">
        <f t="shared" si="29"/>
        <v>5083821.7351351343</v>
      </c>
      <c r="DT40" s="70">
        <f t="shared" si="29"/>
        <v>5091513.3875370109</v>
      </c>
      <c r="DU40" s="70">
        <f t="shared" si="29"/>
        <v>5099254.5282620369</v>
      </c>
      <c r="DV40" s="70">
        <f t="shared" si="29"/>
        <v>5107045.4757195739</v>
      </c>
    </row>
    <row r="41" spans="2:130" x14ac:dyDescent="0.3">
      <c r="B41" t="s">
        <v>9</v>
      </c>
      <c r="E41" s="87"/>
      <c r="F41" s="70">
        <f>F40*((1+$C$39)^(1/12)-1)</f>
        <v>0</v>
      </c>
      <c r="G41" s="70">
        <f t="shared" ref="G41:BR41" si="30">G40*((1+$C$39)^(1/12)-1)</f>
        <v>11087.83933004211</v>
      </c>
      <c r="H41" s="70">
        <f t="shared" si="30"/>
        <v>11214.771602543204</v>
      </c>
      <c r="I41" s="70">
        <f t="shared" si="30"/>
        <v>11416.314442847841</v>
      </c>
      <c r="J41" s="70">
        <f t="shared" si="30"/>
        <v>11766.505047080213</v>
      </c>
      <c r="K41" s="70">
        <f t="shared" si="30"/>
        <v>12386.157903417534</v>
      </c>
      <c r="L41" s="70">
        <f t="shared" si="30"/>
        <v>13448.402282140907</v>
      </c>
      <c r="M41" s="70">
        <f t="shared" si="30"/>
        <v>15165.975749228106</v>
      </c>
      <c r="N41" s="70">
        <f t="shared" si="30"/>
        <v>17462.251329834013</v>
      </c>
      <c r="O41" s="70">
        <f t="shared" si="30"/>
        <v>20483.958319451009</v>
      </c>
      <c r="P41" s="70">
        <f t="shared" si="30"/>
        <v>23962.889862733959</v>
      </c>
      <c r="Q41" s="70">
        <f t="shared" si="30"/>
        <v>24117.067817633484</v>
      </c>
      <c r="R41" s="70">
        <f t="shared" si="30"/>
        <v>24272.237758137133</v>
      </c>
      <c r="S41" s="70">
        <f t="shared" si="30"/>
        <v>24428.406066710151</v>
      </c>
      <c r="T41" s="70">
        <f t="shared" si="30"/>
        <v>24585.579166882751</v>
      </c>
      <c r="U41" s="70">
        <f t="shared" si="30"/>
        <v>24743.76352351435</v>
      </c>
      <c r="V41" s="70">
        <f t="shared" si="30"/>
        <v>24902.965643059444</v>
      </c>
      <c r="W41" s="70">
        <f t="shared" si="30"/>
        <v>25063.192073835271</v>
      </c>
      <c r="X41" s="70">
        <f t="shared" si="30"/>
        <v>25224.449406291125</v>
      </c>
      <c r="Y41" s="70">
        <f t="shared" si="30"/>
        <v>25386.744273279463</v>
      </c>
      <c r="Z41" s="70">
        <f t="shared" si="30"/>
        <v>25550.083350328699</v>
      </c>
      <c r="AA41" s="70">
        <f t="shared" si="30"/>
        <v>25714.473355917809</v>
      </c>
      <c r="AB41" s="70">
        <f t="shared" si="30"/>
        <v>25879.921051752666</v>
      </c>
      <c r="AC41" s="70">
        <f t="shared" si="30"/>
        <v>26046.433243044154</v>
      </c>
      <c r="AD41" s="70">
        <f t="shared" si="30"/>
        <v>26214.016778788096</v>
      </c>
      <c r="AE41" s="70">
        <f t="shared" si="30"/>
        <v>26382.678552046953</v>
      </c>
      <c r="AF41" s="70">
        <f t="shared" si="30"/>
        <v>26552.425500233363</v>
      </c>
      <c r="AG41" s="70">
        <f t="shared" si="30"/>
        <v>26723.264605395489</v>
      </c>
      <c r="AH41" s="70">
        <f t="shared" si="30"/>
        <v>26895.202894504193</v>
      </c>
      <c r="AI41" s="70">
        <f t="shared" si="30"/>
        <v>27068.247439742081</v>
      </c>
      <c r="AJ41" s="70">
        <f t="shared" si="30"/>
        <v>27242.405358794407</v>
      </c>
      <c r="AK41" s="70">
        <f t="shared" si="30"/>
        <v>27189.046835752932</v>
      </c>
      <c r="AL41" s="70">
        <f t="shared" si="30"/>
        <v>27233.823617574439</v>
      </c>
      <c r="AM41" s="70">
        <f t="shared" si="30"/>
        <v>27278.888494558414</v>
      </c>
      <c r="AN41" s="70">
        <f t="shared" si="30"/>
        <v>27324.243320317808</v>
      </c>
      <c r="AO41" s="70">
        <f t="shared" si="30"/>
        <v>27369.889960391771</v>
      </c>
      <c r="AP41" s="70">
        <f t="shared" si="30"/>
        <v>27415.830292322386</v>
      </c>
      <c r="AQ41" s="70">
        <f t="shared" si="30"/>
        <v>27458.385376452581</v>
      </c>
      <c r="AR41" s="70">
        <f t="shared" si="30"/>
        <v>27501.214261275407</v>
      </c>
      <c r="AS41" s="70">
        <f t="shared" si="30"/>
        <v>27544.318708432758</v>
      </c>
      <c r="AT41" s="70">
        <f t="shared" si="30"/>
        <v>27587.700490900996</v>
      </c>
      <c r="AU41" s="70">
        <f t="shared" si="30"/>
        <v>27631.36139306386</v>
      </c>
      <c r="AV41" s="70">
        <f t="shared" si="30"/>
        <v>27675.303210785871</v>
      </c>
      <c r="AW41" s="70">
        <f t="shared" si="30"/>
        <v>27719.527751486192</v>
      </c>
      <c r="AX41" s="70">
        <f t="shared" si="30"/>
        <v>27764.036834212977</v>
      </c>
      <c r="AY41" s="70">
        <f t="shared" si="30"/>
        <v>27808.832289718197</v>
      </c>
      <c r="AZ41" s="70">
        <f t="shared" si="30"/>
        <v>27853.915960532926</v>
      </c>
      <c r="BA41" s="70">
        <f t="shared" si="30"/>
        <v>27899.289701043148</v>
      </c>
      <c r="BB41" s="70">
        <f t="shared" si="30"/>
        <v>27944.955377566017</v>
      </c>
      <c r="BC41" s="70">
        <f t="shared" si="30"/>
        <v>27977.15471044142</v>
      </c>
      <c r="BD41" s="70">
        <f t="shared" si="30"/>
        <v>28009.56121479407</v>
      </c>
      <c r="BE41" s="70">
        <f t="shared" si="30"/>
        <v>28042.176223571485</v>
      </c>
      <c r="BF41" s="70">
        <f t="shared" si="30"/>
        <v>28075.00107829741</v>
      </c>
      <c r="BG41" s="70">
        <f t="shared" si="30"/>
        <v>28108.037129126995</v>
      </c>
      <c r="BH41" s="70">
        <f t="shared" si="30"/>
        <v>28141.28573490234</v>
      </c>
      <c r="BI41" s="70">
        <f t="shared" si="30"/>
        <v>28174.748263208352</v>
      </c>
      <c r="BJ41" s="70">
        <f t="shared" si="30"/>
        <v>28271.521187858278</v>
      </c>
      <c r="BK41" s="70">
        <f t="shared" si="30"/>
        <v>28368.916752419238</v>
      </c>
      <c r="BL41" s="70">
        <f t="shared" si="30"/>
        <v>28466.93896297516</v>
      </c>
      <c r="BM41" s="70">
        <f t="shared" si="30"/>
        <v>28565.591851385252</v>
      </c>
      <c r="BN41" s="70">
        <f t="shared" si="30"/>
        <v>28664.879475449812</v>
      </c>
      <c r="BO41" s="70">
        <f t="shared" si="30"/>
        <v>28750.557161778645</v>
      </c>
      <c r="BP41" s="70">
        <f t="shared" si="30"/>
        <v>28836.786100921072</v>
      </c>
      <c r="BQ41" s="70">
        <f t="shared" si="30"/>
        <v>28923.569839654294</v>
      </c>
      <c r="BR41" s="70">
        <f t="shared" si="30"/>
        <v>29010.911947575587</v>
      </c>
      <c r="BS41" s="70">
        <f t="shared" ref="BS41:DV41" si="31">BS40*((1+$C$39)^(1/12)-1)</f>
        <v>29098.816017249115</v>
      </c>
      <c r="BT41" s="70">
        <f t="shared" si="31"/>
        <v>29187.285664353712</v>
      </c>
      <c r="BU41" s="70">
        <f t="shared" si="31"/>
        <v>29276.324527831603</v>
      </c>
      <c r="BV41" s="70">
        <f t="shared" si="31"/>
        <v>29365.936270038073</v>
      </c>
      <c r="BW41" s="70">
        <f t="shared" si="31"/>
        <v>29456.124576892107</v>
      </c>
      <c r="BX41" s="70">
        <f t="shared" si="31"/>
        <v>29546.893158028008</v>
      </c>
      <c r="BY41" s="70">
        <f t="shared" si="31"/>
        <v>29638.245746947985</v>
      </c>
      <c r="BZ41" s="70">
        <f t="shared" si="31"/>
        <v>29730.186101175696</v>
      </c>
      <c r="CA41" s="70">
        <f t="shared" si="31"/>
        <v>29807.96447192815</v>
      </c>
      <c r="CB41" s="70">
        <f t="shared" si="31"/>
        <v>29886.243271059931</v>
      </c>
      <c r="CC41" s="70">
        <f t="shared" si="31"/>
        <v>29965.025718342302</v>
      </c>
      <c r="CD41" s="70">
        <f t="shared" si="31"/>
        <v>30044.315054262628</v>
      </c>
      <c r="CE41" s="70">
        <f t="shared" si="31"/>
        <v>30124.114540157669</v>
      </c>
      <c r="CF41" s="70">
        <f t="shared" si="31"/>
        <v>30204.42745834772</v>
      </c>
      <c r="CG41" s="70">
        <f t="shared" si="31"/>
        <v>30285.257112271629</v>
      </c>
      <c r="CH41" s="70">
        <f t="shared" si="31"/>
        <v>30366.606826622665</v>
      </c>
      <c r="CI41" s="70">
        <f t="shared" si="31"/>
        <v>30448.479947485277</v>
      </c>
      <c r="CJ41" s="70">
        <f t="shared" si="31"/>
        <v>30530.879842472717</v>
      </c>
      <c r="CK41" s="70">
        <f t="shared" si="31"/>
        <v>30613.809900865563</v>
      </c>
      <c r="CL41" s="70">
        <f t="shared" si="31"/>
        <v>30697.273533751137</v>
      </c>
      <c r="CM41" s="70">
        <f t="shared" si="31"/>
        <v>30765.999181092098</v>
      </c>
      <c r="CN41" s="70">
        <f t="shared" si="31"/>
        <v>30835.167011317379</v>
      </c>
      <c r="CO41" s="70">
        <f t="shared" si="31"/>
        <v>30904.779869444978</v>
      </c>
      <c r="CP41" s="70">
        <f t="shared" si="31"/>
        <v>30974.840618797803</v>
      </c>
      <c r="CQ41" s="70">
        <f t="shared" si="31"/>
        <v>31045.352141121501</v>
      </c>
      <c r="CR41" s="70">
        <f t="shared" si="31"/>
        <v>31116.317336702927</v>
      </c>
      <c r="CS41" s="70">
        <f t="shared" si="31"/>
        <v>31187.73912448949</v>
      </c>
      <c r="CT41" s="70">
        <f t="shared" si="31"/>
        <v>31259.620442209183</v>
      </c>
      <c r="CU41" s="70">
        <f t="shared" si="31"/>
        <v>31331.964246491429</v>
      </c>
      <c r="CV41" s="70">
        <f t="shared" si="31"/>
        <v>31404.773512988697</v>
      </c>
      <c r="CW41" s="70">
        <f t="shared" si="31"/>
        <v>31478.051236498894</v>
      </c>
      <c r="CX41" s="70">
        <f t="shared" si="31"/>
        <v>31551.800431088555</v>
      </c>
      <c r="CY41" s="70">
        <f t="shared" si="31"/>
        <v>31610.210453544933</v>
      </c>
      <c r="CZ41" s="70">
        <f t="shared" si="31"/>
        <v>31668.996287844522</v>
      </c>
      <c r="DA41" s="70">
        <f t="shared" si="31"/>
        <v>31728.160351972034</v>
      </c>
      <c r="DB41" s="70">
        <f t="shared" si="31"/>
        <v>31787.705079469575</v>
      </c>
      <c r="DC41" s="70">
        <f t="shared" si="31"/>
        <v>31847.632919536729</v>
      </c>
      <c r="DD41" s="70">
        <f t="shared" si="31"/>
        <v>31907.9463371313</v>
      </c>
      <c r="DE41" s="70">
        <f t="shared" si="31"/>
        <v>31968.647813070711</v>
      </c>
      <c r="DF41" s="70">
        <f t="shared" si="31"/>
        <v>32029.739844134037</v>
      </c>
      <c r="DG41" s="70">
        <f t="shared" si="31"/>
        <v>32091.224943164707</v>
      </c>
      <c r="DH41" s="70">
        <f t="shared" si="31"/>
        <v>32153.10563917386</v>
      </c>
      <c r="DI41" s="70">
        <f t="shared" si="31"/>
        <v>32215.384477444361</v>
      </c>
      <c r="DJ41" s="70">
        <f t="shared" si="31"/>
        <v>32278.064019635505</v>
      </c>
      <c r="DK41" s="70">
        <f t="shared" si="31"/>
        <v>32324.776714432199</v>
      </c>
      <c r="DL41" s="70">
        <f t="shared" si="31"/>
        <v>32371.789960113729</v>
      </c>
      <c r="DM41" s="70">
        <f t="shared" si="31"/>
        <v>32419.105690433546</v>
      </c>
      <c r="DN41" s="70">
        <f t="shared" si="31"/>
        <v>32466.725851586918</v>
      </c>
      <c r="DO41" s="70">
        <f t="shared" si="31"/>
        <v>32514.652402290994</v>
      </c>
      <c r="DP41" s="70">
        <f t="shared" si="31"/>
        <v>32562.887313865369</v>
      </c>
      <c r="DQ41" s="70">
        <f t="shared" si="31"/>
        <v>32611.432570313165</v>
      </c>
      <c r="DR41" s="70">
        <f t="shared" si="31"/>
        <v>32660.290168402647</v>
      </c>
      <c r="DS41" s="70">
        <f t="shared" si="31"/>
        <v>32709.462117749339</v>
      </c>
      <c r="DT41" s="70">
        <f t="shared" si="31"/>
        <v>32758.950440898694</v>
      </c>
      <c r="DU41" s="70">
        <f t="shared" si="31"/>
        <v>32808.757173409285</v>
      </c>
      <c r="DV41" s="70">
        <f t="shared" si="31"/>
        <v>32858.88436393653</v>
      </c>
    </row>
    <row r="42" spans="2:130" x14ac:dyDescent="0.3">
      <c r="B42" t="s">
        <v>8</v>
      </c>
      <c r="E42" s="87"/>
      <c r="F42" s="70">
        <f>-MIN(F34,0)*$C$6</f>
        <v>1723311.6942992047</v>
      </c>
      <c r="G42" s="70">
        <f t="shared" ref="G42:BR42" si="32">-MIN(G34,0)*$C$6</f>
        <v>8640.4290073635511</v>
      </c>
      <c r="H42" s="70">
        <f t="shared" si="32"/>
        <v>20109.73836381239</v>
      </c>
      <c r="I42" s="70">
        <f t="shared" si="32"/>
        <v>43011.56330175692</v>
      </c>
      <c r="J42" s="70">
        <f t="shared" si="32"/>
        <v>84542.160865736136</v>
      </c>
      <c r="K42" s="70">
        <f t="shared" si="32"/>
        <v>152711.66734173146</v>
      </c>
      <c r="L42" s="70">
        <f t="shared" si="32"/>
        <v>253503.01661420055</v>
      </c>
      <c r="M42" s="70">
        <f t="shared" si="32"/>
        <v>341729.39796618692</v>
      </c>
      <c r="N42" s="70">
        <f t="shared" si="32"/>
        <v>452182.26974863233</v>
      </c>
      <c r="O42" s="70">
        <f t="shared" si="32"/>
        <v>520224.0402138498</v>
      </c>
      <c r="P42" s="70">
        <f t="shared" si="32"/>
        <v>0</v>
      </c>
      <c r="Q42" s="70">
        <f t="shared" si="32"/>
        <v>0</v>
      </c>
      <c r="R42" s="70">
        <f t="shared" si="32"/>
        <v>0</v>
      </c>
      <c r="S42" s="70">
        <f t="shared" si="32"/>
        <v>0</v>
      </c>
      <c r="T42" s="70">
        <f t="shared" si="32"/>
        <v>0</v>
      </c>
      <c r="U42" s="70">
        <f t="shared" si="32"/>
        <v>0</v>
      </c>
      <c r="V42" s="70">
        <f t="shared" si="32"/>
        <v>0</v>
      </c>
      <c r="W42" s="70">
        <f t="shared" si="32"/>
        <v>0</v>
      </c>
      <c r="X42" s="70">
        <f t="shared" si="32"/>
        <v>0</v>
      </c>
      <c r="Y42" s="70">
        <f t="shared" si="32"/>
        <v>0</v>
      </c>
      <c r="Z42" s="70">
        <f t="shared" si="32"/>
        <v>0</v>
      </c>
      <c r="AA42" s="70">
        <f t="shared" si="32"/>
        <v>0</v>
      </c>
      <c r="AB42" s="70">
        <f t="shared" si="32"/>
        <v>0</v>
      </c>
      <c r="AC42" s="70">
        <f t="shared" si="32"/>
        <v>0</v>
      </c>
      <c r="AD42" s="70">
        <f t="shared" si="32"/>
        <v>0</v>
      </c>
      <c r="AE42" s="70">
        <f t="shared" si="32"/>
        <v>0</v>
      </c>
      <c r="AF42" s="70">
        <f t="shared" si="32"/>
        <v>0</v>
      </c>
      <c r="AG42" s="70">
        <f t="shared" si="32"/>
        <v>0</v>
      </c>
      <c r="AH42" s="70">
        <f t="shared" si="32"/>
        <v>0</v>
      </c>
      <c r="AI42" s="70">
        <f t="shared" si="32"/>
        <v>0</v>
      </c>
      <c r="AJ42" s="70">
        <f t="shared" si="32"/>
        <v>0</v>
      </c>
      <c r="AK42" s="70">
        <f t="shared" si="32"/>
        <v>0</v>
      </c>
      <c r="AL42" s="70">
        <f t="shared" si="32"/>
        <v>0</v>
      </c>
      <c r="AM42" s="70">
        <f t="shared" si="32"/>
        <v>0</v>
      </c>
      <c r="AN42" s="70">
        <f t="shared" si="32"/>
        <v>0</v>
      </c>
      <c r="AO42" s="70">
        <f t="shared" si="32"/>
        <v>0</v>
      </c>
      <c r="AP42" s="70">
        <f t="shared" si="32"/>
        <v>0</v>
      </c>
      <c r="AQ42" s="70">
        <f t="shared" si="32"/>
        <v>0</v>
      </c>
      <c r="AR42" s="70">
        <f t="shared" si="32"/>
        <v>0</v>
      </c>
      <c r="AS42" s="70">
        <f t="shared" si="32"/>
        <v>0</v>
      </c>
      <c r="AT42" s="70">
        <f t="shared" si="32"/>
        <v>0</v>
      </c>
      <c r="AU42" s="70">
        <f t="shared" si="32"/>
        <v>0</v>
      </c>
      <c r="AV42" s="70">
        <f t="shared" si="32"/>
        <v>0</v>
      </c>
      <c r="AW42" s="70">
        <f t="shared" si="32"/>
        <v>0</v>
      </c>
      <c r="AX42" s="70">
        <f t="shared" si="32"/>
        <v>0</v>
      </c>
      <c r="AY42" s="70">
        <f t="shared" si="32"/>
        <v>0</v>
      </c>
      <c r="AZ42" s="70">
        <f t="shared" si="32"/>
        <v>0</v>
      </c>
      <c r="BA42" s="70">
        <f t="shared" si="32"/>
        <v>0</v>
      </c>
      <c r="BB42" s="70">
        <f t="shared" si="32"/>
        <v>0</v>
      </c>
      <c r="BC42" s="70">
        <f t="shared" si="32"/>
        <v>0</v>
      </c>
      <c r="BD42" s="70">
        <f t="shared" si="32"/>
        <v>0</v>
      </c>
      <c r="BE42" s="70">
        <f t="shared" si="32"/>
        <v>0</v>
      </c>
      <c r="BF42" s="70">
        <f t="shared" si="32"/>
        <v>0</v>
      </c>
      <c r="BG42" s="70">
        <f t="shared" si="32"/>
        <v>0</v>
      </c>
      <c r="BH42" s="70">
        <f t="shared" si="32"/>
        <v>0</v>
      </c>
      <c r="BI42" s="70">
        <f t="shared" si="32"/>
        <v>0</v>
      </c>
      <c r="BJ42" s="70">
        <f t="shared" si="32"/>
        <v>0</v>
      </c>
      <c r="BK42" s="70">
        <f t="shared" si="32"/>
        <v>0</v>
      </c>
      <c r="BL42" s="70">
        <f t="shared" si="32"/>
        <v>0</v>
      </c>
      <c r="BM42" s="70">
        <f t="shared" si="32"/>
        <v>0</v>
      </c>
      <c r="BN42" s="70">
        <f t="shared" si="32"/>
        <v>0</v>
      </c>
      <c r="BO42" s="70">
        <f t="shared" si="32"/>
        <v>0</v>
      </c>
      <c r="BP42" s="70">
        <f t="shared" si="32"/>
        <v>0</v>
      </c>
      <c r="BQ42" s="70">
        <f t="shared" si="32"/>
        <v>0</v>
      </c>
      <c r="BR42" s="70">
        <f t="shared" si="32"/>
        <v>0</v>
      </c>
      <c r="BS42" s="70">
        <f t="shared" ref="BS42:DV42" si="33">-MIN(BS34,0)*$C$6</f>
        <v>0</v>
      </c>
      <c r="BT42" s="70">
        <f t="shared" si="33"/>
        <v>0</v>
      </c>
      <c r="BU42" s="70">
        <f t="shared" si="33"/>
        <v>0</v>
      </c>
      <c r="BV42" s="70">
        <f t="shared" si="33"/>
        <v>0</v>
      </c>
      <c r="BW42" s="70">
        <f t="shared" si="33"/>
        <v>0</v>
      </c>
      <c r="BX42" s="70">
        <f t="shared" si="33"/>
        <v>0</v>
      </c>
      <c r="BY42" s="70">
        <f t="shared" si="33"/>
        <v>0</v>
      </c>
      <c r="BZ42" s="70">
        <f t="shared" si="33"/>
        <v>0</v>
      </c>
      <c r="CA42" s="70">
        <f t="shared" si="33"/>
        <v>0</v>
      </c>
      <c r="CB42" s="70">
        <f t="shared" si="33"/>
        <v>0</v>
      </c>
      <c r="CC42" s="70">
        <f t="shared" si="33"/>
        <v>0</v>
      </c>
      <c r="CD42" s="70">
        <f t="shared" si="33"/>
        <v>0</v>
      </c>
      <c r="CE42" s="70">
        <f t="shared" si="33"/>
        <v>0</v>
      </c>
      <c r="CF42" s="70">
        <f t="shared" si="33"/>
        <v>0</v>
      </c>
      <c r="CG42" s="70">
        <f t="shared" si="33"/>
        <v>0</v>
      </c>
      <c r="CH42" s="70">
        <f t="shared" si="33"/>
        <v>0</v>
      </c>
      <c r="CI42" s="70">
        <f t="shared" si="33"/>
        <v>0</v>
      </c>
      <c r="CJ42" s="70">
        <f t="shared" si="33"/>
        <v>0</v>
      </c>
      <c r="CK42" s="70">
        <f t="shared" si="33"/>
        <v>0</v>
      </c>
      <c r="CL42" s="70">
        <f t="shared" si="33"/>
        <v>0</v>
      </c>
      <c r="CM42" s="70">
        <f t="shared" si="33"/>
        <v>0</v>
      </c>
      <c r="CN42" s="70">
        <f t="shared" si="33"/>
        <v>0</v>
      </c>
      <c r="CO42" s="70">
        <f t="shared" si="33"/>
        <v>0</v>
      </c>
      <c r="CP42" s="70">
        <f t="shared" si="33"/>
        <v>0</v>
      </c>
      <c r="CQ42" s="70">
        <f t="shared" si="33"/>
        <v>0</v>
      </c>
      <c r="CR42" s="70">
        <f t="shared" si="33"/>
        <v>0</v>
      </c>
      <c r="CS42" s="70">
        <f t="shared" si="33"/>
        <v>0</v>
      </c>
      <c r="CT42" s="70">
        <f t="shared" si="33"/>
        <v>0</v>
      </c>
      <c r="CU42" s="70">
        <f t="shared" si="33"/>
        <v>0</v>
      </c>
      <c r="CV42" s="70">
        <f t="shared" si="33"/>
        <v>0</v>
      </c>
      <c r="CW42" s="70">
        <f t="shared" si="33"/>
        <v>0</v>
      </c>
      <c r="CX42" s="70">
        <f t="shared" si="33"/>
        <v>0</v>
      </c>
      <c r="CY42" s="70">
        <f t="shared" si="33"/>
        <v>0</v>
      </c>
      <c r="CZ42" s="70">
        <f t="shared" si="33"/>
        <v>0</v>
      </c>
      <c r="DA42" s="70">
        <f t="shared" si="33"/>
        <v>0</v>
      </c>
      <c r="DB42" s="70">
        <f t="shared" si="33"/>
        <v>0</v>
      </c>
      <c r="DC42" s="70">
        <f t="shared" si="33"/>
        <v>0</v>
      </c>
      <c r="DD42" s="70">
        <f t="shared" si="33"/>
        <v>0</v>
      </c>
      <c r="DE42" s="70">
        <f t="shared" si="33"/>
        <v>0</v>
      </c>
      <c r="DF42" s="70">
        <f t="shared" si="33"/>
        <v>0</v>
      </c>
      <c r="DG42" s="70">
        <f t="shared" si="33"/>
        <v>0</v>
      </c>
      <c r="DH42" s="70">
        <f t="shared" si="33"/>
        <v>0</v>
      </c>
      <c r="DI42" s="70">
        <f t="shared" si="33"/>
        <v>0</v>
      </c>
      <c r="DJ42" s="70">
        <f t="shared" si="33"/>
        <v>0</v>
      </c>
      <c r="DK42" s="70">
        <f t="shared" si="33"/>
        <v>0</v>
      </c>
      <c r="DL42" s="70">
        <f t="shared" si="33"/>
        <v>0</v>
      </c>
      <c r="DM42" s="70">
        <f t="shared" si="33"/>
        <v>0</v>
      </c>
      <c r="DN42" s="70">
        <f t="shared" si="33"/>
        <v>0</v>
      </c>
      <c r="DO42" s="70">
        <f t="shared" si="33"/>
        <v>0</v>
      </c>
      <c r="DP42" s="70">
        <f t="shared" si="33"/>
        <v>0</v>
      </c>
      <c r="DQ42" s="70">
        <f t="shared" si="33"/>
        <v>0</v>
      </c>
      <c r="DR42" s="70">
        <f t="shared" si="33"/>
        <v>0</v>
      </c>
      <c r="DS42" s="70">
        <f t="shared" si="33"/>
        <v>0</v>
      </c>
      <c r="DT42" s="70">
        <f t="shared" si="33"/>
        <v>0</v>
      </c>
      <c r="DU42" s="70">
        <f t="shared" si="33"/>
        <v>0</v>
      </c>
      <c r="DV42" s="70">
        <f t="shared" si="33"/>
        <v>0</v>
      </c>
    </row>
    <row r="43" spans="2:130" x14ac:dyDescent="0.3">
      <c r="B43" t="s">
        <v>13</v>
      </c>
      <c r="F43" s="70">
        <f>MIN(F40+F41,MAX(F34,0)*$I$10)</f>
        <v>0</v>
      </c>
      <c r="G43" s="70">
        <f t="shared" ref="G43:BR43" si="34">MIN(G40+G41,MAX(G34,0)*$I$10)</f>
        <v>0</v>
      </c>
      <c r="H43" s="70">
        <f t="shared" si="34"/>
        <v>0</v>
      </c>
      <c r="I43" s="70">
        <f t="shared" si="34"/>
        <v>0</v>
      </c>
      <c r="J43" s="70">
        <f t="shared" si="34"/>
        <v>0</v>
      </c>
      <c r="K43" s="70">
        <f t="shared" si="34"/>
        <v>0</v>
      </c>
      <c r="L43" s="70">
        <f t="shared" si="34"/>
        <v>0</v>
      </c>
      <c r="M43" s="70">
        <f t="shared" si="34"/>
        <v>0</v>
      </c>
      <c r="N43" s="70">
        <f t="shared" si="34"/>
        <v>0</v>
      </c>
      <c r="O43" s="70">
        <f t="shared" si="34"/>
        <v>0</v>
      </c>
      <c r="P43" s="70">
        <f t="shared" si="34"/>
        <v>0</v>
      </c>
      <c r="Q43" s="70">
        <f t="shared" si="34"/>
        <v>0</v>
      </c>
      <c r="R43" s="70">
        <f t="shared" si="34"/>
        <v>0</v>
      </c>
      <c r="S43" s="70">
        <f t="shared" si="34"/>
        <v>0</v>
      </c>
      <c r="T43" s="70">
        <f t="shared" si="34"/>
        <v>0</v>
      </c>
      <c r="U43" s="70">
        <f t="shared" si="34"/>
        <v>0</v>
      </c>
      <c r="V43" s="70">
        <f t="shared" si="34"/>
        <v>0</v>
      </c>
      <c r="W43" s="70">
        <f t="shared" si="34"/>
        <v>0</v>
      </c>
      <c r="X43" s="70">
        <f t="shared" si="34"/>
        <v>0</v>
      </c>
      <c r="Y43" s="70">
        <f t="shared" si="34"/>
        <v>0</v>
      </c>
      <c r="Z43" s="70">
        <f t="shared" si="34"/>
        <v>0</v>
      </c>
      <c r="AA43" s="70">
        <f t="shared" si="34"/>
        <v>0</v>
      </c>
      <c r="AB43" s="70">
        <f t="shared" si="34"/>
        <v>0</v>
      </c>
      <c r="AC43" s="70">
        <f t="shared" si="34"/>
        <v>0</v>
      </c>
      <c r="AD43" s="70">
        <f t="shared" si="34"/>
        <v>0</v>
      </c>
      <c r="AE43" s="70">
        <f t="shared" si="34"/>
        <v>0</v>
      </c>
      <c r="AF43" s="70">
        <f t="shared" si="34"/>
        <v>0</v>
      </c>
      <c r="AG43" s="70">
        <f t="shared" si="34"/>
        <v>0</v>
      </c>
      <c r="AH43" s="70">
        <f t="shared" si="34"/>
        <v>0</v>
      </c>
      <c r="AI43" s="70">
        <f t="shared" si="34"/>
        <v>0</v>
      </c>
      <c r="AJ43" s="70">
        <f t="shared" si="34"/>
        <v>35535.578087114991</v>
      </c>
      <c r="AK43" s="70">
        <f t="shared" si="34"/>
        <v>20229.679059110938</v>
      </c>
      <c r="AL43" s="70">
        <f t="shared" si="34"/>
        <v>20229.679059110938</v>
      </c>
      <c r="AM43" s="70">
        <f t="shared" si="34"/>
        <v>20229.679059110938</v>
      </c>
      <c r="AN43" s="70">
        <f t="shared" si="34"/>
        <v>20229.679059110938</v>
      </c>
      <c r="AO43" s="70">
        <f t="shared" si="34"/>
        <v>20229.679059110938</v>
      </c>
      <c r="AP43" s="70">
        <f t="shared" si="34"/>
        <v>20801.766726777289</v>
      </c>
      <c r="AQ43" s="70">
        <f t="shared" si="34"/>
        <v>20801.766726777289</v>
      </c>
      <c r="AR43" s="70">
        <f t="shared" si="34"/>
        <v>20801.766726777289</v>
      </c>
      <c r="AS43" s="70">
        <f t="shared" si="34"/>
        <v>20801.766726777289</v>
      </c>
      <c r="AT43" s="70">
        <f t="shared" si="34"/>
        <v>20801.766726777289</v>
      </c>
      <c r="AU43" s="70">
        <f t="shared" si="34"/>
        <v>20801.766726777289</v>
      </c>
      <c r="AV43" s="70">
        <f t="shared" si="34"/>
        <v>20801.766726777289</v>
      </c>
      <c r="AW43" s="70">
        <f t="shared" si="34"/>
        <v>20801.766726777289</v>
      </c>
      <c r="AX43" s="70">
        <f t="shared" si="34"/>
        <v>20801.766726777289</v>
      </c>
      <c r="AY43" s="70">
        <f t="shared" si="34"/>
        <v>20801.766726777289</v>
      </c>
      <c r="AZ43" s="70">
        <f t="shared" si="34"/>
        <v>20801.766726777289</v>
      </c>
      <c r="BA43" s="70">
        <f t="shared" si="34"/>
        <v>20801.766726777289</v>
      </c>
      <c r="BB43" s="70">
        <f t="shared" si="34"/>
        <v>22940.419756052164</v>
      </c>
      <c r="BC43" s="70">
        <f t="shared" si="34"/>
        <v>22940.419756052164</v>
      </c>
      <c r="BD43" s="70">
        <f t="shared" si="34"/>
        <v>22940.419756052164</v>
      </c>
      <c r="BE43" s="70">
        <f t="shared" si="34"/>
        <v>22940.419756052164</v>
      </c>
      <c r="BF43" s="70">
        <f t="shared" si="34"/>
        <v>22940.419756052164</v>
      </c>
      <c r="BG43" s="70">
        <f t="shared" si="34"/>
        <v>22940.419756052164</v>
      </c>
      <c r="BH43" s="70">
        <f t="shared" si="34"/>
        <v>22940.419756052164</v>
      </c>
      <c r="BI43" s="70">
        <f t="shared" si="34"/>
        <v>13133.953769650032</v>
      </c>
      <c r="BJ43" s="70">
        <f t="shared" si="34"/>
        <v>13133.953769650032</v>
      </c>
      <c r="BK43" s="70">
        <f t="shared" si="34"/>
        <v>13133.953769650032</v>
      </c>
      <c r="BL43" s="70">
        <f t="shared" si="34"/>
        <v>13133.953769650032</v>
      </c>
      <c r="BM43" s="70">
        <f t="shared" si="34"/>
        <v>13133.953769650032</v>
      </c>
      <c r="BN43" s="70">
        <f t="shared" si="34"/>
        <v>15348.546653875792</v>
      </c>
      <c r="BO43" s="70">
        <f t="shared" si="34"/>
        <v>15348.546653875792</v>
      </c>
      <c r="BP43" s="70">
        <f t="shared" si="34"/>
        <v>15348.546653875792</v>
      </c>
      <c r="BQ43" s="70">
        <f t="shared" si="34"/>
        <v>15348.546653875792</v>
      </c>
      <c r="BR43" s="70">
        <f t="shared" si="34"/>
        <v>15348.546653875792</v>
      </c>
      <c r="BS43" s="70">
        <f t="shared" ref="BS43:DV43" si="35">MIN(BS40+BS41,MAX(BS34,0)*$I$10)</f>
        <v>15348.546653875792</v>
      </c>
      <c r="BT43" s="70">
        <f t="shared" si="35"/>
        <v>15348.546653875792</v>
      </c>
      <c r="BU43" s="70">
        <f t="shared" si="35"/>
        <v>15348.546653875792</v>
      </c>
      <c r="BV43" s="70">
        <f t="shared" si="35"/>
        <v>15348.546653875792</v>
      </c>
      <c r="BW43" s="70">
        <f t="shared" si="35"/>
        <v>15348.546653875792</v>
      </c>
      <c r="BX43" s="70">
        <f t="shared" si="35"/>
        <v>15348.546653875792</v>
      </c>
      <c r="BY43" s="70">
        <f t="shared" si="35"/>
        <v>15348.546653875792</v>
      </c>
      <c r="BZ43" s="70">
        <f t="shared" si="35"/>
        <v>17641.593193982382</v>
      </c>
      <c r="CA43" s="70">
        <f t="shared" si="35"/>
        <v>17641.593193982382</v>
      </c>
      <c r="CB43" s="70">
        <f t="shared" si="35"/>
        <v>17641.593193982382</v>
      </c>
      <c r="CC43" s="70">
        <f t="shared" si="35"/>
        <v>17641.593193982382</v>
      </c>
      <c r="CD43" s="70">
        <f t="shared" si="35"/>
        <v>17641.593193982382</v>
      </c>
      <c r="CE43" s="70">
        <f t="shared" si="35"/>
        <v>17641.593193982382</v>
      </c>
      <c r="CF43" s="70">
        <f t="shared" si="35"/>
        <v>17641.593193982382</v>
      </c>
      <c r="CG43" s="70">
        <f t="shared" si="35"/>
        <v>17641.593193982382</v>
      </c>
      <c r="CH43" s="70">
        <f t="shared" si="35"/>
        <v>17641.593193982382</v>
      </c>
      <c r="CI43" s="70">
        <f t="shared" si="35"/>
        <v>17641.593193982382</v>
      </c>
      <c r="CJ43" s="70">
        <f t="shared" si="35"/>
        <v>17641.593193982382</v>
      </c>
      <c r="CK43" s="70">
        <f t="shared" si="35"/>
        <v>17641.593193982382</v>
      </c>
      <c r="CL43" s="70">
        <f t="shared" si="35"/>
        <v>20015.687317033364</v>
      </c>
      <c r="CM43" s="70">
        <f t="shared" si="35"/>
        <v>20015.687317033364</v>
      </c>
      <c r="CN43" s="70">
        <f t="shared" si="35"/>
        <v>20015.687317033364</v>
      </c>
      <c r="CO43" s="70">
        <f t="shared" si="35"/>
        <v>20015.687317033364</v>
      </c>
      <c r="CP43" s="70">
        <f t="shared" si="35"/>
        <v>20015.687317033364</v>
      </c>
      <c r="CQ43" s="70">
        <f t="shared" si="35"/>
        <v>20015.687317033364</v>
      </c>
      <c r="CR43" s="70">
        <f t="shared" si="35"/>
        <v>20015.687317033364</v>
      </c>
      <c r="CS43" s="70">
        <f t="shared" si="35"/>
        <v>20015.687317033364</v>
      </c>
      <c r="CT43" s="70">
        <f t="shared" si="35"/>
        <v>20015.687317033364</v>
      </c>
      <c r="CU43" s="70">
        <f t="shared" si="35"/>
        <v>20015.687317033364</v>
      </c>
      <c r="CV43" s="70">
        <f t="shared" si="35"/>
        <v>20015.687317033364</v>
      </c>
      <c r="CW43" s="70">
        <f t="shared" si="35"/>
        <v>20015.687317033364</v>
      </c>
      <c r="CX43" s="70">
        <f t="shared" si="35"/>
        <v>22473.505574251805</v>
      </c>
      <c r="CY43" s="70">
        <f t="shared" si="35"/>
        <v>22473.505574251805</v>
      </c>
      <c r="CZ43" s="70">
        <f t="shared" si="35"/>
        <v>22473.505574251805</v>
      </c>
      <c r="DA43" s="70">
        <f t="shared" si="35"/>
        <v>22473.505574251805</v>
      </c>
      <c r="DB43" s="70">
        <f t="shared" si="35"/>
        <v>22473.505574251805</v>
      </c>
      <c r="DC43" s="70">
        <f t="shared" si="35"/>
        <v>22473.505574251805</v>
      </c>
      <c r="DD43" s="70">
        <f t="shared" si="35"/>
        <v>22473.505574251805</v>
      </c>
      <c r="DE43" s="70">
        <f t="shared" si="35"/>
        <v>22473.505574251805</v>
      </c>
      <c r="DF43" s="70">
        <f t="shared" si="35"/>
        <v>22473.505574251805</v>
      </c>
      <c r="DG43" s="70">
        <f t="shared" si="35"/>
        <v>22473.505574251805</v>
      </c>
      <c r="DH43" s="70">
        <f t="shared" si="35"/>
        <v>22473.505574251805</v>
      </c>
      <c r="DI43" s="70">
        <f t="shared" si="35"/>
        <v>22473.505574251805</v>
      </c>
      <c r="DJ43" s="70">
        <f t="shared" si="35"/>
        <v>25017.809715872379</v>
      </c>
      <c r="DK43" s="70">
        <f t="shared" si="35"/>
        <v>25017.809715872379</v>
      </c>
      <c r="DL43" s="70">
        <f t="shared" si="35"/>
        <v>25017.809715872379</v>
      </c>
      <c r="DM43" s="70">
        <f t="shared" si="35"/>
        <v>25017.809715872379</v>
      </c>
      <c r="DN43" s="70">
        <f t="shared" si="35"/>
        <v>25017.809715872379</v>
      </c>
      <c r="DO43" s="70">
        <f t="shared" si="35"/>
        <v>25017.809715872379</v>
      </c>
      <c r="DP43" s="70">
        <f t="shared" si="35"/>
        <v>25017.809715872379</v>
      </c>
      <c r="DQ43" s="70">
        <f t="shared" si="35"/>
        <v>25017.809715872379</v>
      </c>
      <c r="DR43" s="70">
        <f t="shared" si="35"/>
        <v>25017.809715872379</v>
      </c>
      <c r="DS43" s="70">
        <f t="shared" si="35"/>
        <v>25017.809715872379</v>
      </c>
      <c r="DT43" s="70">
        <f t="shared" si="35"/>
        <v>25017.809715872379</v>
      </c>
      <c r="DU43" s="70">
        <f t="shared" si="35"/>
        <v>25017.809715872379</v>
      </c>
      <c r="DV43" s="70">
        <f t="shared" si="35"/>
        <v>5139904.3600835102</v>
      </c>
    </row>
    <row r="44" spans="2:130" x14ac:dyDescent="0.3">
      <c r="B44" t="s">
        <v>6</v>
      </c>
      <c r="F44" s="70">
        <f>F40+F41+F42-F43</f>
        <v>1723311.6942992047</v>
      </c>
      <c r="G44" s="70">
        <f t="shared" ref="G44:BR44" si="36">G40+G41+G42-G43</f>
        <v>1743039.9626366103</v>
      </c>
      <c r="H44" s="70">
        <f t="shared" si="36"/>
        <v>1774364.472602966</v>
      </c>
      <c r="I44" s="70">
        <f t="shared" si="36"/>
        <v>1828792.3503475708</v>
      </c>
      <c r="J44" s="70">
        <f t="shared" si="36"/>
        <v>1925101.0162603871</v>
      </c>
      <c r="K44" s="70">
        <f t="shared" si="36"/>
        <v>2090198.8415055361</v>
      </c>
      <c r="L44" s="70">
        <f t="shared" si="36"/>
        <v>2357150.2604018776</v>
      </c>
      <c r="M44" s="70">
        <f t="shared" si="36"/>
        <v>2714045.6341172927</v>
      </c>
      <c r="N44" s="70">
        <f t="shared" si="36"/>
        <v>3183690.1551957591</v>
      </c>
      <c r="O44" s="70">
        <f t="shared" si="36"/>
        <v>3724398.1537290602</v>
      </c>
      <c r="P44" s="70">
        <f t="shared" si="36"/>
        <v>3748361.0435917941</v>
      </c>
      <c r="Q44" s="70">
        <f t="shared" si="36"/>
        <v>3772478.1114094276</v>
      </c>
      <c r="R44" s="70">
        <f t="shared" si="36"/>
        <v>3796750.3491675649</v>
      </c>
      <c r="S44" s="70">
        <f t="shared" si="36"/>
        <v>3821178.755234275</v>
      </c>
      <c r="T44" s="70">
        <f t="shared" si="36"/>
        <v>3845764.3344011577</v>
      </c>
      <c r="U44" s="70">
        <f t="shared" si="36"/>
        <v>3870508.0979246721</v>
      </c>
      <c r="V44" s="70">
        <f t="shared" si="36"/>
        <v>3895411.0635677315</v>
      </c>
      <c r="W44" s="70">
        <f t="shared" si="36"/>
        <v>3920474.2556415666</v>
      </c>
      <c r="X44" s="70">
        <f t="shared" si="36"/>
        <v>3945698.7050478579</v>
      </c>
      <c r="Y44" s="70">
        <f t="shared" si="36"/>
        <v>3971085.4493211373</v>
      </c>
      <c r="Z44" s="70">
        <f t="shared" si="36"/>
        <v>3996635.532671466</v>
      </c>
      <c r="AA44" s="70">
        <f t="shared" si="36"/>
        <v>4022350.0060273837</v>
      </c>
      <c r="AB44" s="70">
        <f t="shared" si="36"/>
        <v>4048229.9270791365</v>
      </c>
      <c r="AC44" s="70">
        <f t="shared" si="36"/>
        <v>4074276.3603221807</v>
      </c>
      <c r="AD44" s="70">
        <f t="shared" si="36"/>
        <v>4100490.3771009687</v>
      </c>
      <c r="AE44" s="70">
        <f t="shared" si="36"/>
        <v>4126873.0556530156</v>
      </c>
      <c r="AF44" s="70">
        <f t="shared" si="36"/>
        <v>4153425.4811532488</v>
      </c>
      <c r="AG44" s="70">
        <f t="shared" si="36"/>
        <v>4180148.7457586443</v>
      </c>
      <c r="AH44" s="70">
        <f t="shared" si="36"/>
        <v>4207043.9486531485</v>
      </c>
      <c r="AI44" s="70">
        <f t="shared" si="36"/>
        <v>4234112.1960928906</v>
      </c>
      <c r="AJ44" s="70">
        <f t="shared" si="36"/>
        <v>4225819.02336457</v>
      </c>
      <c r="AK44" s="70">
        <f t="shared" si="36"/>
        <v>4232778.3911412125</v>
      </c>
      <c r="AL44" s="70">
        <f t="shared" si="36"/>
        <v>4239782.5356996767</v>
      </c>
      <c r="AM44" s="70">
        <f t="shared" si="36"/>
        <v>4246831.7451351248</v>
      </c>
      <c r="AN44" s="70">
        <f t="shared" si="36"/>
        <v>4253926.3093963321</v>
      </c>
      <c r="AO44" s="70">
        <f t="shared" si="36"/>
        <v>4261066.520297613</v>
      </c>
      <c r="AP44" s="70">
        <f t="shared" si="36"/>
        <v>4267680.5838631587</v>
      </c>
      <c r="AQ44" s="70">
        <f t="shared" si="36"/>
        <v>4274337.2025128342</v>
      </c>
      <c r="AR44" s="70">
        <f t="shared" si="36"/>
        <v>4281036.650047333</v>
      </c>
      <c r="AS44" s="70">
        <f t="shared" si="36"/>
        <v>4287779.2020289889</v>
      </c>
      <c r="AT44" s="70">
        <f t="shared" si="36"/>
        <v>4294565.1357931131</v>
      </c>
      <c r="AU44" s="70">
        <f t="shared" si="36"/>
        <v>4301394.7304594005</v>
      </c>
      <c r="AV44" s="70">
        <f t="shared" si="36"/>
        <v>4308268.2669434091</v>
      </c>
      <c r="AW44" s="70">
        <f t="shared" si="36"/>
        <v>4315186.027968118</v>
      </c>
      <c r="AX44" s="70">
        <f t="shared" si="36"/>
        <v>4322148.298075554</v>
      </c>
      <c r="AY44" s="70">
        <f t="shared" si="36"/>
        <v>4329155.3636384951</v>
      </c>
      <c r="AZ44" s="70">
        <f t="shared" si="36"/>
        <v>4336207.5128722508</v>
      </c>
      <c r="BA44" s="70">
        <f t="shared" si="36"/>
        <v>4343305.0358465165</v>
      </c>
      <c r="BB44" s="70">
        <f t="shared" si="36"/>
        <v>4348309.5714680301</v>
      </c>
      <c r="BC44" s="70">
        <f t="shared" si="36"/>
        <v>4353346.3064224198</v>
      </c>
      <c r="BD44" s="70">
        <f t="shared" si="36"/>
        <v>4358415.4478811622</v>
      </c>
      <c r="BE44" s="70">
        <f t="shared" si="36"/>
        <v>4363517.2043486815</v>
      </c>
      <c r="BF44" s="70">
        <f t="shared" si="36"/>
        <v>4368651.7856709268</v>
      </c>
      <c r="BG44" s="70">
        <f t="shared" si="36"/>
        <v>4373819.4030440021</v>
      </c>
      <c r="BH44" s="70">
        <f t="shared" si="36"/>
        <v>4379020.2690228522</v>
      </c>
      <c r="BI44" s="70">
        <f t="shared" si="36"/>
        <v>4394061.0635164101</v>
      </c>
      <c r="BJ44" s="70">
        <f t="shared" si="36"/>
        <v>4409198.6309346184</v>
      </c>
      <c r="BK44" s="70">
        <f t="shared" si="36"/>
        <v>4424433.5939173875</v>
      </c>
      <c r="BL44" s="70">
        <f t="shared" si="36"/>
        <v>4439766.5791107127</v>
      </c>
      <c r="BM44" s="70">
        <f t="shared" si="36"/>
        <v>4455198.2171924477</v>
      </c>
      <c r="BN44" s="70">
        <f t="shared" si="36"/>
        <v>4468514.5500140218</v>
      </c>
      <c r="BO44" s="70">
        <f t="shared" si="36"/>
        <v>4481916.5605219239</v>
      </c>
      <c r="BP44" s="70">
        <f t="shared" si="36"/>
        <v>4495404.7999689691</v>
      </c>
      <c r="BQ44" s="70">
        <f t="shared" si="36"/>
        <v>4508979.8231547475</v>
      </c>
      <c r="BR44" s="70">
        <f t="shared" si="36"/>
        <v>4522642.1884484468</v>
      </c>
      <c r="BS44" s="70">
        <f t="shared" ref="BS44:DV44" si="37">BS40+BS41+BS42-BS43</f>
        <v>4536392.4578118194</v>
      </c>
      <c r="BT44" s="70">
        <f t="shared" si="37"/>
        <v>4550231.1968222968</v>
      </c>
      <c r="BU44" s="70">
        <f t="shared" si="37"/>
        <v>4564158.9746962525</v>
      </c>
      <c r="BV44" s="70">
        <f t="shared" si="37"/>
        <v>4578176.3643124141</v>
      </c>
      <c r="BW44" s="70">
        <f t="shared" si="37"/>
        <v>4592283.9422354298</v>
      </c>
      <c r="BX44" s="70">
        <f t="shared" si="37"/>
        <v>4606482.2887395816</v>
      </c>
      <c r="BY44" s="70">
        <f t="shared" si="37"/>
        <v>4620771.9878326533</v>
      </c>
      <c r="BZ44" s="70">
        <f t="shared" si="37"/>
        <v>4632860.5807398465</v>
      </c>
      <c r="CA44" s="70">
        <f t="shared" si="37"/>
        <v>4645026.9520177916</v>
      </c>
      <c r="CB44" s="70">
        <f t="shared" si="37"/>
        <v>4657271.6020948691</v>
      </c>
      <c r="CC44" s="70">
        <f t="shared" si="37"/>
        <v>4669595.0346192289</v>
      </c>
      <c r="CD44" s="70">
        <f t="shared" si="37"/>
        <v>4681997.7564795092</v>
      </c>
      <c r="CE44" s="70">
        <f t="shared" si="37"/>
        <v>4694480.2778256843</v>
      </c>
      <c r="CF44" s="70">
        <f t="shared" si="37"/>
        <v>4707043.1120900493</v>
      </c>
      <c r="CG44" s="70">
        <f t="shared" si="37"/>
        <v>4719686.7760083387</v>
      </c>
      <c r="CH44" s="70">
        <f t="shared" si="37"/>
        <v>4732411.7896409789</v>
      </c>
      <c r="CI44" s="70">
        <f t="shared" si="37"/>
        <v>4745218.6763944812</v>
      </c>
      <c r="CJ44" s="70">
        <f t="shared" si="37"/>
        <v>4758107.9630429707</v>
      </c>
      <c r="CK44" s="70">
        <f t="shared" si="37"/>
        <v>4771080.1797498539</v>
      </c>
      <c r="CL44" s="70">
        <f t="shared" si="37"/>
        <v>4781761.7659665719</v>
      </c>
      <c r="CM44" s="70">
        <f t="shared" si="37"/>
        <v>4792512.0778306304</v>
      </c>
      <c r="CN44" s="70">
        <f t="shared" si="37"/>
        <v>4803331.5575249149</v>
      </c>
      <c r="CO44" s="70">
        <f t="shared" si="37"/>
        <v>4814220.6500773262</v>
      </c>
      <c r="CP44" s="70">
        <f t="shared" si="37"/>
        <v>4825179.8033790905</v>
      </c>
      <c r="CQ44" s="70">
        <f t="shared" si="37"/>
        <v>4836209.4682031786</v>
      </c>
      <c r="CR44" s="70">
        <f t="shared" si="37"/>
        <v>4847310.098222848</v>
      </c>
      <c r="CS44" s="70">
        <f t="shared" si="37"/>
        <v>4858482.1500303047</v>
      </c>
      <c r="CT44" s="70">
        <f t="shared" si="37"/>
        <v>4869726.0831554802</v>
      </c>
      <c r="CU44" s="70">
        <f t="shared" si="37"/>
        <v>4881042.3600849379</v>
      </c>
      <c r="CV44" s="70">
        <f t="shared" si="37"/>
        <v>4892431.4462808929</v>
      </c>
      <c r="CW44" s="70">
        <f t="shared" si="37"/>
        <v>4903893.8102003587</v>
      </c>
      <c r="CX44" s="70">
        <f t="shared" si="37"/>
        <v>4912972.1050571958</v>
      </c>
      <c r="CY44" s="70">
        <f t="shared" si="37"/>
        <v>4922108.809936489</v>
      </c>
      <c r="CZ44" s="70">
        <f t="shared" si="37"/>
        <v>4931304.3006500816</v>
      </c>
      <c r="DA44" s="70">
        <f t="shared" si="37"/>
        <v>4940558.9554278022</v>
      </c>
      <c r="DB44" s="70">
        <f t="shared" si="37"/>
        <v>4949873.1549330205</v>
      </c>
      <c r="DC44" s="70">
        <f t="shared" si="37"/>
        <v>4959247.2822783059</v>
      </c>
      <c r="DD44" s="70">
        <f t="shared" si="37"/>
        <v>4968681.7230411852</v>
      </c>
      <c r="DE44" s="70">
        <f t="shared" si="37"/>
        <v>4978176.8652800042</v>
      </c>
      <c r="DF44" s="70">
        <f t="shared" si="37"/>
        <v>4987733.0995498868</v>
      </c>
      <c r="DG44" s="70">
        <f t="shared" si="37"/>
        <v>4997350.8189188</v>
      </c>
      <c r="DH44" s="70">
        <f t="shared" si="37"/>
        <v>5007030.4189837221</v>
      </c>
      <c r="DI44" s="70">
        <f t="shared" si="37"/>
        <v>5016772.2978869146</v>
      </c>
      <c r="DJ44" s="70">
        <f t="shared" si="37"/>
        <v>5024032.5521906773</v>
      </c>
      <c r="DK44" s="70">
        <f t="shared" si="37"/>
        <v>5031339.5191892367</v>
      </c>
      <c r="DL44" s="70">
        <f t="shared" si="37"/>
        <v>5038693.4994334774</v>
      </c>
      <c r="DM44" s="70">
        <f t="shared" si="37"/>
        <v>5046094.7954080384</v>
      </c>
      <c r="DN44" s="70">
        <f t="shared" si="37"/>
        <v>5053543.7115437528</v>
      </c>
      <c r="DO44" s="70">
        <f t="shared" si="37"/>
        <v>5061040.5542301713</v>
      </c>
      <c r="DP44" s="70">
        <f t="shared" si="37"/>
        <v>5068585.6318281638</v>
      </c>
      <c r="DQ44" s="70">
        <f t="shared" si="37"/>
        <v>5076179.2546826042</v>
      </c>
      <c r="DR44" s="70">
        <f t="shared" si="37"/>
        <v>5083821.7351351343</v>
      </c>
      <c r="DS44" s="70">
        <f t="shared" si="37"/>
        <v>5091513.3875370109</v>
      </c>
      <c r="DT44" s="70">
        <f t="shared" si="37"/>
        <v>5099254.5282620369</v>
      </c>
      <c r="DU44" s="70">
        <f t="shared" si="37"/>
        <v>5107045.4757195739</v>
      </c>
      <c r="DV44" s="70">
        <f t="shared" si="37"/>
        <v>0</v>
      </c>
    </row>
    <row r="45" spans="2:130" x14ac:dyDescent="0.3">
      <c r="B45" s="71">
        <f>C39</f>
        <v>0.08</v>
      </c>
      <c r="E45" s="65">
        <f>XIRR(F45:DV45,$F$15:$DV$15)</f>
        <v>7.993663847446443E-2</v>
      </c>
      <c r="F45" s="70">
        <f>-F42+F43</f>
        <v>-1723311.6942992047</v>
      </c>
      <c r="G45" s="70">
        <f t="shared" ref="G45:BR45" si="38">-G42+G43</f>
        <v>-8640.4290073635511</v>
      </c>
      <c r="H45" s="70">
        <f t="shared" si="38"/>
        <v>-20109.73836381239</v>
      </c>
      <c r="I45" s="70">
        <f t="shared" si="38"/>
        <v>-43011.56330175692</v>
      </c>
      <c r="J45" s="70">
        <f t="shared" si="38"/>
        <v>-84542.160865736136</v>
      </c>
      <c r="K45" s="70">
        <f t="shared" si="38"/>
        <v>-152711.66734173146</v>
      </c>
      <c r="L45" s="70">
        <f t="shared" si="38"/>
        <v>-253503.01661420055</v>
      </c>
      <c r="M45" s="70">
        <f t="shared" si="38"/>
        <v>-341729.39796618692</v>
      </c>
      <c r="N45" s="70">
        <f t="shared" si="38"/>
        <v>-452182.26974863233</v>
      </c>
      <c r="O45" s="70">
        <f t="shared" si="38"/>
        <v>-520224.0402138498</v>
      </c>
      <c r="P45" s="70">
        <f t="shared" si="38"/>
        <v>0</v>
      </c>
      <c r="Q45" s="70">
        <f t="shared" si="38"/>
        <v>0</v>
      </c>
      <c r="R45" s="70">
        <f t="shared" si="38"/>
        <v>0</v>
      </c>
      <c r="S45" s="70">
        <f t="shared" si="38"/>
        <v>0</v>
      </c>
      <c r="T45" s="70">
        <f t="shared" si="38"/>
        <v>0</v>
      </c>
      <c r="U45" s="70">
        <f t="shared" si="38"/>
        <v>0</v>
      </c>
      <c r="V45" s="70">
        <f t="shared" si="38"/>
        <v>0</v>
      </c>
      <c r="W45" s="70">
        <f t="shared" si="38"/>
        <v>0</v>
      </c>
      <c r="X45" s="70">
        <f t="shared" si="38"/>
        <v>0</v>
      </c>
      <c r="Y45" s="70">
        <f t="shared" si="38"/>
        <v>0</v>
      </c>
      <c r="Z45" s="70">
        <f t="shared" si="38"/>
        <v>0</v>
      </c>
      <c r="AA45" s="70">
        <f t="shared" si="38"/>
        <v>0</v>
      </c>
      <c r="AB45" s="70">
        <f t="shared" si="38"/>
        <v>0</v>
      </c>
      <c r="AC45" s="70">
        <f t="shared" si="38"/>
        <v>0</v>
      </c>
      <c r="AD45" s="70">
        <f t="shared" si="38"/>
        <v>0</v>
      </c>
      <c r="AE45" s="70">
        <f t="shared" si="38"/>
        <v>0</v>
      </c>
      <c r="AF45" s="70">
        <f t="shared" si="38"/>
        <v>0</v>
      </c>
      <c r="AG45" s="70">
        <f t="shared" si="38"/>
        <v>0</v>
      </c>
      <c r="AH45" s="70">
        <f t="shared" si="38"/>
        <v>0</v>
      </c>
      <c r="AI45" s="70">
        <f t="shared" si="38"/>
        <v>0</v>
      </c>
      <c r="AJ45" s="70">
        <f t="shared" si="38"/>
        <v>35535.578087114991</v>
      </c>
      <c r="AK45" s="70">
        <f t="shared" si="38"/>
        <v>20229.679059110938</v>
      </c>
      <c r="AL45" s="70">
        <f t="shared" si="38"/>
        <v>20229.679059110938</v>
      </c>
      <c r="AM45" s="70">
        <f t="shared" si="38"/>
        <v>20229.679059110938</v>
      </c>
      <c r="AN45" s="70">
        <f t="shared" si="38"/>
        <v>20229.679059110938</v>
      </c>
      <c r="AO45" s="70">
        <f t="shared" si="38"/>
        <v>20229.679059110938</v>
      </c>
      <c r="AP45" s="70">
        <f t="shared" si="38"/>
        <v>20801.766726777289</v>
      </c>
      <c r="AQ45" s="70">
        <f t="shared" si="38"/>
        <v>20801.766726777289</v>
      </c>
      <c r="AR45" s="70">
        <f t="shared" si="38"/>
        <v>20801.766726777289</v>
      </c>
      <c r="AS45" s="70">
        <f t="shared" si="38"/>
        <v>20801.766726777289</v>
      </c>
      <c r="AT45" s="70">
        <f t="shared" si="38"/>
        <v>20801.766726777289</v>
      </c>
      <c r="AU45" s="70">
        <f t="shared" si="38"/>
        <v>20801.766726777289</v>
      </c>
      <c r="AV45" s="70">
        <f t="shared" si="38"/>
        <v>20801.766726777289</v>
      </c>
      <c r="AW45" s="70">
        <f t="shared" si="38"/>
        <v>20801.766726777289</v>
      </c>
      <c r="AX45" s="70">
        <f t="shared" si="38"/>
        <v>20801.766726777289</v>
      </c>
      <c r="AY45" s="70">
        <f t="shared" si="38"/>
        <v>20801.766726777289</v>
      </c>
      <c r="AZ45" s="70">
        <f t="shared" si="38"/>
        <v>20801.766726777289</v>
      </c>
      <c r="BA45" s="70">
        <f t="shared" si="38"/>
        <v>20801.766726777289</v>
      </c>
      <c r="BB45" s="70">
        <f t="shared" si="38"/>
        <v>22940.419756052164</v>
      </c>
      <c r="BC45" s="70">
        <f t="shared" si="38"/>
        <v>22940.419756052164</v>
      </c>
      <c r="BD45" s="70">
        <f t="shared" si="38"/>
        <v>22940.419756052164</v>
      </c>
      <c r="BE45" s="70">
        <f t="shared" si="38"/>
        <v>22940.419756052164</v>
      </c>
      <c r="BF45" s="70">
        <f t="shared" si="38"/>
        <v>22940.419756052164</v>
      </c>
      <c r="BG45" s="70">
        <f t="shared" si="38"/>
        <v>22940.419756052164</v>
      </c>
      <c r="BH45" s="70">
        <f t="shared" si="38"/>
        <v>22940.419756052164</v>
      </c>
      <c r="BI45" s="70">
        <f t="shared" si="38"/>
        <v>13133.953769650032</v>
      </c>
      <c r="BJ45" s="70">
        <f t="shared" si="38"/>
        <v>13133.953769650032</v>
      </c>
      <c r="BK45" s="70">
        <f t="shared" si="38"/>
        <v>13133.953769650032</v>
      </c>
      <c r="BL45" s="70">
        <f t="shared" si="38"/>
        <v>13133.953769650032</v>
      </c>
      <c r="BM45" s="70">
        <f t="shared" si="38"/>
        <v>13133.953769650032</v>
      </c>
      <c r="BN45" s="70">
        <f t="shared" si="38"/>
        <v>15348.546653875792</v>
      </c>
      <c r="BO45" s="70">
        <f t="shared" si="38"/>
        <v>15348.546653875792</v>
      </c>
      <c r="BP45" s="70">
        <f t="shared" si="38"/>
        <v>15348.546653875792</v>
      </c>
      <c r="BQ45" s="70">
        <f t="shared" si="38"/>
        <v>15348.546653875792</v>
      </c>
      <c r="BR45" s="70">
        <f t="shared" si="38"/>
        <v>15348.546653875792</v>
      </c>
      <c r="BS45" s="70">
        <f t="shared" ref="BS45:DV45" si="39">-BS42+BS43</f>
        <v>15348.546653875792</v>
      </c>
      <c r="BT45" s="70">
        <f t="shared" si="39"/>
        <v>15348.546653875792</v>
      </c>
      <c r="BU45" s="70">
        <f t="shared" si="39"/>
        <v>15348.546653875792</v>
      </c>
      <c r="BV45" s="70">
        <f t="shared" si="39"/>
        <v>15348.546653875792</v>
      </c>
      <c r="BW45" s="70">
        <f t="shared" si="39"/>
        <v>15348.546653875792</v>
      </c>
      <c r="BX45" s="70">
        <f t="shared" si="39"/>
        <v>15348.546653875792</v>
      </c>
      <c r="BY45" s="70">
        <f t="shared" si="39"/>
        <v>15348.546653875792</v>
      </c>
      <c r="BZ45" s="70">
        <f t="shared" si="39"/>
        <v>17641.593193982382</v>
      </c>
      <c r="CA45" s="70">
        <f t="shared" si="39"/>
        <v>17641.593193982382</v>
      </c>
      <c r="CB45" s="70">
        <f t="shared" si="39"/>
        <v>17641.593193982382</v>
      </c>
      <c r="CC45" s="70">
        <f t="shared" si="39"/>
        <v>17641.593193982382</v>
      </c>
      <c r="CD45" s="70">
        <f t="shared" si="39"/>
        <v>17641.593193982382</v>
      </c>
      <c r="CE45" s="70">
        <f t="shared" si="39"/>
        <v>17641.593193982382</v>
      </c>
      <c r="CF45" s="70">
        <f t="shared" si="39"/>
        <v>17641.593193982382</v>
      </c>
      <c r="CG45" s="70">
        <f t="shared" si="39"/>
        <v>17641.593193982382</v>
      </c>
      <c r="CH45" s="70">
        <f t="shared" si="39"/>
        <v>17641.593193982382</v>
      </c>
      <c r="CI45" s="70">
        <f t="shared" si="39"/>
        <v>17641.593193982382</v>
      </c>
      <c r="CJ45" s="70">
        <f t="shared" si="39"/>
        <v>17641.593193982382</v>
      </c>
      <c r="CK45" s="70">
        <f t="shared" si="39"/>
        <v>17641.593193982382</v>
      </c>
      <c r="CL45" s="70">
        <f t="shared" si="39"/>
        <v>20015.687317033364</v>
      </c>
      <c r="CM45" s="70">
        <f t="shared" si="39"/>
        <v>20015.687317033364</v>
      </c>
      <c r="CN45" s="70">
        <f t="shared" si="39"/>
        <v>20015.687317033364</v>
      </c>
      <c r="CO45" s="70">
        <f t="shared" si="39"/>
        <v>20015.687317033364</v>
      </c>
      <c r="CP45" s="70">
        <f t="shared" si="39"/>
        <v>20015.687317033364</v>
      </c>
      <c r="CQ45" s="70">
        <f t="shared" si="39"/>
        <v>20015.687317033364</v>
      </c>
      <c r="CR45" s="70">
        <f t="shared" si="39"/>
        <v>20015.687317033364</v>
      </c>
      <c r="CS45" s="70">
        <f t="shared" si="39"/>
        <v>20015.687317033364</v>
      </c>
      <c r="CT45" s="70">
        <f t="shared" si="39"/>
        <v>20015.687317033364</v>
      </c>
      <c r="CU45" s="70">
        <f t="shared" si="39"/>
        <v>20015.687317033364</v>
      </c>
      <c r="CV45" s="70">
        <f t="shared" si="39"/>
        <v>20015.687317033364</v>
      </c>
      <c r="CW45" s="70">
        <f t="shared" si="39"/>
        <v>20015.687317033364</v>
      </c>
      <c r="CX45" s="70">
        <f t="shared" si="39"/>
        <v>22473.505574251805</v>
      </c>
      <c r="CY45" s="70">
        <f t="shared" si="39"/>
        <v>22473.505574251805</v>
      </c>
      <c r="CZ45" s="70">
        <f t="shared" si="39"/>
        <v>22473.505574251805</v>
      </c>
      <c r="DA45" s="70">
        <f t="shared" si="39"/>
        <v>22473.505574251805</v>
      </c>
      <c r="DB45" s="70">
        <f t="shared" si="39"/>
        <v>22473.505574251805</v>
      </c>
      <c r="DC45" s="70">
        <f t="shared" si="39"/>
        <v>22473.505574251805</v>
      </c>
      <c r="DD45" s="70">
        <f t="shared" si="39"/>
        <v>22473.505574251805</v>
      </c>
      <c r="DE45" s="70">
        <f t="shared" si="39"/>
        <v>22473.505574251805</v>
      </c>
      <c r="DF45" s="70">
        <f t="shared" si="39"/>
        <v>22473.505574251805</v>
      </c>
      <c r="DG45" s="70">
        <f t="shared" si="39"/>
        <v>22473.505574251805</v>
      </c>
      <c r="DH45" s="70">
        <f t="shared" si="39"/>
        <v>22473.505574251805</v>
      </c>
      <c r="DI45" s="70">
        <f t="shared" si="39"/>
        <v>22473.505574251805</v>
      </c>
      <c r="DJ45" s="70">
        <f t="shared" si="39"/>
        <v>25017.809715872379</v>
      </c>
      <c r="DK45" s="70">
        <f t="shared" si="39"/>
        <v>25017.809715872379</v>
      </c>
      <c r="DL45" s="70">
        <f t="shared" si="39"/>
        <v>25017.809715872379</v>
      </c>
      <c r="DM45" s="70">
        <f t="shared" si="39"/>
        <v>25017.809715872379</v>
      </c>
      <c r="DN45" s="70">
        <f t="shared" si="39"/>
        <v>25017.809715872379</v>
      </c>
      <c r="DO45" s="70">
        <f t="shared" si="39"/>
        <v>25017.809715872379</v>
      </c>
      <c r="DP45" s="70">
        <f t="shared" si="39"/>
        <v>25017.809715872379</v>
      </c>
      <c r="DQ45" s="70">
        <f t="shared" si="39"/>
        <v>25017.809715872379</v>
      </c>
      <c r="DR45" s="70">
        <f t="shared" si="39"/>
        <v>25017.809715872379</v>
      </c>
      <c r="DS45" s="70">
        <f t="shared" si="39"/>
        <v>25017.809715872379</v>
      </c>
      <c r="DT45" s="70">
        <f t="shared" si="39"/>
        <v>25017.809715872379</v>
      </c>
      <c r="DU45" s="70">
        <f t="shared" si="39"/>
        <v>25017.809715872379</v>
      </c>
      <c r="DV45" s="70">
        <f t="shared" si="39"/>
        <v>5139904.3600835102</v>
      </c>
    </row>
    <row r="46" spans="2:130" x14ac:dyDescent="0.3">
      <c r="B46" s="24"/>
      <c r="C46" s="24"/>
      <c r="D46" s="24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</row>
    <row r="47" spans="2:130" x14ac:dyDescent="0.3">
      <c r="B47" t="s">
        <v>2</v>
      </c>
      <c r="F47" s="70">
        <f>+F43</f>
        <v>0</v>
      </c>
      <c r="G47" s="70">
        <f t="shared" ref="G47:BR47" si="40">+G43</f>
        <v>0</v>
      </c>
      <c r="H47" s="70">
        <f t="shared" si="40"/>
        <v>0</v>
      </c>
      <c r="I47" s="70">
        <f t="shared" si="40"/>
        <v>0</v>
      </c>
      <c r="J47" s="70">
        <f t="shared" si="40"/>
        <v>0</v>
      </c>
      <c r="K47" s="70">
        <f t="shared" si="40"/>
        <v>0</v>
      </c>
      <c r="L47" s="70">
        <f t="shared" si="40"/>
        <v>0</v>
      </c>
      <c r="M47" s="70">
        <f t="shared" si="40"/>
        <v>0</v>
      </c>
      <c r="N47" s="70">
        <f t="shared" si="40"/>
        <v>0</v>
      </c>
      <c r="O47" s="70">
        <f t="shared" si="40"/>
        <v>0</v>
      </c>
      <c r="P47" s="70">
        <f t="shared" si="40"/>
        <v>0</v>
      </c>
      <c r="Q47" s="70">
        <f t="shared" si="40"/>
        <v>0</v>
      </c>
      <c r="R47" s="70">
        <f t="shared" si="40"/>
        <v>0</v>
      </c>
      <c r="S47" s="70">
        <f t="shared" si="40"/>
        <v>0</v>
      </c>
      <c r="T47" s="70">
        <f t="shared" si="40"/>
        <v>0</v>
      </c>
      <c r="U47" s="70">
        <f t="shared" si="40"/>
        <v>0</v>
      </c>
      <c r="V47" s="70">
        <f t="shared" si="40"/>
        <v>0</v>
      </c>
      <c r="W47" s="70">
        <f t="shared" si="40"/>
        <v>0</v>
      </c>
      <c r="X47" s="70">
        <f t="shared" si="40"/>
        <v>0</v>
      </c>
      <c r="Y47" s="70">
        <f t="shared" si="40"/>
        <v>0</v>
      </c>
      <c r="Z47" s="70">
        <f t="shared" si="40"/>
        <v>0</v>
      </c>
      <c r="AA47" s="70">
        <f t="shared" si="40"/>
        <v>0</v>
      </c>
      <c r="AB47" s="70">
        <f t="shared" si="40"/>
        <v>0</v>
      </c>
      <c r="AC47" s="70">
        <f t="shared" si="40"/>
        <v>0</v>
      </c>
      <c r="AD47" s="70">
        <f t="shared" si="40"/>
        <v>0</v>
      </c>
      <c r="AE47" s="70">
        <f t="shared" si="40"/>
        <v>0</v>
      </c>
      <c r="AF47" s="70">
        <f t="shared" si="40"/>
        <v>0</v>
      </c>
      <c r="AG47" s="70">
        <f t="shared" si="40"/>
        <v>0</v>
      </c>
      <c r="AH47" s="70">
        <f t="shared" si="40"/>
        <v>0</v>
      </c>
      <c r="AI47" s="70">
        <f t="shared" si="40"/>
        <v>0</v>
      </c>
      <c r="AJ47" s="70">
        <f t="shared" si="40"/>
        <v>35535.578087114991</v>
      </c>
      <c r="AK47" s="70">
        <f t="shared" si="40"/>
        <v>20229.679059110938</v>
      </c>
      <c r="AL47" s="70">
        <f t="shared" si="40"/>
        <v>20229.679059110938</v>
      </c>
      <c r="AM47" s="70">
        <f t="shared" si="40"/>
        <v>20229.679059110938</v>
      </c>
      <c r="AN47" s="70">
        <f t="shared" si="40"/>
        <v>20229.679059110938</v>
      </c>
      <c r="AO47" s="70">
        <f t="shared" si="40"/>
        <v>20229.679059110938</v>
      </c>
      <c r="AP47" s="70">
        <f t="shared" si="40"/>
        <v>20801.766726777289</v>
      </c>
      <c r="AQ47" s="70">
        <f t="shared" si="40"/>
        <v>20801.766726777289</v>
      </c>
      <c r="AR47" s="70">
        <f t="shared" si="40"/>
        <v>20801.766726777289</v>
      </c>
      <c r="AS47" s="70">
        <f t="shared" si="40"/>
        <v>20801.766726777289</v>
      </c>
      <c r="AT47" s="70">
        <f t="shared" si="40"/>
        <v>20801.766726777289</v>
      </c>
      <c r="AU47" s="70">
        <f t="shared" si="40"/>
        <v>20801.766726777289</v>
      </c>
      <c r="AV47" s="70">
        <f t="shared" si="40"/>
        <v>20801.766726777289</v>
      </c>
      <c r="AW47" s="70">
        <f t="shared" si="40"/>
        <v>20801.766726777289</v>
      </c>
      <c r="AX47" s="70">
        <f t="shared" si="40"/>
        <v>20801.766726777289</v>
      </c>
      <c r="AY47" s="70">
        <f t="shared" si="40"/>
        <v>20801.766726777289</v>
      </c>
      <c r="AZ47" s="70">
        <f t="shared" si="40"/>
        <v>20801.766726777289</v>
      </c>
      <c r="BA47" s="70">
        <f t="shared" si="40"/>
        <v>20801.766726777289</v>
      </c>
      <c r="BB47" s="70">
        <f t="shared" si="40"/>
        <v>22940.419756052164</v>
      </c>
      <c r="BC47" s="70">
        <f t="shared" si="40"/>
        <v>22940.419756052164</v>
      </c>
      <c r="BD47" s="70">
        <f t="shared" si="40"/>
        <v>22940.419756052164</v>
      </c>
      <c r="BE47" s="70">
        <f t="shared" si="40"/>
        <v>22940.419756052164</v>
      </c>
      <c r="BF47" s="70">
        <f t="shared" si="40"/>
        <v>22940.419756052164</v>
      </c>
      <c r="BG47" s="70">
        <f t="shared" si="40"/>
        <v>22940.419756052164</v>
      </c>
      <c r="BH47" s="70">
        <f t="shared" si="40"/>
        <v>22940.419756052164</v>
      </c>
      <c r="BI47" s="70">
        <f t="shared" si="40"/>
        <v>13133.953769650032</v>
      </c>
      <c r="BJ47" s="70">
        <f t="shared" si="40"/>
        <v>13133.953769650032</v>
      </c>
      <c r="BK47" s="70">
        <f t="shared" si="40"/>
        <v>13133.953769650032</v>
      </c>
      <c r="BL47" s="70">
        <f t="shared" si="40"/>
        <v>13133.953769650032</v>
      </c>
      <c r="BM47" s="70">
        <f t="shared" si="40"/>
        <v>13133.953769650032</v>
      </c>
      <c r="BN47" s="70">
        <f t="shared" si="40"/>
        <v>15348.546653875792</v>
      </c>
      <c r="BO47" s="70">
        <f t="shared" si="40"/>
        <v>15348.546653875792</v>
      </c>
      <c r="BP47" s="70">
        <f t="shared" si="40"/>
        <v>15348.546653875792</v>
      </c>
      <c r="BQ47" s="70">
        <f t="shared" si="40"/>
        <v>15348.546653875792</v>
      </c>
      <c r="BR47" s="70">
        <f t="shared" si="40"/>
        <v>15348.546653875792</v>
      </c>
      <c r="BS47" s="70">
        <f t="shared" ref="BS47:DV47" si="41">+BS43</f>
        <v>15348.546653875792</v>
      </c>
      <c r="BT47" s="70">
        <f t="shared" si="41"/>
        <v>15348.546653875792</v>
      </c>
      <c r="BU47" s="70">
        <f t="shared" si="41"/>
        <v>15348.546653875792</v>
      </c>
      <c r="BV47" s="70">
        <f t="shared" si="41"/>
        <v>15348.546653875792</v>
      </c>
      <c r="BW47" s="70">
        <f t="shared" si="41"/>
        <v>15348.546653875792</v>
      </c>
      <c r="BX47" s="70">
        <f t="shared" si="41"/>
        <v>15348.546653875792</v>
      </c>
      <c r="BY47" s="70">
        <f t="shared" si="41"/>
        <v>15348.546653875792</v>
      </c>
      <c r="BZ47" s="70">
        <f t="shared" si="41"/>
        <v>17641.593193982382</v>
      </c>
      <c r="CA47" s="70">
        <f t="shared" si="41"/>
        <v>17641.593193982382</v>
      </c>
      <c r="CB47" s="70">
        <f t="shared" si="41"/>
        <v>17641.593193982382</v>
      </c>
      <c r="CC47" s="70">
        <f t="shared" si="41"/>
        <v>17641.593193982382</v>
      </c>
      <c r="CD47" s="70">
        <f t="shared" si="41"/>
        <v>17641.593193982382</v>
      </c>
      <c r="CE47" s="70">
        <f t="shared" si="41"/>
        <v>17641.593193982382</v>
      </c>
      <c r="CF47" s="70">
        <f t="shared" si="41"/>
        <v>17641.593193982382</v>
      </c>
      <c r="CG47" s="70">
        <f t="shared" si="41"/>
        <v>17641.593193982382</v>
      </c>
      <c r="CH47" s="70">
        <f t="shared" si="41"/>
        <v>17641.593193982382</v>
      </c>
      <c r="CI47" s="70">
        <f t="shared" si="41"/>
        <v>17641.593193982382</v>
      </c>
      <c r="CJ47" s="70">
        <f t="shared" si="41"/>
        <v>17641.593193982382</v>
      </c>
      <c r="CK47" s="70">
        <f t="shared" si="41"/>
        <v>17641.593193982382</v>
      </c>
      <c r="CL47" s="70">
        <f t="shared" si="41"/>
        <v>20015.687317033364</v>
      </c>
      <c r="CM47" s="70">
        <f t="shared" si="41"/>
        <v>20015.687317033364</v>
      </c>
      <c r="CN47" s="70">
        <f t="shared" si="41"/>
        <v>20015.687317033364</v>
      </c>
      <c r="CO47" s="70">
        <f t="shared" si="41"/>
        <v>20015.687317033364</v>
      </c>
      <c r="CP47" s="70">
        <f t="shared" si="41"/>
        <v>20015.687317033364</v>
      </c>
      <c r="CQ47" s="70">
        <f t="shared" si="41"/>
        <v>20015.687317033364</v>
      </c>
      <c r="CR47" s="70">
        <f t="shared" si="41"/>
        <v>20015.687317033364</v>
      </c>
      <c r="CS47" s="70">
        <f t="shared" si="41"/>
        <v>20015.687317033364</v>
      </c>
      <c r="CT47" s="70">
        <f t="shared" si="41"/>
        <v>20015.687317033364</v>
      </c>
      <c r="CU47" s="70">
        <f t="shared" si="41"/>
        <v>20015.687317033364</v>
      </c>
      <c r="CV47" s="70">
        <f t="shared" si="41"/>
        <v>20015.687317033364</v>
      </c>
      <c r="CW47" s="70">
        <f t="shared" si="41"/>
        <v>20015.687317033364</v>
      </c>
      <c r="CX47" s="70">
        <f t="shared" si="41"/>
        <v>22473.505574251805</v>
      </c>
      <c r="CY47" s="70">
        <f t="shared" si="41"/>
        <v>22473.505574251805</v>
      </c>
      <c r="CZ47" s="70">
        <f t="shared" si="41"/>
        <v>22473.505574251805</v>
      </c>
      <c r="DA47" s="70">
        <f t="shared" si="41"/>
        <v>22473.505574251805</v>
      </c>
      <c r="DB47" s="70">
        <f t="shared" si="41"/>
        <v>22473.505574251805</v>
      </c>
      <c r="DC47" s="70">
        <f t="shared" si="41"/>
        <v>22473.505574251805</v>
      </c>
      <c r="DD47" s="70">
        <f t="shared" si="41"/>
        <v>22473.505574251805</v>
      </c>
      <c r="DE47" s="70">
        <f t="shared" si="41"/>
        <v>22473.505574251805</v>
      </c>
      <c r="DF47" s="70">
        <f t="shared" si="41"/>
        <v>22473.505574251805</v>
      </c>
      <c r="DG47" s="70">
        <f t="shared" si="41"/>
        <v>22473.505574251805</v>
      </c>
      <c r="DH47" s="70">
        <f t="shared" si="41"/>
        <v>22473.505574251805</v>
      </c>
      <c r="DI47" s="70">
        <f t="shared" si="41"/>
        <v>22473.505574251805</v>
      </c>
      <c r="DJ47" s="70">
        <f t="shared" si="41"/>
        <v>25017.809715872379</v>
      </c>
      <c r="DK47" s="70">
        <f t="shared" si="41"/>
        <v>25017.809715872379</v>
      </c>
      <c r="DL47" s="70">
        <f t="shared" si="41"/>
        <v>25017.809715872379</v>
      </c>
      <c r="DM47" s="70">
        <f t="shared" si="41"/>
        <v>25017.809715872379</v>
      </c>
      <c r="DN47" s="70">
        <f t="shared" si="41"/>
        <v>25017.809715872379</v>
      </c>
      <c r="DO47" s="70">
        <f t="shared" si="41"/>
        <v>25017.809715872379</v>
      </c>
      <c r="DP47" s="70">
        <f t="shared" si="41"/>
        <v>25017.809715872379</v>
      </c>
      <c r="DQ47" s="70">
        <f t="shared" si="41"/>
        <v>25017.809715872379</v>
      </c>
      <c r="DR47" s="70">
        <f t="shared" si="41"/>
        <v>25017.809715872379</v>
      </c>
      <c r="DS47" s="70">
        <f t="shared" si="41"/>
        <v>25017.809715872379</v>
      </c>
      <c r="DT47" s="70">
        <f t="shared" si="41"/>
        <v>25017.809715872379</v>
      </c>
      <c r="DU47" s="70">
        <f t="shared" si="41"/>
        <v>25017.809715872379</v>
      </c>
      <c r="DV47" s="70">
        <f t="shared" si="41"/>
        <v>5139904.3600835102</v>
      </c>
    </row>
    <row r="48" spans="2:130" x14ac:dyDescent="0.3">
      <c r="B48" t="s">
        <v>46</v>
      </c>
      <c r="F48" s="70">
        <f>F47/$I$10*$H$10</f>
        <v>0</v>
      </c>
      <c r="G48" s="70">
        <f t="shared" ref="G48:BR48" si="42">G47/$I$10*$H$10</f>
        <v>0</v>
      </c>
      <c r="H48" s="70">
        <f t="shared" si="42"/>
        <v>0</v>
      </c>
      <c r="I48" s="70">
        <f t="shared" si="42"/>
        <v>0</v>
      </c>
      <c r="J48" s="70">
        <f t="shared" si="42"/>
        <v>0</v>
      </c>
      <c r="K48" s="70">
        <f t="shared" si="42"/>
        <v>0</v>
      </c>
      <c r="L48" s="70">
        <f t="shared" si="42"/>
        <v>0</v>
      </c>
      <c r="M48" s="70">
        <f t="shared" si="42"/>
        <v>0</v>
      </c>
      <c r="N48" s="70">
        <f t="shared" si="42"/>
        <v>0</v>
      </c>
      <c r="O48" s="70">
        <f t="shared" si="42"/>
        <v>0</v>
      </c>
      <c r="P48" s="70">
        <f t="shared" si="42"/>
        <v>0</v>
      </c>
      <c r="Q48" s="70">
        <f t="shared" si="42"/>
        <v>0</v>
      </c>
      <c r="R48" s="70">
        <f t="shared" si="42"/>
        <v>0</v>
      </c>
      <c r="S48" s="70">
        <f t="shared" si="42"/>
        <v>0</v>
      </c>
      <c r="T48" s="70">
        <f t="shared" si="42"/>
        <v>0</v>
      </c>
      <c r="U48" s="70">
        <f t="shared" si="42"/>
        <v>0</v>
      </c>
      <c r="V48" s="70">
        <f t="shared" si="42"/>
        <v>0</v>
      </c>
      <c r="W48" s="70">
        <f t="shared" si="42"/>
        <v>0</v>
      </c>
      <c r="X48" s="70">
        <f t="shared" si="42"/>
        <v>0</v>
      </c>
      <c r="Y48" s="70">
        <f t="shared" si="42"/>
        <v>0</v>
      </c>
      <c r="Z48" s="70">
        <f t="shared" si="42"/>
        <v>0</v>
      </c>
      <c r="AA48" s="70">
        <f t="shared" si="42"/>
        <v>0</v>
      </c>
      <c r="AB48" s="70">
        <f t="shared" si="42"/>
        <v>0</v>
      </c>
      <c r="AC48" s="70">
        <f t="shared" si="42"/>
        <v>0</v>
      </c>
      <c r="AD48" s="70">
        <f t="shared" si="42"/>
        <v>0</v>
      </c>
      <c r="AE48" s="70">
        <f t="shared" si="42"/>
        <v>0</v>
      </c>
      <c r="AF48" s="70">
        <f t="shared" si="42"/>
        <v>0</v>
      </c>
      <c r="AG48" s="70">
        <f t="shared" si="42"/>
        <v>0</v>
      </c>
      <c r="AH48" s="70">
        <f t="shared" si="42"/>
        <v>0</v>
      </c>
      <c r="AI48" s="70">
        <f t="shared" si="42"/>
        <v>0</v>
      </c>
      <c r="AJ48" s="70">
        <f t="shared" si="42"/>
        <v>3948.3975652349991</v>
      </c>
      <c r="AK48" s="70">
        <f t="shared" si="42"/>
        <v>2247.7421176789935</v>
      </c>
      <c r="AL48" s="70">
        <f t="shared" si="42"/>
        <v>2247.7421176789935</v>
      </c>
      <c r="AM48" s="70">
        <f t="shared" si="42"/>
        <v>2247.7421176789935</v>
      </c>
      <c r="AN48" s="70">
        <f t="shared" si="42"/>
        <v>2247.7421176789935</v>
      </c>
      <c r="AO48" s="70">
        <f t="shared" si="42"/>
        <v>2247.7421176789935</v>
      </c>
      <c r="AP48" s="70">
        <f t="shared" si="42"/>
        <v>2311.3074140863655</v>
      </c>
      <c r="AQ48" s="70">
        <f t="shared" si="42"/>
        <v>2311.3074140863655</v>
      </c>
      <c r="AR48" s="70">
        <f t="shared" si="42"/>
        <v>2311.3074140863655</v>
      </c>
      <c r="AS48" s="70">
        <f t="shared" si="42"/>
        <v>2311.3074140863655</v>
      </c>
      <c r="AT48" s="70">
        <f t="shared" si="42"/>
        <v>2311.3074140863655</v>
      </c>
      <c r="AU48" s="70">
        <f t="shared" si="42"/>
        <v>2311.3074140863655</v>
      </c>
      <c r="AV48" s="70">
        <f t="shared" si="42"/>
        <v>2311.3074140863655</v>
      </c>
      <c r="AW48" s="70">
        <f t="shared" si="42"/>
        <v>2311.3074140863655</v>
      </c>
      <c r="AX48" s="70">
        <f t="shared" si="42"/>
        <v>2311.3074140863655</v>
      </c>
      <c r="AY48" s="70">
        <f t="shared" si="42"/>
        <v>2311.3074140863655</v>
      </c>
      <c r="AZ48" s="70">
        <f t="shared" si="42"/>
        <v>2311.3074140863655</v>
      </c>
      <c r="BA48" s="70">
        <f t="shared" si="42"/>
        <v>2311.3074140863655</v>
      </c>
      <c r="BB48" s="70">
        <f t="shared" si="42"/>
        <v>2548.9355284502403</v>
      </c>
      <c r="BC48" s="70">
        <f t="shared" si="42"/>
        <v>2548.9355284502403</v>
      </c>
      <c r="BD48" s="70">
        <f t="shared" si="42"/>
        <v>2548.9355284502403</v>
      </c>
      <c r="BE48" s="70">
        <f t="shared" si="42"/>
        <v>2548.9355284502403</v>
      </c>
      <c r="BF48" s="70">
        <f t="shared" si="42"/>
        <v>2548.9355284502403</v>
      </c>
      <c r="BG48" s="70">
        <f t="shared" si="42"/>
        <v>2548.9355284502403</v>
      </c>
      <c r="BH48" s="70">
        <f t="shared" si="42"/>
        <v>2548.9355284502403</v>
      </c>
      <c r="BI48" s="70">
        <f t="shared" si="42"/>
        <v>1459.3281966277814</v>
      </c>
      <c r="BJ48" s="70">
        <f t="shared" si="42"/>
        <v>1459.3281966277814</v>
      </c>
      <c r="BK48" s="70">
        <f t="shared" si="42"/>
        <v>1459.3281966277814</v>
      </c>
      <c r="BL48" s="70">
        <f t="shared" si="42"/>
        <v>1459.3281966277814</v>
      </c>
      <c r="BM48" s="70">
        <f t="shared" si="42"/>
        <v>1459.3281966277814</v>
      </c>
      <c r="BN48" s="70">
        <f t="shared" si="42"/>
        <v>1705.3940726528658</v>
      </c>
      <c r="BO48" s="70">
        <f t="shared" si="42"/>
        <v>1705.3940726528658</v>
      </c>
      <c r="BP48" s="70">
        <f t="shared" si="42"/>
        <v>1705.3940726528658</v>
      </c>
      <c r="BQ48" s="70">
        <f t="shared" si="42"/>
        <v>1705.3940726528658</v>
      </c>
      <c r="BR48" s="70">
        <f t="shared" si="42"/>
        <v>1705.3940726528658</v>
      </c>
      <c r="BS48" s="70">
        <f t="shared" ref="BS48:DV48" si="43">BS47/$I$10*$H$10</f>
        <v>1705.3940726528658</v>
      </c>
      <c r="BT48" s="70">
        <f t="shared" si="43"/>
        <v>1705.3940726528658</v>
      </c>
      <c r="BU48" s="70">
        <f t="shared" si="43"/>
        <v>1705.3940726528658</v>
      </c>
      <c r="BV48" s="70">
        <f t="shared" si="43"/>
        <v>1705.3940726528658</v>
      </c>
      <c r="BW48" s="70">
        <f t="shared" si="43"/>
        <v>1705.3940726528658</v>
      </c>
      <c r="BX48" s="70">
        <f t="shared" si="43"/>
        <v>1705.3940726528658</v>
      </c>
      <c r="BY48" s="70">
        <f t="shared" si="43"/>
        <v>1705.3940726528658</v>
      </c>
      <c r="BZ48" s="70">
        <f t="shared" si="43"/>
        <v>1960.177021553598</v>
      </c>
      <c r="CA48" s="70">
        <f t="shared" si="43"/>
        <v>1960.177021553598</v>
      </c>
      <c r="CB48" s="70">
        <f t="shared" si="43"/>
        <v>1960.177021553598</v>
      </c>
      <c r="CC48" s="70">
        <f t="shared" si="43"/>
        <v>1960.177021553598</v>
      </c>
      <c r="CD48" s="70">
        <f t="shared" si="43"/>
        <v>1960.177021553598</v>
      </c>
      <c r="CE48" s="70">
        <f t="shared" si="43"/>
        <v>1960.177021553598</v>
      </c>
      <c r="CF48" s="70">
        <f t="shared" si="43"/>
        <v>1960.177021553598</v>
      </c>
      <c r="CG48" s="70">
        <f t="shared" si="43"/>
        <v>1960.177021553598</v>
      </c>
      <c r="CH48" s="70">
        <f t="shared" si="43"/>
        <v>1960.177021553598</v>
      </c>
      <c r="CI48" s="70">
        <f t="shared" si="43"/>
        <v>1960.177021553598</v>
      </c>
      <c r="CJ48" s="70">
        <f t="shared" si="43"/>
        <v>1960.177021553598</v>
      </c>
      <c r="CK48" s="70">
        <f t="shared" si="43"/>
        <v>1960.177021553598</v>
      </c>
      <c r="CL48" s="70">
        <f t="shared" si="43"/>
        <v>2223.9652574481515</v>
      </c>
      <c r="CM48" s="70">
        <f t="shared" si="43"/>
        <v>2223.9652574481515</v>
      </c>
      <c r="CN48" s="70">
        <f t="shared" si="43"/>
        <v>2223.9652574481515</v>
      </c>
      <c r="CO48" s="70">
        <f t="shared" si="43"/>
        <v>2223.9652574481515</v>
      </c>
      <c r="CP48" s="70">
        <f t="shared" si="43"/>
        <v>2223.9652574481515</v>
      </c>
      <c r="CQ48" s="70">
        <f t="shared" si="43"/>
        <v>2223.9652574481515</v>
      </c>
      <c r="CR48" s="70">
        <f t="shared" si="43"/>
        <v>2223.9652574481515</v>
      </c>
      <c r="CS48" s="70">
        <f t="shared" si="43"/>
        <v>2223.9652574481515</v>
      </c>
      <c r="CT48" s="70">
        <f t="shared" si="43"/>
        <v>2223.9652574481515</v>
      </c>
      <c r="CU48" s="70">
        <f t="shared" si="43"/>
        <v>2223.9652574481515</v>
      </c>
      <c r="CV48" s="70">
        <f t="shared" si="43"/>
        <v>2223.9652574481515</v>
      </c>
      <c r="CW48" s="70">
        <f t="shared" si="43"/>
        <v>2223.9652574481515</v>
      </c>
      <c r="CX48" s="70">
        <f t="shared" si="43"/>
        <v>2497.0561749168673</v>
      </c>
      <c r="CY48" s="70">
        <f t="shared" si="43"/>
        <v>2497.0561749168673</v>
      </c>
      <c r="CZ48" s="70">
        <f t="shared" si="43"/>
        <v>2497.0561749168673</v>
      </c>
      <c r="DA48" s="70">
        <f t="shared" si="43"/>
        <v>2497.0561749168673</v>
      </c>
      <c r="DB48" s="70">
        <f t="shared" si="43"/>
        <v>2497.0561749168673</v>
      </c>
      <c r="DC48" s="70">
        <f t="shared" si="43"/>
        <v>2497.0561749168673</v>
      </c>
      <c r="DD48" s="70">
        <f t="shared" si="43"/>
        <v>2497.0561749168673</v>
      </c>
      <c r="DE48" s="70">
        <f t="shared" si="43"/>
        <v>2497.0561749168673</v>
      </c>
      <c r="DF48" s="70">
        <f t="shared" si="43"/>
        <v>2497.0561749168673</v>
      </c>
      <c r="DG48" s="70">
        <f t="shared" si="43"/>
        <v>2497.0561749168673</v>
      </c>
      <c r="DH48" s="70">
        <f t="shared" si="43"/>
        <v>2497.0561749168673</v>
      </c>
      <c r="DI48" s="70">
        <f t="shared" si="43"/>
        <v>2497.0561749168673</v>
      </c>
      <c r="DJ48" s="70">
        <f t="shared" si="43"/>
        <v>2779.7566350969314</v>
      </c>
      <c r="DK48" s="70">
        <f t="shared" si="43"/>
        <v>2779.7566350969314</v>
      </c>
      <c r="DL48" s="70">
        <f t="shared" si="43"/>
        <v>2779.7566350969314</v>
      </c>
      <c r="DM48" s="70">
        <f t="shared" si="43"/>
        <v>2779.7566350969314</v>
      </c>
      <c r="DN48" s="70">
        <f t="shared" si="43"/>
        <v>2779.7566350969314</v>
      </c>
      <c r="DO48" s="70">
        <f t="shared" si="43"/>
        <v>2779.7566350969314</v>
      </c>
      <c r="DP48" s="70">
        <f t="shared" si="43"/>
        <v>2779.7566350969314</v>
      </c>
      <c r="DQ48" s="70">
        <f t="shared" si="43"/>
        <v>2779.7566350969314</v>
      </c>
      <c r="DR48" s="70">
        <f t="shared" si="43"/>
        <v>2779.7566350969314</v>
      </c>
      <c r="DS48" s="70">
        <f t="shared" si="43"/>
        <v>2779.7566350969314</v>
      </c>
      <c r="DT48" s="70">
        <f t="shared" si="43"/>
        <v>2779.7566350969314</v>
      </c>
      <c r="DU48" s="70">
        <f t="shared" si="43"/>
        <v>2779.7566350969314</v>
      </c>
      <c r="DV48" s="70">
        <f t="shared" si="43"/>
        <v>571100.4844537233</v>
      </c>
    </row>
    <row r="49" spans="2:126" x14ac:dyDescent="0.3">
      <c r="B49" t="str">
        <f>"Total Distributions ("&amp;B38&amp;")"</f>
        <v>Total Distributions (Hurdle 1)</v>
      </c>
      <c r="F49" s="70">
        <f>SUM(F47:F48)</f>
        <v>0</v>
      </c>
      <c r="G49" s="70">
        <f t="shared" ref="G49:BR49" si="44">SUM(G47:G48)</f>
        <v>0</v>
      </c>
      <c r="H49" s="70">
        <f t="shared" si="44"/>
        <v>0</v>
      </c>
      <c r="I49" s="70">
        <f t="shared" si="44"/>
        <v>0</v>
      </c>
      <c r="J49" s="70">
        <f t="shared" si="44"/>
        <v>0</v>
      </c>
      <c r="K49" s="70">
        <f t="shared" si="44"/>
        <v>0</v>
      </c>
      <c r="L49" s="70">
        <f t="shared" si="44"/>
        <v>0</v>
      </c>
      <c r="M49" s="70">
        <f t="shared" si="44"/>
        <v>0</v>
      </c>
      <c r="N49" s="70">
        <f t="shared" si="44"/>
        <v>0</v>
      </c>
      <c r="O49" s="70">
        <f t="shared" si="44"/>
        <v>0</v>
      </c>
      <c r="P49" s="70">
        <f t="shared" si="44"/>
        <v>0</v>
      </c>
      <c r="Q49" s="70">
        <f t="shared" si="44"/>
        <v>0</v>
      </c>
      <c r="R49" s="70">
        <f t="shared" si="44"/>
        <v>0</v>
      </c>
      <c r="S49" s="70">
        <f t="shared" si="44"/>
        <v>0</v>
      </c>
      <c r="T49" s="70">
        <f t="shared" si="44"/>
        <v>0</v>
      </c>
      <c r="U49" s="70">
        <f t="shared" si="44"/>
        <v>0</v>
      </c>
      <c r="V49" s="70">
        <f t="shared" si="44"/>
        <v>0</v>
      </c>
      <c r="W49" s="70">
        <f t="shared" si="44"/>
        <v>0</v>
      </c>
      <c r="X49" s="70">
        <f t="shared" si="44"/>
        <v>0</v>
      </c>
      <c r="Y49" s="70">
        <f t="shared" si="44"/>
        <v>0</v>
      </c>
      <c r="Z49" s="70">
        <f t="shared" si="44"/>
        <v>0</v>
      </c>
      <c r="AA49" s="70">
        <f t="shared" si="44"/>
        <v>0</v>
      </c>
      <c r="AB49" s="70">
        <f t="shared" si="44"/>
        <v>0</v>
      </c>
      <c r="AC49" s="70">
        <f t="shared" si="44"/>
        <v>0</v>
      </c>
      <c r="AD49" s="70">
        <f t="shared" si="44"/>
        <v>0</v>
      </c>
      <c r="AE49" s="70">
        <f t="shared" si="44"/>
        <v>0</v>
      </c>
      <c r="AF49" s="70">
        <f t="shared" si="44"/>
        <v>0</v>
      </c>
      <c r="AG49" s="70">
        <f t="shared" si="44"/>
        <v>0</v>
      </c>
      <c r="AH49" s="70">
        <f t="shared" si="44"/>
        <v>0</v>
      </c>
      <c r="AI49" s="70">
        <f t="shared" si="44"/>
        <v>0</v>
      </c>
      <c r="AJ49" s="70">
        <f t="shared" si="44"/>
        <v>39483.975652349989</v>
      </c>
      <c r="AK49" s="70">
        <f t="shared" si="44"/>
        <v>22477.421176789932</v>
      </c>
      <c r="AL49" s="70">
        <f t="shared" si="44"/>
        <v>22477.421176789932</v>
      </c>
      <c r="AM49" s="70">
        <f t="shared" si="44"/>
        <v>22477.421176789932</v>
      </c>
      <c r="AN49" s="70">
        <f t="shared" si="44"/>
        <v>22477.421176789932</v>
      </c>
      <c r="AO49" s="70">
        <f t="shared" si="44"/>
        <v>22477.421176789932</v>
      </c>
      <c r="AP49" s="70">
        <f t="shared" si="44"/>
        <v>23113.074140863653</v>
      </c>
      <c r="AQ49" s="70">
        <f t="shared" si="44"/>
        <v>23113.074140863653</v>
      </c>
      <c r="AR49" s="70">
        <f t="shared" si="44"/>
        <v>23113.074140863653</v>
      </c>
      <c r="AS49" s="70">
        <f t="shared" si="44"/>
        <v>23113.074140863653</v>
      </c>
      <c r="AT49" s="70">
        <f t="shared" si="44"/>
        <v>23113.074140863653</v>
      </c>
      <c r="AU49" s="70">
        <f t="shared" si="44"/>
        <v>23113.074140863653</v>
      </c>
      <c r="AV49" s="70">
        <f t="shared" si="44"/>
        <v>23113.074140863653</v>
      </c>
      <c r="AW49" s="70">
        <f t="shared" si="44"/>
        <v>23113.074140863653</v>
      </c>
      <c r="AX49" s="70">
        <f t="shared" si="44"/>
        <v>23113.074140863653</v>
      </c>
      <c r="AY49" s="70">
        <f t="shared" si="44"/>
        <v>23113.074140863653</v>
      </c>
      <c r="AZ49" s="70">
        <f t="shared" si="44"/>
        <v>23113.074140863653</v>
      </c>
      <c r="BA49" s="70">
        <f t="shared" si="44"/>
        <v>23113.074140863653</v>
      </c>
      <c r="BB49" s="70">
        <f t="shared" si="44"/>
        <v>25489.355284502406</v>
      </c>
      <c r="BC49" s="70">
        <f t="shared" si="44"/>
        <v>25489.355284502406</v>
      </c>
      <c r="BD49" s="70">
        <f t="shared" si="44"/>
        <v>25489.355284502406</v>
      </c>
      <c r="BE49" s="70">
        <f t="shared" si="44"/>
        <v>25489.355284502406</v>
      </c>
      <c r="BF49" s="70">
        <f t="shared" si="44"/>
        <v>25489.355284502406</v>
      </c>
      <c r="BG49" s="70">
        <f t="shared" si="44"/>
        <v>25489.355284502406</v>
      </c>
      <c r="BH49" s="70">
        <f t="shared" si="44"/>
        <v>25489.355284502406</v>
      </c>
      <c r="BI49" s="70">
        <f t="shared" si="44"/>
        <v>14593.281966277813</v>
      </c>
      <c r="BJ49" s="70">
        <f t="shared" si="44"/>
        <v>14593.281966277813</v>
      </c>
      <c r="BK49" s="70">
        <f t="shared" si="44"/>
        <v>14593.281966277813</v>
      </c>
      <c r="BL49" s="70">
        <f t="shared" si="44"/>
        <v>14593.281966277813</v>
      </c>
      <c r="BM49" s="70">
        <f t="shared" si="44"/>
        <v>14593.281966277813</v>
      </c>
      <c r="BN49" s="70">
        <f t="shared" si="44"/>
        <v>17053.940726528657</v>
      </c>
      <c r="BO49" s="70">
        <f t="shared" si="44"/>
        <v>17053.940726528657</v>
      </c>
      <c r="BP49" s="70">
        <f t="shared" si="44"/>
        <v>17053.940726528657</v>
      </c>
      <c r="BQ49" s="70">
        <f t="shared" si="44"/>
        <v>17053.940726528657</v>
      </c>
      <c r="BR49" s="70">
        <f t="shared" si="44"/>
        <v>17053.940726528657</v>
      </c>
      <c r="BS49" s="70">
        <f t="shared" ref="BS49:DV49" si="45">SUM(BS47:BS48)</f>
        <v>17053.940726528657</v>
      </c>
      <c r="BT49" s="70">
        <f t="shared" si="45"/>
        <v>17053.940726528657</v>
      </c>
      <c r="BU49" s="70">
        <f t="shared" si="45"/>
        <v>17053.940726528657</v>
      </c>
      <c r="BV49" s="70">
        <f t="shared" si="45"/>
        <v>17053.940726528657</v>
      </c>
      <c r="BW49" s="70">
        <f t="shared" si="45"/>
        <v>17053.940726528657</v>
      </c>
      <c r="BX49" s="70">
        <f t="shared" si="45"/>
        <v>17053.940726528657</v>
      </c>
      <c r="BY49" s="70">
        <f t="shared" si="45"/>
        <v>17053.940726528657</v>
      </c>
      <c r="BZ49" s="70">
        <f t="shared" si="45"/>
        <v>19601.77021553598</v>
      </c>
      <c r="CA49" s="70">
        <f t="shared" si="45"/>
        <v>19601.77021553598</v>
      </c>
      <c r="CB49" s="70">
        <f t="shared" si="45"/>
        <v>19601.77021553598</v>
      </c>
      <c r="CC49" s="70">
        <f t="shared" si="45"/>
        <v>19601.77021553598</v>
      </c>
      <c r="CD49" s="70">
        <f t="shared" si="45"/>
        <v>19601.77021553598</v>
      </c>
      <c r="CE49" s="70">
        <f t="shared" si="45"/>
        <v>19601.77021553598</v>
      </c>
      <c r="CF49" s="70">
        <f t="shared" si="45"/>
        <v>19601.77021553598</v>
      </c>
      <c r="CG49" s="70">
        <f t="shared" si="45"/>
        <v>19601.77021553598</v>
      </c>
      <c r="CH49" s="70">
        <f t="shared" si="45"/>
        <v>19601.77021553598</v>
      </c>
      <c r="CI49" s="70">
        <f t="shared" si="45"/>
        <v>19601.77021553598</v>
      </c>
      <c r="CJ49" s="70">
        <f t="shared" si="45"/>
        <v>19601.77021553598</v>
      </c>
      <c r="CK49" s="70">
        <f t="shared" si="45"/>
        <v>19601.77021553598</v>
      </c>
      <c r="CL49" s="70">
        <f t="shared" si="45"/>
        <v>22239.652574481515</v>
      </c>
      <c r="CM49" s="70">
        <f t="shared" si="45"/>
        <v>22239.652574481515</v>
      </c>
      <c r="CN49" s="70">
        <f t="shared" si="45"/>
        <v>22239.652574481515</v>
      </c>
      <c r="CO49" s="70">
        <f t="shared" si="45"/>
        <v>22239.652574481515</v>
      </c>
      <c r="CP49" s="70">
        <f t="shared" si="45"/>
        <v>22239.652574481515</v>
      </c>
      <c r="CQ49" s="70">
        <f t="shared" si="45"/>
        <v>22239.652574481515</v>
      </c>
      <c r="CR49" s="70">
        <f t="shared" si="45"/>
        <v>22239.652574481515</v>
      </c>
      <c r="CS49" s="70">
        <f t="shared" si="45"/>
        <v>22239.652574481515</v>
      </c>
      <c r="CT49" s="70">
        <f t="shared" si="45"/>
        <v>22239.652574481515</v>
      </c>
      <c r="CU49" s="70">
        <f t="shared" si="45"/>
        <v>22239.652574481515</v>
      </c>
      <c r="CV49" s="70">
        <f t="shared" si="45"/>
        <v>22239.652574481515</v>
      </c>
      <c r="CW49" s="70">
        <f t="shared" si="45"/>
        <v>22239.652574481515</v>
      </c>
      <c r="CX49" s="70">
        <f t="shared" si="45"/>
        <v>24970.561749168672</v>
      </c>
      <c r="CY49" s="70">
        <f t="shared" si="45"/>
        <v>24970.561749168672</v>
      </c>
      <c r="CZ49" s="70">
        <f t="shared" si="45"/>
        <v>24970.561749168672</v>
      </c>
      <c r="DA49" s="70">
        <f t="shared" si="45"/>
        <v>24970.561749168672</v>
      </c>
      <c r="DB49" s="70">
        <f t="shared" si="45"/>
        <v>24970.561749168672</v>
      </c>
      <c r="DC49" s="70">
        <f t="shared" si="45"/>
        <v>24970.561749168672</v>
      </c>
      <c r="DD49" s="70">
        <f t="shared" si="45"/>
        <v>24970.561749168672</v>
      </c>
      <c r="DE49" s="70">
        <f t="shared" si="45"/>
        <v>24970.561749168672</v>
      </c>
      <c r="DF49" s="70">
        <f t="shared" si="45"/>
        <v>24970.561749168672</v>
      </c>
      <c r="DG49" s="70">
        <f t="shared" si="45"/>
        <v>24970.561749168672</v>
      </c>
      <c r="DH49" s="70">
        <f t="shared" si="45"/>
        <v>24970.561749168672</v>
      </c>
      <c r="DI49" s="70">
        <f t="shared" si="45"/>
        <v>24970.561749168672</v>
      </c>
      <c r="DJ49" s="70">
        <f t="shared" si="45"/>
        <v>27797.566350969311</v>
      </c>
      <c r="DK49" s="70">
        <f t="shared" si="45"/>
        <v>27797.566350969311</v>
      </c>
      <c r="DL49" s="70">
        <f t="shared" si="45"/>
        <v>27797.566350969311</v>
      </c>
      <c r="DM49" s="70">
        <f t="shared" si="45"/>
        <v>27797.566350969311</v>
      </c>
      <c r="DN49" s="70">
        <f t="shared" si="45"/>
        <v>27797.566350969311</v>
      </c>
      <c r="DO49" s="70">
        <f t="shared" si="45"/>
        <v>27797.566350969311</v>
      </c>
      <c r="DP49" s="70">
        <f t="shared" si="45"/>
        <v>27797.566350969311</v>
      </c>
      <c r="DQ49" s="70">
        <f t="shared" si="45"/>
        <v>27797.566350969311</v>
      </c>
      <c r="DR49" s="70">
        <f t="shared" si="45"/>
        <v>27797.566350969311</v>
      </c>
      <c r="DS49" s="70">
        <f t="shared" si="45"/>
        <v>27797.566350969311</v>
      </c>
      <c r="DT49" s="70">
        <f t="shared" si="45"/>
        <v>27797.566350969311</v>
      </c>
      <c r="DU49" s="70">
        <f t="shared" si="45"/>
        <v>27797.566350969311</v>
      </c>
      <c r="DV49" s="70">
        <f t="shared" si="45"/>
        <v>5711004.8445372339</v>
      </c>
    </row>
    <row r="50" spans="2:126" x14ac:dyDescent="0.3">
      <c r="B50" t="s">
        <v>1</v>
      </c>
      <c r="F50" s="70">
        <f>MAX(F34-F49,0)</f>
        <v>0</v>
      </c>
      <c r="G50" s="70">
        <f t="shared" ref="G50:BR50" si="46">MAX(G34-G49,0)</f>
        <v>0</v>
      </c>
      <c r="H50" s="70">
        <f t="shared" si="46"/>
        <v>0</v>
      </c>
      <c r="I50" s="70">
        <f t="shared" si="46"/>
        <v>0</v>
      </c>
      <c r="J50" s="70">
        <f t="shared" si="46"/>
        <v>0</v>
      </c>
      <c r="K50" s="70">
        <f t="shared" si="46"/>
        <v>0</v>
      </c>
      <c r="L50" s="70">
        <f t="shared" si="46"/>
        <v>0</v>
      </c>
      <c r="M50" s="70">
        <f t="shared" si="46"/>
        <v>0</v>
      </c>
      <c r="N50" s="70">
        <f t="shared" si="46"/>
        <v>0</v>
      </c>
      <c r="O50" s="70">
        <f t="shared" si="46"/>
        <v>0</v>
      </c>
      <c r="P50" s="70">
        <f t="shared" si="46"/>
        <v>0</v>
      </c>
      <c r="Q50" s="70">
        <f t="shared" si="46"/>
        <v>0</v>
      </c>
      <c r="R50" s="70">
        <f t="shared" si="46"/>
        <v>0</v>
      </c>
      <c r="S50" s="70">
        <f t="shared" si="46"/>
        <v>0</v>
      </c>
      <c r="T50" s="70">
        <f t="shared" si="46"/>
        <v>0</v>
      </c>
      <c r="U50" s="70">
        <f t="shared" si="46"/>
        <v>0</v>
      </c>
      <c r="V50" s="70">
        <f t="shared" si="46"/>
        <v>0</v>
      </c>
      <c r="W50" s="70">
        <f t="shared" si="46"/>
        <v>0</v>
      </c>
      <c r="X50" s="70">
        <f t="shared" si="46"/>
        <v>0</v>
      </c>
      <c r="Y50" s="70">
        <f t="shared" si="46"/>
        <v>0</v>
      </c>
      <c r="Z50" s="70">
        <f t="shared" si="46"/>
        <v>0</v>
      </c>
      <c r="AA50" s="70">
        <f t="shared" si="46"/>
        <v>0</v>
      </c>
      <c r="AB50" s="70">
        <f t="shared" si="46"/>
        <v>0</v>
      </c>
      <c r="AC50" s="70">
        <f t="shared" si="46"/>
        <v>0</v>
      </c>
      <c r="AD50" s="70">
        <f t="shared" si="46"/>
        <v>0</v>
      </c>
      <c r="AE50" s="70">
        <f t="shared" si="46"/>
        <v>0</v>
      </c>
      <c r="AF50" s="70">
        <f t="shared" si="46"/>
        <v>0</v>
      </c>
      <c r="AG50" s="70">
        <f t="shared" si="46"/>
        <v>0</v>
      </c>
      <c r="AH50" s="70">
        <f t="shared" si="46"/>
        <v>0</v>
      </c>
      <c r="AI50" s="70">
        <f t="shared" si="46"/>
        <v>0</v>
      </c>
      <c r="AJ50" s="70">
        <f t="shared" si="46"/>
        <v>0</v>
      </c>
      <c r="AK50" s="70">
        <f t="shared" si="46"/>
        <v>0</v>
      </c>
      <c r="AL50" s="70">
        <f t="shared" si="46"/>
        <v>0</v>
      </c>
      <c r="AM50" s="70">
        <f t="shared" si="46"/>
        <v>0</v>
      </c>
      <c r="AN50" s="70">
        <f t="shared" si="46"/>
        <v>0</v>
      </c>
      <c r="AO50" s="70">
        <f t="shared" si="46"/>
        <v>0</v>
      </c>
      <c r="AP50" s="70">
        <f t="shared" si="46"/>
        <v>0</v>
      </c>
      <c r="AQ50" s="70">
        <f t="shared" si="46"/>
        <v>0</v>
      </c>
      <c r="AR50" s="70">
        <f t="shared" si="46"/>
        <v>0</v>
      </c>
      <c r="AS50" s="70">
        <f t="shared" si="46"/>
        <v>0</v>
      </c>
      <c r="AT50" s="70">
        <f t="shared" si="46"/>
        <v>0</v>
      </c>
      <c r="AU50" s="70">
        <f t="shared" si="46"/>
        <v>0</v>
      </c>
      <c r="AV50" s="70">
        <f t="shared" si="46"/>
        <v>0</v>
      </c>
      <c r="AW50" s="70">
        <f t="shared" si="46"/>
        <v>0</v>
      </c>
      <c r="AX50" s="70">
        <f t="shared" si="46"/>
        <v>0</v>
      </c>
      <c r="AY50" s="70">
        <f t="shared" si="46"/>
        <v>0</v>
      </c>
      <c r="AZ50" s="70">
        <f t="shared" si="46"/>
        <v>0</v>
      </c>
      <c r="BA50" s="70">
        <f t="shared" si="46"/>
        <v>0</v>
      </c>
      <c r="BB50" s="70">
        <f t="shared" si="46"/>
        <v>0</v>
      </c>
      <c r="BC50" s="70">
        <f t="shared" si="46"/>
        <v>0</v>
      </c>
      <c r="BD50" s="70">
        <f t="shared" si="46"/>
        <v>0</v>
      </c>
      <c r="BE50" s="70">
        <f t="shared" si="46"/>
        <v>0</v>
      </c>
      <c r="BF50" s="70">
        <f t="shared" si="46"/>
        <v>0</v>
      </c>
      <c r="BG50" s="70">
        <f t="shared" si="46"/>
        <v>0</v>
      </c>
      <c r="BH50" s="70">
        <f t="shared" si="46"/>
        <v>0</v>
      </c>
      <c r="BI50" s="70">
        <f t="shared" si="46"/>
        <v>0</v>
      </c>
      <c r="BJ50" s="70">
        <f t="shared" si="46"/>
        <v>0</v>
      </c>
      <c r="BK50" s="70">
        <f t="shared" si="46"/>
        <v>0</v>
      </c>
      <c r="BL50" s="70">
        <f t="shared" si="46"/>
        <v>0</v>
      </c>
      <c r="BM50" s="70">
        <f t="shared" si="46"/>
        <v>0</v>
      </c>
      <c r="BN50" s="70">
        <f t="shared" si="46"/>
        <v>0</v>
      </c>
      <c r="BO50" s="70">
        <f t="shared" si="46"/>
        <v>0</v>
      </c>
      <c r="BP50" s="70">
        <f t="shared" si="46"/>
        <v>0</v>
      </c>
      <c r="BQ50" s="70">
        <f t="shared" si="46"/>
        <v>0</v>
      </c>
      <c r="BR50" s="70">
        <f t="shared" si="46"/>
        <v>0</v>
      </c>
      <c r="BS50" s="70">
        <f t="shared" ref="BS50:DV50" si="47">MAX(BS34-BS49,0)</f>
        <v>0</v>
      </c>
      <c r="BT50" s="70">
        <f t="shared" si="47"/>
        <v>0</v>
      </c>
      <c r="BU50" s="70">
        <f t="shared" si="47"/>
        <v>0</v>
      </c>
      <c r="BV50" s="70">
        <f t="shared" si="47"/>
        <v>0</v>
      </c>
      <c r="BW50" s="70">
        <f t="shared" si="47"/>
        <v>0</v>
      </c>
      <c r="BX50" s="70">
        <f t="shared" si="47"/>
        <v>0</v>
      </c>
      <c r="BY50" s="70">
        <f t="shared" si="47"/>
        <v>0</v>
      </c>
      <c r="BZ50" s="70">
        <f t="shared" si="47"/>
        <v>0</v>
      </c>
      <c r="CA50" s="70">
        <f t="shared" si="47"/>
        <v>0</v>
      </c>
      <c r="CB50" s="70">
        <f t="shared" si="47"/>
        <v>0</v>
      </c>
      <c r="CC50" s="70">
        <f t="shared" si="47"/>
        <v>0</v>
      </c>
      <c r="CD50" s="70">
        <f t="shared" si="47"/>
        <v>0</v>
      </c>
      <c r="CE50" s="70">
        <f t="shared" si="47"/>
        <v>0</v>
      </c>
      <c r="CF50" s="70">
        <f t="shared" si="47"/>
        <v>0</v>
      </c>
      <c r="CG50" s="70">
        <f t="shared" si="47"/>
        <v>0</v>
      </c>
      <c r="CH50" s="70">
        <f t="shared" si="47"/>
        <v>0</v>
      </c>
      <c r="CI50" s="70">
        <f t="shared" si="47"/>
        <v>0</v>
      </c>
      <c r="CJ50" s="70">
        <f t="shared" si="47"/>
        <v>0</v>
      </c>
      <c r="CK50" s="70">
        <f t="shared" si="47"/>
        <v>0</v>
      </c>
      <c r="CL50" s="70">
        <f t="shared" si="47"/>
        <v>0</v>
      </c>
      <c r="CM50" s="70">
        <f t="shared" si="47"/>
        <v>0</v>
      </c>
      <c r="CN50" s="70">
        <f t="shared" si="47"/>
        <v>0</v>
      </c>
      <c r="CO50" s="70">
        <f t="shared" si="47"/>
        <v>0</v>
      </c>
      <c r="CP50" s="70">
        <f t="shared" si="47"/>
        <v>0</v>
      </c>
      <c r="CQ50" s="70">
        <f t="shared" si="47"/>
        <v>0</v>
      </c>
      <c r="CR50" s="70">
        <f t="shared" si="47"/>
        <v>0</v>
      </c>
      <c r="CS50" s="70">
        <f t="shared" si="47"/>
        <v>0</v>
      </c>
      <c r="CT50" s="70">
        <f t="shared" si="47"/>
        <v>0</v>
      </c>
      <c r="CU50" s="70">
        <f t="shared" si="47"/>
        <v>0</v>
      </c>
      <c r="CV50" s="70">
        <f t="shared" si="47"/>
        <v>0</v>
      </c>
      <c r="CW50" s="70">
        <f t="shared" si="47"/>
        <v>0</v>
      </c>
      <c r="CX50" s="70">
        <f t="shared" si="47"/>
        <v>0</v>
      </c>
      <c r="CY50" s="70">
        <f t="shared" si="47"/>
        <v>0</v>
      </c>
      <c r="CZ50" s="70">
        <f t="shared" si="47"/>
        <v>0</v>
      </c>
      <c r="DA50" s="70">
        <f t="shared" si="47"/>
        <v>0</v>
      </c>
      <c r="DB50" s="70">
        <f t="shared" si="47"/>
        <v>0</v>
      </c>
      <c r="DC50" s="70">
        <f t="shared" si="47"/>
        <v>0</v>
      </c>
      <c r="DD50" s="70">
        <f t="shared" si="47"/>
        <v>0</v>
      </c>
      <c r="DE50" s="70">
        <f t="shared" si="47"/>
        <v>0</v>
      </c>
      <c r="DF50" s="70">
        <f t="shared" si="47"/>
        <v>0</v>
      </c>
      <c r="DG50" s="70">
        <f t="shared" si="47"/>
        <v>0</v>
      </c>
      <c r="DH50" s="70">
        <f t="shared" si="47"/>
        <v>0</v>
      </c>
      <c r="DI50" s="70">
        <f t="shared" si="47"/>
        <v>0</v>
      </c>
      <c r="DJ50" s="70">
        <f t="shared" si="47"/>
        <v>0</v>
      </c>
      <c r="DK50" s="70">
        <f t="shared" si="47"/>
        <v>0</v>
      </c>
      <c r="DL50" s="70">
        <f t="shared" si="47"/>
        <v>0</v>
      </c>
      <c r="DM50" s="70">
        <f t="shared" si="47"/>
        <v>0</v>
      </c>
      <c r="DN50" s="70">
        <f t="shared" si="47"/>
        <v>0</v>
      </c>
      <c r="DO50" s="70">
        <f t="shared" si="47"/>
        <v>0</v>
      </c>
      <c r="DP50" s="70">
        <f t="shared" si="47"/>
        <v>0</v>
      </c>
      <c r="DQ50" s="70">
        <f t="shared" si="47"/>
        <v>0</v>
      </c>
      <c r="DR50" s="70">
        <f t="shared" si="47"/>
        <v>0</v>
      </c>
      <c r="DS50" s="70">
        <f t="shared" si="47"/>
        <v>0</v>
      </c>
      <c r="DT50" s="70">
        <f t="shared" si="47"/>
        <v>0</v>
      </c>
      <c r="DU50" s="70">
        <f t="shared" si="47"/>
        <v>0</v>
      </c>
      <c r="DV50" s="70">
        <f t="shared" si="47"/>
        <v>4053501.9446100648</v>
      </c>
    </row>
    <row r="51" spans="2:126" x14ac:dyDescent="0.3"/>
    <row r="52" spans="2:126" ht="15.6" x14ac:dyDescent="0.3">
      <c r="B52" s="79" t="s">
        <v>12</v>
      </c>
    </row>
    <row r="53" spans="2:126" x14ac:dyDescent="0.3">
      <c r="B53" s="84" t="s">
        <v>3</v>
      </c>
      <c r="C53" s="86">
        <f>E11</f>
        <v>0.11</v>
      </c>
      <c r="D53" s="85"/>
      <c r="E53" s="85"/>
      <c r="F53" s="83">
        <f>F$17</f>
        <v>0</v>
      </c>
      <c r="G53" s="83">
        <f t="shared" ref="G53:BR53" si="48">G$17</f>
        <v>1</v>
      </c>
      <c r="H53" s="83">
        <f t="shared" si="48"/>
        <v>2</v>
      </c>
      <c r="I53" s="83">
        <f t="shared" si="48"/>
        <v>3</v>
      </c>
      <c r="J53" s="83">
        <f t="shared" si="48"/>
        <v>4</v>
      </c>
      <c r="K53" s="83">
        <f t="shared" si="48"/>
        <v>5</v>
      </c>
      <c r="L53" s="83">
        <f t="shared" si="48"/>
        <v>6</v>
      </c>
      <c r="M53" s="83">
        <f t="shared" si="48"/>
        <v>7</v>
      </c>
      <c r="N53" s="83">
        <f t="shared" si="48"/>
        <v>8</v>
      </c>
      <c r="O53" s="83">
        <f t="shared" si="48"/>
        <v>9</v>
      </c>
      <c r="P53" s="83">
        <f t="shared" si="48"/>
        <v>10</v>
      </c>
      <c r="Q53" s="83">
        <f t="shared" si="48"/>
        <v>11</v>
      </c>
      <c r="R53" s="83">
        <f t="shared" si="48"/>
        <v>12</v>
      </c>
      <c r="S53" s="83">
        <f t="shared" si="48"/>
        <v>13</v>
      </c>
      <c r="T53" s="83">
        <f t="shared" si="48"/>
        <v>14</v>
      </c>
      <c r="U53" s="83">
        <f t="shared" si="48"/>
        <v>15</v>
      </c>
      <c r="V53" s="83">
        <f t="shared" si="48"/>
        <v>16</v>
      </c>
      <c r="W53" s="83">
        <f t="shared" si="48"/>
        <v>17</v>
      </c>
      <c r="X53" s="83">
        <f t="shared" si="48"/>
        <v>18</v>
      </c>
      <c r="Y53" s="83">
        <f t="shared" si="48"/>
        <v>19</v>
      </c>
      <c r="Z53" s="83">
        <f t="shared" si="48"/>
        <v>20</v>
      </c>
      <c r="AA53" s="83">
        <f t="shared" si="48"/>
        <v>21</v>
      </c>
      <c r="AB53" s="83">
        <f t="shared" si="48"/>
        <v>22</v>
      </c>
      <c r="AC53" s="83">
        <f t="shared" si="48"/>
        <v>23</v>
      </c>
      <c r="AD53" s="83">
        <f t="shared" si="48"/>
        <v>24</v>
      </c>
      <c r="AE53" s="83">
        <f t="shared" si="48"/>
        <v>25</v>
      </c>
      <c r="AF53" s="83">
        <f t="shared" si="48"/>
        <v>26</v>
      </c>
      <c r="AG53" s="83">
        <f t="shared" si="48"/>
        <v>27</v>
      </c>
      <c r="AH53" s="83">
        <f t="shared" si="48"/>
        <v>28</v>
      </c>
      <c r="AI53" s="83">
        <f t="shared" si="48"/>
        <v>29</v>
      </c>
      <c r="AJ53" s="83">
        <f t="shared" si="48"/>
        <v>30</v>
      </c>
      <c r="AK53" s="83">
        <f t="shared" si="48"/>
        <v>31</v>
      </c>
      <c r="AL53" s="83">
        <f t="shared" si="48"/>
        <v>32</v>
      </c>
      <c r="AM53" s="83">
        <f t="shared" si="48"/>
        <v>33</v>
      </c>
      <c r="AN53" s="83">
        <f t="shared" si="48"/>
        <v>34</v>
      </c>
      <c r="AO53" s="83">
        <f t="shared" si="48"/>
        <v>35</v>
      </c>
      <c r="AP53" s="83">
        <f t="shared" si="48"/>
        <v>36</v>
      </c>
      <c r="AQ53" s="83">
        <f t="shared" si="48"/>
        <v>37</v>
      </c>
      <c r="AR53" s="83">
        <f t="shared" si="48"/>
        <v>38</v>
      </c>
      <c r="AS53" s="83">
        <f t="shared" si="48"/>
        <v>39</v>
      </c>
      <c r="AT53" s="83">
        <f t="shared" si="48"/>
        <v>40</v>
      </c>
      <c r="AU53" s="83">
        <f t="shared" si="48"/>
        <v>41</v>
      </c>
      <c r="AV53" s="83">
        <f t="shared" si="48"/>
        <v>42</v>
      </c>
      <c r="AW53" s="83">
        <f t="shared" si="48"/>
        <v>43</v>
      </c>
      <c r="AX53" s="83">
        <f t="shared" si="48"/>
        <v>44</v>
      </c>
      <c r="AY53" s="83">
        <f t="shared" si="48"/>
        <v>45</v>
      </c>
      <c r="AZ53" s="83">
        <f t="shared" si="48"/>
        <v>46</v>
      </c>
      <c r="BA53" s="83">
        <f t="shared" si="48"/>
        <v>47</v>
      </c>
      <c r="BB53" s="83">
        <f t="shared" si="48"/>
        <v>48</v>
      </c>
      <c r="BC53" s="83">
        <f t="shared" si="48"/>
        <v>49</v>
      </c>
      <c r="BD53" s="83">
        <f t="shared" si="48"/>
        <v>50</v>
      </c>
      <c r="BE53" s="83">
        <f t="shared" si="48"/>
        <v>51</v>
      </c>
      <c r="BF53" s="83">
        <f t="shared" si="48"/>
        <v>52</v>
      </c>
      <c r="BG53" s="83">
        <f t="shared" si="48"/>
        <v>53</v>
      </c>
      <c r="BH53" s="83">
        <f t="shared" si="48"/>
        <v>54</v>
      </c>
      <c r="BI53" s="83">
        <f t="shared" si="48"/>
        <v>55</v>
      </c>
      <c r="BJ53" s="83">
        <f t="shared" si="48"/>
        <v>56</v>
      </c>
      <c r="BK53" s="83">
        <f t="shared" si="48"/>
        <v>57</v>
      </c>
      <c r="BL53" s="83">
        <f t="shared" si="48"/>
        <v>58</v>
      </c>
      <c r="BM53" s="83">
        <f t="shared" si="48"/>
        <v>59</v>
      </c>
      <c r="BN53" s="83">
        <f t="shared" si="48"/>
        <v>60</v>
      </c>
      <c r="BO53" s="83">
        <f t="shared" si="48"/>
        <v>61</v>
      </c>
      <c r="BP53" s="83">
        <f t="shared" si="48"/>
        <v>62</v>
      </c>
      <c r="BQ53" s="83">
        <f t="shared" si="48"/>
        <v>63</v>
      </c>
      <c r="BR53" s="83">
        <f t="shared" si="48"/>
        <v>64</v>
      </c>
      <c r="BS53" s="83">
        <f t="shared" ref="BS53:DV53" si="49">BS$17</f>
        <v>65</v>
      </c>
      <c r="BT53" s="83">
        <f t="shared" si="49"/>
        <v>66</v>
      </c>
      <c r="BU53" s="83">
        <f t="shared" si="49"/>
        <v>67</v>
      </c>
      <c r="BV53" s="83">
        <f t="shared" si="49"/>
        <v>68</v>
      </c>
      <c r="BW53" s="83">
        <f t="shared" si="49"/>
        <v>69</v>
      </c>
      <c r="BX53" s="83">
        <f t="shared" si="49"/>
        <v>70</v>
      </c>
      <c r="BY53" s="83">
        <f t="shared" si="49"/>
        <v>71</v>
      </c>
      <c r="BZ53" s="83">
        <f t="shared" si="49"/>
        <v>72</v>
      </c>
      <c r="CA53" s="83">
        <f t="shared" si="49"/>
        <v>73</v>
      </c>
      <c r="CB53" s="83">
        <f t="shared" si="49"/>
        <v>74</v>
      </c>
      <c r="CC53" s="83">
        <f t="shared" si="49"/>
        <v>75</v>
      </c>
      <c r="CD53" s="83">
        <f t="shared" si="49"/>
        <v>76</v>
      </c>
      <c r="CE53" s="83">
        <f t="shared" si="49"/>
        <v>77</v>
      </c>
      <c r="CF53" s="83">
        <f t="shared" si="49"/>
        <v>78</v>
      </c>
      <c r="CG53" s="83">
        <f t="shared" si="49"/>
        <v>79</v>
      </c>
      <c r="CH53" s="83">
        <f t="shared" si="49"/>
        <v>80</v>
      </c>
      <c r="CI53" s="83">
        <f t="shared" si="49"/>
        <v>81</v>
      </c>
      <c r="CJ53" s="83">
        <f t="shared" si="49"/>
        <v>82</v>
      </c>
      <c r="CK53" s="83">
        <f t="shared" si="49"/>
        <v>83</v>
      </c>
      <c r="CL53" s="83">
        <f t="shared" si="49"/>
        <v>84</v>
      </c>
      <c r="CM53" s="83">
        <f t="shared" si="49"/>
        <v>85</v>
      </c>
      <c r="CN53" s="83">
        <f t="shared" si="49"/>
        <v>86</v>
      </c>
      <c r="CO53" s="83">
        <f t="shared" si="49"/>
        <v>87</v>
      </c>
      <c r="CP53" s="83">
        <f t="shared" si="49"/>
        <v>88</v>
      </c>
      <c r="CQ53" s="83">
        <f t="shared" si="49"/>
        <v>89</v>
      </c>
      <c r="CR53" s="83">
        <f t="shared" si="49"/>
        <v>90</v>
      </c>
      <c r="CS53" s="83">
        <f t="shared" si="49"/>
        <v>91</v>
      </c>
      <c r="CT53" s="83">
        <f t="shared" si="49"/>
        <v>92</v>
      </c>
      <c r="CU53" s="83">
        <f t="shared" si="49"/>
        <v>93</v>
      </c>
      <c r="CV53" s="83">
        <f t="shared" si="49"/>
        <v>94</v>
      </c>
      <c r="CW53" s="83">
        <f t="shared" si="49"/>
        <v>95</v>
      </c>
      <c r="CX53" s="83">
        <f t="shared" si="49"/>
        <v>96</v>
      </c>
      <c r="CY53" s="83">
        <f t="shared" si="49"/>
        <v>97</v>
      </c>
      <c r="CZ53" s="83">
        <f t="shared" si="49"/>
        <v>98</v>
      </c>
      <c r="DA53" s="83">
        <f t="shared" si="49"/>
        <v>99</v>
      </c>
      <c r="DB53" s="83">
        <f t="shared" si="49"/>
        <v>100</v>
      </c>
      <c r="DC53" s="83">
        <f t="shared" si="49"/>
        <v>101</v>
      </c>
      <c r="DD53" s="83">
        <f t="shared" si="49"/>
        <v>102</v>
      </c>
      <c r="DE53" s="83">
        <f t="shared" si="49"/>
        <v>103</v>
      </c>
      <c r="DF53" s="83">
        <f t="shared" si="49"/>
        <v>104</v>
      </c>
      <c r="DG53" s="83">
        <f t="shared" si="49"/>
        <v>105</v>
      </c>
      <c r="DH53" s="83">
        <f t="shared" si="49"/>
        <v>106</v>
      </c>
      <c r="DI53" s="83">
        <f t="shared" si="49"/>
        <v>107</v>
      </c>
      <c r="DJ53" s="83">
        <f t="shared" si="49"/>
        <v>108</v>
      </c>
      <c r="DK53" s="83">
        <f t="shared" si="49"/>
        <v>109</v>
      </c>
      <c r="DL53" s="83">
        <f t="shared" si="49"/>
        <v>110</v>
      </c>
      <c r="DM53" s="83">
        <f t="shared" si="49"/>
        <v>111</v>
      </c>
      <c r="DN53" s="83">
        <f t="shared" si="49"/>
        <v>112</v>
      </c>
      <c r="DO53" s="83">
        <f t="shared" si="49"/>
        <v>113</v>
      </c>
      <c r="DP53" s="83">
        <f t="shared" si="49"/>
        <v>114</v>
      </c>
      <c r="DQ53" s="83">
        <f t="shared" si="49"/>
        <v>115</v>
      </c>
      <c r="DR53" s="83">
        <f t="shared" si="49"/>
        <v>116</v>
      </c>
      <c r="DS53" s="83">
        <f t="shared" si="49"/>
        <v>117</v>
      </c>
      <c r="DT53" s="83">
        <f t="shared" si="49"/>
        <v>118</v>
      </c>
      <c r="DU53" s="83">
        <f t="shared" si="49"/>
        <v>119</v>
      </c>
      <c r="DV53" s="83">
        <f t="shared" si="49"/>
        <v>120</v>
      </c>
    </row>
    <row r="54" spans="2:126" x14ac:dyDescent="0.3">
      <c r="B54" t="s">
        <v>10</v>
      </c>
      <c r="F54" s="70">
        <f>E59</f>
        <v>0</v>
      </c>
      <c r="G54" s="70">
        <f t="shared" ref="G54:BR54" si="50">F59</f>
        <v>1723311.6942992047</v>
      </c>
      <c r="H54" s="70">
        <f t="shared" si="50"/>
        <v>1747004.5509876488</v>
      </c>
      <c r="I54" s="70">
        <f t="shared" si="50"/>
        <v>1782373.664512235</v>
      </c>
      <c r="J54" s="70">
        <f t="shared" si="50"/>
        <v>1840953.5378153021</v>
      </c>
      <c r="K54" s="70">
        <f t="shared" si="50"/>
        <v>1941575.680081886</v>
      </c>
      <c r="L54" s="70">
        <f t="shared" si="50"/>
        <v>2111246.2223668192</v>
      </c>
      <c r="M54" s="70">
        <f t="shared" si="50"/>
        <v>2383190.1171949022</v>
      </c>
      <c r="N54" s="70">
        <f t="shared" si="50"/>
        <v>2745735.7128390898</v>
      </c>
      <c r="O54" s="70">
        <f t="shared" si="50"/>
        <v>3221900.8687861925</v>
      </c>
      <c r="P54" s="70">
        <f t="shared" si="50"/>
        <v>3770266.904428639</v>
      </c>
      <c r="Q54" s="70">
        <f t="shared" si="50"/>
        <v>3803198.6544452035</v>
      </c>
      <c r="R54" s="70">
        <f t="shared" si="50"/>
        <v>3836418.0499220616</v>
      </c>
      <c r="S54" s="70">
        <f t="shared" si="50"/>
        <v>3869927.6033254741</v>
      </c>
      <c r="T54" s="70">
        <f t="shared" si="50"/>
        <v>3903729.8490670738</v>
      </c>
      <c r="U54" s="70">
        <f t="shared" si="50"/>
        <v>3937827.3436955502</v>
      </c>
      <c r="V54" s="70">
        <f t="shared" si="50"/>
        <v>3972222.6660900074</v>
      </c>
      <c r="W54" s="70">
        <f t="shared" si="50"/>
        <v>4006918.4176550102</v>
      </c>
      <c r="X54" s="70">
        <f t="shared" si="50"/>
        <v>4041917.2225173363</v>
      </c>
      <c r="Y54" s="70">
        <f t="shared" si="50"/>
        <v>4077221.7277244441</v>
      </c>
      <c r="Z54" s="70">
        <f t="shared" si="50"/>
        <v>4112834.6034446778</v>
      </c>
      <c r="AA54" s="70">
        <f t="shared" si="50"/>
        <v>4148758.5431692163</v>
      </c>
      <c r="AB54" s="70">
        <f t="shared" si="50"/>
        <v>4184996.2639157902</v>
      </c>
      <c r="AC54" s="70">
        <f t="shared" si="50"/>
        <v>4221550.506434177</v>
      </c>
      <c r="AD54" s="70">
        <f t="shared" si="50"/>
        <v>4258424.0354134897</v>
      </c>
      <c r="AE54" s="70">
        <f t="shared" si="50"/>
        <v>4295619.6396912774</v>
      </c>
      <c r="AF54" s="70">
        <f t="shared" si="50"/>
        <v>4333140.1324644526</v>
      </c>
      <c r="AG54" s="70">
        <f t="shared" si="50"/>
        <v>4370988.3515020618</v>
      </c>
      <c r="AH54" s="70">
        <f t="shared" si="50"/>
        <v>4409167.1593599087</v>
      </c>
      <c r="AI54" s="70">
        <f t="shared" si="50"/>
        <v>4447679.4435970616</v>
      </c>
      <c r="AJ54" s="70">
        <f t="shared" si="50"/>
        <v>4486528.1169942431</v>
      </c>
      <c r="AK54" s="70">
        <f t="shared" si="50"/>
        <v>4490180.5396870179</v>
      </c>
      <c r="AL54" s="70">
        <f t="shared" si="50"/>
        <v>4509170.7638364909</v>
      </c>
      <c r="AM54" s="70">
        <f t="shared" si="50"/>
        <v>4528326.8598805275</v>
      </c>
      <c r="AN54" s="70">
        <f t="shared" si="50"/>
        <v>4547650.2766427537</v>
      </c>
      <c r="AO54" s="70">
        <f t="shared" si="50"/>
        <v>4567142.4756016815</v>
      </c>
      <c r="AP54" s="70">
        <f t="shared" si="50"/>
        <v>4586804.9310012432</v>
      </c>
      <c r="AQ54" s="70">
        <f t="shared" si="50"/>
        <v>4606067.0422946271</v>
      </c>
      <c r="AR54" s="70">
        <f t="shared" si="50"/>
        <v>4625497.4003063431</v>
      </c>
      <c r="AS54" s="70">
        <f t="shared" si="50"/>
        <v>4645097.474603137</v>
      </c>
      <c r="AT54" s="70">
        <f t="shared" si="50"/>
        <v>4664868.7475878252</v>
      </c>
      <c r="AU54" s="70">
        <f t="shared" si="50"/>
        <v>4684812.7146114092</v>
      </c>
      <c r="AV54" s="70">
        <f t="shared" si="50"/>
        <v>4704930.8840861749</v>
      </c>
      <c r="AW54" s="70">
        <f t="shared" si="50"/>
        <v>4725224.7775997752</v>
      </c>
      <c r="AX54" s="70">
        <f t="shared" si="50"/>
        <v>4745695.9300303161</v>
      </c>
      <c r="AY54" s="70">
        <f t="shared" si="50"/>
        <v>4766345.8896624371</v>
      </c>
      <c r="AZ54" s="70">
        <f t="shared" si="50"/>
        <v>4787176.218304418</v>
      </c>
      <c r="BA54" s="70">
        <f t="shared" si="50"/>
        <v>4808188.4914062973</v>
      </c>
      <c r="BB54" s="70">
        <f t="shared" si="50"/>
        <v>4829384.2981790313</v>
      </c>
      <c r="BC54" s="70">
        <f t="shared" si="50"/>
        <v>4848626.588685412</v>
      </c>
      <c r="BD54" s="70">
        <f t="shared" si="50"/>
        <v>4868036.9527836014</v>
      </c>
      <c r="BE54" s="70">
        <f t="shared" si="50"/>
        <v>4887616.8585281549</v>
      </c>
      <c r="BF54" s="70">
        <f t="shared" si="50"/>
        <v>4907367.7867964907</v>
      </c>
      <c r="BG54" s="70">
        <f t="shared" si="50"/>
        <v>4927291.2314008884</v>
      </c>
      <c r="BH54" s="70">
        <f t="shared" si="50"/>
        <v>4947388.6992014721</v>
      </c>
      <c r="BI54" s="70">
        <f t="shared" si="50"/>
        <v>4967661.7102201758</v>
      </c>
      <c r="BJ54" s="70">
        <f t="shared" si="50"/>
        <v>4997918.2637421098</v>
      </c>
      <c r="BK54" s="70">
        <f t="shared" si="50"/>
        <v>5028439.0959695587</v>
      </c>
      <c r="BL54" s="70">
        <f t="shared" si="50"/>
        <v>5059226.5152696706</v>
      </c>
      <c r="BM54" s="70">
        <f t="shared" si="50"/>
        <v>5090282.8501722449</v>
      </c>
      <c r="BN54" s="70">
        <f t="shared" si="50"/>
        <v>5121610.4495458417</v>
      </c>
      <c r="BO54" s="70">
        <f t="shared" si="50"/>
        <v>5150997.0898912074</v>
      </c>
      <c r="BP54" s="70">
        <f t="shared" si="50"/>
        <v>5180640.4106038287</v>
      </c>
      <c r="BQ54" s="70">
        <f t="shared" si="50"/>
        <v>5210542.6536824564</v>
      </c>
      <c r="BR54" s="70">
        <f t="shared" si="50"/>
        <v>5240706.0807087887</v>
      </c>
      <c r="BS54" s="70">
        <f t="shared" ref="BS54:DV54" si="51">BR59</f>
        <v>5271132.9730185224</v>
      </c>
      <c r="BT54" s="70">
        <f t="shared" si="51"/>
        <v>5301825.6318738945</v>
      </c>
      <c r="BU54" s="70">
        <f t="shared" si="51"/>
        <v>5332786.3786377329</v>
      </c>
      <c r="BV54" s="70">
        <f t="shared" si="51"/>
        <v>5364017.5549490275</v>
      </c>
      <c r="BW54" s="70">
        <f t="shared" si="51"/>
        <v>5395521.5229000328</v>
      </c>
      <c r="BX54" s="70">
        <f t="shared" si="51"/>
        <v>5427300.6652149204</v>
      </c>
      <c r="BY54" s="70">
        <f t="shared" si="51"/>
        <v>5459357.3854299895</v>
      </c>
      <c r="BZ54" s="70">
        <f t="shared" si="51"/>
        <v>5491694.108075453</v>
      </c>
      <c r="CA54" s="70">
        <f t="shared" si="51"/>
        <v>5522020.2323187022</v>
      </c>
      <c r="CB54" s="70">
        <f t="shared" si="51"/>
        <v>5552611.2429394592</v>
      </c>
      <c r="CC54" s="70">
        <f t="shared" si="51"/>
        <v>5583469.4536126405</v>
      </c>
      <c r="CD54" s="70">
        <f t="shared" si="51"/>
        <v>5614597.1982221734</v>
      </c>
      <c r="CE54" s="70">
        <f t="shared" si="51"/>
        <v>5645996.8310375139</v>
      </c>
      <c r="CF54" s="70">
        <f t="shared" si="51"/>
        <v>5677670.7268917048</v>
      </c>
      <c r="CG54" s="70">
        <f t="shared" si="51"/>
        <v>5709621.2813609922</v>
      </c>
      <c r="CH54" s="70">
        <f t="shared" si="51"/>
        <v>5741850.910946006</v>
      </c>
      <c r="CI54" s="70">
        <f t="shared" si="51"/>
        <v>5774362.053254528</v>
      </c>
      <c r="CJ54" s="70">
        <f t="shared" si="51"/>
        <v>5807157.1671858551</v>
      </c>
      <c r="CK54" s="70">
        <f t="shared" si="51"/>
        <v>5840238.7331167692</v>
      </c>
      <c r="CL54" s="70">
        <f t="shared" si="51"/>
        <v>5873609.2530891364</v>
      </c>
      <c r="CM54" s="70">
        <f t="shared" si="51"/>
        <v>5904897.1568760928</v>
      </c>
      <c r="CN54" s="70">
        <f t="shared" si="51"/>
        <v>5936458.3477942189</v>
      </c>
      <c r="CO54" s="70">
        <f t="shared" si="51"/>
        <v>5968295.212895602</v>
      </c>
      <c r="CP54" s="70">
        <f t="shared" si="51"/>
        <v>6000410.1600822611</v>
      </c>
      <c r="CQ54" s="70">
        <f t="shared" si="51"/>
        <v>6032805.61828826</v>
      </c>
      <c r="CR54" s="70">
        <f t="shared" si="51"/>
        <v>6065484.0376634169</v>
      </c>
      <c r="CS54" s="70">
        <f t="shared" si="51"/>
        <v>6098447.8897586111</v>
      </c>
      <c r="CT54" s="70">
        <f t="shared" si="51"/>
        <v>6131699.6677127164</v>
      </c>
      <c r="CU54" s="70">
        <f t="shared" si="51"/>
        <v>6165241.8864411619</v>
      </c>
      <c r="CV54" s="70">
        <f t="shared" si="51"/>
        <v>6199077.0828261413</v>
      </c>
      <c r="CW54" s="70">
        <f t="shared" si="51"/>
        <v>6233207.8159084832</v>
      </c>
      <c r="CX54" s="70">
        <f t="shared" si="51"/>
        <v>6267636.6670811996</v>
      </c>
      <c r="CY54" s="70">
        <f t="shared" si="51"/>
        <v>6299908.4220275031</v>
      </c>
      <c r="CZ54" s="70">
        <f t="shared" si="51"/>
        <v>6332462.0576452361</v>
      </c>
      <c r="DA54" s="70">
        <f t="shared" si="51"/>
        <v>6365300.0360475695</v>
      </c>
      <c r="DB54" s="70">
        <f t="shared" si="51"/>
        <v>6398424.8408532338</v>
      </c>
      <c r="DC54" s="70">
        <f t="shared" si="51"/>
        <v>6431838.97737436</v>
      </c>
      <c r="DD54" s="70">
        <f t="shared" si="51"/>
        <v>6465544.9728059629</v>
      </c>
      <c r="DE54" s="70">
        <f t="shared" si="51"/>
        <v>6499545.376417079</v>
      </c>
      <c r="DF54" s="70">
        <f t="shared" si="51"/>
        <v>6533842.759743575</v>
      </c>
      <c r="DG54" s="70">
        <f t="shared" si="51"/>
        <v>6568439.7167826388</v>
      </c>
      <c r="DH54" s="70">
        <f t="shared" si="51"/>
        <v>6603338.8641889701</v>
      </c>
      <c r="DI54" s="70">
        <f t="shared" si="51"/>
        <v>6638542.8414726835</v>
      </c>
      <c r="DJ54" s="70">
        <f t="shared" si="51"/>
        <v>6674054.3111989442</v>
      </c>
      <c r="DK54" s="70">
        <f t="shared" si="51"/>
        <v>6707331.6550477203</v>
      </c>
      <c r="DL54" s="70">
        <f t="shared" si="51"/>
        <v>6740899.662978542</v>
      </c>
      <c r="DM54" s="70">
        <f t="shared" si="51"/>
        <v>6774760.8738241047</v>
      </c>
      <c r="DN54" s="70">
        <f t="shared" si="51"/>
        <v>6808917.8485927768</v>
      </c>
      <c r="DO54" s="70">
        <f t="shared" si="51"/>
        <v>6843373.1706622951</v>
      </c>
      <c r="DP54" s="70">
        <f t="shared" si="51"/>
        <v>6878129.44597515</v>
      </c>
      <c r="DQ54" s="70">
        <f t="shared" si="51"/>
        <v>6913189.3032356827</v>
      </c>
      <c r="DR54" s="70">
        <f t="shared" si="51"/>
        <v>6948555.3941088971</v>
      </c>
      <c r="DS54" s="70">
        <f t="shared" si="51"/>
        <v>6984230.3934210166</v>
      </c>
      <c r="DT54" s="70">
        <f t="shared" si="51"/>
        <v>7020216.9993617823</v>
      </c>
      <c r="DU54" s="70">
        <f t="shared" si="51"/>
        <v>7056517.9336885288</v>
      </c>
      <c r="DV54" s="70">
        <f t="shared" si="51"/>
        <v>7093135.9419320356</v>
      </c>
    </row>
    <row r="55" spans="2:126" x14ac:dyDescent="0.3">
      <c r="B55" t="s">
        <v>54</v>
      </c>
      <c r="F55" s="70">
        <f>F54*((1+$C$53)^(1/12)-1)</f>
        <v>0</v>
      </c>
      <c r="G55" s="70">
        <f t="shared" ref="G55:BR55" si="52">G54*((1+$C$53)^(1/12)-1)</f>
        <v>15052.427681080604</v>
      </c>
      <c r="H55" s="70">
        <f t="shared" si="52"/>
        <v>15259.375160773789</v>
      </c>
      <c r="I55" s="70">
        <f t="shared" si="52"/>
        <v>15568.310001310145</v>
      </c>
      <c r="J55" s="70">
        <f t="shared" si="52"/>
        <v>16079.981400847568</v>
      </c>
      <c r="K55" s="70">
        <f t="shared" si="52"/>
        <v>16958.874943201834</v>
      </c>
      <c r="L55" s="70">
        <f t="shared" si="52"/>
        <v>18440.878213882512</v>
      </c>
      <c r="M55" s="70">
        <f t="shared" si="52"/>
        <v>20816.197678000535</v>
      </c>
      <c r="N55" s="70">
        <f t="shared" si="52"/>
        <v>23982.886198470205</v>
      </c>
      <c r="O55" s="70">
        <f t="shared" si="52"/>
        <v>28141.995428596398</v>
      </c>
      <c r="P55" s="70">
        <f t="shared" si="52"/>
        <v>32931.750016564554</v>
      </c>
      <c r="Q55" s="70">
        <f t="shared" si="52"/>
        <v>33219.395476857993</v>
      </c>
      <c r="R55" s="70">
        <f t="shared" si="52"/>
        <v>33509.55340341229</v>
      </c>
      <c r="S55" s="70">
        <f t="shared" si="52"/>
        <v>33802.24574159972</v>
      </c>
      <c r="T55" s="70">
        <f t="shared" si="52"/>
        <v>34097.494628476474</v>
      </c>
      <c r="U55" s="70">
        <f t="shared" si="52"/>
        <v>34395.322394456962</v>
      </c>
      <c r="V55" s="70">
        <f t="shared" si="52"/>
        <v>34695.751565002662</v>
      </c>
      <c r="W55" s="70">
        <f t="shared" si="52"/>
        <v>34998.804862325829</v>
      </c>
      <c r="X55" s="70">
        <f t="shared" si="52"/>
        <v>35304.505207107999</v>
      </c>
      <c r="Y55" s="70">
        <f t="shared" si="52"/>
        <v>35612.875720233562</v>
      </c>
      <c r="Z55" s="70">
        <f t="shared" si="52"/>
        <v>35923.939724538439</v>
      </c>
      <c r="AA55" s="70">
        <f t="shared" si="52"/>
        <v>36237.720746574043</v>
      </c>
      <c r="AB55" s="70">
        <f t="shared" si="52"/>
        <v>36554.242518386665</v>
      </c>
      <c r="AC55" s="70">
        <f t="shared" si="52"/>
        <v>36873.528979312381</v>
      </c>
      <c r="AD55" s="70">
        <f t="shared" si="52"/>
        <v>37195.60427778765</v>
      </c>
      <c r="AE55" s="70">
        <f t="shared" si="52"/>
        <v>37520.492773175698</v>
      </c>
      <c r="AF55" s="70">
        <f t="shared" si="52"/>
        <v>37848.219037608898</v>
      </c>
      <c r="AG55" s="70">
        <f t="shared" si="52"/>
        <v>38178.807857847234</v>
      </c>
      <c r="AH55" s="70">
        <f t="shared" si="52"/>
        <v>38512.284237152962</v>
      </c>
      <c r="AI55" s="70">
        <f t="shared" si="52"/>
        <v>38848.673397181672</v>
      </c>
      <c r="AJ55" s="70">
        <f t="shared" si="52"/>
        <v>39188.000779889881</v>
      </c>
      <c r="AK55" s="70">
        <f t="shared" si="52"/>
        <v>39219.903208583193</v>
      </c>
      <c r="AL55" s="70">
        <f t="shared" si="52"/>
        <v>39385.775103147047</v>
      </c>
      <c r="AM55" s="70">
        <f t="shared" si="52"/>
        <v>39553.095821336654</v>
      </c>
      <c r="AN55" s="70">
        <f t="shared" si="52"/>
        <v>39721.878018037911</v>
      </c>
      <c r="AO55" s="70">
        <f t="shared" si="52"/>
        <v>39892.134458672008</v>
      </c>
      <c r="AP55" s="70">
        <f t="shared" si="52"/>
        <v>40063.878020160882</v>
      </c>
      <c r="AQ55" s="70">
        <f t="shared" si="52"/>
        <v>40232.124738492646</v>
      </c>
      <c r="AR55" s="70">
        <f t="shared" si="52"/>
        <v>40401.841023571185</v>
      </c>
      <c r="AS55" s="70">
        <f t="shared" si="52"/>
        <v>40573.03971146512</v>
      </c>
      <c r="AT55" s="70">
        <f t="shared" si="52"/>
        <v>40745.733750360931</v>
      </c>
      <c r="AU55" s="70">
        <f t="shared" si="52"/>
        <v>40919.936201542252</v>
      </c>
      <c r="AV55" s="70">
        <f t="shared" si="52"/>
        <v>41095.660240377714</v>
      </c>
      <c r="AW55" s="70">
        <f t="shared" si="52"/>
        <v>41272.919157317425</v>
      </c>
      <c r="AX55" s="70">
        <f t="shared" si="52"/>
        <v>41451.726358898217</v>
      </c>
      <c r="AY55" s="70">
        <f t="shared" si="52"/>
        <v>41632.095368757538</v>
      </c>
      <c r="AZ55" s="70">
        <f t="shared" si="52"/>
        <v>41814.039828656343</v>
      </c>
      <c r="BA55" s="70">
        <f t="shared" si="52"/>
        <v>41997.5734995108</v>
      </c>
      <c r="BB55" s="70">
        <f t="shared" si="52"/>
        <v>42182.710262433124</v>
      </c>
      <c r="BC55" s="70">
        <f t="shared" si="52"/>
        <v>42350.783854241148</v>
      </c>
      <c r="BD55" s="70">
        <f t="shared" si="52"/>
        <v>42520.325500606086</v>
      </c>
      <c r="BE55" s="70">
        <f t="shared" si="52"/>
        <v>42691.348024388193</v>
      </c>
      <c r="BF55" s="70">
        <f t="shared" si="52"/>
        <v>42863.864360450214</v>
      </c>
      <c r="BG55" s="70">
        <f t="shared" si="52"/>
        <v>43037.887556635666</v>
      </c>
      <c r="BH55" s="70">
        <f t="shared" si="52"/>
        <v>43213.430774755674</v>
      </c>
      <c r="BI55" s="70">
        <f t="shared" si="52"/>
        <v>43390.507291584443</v>
      </c>
      <c r="BJ55" s="70">
        <f t="shared" si="52"/>
        <v>43654.785997099098</v>
      </c>
      <c r="BK55" s="70">
        <f t="shared" si="52"/>
        <v>43921.373069762638</v>
      </c>
      <c r="BL55" s="70">
        <f t="shared" si="52"/>
        <v>44190.288672224495</v>
      </c>
      <c r="BM55" s="70">
        <f t="shared" si="52"/>
        <v>44461.553143246681</v>
      </c>
      <c r="BN55" s="70">
        <f t="shared" si="52"/>
        <v>44735.186999242011</v>
      </c>
      <c r="BO55" s="70">
        <f t="shared" si="52"/>
        <v>44991.867366497579</v>
      </c>
      <c r="BP55" s="70">
        <f t="shared" si="52"/>
        <v>45250.78973250361</v>
      </c>
      <c r="BQ55" s="70">
        <f t="shared" si="52"/>
        <v>45511.973680208539</v>
      </c>
      <c r="BR55" s="70">
        <f t="shared" si="52"/>
        <v>45775.4389636099</v>
      </c>
      <c r="BS55" s="70">
        <f t="shared" ref="BS55:DV55" si="53">BS54*((1+$C$53)^(1/12)-1)</f>
        <v>46041.205509248379</v>
      </c>
      <c r="BT55" s="70">
        <f t="shared" si="53"/>
        <v>46309.2934177149</v>
      </c>
      <c r="BU55" s="70">
        <f t="shared" si="53"/>
        <v>46579.722965170877</v>
      </c>
      <c r="BV55" s="70">
        <f t="shared" si="53"/>
        <v>46852.51460488177</v>
      </c>
      <c r="BW55" s="70">
        <f t="shared" si="53"/>
        <v>47127.688968764</v>
      </c>
      <c r="BX55" s="70">
        <f t="shared" si="53"/>
        <v>47405.266868945393</v>
      </c>
      <c r="BY55" s="70">
        <f t="shared" si="53"/>
        <v>47685.26929933927</v>
      </c>
      <c r="BZ55" s="70">
        <f t="shared" si="53"/>
        <v>47967.717437232248</v>
      </c>
      <c r="CA55" s="70">
        <f t="shared" si="53"/>
        <v>48232.603814739596</v>
      </c>
      <c r="CB55" s="70">
        <f t="shared" si="53"/>
        <v>48499.803867163871</v>
      </c>
      <c r="CC55" s="70">
        <f t="shared" si="53"/>
        <v>48769.337803515707</v>
      </c>
      <c r="CD55" s="70">
        <f t="shared" si="53"/>
        <v>49041.226009323233</v>
      </c>
      <c r="CE55" s="70">
        <f t="shared" si="53"/>
        <v>49315.489048173906</v>
      </c>
      <c r="CF55" s="70">
        <f t="shared" si="53"/>
        <v>49592.147663269745</v>
      </c>
      <c r="CG55" s="70">
        <f t="shared" si="53"/>
        <v>49871.222778996242</v>
      </c>
      <c r="CH55" s="70">
        <f t="shared" si="53"/>
        <v>50152.735502504867</v>
      </c>
      <c r="CI55" s="70">
        <f t="shared" si="53"/>
        <v>50436.707125309505</v>
      </c>
      <c r="CJ55" s="70">
        <f t="shared" si="53"/>
        <v>50723.159124896752</v>
      </c>
      <c r="CK55" s="70">
        <f t="shared" si="53"/>
        <v>51012.11316635034</v>
      </c>
      <c r="CL55" s="70">
        <f t="shared" si="53"/>
        <v>51303.591103989696</v>
      </c>
      <c r="CM55" s="70">
        <f t="shared" si="53"/>
        <v>51576.878235159129</v>
      </c>
      <c r="CN55" s="70">
        <f t="shared" si="53"/>
        <v>51852.552418416541</v>
      </c>
      <c r="CO55" s="70">
        <f t="shared" si="53"/>
        <v>52130.63450369233</v>
      </c>
      <c r="CP55" s="70">
        <f t="shared" si="53"/>
        <v>52411.145523032625</v>
      </c>
      <c r="CQ55" s="70">
        <f t="shared" si="53"/>
        <v>52694.106692189875</v>
      </c>
      <c r="CR55" s="70">
        <f t="shared" si="53"/>
        <v>52979.539412227561</v>
      </c>
      <c r="CS55" s="70">
        <f t="shared" si="53"/>
        <v>53267.465271138717</v>
      </c>
      <c r="CT55" s="70">
        <f t="shared" si="53"/>
        <v>53557.906045478769</v>
      </c>
      <c r="CU55" s="70">
        <f t="shared" si="53"/>
        <v>53850.883702012477</v>
      </c>
      <c r="CV55" s="70">
        <f t="shared" si="53"/>
        <v>54146.420399375384</v>
      </c>
      <c r="CW55" s="70">
        <f t="shared" si="53"/>
        <v>54444.538489749706</v>
      </c>
      <c r="CX55" s="70">
        <f t="shared" si="53"/>
        <v>54745.260520554897</v>
      </c>
      <c r="CY55" s="70">
        <f t="shared" si="53"/>
        <v>55027.141191984061</v>
      </c>
      <c r="CZ55" s="70">
        <f t="shared" si="53"/>
        <v>55311.483976584874</v>
      </c>
      <c r="DA55" s="70">
        <f t="shared" si="53"/>
        <v>55598.310379915827</v>
      </c>
      <c r="DB55" s="70">
        <f t="shared" si="53"/>
        <v>55887.642095377741</v>
      </c>
      <c r="DC55" s="70">
        <f t="shared" si="53"/>
        <v>56179.501005854494</v>
      </c>
      <c r="DD55" s="70">
        <f t="shared" si="53"/>
        <v>56473.909185368037</v>
      </c>
      <c r="DE55" s="70">
        <f t="shared" si="53"/>
        <v>56770.888900747967</v>
      </c>
      <c r="DF55" s="70">
        <f t="shared" si="53"/>
        <v>57070.462613315569</v>
      </c>
      <c r="DG55" s="70">
        <f t="shared" si="53"/>
        <v>57372.652980582665</v>
      </c>
      <c r="DH55" s="70">
        <f t="shared" si="53"/>
        <v>57677.482857965239</v>
      </c>
      <c r="DI55" s="70">
        <f t="shared" si="53"/>
        <v>57984.975300512022</v>
      </c>
      <c r="DJ55" s="70">
        <f t="shared" si="53"/>
        <v>58295.153564648266</v>
      </c>
      <c r="DK55" s="70">
        <f t="shared" si="53"/>
        <v>58585.817646693999</v>
      </c>
      <c r="DL55" s="70">
        <f t="shared" si="53"/>
        <v>58879.0205614355</v>
      </c>
      <c r="DM55" s="70">
        <f t="shared" si="53"/>
        <v>59174.78448454514</v>
      </c>
      <c r="DN55" s="70">
        <f t="shared" si="53"/>
        <v>59473.131785390804</v>
      </c>
      <c r="DO55" s="70">
        <f t="shared" si="53"/>
        <v>59774.085028727706</v>
      </c>
      <c r="DP55" s="70">
        <f t="shared" si="53"/>
        <v>60077.666976405038</v>
      </c>
      <c r="DQ55" s="70">
        <f t="shared" si="53"/>
        <v>60383.900589087498</v>
      </c>
      <c r="DR55" s="70">
        <f t="shared" si="53"/>
        <v>60692.809027991854</v>
      </c>
      <c r="DS55" s="70">
        <f t="shared" si="53"/>
        <v>61004.41565663871</v>
      </c>
      <c r="DT55" s="70">
        <f t="shared" si="53"/>
        <v>61318.744042619517</v>
      </c>
      <c r="DU55" s="70">
        <f t="shared" si="53"/>
        <v>61635.817959379085</v>
      </c>
      <c r="DV55" s="70">
        <f t="shared" si="53"/>
        <v>61955.661388013592</v>
      </c>
    </row>
    <row r="56" spans="2:126" x14ac:dyDescent="0.3">
      <c r="B56" t="s">
        <v>8</v>
      </c>
      <c r="F56" s="70">
        <f>F42</f>
        <v>1723311.6942992047</v>
      </c>
      <c r="G56" s="70">
        <f t="shared" ref="G56:BR56" si="54">G42</f>
        <v>8640.4290073635511</v>
      </c>
      <c r="H56" s="70">
        <f t="shared" si="54"/>
        <v>20109.73836381239</v>
      </c>
      <c r="I56" s="70">
        <f t="shared" si="54"/>
        <v>43011.56330175692</v>
      </c>
      <c r="J56" s="70">
        <f t="shared" si="54"/>
        <v>84542.160865736136</v>
      </c>
      <c r="K56" s="70">
        <f t="shared" si="54"/>
        <v>152711.66734173146</v>
      </c>
      <c r="L56" s="70">
        <f t="shared" si="54"/>
        <v>253503.01661420055</v>
      </c>
      <c r="M56" s="70">
        <f t="shared" si="54"/>
        <v>341729.39796618692</v>
      </c>
      <c r="N56" s="70">
        <f t="shared" si="54"/>
        <v>452182.26974863233</v>
      </c>
      <c r="O56" s="70">
        <f t="shared" si="54"/>
        <v>520224.0402138498</v>
      </c>
      <c r="P56" s="70">
        <f t="shared" si="54"/>
        <v>0</v>
      </c>
      <c r="Q56" s="70">
        <f t="shared" si="54"/>
        <v>0</v>
      </c>
      <c r="R56" s="70">
        <f t="shared" si="54"/>
        <v>0</v>
      </c>
      <c r="S56" s="70">
        <f t="shared" si="54"/>
        <v>0</v>
      </c>
      <c r="T56" s="70">
        <f t="shared" si="54"/>
        <v>0</v>
      </c>
      <c r="U56" s="70">
        <f t="shared" si="54"/>
        <v>0</v>
      </c>
      <c r="V56" s="70">
        <f t="shared" si="54"/>
        <v>0</v>
      </c>
      <c r="W56" s="70">
        <f t="shared" si="54"/>
        <v>0</v>
      </c>
      <c r="X56" s="70">
        <f t="shared" si="54"/>
        <v>0</v>
      </c>
      <c r="Y56" s="70">
        <f t="shared" si="54"/>
        <v>0</v>
      </c>
      <c r="Z56" s="70">
        <f t="shared" si="54"/>
        <v>0</v>
      </c>
      <c r="AA56" s="70">
        <f t="shared" si="54"/>
        <v>0</v>
      </c>
      <c r="AB56" s="70">
        <f t="shared" si="54"/>
        <v>0</v>
      </c>
      <c r="AC56" s="70">
        <f t="shared" si="54"/>
        <v>0</v>
      </c>
      <c r="AD56" s="70">
        <f t="shared" si="54"/>
        <v>0</v>
      </c>
      <c r="AE56" s="70">
        <f t="shared" si="54"/>
        <v>0</v>
      </c>
      <c r="AF56" s="70">
        <f t="shared" si="54"/>
        <v>0</v>
      </c>
      <c r="AG56" s="70">
        <f t="shared" si="54"/>
        <v>0</v>
      </c>
      <c r="AH56" s="70">
        <f t="shared" si="54"/>
        <v>0</v>
      </c>
      <c r="AI56" s="70">
        <f t="shared" si="54"/>
        <v>0</v>
      </c>
      <c r="AJ56" s="70">
        <f t="shared" si="54"/>
        <v>0</v>
      </c>
      <c r="AK56" s="70">
        <f t="shared" si="54"/>
        <v>0</v>
      </c>
      <c r="AL56" s="70">
        <f t="shared" si="54"/>
        <v>0</v>
      </c>
      <c r="AM56" s="70">
        <f t="shared" si="54"/>
        <v>0</v>
      </c>
      <c r="AN56" s="70">
        <f t="shared" si="54"/>
        <v>0</v>
      </c>
      <c r="AO56" s="70">
        <f t="shared" si="54"/>
        <v>0</v>
      </c>
      <c r="AP56" s="70">
        <f t="shared" si="54"/>
        <v>0</v>
      </c>
      <c r="AQ56" s="70">
        <f t="shared" si="54"/>
        <v>0</v>
      </c>
      <c r="AR56" s="70">
        <f t="shared" si="54"/>
        <v>0</v>
      </c>
      <c r="AS56" s="70">
        <f t="shared" si="54"/>
        <v>0</v>
      </c>
      <c r="AT56" s="70">
        <f t="shared" si="54"/>
        <v>0</v>
      </c>
      <c r="AU56" s="70">
        <f t="shared" si="54"/>
        <v>0</v>
      </c>
      <c r="AV56" s="70">
        <f t="shared" si="54"/>
        <v>0</v>
      </c>
      <c r="AW56" s="70">
        <f t="shared" si="54"/>
        <v>0</v>
      </c>
      <c r="AX56" s="70">
        <f t="shared" si="54"/>
        <v>0</v>
      </c>
      <c r="AY56" s="70">
        <f t="shared" si="54"/>
        <v>0</v>
      </c>
      <c r="AZ56" s="70">
        <f t="shared" si="54"/>
        <v>0</v>
      </c>
      <c r="BA56" s="70">
        <f t="shared" si="54"/>
        <v>0</v>
      </c>
      <c r="BB56" s="70">
        <f t="shared" si="54"/>
        <v>0</v>
      </c>
      <c r="BC56" s="70">
        <f t="shared" si="54"/>
        <v>0</v>
      </c>
      <c r="BD56" s="70">
        <f t="shared" si="54"/>
        <v>0</v>
      </c>
      <c r="BE56" s="70">
        <f t="shared" si="54"/>
        <v>0</v>
      </c>
      <c r="BF56" s="70">
        <f t="shared" si="54"/>
        <v>0</v>
      </c>
      <c r="BG56" s="70">
        <f t="shared" si="54"/>
        <v>0</v>
      </c>
      <c r="BH56" s="70">
        <f t="shared" si="54"/>
        <v>0</v>
      </c>
      <c r="BI56" s="70">
        <f t="shared" si="54"/>
        <v>0</v>
      </c>
      <c r="BJ56" s="70">
        <f t="shared" si="54"/>
        <v>0</v>
      </c>
      <c r="BK56" s="70">
        <f t="shared" si="54"/>
        <v>0</v>
      </c>
      <c r="BL56" s="70">
        <f t="shared" si="54"/>
        <v>0</v>
      </c>
      <c r="BM56" s="70">
        <f t="shared" si="54"/>
        <v>0</v>
      </c>
      <c r="BN56" s="70">
        <f t="shared" si="54"/>
        <v>0</v>
      </c>
      <c r="BO56" s="70">
        <f t="shared" si="54"/>
        <v>0</v>
      </c>
      <c r="BP56" s="70">
        <f t="shared" si="54"/>
        <v>0</v>
      </c>
      <c r="BQ56" s="70">
        <f t="shared" si="54"/>
        <v>0</v>
      </c>
      <c r="BR56" s="70">
        <f t="shared" si="54"/>
        <v>0</v>
      </c>
      <c r="BS56" s="70">
        <f t="shared" ref="BS56:DV56" si="55">BS42</f>
        <v>0</v>
      </c>
      <c r="BT56" s="70">
        <f t="shared" si="55"/>
        <v>0</v>
      </c>
      <c r="BU56" s="70">
        <f t="shared" si="55"/>
        <v>0</v>
      </c>
      <c r="BV56" s="70">
        <f t="shared" si="55"/>
        <v>0</v>
      </c>
      <c r="BW56" s="70">
        <f t="shared" si="55"/>
        <v>0</v>
      </c>
      <c r="BX56" s="70">
        <f t="shared" si="55"/>
        <v>0</v>
      </c>
      <c r="BY56" s="70">
        <f t="shared" si="55"/>
        <v>0</v>
      </c>
      <c r="BZ56" s="70">
        <f t="shared" si="55"/>
        <v>0</v>
      </c>
      <c r="CA56" s="70">
        <f t="shared" si="55"/>
        <v>0</v>
      </c>
      <c r="CB56" s="70">
        <f t="shared" si="55"/>
        <v>0</v>
      </c>
      <c r="CC56" s="70">
        <f t="shared" si="55"/>
        <v>0</v>
      </c>
      <c r="CD56" s="70">
        <f t="shared" si="55"/>
        <v>0</v>
      </c>
      <c r="CE56" s="70">
        <f t="shared" si="55"/>
        <v>0</v>
      </c>
      <c r="CF56" s="70">
        <f t="shared" si="55"/>
        <v>0</v>
      </c>
      <c r="CG56" s="70">
        <f t="shared" si="55"/>
        <v>0</v>
      </c>
      <c r="CH56" s="70">
        <f t="shared" si="55"/>
        <v>0</v>
      </c>
      <c r="CI56" s="70">
        <f t="shared" si="55"/>
        <v>0</v>
      </c>
      <c r="CJ56" s="70">
        <f t="shared" si="55"/>
        <v>0</v>
      </c>
      <c r="CK56" s="70">
        <f t="shared" si="55"/>
        <v>0</v>
      </c>
      <c r="CL56" s="70">
        <f t="shared" si="55"/>
        <v>0</v>
      </c>
      <c r="CM56" s="70">
        <f t="shared" si="55"/>
        <v>0</v>
      </c>
      <c r="CN56" s="70">
        <f t="shared" si="55"/>
        <v>0</v>
      </c>
      <c r="CO56" s="70">
        <f t="shared" si="55"/>
        <v>0</v>
      </c>
      <c r="CP56" s="70">
        <f t="shared" si="55"/>
        <v>0</v>
      </c>
      <c r="CQ56" s="70">
        <f t="shared" si="55"/>
        <v>0</v>
      </c>
      <c r="CR56" s="70">
        <f t="shared" si="55"/>
        <v>0</v>
      </c>
      <c r="CS56" s="70">
        <f t="shared" si="55"/>
        <v>0</v>
      </c>
      <c r="CT56" s="70">
        <f t="shared" si="55"/>
        <v>0</v>
      </c>
      <c r="CU56" s="70">
        <f t="shared" si="55"/>
        <v>0</v>
      </c>
      <c r="CV56" s="70">
        <f t="shared" si="55"/>
        <v>0</v>
      </c>
      <c r="CW56" s="70">
        <f t="shared" si="55"/>
        <v>0</v>
      </c>
      <c r="CX56" s="70">
        <f t="shared" si="55"/>
        <v>0</v>
      </c>
      <c r="CY56" s="70">
        <f t="shared" si="55"/>
        <v>0</v>
      </c>
      <c r="CZ56" s="70">
        <f t="shared" si="55"/>
        <v>0</v>
      </c>
      <c r="DA56" s="70">
        <f t="shared" si="55"/>
        <v>0</v>
      </c>
      <c r="DB56" s="70">
        <f t="shared" si="55"/>
        <v>0</v>
      </c>
      <c r="DC56" s="70">
        <f t="shared" si="55"/>
        <v>0</v>
      </c>
      <c r="DD56" s="70">
        <f t="shared" si="55"/>
        <v>0</v>
      </c>
      <c r="DE56" s="70">
        <f t="shared" si="55"/>
        <v>0</v>
      </c>
      <c r="DF56" s="70">
        <f t="shared" si="55"/>
        <v>0</v>
      </c>
      <c r="DG56" s="70">
        <f t="shared" si="55"/>
        <v>0</v>
      </c>
      <c r="DH56" s="70">
        <f t="shared" si="55"/>
        <v>0</v>
      </c>
      <c r="DI56" s="70">
        <f t="shared" si="55"/>
        <v>0</v>
      </c>
      <c r="DJ56" s="70">
        <f t="shared" si="55"/>
        <v>0</v>
      </c>
      <c r="DK56" s="70">
        <f t="shared" si="55"/>
        <v>0</v>
      </c>
      <c r="DL56" s="70">
        <f t="shared" si="55"/>
        <v>0</v>
      </c>
      <c r="DM56" s="70">
        <f t="shared" si="55"/>
        <v>0</v>
      </c>
      <c r="DN56" s="70">
        <f t="shared" si="55"/>
        <v>0</v>
      </c>
      <c r="DO56" s="70">
        <f t="shared" si="55"/>
        <v>0</v>
      </c>
      <c r="DP56" s="70">
        <f t="shared" si="55"/>
        <v>0</v>
      </c>
      <c r="DQ56" s="70">
        <f t="shared" si="55"/>
        <v>0</v>
      </c>
      <c r="DR56" s="70">
        <f t="shared" si="55"/>
        <v>0</v>
      </c>
      <c r="DS56" s="70">
        <f t="shared" si="55"/>
        <v>0</v>
      </c>
      <c r="DT56" s="70">
        <f t="shared" si="55"/>
        <v>0</v>
      </c>
      <c r="DU56" s="70">
        <f t="shared" si="55"/>
        <v>0</v>
      </c>
      <c r="DV56" s="70">
        <f t="shared" si="55"/>
        <v>0</v>
      </c>
    </row>
    <row r="57" spans="2:126" x14ac:dyDescent="0.3">
      <c r="B57" t="s">
        <v>7</v>
      </c>
      <c r="F57" s="70">
        <f>F47</f>
        <v>0</v>
      </c>
      <c r="G57" s="70">
        <f t="shared" ref="G57:BR57" si="56">G47</f>
        <v>0</v>
      </c>
      <c r="H57" s="70">
        <f t="shared" si="56"/>
        <v>0</v>
      </c>
      <c r="I57" s="70">
        <f t="shared" si="56"/>
        <v>0</v>
      </c>
      <c r="J57" s="70">
        <f t="shared" si="56"/>
        <v>0</v>
      </c>
      <c r="K57" s="70">
        <f t="shared" si="56"/>
        <v>0</v>
      </c>
      <c r="L57" s="70">
        <f t="shared" si="56"/>
        <v>0</v>
      </c>
      <c r="M57" s="70">
        <f t="shared" si="56"/>
        <v>0</v>
      </c>
      <c r="N57" s="70">
        <f t="shared" si="56"/>
        <v>0</v>
      </c>
      <c r="O57" s="70">
        <f t="shared" si="56"/>
        <v>0</v>
      </c>
      <c r="P57" s="70">
        <f t="shared" si="56"/>
        <v>0</v>
      </c>
      <c r="Q57" s="70">
        <f t="shared" si="56"/>
        <v>0</v>
      </c>
      <c r="R57" s="70">
        <f t="shared" si="56"/>
        <v>0</v>
      </c>
      <c r="S57" s="70">
        <f t="shared" si="56"/>
        <v>0</v>
      </c>
      <c r="T57" s="70">
        <f t="shared" si="56"/>
        <v>0</v>
      </c>
      <c r="U57" s="70">
        <f t="shared" si="56"/>
        <v>0</v>
      </c>
      <c r="V57" s="70">
        <f t="shared" si="56"/>
        <v>0</v>
      </c>
      <c r="W57" s="70">
        <f t="shared" si="56"/>
        <v>0</v>
      </c>
      <c r="X57" s="70">
        <f t="shared" si="56"/>
        <v>0</v>
      </c>
      <c r="Y57" s="70">
        <f t="shared" si="56"/>
        <v>0</v>
      </c>
      <c r="Z57" s="70">
        <f t="shared" si="56"/>
        <v>0</v>
      </c>
      <c r="AA57" s="70">
        <f t="shared" si="56"/>
        <v>0</v>
      </c>
      <c r="AB57" s="70">
        <f t="shared" si="56"/>
        <v>0</v>
      </c>
      <c r="AC57" s="70">
        <f t="shared" si="56"/>
        <v>0</v>
      </c>
      <c r="AD57" s="70">
        <f t="shared" si="56"/>
        <v>0</v>
      </c>
      <c r="AE57" s="70">
        <f t="shared" si="56"/>
        <v>0</v>
      </c>
      <c r="AF57" s="70">
        <f t="shared" si="56"/>
        <v>0</v>
      </c>
      <c r="AG57" s="70">
        <f t="shared" si="56"/>
        <v>0</v>
      </c>
      <c r="AH57" s="70">
        <f t="shared" si="56"/>
        <v>0</v>
      </c>
      <c r="AI57" s="70">
        <f t="shared" si="56"/>
        <v>0</v>
      </c>
      <c r="AJ57" s="70">
        <f t="shared" si="56"/>
        <v>35535.578087114991</v>
      </c>
      <c r="AK57" s="70">
        <f t="shared" si="56"/>
        <v>20229.679059110938</v>
      </c>
      <c r="AL57" s="70">
        <f t="shared" si="56"/>
        <v>20229.679059110938</v>
      </c>
      <c r="AM57" s="70">
        <f t="shared" si="56"/>
        <v>20229.679059110938</v>
      </c>
      <c r="AN57" s="70">
        <f t="shared" si="56"/>
        <v>20229.679059110938</v>
      </c>
      <c r="AO57" s="70">
        <f t="shared" si="56"/>
        <v>20229.679059110938</v>
      </c>
      <c r="AP57" s="70">
        <f t="shared" si="56"/>
        <v>20801.766726777289</v>
      </c>
      <c r="AQ57" s="70">
        <f t="shared" si="56"/>
        <v>20801.766726777289</v>
      </c>
      <c r="AR57" s="70">
        <f t="shared" si="56"/>
        <v>20801.766726777289</v>
      </c>
      <c r="AS57" s="70">
        <f t="shared" si="56"/>
        <v>20801.766726777289</v>
      </c>
      <c r="AT57" s="70">
        <f t="shared" si="56"/>
        <v>20801.766726777289</v>
      </c>
      <c r="AU57" s="70">
        <f t="shared" si="56"/>
        <v>20801.766726777289</v>
      </c>
      <c r="AV57" s="70">
        <f t="shared" si="56"/>
        <v>20801.766726777289</v>
      </c>
      <c r="AW57" s="70">
        <f t="shared" si="56"/>
        <v>20801.766726777289</v>
      </c>
      <c r="AX57" s="70">
        <f t="shared" si="56"/>
        <v>20801.766726777289</v>
      </c>
      <c r="AY57" s="70">
        <f t="shared" si="56"/>
        <v>20801.766726777289</v>
      </c>
      <c r="AZ57" s="70">
        <f t="shared" si="56"/>
        <v>20801.766726777289</v>
      </c>
      <c r="BA57" s="70">
        <f t="shared" si="56"/>
        <v>20801.766726777289</v>
      </c>
      <c r="BB57" s="70">
        <f t="shared" si="56"/>
        <v>22940.419756052164</v>
      </c>
      <c r="BC57" s="70">
        <f t="shared" si="56"/>
        <v>22940.419756052164</v>
      </c>
      <c r="BD57" s="70">
        <f t="shared" si="56"/>
        <v>22940.419756052164</v>
      </c>
      <c r="BE57" s="70">
        <f t="shared" si="56"/>
        <v>22940.419756052164</v>
      </c>
      <c r="BF57" s="70">
        <f t="shared" si="56"/>
        <v>22940.419756052164</v>
      </c>
      <c r="BG57" s="70">
        <f t="shared" si="56"/>
        <v>22940.419756052164</v>
      </c>
      <c r="BH57" s="70">
        <f t="shared" si="56"/>
        <v>22940.419756052164</v>
      </c>
      <c r="BI57" s="70">
        <f t="shared" si="56"/>
        <v>13133.953769650032</v>
      </c>
      <c r="BJ57" s="70">
        <f t="shared" si="56"/>
        <v>13133.953769650032</v>
      </c>
      <c r="BK57" s="70">
        <f t="shared" si="56"/>
        <v>13133.953769650032</v>
      </c>
      <c r="BL57" s="70">
        <f t="shared" si="56"/>
        <v>13133.953769650032</v>
      </c>
      <c r="BM57" s="70">
        <f t="shared" si="56"/>
        <v>13133.953769650032</v>
      </c>
      <c r="BN57" s="70">
        <f t="shared" si="56"/>
        <v>15348.546653875792</v>
      </c>
      <c r="BO57" s="70">
        <f t="shared" si="56"/>
        <v>15348.546653875792</v>
      </c>
      <c r="BP57" s="70">
        <f t="shared" si="56"/>
        <v>15348.546653875792</v>
      </c>
      <c r="BQ57" s="70">
        <f t="shared" si="56"/>
        <v>15348.546653875792</v>
      </c>
      <c r="BR57" s="70">
        <f t="shared" si="56"/>
        <v>15348.546653875792</v>
      </c>
      <c r="BS57" s="70">
        <f t="shared" ref="BS57:DV57" si="57">BS47</f>
        <v>15348.546653875792</v>
      </c>
      <c r="BT57" s="70">
        <f t="shared" si="57"/>
        <v>15348.546653875792</v>
      </c>
      <c r="BU57" s="70">
        <f t="shared" si="57"/>
        <v>15348.546653875792</v>
      </c>
      <c r="BV57" s="70">
        <f t="shared" si="57"/>
        <v>15348.546653875792</v>
      </c>
      <c r="BW57" s="70">
        <f t="shared" si="57"/>
        <v>15348.546653875792</v>
      </c>
      <c r="BX57" s="70">
        <f t="shared" si="57"/>
        <v>15348.546653875792</v>
      </c>
      <c r="BY57" s="70">
        <f t="shared" si="57"/>
        <v>15348.546653875792</v>
      </c>
      <c r="BZ57" s="70">
        <f t="shared" si="57"/>
        <v>17641.593193982382</v>
      </c>
      <c r="CA57" s="70">
        <f t="shared" si="57"/>
        <v>17641.593193982382</v>
      </c>
      <c r="CB57" s="70">
        <f t="shared" si="57"/>
        <v>17641.593193982382</v>
      </c>
      <c r="CC57" s="70">
        <f t="shared" si="57"/>
        <v>17641.593193982382</v>
      </c>
      <c r="CD57" s="70">
        <f t="shared" si="57"/>
        <v>17641.593193982382</v>
      </c>
      <c r="CE57" s="70">
        <f t="shared" si="57"/>
        <v>17641.593193982382</v>
      </c>
      <c r="CF57" s="70">
        <f t="shared" si="57"/>
        <v>17641.593193982382</v>
      </c>
      <c r="CG57" s="70">
        <f t="shared" si="57"/>
        <v>17641.593193982382</v>
      </c>
      <c r="CH57" s="70">
        <f t="shared" si="57"/>
        <v>17641.593193982382</v>
      </c>
      <c r="CI57" s="70">
        <f t="shared" si="57"/>
        <v>17641.593193982382</v>
      </c>
      <c r="CJ57" s="70">
        <f t="shared" si="57"/>
        <v>17641.593193982382</v>
      </c>
      <c r="CK57" s="70">
        <f t="shared" si="57"/>
        <v>17641.593193982382</v>
      </c>
      <c r="CL57" s="70">
        <f t="shared" si="57"/>
        <v>20015.687317033364</v>
      </c>
      <c r="CM57" s="70">
        <f t="shared" si="57"/>
        <v>20015.687317033364</v>
      </c>
      <c r="CN57" s="70">
        <f t="shared" si="57"/>
        <v>20015.687317033364</v>
      </c>
      <c r="CO57" s="70">
        <f t="shared" si="57"/>
        <v>20015.687317033364</v>
      </c>
      <c r="CP57" s="70">
        <f t="shared" si="57"/>
        <v>20015.687317033364</v>
      </c>
      <c r="CQ57" s="70">
        <f t="shared" si="57"/>
        <v>20015.687317033364</v>
      </c>
      <c r="CR57" s="70">
        <f t="shared" si="57"/>
        <v>20015.687317033364</v>
      </c>
      <c r="CS57" s="70">
        <f t="shared" si="57"/>
        <v>20015.687317033364</v>
      </c>
      <c r="CT57" s="70">
        <f t="shared" si="57"/>
        <v>20015.687317033364</v>
      </c>
      <c r="CU57" s="70">
        <f t="shared" si="57"/>
        <v>20015.687317033364</v>
      </c>
      <c r="CV57" s="70">
        <f t="shared" si="57"/>
        <v>20015.687317033364</v>
      </c>
      <c r="CW57" s="70">
        <f t="shared" si="57"/>
        <v>20015.687317033364</v>
      </c>
      <c r="CX57" s="70">
        <f t="shared" si="57"/>
        <v>22473.505574251805</v>
      </c>
      <c r="CY57" s="70">
        <f t="shared" si="57"/>
        <v>22473.505574251805</v>
      </c>
      <c r="CZ57" s="70">
        <f t="shared" si="57"/>
        <v>22473.505574251805</v>
      </c>
      <c r="DA57" s="70">
        <f t="shared" si="57"/>
        <v>22473.505574251805</v>
      </c>
      <c r="DB57" s="70">
        <f t="shared" si="57"/>
        <v>22473.505574251805</v>
      </c>
      <c r="DC57" s="70">
        <f t="shared" si="57"/>
        <v>22473.505574251805</v>
      </c>
      <c r="DD57" s="70">
        <f t="shared" si="57"/>
        <v>22473.505574251805</v>
      </c>
      <c r="DE57" s="70">
        <f t="shared" si="57"/>
        <v>22473.505574251805</v>
      </c>
      <c r="DF57" s="70">
        <f t="shared" si="57"/>
        <v>22473.505574251805</v>
      </c>
      <c r="DG57" s="70">
        <f t="shared" si="57"/>
        <v>22473.505574251805</v>
      </c>
      <c r="DH57" s="70">
        <f t="shared" si="57"/>
        <v>22473.505574251805</v>
      </c>
      <c r="DI57" s="70">
        <f t="shared" si="57"/>
        <v>22473.505574251805</v>
      </c>
      <c r="DJ57" s="70">
        <f t="shared" si="57"/>
        <v>25017.809715872379</v>
      </c>
      <c r="DK57" s="70">
        <f t="shared" si="57"/>
        <v>25017.809715872379</v>
      </c>
      <c r="DL57" s="70">
        <f t="shared" si="57"/>
        <v>25017.809715872379</v>
      </c>
      <c r="DM57" s="70">
        <f t="shared" si="57"/>
        <v>25017.809715872379</v>
      </c>
      <c r="DN57" s="70">
        <f t="shared" si="57"/>
        <v>25017.809715872379</v>
      </c>
      <c r="DO57" s="70">
        <f t="shared" si="57"/>
        <v>25017.809715872379</v>
      </c>
      <c r="DP57" s="70">
        <f t="shared" si="57"/>
        <v>25017.809715872379</v>
      </c>
      <c r="DQ57" s="70">
        <f t="shared" si="57"/>
        <v>25017.809715872379</v>
      </c>
      <c r="DR57" s="70">
        <f t="shared" si="57"/>
        <v>25017.809715872379</v>
      </c>
      <c r="DS57" s="70">
        <f t="shared" si="57"/>
        <v>25017.809715872379</v>
      </c>
      <c r="DT57" s="70">
        <f t="shared" si="57"/>
        <v>25017.809715872379</v>
      </c>
      <c r="DU57" s="70">
        <f t="shared" si="57"/>
        <v>25017.809715872379</v>
      </c>
      <c r="DV57" s="70">
        <f t="shared" si="57"/>
        <v>5139904.3600835102</v>
      </c>
    </row>
    <row r="58" spans="2:126" x14ac:dyDescent="0.3">
      <c r="B58" t="str">
        <f>"Distributions to LP "&amp;B52</f>
        <v>Distributions to LP Hurdle 2</v>
      </c>
      <c r="F58" s="70">
        <f>MIN(F54+F55-F57,F50*$I$11)</f>
        <v>0</v>
      </c>
      <c r="G58" s="70">
        <f t="shared" ref="G58:BR58" si="58">MIN(G54+G55-G57,G50*$I$11)</f>
        <v>0</v>
      </c>
      <c r="H58" s="70">
        <f t="shared" si="58"/>
        <v>0</v>
      </c>
      <c r="I58" s="70">
        <f t="shared" si="58"/>
        <v>0</v>
      </c>
      <c r="J58" s="70">
        <f t="shared" si="58"/>
        <v>0</v>
      </c>
      <c r="K58" s="70">
        <f t="shared" si="58"/>
        <v>0</v>
      </c>
      <c r="L58" s="70">
        <f t="shared" si="58"/>
        <v>0</v>
      </c>
      <c r="M58" s="70">
        <f t="shared" si="58"/>
        <v>0</v>
      </c>
      <c r="N58" s="70">
        <f t="shared" si="58"/>
        <v>0</v>
      </c>
      <c r="O58" s="70">
        <f t="shared" si="58"/>
        <v>0</v>
      </c>
      <c r="P58" s="70">
        <f t="shared" si="58"/>
        <v>0</v>
      </c>
      <c r="Q58" s="70">
        <f t="shared" si="58"/>
        <v>0</v>
      </c>
      <c r="R58" s="70">
        <f t="shared" si="58"/>
        <v>0</v>
      </c>
      <c r="S58" s="70">
        <f t="shared" si="58"/>
        <v>0</v>
      </c>
      <c r="T58" s="70">
        <f t="shared" si="58"/>
        <v>0</v>
      </c>
      <c r="U58" s="70">
        <f t="shared" si="58"/>
        <v>0</v>
      </c>
      <c r="V58" s="70">
        <f t="shared" si="58"/>
        <v>0</v>
      </c>
      <c r="W58" s="70">
        <f t="shared" si="58"/>
        <v>0</v>
      </c>
      <c r="X58" s="70">
        <f t="shared" si="58"/>
        <v>0</v>
      </c>
      <c r="Y58" s="70">
        <f t="shared" si="58"/>
        <v>0</v>
      </c>
      <c r="Z58" s="70">
        <f t="shared" si="58"/>
        <v>0</v>
      </c>
      <c r="AA58" s="70">
        <f t="shared" si="58"/>
        <v>0</v>
      </c>
      <c r="AB58" s="70">
        <f t="shared" si="58"/>
        <v>0</v>
      </c>
      <c r="AC58" s="70">
        <f t="shared" si="58"/>
        <v>0</v>
      </c>
      <c r="AD58" s="70">
        <f t="shared" si="58"/>
        <v>0</v>
      </c>
      <c r="AE58" s="70">
        <f t="shared" si="58"/>
        <v>0</v>
      </c>
      <c r="AF58" s="70">
        <f t="shared" si="58"/>
        <v>0</v>
      </c>
      <c r="AG58" s="70">
        <f t="shared" si="58"/>
        <v>0</v>
      </c>
      <c r="AH58" s="70">
        <f t="shared" si="58"/>
        <v>0</v>
      </c>
      <c r="AI58" s="70">
        <f t="shared" si="58"/>
        <v>0</v>
      </c>
      <c r="AJ58" s="70">
        <f t="shared" si="58"/>
        <v>0</v>
      </c>
      <c r="AK58" s="70">
        <f t="shared" si="58"/>
        <v>0</v>
      </c>
      <c r="AL58" s="70">
        <f t="shared" si="58"/>
        <v>0</v>
      </c>
      <c r="AM58" s="70">
        <f t="shared" si="58"/>
        <v>0</v>
      </c>
      <c r="AN58" s="70">
        <f t="shared" si="58"/>
        <v>0</v>
      </c>
      <c r="AO58" s="70">
        <f t="shared" si="58"/>
        <v>0</v>
      </c>
      <c r="AP58" s="70">
        <f t="shared" si="58"/>
        <v>0</v>
      </c>
      <c r="AQ58" s="70">
        <f t="shared" si="58"/>
        <v>0</v>
      </c>
      <c r="AR58" s="70">
        <f t="shared" si="58"/>
        <v>0</v>
      </c>
      <c r="AS58" s="70">
        <f t="shared" si="58"/>
        <v>0</v>
      </c>
      <c r="AT58" s="70">
        <f t="shared" si="58"/>
        <v>0</v>
      </c>
      <c r="AU58" s="70">
        <f t="shared" si="58"/>
        <v>0</v>
      </c>
      <c r="AV58" s="70">
        <f t="shared" si="58"/>
        <v>0</v>
      </c>
      <c r="AW58" s="70">
        <f t="shared" si="58"/>
        <v>0</v>
      </c>
      <c r="AX58" s="70">
        <f t="shared" si="58"/>
        <v>0</v>
      </c>
      <c r="AY58" s="70">
        <f t="shared" si="58"/>
        <v>0</v>
      </c>
      <c r="AZ58" s="70">
        <f t="shared" si="58"/>
        <v>0</v>
      </c>
      <c r="BA58" s="70">
        <f t="shared" si="58"/>
        <v>0</v>
      </c>
      <c r="BB58" s="70">
        <f t="shared" si="58"/>
        <v>0</v>
      </c>
      <c r="BC58" s="70">
        <f t="shared" si="58"/>
        <v>0</v>
      </c>
      <c r="BD58" s="70">
        <f t="shared" si="58"/>
        <v>0</v>
      </c>
      <c r="BE58" s="70">
        <f t="shared" si="58"/>
        <v>0</v>
      </c>
      <c r="BF58" s="70">
        <f t="shared" si="58"/>
        <v>0</v>
      </c>
      <c r="BG58" s="70">
        <f t="shared" si="58"/>
        <v>0</v>
      </c>
      <c r="BH58" s="70">
        <f t="shared" si="58"/>
        <v>0</v>
      </c>
      <c r="BI58" s="70">
        <f t="shared" si="58"/>
        <v>0</v>
      </c>
      <c r="BJ58" s="70">
        <f t="shared" si="58"/>
        <v>0</v>
      </c>
      <c r="BK58" s="70">
        <f t="shared" si="58"/>
        <v>0</v>
      </c>
      <c r="BL58" s="70">
        <f t="shared" si="58"/>
        <v>0</v>
      </c>
      <c r="BM58" s="70">
        <f t="shared" si="58"/>
        <v>0</v>
      </c>
      <c r="BN58" s="70">
        <f t="shared" si="58"/>
        <v>0</v>
      </c>
      <c r="BO58" s="70">
        <f t="shared" si="58"/>
        <v>0</v>
      </c>
      <c r="BP58" s="70">
        <f t="shared" si="58"/>
        <v>0</v>
      </c>
      <c r="BQ58" s="70">
        <f t="shared" si="58"/>
        <v>0</v>
      </c>
      <c r="BR58" s="70">
        <f t="shared" si="58"/>
        <v>0</v>
      </c>
      <c r="BS58" s="70">
        <f t="shared" ref="BS58:DV58" si="59">MIN(BS54+BS55-BS57,BS50*$I$11)</f>
        <v>0</v>
      </c>
      <c r="BT58" s="70">
        <f t="shared" si="59"/>
        <v>0</v>
      </c>
      <c r="BU58" s="70">
        <f t="shared" si="59"/>
        <v>0</v>
      </c>
      <c r="BV58" s="70">
        <f t="shared" si="59"/>
        <v>0</v>
      </c>
      <c r="BW58" s="70">
        <f t="shared" si="59"/>
        <v>0</v>
      </c>
      <c r="BX58" s="70">
        <f t="shared" si="59"/>
        <v>0</v>
      </c>
      <c r="BY58" s="70">
        <f t="shared" si="59"/>
        <v>0</v>
      </c>
      <c r="BZ58" s="70">
        <f t="shared" si="59"/>
        <v>0</v>
      </c>
      <c r="CA58" s="70">
        <f t="shared" si="59"/>
        <v>0</v>
      </c>
      <c r="CB58" s="70">
        <f t="shared" si="59"/>
        <v>0</v>
      </c>
      <c r="CC58" s="70">
        <f t="shared" si="59"/>
        <v>0</v>
      </c>
      <c r="CD58" s="70">
        <f t="shared" si="59"/>
        <v>0</v>
      </c>
      <c r="CE58" s="70">
        <f t="shared" si="59"/>
        <v>0</v>
      </c>
      <c r="CF58" s="70">
        <f t="shared" si="59"/>
        <v>0</v>
      </c>
      <c r="CG58" s="70">
        <f t="shared" si="59"/>
        <v>0</v>
      </c>
      <c r="CH58" s="70">
        <f t="shared" si="59"/>
        <v>0</v>
      </c>
      <c r="CI58" s="70">
        <f t="shared" si="59"/>
        <v>0</v>
      </c>
      <c r="CJ58" s="70">
        <f t="shared" si="59"/>
        <v>0</v>
      </c>
      <c r="CK58" s="70">
        <f t="shared" si="59"/>
        <v>0</v>
      </c>
      <c r="CL58" s="70">
        <f t="shared" si="59"/>
        <v>0</v>
      </c>
      <c r="CM58" s="70">
        <f t="shared" si="59"/>
        <v>0</v>
      </c>
      <c r="CN58" s="70">
        <f t="shared" si="59"/>
        <v>0</v>
      </c>
      <c r="CO58" s="70">
        <f t="shared" si="59"/>
        <v>0</v>
      </c>
      <c r="CP58" s="70">
        <f t="shared" si="59"/>
        <v>0</v>
      </c>
      <c r="CQ58" s="70">
        <f t="shared" si="59"/>
        <v>0</v>
      </c>
      <c r="CR58" s="70">
        <f t="shared" si="59"/>
        <v>0</v>
      </c>
      <c r="CS58" s="70">
        <f t="shared" si="59"/>
        <v>0</v>
      </c>
      <c r="CT58" s="70">
        <f t="shared" si="59"/>
        <v>0</v>
      </c>
      <c r="CU58" s="70">
        <f t="shared" si="59"/>
        <v>0</v>
      </c>
      <c r="CV58" s="70">
        <f t="shared" si="59"/>
        <v>0</v>
      </c>
      <c r="CW58" s="70">
        <f t="shared" si="59"/>
        <v>0</v>
      </c>
      <c r="CX58" s="70">
        <f t="shared" si="59"/>
        <v>0</v>
      </c>
      <c r="CY58" s="70">
        <f t="shared" si="59"/>
        <v>0</v>
      </c>
      <c r="CZ58" s="70">
        <f t="shared" si="59"/>
        <v>0</v>
      </c>
      <c r="DA58" s="70">
        <f t="shared" si="59"/>
        <v>0</v>
      </c>
      <c r="DB58" s="70">
        <f t="shared" si="59"/>
        <v>0</v>
      </c>
      <c r="DC58" s="70">
        <f t="shared" si="59"/>
        <v>0</v>
      </c>
      <c r="DD58" s="70">
        <f t="shared" si="59"/>
        <v>0</v>
      </c>
      <c r="DE58" s="70">
        <f t="shared" si="59"/>
        <v>0</v>
      </c>
      <c r="DF58" s="70">
        <f t="shared" si="59"/>
        <v>0</v>
      </c>
      <c r="DG58" s="70">
        <f t="shared" si="59"/>
        <v>0</v>
      </c>
      <c r="DH58" s="70">
        <f t="shared" si="59"/>
        <v>0</v>
      </c>
      <c r="DI58" s="70">
        <f t="shared" si="59"/>
        <v>0</v>
      </c>
      <c r="DJ58" s="70">
        <f t="shared" si="59"/>
        <v>0</v>
      </c>
      <c r="DK58" s="70">
        <f t="shared" si="59"/>
        <v>0</v>
      </c>
      <c r="DL58" s="70">
        <f t="shared" si="59"/>
        <v>0</v>
      </c>
      <c r="DM58" s="70">
        <f t="shared" si="59"/>
        <v>0</v>
      </c>
      <c r="DN58" s="70">
        <f t="shared" si="59"/>
        <v>0</v>
      </c>
      <c r="DO58" s="70">
        <f t="shared" si="59"/>
        <v>0</v>
      </c>
      <c r="DP58" s="70">
        <f t="shared" si="59"/>
        <v>0</v>
      </c>
      <c r="DQ58" s="70">
        <f t="shared" si="59"/>
        <v>0</v>
      </c>
      <c r="DR58" s="70">
        <f t="shared" si="59"/>
        <v>0</v>
      </c>
      <c r="DS58" s="70">
        <f t="shared" si="59"/>
        <v>0</v>
      </c>
      <c r="DT58" s="70">
        <f t="shared" si="59"/>
        <v>0</v>
      </c>
      <c r="DU58" s="70">
        <f t="shared" si="59"/>
        <v>0</v>
      </c>
      <c r="DV58" s="70">
        <f t="shared" si="59"/>
        <v>2015187.243236539</v>
      </c>
    </row>
    <row r="59" spans="2:126" x14ac:dyDescent="0.3">
      <c r="B59" t="s">
        <v>6</v>
      </c>
      <c r="F59" s="70">
        <f>F54+F55+F56-F57-F58</f>
        <v>1723311.6942992047</v>
      </c>
      <c r="G59" s="70">
        <f t="shared" ref="G59:BR59" si="60">G54+G55+G56-G57-G58</f>
        <v>1747004.5509876488</v>
      </c>
      <c r="H59" s="70">
        <f t="shared" si="60"/>
        <v>1782373.664512235</v>
      </c>
      <c r="I59" s="70">
        <f t="shared" si="60"/>
        <v>1840953.5378153021</v>
      </c>
      <c r="J59" s="70">
        <f t="shared" si="60"/>
        <v>1941575.680081886</v>
      </c>
      <c r="K59" s="70">
        <f t="shared" si="60"/>
        <v>2111246.2223668192</v>
      </c>
      <c r="L59" s="70">
        <f t="shared" si="60"/>
        <v>2383190.1171949022</v>
      </c>
      <c r="M59" s="70">
        <f t="shared" si="60"/>
        <v>2745735.7128390898</v>
      </c>
      <c r="N59" s="70">
        <f t="shared" si="60"/>
        <v>3221900.8687861925</v>
      </c>
      <c r="O59" s="70">
        <f t="shared" si="60"/>
        <v>3770266.904428639</v>
      </c>
      <c r="P59" s="70">
        <f t="shared" si="60"/>
        <v>3803198.6544452035</v>
      </c>
      <c r="Q59" s="70">
        <f t="shared" si="60"/>
        <v>3836418.0499220616</v>
      </c>
      <c r="R59" s="70">
        <f t="shared" si="60"/>
        <v>3869927.6033254741</v>
      </c>
      <c r="S59" s="70">
        <f t="shared" si="60"/>
        <v>3903729.8490670738</v>
      </c>
      <c r="T59" s="70">
        <f t="shared" si="60"/>
        <v>3937827.3436955502</v>
      </c>
      <c r="U59" s="70">
        <f t="shared" si="60"/>
        <v>3972222.6660900074</v>
      </c>
      <c r="V59" s="70">
        <f t="shared" si="60"/>
        <v>4006918.4176550102</v>
      </c>
      <c r="W59" s="70">
        <f t="shared" si="60"/>
        <v>4041917.2225173363</v>
      </c>
      <c r="X59" s="70">
        <f t="shared" si="60"/>
        <v>4077221.7277244441</v>
      </c>
      <c r="Y59" s="70">
        <f t="shared" si="60"/>
        <v>4112834.6034446778</v>
      </c>
      <c r="Z59" s="70">
        <f t="shared" si="60"/>
        <v>4148758.5431692163</v>
      </c>
      <c r="AA59" s="70">
        <f t="shared" si="60"/>
        <v>4184996.2639157902</v>
      </c>
      <c r="AB59" s="70">
        <f t="shared" si="60"/>
        <v>4221550.506434177</v>
      </c>
      <c r="AC59" s="70">
        <f t="shared" si="60"/>
        <v>4258424.0354134897</v>
      </c>
      <c r="AD59" s="70">
        <f t="shared" si="60"/>
        <v>4295619.6396912774</v>
      </c>
      <c r="AE59" s="70">
        <f t="shared" si="60"/>
        <v>4333140.1324644526</v>
      </c>
      <c r="AF59" s="70">
        <f t="shared" si="60"/>
        <v>4370988.3515020618</v>
      </c>
      <c r="AG59" s="70">
        <f t="shared" si="60"/>
        <v>4409167.1593599087</v>
      </c>
      <c r="AH59" s="70">
        <f t="shared" si="60"/>
        <v>4447679.4435970616</v>
      </c>
      <c r="AI59" s="70">
        <f t="shared" si="60"/>
        <v>4486528.1169942431</v>
      </c>
      <c r="AJ59" s="70">
        <f t="shared" si="60"/>
        <v>4490180.5396870179</v>
      </c>
      <c r="AK59" s="70">
        <f t="shared" si="60"/>
        <v>4509170.7638364909</v>
      </c>
      <c r="AL59" s="70">
        <f t="shared" si="60"/>
        <v>4528326.8598805275</v>
      </c>
      <c r="AM59" s="70">
        <f t="shared" si="60"/>
        <v>4547650.2766427537</v>
      </c>
      <c r="AN59" s="70">
        <f t="shared" si="60"/>
        <v>4567142.4756016815</v>
      </c>
      <c r="AO59" s="70">
        <f t="shared" si="60"/>
        <v>4586804.9310012432</v>
      </c>
      <c r="AP59" s="70">
        <f t="shared" si="60"/>
        <v>4606067.0422946271</v>
      </c>
      <c r="AQ59" s="70">
        <f t="shared" si="60"/>
        <v>4625497.4003063431</v>
      </c>
      <c r="AR59" s="70">
        <f t="shared" si="60"/>
        <v>4645097.474603137</v>
      </c>
      <c r="AS59" s="70">
        <f t="shared" si="60"/>
        <v>4664868.7475878252</v>
      </c>
      <c r="AT59" s="70">
        <f t="shared" si="60"/>
        <v>4684812.7146114092</v>
      </c>
      <c r="AU59" s="70">
        <f t="shared" si="60"/>
        <v>4704930.8840861749</v>
      </c>
      <c r="AV59" s="70">
        <f t="shared" si="60"/>
        <v>4725224.7775997752</v>
      </c>
      <c r="AW59" s="70">
        <f t="shared" si="60"/>
        <v>4745695.9300303161</v>
      </c>
      <c r="AX59" s="70">
        <f t="shared" si="60"/>
        <v>4766345.8896624371</v>
      </c>
      <c r="AY59" s="70">
        <f t="shared" si="60"/>
        <v>4787176.218304418</v>
      </c>
      <c r="AZ59" s="70">
        <f t="shared" si="60"/>
        <v>4808188.4914062973</v>
      </c>
      <c r="BA59" s="70">
        <f t="shared" si="60"/>
        <v>4829384.2981790313</v>
      </c>
      <c r="BB59" s="70">
        <f t="shared" si="60"/>
        <v>4848626.588685412</v>
      </c>
      <c r="BC59" s="70">
        <f t="shared" si="60"/>
        <v>4868036.9527836014</v>
      </c>
      <c r="BD59" s="70">
        <f t="shared" si="60"/>
        <v>4887616.8585281549</v>
      </c>
      <c r="BE59" s="70">
        <f t="shared" si="60"/>
        <v>4907367.7867964907</v>
      </c>
      <c r="BF59" s="70">
        <f t="shared" si="60"/>
        <v>4927291.2314008884</v>
      </c>
      <c r="BG59" s="70">
        <f t="shared" si="60"/>
        <v>4947388.6992014721</v>
      </c>
      <c r="BH59" s="70">
        <f t="shared" si="60"/>
        <v>4967661.7102201758</v>
      </c>
      <c r="BI59" s="70">
        <f t="shared" si="60"/>
        <v>4997918.2637421098</v>
      </c>
      <c r="BJ59" s="70">
        <f t="shared" si="60"/>
        <v>5028439.0959695587</v>
      </c>
      <c r="BK59" s="70">
        <f t="shared" si="60"/>
        <v>5059226.5152696706</v>
      </c>
      <c r="BL59" s="70">
        <f t="shared" si="60"/>
        <v>5090282.8501722449</v>
      </c>
      <c r="BM59" s="70">
        <f t="shared" si="60"/>
        <v>5121610.4495458417</v>
      </c>
      <c r="BN59" s="70">
        <f t="shared" si="60"/>
        <v>5150997.0898912074</v>
      </c>
      <c r="BO59" s="70">
        <f t="shared" si="60"/>
        <v>5180640.4106038287</v>
      </c>
      <c r="BP59" s="70">
        <f t="shared" si="60"/>
        <v>5210542.6536824564</v>
      </c>
      <c r="BQ59" s="70">
        <f t="shared" si="60"/>
        <v>5240706.0807087887</v>
      </c>
      <c r="BR59" s="70">
        <f t="shared" si="60"/>
        <v>5271132.9730185224</v>
      </c>
      <c r="BS59" s="70">
        <f t="shared" ref="BS59:DV59" si="61">BS54+BS55+BS56-BS57-BS58</f>
        <v>5301825.6318738945</v>
      </c>
      <c r="BT59" s="70">
        <f t="shared" si="61"/>
        <v>5332786.3786377329</v>
      </c>
      <c r="BU59" s="70">
        <f t="shared" si="61"/>
        <v>5364017.5549490275</v>
      </c>
      <c r="BV59" s="70">
        <f t="shared" si="61"/>
        <v>5395521.5229000328</v>
      </c>
      <c r="BW59" s="70">
        <f t="shared" si="61"/>
        <v>5427300.6652149204</v>
      </c>
      <c r="BX59" s="70">
        <f t="shared" si="61"/>
        <v>5459357.3854299895</v>
      </c>
      <c r="BY59" s="70">
        <f t="shared" si="61"/>
        <v>5491694.108075453</v>
      </c>
      <c r="BZ59" s="70">
        <f t="shared" si="61"/>
        <v>5522020.2323187022</v>
      </c>
      <c r="CA59" s="70">
        <f t="shared" si="61"/>
        <v>5552611.2429394592</v>
      </c>
      <c r="CB59" s="70">
        <f t="shared" si="61"/>
        <v>5583469.4536126405</v>
      </c>
      <c r="CC59" s="70">
        <f t="shared" si="61"/>
        <v>5614597.1982221734</v>
      </c>
      <c r="CD59" s="70">
        <f t="shared" si="61"/>
        <v>5645996.8310375139</v>
      </c>
      <c r="CE59" s="70">
        <f t="shared" si="61"/>
        <v>5677670.7268917048</v>
      </c>
      <c r="CF59" s="70">
        <f t="shared" si="61"/>
        <v>5709621.2813609922</v>
      </c>
      <c r="CG59" s="70">
        <f t="shared" si="61"/>
        <v>5741850.910946006</v>
      </c>
      <c r="CH59" s="70">
        <f t="shared" si="61"/>
        <v>5774362.053254528</v>
      </c>
      <c r="CI59" s="70">
        <f t="shared" si="61"/>
        <v>5807157.1671858551</v>
      </c>
      <c r="CJ59" s="70">
        <f t="shared" si="61"/>
        <v>5840238.7331167692</v>
      </c>
      <c r="CK59" s="70">
        <f t="shared" si="61"/>
        <v>5873609.2530891364</v>
      </c>
      <c r="CL59" s="70">
        <f t="shared" si="61"/>
        <v>5904897.1568760928</v>
      </c>
      <c r="CM59" s="70">
        <f t="shared" si="61"/>
        <v>5936458.3477942189</v>
      </c>
      <c r="CN59" s="70">
        <f t="shared" si="61"/>
        <v>5968295.212895602</v>
      </c>
      <c r="CO59" s="70">
        <f t="shared" si="61"/>
        <v>6000410.1600822611</v>
      </c>
      <c r="CP59" s="70">
        <f t="shared" si="61"/>
        <v>6032805.61828826</v>
      </c>
      <c r="CQ59" s="70">
        <f t="shared" si="61"/>
        <v>6065484.0376634169</v>
      </c>
      <c r="CR59" s="70">
        <f t="shared" si="61"/>
        <v>6098447.8897586111</v>
      </c>
      <c r="CS59" s="70">
        <f t="shared" si="61"/>
        <v>6131699.6677127164</v>
      </c>
      <c r="CT59" s="70">
        <f t="shared" si="61"/>
        <v>6165241.8864411619</v>
      </c>
      <c r="CU59" s="70">
        <f t="shared" si="61"/>
        <v>6199077.0828261413</v>
      </c>
      <c r="CV59" s="70">
        <f t="shared" si="61"/>
        <v>6233207.8159084832</v>
      </c>
      <c r="CW59" s="70">
        <f t="shared" si="61"/>
        <v>6267636.6670811996</v>
      </c>
      <c r="CX59" s="70">
        <f t="shared" si="61"/>
        <v>6299908.4220275031</v>
      </c>
      <c r="CY59" s="70">
        <f t="shared" si="61"/>
        <v>6332462.0576452361</v>
      </c>
      <c r="CZ59" s="70">
        <f t="shared" si="61"/>
        <v>6365300.0360475695</v>
      </c>
      <c r="DA59" s="70">
        <f t="shared" si="61"/>
        <v>6398424.8408532338</v>
      </c>
      <c r="DB59" s="70">
        <f t="shared" si="61"/>
        <v>6431838.97737436</v>
      </c>
      <c r="DC59" s="70">
        <f t="shared" si="61"/>
        <v>6465544.9728059629</v>
      </c>
      <c r="DD59" s="70">
        <f t="shared" si="61"/>
        <v>6499545.376417079</v>
      </c>
      <c r="DE59" s="70">
        <f t="shared" si="61"/>
        <v>6533842.759743575</v>
      </c>
      <c r="DF59" s="70">
        <f t="shared" si="61"/>
        <v>6568439.7167826388</v>
      </c>
      <c r="DG59" s="70">
        <f t="shared" si="61"/>
        <v>6603338.8641889701</v>
      </c>
      <c r="DH59" s="70">
        <f t="shared" si="61"/>
        <v>6638542.8414726835</v>
      </c>
      <c r="DI59" s="70">
        <f t="shared" si="61"/>
        <v>6674054.3111989442</v>
      </c>
      <c r="DJ59" s="70">
        <f t="shared" si="61"/>
        <v>6707331.6550477203</v>
      </c>
      <c r="DK59" s="70">
        <f t="shared" si="61"/>
        <v>6740899.662978542</v>
      </c>
      <c r="DL59" s="70">
        <f t="shared" si="61"/>
        <v>6774760.8738241047</v>
      </c>
      <c r="DM59" s="70">
        <f t="shared" si="61"/>
        <v>6808917.8485927768</v>
      </c>
      <c r="DN59" s="70">
        <f t="shared" si="61"/>
        <v>6843373.1706622951</v>
      </c>
      <c r="DO59" s="70">
        <f t="shared" si="61"/>
        <v>6878129.44597515</v>
      </c>
      <c r="DP59" s="70">
        <f t="shared" si="61"/>
        <v>6913189.3032356827</v>
      </c>
      <c r="DQ59" s="70">
        <f t="shared" si="61"/>
        <v>6948555.3941088971</v>
      </c>
      <c r="DR59" s="70">
        <f t="shared" si="61"/>
        <v>6984230.3934210166</v>
      </c>
      <c r="DS59" s="70">
        <f t="shared" si="61"/>
        <v>7020216.9993617823</v>
      </c>
      <c r="DT59" s="70">
        <f t="shared" si="61"/>
        <v>7056517.9336885288</v>
      </c>
      <c r="DU59" s="70">
        <f t="shared" si="61"/>
        <v>7093135.9419320356</v>
      </c>
      <c r="DV59" s="70">
        <f t="shared" si="61"/>
        <v>0</v>
      </c>
    </row>
    <row r="60" spans="2:126" x14ac:dyDescent="0.3">
      <c r="B60" s="71">
        <f>C53</f>
        <v>0.11</v>
      </c>
      <c r="E60" s="65">
        <f>XIRR(F60:DV60,$F$15:$DV$15)</f>
        <v>0.10991047024726869</v>
      </c>
      <c r="F60" s="70">
        <f>-F56+F57+F58</f>
        <v>-1723311.6942992047</v>
      </c>
      <c r="G60" s="70">
        <f t="shared" ref="G60:BR60" si="62">-G56+G57+G58</f>
        <v>-8640.4290073635511</v>
      </c>
      <c r="H60" s="70">
        <f t="shared" si="62"/>
        <v>-20109.73836381239</v>
      </c>
      <c r="I60" s="70">
        <f t="shared" si="62"/>
        <v>-43011.56330175692</v>
      </c>
      <c r="J60" s="70">
        <f t="shared" si="62"/>
        <v>-84542.160865736136</v>
      </c>
      <c r="K60" s="70">
        <f t="shared" si="62"/>
        <v>-152711.66734173146</v>
      </c>
      <c r="L60" s="70">
        <f t="shared" si="62"/>
        <v>-253503.01661420055</v>
      </c>
      <c r="M60" s="70">
        <f t="shared" si="62"/>
        <v>-341729.39796618692</v>
      </c>
      <c r="N60" s="70">
        <f t="shared" si="62"/>
        <v>-452182.26974863233</v>
      </c>
      <c r="O60" s="70">
        <f t="shared" si="62"/>
        <v>-520224.0402138498</v>
      </c>
      <c r="P60" s="70">
        <f t="shared" si="62"/>
        <v>0</v>
      </c>
      <c r="Q60" s="70">
        <f t="shared" si="62"/>
        <v>0</v>
      </c>
      <c r="R60" s="70">
        <f t="shared" si="62"/>
        <v>0</v>
      </c>
      <c r="S60" s="70">
        <f t="shared" si="62"/>
        <v>0</v>
      </c>
      <c r="T60" s="70">
        <f t="shared" si="62"/>
        <v>0</v>
      </c>
      <c r="U60" s="70">
        <f t="shared" si="62"/>
        <v>0</v>
      </c>
      <c r="V60" s="70">
        <f t="shared" si="62"/>
        <v>0</v>
      </c>
      <c r="W60" s="70">
        <f t="shared" si="62"/>
        <v>0</v>
      </c>
      <c r="X60" s="70">
        <f t="shared" si="62"/>
        <v>0</v>
      </c>
      <c r="Y60" s="70">
        <f t="shared" si="62"/>
        <v>0</v>
      </c>
      <c r="Z60" s="70">
        <f t="shared" si="62"/>
        <v>0</v>
      </c>
      <c r="AA60" s="70">
        <f t="shared" si="62"/>
        <v>0</v>
      </c>
      <c r="AB60" s="70">
        <f t="shared" si="62"/>
        <v>0</v>
      </c>
      <c r="AC60" s="70">
        <f t="shared" si="62"/>
        <v>0</v>
      </c>
      <c r="AD60" s="70">
        <f t="shared" si="62"/>
        <v>0</v>
      </c>
      <c r="AE60" s="70">
        <f t="shared" si="62"/>
        <v>0</v>
      </c>
      <c r="AF60" s="70">
        <f t="shared" si="62"/>
        <v>0</v>
      </c>
      <c r="AG60" s="70">
        <f t="shared" si="62"/>
        <v>0</v>
      </c>
      <c r="AH60" s="70">
        <f t="shared" si="62"/>
        <v>0</v>
      </c>
      <c r="AI60" s="70">
        <f t="shared" si="62"/>
        <v>0</v>
      </c>
      <c r="AJ60" s="70">
        <f t="shared" si="62"/>
        <v>35535.578087114991</v>
      </c>
      <c r="AK60" s="70">
        <f t="shared" si="62"/>
        <v>20229.679059110938</v>
      </c>
      <c r="AL60" s="70">
        <f t="shared" si="62"/>
        <v>20229.679059110938</v>
      </c>
      <c r="AM60" s="70">
        <f t="shared" si="62"/>
        <v>20229.679059110938</v>
      </c>
      <c r="AN60" s="70">
        <f t="shared" si="62"/>
        <v>20229.679059110938</v>
      </c>
      <c r="AO60" s="70">
        <f t="shared" si="62"/>
        <v>20229.679059110938</v>
      </c>
      <c r="AP60" s="70">
        <f t="shared" si="62"/>
        <v>20801.766726777289</v>
      </c>
      <c r="AQ60" s="70">
        <f t="shared" si="62"/>
        <v>20801.766726777289</v>
      </c>
      <c r="AR60" s="70">
        <f t="shared" si="62"/>
        <v>20801.766726777289</v>
      </c>
      <c r="AS60" s="70">
        <f t="shared" si="62"/>
        <v>20801.766726777289</v>
      </c>
      <c r="AT60" s="70">
        <f t="shared" si="62"/>
        <v>20801.766726777289</v>
      </c>
      <c r="AU60" s="70">
        <f t="shared" si="62"/>
        <v>20801.766726777289</v>
      </c>
      <c r="AV60" s="70">
        <f t="shared" si="62"/>
        <v>20801.766726777289</v>
      </c>
      <c r="AW60" s="70">
        <f t="shared" si="62"/>
        <v>20801.766726777289</v>
      </c>
      <c r="AX60" s="70">
        <f t="shared" si="62"/>
        <v>20801.766726777289</v>
      </c>
      <c r="AY60" s="70">
        <f t="shared" si="62"/>
        <v>20801.766726777289</v>
      </c>
      <c r="AZ60" s="70">
        <f t="shared" si="62"/>
        <v>20801.766726777289</v>
      </c>
      <c r="BA60" s="70">
        <f t="shared" si="62"/>
        <v>20801.766726777289</v>
      </c>
      <c r="BB60" s="70">
        <f t="shared" si="62"/>
        <v>22940.419756052164</v>
      </c>
      <c r="BC60" s="70">
        <f t="shared" si="62"/>
        <v>22940.419756052164</v>
      </c>
      <c r="BD60" s="70">
        <f t="shared" si="62"/>
        <v>22940.419756052164</v>
      </c>
      <c r="BE60" s="70">
        <f t="shared" si="62"/>
        <v>22940.419756052164</v>
      </c>
      <c r="BF60" s="70">
        <f t="shared" si="62"/>
        <v>22940.419756052164</v>
      </c>
      <c r="BG60" s="70">
        <f t="shared" si="62"/>
        <v>22940.419756052164</v>
      </c>
      <c r="BH60" s="70">
        <f t="shared" si="62"/>
        <v>22940.419756052164</v>
      </c>
      <c r="BI60" s="70">
        <f t="shared" si="62"/>
        <v>13133.953769650032</v>
      </c>
      <c r="BJ60" s="70">
        <f t="shared" si="62"/>
        <v>13133.953769650032</v>
      </c>
      <c r="BK60" s="70">
        <f t="shared" si="62"/>
        <v>13133.953769650032</v>
      </c>
      <c r="BL60" s="70">
        <f t="shared" si="62"/>
        <v>13133.953769650032</v>
      </c>
      <c r="BM60" s="70">
        <f t="shared" si="62"/>
        <v>13133.953769650032</v>
      </c>
      <c r="BN60" s="70">
        <f t="shared" si="62"/>
        <v>15348.546653875792</v>
      </c>
      <c r="BO60" s="70">
        <f t="shared" si="62"/>
        <v>15348.546653875792</v>
      </c>
      <c r="BP60" s="70">
        <f t="shared" si="62"/>
        <v>15348.546653875792</v>
      </c>
      <c r="BQ60" s="70">
        <f t="shared" si="62"/>
        <v>15348.546653875792</v>
      </c>
      <c r="BR60" s="70">
        <f t="shared" si="62"/>
        <v>15348.546653875792</v>
      </c>
      <c r="BS60" s="70">
        <f t="shared" ref="BS60:DV60" si="63">-BS56+BS57+BS58</f>
        <v>15348.546653875792</v>
      </c>
      <c r="BT60" s="70">
        <f t="shared" si="63"/>
        <v>15348.546653875792</v>
      </c>
      <c r="BU60" s="70">
        <f t="shared" si="63"/>
        <v>15348.546653875792</v>
      </c>
      <c r="BV60" s="70">
        <f t="shared" si="63"/>
        <v>15348.546653875792</v>
      </c>
      <c r="BW60" s="70">
        <f t="shared" si="63"/>
        <v>15348.546653875792</v>
      </c>
      <c r="BX60" s="70">
        <f t="shared" si="63"/>
        <v>15348.546653875792</v>
      </c>
      <c r="BY60" s="70">
        <f t="shared" si="63"/>
        <v>15348.546653875792</v>
      </c>
      <c r="BZ60" s="70">
        <f t="shared" si="63"/>
        <v>17641.593193982382</v>
      </c>
      <c r="CA60" s="70">
        <f t="shared" si="63"/>
        <v>17641.593193982382</v>
      </c>
      <c r="CB60" s="70">
        <f t="shared" si="63"/>
        <v>17641.593193982382</v>
      </c>
      <c r="CC60" s="70">
        <f t="shared" si="63"/>
        <v>17641.593193982382</v>
      </c>
      <c r="CD60" s="70">
        <f t="shared" si="63"/>
        <v>17641.593193982382</v>
      </c>
      <c r="CE60" s="70">
        <f t="shared" si="63"/>
        <v>17641.593193982382</v>
      </c>
      <c r="CF60" s="70">
        <f t="shared" si="63"/>
        <v>17641.593193982382</v>
      </c>
      <c r="CG60" s="70">
        <f t="shared" si="63"/>
        <v>17641.593193982382</v>
      </c>
      <c r="CH60" s="70">
        <f t="shared" si="63"/>
        <v>17641.593193982382</v>
      </c>
      <c r="CI60" s="70">
        <f t="shared" si="63"/>
        <v>17641.593193982382</v>
      </c>
      <c r="CJ60" s="70">
        <f t="shared" si="63"/>
        <v>17641.593193982382</v>
      </c>
      <c r="CK60" s="70">
        <f t="shared" si="63"/>
        <v>17641.593193982382</v>
      </c>
      <c r="CL60" s="70">
        <f t="shared" si="63"/>
        <v>20015.687317033364</v>
      </c>
      <c r="CM60" s="70">
        <f t="shared" si="63"/>
        <v>20015.687317033364</v>
      </c>
      <c r="CN60" s="70">
        <f t="shared" si="63"/>
        <v>20015.687317033364</v>
      </c>
      <c r="CO60" s="70">
        <f t="shared" si="63"/>
        <v>20015.687317033364</v>
      </c>
      <c r="CP60" s="70">
        <f t="shared" si="63"/>
        <v>20015.687317033364</v>
      </c>
      <c r="CQ60" s="70">
        <f t="shared" si="63"/>
        <v>20015.687317033364</v>
      </c>
      <c r="CR60" s="70">
        <f t="shared" si="63"/>
        <v>20015.687317033364</v>
      </c>
      <c r="CS60" s="70">
        <f t="shared" si="63"/>
        <v>20015.687317033364</v>
      </c>
      <c r="CT60" s="70">
        <f t="shared" si="63"/>
        <v>20015.687317033364</v>
      </c>
      <c r="CU60" s="70">
        <f t="shared" si="63"/>
        <v>20015.687317033364</v>
      </c>
      <c r="CV60" s="70">
        <f t="shared" si="63"/>
        <v>20015.687317033364</v>
      </c>
      <c r="CW60" s="70">
        <f t="shared" si="63"/>
        <v>20015.687317033364</v>
      </c>
      <c r="CX60" s="70">
        <f t="shared" si="63"/>
        <v>22473.505574251805</v>
      </c>
      <c r="CY60" s="70">
        <f t="shared" si="63"/>
        <v>22473.505574251805</v>
      </c>
      <c r="CZ60" s="70">
        <f t="shared" si="63"/>
        <v>22473.505574251805</v>
      </c>
      <c r="DA60" s="70">
        <f t="shared" si="63"/>
        <v>22473.505574251805</v>
      </c>
      <c r="DB60" s="70">
        <f t="shared" si="63"/>
        <v>22473.505574251805</v>
      </c>
      <c r="DC60" s="70">
        <f t="shared" si="63"/>
        <v>22473.505574251805</v>
      </c>
      <c r="DD60" s="70">
        <f t="shared" si="63"/>
        <v>22473.505574251805</v>
      </c>
      <c r="DE60" s="70">
        <f t="shared" si="63"/>
        <v>22473.505574251805</v>
      </c>
      <c r="DF60" s="70">
        <f t="shared" si="63"/>
        <v>22473.505574251805</v>
      </c>
      <c r="DG60" s="70">
        <f t="shared" si="63"/>
        <v>22473.505574251805</v>
      </c>
      <c r="DH60" s="70">
        <f t="shared" si="63"/>
        <v>22473.505574251805</v>
      </c>
      <c r="DI60" s="70">
        <f t="shared" si="63"/>
        <v>22473.505574251805</v>
      </c>
      <c r="DJ60" s="70">
        <f t="shared" si="63"/>
        <v>25017.809715872379</v>
      </c>
      <c r="DK60" s="70">
        <f t="shared" si="63"/>
        <v>25017.809715872379</v>
      </c>
      <c r="DL60" s="70">
        <f t="shared" si="63"/>
        <v>25017.809715872379</v>
      </c>
      <c r="DM60" s="70">
        <f t="shared" si="63"/>
        <v>25017.809715872379</v>
      </c>
      <c r="DN60" s="70">
        <f t="shared" si="63"/>
        <v>25017.809715872379</v>
      </c>
      <c r="DO60" s="70">
        <f t="shared" si="63"/>
        <v>25017.809715872379</v>
      </c>
      <c r="DP60" s="70">
        <f t="shared" si="63"/>
        <v>25017.809715872379</v>
      </c>
      <c r="DQ60" s="70">
        <f t="shared" si="63"/>
        <v>25017.809715872379</v>
      </c>
      <c r="DR60" s="70">
        <f t="shared" si="63"/>
        <v>25017.809715872379</v>
      </c>
      <c r="DS60" s="70">
        <f t="shared" si="63"/>
        <v>25017.809715872379</v>
      </c>
      <c r="DT60" s="70">
        <f t="shared" si="63"/>
        <v>25017.809715872379</v>
      </c>
      <c r="DU60" s="70">
        <f t="shared" si="63"/>
        <v>25017.809715872379</v>
      </c>
      <c r="DV60" s="70">
        <f t="shared" si="63"/>
        <v>7155091.6033200491</v>
      </c>
    </row>
    <row r="61" spans="2:126" x14ac:dyDescent="0.3">
      <c r="B61" s="24" t="s">
        <v>5</v>
      </c>
      <c r="C61" s="24"/>
      <c r="D61" s="24"/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</row>
    <row r="62" spans="2:126" x14ac:dyDescent="0.3">
      <c r="B62" t="s">
        <v>2</v>
      </c>
      <c r="F62" s="70">
        <f>F58</f>
        <v>0</v>
      </c>
      <c r="G62" s="70">
        <f t="shared" ref="G62:BR62" si="64">G58</f>
        <v>0</v>
      </c>
      <c r="H62" s="70">
        <f t="shared" si="64"/>
        <v>0</v>
      </c>
      <c r="I62" s="70">
        <f t="shared" si="64"/>
        <v>0</v>
      </c>
      <c r="J62" s="70">
        <f t="shared" si="64"/>
        <v>0</v>
      </c>
      <c r="K62" s="70">
        <f t="shared" si="64"/>
        <v>0</v>
      </c>
      <c r="L62" s="70">
        <f t="shared" si="64"/>
        <v>0</v>
      </c>
      <c r="M62" s="70">
        <f t="shared" si="64"/>
        <v>0</v>
      </c>
      <c r="N62" s="70">
        <f t="shared" si="64"/>
        <v>0</v>
      </c>
      <c r="O62" s="70">
        <f t="shared" si="64"/>
        <v>0</v>
      </c>
      <c r="P62" s="70">
        <f t="shared" si="64"/>
        <v>0</v>
      </c>
      <c r="Q62" s="70">
        <f t="shared" si="64"/>
        <v>0</v>
      </c>
      <c r="R62" s="70">
        <f t="shared" si="64"/>
        <v>0</v>
      </c>
      <c r="S62" s="70">
        <f t="shared" si="64"/>
        <v>0</v>
      </c>
      <c r="T62" s="70">
        <f t="shared" si="64"/>
        <v>0</v>
      </c>
      <c r="U62" s="70">
        <f t="shared" si="64"/>
        <v>0</v>
      </c>
      <c r="V62" s="70">
        <f t="shared" si="64"/>
        <v>0</v>
      </c>
      <c r="W62" s="70">
        <f t="shared" si="64"/>
        <v>0</v>
      </c>
      <c r="X62" s="70">
        <f t="shared" si="64"/>
        <v>0</v>
      </c>
      <c r="Y62" s="70">
        <f t="shared" si="64"/>
        <v>0</v>
      </c>
      <c r="Z62" s="70">
        <f t="shared" si="64"/>
        <v>0</v>
      </c>
      <c r="AA62" s="70">
        <f t="shared" si="64"/>
        <v>0</v>
      </c>
      <c r="AB62" s="70">
        <f t="shared" si="64"/>
        <v>0</v>
      </c>
      <c r="AC62" s="70">
        <f t="shared" si="64"/>
        <v>0</v>
      </c>
      <c r="AD62" s="70">
        <f t="shared" si="64"/>
        <v>0</v>
      </c>
      <c r="AE62" s="70">
        <f t="shared" si="64"/>
        <v>0</v>
      </c>
      <c r="AF62" s="70">
        <f t="shared" si="64"/>
        <v>0</v>
      </c>
      <c r="AG62" s="70">
        <f t="shared" si="64"/>
        <v>0</v>
      </c>
      <c r="AH62" s="70">
        <f t="shared" si="64"/>
        <v>0</v>
      </c>
      <c r="AI62" s="70">
        <f t="shared" si="64"/>
        <v>0</v>
      </c>
      <c r="AJ62" s="70">
        <f t="shared" si="64"/>
        <v>0</v>
      </c>
      <c r="AK62" s="70">
        <f t="shared" si="64"/>
        <v>0</v>
      </c>
      <c r="AL62" s="70">
        <f t="shared" si="64"/>
        <v>0</v>
      </c>
      <c r="AM62" s="70">
        <f t="shared" si="64"/>
        <v>0</v>
      </c>
      <c r="AN62" s="70">
        <f t="shared" si="64"/>
        <v>0</v>
      </c>
      <c r="AO62" s="70">
        <f t="shared" si="64"/>
        <v>0</v>
      </c>
      <c r="AP62" s="70">
        <f t="shared" si="64"/>
        <v>0</v>
      </c>
      <c r="AQ62" s="70">
        <f t="shared" si="64"/>
        <v>0</v>
      </c>
      <c r="AR62" s="70">
        <f t="shared" si="64"/>
        <v>0</v>
      </c>
      <c r="AS62" s="70">
        <f t="shared" si="64"/>
        <v>0</v>
      </c>
      <c r="AT62" s="70">
        <f t="shared" si="64"/>
        <v>0</v>
      </c>
      <c r="AU62" s="70">
        <f t="shared" si="64"/>
        <v>0</v>
      </c>
      <c r="AV62" s="70">
        <f t="shared" si="64"/>
        <v>0</v>
      </c>
      <c r="AW62" s="70">
        <f t="shared" si="64"/>
        <v>0</v>
      </c>
      <c r="AX62" s="70">
        <f t="shared" si="64"/>
        <v>0</v>
      </c>
      <c r="AY62" s="70">
        <f t="shared" si="64"/>
        <v>0</v>
      </c>
      <c r="AZ62" s="70">
        <f t="shared" si="64"/>
        <v>0</v>
      </c>
      <c r="BA62" s="70">
        <f t="shared" si="64"/>
        <v>0</v>
      </c>
      <c r="BB62" s="70">
        <f t="shared" si="64"/>
        <v>0</v>
      </c>
      <c r="BC62" s="70">
        <f t="shared" si="64"/>
        <v>0</v>
      </c>
      <c r="BD62" s="70">
        <f t="shared" si="64"/>
        <v>0</v>
      </c>
      <c r="BE62" s="70">
        <f t="shared" si="64"/>
        <v>0</v>
      </c>
      <c r="BF62" s="70">
        <f t="shared" si="64"/>
        <v>0</v>
      </c>
      <c r="BG62" s="70">
        <f t="shared" si="64"/>
        <v>0</v>
      </c>
      <c r="BH62" s="70">
        <f t="shared" si="64"/>
        <v>0</v>
      </c>
      <c r="BI62" s="70">
        <f t="shared" si="64"/>
        <v>0</v>
      </c>
      <c r="BJ62" s="70">
        <f t="shared" si="64"/>
        <v>0</v>
      </c>
      <c r="BK62" s="70">
        <f t="shared" si="64"/>
        <v>0</v>
      </c>
      <c r="BL62" s="70">
        <f t="shared" si="64"/>
        <v>0</v>
      </c>
      <c r="BM62" s="70">
        <f t="shared" si="64"/>
        <v>0</v>
      </c>
      <c r="BN62" s="70">
        <f t="shared" si="64"/>
        <v>0</v>
      </c>
      <c r="BO62" s="70">
        <f t="shared" si="64"/>
        <v>0</v>
      </c>
      <c r="BP62" s="70">
        <f t="shared" si="64"/>
        <v>0</v>
      </c>
      <c r="BQ62" s="70">
        <f t="shared" si="64"/>
        <v>0</v>
      </c>
      <c r="BR62" s="70">
        <f t="shared" si="64"/>
        <v>0</v>
      </c>
      <c r="BS62" s="70">
        <f t="shared" ref="BS62:DV62" si="65">BS58</f>
        <v>0</v>
      </c>
      <c r="BT62" s="70">
        <f t="shared" si="65"/>
        <v>0</v>
      </c>
      <c r="BU62" s="70">
        <f t="shared" si="65"/>
        <v>0</v>
      </c>
      <c r="BV62" s="70">
        <f t="shared" si="65"/>
        <v>0</v>
      </c>
      <c r="BW62" s="70">
        <f t="shared" si="65"/>
        <v>0</v>
      </c>
      <c r="BX62" s="70">
        <f t="shared" si="65"/>
        <v>0</v>
      </c>
      <c r="BY62" s="70">
        <f t="shared" si="65"/>
        <v>0</v>
      </c>
      <c r="BZ62" s="70">
        <f t="shared" si="65"/>
        <v>0</v>
      </c>
      <c r="CA62" s="70">
        <f t="shared" si="65"/>
        <v>0</v>
      </c>
      <c r="CB62" s="70">
        <f t="shared" si="65"/>
        <v>0</v>
      </c>
      <c r="CC62" s="70">
        <f t="shared" si="65"/>
        <v>0</v>
      </c>
      <c r="CD62" s="70">
        <f t="shared" si="65"/>
        <v>0</v>
      </c>
      <c r="CE62" s="70">
        <f t="shared" si="65"/>
        <v>0</v>
      </c>
      <c r="CF62" s="70">
        <f t="shared" si="65"/>
        <v>0</v>
      </c>
      <c r="CG62" s="70">
        <f t="shared" si="65"/>
        <v>0</v>
      </c>
      <c r="CH62" s="70">
        <f t="shared" si="65"/>
        <v>0</v>
      </c>
      <c r="CI62" s="70">
        <f t="shared" si="65"/>
        <v>0</v>
      </c>
      <c r="CJ62" s="70">
        <f t="shared" si="65"/>
        <v>0</v>
      </c>
      <c r="CK62" s="70">
        <f t="shared" si="65"/>
        <v>0</v>
      </c>
      <c r="CL62" s="70">
        <f t="shared" si="65"/>
        <v>0</v>
      </c>
      <c r="CM62" s="70">
        <f t="shared" si="65"/>
        <v>0</v>
      </c>
      <c r="CN62" s="70">
        <f t="shared" si="65"/>
        <v>0</v>
      </c>
      <c r="CO62" s="70">
        <f t="shared" si="65"/>
        <v>0</v>
      </c>
      <c r="CP62" s="70">
        <f t="shared" si="65"/>
        <v>0</v>
      </c>
      <c r="CQ62" s="70">
        <f t="shared" si="65"/>
        <v>0</v>
      </c>
      <c r="CR62" s="70">
        <f t="shared" si="65"/>
        <v>0</v>
      </c>
      <c r="CS62" s="70">
        <f t="shared" si="65"/>
        <v>0</v>
      </c>
      <c r="CT62" s="70">
        <f t="shared" si="65"/>
        <v>0</v>
      </c>
      <c r="CU62" s="70">
        <f t="shared" si="65"/>
        <v>0</v>
      </c>
      <c r="CV62" s="70">
        <f t="shared" si="65"/>
        <v>0</v>
      </c>
      <c r="CW62" s="70">
        <f t="shared" si="65"/>
        <v>0</v>
      </c>
      <c r="CX62" s="70">
        <f t="shared" si="65"/>
        <v>0</v>
      </c>
      <c r="CY62" s="70">
        <f t="shared" si="65"/>
        <v>0</v>
      </c>
      <c r="CZ62" s="70">
        <f t="shared" si="65"/>
        <v>0</v>
      </c>
      <c r="DA62" s="70">
        <f t="shared" si="65"/>
        <v>0</v>
      </c>
      <c r="DB62" s="70">
        <f t="shared" si="65"/>
        <v>0</v>
      </c>
      <c r="DC62" s="70">
        <f t="shared" si="65"/>
        <v>0</v>
      </c>
      <c r="DD62" s="70">
        <f t="shared" si="65"/>
        <v>0</v>
      </c>
      <c r="DE62" s="70">
        <f t="shared" si="65"/>
        <v>0</v>
      </c>
      <c r="DF62" s="70">
        <f t="shared" si="65"/>
        <v>0</v>
      </c>
      <c r="DG62" s="70">
        <f t="shared" si="65"/>
        <v>0</v>
      </c>
      <c r="DH62" s="70">
        <f t="shared" si="65"/>
        <v>0</v>
      </c>
      <c r="DI62" s="70">
        <f t="shared" si="65"/>
        <v>0</v>
      </c>
      <c r="DJ62" s="70">
        <f t="shared" si="65"/>
        <v>0</v>
      </c>
      <c r="DK62" s="70">
        <f t="shared" si="65"/>
        <v>0</v>
      </c>
      <c r="DL62" s="70">
        <f t="shared" si="65"/>
        <v>0</v>
      </c>
      <c r="DM62" s="70">
        <f t="shared" si="65"/>
        <v>0</v>
      </c>
      <c r="DN62" s="70">
        <f t="shared" si="65"/>
        <v>0</v>
      </c>
      <c r="DO62" s="70">
        <f t="shared" si="65"/>
        <v>0</v>
      </c>
      <c r="DP62" s="70">
        <f t="shared" si="65"/>
        <v>0</v>
      </c>
      <c r="DQ62" s="70">
        <f t="shared" si="65"/>
        <v>0</v>
      </c>
      <c r="DR62" s="70">
        <f t="shared" si="65"/>
        <v>0</v>
      </c>
      <c r="DS62" s="70">
        <f t="shared" si="65"/>
        <v>0</v>
      </c>
      <c r="DT62" s="70">
        <f t="shared" si="65"/>
        <v>0</v>
      </c>
      <c r="DU62" s="70">
        <f t="shared" si="65"/>
        <v>0</v>
      </c>
      <c r="DV62" s="70">
        <f t="shared" si="65"/>
        <v>2015187.243236539</v>
      </c>
    </row>
    <row r="63" spans="2:126" x14ac:dyDescent="0.3">
      <c r="B63" t="s">
        <v>46</v>
      </c>
      <c r="F63" s="70">
        <f>F62/$I$11*$H$11</f>
        <v>0</v>
      </c>
      <c r="G63" s="70">
        <f t="shared" ref="G63:BR63" si="66">G62/$I$11*$H$11</f>
        <v>0</v>
      </c>
      <c r="H63" s="70">
        <f t="shared" si="66"/>
        <v>0</v>
      </c>
      <c r="I63" s="70">
        <f t="shared" si="66"/>
        <v>0</v>
      </c>
      <c r="J63" s="70">
        <f t="shared" si="66"/>
        <v>0</v>
      </c>
      <c r="K63" s="70">
        <f t="shared" si="66"/>
        <v>0</v>
      </c>
      <c r="L63" s="70">
        <f t="shared" si="66"/>
        <v>0</v>
      </c>
      <c r="M63" s="70">
        <f t="shared" si="66"/>
        <v>0</v>
      </c>
      <c r="N63" s="70">
        <f t="shared" si="66"/>
        <v>0</v>
      </c>
      <c r="O63" s="70">
        <f t="shared" si="66"/>
        <v>0</v>
      </c>
      <c r="P63" s="70">
        <f t="shared" si="66"/>
        <v>0</v>
      </c>
      <c r="Q63" s="70">
        <f t="shared" si="66"/>
        <v>0</v>
      </c>
      <c r="R63" s="70">
        <f t="shared" si="66"/>
        <v>0</v>
      </c>
      <c r="S63" s="70">
        <f t="shared" si="66"/>
        <v>0</v>
      </c>
      <c r="T63" s="70">
        <f t="shared" si="66"/>
        <v>0</v>
      </c>
      <c r="U63" s="70">
        <f t="shared" si="66"/>
        <v>0</v>
      </c>
      <c r="V63" s="70">
        <f t="shared" si="66"/>
        <v>0</v>
      </c>
      <c r="W63" s="70">
        <f t="shared" si="66"/>
        <v>0</v>
      </c>
      <c r="X63" s="70">
        <f t="shared" si="66"/>
        <v>0</v>
      </c>
      <c r="Y63" s="70">
        <f t="shared" si="66"/>
        <v>0</v>
      </c>
      <c r="Z63" s="70">
        <f t="shared" si="66"/>
        <v>0</v>
      </c>
      <c r="AA63" s="70">
        <f t="shared" si="66"/>
        <v>0</v>
      </c>
      <c r="AB63" s="70">
        <f t="shared" si="66"/>
        <v>0</v>
      </c>
      <c r="AC63" s="70">
        <f t="shared" si="66"/>
        <v>0</v>
      </c>
      <c r="AD63" s="70">
        <f t="shared" si="66"/>
        <v>0</v>
      </c>
      <c r="AE63" s="70">
        <f t="shared" si="66"/>
        <v>0</v>
      </c>
      <c r="AF63" s="70">
        <f t="shared" si="66"/>
        <v>0</v>
      </c>
      <c r="AG63" s="70">
        <f t="shared" si="66"/>
        <v>0</v>
      </c>
      <c r="AH63" s="70">
        <f t="shared" si="66"/>
        <v>0</v>
      </c>
      <c r="AI63" s="70">
        <f t="shared" si="66"/>
        <v>0</v>
      </c>
      <c r="AJ63" s="70">
        <f t="shared" si="66"/>
        <v>0</v>
      </c>
      <c r="AK63" s="70">
        <f t="shared" si="66"/>
        <v>0</v>
      </c>
      <c r="AL63" s="70">
        <f t="shared" si="66"/>
        <v>0</v>
      </c>
      <c r="AM63" s="70">
        <f t="shared" si="66"/>
        <v>0</v>
      </c>
      <c r="AN63" s="70">
        <f t="shared" si="66"/>
        <v>0</v>
      </c>
      <c r="AO63" s="70">
        <f t="shared" si="66"/>
        <v>0</v>
      </c>
      <c r="AP63" s="70">
        <f t="shared" si="66"/>
        <v>0</v>
      </c>
      <c r="AQ63" s="70">
        <f t="shared" si="66"/>
        <v>0</v>
      </c>
      <c r="AR63" s="70">
        <f t="shared" si="66"/>
        <v>0</v>
      </c>
      <c r="AS63" s="70">
        <f t="shared" si="66"/>
        <v>0</v>
      </c>
      <c r="AT63" s="70">
        <f t="shared" si="66"/>
        <v>0</v>
      </c>
      <c r="AU63" s="70">
        <f t="shared" si="66"/>
        <v>0</v>
      </c>
      <c r="AV63" s="70">
        <f t="shared" si="66"/>
        <v>0</v>
      </c>
      <c r="AW63" s="70">
        <f t="shared" si="66"/>
        <v>0</v>
      </c>
      <c r="AX63" s="70">
        <f t="shared" si="66"/>
        <v>0</v>
      </c>
      <c r="AY63" s="70">
        <f t="shared" si="66"/>
        <v>0</v>
      </c>
      <c r="AZ63" s="70">
        <f t="shared" si="66"/>
        <v>0</v>
      </c>
      <c r="BA63" s="70">
        <f t="shared" si="66"/>
        <v>0</v>
      </c>
      <c r="BB63" s="70">
        <f t="shared" si="66"/>
        <v>0</v>
      </c>
      <c r="BC63" s="70">
        <f t="shared" si="66"/>
        <v>0</v>
      </c>
      <c r="BD63" s="70">
        <f t="shared" si="66"/>
        <v>0</v>
      </c>
      <c r="BE63" s="70">
        <f t="shared" si="66"/>
        <v>0</v>
      </c>
      <c r="BF63" s="70">
        <f t="shared" si="66"/>
        <v>0</v>
      </c>
      <c r="BG63" s="70">
        <f t="shared" si="66"/>
        <v>0</v>
      </c>
      <c r="BH63" s="70">
        <f t="shared" si="66"/>
        <v>0</v>
      </c>
      <c r="BI63" s="70">
        <f t="shared" si="66"/>
        <v>0</v>
      </c>
      <c r="BJ63" s="70">
        <f t="shared" si="66"/>
        <v>0</v>
      </c>
      <c r="BK63" s="70">
        <f t="shared" si="66"/>
        <v>0</v>
      </c>
      <c r="BL63" s="70">
        <f t="shared" si="66"/>
        <v>0</v>
      </c>
      <c r="BM63" s="70">
        <f t="shared" si="66"/>
        <v>0</v>
      </c>
      <c r="BN63" s="70">
        <f t="shared" si="66"/>
        <v>0</v>
      </c>
      <c r="BO63" s="70">
        <f t="shared" si="66"/>
        <v>0</v>
      </c>
      <c r="BP63" s="70">
        <f t="shared" si="66"/>
        <v>0</v>
      </c>
      <c r="BQ63" s="70">
        <f t="shared" si="66"/>
        <v>0</v>
      </c>
      <c r="BR63" s="70">
        <f t="shared" si="66"/>
        <v>0</v>
      </c>
      <c r="BS63" s="70">
        <f t="shared" ref="BS63:DV63" si="67">BS62/$I$11*$H$11</f>
        <v>0</v>
      </c>
      <c r="BT63" s="70">
        <f t="shared" si="67"/>
        <v>0</v>
      </c>
      <c r="BU63" s="70">
        <f t="shared" si="67"/>
        <v>0</v>
      </c>
      <c r="BV63" s="70">
        <f t="shared" si="67"/>
        <v>0</v>
      </c>
      <c r="BW63" s="70">
        <f t="shared" si="67"/>
        <v>0</v>
      </c>
      <c r="BX63" s="70">
        <f t="shared" si="67"/>
        <v>0</v>
      </c>
      <c r="BY63" s="70">
        <f t="shared" si="67"/>
        <v>0</v>
      </c>
      <c r="BZ63" s="70">
        <f t="shared" si="67"/>
        <v>0</v>
      </c>
      <c r="CA63" s="70">
        <f t="shared" si="67"/>
        <v>0</v>
      </c>
      <c r="CB63" s="70">
        <f t="shared" si="67"/>
        <v>0</v>
      </c>
      <c r="CC63" s="70">
        <f t="shared" si="67"/>
        <v>0</v>
      </c>
      <c r="CD63" s="70">
        <f t="shared" si="67"/>
        <v>0</v>
      </c>
      <c r="CE63" s="70">
        <f t="shared" si="67"/>
        <v>0</v>
      </c>
      <c r="CF63" s="70">
        <f t="shared" si="67"/>
        <v>0</v>
      </c>
      <c r="CG63" s="70">
        <f t="shared" si="67"/>
        <v>0</v>
      </c>
      <c r="CH63" s="70">
        <f t="shared" si="67"/>
        <v>0</v>
      </c>
      <c r="CI63" s="70">
        <f t="shared" si="67"/>
        <v>0</v>
      </c>
      <c r="CJ63" s="70">
        <f t="shared" si="67"/>
        <v>0</v>
      </c>
      <c r="CK63" s="70">
        <f t="shared" si="67"/>
        <v>0</v>
      </c>
      <c r="CL63" s="70">
        <f t="shared" si="67"/>
        <v>0</v>
      </c>
      <c r="CM63" s="70">
        <f t="shared" si="67"/>
        <v>0</v>
      </c>
      <c r="CN63" s="70">
        <f t="shared" si="67"/>
        <v>0</v>
      </c>
      <c r="CO63" s="70">
        <f t="shared" si="67"/>
        <v>0</v>
      </c>
      <c r="CP63" s="70">
        <f t="shared" si="67"/>
        <v>0</v>
      </c>
      <c r="CQ63" s="70">
        <f t="shared" si="67"/>
        <v>0</v>
      </c>
      <c r="CR63" s="70">
        <f t="shared" si="67"/>
        <v>0</v>
      </c>
      <c r="CS63" s="70">
        <f t="shared" si="67"/>
        <v>0</v>
      </c>
      <c r="CT63" s="70">
        <f t="shared" si="67"/>
        <v>0</v>
      </c>
      <c r="CU63" s="70">
        <f t="shared" si="67"/>
        <v>0</v>
      </c>
      <c r="CV63" s="70">
        <f t="shared" si="67"/>
        <v>0</v>
      </c>
      <c r="CW63" s="70">
        <f t="shared" si="67"/>
        <v>0</v>
      </c>
      <c r="CX63" s="70">
        <f t="shared" si="67"/>
        <v>0</v>
      </c>
      <c r="CY63" s="70">
        <f t="shared" si="67"/>
        <v>0</v>
      </c>
      <c r="CZ63" s="70">
        <f t="shared" si="67"/>
        <v>0</v>
      </c>
      <c r="DA63" s="70">
        <f t="shared" si="67"/>
        <v>0</v>
      </c>
      <c r="DB63" s="70">
        <f t="shared" si="67"/>
        <v>0</v>
      </c>
      <c r="DC63" s="70">
        <f t="shared" si="67"/>
        <v>0</v>
      </c>
      <c r="DD63" s="70">
        <f t="shared" si="67"/>
        <v>0</v>
      </c>
      <c r="DE63" s="70">
        <f t="shared" si="67"/>
        <v>0</v>
      </c>
      <c r="DF63" s="70">
        <f t="shared" si="67"/>
        <v>0</v>
      </c>
      <c r="DG63" s="70">
        <f t="shared" si="67"/>
        <v>0</v>
      </c>
      <c r="DH63" s="70">
        <f t="shared" si="67"/>
        <v>0</v>
      </c>
      <c r="DI63" s="70">
        <f t="shared" si="67"/>
        <v>0</v>
      </c>
      <c r="DJ63" s="70">
        <f t="shared" si="67"/>
        <v>0</v>
      </c>
      <c r="DK63" s="70">
        <f t="shared" si="67"/>
        <v>0</v>
      </c>
      <c r="DL63" s="70">
        <f t="shared" si="67"/>
        <v>0</v>
      </c>
      <c r="DM63" s="70">
        <f t="shared" si="67"/>
        <v>0</v>
      </c>
      <c r="DN63" s="70">
        <f t="shared" si="67"/>
        <v>0</v>
      </c>
      <c r="DO63" s="70">
        <f t="shared" si="67"/>
        <v>0</v>
      </c>
      <c r="DP63" s="70">
        <f t="shared" si="67"/>
        <v>0</v>
      </c>
      <c r="DQ63" s="70">
        <f t="shared" si="67"/>
        <v>0</v>
      </c>
      <c r="DR63" s="70">
        <f t="shared" si="67"/>
        <v>0</v>
      </c>
      <c r="DS63" s="70">
        <f t="shared" si="67"/>
        <v>0</v>
      </c>
      <c r="DT63" s="70">
        <f t="shared" si="67"/>
        <v>0</v>
      </c>
      <c r="DU63" s="70">
        <f t="shared" si="67"/>
        <v>0</v>
      </c>
      <c r="DV63" s="70">
        <f t="shared" si="67"/>
        <v>783683.92792532081</v>
      </c>
    </row>
    <row r="64" spans="2:126" x14ac:dyDescent="0.3">
      <c r="B64" t="str">
        <f>"Total Distributions ("&amp;B52&amp;")"</f>
        <v>Total Distributions (Hurdle 2)</v>
      </c>
      <c r="F64" s="70">
        <f>SUM(F62:F63)</f>
        <v>0</v>
      </c>
      <c r="G64" s="70">
        <f t="shared" ref="G64:BR64" si="68">SUM(G62:G63)</f>
        <v>0</v>
      </c>
      <c r="H64" s="70">
        <f t="shared" si="68"/>
        <v>0</v>
      </c>
      <c r="I64" s="70">
        <f t="shared" si="68"/>
        <v>0</v>
      </c>
      <c r="J64" s="70">
        <f t="shared" si="68"/>
        <v>0</v>
      </c>
      <c r="K64" s="70">
        <f t="shared" si="68"/>
        <v>0</v>
      </c>
      <c r="L64" s="70">
        <f t="shared" si="68"/>
        <v>0</v>
      </c>
      <c r="M64" s="70">
        <f t="shared" si="68"/>
        <v>0</v>
      </c>
      <c r="N64" s="70">
        <f t="shared" si="68"/>
        <v>0</v>
      </c>
      <c r="O64" s="70">
        <f t="shared" si="68"/>
        <v>0</v>
      </c>
      <c r="P64" s="70">
        <f t="shared" si="68"/>
        <v>0</v>
      </c>
      <c r="Q64" s="70">
        <f t="shared" si="68"/>
        <v>0</v>
      </c>
      <c r="R64" s="70">
        <f t="shared" si="68"/>
        <v>0</v>
      </c>
      <c r="S64" s="70">
        <f t="shared" si="68"/>
        <v>0</v>
      </c>
      <c r="T64" s="70">
        <f t="shared" si="68"/>
        <v>0</v>
      </c>
      <c r="U64" s="70">
        <f t="shared" si="68"/>
        <v>0</v>
      </c>
      <c r="V64" s="70">
        <f t="shared" si="68"/>
        <v>0</v>
      </c>
      <c r="W64" s="70">
        <f t="shared" si="68"/>
        <v>0</v>
      </c>
      <c r="X64" s="70">
        <f t="shared" si="68"/>
        <v>0</v>
      </c>
      <c r="Y64" s="70">
        <f t="shared" si="68"/>
        <v>0</v>
      </c>
      <c r="Z64" s="70">
        <f t="shared" si="68"/>
        <v>0</v>
      </c>
      <c r="AA64" s="70">
        <f t="shared" si="68"/>
        <v>0</v>
      </c>
      <c r="AB64" s="70">
        <f t="shared" si="68"/>
        <v>0</v>
      </c>
      <c r="AC64" s="70">
        <f t="shared" si="68"/>
        <v>0</v>
      </c>
      <c r="AD64" s="70">
        <f t="shared" si="68"/>
        <v>0</v>
      </c>
      <c r="AE64" s="70">
        <f t="shared" si="68"/>
        <v>0</v>
      </c>
      <c r="AF64" s="70">
        <f t="shared" si="68"/>
        <v>0</v>
      </c>
      <c r="AG64" s="70">
        <f t="shared" si="68"/>
        <v>0</v>
      </c>
      <c r="AH64" s="70">
        <f t="shared" si="68"/>
        <v>0</v>
      </c>
      <c r="AI64" s="70">
        <f t="shared" si="68"/>
        <v>0</v>
      </c>
      <c r="AJ64" s="70">
        <f t="shared" si="68"/>
        <v>0</v>
      </c>
      <c r="AK64" s="70">
        <f t="shared" si="68"/>
        <v>0</v>
      </c>
      <c r="AL64" s="70">
        <f t="shared" si="68"/>
        <v>0</v>
      </c>
      <c r="AM64" s="70">
        <f t="shared" si="68"/>
        <v>0</v>
      </c>
      <c r="AN64" s="70">
        <f t="shared" si="68"/>
        <v>0</v>
      </c>
      <c r="AO64" s="70">
        <f t="shared" si="68"/>
        <v>0</v>
      </c>
      <c r="AP64" s="70">
        <f t="shared" si="68"/>
        <v>0</v>
      </c>
      <c r="AQ64" s="70">
        <f t="shared" si="68"/>
        <v>0</v>
      </c>
      <c r="AR64" s="70">
        <f t="shared" si="68"/>
        <v>0</v>
      </c>
      <c r="AS64" s="70">
        <f t="shared" si="68"/>
        <v>0</v>
      </c>
      <c r="AT64" s="70">
        <f t="shared" si="68"/>
        <v>0</v>
      </c>
      <c r="AU64" s="70">
        <f t="shared" si="68"/>
        <v>0</v>
      </c>
      <c r="AV64" s="70">
        <f t="shared" si="68"/>
        <v>0</v>
      </c>
      <c r="AW64" s="70">
        <f t="shared" si="68"/>
        <v>0</v>
      </c>
      <c r="AX64" s="70">
        <f t="shared" si="68"/>
        <v>0</v>
      </c>
      <c r="AY64" s="70">
        <f t="shared" si="68"/>
        <v>0</v>
      </c>
      <c r="AZ64" s="70">
        <f t="shared" si="68"/>
        <v>0</v>
      </c>
      <c r="BA64" s="70">
        <f t="shared" si="68"/>
        <v>0</v>
      </c>
      <c r="BB64" s="70">
        <f t="shared" si="68"/>
        <v>0</v>
      </c>
      <c r="BC64" s="70">
        <f t="shared" si="68"/>
        <v>0</v>
      </c>
      <c r="BD64" s="70">
        <f t="shared" si="68"/>
        <v>0</v>
      </c>
      <c r="BE64" s="70">
        <f t="shared" si="68"/>
        <v>0</v>
      </c>
      <c r="BF64" s="70">
        <f t="shared" si="68"/>
        <v>0</v>
      </c>
      <c r="BG64" s="70">
        <f t="shared" si="68"/>
        <v>0</v>
      </c>
      <c r="BH64" s="70">
        <f t="shared" si="68"/>
        <v>0</v>
      </c>
      <c r="BI64" s="70">
        <f t="shared" si="68"/>
        <v>0</v>
      </c>
      <c r="BJ64" s="70">
        <f t="shared" si="68"/>
        <v>0</v>
      </c>
      <c r="BK64" s="70">
        <f t="shared" si="68"/>
        <v>0</v>
      </c>
      <c r="BL64" s="70">
        <f t="shared" si="68"/>
        <v>0</v>
      </c>
      <c r="BM64" s="70">
        <f t="shared" si="68"/>
        <v>0</v>
      </c>
      <c r="BN64" s="70">
        <f t="shared" si="68"/>
        <v>0</v>
      </c>
      <c r="BO64" s="70">
        <f t="shared" si="68"/>
        <v>0</v>
      </c>
      <c r="BP64" s="70">
        <f t="shared" si="68"/>
        <v>0</v>
      </c>
      <c r="BQ64" s="70">
        <f t="shared" si="68"/>
        <v>0</v>
      </c>
      <c r="BR64" s="70">
        <f t="shared" si="68"/>
        <v>0</v>
      </c>
      <c r="BS64" s="70">
        <f t="shared" ref="BS64:DV64" si="69">SUM(BS62:BS63)</f>
        <v>0</v>
      </c>
      <c r="BT64" s="70">
        <f t="shared" si="69"/>
        <v>0</v>
      </c>
      <c r="BU64" s="70">
        <f t="shared" si="69"/>
        <v>0</v>
      </c>
      <c r="BV64" s="70">
        <f t="shared" si="69"/>
        <v>0</v>
      </c>
      <c r="BW64" s="70">
        <f t="shared" si="69"/>
        <v>0</v>
      </c>
      <c r="BX64" s="70">
        <f t="shared" si="69"/>
        <v>0</v>
      </c>
      <c r="BY64" s="70">
        <f t="shared" si="69"/>
        <v>0</v>
      </c>
      <c r="BZ64" s="70">
        <f t="shared" si="69"/>
        <v>0</v>
      </c>
      <c r="CA64" s="70">
        <f t="shared" si="69"/>
        <v>0</v>
      </c>
      <c r="CB64" s="70">
        <f t="shared" si="69"/>
        <v>0</v>
      </c>
      <c r="CC64" s="70">
        <f t="shared" si="69"/>
        <v>0</v>
      </c>
      <c r="CD64" s="70">
        <f t="shared" si="69"/>
        <v>0</v>
      </c>
      <c r="CE64" s="70">
        <f t="shared" si="69"/>
        <v>0</v>
      </c>
      <c r="CF64" s="70">
        <f t="shared" si="69"/>
        <v>0</v>
      </c>
      <c r="CG64" s="70">
        <f t="shared" si="69"/>
        <v>0</v>
      </c>
      <c r="CH64" s="70">
        <f t="shared" si="69"/>
        <v>0</v>
      </c>
      <c r="CI64" s="70">
        <f t="shared" si="69"/>
        <v>0</v>
      </c>
      <c r="CJ64" s="70">
        <f t="shared" si="69"/>
        <v>0</v>
      </c>
      <c r="CK64" s="70">
        <f t="shared" si="69"/>
        <v>0</v>
      </c>
      <c r="CL64" s="70">
        <f t="shared" si="69"/>
        <v>0</v>
      </c>
      <c r="CM64" s="70">
        <f t="shared" si="69"/>
        <v>0</v>
      </c>
      <c r="CN64" s="70">
        <f t="shared" si="69"/>
        <v>0</v>
      </c>
      <c r="CO64" s="70">
        <f t="shared" si="69"/>
        <v>0</v>
      </c>
      <c r="CP64" s="70">
        <f t="shared" si="69"/>
        <v>0</v>
      </c>
      <c r="CQ64" s="70">
        <f t="shared" si="69"/>
        <v>0</v>
      </c>
      <c r="CR64" s="70">
        <f t="shared" si="69"/>
        <v>0</v>
      </c>
      <c r="CS64" s="70">
        <f t="shared" si="69"/>
        <v>0</v>
      </c>
      <c r="CT64" s="70">
        <f t="shared" si="69"/>
        <v>0</v>
      </c>
      <c r="CU64" s="70">
        <f t="shared" si="69"/>
        <v>0</v>
      </c>
      <c r="CV64" s="70">
        <f t="shared" si="69"/>
        <v>0</v>
      </c>
      <c r="CW64" s="70">
        <f t="shared" si="69"/>
        <v>0</v>
      </c>
      <c r="CX64" s="70">
        <f t="shared" si="69"/>
        <v>0</v>
      </c>
      <c r="CY64" s="70">
        <f t="shared" si="69"/>
        <v>0</v>
      </c>
      <c r="CZ64" s="70">
        <f t="shared" si="69"/>
        <v>0</v>
      </c>
      <c r="DA64" s="70">
        <f t="shared" si="69"/>
        <v>0</v>
      </c>
      <c r="DB64" s="70">
        <f t="shared" si="69"/>
        <v>0</v>
      </c>
      <c r="DC64" s="70">
        <f t="shared" si="69"/>
        <v>0</v>
      </c>
      <c r="DD64" s="70">
        <f t="shared" si="69"/>
        <v>0</v>
      </c>
      <c r="DE64" s="70">
        <f t="shared" si="69"/>
        <v>0</v>
      </c>
      <c r="DF64" s="70">
        <f t="shared" si="69"/>
        <v>0</v>
      </c>
      <c r="DG64" s="70">
        <f t="shared" si="69"/>
        <v>0</v>
      </c>
      <c r="DH64" s="70">
        <f t="shared" si="69"/>
        <v>0</v>
      </c>
      <c r="DI64" s="70">
        <f t="shared" si="69"/>
        <v>0</v>
      </c>
      <c r="DJ64" s="70">
        <f t="shared" si="69"/>
        <v>0</v>
      </c>
      <c r="DK64" s="70">
        <f t="shared" si="69"/>
        <v>0</v>
      </c>
      <c r="DL64" s="70">
        <f t="shared" si="69"/>
        <v>0</v>
      </c>
      <c r="DM64" s="70">
        <f t="shared" si="69"/>
        <v>0</v>
      </c>
      <c r="DN64" s="70">
        <f t="shared" si="69"/>
        <v>0</v>
      </c>
      <c r="DO64" s="70">
        <f t="shared" si="69"/>
        <v>0</v>
      </c>
      <c r="DP64" s="70">
        <f t="shared" si="69"/>
        <v>0</v>
      </c>
      <c r="DQ64" s="70">
        <f t="shared" si="69"/>
        <v>0</v>
      </c>
      <c r="DR64" s="70">
        <f t="shared" si="69"/>
        <v>0</v>
      </c>
      <c r="DS64" s="70">
        <f t="shared" si="69"/>
        <v>0</v>
      </c>
      <c r="DT64" s="70">
        <f t="shared" si="69"/>
        <v>0</v>
      </c>
      <c r="DU64" s="70">
        <f t="shared" si="69"/>
        <v>0</v>
      </c>
      <c r="DV64" s="70">
        <f t="shared" si="69"/>
        <v>2798871.1711618598</v>
      </c>
    </row>
    <row r="65" spans="2:126" x14ac:dyDescent="0.3">
      <c r="B65" t="s">
        <v>1</v>
      </c>
      <c r="F65" s="70">
        <f>MAX(F34-F49-F64,0)</f>
        <v>0</v>
      </c>
      <c r="G65" s="70">
        <f t="shared" ref="G65:BR65" si="70">MAX(G34-G49-G64,0)</f>
        <v>0</v>
      </c>
      <c r="H65" s="70">
        <f t="shared" si="70"/>
        <v>0</v>
      </c>
      <c r="I65" s="70">
        <f t="shared" si="70"/>
        <v>0</v>
      </c>
      <c r="J65" s="70">
        <f t="shared" si="70"/>
        <v>0</v>
      </c>
      <c r="K65" s="70">
        <f t="shared" si="70"/>
        <v>0</v>
      </c>
      <c r="L65" s="70">
        <f t="shared" si="70"/>
        <v>0</v>
      </c>
      <c r="M65" s="70">
        <f t="shared" si="70"/>
        <v>0</v>
      </c>
      <c r="N65" s="70">
        <f t="shared" si="70"/>
        <v>0</v>
      </c>
      <c r="O65" s="70">
        <f t="shared" si="70"/>
        <v>0</v>
      </c>
      <c r="P65" s="70">
        <f t="shared" si="70"/>
        <v>0</v>
      </c>
      <c r="Q65" s="70">
        <f t="shared" si="70"/>
        <v>0</v>
      </c>
      <c r="R65" s="70">
        <f t="shared" si="70"/>
        <v>0</v>
      </c>
      <c r="S65" s="70">
        <f t="shared" si="70"/>
        <v>0</v>
      </c>
      <c r="T65" s="70">
        <f t="shared" si="70"/>
        <v>0</v>
      </c>
      <c r="U65" s="70">
        <f t="shared" si="70"/>
        <v>0</v>
      </c>
      <c r="V65" s="70">
        <f t="shared" si="70"/>
        <v>0</v>
      </c>
      <c r="W65" s="70">
        <f t="shared" si="70"/>
        <v>0</v>
      </c>
      <c r="X65" s="70">
        <f t="shared" si="70"/>
        <v>0</v>
      </c>
      <c r="Y65" s="70">
        <f t="shared" si="70"/>
        <v>0</v>
      </c>
      <c r="Z65" s="70">
        <f t="shared" si="70"/>
        <v>0</v>
      </c>
      <c r="AA65" s="70">
        <f t="shared" si="70"/>
        <v>0</v>
      </c>
      <c r="AB65" s="70">
        <f t="shared" si="70"/>
        <v>0</v>
      </c>
      <c r="AC65" s="70">
        <f t="shared" si="70"/>
        <v>0</v>
      </c>
      <c r="AD65" s="70">
        <f t="shared" si="70"/>
        <v>0</v>
      </c>
      <c r="AE65" s="70">
        <f t="shared" si="70"/>
        <v>0</v>
      </c>
      <c r="AF65" s="70">
        <f t="shared" si="70"/>
        <v>0</v>
      </c>
      <c r="AG65" s="70">
        <f t="shared" si="70"/>
        <v>0</v>
      </c>
      <c r="AH65" s="70">
        <f t="shared" si="70"/>
        <v>0</v>
      </c>
      <c r="AI65" s="70">
        <f t="shared" si="70"/>
        <v>0</v>
      </c>
      <c r="AJ65" s="70">
        <f t="shared" si="70"/>
        <v>0</v>
      </c>
      <c r="AK65" s="70">
        <f t="shared" si="70"/>
        <v>0</v>
      </c>
      <c r="AL65" s="70">
        <f t="shared" si="70"/>
        <v>0</v>
      </c>
      <c r="AM65" s="70">
        <f t="shared" si="70"/>
        <v>0</v>
      </c>
      <c r="AN65" s="70">
        <f t="shared" si="70"/>
        <v>0</v>
      </c>
      <c r="AO65" s="70">
        <f t="shared" si="70"/>
        <v>0</v>
      </c>
      <c r="AP65" s="70">
        <f t="shared" si="70"/>
        <v>0</v>
      </c>
      <c r="AQ65" s="70">
        <f t="shared" si="70"/>
        <v>0</v>
      </c>
      <c r="AR65" s="70">
        <f t="shared" si="70"/>
        <v>0</v>
      </c>
      <c r="AS65" s="70">
        <f t="shared" si="70"/>
        <v>0</v>
      </c>
      <c r="AT65" s="70">
        <f t="shared" si="70"/>
        <v>0</v>
      </c>
      <c r="AU65" s="70">
        <f t="shared" si="70"/>
        <v>0</v>
      </c>
      <c r="AV65" s="70">
        <f t="shared" si="70"/>
        <v>0</v>
      </c>
      <c r="AW65" s="70">
        <f t="shared" si="70"/>
        <v>0</v>
      </c>
      <c r="AX65" s="70">
        <f t="shared" si="70"/>
        <v>0</v>
      </c>
      <c r="AY65" s="70">
        <f t="shared" si="70"/>
        <v>0</v>
      </c>
      <c r="AZ65" s="70">
        <f t="shared" si="70"/>
        <v>0</v>
      </c>
      <c r="BA65" s="70">
        <f t="shared" si="70"/>
        <v>0</v>
      </c>
      <c r="BB65" s="70">
        <f t="shared" si="70"/>
        <v>0</v>
      </c>
      <c r="BC65" s="70">
        <f t="shared" si="70"/>
        <v>0</v>
      </c>
      <c r="BD65" s="70">
        <f t="shared" si="70"/>
        <v>0</v>
      </c>
      <c r="BE65" s="70">
        <f t="shared" si="70"/>
        <v>0</v>
      </c>
      <c r="BF65" s="70">
        <f t="shared" si="70"/>
        <v>0</v>
      </c>
      <c r="BG65" s="70">
        <f t="shared" si="70"/>
        <v>0</v>
      </c>
      <c r="BH65" s="70">
        <f t="shared" si="70"/>
        <v>0</v>
      </c>
      <c r="BI65" s="70">
        <f t="shared" si="70"/>
        <v>0</v>
      </c>
      <c r="BJ65" s="70">
        <f t="shared" si="70"/>
        <v>0</v>
      </c>
      <c r="BK65" s="70">
        <f t="shared" si="70"/>
        <v>0</v>
      </c>
      <c r="BL65" s="70">
        <f t="shared" si="70"/>
        <v>0</v>
      </c>
      <c r="BM65" s="70">
        <f t="shared" si="70"/>
        <v>0</v>
      </c>
      <c r="BN65" s="70">
        <f t="shared" si="70"/>
        <v>0</v>
      </c>
      <c r="BO65" s="70">
        <f t="shared" si="70"/>
        <v>0</v>
      </c>
      <c r="BP65" s="70">
        <f t="shared" si="70"/>
        <v>0</v>
      </c>
      <c r="BQ65" s="70">
        <f t="shared" si="70"/>
        <v>0</v>
      </c>
      <c r="BR65" s="70">
        <f t="shared" si="70"/>
        <v>0</v>
      </c>
      <c r="BS65" s="70">
        <f t="shared" ref="BS65:DV65" si="71">MAX(BS34-BS49-BS64,0)</f>
        <v>0</v>
      </c>
      <c r="BT65" s="70">
        <f t="shared" si="71"/>
        <v>0</v>
      </c>
      <c r="BU65" s="70">
        <f t="shared" si="71"/>
        <v>0</v>
      </c>
      <c r="BV65" s="70">
        <f t="shared" si="71"/>
        <v>0</v>
      </c>
      <c r="BW65" s="70">
        <f t="shared" si="71"/>
        <v>0</v>
      </c>
      <c r="BX65" s="70">
        <f t="shared" si="71"/>
        <v>0</v>
      </c>
      <c r="BY65" s="70">
        <f t="shared" si="71"/>
        <v>0</v>
      </c>
      <c r="BZ65" s="70">
        <f t="shared" si="71"/>
        <v>0</v>
      </c>
      <c r="CA65" s="70">
        <f t="shared" si="71"/>
        <v>0</v>
      </c>
      <c r="CB65" s="70">
        <f t="shared" si="71"/>
        <v>0</v>
      </c>
      <c r="CC65" s="70">
        <f t="shared" si="71"/>
        <v>0</v>
      </c>
      <c r="CD65" s="70">
        <f t="shared" si="71"/>
        <v>0</v>
      </c>
      <c r="CE65" s="70">
        <f t="shared" si="71"/>
        <v>0</v>
      </c>
      <c r="CF65" s="70">
        <f t="shared" si="71"/>
        <v>0</v>
      </c>
      <c r="CG65" s="70">
        <f t="shared" si="71"/>
        <v>0</v>
      </c>
      <c r="CH65" s="70">
        <f t="shared" si="71"/>
        <v>0</v>
      </c>
      <c r="CI65" s="70">
        <f t="shared" si="71"/>
        <v>0</v>
      </c>
      <c r="CJ65" s="70">
        <f t="shared" si="71"/>
        <v>0</v>
      </c>
      <c r="CK65" s="70">
        <f t="shared" si="71"/>
        <v>0</v>
      </c>
      <c r="CL65" s="70">
        <f t="shared" si="71"/>
        <v>0</v>
      </c>
      <c r="CM65" s="70">
        <f t="shared" si="71"/>
        <v>0</v>
      </c>
      <c r="CN65" s="70">
        <f t="shared" si="71"/>
        <v>0</v>
      </c>
      <c r="CO65" s="70">
        <f t="shared" si="71"/>
        <v>0</v>
      </c>
      <c r="CP65" s="70">
        <f t="shared" si="71"/>
        <v>0</v>
      </c>
      <c r="CQ65" s="70">
        <f t="shared" si="71"/>
        <v>0</v>
      </c>
      <c r="CR65" s="70">
        <f t="shared" si="71"/>
        <v>0</v>
      </c>
      <c r="CS65" s="70">
        <f t="shared" si="71"/>
        <v>0</v>
      </c>
      <c r="CT65" s="70">
        <f t="shared" si="71"/>
        <v>0</v>
      </c>
      <c r="CU65" s="70">
        <f t="shared" si="71"/>
        <v>0</v>
      </c>
      <c r="CV65" s="70">
        <f t="shared" si="71"/>
        <v>0</v>
      </c>
      <c r="CW65" s="70">
        <f t="shared" si="71"/>
        <v>0</v>
      </c>
      <c r="CX65" s="70">
        <f t="shared" si="71"/>
        <v>0</v>
      </c>
      <c r="CY65" s="70">
        <f t="shared" si="71"/>
        <v>0</v>
      </c>
      <c r="CZ65" s="70">
        <f t="shared" si="71"/>
        <v>0</v>
      </c>
      <c r="DA65" s="70">
        <f t="shared" si="71"/>
        <v>0</v>
      </c>
      <c r="DB65" s="70">
        <f t="shared" si="71"/>
        <v>0</v>
      </c>
      <c r="DC65" s="70">
        <f t="shared" si="71"/>
        <v>0</v>
      </c>
      <c r="DD65" s="70">
        <f t="shared" si="71"/>
        <v>0</v>
      </c>
      <c r="DE65" s="70">
        <f t="shared" si="71"/>
        <v>0</v>
      </c>
      <c r="DF65" s="70">
        <f t="shared" si="71"/>
        <v>0</v>
      </c>
      <c r="DG65" s="70">
        <f t="shared" si="71"/>
        <v>0</v>
      </c>
      <c r="DH65" s="70">
        <f t="shared" si="71"/>
        <v>0</v>
      </c>
      <c r="DI65" s="70">
        <f t="shared" si="71"/>
        <v>0</v>
      </c>
      <c r="DJ65" s="70">
        <f t="shared" si="71"/>
        <v>0</v>
      </c>
      <c r="DK65" s="70">
        <f t="shared" si="71"/>
        <v>0</v>
      </c>
      <c r="DL65" s="70">
        <f t="shared" si="71"/>
        <v>0</v>
      </c>
      <c r="DM65" s="70">
        <f t="shared" si="71"/>
        <v>0</v>
      </c>
      <c r="DN65" s="70">
        <f t="shared" si="71"/>
        <v>0</v>
      </c>
      <c r="DO65" s="70">
        <f t="shared" si="71"/>
        <v>0</v>
      </c>
      <c r="DP65" s="70">
        <f t="shared" si="71"/>
        <v>0</v>
      </c>
      <c r="DQ65" s="70">
        <f t="shared" si="71"/>
        <v>0</v>
      </c>
      <c r="DR65" s="70">
        <f t="shared" si="71"/>
        <v>0</v>
      </c>
      <c r="DS65" s="70">
        <f t="shared" si="71"/>
        <v>0</v>
      </c>
      <c r="DT65" s="70">
        <f t="shared" si="71"/>
        <v>0</v>
      </c>
      <c r="DU65" s="70">
        <f t="shared" si="71"/>
        <v>0</v>
      </c>
      <c r="DV65" s="70">
        <f t="shared" si="71"/>
        <v>1254630.7734482051</v>
      </c>
    </row>
    <row r="66" spans="2:126" x14ac:dyDescent="0.3"/>
    <row r="67" spans="2:126" ht="15.6" x14ac:dyDescent="0.3">
      <c r="B67" s="79" t="s">
        <v>11</v>
      </c>
    </row>
    <row r="68" spans="2:126" x14ac:dyDescent="0.3">
      <c r="B68" s="84" t="s">
        <v>3</v>
      </c>
      <c r="C68" s="86">
        <f>E12</f>
        <v>0.14000000000000001</v>
      </c>
      <c r="D68" s="85"/>
      <c r="E68" s="85"/>
      <c r="F68" s="83">
        <f>F$17</f>
        <v>0</v>
      </c>
      <c r="G68" s="83">
        <f t="shared" ref="G68:BR68" si="72">G$17</f>
        <v>1</v>
      </c>
      <c r="H68" s="83">
        <f t="shared" si="72"/>
        <v>2</v>
      </c>
      <c r="I68" s="83">
        <f t="shared" si="72"/>
        <v>3</v>
      </c>
      <c r="J68" s="83">
        <f t="shared" si="72"/>
        <v>4</v>
      </c>
      <c r="K68" s="83">
        <f t="shared" si="72"/>
        <v>5</v>
      </c>
      <c r="L68" s="83">
        <f t="shared" si="72"/>
        <v>6</v>
      </c>
      <c r="M68" s="83">
        <f t="shared" si="72"/>
        <v>7</v>
      </c>
      <c r="N68" s="83">
        <f t="shared" si="72"/>
        <v>8</v>
      </c>
      <c r="O68" s="83">
        <f t="shared" si="72"/>
        <v>9</v>
      </c>
      <c r="P68" s="83">
        <f t="shared" si="72"/>
        <v>10</v>
      </c>
      <c r="Q68" s="83">
        <f t="shared" si="72"/>
        <v>11</v>
      </c>
      <c r="R68" s="83">
        <f t="shared" si="72"/>
        <v>12</v>
      </c>
      <c r="S68" s="83">
        <f t="shared" si="72"/>
        <v>13</v>
      </c>
      <c r="T68" s="83">
        <f t="shared" si="72"/>
        <v>14</v>
      </c>
      <c r="U68" s="83">
        <f t="shared" si="72"/>
        <v>15</v>
      </c>
      <c r="V68" s="83">
        <f t="shared" si="72"/>
        <v>16</v>
      </c>
      <c r="W68" s="83">
        <f t="shared" si="72"/>
        <v>17</v>
      </c>
      <c r="X68" s="83">
        <f t="shared" si="72"/>
        <v>18</v>
      </c>
      <c r="Y68" s="83">
        <f t="shared" si="72"/>
        <v>19</v>
      </c>
      <c r="Z68" s="83">
        <f t="shared" si="72"/>
        <v>20</v>
      </c>
      <c r="AA68" s="83">
        <f t="shared" si="72"/>
        <v>21</v>
      </c>
      <c r="AB68" s="83">
        <f t="shared" si="72"/>
        <v>22</v>
      </c>
      <c r="AC68" s="83">
        <f t="shared" si="72"/>
        <v>23</v>
      </c>
      <c r="AD68" s="83">
        <f t="shared" si="72"/>
        <v>24</v>
      </c>
      <c r="AE68" s="83">
        <f t="shared" si="72"/>
        <v>25</v>
      </c>
      <c r="AF68" s="83">
        <f t="shared" si="72"/>
        <v>26</v>
      </c>
      <c r="AG68" s="83">
        <f t="shared" si="72"/>
        <v>27</v>
      </c>
      <c r="AH68" s="83">
        <f t="shared" si="72"/>
        <v>28</v>
      </c>
      <c r="AI68" s="83">
        <f t="shared" si="72"/>
        <v>29</v>
      </c>
      <c r="AJ68" s="83">
        <f t="shared" si="72"/>
        <v>30</v>
      </c>
      <c r="AK68" s="83">
        <f t="shared" si="72"/>
        <v>31</v>
      </c>
      <c r="AL68" s="83">
        <f t="shared" si="72"/>
        <v>32</v>
      </c>
      <c r="AM68" s="83">
        <f t="shared" si="72"/>
        <v>33</v>
      </c>
      <c r="AN68" s="83">
        <f t="shared" si="72"/>
        <v>34</v>
      </c>
      <c r="AO68" s="83">
        <f t="shared" si="72"/>
        <v>35</v>
      </c>
      <c r="AP68" s="83">
        <f t="shared" si="72"/>
        <v>36</v>
      </c>
      <c r="AQ68" s="83">
        <f t="shared" si="72"/>
        <v>37</v>
      </c>
      <c r="AR68" s="83">
        <f t="shared" si="72"/>
        <v>38</v>
      </c>
      <c r="AS68" s="83">
        <f t="shared" si="72"/>
        <v>39</v>
      </c>
      <c r="AT68" s="83">
        <f t="shared" si="72"/>
        <v>40</v>
      </c>
      <c r="AU68" s="83">
        <f t="shared" si="72"/>
        <v>41</v>
      </c>
      <c r="AV68" s="83">
        <f t="shared" si="72"/>
        <v>42</v>
      </c>
      <c r="AW68" s="83">
        <f t="shared" si="72"/>
        <v>43</v>
      </c>
      <c r="AX68" s="83">
        <f t="shared" si="72"/>
        <v>44</v>
      </c>
      <c r="AY68" s="83">
        <f t="shared" si="72"/>
        <v>45</v>
      </c>
      <c r="AZ68" s="83">
        <f t="shared" si="72"/>
        <v>46</v>
      </c>
      <c r="BA68" s="83">
        <f t="shared" si="72"/>
        <v>47</v>
      </c>
      <c r="BB68" s="83">
        <f t="shared" si="72"/>
        <v>48</v>
      </c>
      <c r="BC68" s="83">
        <f t="shared" si="72"/>
        <v>49</v>
      </c>
      <c r="BD68" s="83">
        <f t="shared" si="72"/>
        <v>50</v>
      </c>
      <c r="BE68" s="83">
        <f t="shared" si="72"/>
        <v>51</v>
      </c>
      <c r="BF68" s="83">
        <f t="shared" si="72"/>
        <v>52</v>
      </c>
      <c r="BG68" s="83">
        <f t="shared" si="72"/>
        <v>53</v>
      </c>
      <c r="BH68" s="83">
        <f t="shared" si="72"/>
        <v>54</v>
      </c>
      <c r="BI68" s="83">
        <f t="shared" si="72"/>
        <v>55</v>
      </c>
      <c r="BJ68" s="83">
        <f t="shared" si="72"/>
        <v>56</v>
      </c>
      <c r="BK68" s="83">
        <f t="shared" si="72"/>
        <v>57</v>
      </c>
      <c r="BL68" s="83">
        <f t="shared" si="72"/>
        <v>58</v>
      </c>
      <c r="BM68" s="83">
        <f t="shared" si="72"/>
        <v>59</v>
      </c>
      <c r="BN68" s="83">
        <f t="shared" si="72"/>
        <v>60</v>
      </c>
      <c r="BO68" s="83">
        <f t="shared" si="72"/>
        <v>61</v>
      </c>
      <c r="BP68" s="83">
        <f t="shared" si="72"/>
        <v>62</v>
      </c>
      <c r="BQ68" s="83">
        <f t="shared" si="72"/>
        <v>63</v>
      </c>
      <c r="BR68" s="83">
        <f t="shared" si="72"/>
        <v>64</v>
      </c>
      <c r="BS68" s="83">
        <f t="shared" ref="BS68:DV68" si="73">BS$17</f>
        <v>65</v>
      </c>
      <c r="BT68" s="83">
        <f t="shared" si="73"/>
        <v>66</v>
      </c>
      <c r="BU68" s="83">
        <f t="shared" si="73"/>
        <v>67</v>
      </c>
      <c r="BV68" s="83">
        <f t="shared" si="73"/>
        <v>68</v>
      </c>
      <c r="BW68" s="83">
        <f t="shared" si="73"/>
        <v>69</v>
      </c>
      <c r="BX68" s="83">
        <f t="shared" si="73"/>
        <v>70</v>
      </c>
      <c r="BY68" s="83">
        <f t="shared" si="73"/>
        <v>71</v>
      </c>
      <c r="BZ68" s="83">
        <f t="shared" si="73"/>
        <v>72</v>
      </c>
      <c r="CA68" s="83">
        <f t="shared" si="73"/>
        <v>73</v>
      </c>
      <c r="CB68" s="83">
        <f t="shared" si="73"/>
        <v>74</v>
      </c>
      <c r="CC68" s="83">
        <f t="shared" si="73"/>
        <v>75</v>
      </c>
      <c r="CD68" s="83">
        <f t="shared" si="73"/>
        <v>76</v>
      </c>
      <c r="CE68" s="83">
        <f t="shared" si="73"/>
        <v>77</v>
      </c>
      <c r="CF68" s="83">
        <f t="shared" si="73"/>
        <v>78</v>
      </c>
      <c r="CG68" s="83">
        <f t="shared" si="73"/>
        <v>79</v>
      </c>
      <c r="CH68" s="83">
        <f t="shared" si="73"/>
        <v>80</v>
      </c>
      <c r="CI68" s="83">
        <f t="shared" si="73"/>
        <v>81</v>
      </c>
      <c r="CJ68" s="83">
        <f t="shared" si="73"/>
        <v>82</v>
      </c>
      <c r="CK68" s="83">
        <f t="shared" si="73"/>
        <v>83</v>
      </c>
      <c r="CL68" s="83">
        <f t="shared" si="73"/>
        <v>84</v>
      </c>
      <c r="CM68" s="83">
        <f t="shared" si="73"/>
        <v>85</v>
      </c>
      <c r="CN68" s="83">
        <f t="shared" si="73"/>
        <v>86</v>
      </c>
      <c r="CO68" s="83">
        <f t="shared" si="73"/>
        <v>87</v>
      </c>
      <c r="CP68" s="83">
        <f t="shared" si="73"/>
        <v>88</v>
      </c>
      <c r="CQ68" s="83">
        <f t="shared" si="73"/>
        <v>89</v>
      </c>
      <c r="CR68" s="83">
        <f t="shared" si="73"/>
        <v>90</v>
      </c>
      <c r="CS68" s="83">
        <f t="shared" si="73"/>
        <v>91</v>
      </c>
      <c r="CT68" s="83">
        <f t="shared" si="73"/>
        <v>92</v>
      </c>
      <c r="CU68" s="83">
        <f t="shared" si="73"/>
        <v>93</v>
      </c>
      <c r="CV68" s="83">
        <f t="shared" si="73"/>
        <v>94</v>
      </c>
      <c r="CW68" s="83">
        <f t="shared" si="73"/>
        <v>95</v>
      </c>
      <c r="CX68" s="83">
        <f t="shared" si="73"/>
        <v>96</v>
      </c>
      <c r="CY68" s="83">
        <f t="shared" si="73"/>
        <v>97</v>
      </c>
      <c r="CZ68" s="83">
        <f t="shared" si="73"/>
        <v>98</v>
      </c>
      <c r="DA68" s="83">
        <f t="shared" si="73"/>
        <v>99</v>
      </c>
      <c r="DB68" s="83">
        <f t="shared" si="73"/>
        <v>100</v>
      </c>
      <c r="DC68" s="83">
        <f t="shared" si="73"/>
        <v>101</v>
      </c>
      <c r="DD68" s="83">
        <f t="shared" si="73"/>
        <v>102</v>
      </c>
      <c r="DE68" s="83">
        <f t="shared" si="73"/>
        <v>103</v>
      </c>
      <c r="DF68" s="83">
        <f t="shared" si="73"/>
        <v>104</v>
      </c>
      <c r="DG68" s="83">
        <f t="shared" si="73"/>
        <v>105</v>
      </c>
      <c r="DH68" s="83">
        <f t="shared" si="73"/>
        <v>106</v>
      </c>
      <c r="DI68" s="83">
        <f t="shared" si="73"/>
        <v>107</v>
      </c>
      <c r="DJ68" s="83">
        <f t="shared" si="73"/>
        <v>108</v>
      </c>
      <c r="DK68" s="83">
        <f t="shared" si="73"/>
        <v>109</v>
      </c>
      <c r="DL68" s="83">
        <f t="shared" si="73"/>
        <v>110</v>
      </c>
      <c r="DM68" s="83">
        <f t="shared" si="73"/>
        <v>111</v>
      </c>
      <c r="DN68" s="83">
        <f t="shared" si="73"/>
        <v>112</v>
      </c>
      <c r="DO68" s="83">
        <f t="shared" si="73"/>
        <v>113</v>
      </c>
      <c r="DP68" s="83">
        <f t="shared" si="73"/>
        <v>114</v>
      </c>
      <c r="DQ68" s="83">
        <f t="shared" si="73"/>
        <v>115</v>
      </c>
      <c r="DR68" s="83">
        <f t="shared" si="73"/>
        <v>116</v>
      </c>
      <c r="DS68" s="83">
        <f t="shared" si="73"/>
        <v>117</v>
      </c>
      <c r="DT68" s="83">
        <f t="shared" si="73"/>
        <v>118</v>
      </c>
      <c r="DU68" s="83">
        <f t="shared" si="73"/>
        <v>119</v>
      </c>
      <c r="DV68" s="83">
        <f t="shared" si="73"/>
        <v>120</v>
      </c>
    </row>
    <row r="69" spans="2:126" x14ac:dyDescent="0.3">
      <c r="B69" t="s">
        <v>10</v>
      </c>
      <c r="F69" s="70">
        <f>E74</f>
        <v>0</v>
      </c>
      <c r="G69" s="70">
        <f t="shared" ref="G69:BR69" si="74">F74</f>
        <v>1723311.6942992047</v>
      </c>
      <c r="H69" s="70">
        <f t="shared" si="74"/>
        <v>1750872.1072622817</v>
      </c>
      <c r="I69" s="70">
        <f t="shared" si="74"/>
        <v>1790204.411275415</v>
      </c>
      <c r="J69" s="70">
        <f t="shared" si="74"/>
        <v>1852870.3637691122</v>
      </c>
      <c r="K69" s="70">
        <f t="shared" si="74"/>
        <v>1957754.9140415334</v>
      </c>
      <c r="L69" s="70">
        <f t="shared" si="74"/>
        <v>2131960.4827392511</v>
      </c>
      <c r="M69" s="70">
        <f t="shared" si="74"/>
        <v>2408869.9778570663</v>
      </c>
      <c r="N69" s="70">
        <f t="shared" si="74"/>
        <v>2777046.0026773638</v>
      </c>
      <c r="O69" s="70">
        <f t="shared" si="74"/>
        <v>3259717.0493482118</v>
      </c>
      <c r="P69" s="70">
        <f t="shared" si="74"/>
        <v>3815729.0404463122</v>
      </c>
      <c r="Q69" s="70">
        <f t="shared" si="74"/>
        <v>3857621.3646633495</v>
      </c>
      <c r="R69" s="70">
        <f t="shared" si="74"/>
        <v>3899973.6185058146</v>
      </c>
      <c r="S69" s="70">
        <f t="shared" si="74"/>
        <v>3942790.851472972</v>
      </c>
      <c r="T69" s="70">
        <f t="shared" si="74"/>
        <v>3986078.168501792</v>
      </c>
      <c r="U69" s="70">
        <f t="shared" si="74"/>
        <v>4029840.7305755918</v>
      </c>
      <c r="V69" s="70">
        <f t="shared" si="74"/>
        <v>4074083.7553393599</v>
      </c>
      <c r="W69" s="70">
        <f t="shared" si="74"/>
        <v>4118812.5177218374</v>
      </c>
      <c r="X69" s="70">
        <f t="shared" si="74"/>
        <v>4164032.3505644267</v>
      </c>
      <c r="Y69" s="70">
        <f t="shared" si="74"/>
        <v>4209748.6452570064</v>
      </c>
      <c r="Z69" s="70">
        <f t="shared" si="74"/>
        <v>4255966.8523807265</v>
      </c>
      <c r="AA69" s="70">
        <f t="shared" si="74"/>
        <v>4302692.4823578605</v>
      </c>
      <c r="AB69" s="70">
        <f t="shared" si="74"/>
        <v>4349931.1061087921</v>
      </c>
      <c r="AC69" s="70">
        <f t="shared" si="74"/>
        <v>4397688.3557162145</v>
      </c>
      <c r="AD69" s="70">
        <f t="shared" si="74"/>
        <v>4445969.9250966245</v>
      </c>
      <c r="AE69" s="70">
        <f t="shared" si="74"/>
        <v>4494781.570679184</v>
      </c>
      <c r="AF69" s="70">
        <f t="shared" si="74"/>
        <v>4544129.1120920386</v>
      </c>
      <c r="AG69" s="70">
        <f t="shared" si="74"/>
        <v>4594018.4328561705</v>
      </c>
      <c r="AH69" s="70">
        <f t="shared" si="74"/>
        <v>4644455.481086866</v>
      </c>
      <c r="AI69" s="70">
        <f t="shared" si="74"/>
        <v>4695446.27020289</v>
      </c>
      <c r="AJ69" s="70">
        <f t="shared" si="74"/>
        <v>4746996.8796434421</v>
      </c>
      <c r="AK69" s="70">
        <f t="shared" si="74"/>
        <v>4763577.8775058677</v>
      </c>
      <c r="AL69" s="70">
        <f t="shared" si="74"/>
        <v>4795646.8147170153</v>
      </c>
      <c r="AM69" s="70">
        <f t="shared" si="74"/>
        <v>4828067.832042004</v>
      </c>
      <c r="AN69" s="70">
        <f t="shared" si="74"/>
        <v>4860844.7949162778</v>
      </c>
      <c r="AO69" s="70">
        <f t="shared" si="74"/>
        <v>4893981.6112133246</v>
      </c>
      <c r="AP69" s="70">
        <f t="shared" si="74"/>
        <v>4927482.231710596</v>
      </c>
      <c r="AQ69" s="70">
        <f t="shared" si="74"/>
        <v>4960778.5628928803</v>
      </c>
      <c r="AR69" s="70">
        <f t="shared" si="74"/>
        <v>4994440.4495656984</v>
      </c>
      <c r="AS69" s="70">
        <f t="shared" si="74"/>
        <v>5028471.9051086614</v>
      </c>
      <c r="AT69" s="70">
        <f t="shared" si="74"/>
        <v>5062876.9869636791</v>
      </c>
      <c r="AU69" s="70">
        <f t="shared" si="74"/>
        <v>5097659.7971187169</v>
      </c>
      <c r="AV69" s="70">
        <f t="shared" si="74"/>
        <v>5132824.4825968575</v>
      </c>
      <c r="AW69" s="70">
        <f t="shared" si="74"/>
        <v>5168375.2359507373</v>
      </c>
      <c r="AX69" s="70">
        <f t="shared" si="74"/>
        <v>5204316.2957624067</v>
      </c>
      <c r="AY69" s="70">
        <f t="shared" si="74"/>
        <v>5240651.9471486807</v>
      </c>
      <c r="AZ69" s="70">
        <f t="shared" si="74"/>
        <v>5277386.5222720373</v>
      </c>
      <c r="BA69" s="70">
        <f t="shared" si="74"/>
        <v>5314524.4008571254</v>
      </c>
      <c r="BB69" s="70">
        <f t="shared" si="74"/>
        <v>5352070.010712943</v>
      </c>
      <c r="BC69" s="70">
        <f t="shared" si="74"/>
        <v>5387889.1752314717</v>
      </c>
      <c r="BD69" s="70">
        <f t="shared" si="74"/>
        <v>5424101.5930542285</v>
      </c>
      <c r="BE69" s="70">
        <f t="shared" si="74"/>
        <v>5460711.5816510189</v>
      </c>
      <c r="BF69" s="70">
        <f t="shared" si="74"/>
        <v>5497723.5058925105</v>
      </c>
      <c r="BG69" s="70">
        <f t="shared" si="74"/>
        <v>5535141.7785706408</v>
      </c>
      <c r="BH69" s="70">
        <f t="shared" si="74"/>
        <v>5572970.8609247357</v>
      </c>
      <c r="BI69" s="70">
        <f t="shared" si="74"/>
        <v>5611215.2631734069</v>
      </c>
      <c r="BJ69" s="70">
        <f t="shared" si="74"/>
        <v>5659686.0110386908</v>
      </c>
      <c r="BK69" s="70">
        <f t="shared" si="74"/>
        <v>5708688.9120687023</v>
      </c>
      <c r="BL69" s="70">
        <f t="shared" si="74"/>
        <v>5758229.8086942509</v>
      </c>
      <c r="BM69" s="70">
        <f t="shared" si="74"/>
        <v>5808314.6074893307</v>
      </c>
      <c r="BN69" s="70">
        <f t="shared" si="74"/>
        <v>5858949.2798753353</v>
      </c>
      <c r="BO69" s="70">
        <f t="shared" si="74"/>
        <v>5907925.2699487861</v>
      </c>
      <c r="BP69" s="70">
        <f t="shared" si="74"/>
        <v>5957438.9601663658</v>
      </c>
      <c r="BQ69" s="70">
        <f t="shared" si="74"/>
        <v>6007496.2538583511</v>
      </c>
      <c r="BR69" s="70">
        <f t="shared" si="74"/>
        <v>6058103.1191668073</v>
      </c>
      <c r="BS69" s="70">
        <f t="shared" ref="BS69:DV69" si="75">BR74</f>
        <v>6109265.5897571472</v>
      </c>
      <c r="BT69" s="70">
        <f t="shared" si="75"/>
        <v>6160989.7655375041</v>
      </c>
      <c r="BU69" s="70">
        <f t="shared" si="75"/>
        <v>6213281.8133859979</v>
      </c>
      <c r="BV69" s="70">
        <f t="shared" si="75"/>
        <v>6266147.9678859916</v>
      </c>
      <c r="BW69" s="70">
        <f t="shared" si="75"/>
        <v>6319594.5320694158</v>
      </c>
      <c r="BX69" s="70">
        <f t="shared" si="75"/>
        <v>6373627.8781682551</v>
      </c>
      <c r="BY69" s="70">
        <f t="shared" si="75"/>
        <v>6428254.4483742863</v>
      </c>
      <c r="BZ69" s="70">
        <f t="shared" si="75"/>
        <v>6483480.7556071552</v>
      </c>
      <c r="CA69" s="70">
        <f t="shared" si="75"/>
        <v>6537020.3377507823</v>
      </c>
      <c r="CB69" s="70">
        <f t="shared" si="75"/>
        <v>6591147.723040238</v>
      </c>
      <c r="CC69" s="70">
        <f t="shared" si="75"/>
        <v>6645869.3648792366</v>
      </c>
      <c r="CD69" s="70">
        <f t="shared" si="75"/>
        <v>6701191.7875224566</v>
      </c>
      <c r="CE69" s="70">
        <f t="shared" si="75"/>
        <v>6757121.5868534008</v>
      </c>
      <c r="CF69" s="70">
        <f t="shared" si="75"/>
        <v>6813665.4311708026</v>
      </c>
      <c r="CG69" s="70">
        <f t="shared" si="75"/>
        <v>6870830.0619836589</v>
      </c>
      <c r="CH69" s="70">
        <f t="shared" si="75"/>
        <v>6928622.2948149955</v>
      </c>
      <c r="CI69" s="70">
        <f t="shared" si="75"/>
        <v>6987049.0200144574</v>
      </c>
      <c r="CJ69" s="70">
        <f t="shared" si="75"/>
        <v>7046117.2035798179</v>
      </c>
      <c r="CK69" s="70">
        <f t="shared" si="75"/>
        <v>7105833.8879875084</v>
      </c>
      <c r="CL69" s="70">
        <f t="shared" si="75"/>
        <v>7166206.1930322656</v>
      </c>
      <c r="CM69" s="70">
        <f t="shared" si="75"/>
        <v>7224867.2225529496</v>
      </c>
      <c r="CN69" s="70">
        <f t="shared" si="75"/>
        <v>7284172.2828319864</v>
      </c>
      <c r="CO69" s="70">
        <f t="shared" si="75"/>
        <v>7344128.4445877224</v>
      </c>
      <c r="CP69" s="70">
        <f t="shared" si="75"/>
        <v>7404742.856166875</v>
      </c>
      <c r="CQ69" s="70">
        <f t="shared" si="75"/>
        <v>7466022.744396802</v>
      </c>
      <c r="CR69" s="70">
        <f t="shared" si="75"/>
        <v>7527975.4154471289</v>
      </c>
      <c r="CS69" s="70">
        <f t="shared" si="75"/>
        <v>7590608.255700835</v>
      </c>
      <c r="CT69" s="70">
        <f t="shared" si="75"/>
        <v>7653928.7326349057</v>
      </c>
      <c r="CU69" s="70">
        <f t="shared" si="75"/>
        <v>7717944.3957106499</v>
      </c>
      <c r="CV69" s="70">
        <f t="shared" si="75"/>
        <v>7782662.8772737952</v>
      </c>
      <c r="CW69" s="70">
        <f t="shared" si="75"/>
        <v>7848091.8934644619</v>
      </c>
      <c r="CX69" s="70">
        <f t="shared" si="75"/>
        <v>7914239.2451371318</v>
      </c>
      <c r="CY69" s="70">
        <f t="shared" si="75"/>
        <v>7978655.0005334932</v>
      </c>
      <c r="CZ69" s="70">
        <f t="shared" si="75"/>
        <v>8043777.9669716097</v>
      </c>
      <c r="DA69" s="70">
        <f t="shared" si="75"/>
        <v>8109615.908816807</v>
      </c>
      <c r="DB69" s="70">
        <f t="shared" si="75"/>
        <v>8176176.6756782262</v>
      </c>
      <c r="DC69" s="70">
        <f t="shared" si="75"/>
        <v>8243468.2033447074</v>
      </c>
      <c r="DD69" s="70">
        <f t="shared" si="75"/>
        <v>8311498.5147309396</v>
      </c>
      <c r="DE69" s="70">
        <f t="shared" si="75"/>
        <v>8380275.7208340066</v>
      </c>
      <c r="DF69" s="70">
        <f t="shared" si="75"/>
        <v>8449808.0217004232</v>
      </c>
      <c r="DG69" s="70">
        <f t="shared" si="75"/>
        <v>8520103.707403807</v>
      </c>
      <c r="DH69" s="70">
        <f t="shared" si="75"/>
        <v>8591171.159033265</v>
      </c>
      <c r="DI69" s="70">
        <f t="shared" si="75"/>
        <v>8663018.849692639</v>
      </c>
      <c r="DJ69" s="70">
        <f t="shared" si="75"/>
        <v>8735655.3455107231</v>
      </c>
      <c r="DK69" s="70">
        <f t="shared" si="75"/>
        <v>8806545.0025209542</v>
      </c>
      <c r="DL69" s="70">
        <f t="shared" si="75"/>
        <v>8878212.9465802982</v>
      </c>
      <c r="DM69" s="70">
        <f t="shared" si="75"/>
        <v>8950667.7223870438</v>
      </c>
      <c r="DN69" s="70">
        <f t="shared" si="75"/>
        <v>9023917.968450455</v>
      </c>
      <c r="DO69" s="70">
        <f t="shared" si="75"/>
        <v>9097972.4181207102</v>
      </c>
      <c r="DP69" s="70">
        <f t="shared" si="75"/>
        <v>9172839.9006301463</v>
      </c>
      <c r="DQ69" s="70">
        <f t="shared" si="75"/>
        <v>9248529.3421459366</v>
      </c>
      <c r="DR69" s="70">
        <f t="shared" si="75"/>
        <v>9325049.7668343186</v>
      </c>
      <c r="DS69" s="70">
        <f t="shared" si="75"/>
        <v>9402410.2979365196</v>
      </c>
      <c r="DT69" s="70">
        <f t="shared" si="75"/>
        <v>9480620.1588564776</v>
      </c>
      <c r="DU69" s="70">
        <f t="shared" si="75"/>
        <v>9559688.6742605194</v>
      </c>
      <c r="DV69" s="70">
        <f t="shared" si="75"/>
        <v>9639625.2711891029</v>
      </c>
    </row>
    <row r="70" spans="2:126" x14ac:dyDescent="0.3">
      <c r="B70" t="s">
        <v>54</v>
      </c>
      <c r="F70" s="70">
        <f>F69*((1+$C$68)^(1/12)-1)</f>
        <v>0</v>
      </c>
      <c r="G70" s="70">
        <f t="shared" ref="G70:BR70" si="76">G69*((1+$C$68)^(1/12)-1)</f>
        <v>18919.983955713538</v>
      </c>
      <c r="H70" s="70">
        <f t="shared" si="76"/>
        <v>19222.565649320801</v>
      </c>
      <c r="I70" s="70">
        <f t="shared" si="76"/>
        <v>19654.389191940205</v>
      </c>
      <c r="J70" s="70">
        <f t="shared" si="76"/>
        <v>20342.38940668511</v>
      </c>
      <c r="K70" s="70">
        <f t="shared" si="76"/>
        <v>21493.901355986545</v>
      </c>
      <c r="L70" s="70">
        <f t="shared" si="76"/>
        <v>23406.478503614559</v>
      </c>
      <c r="M70" s="70">
        <f t="shared" si="76"/>
        <v>26446.626854110331</v>
      </c>
      <c r="N70" s="70">
        <f t="shared" si="76"/>
        <v>30488.776922215762</v>
      </c>
      <c r="O70" s="70">
        <f t="shared" si="76"/>
        <v>35787.950884250262</v>
      </c>
      <c r="P70" s="70">
        <f t="shared" si="76"/>
        <v>41892.324217037465</v>
      </c>
      <c r="Q70" s="70">
        <f t="shared" si="76"/>
        <v>42352.253842464983</v>
      </c>
      <c r="R70" s="70">
        <f t="shared" si="76"/>
        <v>42817.232967157572</v>
      </c>
      <c r="S70" s="70">
        <f t="shared" si="76"/>
        <v>43287.317028820085</v>
      </c>
      <c r="T70" s="70">
        <f t="shared" si="76"/>
        <v>43762.562073799716</v>
      </c>
      <c r="U70" s="70">
        <f t="shared" si="76"/>
        <v>44243.024763768241</v>
      </c>
      <c r="V70" s="70">
        <f t="shared" si="76"/>
        <v>44728.762382477507</v>
      </c>
      <c r="W70" s="70">
        <f t="shared" si="76"/>
        <v>45219.832842589218</v>
      </c>
      <c r="X70" s="70">
        <f t="shared" si="76"/>
        <v>45716.294692579599</v>
      </c>
      <c r="Y70" s="70">
        <f t="shared" si="76"/>
        <v>46218.207123719927</v>
      </c>
      <c r="Z70" s="70">
        <f t="shared" si="76"/>
        <v>46725.629977133707</v>
      </c>
      <c r="AA70" s="70">
        <f t="shared" si="76"/>
        <v>47238.623750931249</v>
      </c>
      <c r="AB70" s="70">
        <f t="shared" si="76"/>
        <v>47757.249607422673</v>
      </c>
      <c r="AC70" s="70">
        <f t="shared" si="76"/>
        <v>48281.569380410045</v>
      </c>
      <c r="AD70" s="70">
        <f t="shared" si="76"/>
        <v>48811.645582559591</v>
      </c>
      <c r="AE70" s="70">
        <f t="shared" si="76"/>
        <v>49347.541412854851</v>
      </c>
      <c r="AF70" s="70">
        <f t="shared" si="76"/>
        <v>49889.320764131633</v>
      </c>
      <c r="AG70" s="70">
        <f t="shared" si="76"/>
        <v>50437.048230695749</v>
      </c>
      <c r="AH70" s="70">
        <f t="shared" si="76"/>
        <v>50990.789116024316</v>
      </c>
      <c r="AI70" s="70">
        <f t="shared" si="76"/>
        <v>51550.609440551656</v>
      </c>
      <c r="AJ70" s="70">
        <f t="shared" si="76"/>
        <v>52116.575949540696</v>
      </c>
      <c r="AK70" s="70">
        <f t="shared" si="76"/>
        <v>52298.616270258404</v>
      </c>
      <c r="AL70" s="70">
        <f t="shared" si="76"/>
        <v>52650.696384099007</v>
      </c>
      <c r="AM70" s="70">
        <f t="shared" si="76"/>
        <v>53006.641933384068</v>
      </c>
      <c r="AN70" s="70">
        <f t="shared" si="76"/>
        <v>53366.495356157051</v>
      </c>
      <c r="AO70" s="70">
        <f t="shared" si="76"/>
        <v>53730.299556382422</v>
      </c>
      <c r="AP70" s="70">
        <f t="shared" si="76"/>
        <v>54098.097909060911</v>
      </c>
      <c r="AQ70" s="70">
        <f t="shared" si="76"/>
        <v>54463.653399595154</v>
      </c>
      <c r="AR70" s="70">
        <f t="shared" si="76"/>
        <v>54833.222269739541</v>
      </c>
      <c r="AS70" s="70">
        <f t="shared" si="76"/>
        <v>55206.848581794642</v>
      </c>
      <c r="AT70" s="70">
        <f t="shared" si="76"/>
        <v>55584.576881814479</v>
      </c>
      <c r="AU70" s="70">
        <f t="shared" si="76"/>
        <v>55966.452204917623</v>
      </c>
      <c r="AV70" s="70">
        <f t="shared" si="76"/>
        <v>56352.520080656548</v>
      </c>
      <c r="AW70" s="70">
        <f t="shared" si="76"/>
        <v>56742.826538445923</v>
      </c>
      <c r="AX70" s="70">
        <f t="shared" si="76"/>
        <v>57137.418113050575</v>
      </c>
      <c r="AY70" s="70">
        <f t="shared" si="76"/>
        <v>57536.341850133591</v>
      </c>
      <c r="AZ70" s="70">
        <f t="shared" si="76"/>
        <v>57939.645311865446</v>
      </c>
      <c r="BA70" s="70">
        <f t="shared" si="76"/>
        <v>58347.376582594647</v>
      </c>
      <c r="BB70" s="70">
        <f t="shared" si="76"/>
        <v>58759.584274580644</v>
      </c>
      <c r="BC70" s="70">
        <f t="shared" si="76"/>
        <v>59152.837578808474</v>
      </c>
      <c r="BD70" s="70">
        <f t="shared" si="76"/>
        <v>59550.408352842343</v>
      </c>
      <c r="BE70" s="70">
        <f t="shared" si="76"/>
        <v>59952.343997544041</v>
      </c>
      <c r="BF70" s="70">
        <f t="shared" si="76"/>
        <v>60358.692434182412</v>
      </c>
      <c r="BG70" s="70">
        <f t="shared" si="76"/>
        <v>60769.50211014683</v>
      </c>
      <c r="BH70" s="70">
        <f t="shared" si="76"/>
        <v>61184.822004723355</v>
      </c>
      <c r="BI70" s="70">
        <f t="shared" si="76"/>
        <v>61604.701634934398</v>
      </c>
      <c r="BJ70" s="70">
        <f t="shared" si="76"/>
        <v>62136.854799661531</v>
      </c>
      <c r="BK70" s="70">
        <f t="shared" si="76"/>
        <v>62674.850395199035</v>
      </c>
      <c r="BL70" s="70">
        <f t="shared" si="76"/>
        <v>63218.752564729781</v>
      </c>
      <c r="BM70" s="70">
        <f t="shared" si="76"/>
        <v>63768.626155655184</v>
      </c>
      <c r="BN70" s="70">
        <f t="shared" si="76"/>
        <v>64324.536727326667</v>
      </c>
      <c r="BO70" s="70">
        <f t="shared" si="76"/>
        <v>64862.236871456247</v>
      </c>
      <c r="BP70" s="70">
        <f t="shared" si="76"/>
        <v>65405.840345861805</v>
      </c>
      <c r="BQ70" s="70">
        <f t="shared" si="76"/>
        <v>65955.411962332466</v>
      </c>
      <c r="BR70" s="70">
        <f t="shared" si="76"/>
        <v>66511.017244216375</v>
      </c>
      <c r="BS70" s="70">
        <f t="shared" ref="BS70:DV70" si="77">BS69*((1+$C$68)^(1/12)-1)</f>
        <v>67072.722434232812</v>
      </c>
      <c r="BT70" s="70">
        <f t="shared" si="77"/>
        <v>67640.594502370106</v>
      </c>
      <c r="BU70" s="70">
        <f t="shared" si="77"/>
        <v>68214.701153870104</v>
      </c>
      <c r="BV70" s="70">
        <f t="shared" si="77"/>
        <v>68795.110837300526</v>
      </c>
      <c r="BW70" s="70">
        <f t="shared" si="77"/>
        <v>69381.892752715794</v>
      </c>
      <c r="BX70" s="70">
        <f t="shared" si="77"/>
        <v>69975.11685990743</v>
      </c>
      <c r="BY70" s="70">
        <f t="shared" si="77"/>
        <v>70574.853886745201</v>
      </c>
      <c r="BZ70" s="70">
        <f t="shared" si="77"/>
        <v>71181.17533760966</v>
      </c>
      <c r="CA70" s="70">
        <f t="shared" si="77"/>
        <v>71768.978483438696</v>
      </c>
      <c r="CB70" s="70">
        <f t="shared" si="77"/>
        <v>72363.235032981625</v>
      </c>
      <c r="CC70" s="70">
        <f t="shared" si="77"/>
        <v>72964.015837202402</v>
      </c>
      <c r="CD70" s="70">
        <f t="shared" si="77"/>
        <v>73571.392524927243</v>
      </c>
      <c r="CE70" s="70">
        <f t="shared" si="77"/>
        <v>74185.437511384589</v>
      </c>
      <c r="CF70" s="70">
        <f t="shared" si="77"/>
        <v>74806.224006838995</v>
      </c>
      <c r="CG70" s="70">
        <f t="shared" si="77"/>
        <v>75433.826025319664</v>
      </c>
      <c r="CH70" s="70">
        <f t="shared" si="77"/>
        <v>76068.318393444875</v>
      </c>
      <c r="CI70" s="70">
        <f t="shared" si="77"/>
        <v>76709.776759343236</v>
      </c>
      <c r="CJ70" s="70">
        <f t="shared" si="77"/>
        <v>77358.277601672991</v>
      </c>
      <c r="CK70" s="70">
        <f t="shared" si="77"/>
        <v>78013.89823874025</v>
      </c>
      <c r="CL70" s="70">
        <f t="shared" si="77"/>
        <v>78676.716837717351</v>
      </c>
      <c r="CM70" s="70">
        <f t="shared" si="77"/>
        <v>79320.747596069705</v>
      </c>
      <c r="CN70" s="70">
        <f t="shared" si="77"/>
        <v>79971.849072769357</v>
      </c>
      <c r="CO70" s="70">
        <f t="shared" si="77"/>
        <v>80630.098896186231</v>
      </c>
      <c r="CP70" s="70">
        <f t="shared" si="77"/>
        <v>81295.575546960623</v>
      </c>
      <c r="CQ70" s="70">
        <f t="shared" si="77"/>
        <v>81968.358367360182</v>
      </c>
      <c r="CR70" s="70">
        <f t="shared" si="77"/>
        <v>82648.527570739505</v>
      </c>
      <c r="CS70" s="70">
        <f t="shared" si="77"/>
        <v>83336.164251103808</v>
      </c>
      <c r="CT70" s="70">
        <f t="shared" si="77"/>
        <v>84031.350392777356</v>
      </c>
      <c r="CU70" s="70">
        <f t="shared" si="77"/>
        <v>84734.168880178127</v>
      </c>
      <c r="CV70" s="70">
        <f t="shared" si="77"/>
        <v>85444.703507699931</v>
      </c>
      <c r="CW70" s="70">
        <f t="shared" si="77"/>
        <v>86163.038989702764</v>
      </c>
      <c r="CX70" s="70">
        <f t="shared" si="77"/>
        <v>86889.260970613061</v>
      </c>
      <c r="CY70" s="70">
        <f t="shared" si="77"/>
        <v>87596.472012368307</v>
      </c>
      <c r="CZ70" s="70">
        <f t="shared" si="77"/>
        <v>88311.447419448494</v>
      </c>
      <c r="DA70" s="70">
        <f t="shared" si="77"/>
        <v>89034.272435671053</v>
      </c>
      <c r="DB70" s="70">
        <f t="shared" si="77"/>
        <v>89765.033240732577</v>
      </c>
      <c r="DC70" s="70">
        <f t="shared" si="77"/>
        <v>90503.816960483877</v>
      </c>
      <c r="DD70" s="70">
        <f t="shared" si="77"/>
        <v>91250.711677317522</v>
      </c>
      <c r="DE70" s="70">
        <f t="shared" si="77"/>
        <v>92005.806440669665</v>
      </c>
      <c r="DF70" s="70">
        <f t="shared" si="77"/>
        <v>92769.191277636972</v>
      </c>
      <c r="DG70" s="70">
        <f t="shared" si="77"/>
        <v>93540.957203710335</v>
      </c>
      <c r="DH70" s="70">
        <f t="shared" si="77"/>
        <v>94321.19623362628</v>
      </c>
      <c r="DI70" s="70">
        <f t="shared" si="77"/>
        <v>95110.001392337406</v>
      </c>
      <c r="DJ70" s="70">
        <f t="shared" si="77"/>
        <v>95907.466726103536</v>
      </c>
      <c r="DK70" s="70">
        <f t="shared" si="77"/>
        <v>96685.753775217439</v>
      </c>
      <c r="DL70" s="70">
        <f t="shared" si="77"/>
        <v>97472.58552261829</v>
      </c>
      <c r="DM70" s="70">
        <f t="shared" si="77"/>
        <v>98268.055779283561</v>
      </c>
      <c r="DN70" s="70">
        <f t="shared" si="77"/>
        <v>99072.259386127524</v>
      </c>
      <c r="DO70" s="70">
        <f t="shared" si="77"/>
        <v>99885.292225308833</v>
      </c>
      <c r="DP70" s="70">
        <f t="shared" si="77"/>
        <v>100707.25123166213</v>
      </c>
      <c r="DQ70" s="70">
        <f t="shared" si="77"/>
        <v>101538.2344042553</v>
      </c>
      <c r="DR70" s="70">
        <f t="shared" si="77"/>
        <v>102378.34081807346</v>
      </c>
      <c r="DS70" s="70">
        <f t="shared" si="77"/>
        <v>103227.67063583131</v>
      </c>
      <c r="DT70" s="70">
        <f t="shared" si="77"/>
        <v>104086.32511991517</v>
      </c>
      <c r="DU70" s="70">
        <f t="shared" si="77"/>
        <v>104954.40664445616</v>
      </c>
      <c r="DV70" s="70">
        <f t="shared" si="77"/>
        <v>105832.01870753577</v>
      </c>
    </row>
    <row r="71" spans="2:126" x14ac:dyDescent="0.3">
      <c r="B71" t="s">
        <v>8</v>
      </c>
      <c r="F71" s="70">
        <f>F56</f>
        <v>1723311.6942992047</v>
      </c>
      <c r="G71" s="70">
        <f t="shared" ref="G71:BR71" si="78">G56</f>
        <v>8640.4290073635511</v>
      </c>
      <c r="H71" s="70">
        <f t="shared" si="78"/>
        <v>20109.73836381239</v>
      </c>
      <c r="I71" s="70">
        <f t="shared" si="78"/>
        <v>43011.56330175692</v>
      </c>
      <c r="J71" s="70">
        <f t="shared" si="78"/>
        <v>84542.160865736136</v>
      </c>
      <c r="K71" s="70">
        <f t="shared" si="78"/>
        <v>152711.66734173146</v>
      </c>
      <c r="L71" s="70">
        <f t="shared" si="78"/>
        <v>253503.01661420055</v>
      </c>
      <c r="M71" s="70">
        <f t="shared" si="78"/>
        <v>341729.39796618692</v>
      </c>
      <c r="N71" s="70">
        <f t="shared" si="78"/>
        <v>452182.26974863233</v>
      </c>
      <c r="O71" s="70">
        <f t="shared" si="78"/>
        <v>520224.0402138498</v>
      </c>
      <c r="P71" s="70">
        <f t="shared" si="78"/>
        <v>0</v>
      </c>
      <c r="Q71" s="70">
        <f t="shared" si="78"/>
        <v>0</v>
      </c>
      <c r="R71" s="70">
        <f t="shared" si="78"/>
        <v>0</v>
      </c>
      <c r="S71" s="70">
        <f t="shared" si="78"/>
        <v>0</v>
      </c>
      <c r="T71" s="70">
        <f t="shared" si="78"/>
        <v>0</v>
      </c>
      <c r="U71" s="70">
        <f t="shared" si="78"/>
        <v>0</v>
      </c>
      <c r="V71" s="70">
        <f t="shared" si="78"/>
        <v>0</v>
      </c>
      <c r="W71" s="70">
        <f t="shared" si="78"/>
        <v>0</v>
      </c>
      <c r="X71" s="70">
        <f t="shared" si="78"/>
        <v>0</v>
      </c>
      <c r="Y71" s="70">
        <f t="shared" si="78"/>
        <v>0</v>
      </c>
      <c r="Z71" s="70">
        <f t="shared" si="78"/>
        <v>0</v>
      </c>
      <c r="AA71" s="70">
        <f t="shared" si="78"/>
        <v>0</v>
      </c>
      <c r="AB71" s="70">
        <f t="shared" si="78"/>
        <v>0</v>
      </c>
      <c r="AC71" s="70">
        <f t="shared" si="78"/>
        <v>0</v>
      </c>
      <c r="AD71" s="70">
        <f t="shared" si="78"/>
        <v>0</v>
      </c>
      <c r="AE71" s="70">
        <f t="shared" si="78"/>
        <v>0</v>
      </c>
      <c r="AF71" s="70">
        <f t="shared" si="78"/>
        <v>0</v>
      </c>
      <c r="AG71" s="70">
        <f t="shared" si="78"/>
        <v>0</v>
      </c>
      <c r="AH71" s="70">
        <f t="shared" si="78"/>
        <v>0</v>
      </c>
      <c r="AI71" s="70">
        <f t="shared" si="78"/>
        <v>0</v>
      </c>
      <c r="AJ71" s="70">
        <f t="shared" si="78"/>
        <v>0</v>
      </c>
      <c r="AK71" s="70">
        <f t="shared" si="78"/>
        <v>0</v>
      </c>
      <c r="AL71" s="70">
        <f t="shared" si="78"/>
        <v>0</v>
      </c>
      <c r="AM71" s="70">
        <f t="shared" si="78"/>
        <v>0</v>
      </c>
      <c r="AN71" s="70">
        <f t="shared" si="78"/>
        <v>0</v>
      </c>
      <c r="AO71" s="70">
        <f t="shared" si="78"/>
        <v>0</v>
      </c>
      <c r="AP71" s="70">
        <f t="shared" si="78"/>
        <v>0</v>
      </c>
      <c r="AQ71" s="70">
        <f t="shared" si="78"/>
        <v>0</v>
      </c>
      <c r="AR71" s="70">
        <f t="shared" si="78"/>
        <v>0</v>
      </c>
      <c r="AS71" s="70">
        <f t="shared" si="78"/>
        <v>0</v>
      </c>
      <c r="AT71" s="70">
        <f t="shared" si="78"/>
        <v>0</v>
      </c>
      <c r="AU71" s="70">
        <f t="shared" si="78"/>
        <v>0</v>
      </c>
      <c r="AV71" s="70">
        <f t="shared" si="78"/>
        <v>0</v>
      </c>
      <c r="AW71" s="70">
        <f t="shared" si="78"/>
        <v>0</v>
      </c>
      <c r="AX71" s="70">
        <f t="shared" si="78"/>
        <v>0</v>
      </c>
      <c r="AY71" s="70">
        <f t="shared" si="78"/>
        <v>0</v>
      </c>
      <c r="AZ71" s="70">
        <f t="shared" si="78"/>
        <v>0</v>
      </c>
      <c r="BA71" s="70">
        <f t="shared" si="78"/>
        <v>0</v>
      </c>
      <c r="BB71" s="70">
        <f t="shared" si="78"/>
        <v>0</v>
      </c>
      <c r="BC71" s="70">
        <f t="shared" si="78"/>
        <v>0</v>
      </c>
      <c r="BD71" s="70">
        <f t="shared" si="78"/>
        <v>0</v>
      </c>
      <c r="BE71" s="70">
        <f t="shared" si="78"/>
        <v>0</v>
      </c>
      <c r="BF71" s="70">
        <f t="shared" si="78"/>
        <v>0</v>
      </c>
      <c r="BG71" s="70">
        <f t="shared" si="78"/>
        <v>0</v>
      </c>
      <c r="BH71" s="70">
        <f t="shared" si="78"/>
        <v>0</v>
      </c>
      <c r="BI71" s="70">
        <f t="shared" si="78"/>
        <v>0</v>
      </c>
      <c r="BJ71" s="70">
        <f t="shared" si="78"/>
        <v>0</v>
      </c>
      <c r="BK71" s="70">
        <f t="shared" si="78"/>
        <v>0</v>
      </c>
      <c r="BL71" s="70">
        <f t="shared" si="78"/>
        <v>0</v>
      </c>
      <c r="BM71" s="70">
        <f t="shared" si="78"/>
        <v>0</v>
      </c>
      <c r="BN71" s="70">
        <f t="shared" si="78"/>
        <v>0</v>
      </c>
      <c r="BO71" s="70">
        <f t="shared" si="78"/>
        <v>0</v>
      </c>
      <c r="BP71" s="70">
        <f t="shared" si="78"/>
        <v>0</v>
      </c>
      <c r="BQ71" s="70">
        <f t="shared" si="78"/>
        <v>0</v>
      </c>
      <c r="BR71" s="70">
        <f t="shared" si="78"/>
        <v>0</v>
      </c>
      <c r="BS71" s="70">
        <f t="shared" ref="BS71:DV71" si="79">BS56</f>
        <v>0</v>
      </c>
      <c r="BT71" s="70">
        <f t="shared" si="79"/>
        <v>0</v>
      </c>
      <c r="BU71" s="70">
        <f t="shared" si="79"/>
        <v>0</v>
      </c>
      <c r="BV71" s="70">
        <f t="shared" si="79"/>
        <v>0</v>
      </c>
      <c r="BW71" s="70">
        <f t="shared" si="79"/>
        <v>0</v>
      </c>
      <c r="BX71" s="70">
        <f t="shared" si="79"/>
        <v>0</v>
      </c>
      <c r="BY71" s="70">
        <f t="shared" si="79"/>
        <v>0</v>
      </c>
      <c r="BZ71" s="70">
        <f t="shared" si="79"/>
        <v>0</v>
      </c>
      <c r="CA71" s="70">
        <f t="shared" si="79"/>
        <v>0</v>
      </c>
      <c r="CB71" s="70">
        <f t="shared" si="79"/>
        <v>0</v>
      </c>
      <c r="CC71" s="70">
        <f t="shared" si="79"/>
        <v>0</v>
      </c>
      <c r="CD71" s="70">
        <f t="shared" si="79"/>
        <v>0</v>
      </c>
      <c r="CE71" s="70">
        <f t="shared" si="79"/>
        <v>0</v>
      </c>
      <c r="CF71" s="70">
        <f t="shared" si="79"/>
        <v>0</v>
      </c>
      <c r="CG71" s="70">
        <f t="shared" si="79"/>
        <v>0</v>
      </c>
      <c r="CH71" s="70">
        <f t="shared" si="79"/>
        <v>0</v>
      </c>
      <c r="CI71" s="70">
        <f t="shared" si="79"/>
        <v>0</v>
      </c>
      <c r="CJ71" s="70">
        <f t="shared" si="79"/>
        <v>0</v>
      </c>
      <c r="CK71" s="70">
        <f t="shared" si="79"/>
        <v>0</v>
      </c>
      <c r="CL71" s="70">
        <f t="shared" si="79"/>
        <v>0</v>
      </c>
      <c r="CM71" s="70">
        <f t="shared" si="79"/>
        <v>0</v>
      </c>
      <c r="CN71" s="70">
        <f t="shared" si="79"/>
        <v>0</v>
      </c>
      <c r="CO71" s="70">
        <f t="shared" si="79"/>
        <v>0</v>
      </c>
      <c r="CP71" s="70">
        <f t="shared" si="79"/>
        <v>0</v>
      </c>
      <c r="CQ71" s="70">
        <f t="shared" si="79"/>
        <v>0</v>
      </c>
      <c r="CR71" s="70">
        <f t="shared" si="79"/>
        <v>0</v>
      </c>
      <c r="CS71" s="70">
        <f t="shared" si="79"/>
        <v>0</v>
      </c>
      <c r="CT71" s="70">
        <f t="shared" si="79"/>
        <v>0</v>
      </c>
      <c r="CU71" s="70">
        <f t="shared" si="79"/>
        <v>0</v>
      </c>
      <c r="CV71" s="70">
        <f t="shared" si="79"/>
        <v>0</v>
      </c>
      <c r="CW71" s="70">
        <f t="shared" si="79"/>
        <v>0</v>
      </c>
      <c r="CX71" s="70">
        <f t="shared" si="79"/>
        <v>0</v>
      </c>
      <c r="CY71" s="70">
        <f t="shared" si="79"/>
        <v>0</v>
      </c>
      <c r="CZ71" s="70">
        <f t="shared" si="79"/>
        <v>0</v>
      </c>
      <c r="DA71" s="70">
        <f t="shared" si="79"/>
        <v>0</v>
      </c>
      <c r="DB71" s="70">
        <f t="shared" si="79"/>
        <v>0</v>
      </c>
      <c r="DC71" s="70">
        <f t="shared" si="79"/>
        <v>0</v>
      </c>
      <c r="DD71" s="70">
        <f t="shared" si="79"/>
        <v>0</v>
      </c>
      <c r="DE71" s="70">
        <f t="shared" si="79"/>
        <v>0</v>
      </c>
      <c r="DF71" s="70">
        <f t="shared" si="79"/>
        <v>0</v>
      </c>
      <c r="DG71" s="70">
        <f t="shared" si="79"/>
        <v>0</v>
      </c>
      <c r="DH71" s="70">
        <f t="shared" si="79"/>
        <v>0</v>
      </c>
      <c r="DI71" s="70">
        <f t="shared" si="79"/>
        <v>0</v>
      </c>
      <c r="DJ71" s="70">
        <f t="shared" si="79"/>
        <v>0</v>
      </c>
      <c r="DK71" s="70">
        <f t="shared" si="79"/>
        <v>0</v>
      </c>
      <c r="DL71" s="70">
        <f t="shared" si="79"/>
        <v>0</v>
      </c>
      <c r="DM71" s="70">
        <f t="shared" si="79"/>
        <v>0</v>
      </c>
      <c r="DN71" s="70">
        <f t="shared" si="79"/>
        <v>0</v>
      </c>
      <c r="DO71" s="70">
        <f t="shared" si="79"/>
        <v>0</v>
      </c>
      <c r="DP71" s="70">
        <f t="shared" si="79"/>
        <v>0</v>
      </c>
      <c r="DQ71" s="70">
        <f t="shared" si="79"/>
        <v>0</v>
      </c>
      <c r="DR71" s="70">
        <f t="shared" si="79"/>
        <v>0</v>
      </c>
      <c r="DS71" s="70">
        <f t="shared" si="79"/>
        <v>0</v>
      </c>
      <c r="DT71" s="70">
        <f t="shared" si="79"/>
        <v>0</v>
      </c>
      <c r="DU71" s="70">
        <f t="shared" si="79"/>
        <v>0</v>
      </c>
      <c r="DV71" s="70">
        <f t="shared" si="79"/>
        <v>0</v>
      </c>
    </row>
    <row r="72" spans="2:126" x14ac:dyDescent="0.3">
      <c r="B72" t="s">
        <v>7</v>
      </c>
      <c r="F72" s="70">
        <f>F47+F62</f>
        <v>0</v>
      </c>
      <c r="G72" s="70">
        <f t="shared" ref="G72:BR72" si="80">G47+G62</f>
        <v>0</v>
      </c>
      <c r="H72" s="70">
        <f t="shared" si="80"/>
        <v>0</v>
      </c>
      <c r="I72" s="70">
        <f t="shared" si="80"/>
        <v>0</v>
      </c>
      <c r="J72" s="70">
        <f t="shared" si="80"/>
        <v>0</v>
      </c>
      <c r="K72" s="70">
        <f t="shared" si="80"/>
        <v>0</v>
      </c>
      <c r="L72" s="70">
        <f t="shared" si="80"/>
        <v>0</v>
      </c>
      <c r="M72" s="70">
        <f t="shared" si="80"/>
        <v>0</v>
      </c>
      <c r="N72" s="70">
        <f t="shared" si="80"/>
        <v>0</v>
      </c>
      <c r="O72" s="70">
        <f t="shared" si="80"/>
        <v>0</v>
      </c>
      <c r="P72" s="70">
        <f t="shared" si="80"/>
        <v>0</v>
      </c>
      <c r="Q72" s="70">
        <f t="shared" si="80"/>
        <v>0</v>
      </c>
      <c r="R72" s="70">
        <f t="shared" si="80"/>
        <v>0</v>
      </c>
      <c r="S72" s="70">
        <f t="shared" si="80"/>
        <v>0</v>
      </c>
      <c r="T72" s="70">
        <f t="shared" si="80"/>
        <v>0</v>
      </c>
      <c r="U72" s="70">
        <f t="shared" si="80"/>
        <v>0</v>
      </c>
      <c r="V72" s="70">
        <f t="shared" si="80"/>
        <v>0</v>
      </c>
      <c r="W72" s="70">
        <f t="shared" si="80"/>
        <v>0</v>
      </c>
      <c r="X72" s="70">
        <f t="shared" si="80"/>
        <v>0</v>
      </c>
      <c r="Y72" s="70">
        <f t="shared" si="80"/>
        <v>0</v>
      </c>
      <c r="Z72" s="70">
        <f t="shared" si="80"/>
        <v>0</v>
      </c>
      <c r="AA72" s="70">
        <f t="shared" si="80"/>
        <v>0</v>
      </c>
      <c r="AB72" s="70">
        <f t="shared" si="80"/>
        <v>0</v>
      </c>
      <c r="AC72" s="70">
        <f t="shared" si="80"/>
        <v>0</v>
      </c>
      <c r="AD72" s="70">
        <f t="shared" si="80"/>
        <v>0</v>
      </c>
      <c r="AE72" s="70">
        <f t="shared" si="80"/>
        <v>0</v>
      </c>
      <c r="AF72" s="70">
        <f t="shared" si="80"/>
        <v>0</v>
      </c>
      <c r="AG72" s="70">
        <f t="shared" si="80"/>
        <v>0</v>
      </c>
      <c r="AH72" s="70">
        <f t="shared" si="80"/>
        <v>0</v>
      </c>
      <c r="AI72" s="70">
        <f t="shared" si="80"/>
        <v>0</v>
      </c>
      <c r="AJ72" s="70">
        <f t="shared" si="80"/>
        <v>35535.578087114991</v>
      </c>
      <c r="AK72" s="70">
        <f t="shared" si="80"/>
        <v>20229.679059110938</v>
      </c>
      <c r="AL72" s="70">
        <f t="shared" si="80"/>
        <v>20229.679059110938</v>
      </c>
      <c r="AM72" s="70">
        <f t="shared" si="80"/>
        <v>20229.679059110938</v>
      </c>
      <c r="AN72" s="70">
        <f t="shared" si="80"/>
        <v>20229.679059110938</v>
      </c>
      <c r="AO72" s="70">
        <f t="shared" si="80"/>
        <v>20229.679059110938</v>
      </c>
      <c r="AP72" s="70">
        <f t="shared" si="80"/>
        <v>20801.766726777289</v>
      </c>
      <c r="AQ72" s="70">
        <f t="shared" si="80"/>
        <v>20801.766726777289</v>
      </c>
      <c r="AR72" s="70">
        <f t="shared" si="80"/>
        <v>20801.766726777289</v>
      </c>
      <c r="AS72" s="70">
        <f t="shared" si="80"/>
        <v>20801.766726777289</v>
      </c>
      <c r="AT72" s="70">
        <f t="shared" si="80"/>
        <v>20801.766726777289</v>
      </c>
      <c r="AU72" s="70">
        <f t="shared" si="80"/>
        <v>20801.766726777289</v>
      </c>
      <c r="AV72" s="70">
        <f t="shared" si="80"/>
        <v>20801.766726777289</v>
      </c>
      <c r="AW72" s="70">
        <f t="shared" si="80"/>
        <v>20801.766726777289</v>
      </c>
      <c r="AX72" s="70">
        <f t="shared" si="80"/>
        <v>20801.766726777289</v>
      </c>
      <c r="AY72" s="70">
        <f t="shared" si="80"/>
        <v>20801.766726777289</v>
      </c>
      <c r="AZ72" s="70">
        <f t="shared" si="80"/>
        <v>20801.766726777289</v>
      </c>
      <c r="BA72" s="70">
        <f t="shared" si="80"/>
        <v>20801.766726777289</v>
      </c>
      <c r="BB72" s="70">
        <f t="shared" si="80"/>
        <v>22940.419756052164</v>
      </c>
      <c r="BC72" s="70">
        <f t="shared" si="80"/>
        <v>22940.419756052164</v>
      </c>
      <c r="BD72" s="70">
        <f t="shared" si="80"/>
        <v>22940.419756052164</v>
      </c>
      <c r="BE72" s="70">
        <f t="shared" si="80"/>
        <v>22940.419756052164</v>
      </c>
      <c r="BF72" s="70">
        <f t="shared" si="80"/>
        <v>22940.419756052164</v>
      </c>
      <c r="BG72" s="70">
        <f t="shared" si="80"/>
        <v>22940.419756052164</v>
      </c>
      <c r="BH72" s="70">
        <f t="shared" si="80"/>
        <v>22940.419756052164</v>
      </c>
      <c r="BI72" s="70">
        <f t="shared" si="80"/>
        <v>13133.953769650032</v>
      </c>
      <c r="BJ72" s="70">
        <f t="shared" si="80"/>
        <v>13133.953769650032</v>
      </c>
      <c r="BK72" s="70">
        <f t="shared" si="80"/>
        <v>13133.953769650032</v>
      </c>
      <c r="BL72" s="70">
        <f t="shared" si="80"/>
        <v>13133.953769650032</v>
      </c>
      <c r="BM72" s="70">
        <f t="shared" si="80"/>
        <v>13133.953769650032</v>
      </c>
      <c r="BN72" s="70">
        <f t="shared" si="80"/>
        <v>15348.546653875792</v>
      </c>
      <c r="BO72" s="70">
        <f t="shared" si="80"/>
        <v>15348.546653875792</v>
      </c>
      <c r="BP72" s="70">
        <f t="shared" si="80"/>
        <v>15348.546653875792</v>
      </c>
      <c r="BQ72" s="70">
        <f t="shared" si="80"/>
        <v>15348.546653875792</v>
      </c>
      <c r="BR72" s="70">
        <f t="shared" si="80"/>
        <v>15348.546653875792</v>
      </c>
      <c r="BS72" s="70">
        <f t="shared" ref="BS72:DV72" si="81">BS47+BS62</f>
        <v>15348.546653875792</v>
      </c>
      <c r="BT72" s="70">
        <f t="shared" si="81"/>
        <v>15348.546653875792</v>
      </c>
      <c r="BU72" s="70">
        <f t="shared" si="81"/>
        <v>15348.546653875792</v>
      </c>
      <c r="BV72" s="70">
        <f t="shared" si="81"/>
        <v>15348.546653875792</v>
      </c>
      <c r="BW72" s="70">
        <f t="shared" si="81"/>
        <v>15348.546653875792</v>
      </c>
      <c r="BX72" s="70">
        <f t="shared" si="81"/>
        <v>15348.546653875792</v>
      </c>
      <c r="BY72" s="70">
        <f t="shared" si="81"/>
        <v>15348.546653875792</v>
      </c>
      <c r="BZ72" s="70">
        <f t="shared" si="81"/>
        <v>17641.593193982382</v>
      </c>
      <c r="CA72" s="70">
        <f t="shared" si="81"/>
        <v>17641.593193982382</v>
      </c>
      <c r="CB72" s="70">
        <f t="shared" si="81"/>
        <v>17641.593193982382</v>
      </c>
      <c r="CC72" s="70">
        <f t="shared" si="81"/>
        <v>17641.593193982382</v>
      </c>
      <c r="CD72" s="70">
        <f t="shared" si="81"/>
        <v>17641.593193982382</v>
      </c>
      <c r="CE72" s="70">
        <f t="shared" si="81"/>
        <v>17641.593193982382</v>
      </c>
      <c r="CF72" s="70">
        <f t="shared" si="81"/>
        <v>17641.593193982382</v>
      </c>
      <c r="CG72" s="70">
        <f t="shared" si="81"/>
        <v>17641.593193982382</v>
      </c>
      <c r="CH72" s="70">
        <f t="shared" si="81"/>
        <v>17641.593193982382</v>
      </c>
      <c r="CI72" s="70">
        <f t="shared" si="81"/>
        <v>17641.593193982382</v>
      </c>
      <c r="CJ72" s="70">
        <f t="shared" si="81"/>
        <v>17641.593193982382</v>
      </c>
      <c r="CK72" s="70">
        <f t="shared" si="81"/>
        <v>17641.593193982382</v>
      </c>
      <c r="CL72" s="70">
        <f t="shared" si="81"/>
        <v>20015.687317033364</v>
      </c>
      <c r="CM72" s="70">
        <f t="shared" si="81"/>
        <v>20015.687317033364</v>
      </c>
      <c r="CN72" s="70">
        <f t="shared" si="81"/>
        <v>20015.687317033364</v>
      </c>
      <c r="CO72" s="70">
        <f t="shared" si="81"/>
        <v>20015.687317033364</v>
      </c>
      <c r="CP72" s="70">
        <f t="shared" si="81"/>
        <v>20015.687317033364</v>
      </c>
      <c r="CQ72" s="70">
        <f t="shared" si="81"/>
        <v>20015.687317033364</v>
      </c>
      <c r="CR72" s="70">
        <f t="shared" si="81"/>
        <v>20015.687317033364</v>
      </c>
      <c r="CS72" s="70">
        <f t="shared" si="81"/>
        <v>20015.687317033364</v>
      </c>
      <c r="CT72" s="70">
        <f t="shared" si="81"/>
        <v>20015.687317033364</v>
      </c>
      <c r="CU72" s="70">
        <f t="shared" si="81"/>
        <v>20015.687317033364</v>
      </c>
      <c r="CV72" s="70">
        <f t="shared" si="81"/>
        <v>20015.687317033364</v>
      </c>
      <c r="CW72" s="70">
        <f t="shared" si="81"/>
        <v>20015.687317033364</v>
      </c>
      <c r="CX72" s="70">
        <f t="shared" si="81"/>
        <v>22473.505574251805</v>
      </c>
      <c r="CY72" s="70">
        <f t="shared" si="81"/>
        <v>22473.505574251805</v>
      </c>
      <c r="CZ72" s="70">
        <f t="shared" si="81"/>
        <v>22473.505574251805</v>
      </c>
      <c r="DA72" s="70">
        <f t="shared" si="81"/>
        <v>22473.505574251805</v>
      </c>
      <c r="DB72" s="70">
        <f t="shared" si="81"/>
        <v>22473.505574251805</v>
      </c>
      <c r="DC72" s="70">
        <f t="shared" si="81"/>
        <v>22473.505574251805</v>
      </c>
      <c r="DD72" s="70">
        <f t="shared" si="81"/>
        <v>22473.505574251805</v>
      </c>
      <c r="DE72" s="70">
        <f t="shared" si="81"/>
        <v>22473.505574251805</v>
      </c>
      <c r="DF72" s="70">
        <f t="shared" si="81"/>
        <v>22473.505574251805</v>
      </c>
      <c r="DG72" s="70">
        <f t="shared" si="81"/>
        <v>22473.505574251805</v>
      </c>
      <c r="DH72" s="70">
        <f t="shared" si="81"/>
        <v>22473.505574251805</v>
      </c>
      <c r="DI72" s="70">
        <f t="shared" si="81"/>
        <v>22473.505574251805</v>
      </c>
      <c r="DJ72" s="70">
        <f t="shared" si="81"/>
        <v>25017.809715872379</v>
      </c>
      <c r="DK72" s="70">
        <f t="shared" si="81"/>
        <v>25017.809715872379</v>
      </c>
      <c r="DL72" s="70">
        <f t="shared" si="81"/>
        <v>25017.809715872379</v>
      </c>
      <c r="DM72" s="70">
        <f t="shared" si="81"/>
        <v>25017.809715872379</v>
      </c>
      <c r="DN72" s="70">
        <f t="shared" si="81"/>
        <v>25017.809715872379</v>
      </c>
      <c r="DO72" s="70">
        <f t="shared" si="81"/>
        <v>25017.809715872379</v>
      </c>
      <c r="DP72" s="70">
        <f t="shared" si="81"/>
        <v>25017.809715872379</v>
      </c>
      <c r="DQ72" s="70">
        <f t="shared" si="81"/>
        <v>25017.809715872379</v>
      </c>
      <c r="DR72" s="70">
        <f t="shared" si="81"/>
        <v>25017.809715872379</v>
      </c>
      <c r="DS72" s="70">
        <f t="shared" si="81"/>
        <v>25017.809715872379</v>
      </c>
      <c r="DT72" s="70">
        <f t="shared" si="81"/>
        <v>25017.809715872379</v>
      </c>
      <c r="DU72" s="70">
        <f t="shared" si="81"/>
        <v>25017.809715872379</v>
      </c>
      <c r="DV72" s="70">
        <f t="shared" si="81"/>
        <v>7155091.6033200491</v>
      </c>
    </row>
    <row r="73" spans="2:126" x14ac:dyDescent="0.3">
      <c r="B73" t="str">
        <f>"Distributions to LP "&amp;B67</f>
        <v>Distributions to LP Hurdle 3</v>
      </c>
      <c r="F73" s="70">
        <f>MIN(F69+F70-F72,F65*$I$12)</f>
        <v>0</v>
      </c>
      <c r="G73" s="70">
        <f t="shared" ref="G73:BR73" si="82">MIN(G69+G70-G72,G65*$I$12)</f>
        <v>0</v>
      </c>
      <c r="H73" s="70">
        <f t="shared" si="82"/>
        <v>0</v>
      </c>
      <c r="I73" s="70">
        <f t="shared" si="82"/>
        <v>0</v>
      </c>
      <c r="J73" s="70">
        <f t="shared" si="82"/>
        <v>0</v>
      </c>
      <c r="K73" s="70">
        <f t="shared" si="82"/>
        <v>0</v>
      </c>
      <c r="L73" s="70">
        <f t="shared" si="82"/>
        <v>0</v>
      </c>
      <c r="M73" s="70">
        <f t="shared" si="82"/>
        <v>0</v>
      </c>
      <c r="N73" s="70">
        <f t="shared" si="82"/>
        <v>0</v>
      </c>
      <c r="O73" s="70">
        <f t="shared" si="82"/>
        <v>0</v>
      </c>
      <c r="P73" s="70">
        <f t="shared" si="82"/>
        <v>0</v>
      </c>
      <c r="Q73" s="70">
        <f t="shared" si="82"/>
        <v>0</v>
      </c>
      <c r="R73" s="70">
        <f t="shared" si="82"/>
        <v>0</v>
      </c>
      <c r="S73" s="70">
        <f t="shared" si="82"/>
        <v>0</v>
      </c>
      <c r="T73" s="70">
        <f t="shared" si="82"/>
        <v>0</v>
      </c>
      <c r="U73" s="70">
        <f t="shared" si="82"/>
        <v>0</v>
      </c>
      <c r="V73" s="70">
        <f t="shared" si="82"/>
        <v>0</v>
      </c>
      <c r="W73" s="70">
        <f t="shared" si="82"/>
        <v>0</v>
      </c>
      <c r="X73" s="70">
        <f t="shared" si="82"/>
        <v>0</v>
      </c>
      <c r="Y73" s="70">
        <f t="shared" si="82"/>
        <v>0</v>
      </c>
      <c r="Z73" s="70">
        <f t="shared" si="82"/>
        <v>0</v>
      </c>
      <c r="AA73" s="70">
        <f t="shared" si="82"/>
        <v>0</v>
      </c>
      <c r="AB73" s="70">
        <f t="shared" si="82"/>
        <v>0</v>
      </c>
      <c r="AC73" s="70">
        <f t="shared" si="82"/>
        <v>0</v>
      </c>
      <c r="AD73" s="70">
        <f t="shared" si="82"/>
        <v>0</v>
      </c>
      <c r="AE73" s="70">
        <f t="shared" si="82"/>
        <v>0</v>
      </c>
      <c r="AF73" s="70">
        <f t="shared" si="82"/>
        <v>0</v>
      </c>
      <c r="AG73" s="70">
        <f t="shared" si="82"/>
        <v>0</v>
      </c>
      <c r="AH73" s="70">
        <f t="shared" si="82"/>
        <v>0</v>
      </c>
      <c r="AI73" s="70">
        <f t="shared" si="82"/>
        <v>0</v>
      </c>
      <c r="AJ73" s="70">
        <f t="shared" si="82"/>
        <v>0</v>
      </c>
      <c r="AK73" s="70">
        <f t="shared" si="82"/>
        <v>0</v>
      </c>
      <c r="AL73" s="70">
        <f t="shared" si="82"/>
        <v>0</v>
      </c>
      <c r="AM73" s="70">
        <f t="shared" si="82"/>
        <v>0</v>
      </c>
      <c r="AN73" s="70">
        <f t="shared" si="82"/>
        <v>0</v>
      </c>
      <c r="AO73" s="70">
        <f t="shared" si="82"/>
        <v>0</v>
      </c>
      <c r="AP73" s="70">
        <f t="shared" si="82"/>
        <v>0</v>
      </c>
      <c r="AQ73" s="70">
        <f t="shared" si="82"/>
        <v>0</v>
      </c>
      <c r="AR73" s="70">
        <f t="shared" si="82"/>
        <v>0</v>
      </c>
      <c r="AS73" s="70">
        <f t="shared" si="82"/>
        <v>0</v>
      </c>
      <c r="AT73" s="70">
        <f t="shared" si="82"/>
        <v>0</v>
      </c>
      <c r="AU73" s="70">
        <f t="shared" si="82"/>
        <v>0</v>
      </c>
      <c r="AV73" s="70">
        <f t="shared" si="82"/>
        <v>0</v>
      </c>
      <c r="AW73" s="70">
        <f t="shared" si="82"/>
        <v>0</v>
      </c>
      <c r="AX73" s="70">
        <f t="shared" si="82"/>
        <v>0</v>
      </c>
      <c r="AY73" s="70">
        <f t="shared" si="82"/>
        <v>0</v>
      </c>
      <c r="AZ73" s="70">
        <f t="shared" si="82"/>
        <v>0</v>
      </c>
      <c r="BA73" s="70">
        <f t="shared" si="82"/>
        <v>0</v>
      </c>
      <c r="BB73" s="70">
        <f t="shared" si="82"/>
        <v>0</v>
      </c>
      <c r="BC73" s="70">
        <f t="shared" si="82"/>
        <v>0</v>
      </c>
      <c r="BD73" s="70">
        <f t="shared" si="82"/>
        <v>0</v>
      </c>
      <c r="BE73" s="70">
        <f t="shared" si="82"/>
        <v>0</v>
      </c>
      <c r="BF73" s="70">
        <f t="shared" si="82"/>
        <v>0</v>
      </c>
      <c r="BG73" s="70">
        <f t="shared" si="82"/>
        <v>0</v>
      </c>
      <c r="BH73" s="70">
        <f t="shared" si="82"/>
        <v>0</v>
      </c>
      <c r="BI73" s="70">
        <f t="shared" si="82"/>
        <v>0</v>
      </c>
      <c r="BJ73" s="70">
        <f t="shared" si="82"/>
        <v>0</v>
      </c>
      <c r="BK73" s="70">
        <f t="shared" si="82"/>
        <v>0</v>
      </c>
      <c r="BL73" s="70">
        <f t="shared" si="82"/>
        <v>0</v>
      </c>
      <c r="BM73" s="70">
        <f t="shared" si="82"/>
        <v>0</v>
      </c>
      <c r="BN73" s="70">
        <f t="shared" si="82"/>
        <v>0</v>
      </c>
      <c r="BO73" s="70">
        <f t="shared" si="82"/>
        <v>0</v>
      </c>
      <c r="BP73" s="70">
        <f t="shared" si="82"/>
        <v>0</v>
      </c>
      <c r="BQ73" s="70">
        <f t="shared" si="82"/>
        <v>0</v>
      </c>
      <c r="BR73" s="70">
        <f t="shared" si="82"/>
        <v>0</v>
      </c>
      <c r="BS73" s="70">
        <f t="shared" ref="BS73:DV73" si="83">MIN(BS69+BS70-BS72,BS65*$I$12)</f>
        <v>0</v>
      </c>
      <c r="BT73" s="70">
        <f t="shared" si="83"/>
        <v>0</v>
      </c>
      <c r="BU73" s="70">
        <f t="shared" si="83"/>
        <v>0</v>
      </c>
      <c r="BV73" s="70">
        <f t="shared" si="83"/>
        <v>0</v>
      </c>
      <c r="BW73" s="70">
        <f t="shared" si="83"/>
        <v>0</v>
      </c>
      <c r="BX73" s="70">
        <f t="shared" si="83"/>
        <v>0</v>
      </c>
      <c r="BY73" s="70">
        <f t="shared" si="83"/>
        <v>0</v>
      </c>
      <c r="BZ73" s="70">
        <f t="shared" si="83"/>
        <v>0</v>
      </c>
      <c r="CA73" s="70">
        <f t="shared" si="83"/>
        <v>0</v>
      </c>
      <c r="CB73" s="70">
        <f t="shared" si="83"/>
        <v>0</v>
      </c>
      <c r="CC73" s="70">
        <f t="shared" si="83"/>
        <v>0</v>
      </c>
      <c r="CD73" s="70">
        <f t="shared" si="83"/>
        <v>0</v>
      </c>
      <c r="CE73" s="70">
        <f t="shared" si="83"/>
        <v>0</v>
      </c>
      <c r="CF73" s="70">
        <f t="shared" si="83"/>
        <v>0</v>
      </c>
      <c r="CG73" s="70">
        <f t="shared" si="83"/>
        <v>0</v>
      </c>
      <c r="CH73" s="70">
        <f t="shared" si="83"/>
        <v>0</v>
      </c>
      <c r="CI73" s="70">
        <f t="shared" si="83"/>
        <v>0</v>
      </c>
      <c r="CJ73" s="70">
        <f t="shared" si="83"/>
        <v>0</v>
      </c>
      <c r="CK73" s="70">
        <f t="shared" si="83"/>
        <v>0</v>
      </c>
      <c r="CL73" s="70">
        <f t="shared" si="83"/>
        <v>0</v>
      </c>
      <c r="CM73" s="70">
        <f t="shared" si="83"/>
        <v>0</v>
      </c>
      <c r="CN73" s="70">
        <f t="shared" si="83"/>
        <v>0</v>
      </c>
      <c r="CO73" s="70">
        <f t="shared" si="83"/>
        <v>0</v>
      </c>
      <c r="CP73" s="70">
        <f t="shared" si="83"/>
        <v>0</v>
      </c>
      <c r="CQ73" s="70">
        <f t="shared" si="83"/>
        <v>0</v>
      </c>
      <c r="CR73" s="70">
        <f t="shared" si="83"/>
        <v>0</v>
      </c>
      <c r="CS73" s="70">
        <f t="shared" si="83"/>
        <v>0</v>
      </c>
      <c r="CT73" s="70">
        <f t="shared" si="83"/>
        <v>0</v>
      </c>
      <c r="CU73" s="70">
        <f t="shared" si="83"/>
        <v>0</v>
      </c>
      <c r="CV73" s="70">
        <f t="shared" si="83"/>
        <v>0</v>
      </c>
      <c r="CW73" s="70">
        <f t="shared" si="83"/>
        <v>0</v>
      </c>
      <c r="CX73" s="70">
        <f t="shared" si="83"/>
        <v>0</v>
      </c>
      <c r="CY73" s="70">
        <f t="shared" si="83"/>
        <v>0</v>
      </c>
      <c r="CZ73" s="70">
        <f t="shared" si="83"/>
        <v>0</v>
      </c>
      <c r="DA73" s="70">
        <f t="shared" si="83"/>
        <v>0</v>
      </c>
      <c r="DB73" s="70">
        <f t="shared" si="83"/>
        <v>0</v>
      </c>
      <c r="DC73" s="70">
        <f t="shared" si="83"/>
        <v>0</v>
      </c>
      <c r="DD73" s="70">
        <f t="shared" si="83"/>
        <v>0</v>
      </c>
      <c r="DE73" s="70">
        <f t="shared" si="83"/>
        <v>0</v>
      </c>
      <c r="DF73" s="70">
        <f t="shared" si="83"/>
        <v>0</v>
      </c>
      <c r="DG73" s="70">
        <f t="shared" si="83"/>
        <v>0</v>
      </c>
      <c r="DH73" s="70">
        <f t="shared" si="83"/>
        <v>0</v>
      </c>
      <c r="DI73" s="70">
        <f t="shared" si="83"/>
        <v>0</v>
      </c>
      <c r="DJ73" s="70">
        <f t="shared" si="83"/>
        <v>0</v>
      </c>
      <c r="DK73" s="70">
        <f t="shared" si="83"/>
        <v>0</v>
      </c>
      <c r="DL73" s="70">
        <f t="shared" si="83"/>
        <v>0</v>
      </c>
      <c r="DM73" s="70">
        <f t="shared" si="83"/>
        <v>0</v>
      </c>
      <c r="DN73" s="70">
        <f t="shared" si="83"/>
        <v>0</v>
      </c>
      <c r="DO73" s="70">
        <f t="shared" si="83"/>
        <v>0</v>
      </c>
      <c r="DP73" s="70">
        <f t="shared" si="83"/>
        <v>0</v>
      </c>
      <c r="DQ73" s="70">
        <f t="shared" si="83"/>
        <v>0</v>
      </c>
      <c r="DR73" s="70">
        <f t="shared" si="83"/>
        <v>0</v>
      </c>
      <c r="DS73" s="70">
        <f t="shared" si="83"/>
        <v>0</v>
      </c>
      <c r="DT73" s="70">
        <f t="shared" si="83"/>
        <v>0</v>
      </c>
      <c r="DU73" s="70">
        <f t="shared" si="83"/>
        <v>0</v>
      </c>
      <c r="DV73" s="70">
        <f t="shared" si="83"/>
        <v>790417.38727236923</v>
      </c>
    </row>
    <row r="74" spans="2:126" x14ac:dyDescent="0.3">
      <c r="B74" t="s">
        <v>6</v>
      </c>
      <c r="F74" s="70">
        <f>F69+F70+F71-F72-F73</f>
        <v>1723311.6942992047</v>
      </c>
      <c r="G74" s="70">
        <f t="shared" ref="G74:BR74" si="84">G69+G70+G71-G72-G73</f>
        <v>1750872.1072622817</v>
      </c>
      <c r="H74" s="70">
        <f t="shared" si="84"/>
        <v>1790204.411275415</v>
      </c>
      <c r="I74" s="70">
        <f t="shared" si="84"/>
        <v>1852870.3637691122</v>
      </c>
      <c r="J74" s="70">
        <f t="shared" si="84"/>
        <v>1957754.9140415334</v>
      </c>
      <c r="K74" s="70">
        <f t="shared" si="84"/>
        <v>2131960.4827392511</v>
      </c>
      <c r="L74" s="70">
        <f t="shared" si="84"/>
        <v>2408869.9778570663</v>
      </c>
      <c r="M74" s="70">
        <f t="shared" si="84"/>
        <v>2777046.0026773638</v>
      </c>
      <c r="N74" s="70">
        <f t="shared" si="84"/>
        <v>3259717.0493482118</v>
      </c>
      <c r="O74" s="70">
        <f t="shared" si="84"/>
        <v>3815729.0404463122</v>
      </c>
      <c r="P74" s="70">
        <f t="shared" si="84"/>
        <v>3857621.3646633495</v>
      </c>
      <c r="Q74" s="70">
        <f t="shared" si="84"/>
        <v>3899973.6185058146</v>
      </c>
      <c r="R74" s="70">
        <f t="shared" si="84"/>
        <v>3942790.851472972</v>
      </c>
      <c r="S74" s="70">
        <f t="shared" si="84"/>
        <v>3986078.168501792</v>
      </c>
      <c r="T74" s="70">
        <f t="shared" si="84"/>
        <v>4029840.7305755918</v>
      </c>
      <c r="U74" s="70">
        <f t="shared" si="84"/>
        <v>4074083.7553393599</v>
      </c>
      <c r="V74" s="70">
        <f t="shared" si="84"/>
        <v>4118812.5177218374</v>
      </c>
      <c r="W74" s="70">
        <f t="shared" si="84"/>
        <v>4164032.3505644267</v>
      </c>
      <c r="X74" s="70">
        <f t="shared" si="84"/>
        <v>4209748.6452570064</v>
      </c>
      <c r="Y74" s="70">
        <f t="shared" si="84"/>
        <v>4255966.8523807265</v>
      </c>
      <c r="Z74" s="70">
        <f t="shared" si="84"/>
        <v>4302692.4823578605</v>
      </c>
      <c r="AA74" s="70">
        <f t="shared" si="84"/>
        <v>4349931.1061087921</v>
      </c>
      <c r="AB74" s="70">
        <f t="shared" si="84"/>
        <v>4397688.3557162145</v>
      </c>
      <c r="AC74" s="70">
        <f t="shared" si="84"/>
        <v>4445969.9250966245</v>
      </c>
      <c r="AD74" s="70">
        <f t="shared" si="84"/>
        <v>4494781.570679184</v>
      </c>
      <c r="AE74" s="70">
        <f t="shared" si="84"/>
        <v>4544129.1120920386</v>
      </c>
      <c r="AF74" s="70">
        <f t="shared" si="84"/>
        <v>4594018.4328561705</v>
      </c>
      <c r="AG74" s="70">
        <f t="shared" si="84"/>
        <v>4644455.481086866</v>
      </c>
      <c r="AH74" s="70">
        <f t="shared" si="84"/>
        <v>4695446.27020289</v>
      </c>
      <c r="AI74" s="70">
        <f t="shared" si="84"/>
        <v>4746996.8796434421</v>
      </c>
      <c r="AJ74" s="70">
        <f t="shared" si="84"/>
        <v>4763577.8775058677</v>
      </c>
      <c r="AK74" s="70">
        <f t="shared" si="84"/>
        <v>4795646.8147170153</v>
      </c>
      <c r="AL74" s="70">
        <f t="shared" si="84"/>
        <v>4828067.832042004</v>
      </c>
      <c r="AM74" s="70">
        <f t="shared" si="84"/>
        <v>4860844.7949162778</v>
      </c>
      <c r="AN74" s="70">
        <f t="shared" si="84"/>
        <v>4893981.6112133246</v>
      </c>
      <c r="AO74" s="70">
        <f t="shared" si="84"/>
        <v>4927482.231710596</v>
      </c>
      <c r="AP74" s="70">
        <f t="shared" si="84"/>
        <v>4960778.5628928803</v>
      </c>
      <c r="AQ74" s="70">
        <f t="shared" si="84"/>
        <v>4994440.4495656984</v>
      </c>
      <c r="AR74" s="70">
        <f t="shared" si="84"/>
        <v>5028471.9051086614</v>
      </c>
      <c r="AS74" s="70">
        <f t="shared" si="84"/>
        <v>5062876.9869636791</v>
      </c>
      <c r="AT74" s="70">
        <f t="shared" si="84"/>
        <v>5097659.7971187169</v>
      </c>
      <c r="AU74" s="70">
        <f t="shared" si="84"/>
        <v>5132824.4825968575</v>
      </c>
      <c r="AV74" s="70">
        <f t="shared" si="84"/>
        <v>5168375.2359507373</v>
      </c>
      <c r="AW74" s="70">
        <f t="shared" si="84"/>
        <v>5204316.2957624067</v>
      </c>
      <c r="AX74" s="70">
        <f t="shared" si="84"/>
        <v>5240651.9471486807</v>
      </c>
      <c r="AY74" s="70">
        <f t="shared" si="84"/>
        <v>5277386.5222720373</v>
      </c>
      <c r="AZ74" s="70">
        <f t="shared" si="84"/>
        <v>5314524.4008571254</v>
      </c>
      <c r="BA74" s="70">
        <f t="shared" si="84"/>
        <v>5352070.010712943</v>
      </c>
      <c r="BB74" s="70">
        <f t="shared" si="84"/>
        <v>5387889.1752314717</v>
      </c>
      <c r="BC74" s="70">
        <f t="shared" si="84"/>
        <v>5424101.5930542285</v>
      </c>
      <c r="BD74" s="70">
        <f t="shared" si="84"/>
        <v>5460711.5816510189</v>
      </c>
      <c r="BE74" s="70">
        <f t="shared" si="84"/>
        <v>5497723.5058925105</v>
      </c>
      <c r="BF74" s="70">
        <f t="shared" si="84"/>
        <v>5535141.7785706408</v>
      </c>
      <c r="BG74" s="70">
        <f t="shared" si="84"/>
        <v>5572970.8609247357</v>
      </c>
      <c r="BH74" s="70">
        <f t="shared" si="84"/>
        <v>5611215.2631734069</v>
      </c>
      <c r="BI74" s="70">
        <f t="shared" si="84"/>
        <v>5659686.0110386908</v>
      </c>
      <c r="BJ74" s="70">
        <f t="shared" si="84"/>
        <v>5708688.9120687023</v>
      </c>
      <c r="BK74" s="70">
        <f t="shared" si="84"/>
        <v>5758229.8086942509</v>
      </c>
      <c r="BL74" s="70">
        <f t="shared" si="84"/>
        <v>5808314.6074893307</v>
      </c>
      <c r="BM74" s="70">
        <f t="shared" si="84"/>
        <v>5858949.2798753353</v>
      </c>
      <c r="BN74" s="70">
        <f t="shared" si="84"/>
        <v>5907925.2699487861</v>
      </c>
      <c r="BO74" s="70">
        <f t="shared" si="84"/>
        <v>5957438.9601663658</v>
      </c>
      <c r="BP74" s="70">
        <f t="shared" si="84"/>
        <v>6007496.2538583511</v>
      </c>
      <c r="BQ74" s="70">
        <f t="shared" si="84"/>
        <v>6058103.1191668073</v>
      </c>
      <c r="BR74" s="70">
        <f t="shared" si="84"/>
        <v>6109265.5897571472</v>
      </c>
      <c r="BS74" s="70">
        <f t="shared" ref="BS74:DV74" si="85">BS69+BS70+BS71-BS72-BS73</f>
        <v>6160989.7655375041</v>
      </c>
      <c r="BT74" s="70">
        <f t="shared" si="85"/>
        <v>6213281.8133859979</v>
      </c>
      <c r="BU74" s="70">
        <f t="shared" si="85"/>
        <v>6266147.9678859916</v>
      </c>
      <c r="BV74" s="70">
        <f t="shared" si="85"/>
        <v>6319594.5320694158</v>
      </c>
      <c r="BW74" s="70">
        <f t="shared" si="85"/>
        <v>6373627.8781682551</v>
      </c>
      <c r="BX74" s="70">
        <f t="shared" si="85"/>
        <v>6428254.4483742863</v>
      </c>
      <c r="BY74" s="70">
        <f t="shared" si="85"/>
        <v>6483480.7556071552</v>
      </c>
      <c r="BZ74" s="70">
        <f t="shared" si="85"/>
        <v>6537020.3377507823</v>
      </c>
      <c r="CA74" s="70">
        <f t="shared" si="85"/>
        <v>6591147.723040238</v>
      </c>
      <c r="CB74" s="70">
        <f t="shared" si="85"/>
        <v>6645869.3648792366</v>
      </c>
      <c r="CC74" s="70">
        <f t="shared" si="85"/>
        <v>6701191.7875224566</v>
      </c>
      <c r="CD74" s="70">
        <f t="shared" si="85"/>
        <v>6757121.5868534008</v>
      </c>
      <c r="CE74" s="70">
        <f t="shared" si="85"/>
        <v>6813665.4311708026</v>
      </c>
      <c r="CF74" s="70">
        <f t="shared" si="85"/>
        <v>6870830.0619836589</v>
      </c>
      <c r="CG74" s="70">
        <f t="shared" si="85"/>
        <v>6928622.2948149955</v>
      </c>
      <c r="CH74" s="70">
        <f t="shared" si="85"/>
        <v>6987049.0200144574</v>
      </c>
      <c r="CI74" s="70">
        <f t="shared" si="85"/>
        <v>7046117.2035798179</v>
      </c>
      <c r="CJ74" s="70">
        <f t="shared" si="85"/>
        <v>7105833.8879875084</v>
      </c>
      <c r="CK74" s="70">
        <f t="shared" si="85"/>
        <v>7166206.1930322656</v>
      </c>
      <c r="CL74" s="70">
        <f t="shared" si="85"/>
        <v>7224867.2225529496</v>
      </c>
      <c r="CM74" s="70">
        <f t="shared" si="85"/>
        <v>7284172.2828319864</v>
      </c>
      <c r="CN74" s="70">
        <f t="shared" si="85"/>
        <v>7344128.4445877224</v>
      </c>
      <c r="CO74" s="70">
        <f t="shared" si="85"/>
        <v>7404742.856166875</v>
      </c>
      <c r="CP74" s="70">
        <f t="shared" si="85"/>
        <v>7466022.744396802</v>
      </c>
      <c r="CQ74" s="70">
        <f t="shared" si="85"/>
        <v>7527975.4154471289</v>
      </c>
      <c r="CR74" s="70">
        <f t="shared" si="85"/>
        <v>7590608.255700835</v>
      </c>
      <c r="CS74" s="70">
        <f t="shared" si="85"/>
        <v>7653928.7326349057</v>
      </c>
      <c r="CT74" s="70">
        <f t="shared" si="85"/>
        <v>7717944.3957106499</v>
      </c>
      <c r="CU74" s="70">
        <f t="shared" si="85"/>
        <v>7782662.8772737952</v>
      </c>
      <c r="CV74" s="70">
        <f t="shared" si="85"/>
        <v>7848091.8934644619</v>
      </c>
      <c r="CW74" s="70">
        <f t="shared" si="85"/>
        <v>7914239.2451371318</v>
      </c>
      <c r="CX74" s="70">
        <f t="shared" si="85"/>
        <v>7978655.0005334932</v>
      </c>
      <c r="CY74" s="70">
        <f t="shared" si="85"/>
        <v>8043777.9669716097</v>
      </c>
      <c r="CZ74" s="70">
        <f t="shared" si="85"/>
        <v>8109615.908816807</v>
      </c>
      <c r="DA74" s="70">
        <f t="shared" si="85"/>
        <v>8176176.6756782262</v>
      </c>
      <c r="DB74" s="70">
        <f t="shared" si="85"/>
        <v>8243468.2033447074</v>
      </c>
      <c r="DC74" s="70">
        <f t="shared" si="85"/>
        <v>8311498.5147309396</v>
      </c>
      <c r="DD74" s="70">
        <f t="shared" si="85"/>
        <v>8380275.7208340066</v>
      </c>
      <c r="DE74" s="70">
        <f t="shared" si="85"/>
        <v>8449808.0217004232</v>
      </c>
      <c r="DF74" s="70">
        <f t="shared" si="85"/>
        <v>8520103.707403807</v>
      </c>
      <c r="DG74" s="70">
        <f t="shared" si="85"/>
        <v>8591171.159033265</v>
      </c>
      <c r="DH74" s="70">
        <f t="shared" si="85"/>
        <v>8663018.849692639</v>
      </c>
      <c r="DI74" s="70">
        <f t="shared" si="85"/>
        <v>8735655.3455107231</v>
      </c>
      <c r="DJ74" s="70">
        <f t="shared" si="85"/>
        <v>8806545.0025209542</v>
      </c>
      <c r="DK74" s="70">
        <f t="shared" si="85"/>
        <v>8878212.9465802982</v>
      </c>
      <c r="DL74" s="70">
        <f t="shared" si="85"/>
        <v>8950667.7223870438</v>
      </c>
      <c r="DM74" s="70">
        <f t="shared" si="85"/>
        <v>9023917.968450455</v>
      </c>
      <c r="DN74" s="70">
        <f t="shared" si="85"/>
        <v>9097972.4181207102</v>
      </c>
      <c r="DO74" s="70">
        <f t="shared" si="85"/>
        <v>9172839.9006301463</v>
      </c>
      <c r="DP74" s="70">
        <f t="shared" si="85"/>
        <v>9248529.3421459366</v>
      </c>
      <c r="DQ74" s="70">
        <f t="shared" si="85"/>
        <v>9325049.7668343186</v>
      </c>
      <c r="DR74" s="70">
        <f t="shared" si="85"/>
        <v>9402410.2979365196</v>
      </c>
      <c r="DS74" s="70">
        <f t="shared" si="85"/>
        <v>9480620.1588564776</v>
      </c>
      <c r="DT74" s="70">
        <f t="shared" si="85"/>
        <v>9559688.6742605194</v>
      </c>
      <c r="DU74" s="70">
        <f t="shared" si="85"/>
        <v>9639625.2711891029</v>
      </c>
      <c r="DV74" s="70">
        <f t="shared" si="85"/>
        <v>1799948.2993042208</v>
      </c>
    </row>
    <row r="75" spans="2:126" x14ac:dyDescent="0.3">
      <c r="B75" s="71">
        <f>C68</f>
        <v>0.14000000000000001</v>
      </c>
      <c r="E75" s="65">
        <f>XIRR(F75:DV75,$F$15:$DV$15)</f>
        <v>0.11986599564552305</v>
      </c>
      <c r="F75" s="70">
        <f>-F71+F72+F73</f>
        <v>-1723311.6942992047</v>
      </c>
      <c r="G75" s="70">
        <f t="shared" ref="G75:BR75" si="86">-G71+G72+G73</f>
        <v>-8640.4290073635511</v>
      </c>
      <c r="H75" s="70">
        <f t="shared" si="86"/>
        <v>-20109.73836381239</v>
      </c>
      <c r="I75" s="70">
        <f t="shared" si="86"/>
        <v>-43011.56330175692</v>
      </c>
      <c r="J75" s="70">
        <f t="shared" si="86"/>
        <v>-84542.160865736136</v>
      </c>
      <c r="K75" s="70">
        <f t="shared" si="86"/>
        <v>-152711.66734173146</v>
      </c>
      <c r="L75" s="70">
        <f t="shared" si="86"/>
        <v>-253503.01661420055</v>
      </c>
      <c r="M75" s="70">
        <f t="shared" si="86"/>
        <v>-341729.39796618692</v>
      </c>
      <c r="N75" s="70">
        <f t="shared" si="86"/>
        <v>-452182.26974863233</v>
      </c>
      <c r="O75" s="70">
        <f t="shared" si="86"/>
        <v>-520224.0402138498</v>
      </c>
      <c r="P75" s="70">
        <f t="shared" si="86"/>
        <v>0</v>
      </c>
      <c r="Q75" s="70">
        <f t="shared" si="86"/>
        <v>0</v>
      </c>
      <c r="R75" s="70">
        <f t="shared" si="86"/>
        <v>0</v>
      </c>
      <c r="S75" s="70">
        <f t="shared" si="86"/>
        <v>0</v>
      </c>
      <c r="T75" s="70">
        <f t="shared" si="86"/>
        <v>0</v>
      </c>
      <c r="U75" s="70">
        <f t="shared" si="86"/>
        <v>0</v>
      </c>
      <c r="V75" s="70">
        <f t="shared" si="86"/>
        <v>0</v>
      </c>
      <c r="W75" s="70">
        <f t="shared" si="86"/>
        <v>0</v>
      </c>
      <c r="X75" s="70">
        <f t="shared" si="86"/>
        <v>0</v>
      </c>
      <c r="Y75" s="70">
        <f t="shared" si="86"/>
        <v>0</v>
      </c>
      <c r="Z75" s="70">
        <f t="shared" si="86"/>
        <v>0</v>
      </c>
      <c r="AA75" s="70">
        <f t="shared" si="86"/>
        <v>0</v>
      </c>
      <c r="AB75" s="70">
        <f t="shared" si="86"/>
        <v>0</v>
      </c>
      <c r="AC75" s="70">
        <f t="shared" si="86"/>
        <v>0</v>
      </c>
      <c r="AD75" s="70">
        <f t="shared" si="86"/>
        <v>0</v>
      </c>
      <c r="AE75" s="70">
        <f t="shared" si="86"/>
        <v>0</v>
      </c>
      <c r="AF75" s="70">
        <f t="shared" si="86"/>
        <v>0</v>
      </c>
      <c r="AG75" s="70">
        <f t="shared" si="86"/>
        <v>0</v>
      </c>
      <c r="AH75" s="70">
        <f t="shared" si="86"/>
        <v>0</v>
      </c>
      <c r="AI75" s="70">
        <f t="shared" si="86"/>
        <v>0</v>
      </c>
      <c r="AJ75" s="70">
        <f t="shared" si="86"/>
        <v>35535.578087114991</v>
      </c>
      <c r="AK75" s="70">
        <f t="shared" si="86"/>
        <v>20229.679059110938</v>
      </c>
      <c r="AL75" s="70">
        <f t="shared" si="86"/>
        <v>20229.679059110938</v>
      </c>
      <c r="AM75" s="70">
        <f t="shared" si="86"/>
        <v>20229.679059110938</v>
      </c>
      <c r="AN75" s="70">
        <f t="shared" si="86"/>
        <v>20229.679059110938</v>
      </c>
      <c r="AO75" s="70">
        <f t="shared" si="86"/>
        <v>20229.679059110938</v>
      </c>
      <c r="AP75" s="70">
        <f t="shared" si="86"/>
        <v>20801.766726777289</v>
      </c>
      <c r="AQ75" s="70">
        <f t="shared" si="86"/>
        <v>20801.766726777289</v>
      </c>
      <c r="AR75" s="70">
        <f t="shared" si="86"/>
        <v>20801.766726777289</v>
      </c>
      <c r="AS75" s="70">
        <f t="shared" si="86"/>
        <v>20801.766726777289</v>
      </c>
      <c r="AT75" s="70">
        <f t="shared" si="86"/>
        <v>20801.766726777289</v>
      </c>
      <c r="AU75" s="70">
        <f t="shared" si="86"/>
        <v>20801.766726777289</v>
      </c>
      <c r="AV75" s="70">
        <f t="shared" si="86"/>
        <v>20801.766726777289</v>
      </c>
      <c r="AW75" s="70">
        <f t="shared" si="86"/>
        <v>20801.766726777289</v>
      </c>
      <c r="AX75" s="70">
        <f t="shared" si="86"/>
        <v>20801.766726777289</v>
      </c>
      <c r="AY75" s="70">
        <f t="shared" si="86"/>
        <v>20801.766726777289</v>
      </c>
      <c r="AZ75" s="70">
        <f t="shared" si="86"/>
        <v>20801.766726777289</v>
      </c>
      <c r="BA75" s="70">
        <f t="shared" si="86"/>
        <v>20801.766726777289</v>
      </c>
      <c r="BB75" s="70">
        <f t="shared" si="86"/>
        <v>22940.419756052164</v>
      </c>
      <c r="BC75" s="70">
        <f t="shared" si="86"/>
        <v>22940.419756052164</v>
      </c>
      <c r="BD75" s="70">
        <f t="shared" si="86"/>
        <v>22940.419756052164</v>
      </c>
      <c r="BE75" s="70">
        <f t="shared" si="86"/>
        <v>22940.419756052164</v>
      </c>
      <c r="BF75" s="70">
        <f t="shared" si="86"/>
        <v>22940.419756052164</v>
      </c>
      <c r="BG75" s="70">
        <f t="shared" si="86"/>
        <v>22940.419756052164</v>
      </c>
      <c r="BH75" s="70">
        <f t="shared" si="86"/>
        <v>22940.419756052164</v>
      </c>
      <c r="BI75" s="70">
        <f t="shared" si="86"/>
        <v>13133.953769650032</v>
      </c>
      <c r="BJ75" s="70">
        <f t="shared" si="86"/>
        <v>13133.953769650032</v>
      </c>
      <c r="BK75" s="70">
        <f t="shared" si="86"/>
        <v>13133.953769650032</v>
      </c>
      <c r="BL75" s="70">
        <f t="shared" si="86"/>
        <v>13133.953769650032</v>
      </c>
      <c r="BM75" s="70">
        <f t="shared" si="86"/>
        <v>13133.953769650032</v>
      </c>
      <c r="BN75" s="70">
        <f t="shared" si="86"/>
        <v>15348.546653875792</v>
      </c>
      <c r="BO75" s="70">
        <f t="shared" si="86"/>
        <v>15348.546653875792</v>
      </c>
      <c r="BP75" s="70">
        <f t="shared" si="86"/>
        <v>15348.546653875792</v>
      </c>
      <c r="BQ75" s="70">
        <f t="shared" si="86"/>
        <v>15348.546653875792</v>
      </c>
      <c r="BR75" s="70">
        <f t="shared" si="86"/>
        <v>15348.546653875792</v>
      </c>
      <c r="BS75" s="70">
        <f t="shared" ref="BS75:DV75" si="87">-BS71+BS72+BS73</f>
        <v>15348.546653875792</v>
      </c>
      <c r="BT75" s="70">
        <f t="shared" si="87"/>
        <v>15348.546653875792</v>
      </c>
      <c r="BU75" s="70">
        <f t="shared" si="87"/>
        <v>15348.546653875792</v>
      </c>
      <c r="BV75" s="70">
        <f t="shared" si="87"/>
        <v>15348.546653875792</v>
      </c>
      <c r="BW75" s="70">
        <f t="shared" si="87"/>
        <v>15348.546653875792</v>
      </c>
      <c r="BX75" s="70">
        <f t="shared" si="87"/>
        <v>15348.546653875792</v>
      </c>
      <c r="BY75" s="70">
        <f t="shared" si="87"/>
        <v>15348.546653875792</v>
      </c>
      <c r="BZ75" s="70">
        <f t="shared" si="87"/>
        <v>17641.593193982382</v>
      </c>
      <c r="CA75" s="70">
        <f t="shared" si="87"/>
        <v>17641.593193982382</v>
      </c>
      <c r="CB75" s="70">
        <f t="shared" si="87"/>
        <v>17641.593193982382</v>
      </c>
      <c r="CC75" s="70">
        <f t="shared" si="87"/>
        <v>17641.593193982382</v>
      </c>
      <c r="CD75" s="70">
        <f t="shared" si="87"/>
        <v>17641.593193982382</v>
      </c>
      <c r="CE75" s="70">
        <f t="shared" si="87"/>
        <v>17641.593193982382</v>
      </c>
      <c r="CF75" s="70">
        <f t="shared" si="87"/>
        <v>17641.593193982382</v>
      </c>
      <c r="CG75" s="70">
        <f t="shared" si="87"/>
        <v>17641.593193982382</v>
      </c>
      <c r="CH75" s="70">
        <f t="shared" si="87"/>
        <v>17641.593193982382</v>
      </c>
      <c r="CI75" s="70">
        <f t="shared" si="87"/>
        <v>17641.593193982382</v>
      </c>
      <c r="CJ75" s="70">
        <f t="shared" si="87"/>
        <v>17641.593193982382</v>
      </c>
      <c r="CK75" s="70">
        <f t="shared" si="87"/>
        <v>17641.593193982382</v>
      </c>
      <c r="CL75" s="70">
        <f t="shared" si="87"/>
        <v>20015.687317033364</v>
      </c>
      <c r="CM75" s="70">
        <f t="shared" si="87"/>
        <v>20015.687317033364</v>
      </c>
      <c r="CN75" s="70">
        <f t="shared" si="87"/>
        <v>20015.687317033364</v>
      </c>
      <c r="CO75" s="70">
        <f t="shared" si="87"/>
        <v>20015.687317033364</v>
      </c>
      <c r="CP75" s="70">
        <f t="shared" si="87"/>
        <v>20015.687317033364</v>
      </c>
      <c r="CQ75" s="70">
        <f t="shared" si="87"/>
        <v>20015.687317033364</v>
      </c>
      <c r="CR75" s="70">
        <f t="shared" si="87"/>
        <v>20015.687317033364</v>
      </c>
      <c r="CS75" s="70">
        <f t="shared" si="87"/>
        <v>20015.687317033364</v>
      </c>
      <c r="CT75" s="70">
        <f t="shared" si="87"/>
        <v>20015.687317033364</v>
      </c>
      <c r="CU75" s="70">
        <f t="shared" si="87"/>
        <v>20015.687317033364</v>
      </c>
      <c r="CV75" s="70">
        <f t="shared" si="87"/>
        <v>20015.687317033364</v>
      </c>
      <c r="CW75" s="70">
        <f t="shared" si="87"/>
        <v>20015.687317033364</v>
      </c>
      <c r="CX75" s="70">
        <f t="shared" si="87"/>
        <v>22473.505574251805</v>
      </c>
      <c r="CY75" s="70">
        <f t="shared" si="87"/>
        <v>22473.505574251805</v>
      </c>
      <c r="CZ75" s="70">
        <f t="shared" si="87"/>
        <v>22473.505574251805</v>
      </c>
      <c r="DA75" s="70">
        <f t="shared" si="87"/>
        <v>22473.505574251805</v>
      </c>
      <c r="DB75" s="70">
        <f t="shared" si="87"/>
        <v>22473.505574251805</v>
      </c>
      <c r="DC75" s="70">
        <f t="shared" si="87"/>
        <v>22473.505574251805</v>
      </c>
      <c r="DD75" s="70">
        <f t="shared" si="87"/>
        <v>22473.505574251805</v>
      </c>
      <c r="DE75" s="70">
        <f t="shared" si="87"/>
        <v>22473.505574251805</v>
      </c>
      <c r="DF75" s="70">
        <f t="shared" si="87"/>
        <v>22473.505574251805</v>
      </c>
      <c r="DG75" s="70">
        <f t="shared" si="87"/>
        <v>22473.505574251805</v>
      </c>
      <c r="DH75" s="70">
        <f t="shared" si="87"/>
        <v>22473.505574251805</v>
      </c>
      <c r="DI75" s="70">
        <f t="shared" si="87"/>
        <v>22473.505574251805</v>
      </c>
      <c r="DJ75" s="70">
        <f t="shared" si="87"/>
        <v>25017.809715872379</v>
      </c>
      <c r="DK75" s="70">
        <f t="shared" si="87"/>
        <v>25017.809715872379</v>
      </c>
      <c r="DL75" s="70">
        <f t="shared" si="87"/>
        <v>25017.809715872379</v>
      </c>
      <c r="DM75" s="70">
        <f t="shared" si="87"/>
        <v>25017.809715872379</v>
      </c>
      <c r="DN75" s="70">
        <f t="shared" si="87"/>
        <v>25017.809715872379</v>
      </c>
      <c r="DO75" s="70">
        <f t="shared" si="87"/>
        <v>25017.809715872379</v>
      </c>
      <c r="DP75" s="70">
        <f t="shared" si="87"/>
        <v>25017.809715872379</v>
      </c>
      <c r="DQ75" s="70">
        <f t="shared" si="87"/>
        <v>25017.809715872379</v>
      </c>
      <c r="DR75" s="70">
        <f t="shared" si="87"/>
        <v>25017.809715872379</v>
      </c>
      <c r="DS75" s="70">
        <f t="shared" si="87"/>
        <v>25017.809715872379</v>
      </c>
      <c r="DT75" s="70">
        <f t="shared" si="87"/>
        <v>25017.809715872379</v>
      </c>
      <c r="DU75" s="70">
        <f t="shared" si="87"/>
        <v>25017.809715872379</v>
      </c>
      <c r="DV75" s="70">
        <f t="shared" si="87"/>
        <v>7945508.9905924182</v>
      </c>
    </row>
    <row r="76" spans="2:126" x14ac:dyDescent="0.3">
      <c r="B76" s="24" t="s">
        <v>5</v>
      </c>
      <c r="C76" s="24"/>
      <c r="D76" s="24"/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</row>
    <row r="77" spans="2:126" x14ac:dyDescent="0.3">
      <c r="B77" t="s">
        <v>2</v>
      </c>
      <c r="F77" s="70">
        <f>F73</f>
        <v>0</v>
      </c>
      <c r="G77" s="70">
        <f t="shared" ref="G77:BR77" si="88">G73</f>
        <v>0</v>
      </c>
      <c r="H77" s="70">
        <f t="shared" si="88"/>
        <v>0</v>
      </c>
      <c r="I77" s="70">
        <f t="shared" si="88"/>
        <v>0</v>
      </c>
      <c r="J77" s="70">
        <f t="shared" si="88"/>
        <v>0</v>
      </c>
      <c r="K77" s="70">
        <f t="shared" si="88"/>
        <v>0</v>
      </c>
      <c r="L77" s="70">
        <f t="shared" si="88"/>
        <v>0</v>
      </c>
      <c r="M77" s="70">
        <f t="shared" si="88"/>
        <v>0</v>
      </c>
      <c r="N77" s="70">
        <f t="shared" si="88"/>
        <v>0</v>
      </c>
      <c r="O77" s="70">
        <f t="shared" si="88"/>
        <v>0</v>
      </c>
      <c r="P77" s="70">
        <f t="shared" si="88"/>
        <v>0</v>
      </c>
      <c r="Q77" s="70">
        <f t="shared" si="88"/>
        <v>0</v>
      </c>
      <c r="R77" s="70">
        <f t="shared" si="88"/>
        <v>0</v>
      </c>
      <c r="S77" s="70">
        <f t="shared" si="88"/>
        <v>0</v>
      </c>
      <c r="T77" s="70">
        <f t="shared" si="88"/>
        <v>0</v>
      </c>
      <c r="U77" s="70">
        <f t="shared" si="88"/>
        <v>0</v>
      </c>
      <c r="V77" s="70">
        <f t="shared" si="88"/>
        <v>0</v>
      </c>
      <c r="W77" s="70">
        <f t="shared" si="88"/>
        <v>0</v>
      </c>
      <c r="X77" s="70">
        <f t="shared" si="88"/>
        <v>0</v>
      </c>
      <c r="Y77" s="70">
        <f t="shared" si="88"/>
        <v>0</v>
      </c>
      <c r="Z77" s="70">
        <f t="shared" si="88"/>
        <v>0</v>
      </c>
      <c r="AA77" s="70">
        <f t="shared" si="88"/>
        <v>0</v>
      </c>
      <c r="AB77" s="70">
        <f t="shared" si="88"/>
        <v>0</v>
      </c>
      <c r="AC77" s="70">
        <f t="shared" si="88"/>
        <v>0</v>
      </c>
      <c r="AD77" s="70">
        <f t="shared" si="88"/>
        <v>0</v>
      </c>
      <c r="AE77" s="70">
        <f t="shared" si="88"/>
        <v>0</v>
      </c>
      <c r="AF77" s="70">
        <f t="shared" si="88"/>
        <v>0</v>
      </c>
      <c r="AG77" s="70">
        <f t="shared" si="88"/>
        <v>0</v>
      </c>
      <c r="AH77" s="70">
        <f t="shared" si="88"/>
        <v>0</v>
      </c>
      <c r="AI77" s="70">
        <f t="shared" si="88"/>
        <v>0</v>
      </c>
      <c r="AJ77" s="70">
        <f t="shared" si="88"/>
        <v>0</v>
      </c>
      <c r="AK77" s="70">
        <f t="shared" si="88"/>
        <v>0</v>
      </c>
      <c r="AL77" s="70">
        <f t="shared" si="88"/>
        <v>0</v>
      </c>
      <c r="AM77" s="70">
        <f t="shared" si="88"/>
        <v>0</v>
      </c>
      <c r="AN77" s="70">
        <f t="shared" si="88"/>
        <v>0</v>
      </c>
      <c r="AO77" s="70">
        <f t="shared" si="88"/>
        <v>0</v>
      </c>
      <c r="AP77" s="70">
        <f t="shared" si="88"/>
        <v>0</v>
      </c>
      <c r="AQ77" s="70">
        <f t="shared" si="88"/>
        <v>0</v>
      </c>
      <c r="AR77" s="70">
        <f t="shared" si="88"/>
        <v>0</v>
      </c>
      <c r="AS77" s="70">
        <f t="shared" si="88"/>
        <v>0</v>
      </c>
      <c r="AT77" s="70">
        <f t="shared" si="88"/>
        <v>0</v>
      </c>
      <c r="AU77" s="70">
        <f t="shared" si="88"/>
        <v>0</v>
      </c>
      <c r="AV77" s="70">
        <f t="shared" si="88"/>
        <v>0</v>
      </c>
      <c r="AW77" s="70">
        <f t="shared" si="88"/>
        <v>0</v>
      </c>
      <c r="AX77" s="70">
        <f t="shared" si="88"/>
        <v>0</v>
      </c>
      <c r="AY77" s="70">
        <f t="shared" si="88"/>
        <v>0</v>
      </c>
      <c r="AZ77" s="70">
        <f t="shared" si="88"/>
        <v>0</v>
      </c>
      <c r="BA77" s="70">
        <f t="shared" si="88"/>
        <v>0</v>
      </c>
      <c r="BB77" s="70">
        <f t="shared" si="88"/>
        <v>0</v>
      </c>
      <c r="BC77" s="70">
        <f t="shared" si="88"/>
        <v>0</v>
      </c>
      <c r="BD77" s="70">
        <f t="shared" si="88"/>
        <v>0</v>
      </c>
      <c r="BE77" s="70">
        <f t="shared" si="88"/>
        <v>0</v>
      </c>
      <c r="BF77" s="70">
        <f t="shared" si="88"/>
        <v>0</v>
      </c>
      <c r="BG77" s="70">
        <f t="shared" si="88"/>
        <v>0</v>
      </c>
      <c r="BH77" s="70">
        <f t="shared" si="88"/>
        <v>0</v>
      </c>
      <c r="BI77" s="70">
        <f t="shared" si="88"/>
        <v>0</v>
      </c>
      <c r="BJ77" s="70">
        <f t="shared" si="88"/>
        <v>0</v>
      </c>
      <c r="BK77" s="70">
        <f t="shared" si="88"/>
        <v>0</v>
      </c>
      <c r="BL77" s="70">
        <f t="shared" si="88"/>
        <v>0</v>
      </c>
      <c r="BM77" s="70">
        <f t="shared" si="88"/>
        <v>0</v>
      </c>
      <c r="BN77" s="70">
        <f t="shared" si="88"/>
        <v>0</v>
      </c>
      <c r="BO77" s="70">
        <f t="shared" si="88"/>
        <v>0</v>
      </c>
      <c r="BP77" s="70">
        <f t="shared" si="88"/>
        <v>0</v>
      </c>
      <c r="BQ77" s="70">
        <f t="shared" si="88"/>
        <v>0</v>
      </c>
      <c r="BR77" s="70">
        <f t="shared" si="88"/>
        <v>0</v>
      </c>
      <c r="BS77" s="70">
        <f t="shared" ref="BS77:DV77" si="89">BS73</f>
        <v>0</v>
      </c>
      <c r="BT77" s="70">
        <f t="shared" si="89"/>
        <v>0</v>
      </c>
      <c r="BU77" s="70">
        <f t="shared" si="89"/>
        <v>0</v>
      </c>
      <c r="BV77" s="70">
        <f t="shared" si="89"/>
        <v>0</v>
      </c>
      <c r="BW77" s="70">
        <f t="shared" si="89"/>
        <v>0</v>
      </c>
      <c r="BX77" s="70">
        <f t="shared" si="89"/>
        <v>0</v>
      </c>
      <c r="BY77" s="70">
        <f t="shared" si="89"/>
        <v>0</v>
      </c>
      <c r="BZ77" s="70">
        <f t="shared" si="89"/>
        <v>0</v>
      </c>
      <c r="CA77" s="70">
        <f t="shared" si="89"/>
        <v>0</v>
      </c>
      <c r="CB77" s="70">
        <f t="shared" si="89"/>
        <v>0</v>
      </c>
      <c r="CC77" s="70">
        <f t="shared" si="89"/>
        <v>0</v>
      </c>
      <c r="CD77" s="70">
        <f t="shared" si="89"/>
        <v>0</v>
      </c>
      <c r="CE77" s="70">
        <f t="shared" si="89"/>
        <v>0</v>
      </c>
      <c r="CF77" s="70">
        <f t="shared" si="89"/>
        <v>0</v>
      </c>
      <c r="CG77" s="70">
        <f t="shared" si="89"/>
        <v>0</v>
      </c>
      <c r="CH77" s="70">
        <f t="shared" si="89"/>
        <v>0</v>
      </c>
      <c r="CI77" s="70">
        <f t="shared" si="89"/>
        <v>0</v>
      </c>
      <c r="CJ77" s="70">
        <f t="shared" si="89"/>
        <v>0</v>
      </c>
      <c r="CK77" s="70">
        <f t="shared" si="89"/>
        <v>0</v>
      </c>
      <c r="CL77" s="70">
        <f t="shared" si="89"/>
        <v>0</v>
      </c>
      <c r="CM77" s="70">
        <f t="shared" si="89"/>
        <v>0</v>
      </c>
      <c r="CN77" s="70">
        <f t="shared" si="89"/>
        <v>0</v>
      </c>
      <c r="CO77" s="70">
        <f t="shared" si="89"/>
        <v>0</v>
      </c>
      <c r="CP77" s="70">
        <f t="shared" si="89"/>
        <v>0</v>
      </c>
      <c r="CQ77" s="70">
        <f t="shared" si="89"/>
        <v>0</v>
      </c>
      <c r="CR77" s="70">
        <f t="shared" si="89"/>
        <v>0</v>
      </c>
      <c r="CS77" s="70">
        <f t="shared" si="89"/>
        <v>0</v>
      </c>
      <c r="CT77" s="70">
        <f t="shared" si="89"/>
        <v>0</v>
      </c>
      <c r="CU77" s="70">
        <f t="shared" si="89"/>
        <v>0</v>
      </c>
      <c r="CV77" s="70">
        <f t="shared" si="89"/>
        <v>0</v>
      </c>
      <c r="CW77" s="70">
        <f t="shared" si="89"/>
        <v>0</v>
      </c>
      <c r="CX77" s="70">
        <f t="shared" si="89"/>
        <v>0</v>
      </c>
      <c r="CY77" s="70">
        <f t="shared" si="89"/>
        <v>0</v>
      </c>
      <c r="CZ77" s="70">
        <f t="shared" si="89"/>
        <v>0</v>
      </c>
      <c r="DA77" s="70">
        <f t="shared" si="89"/>
        <v>0</v>
      </c>
      <c r="DB77" s="70">
        <f t="shared" si="89"/>
        <v>0</v>
      </c>
      <c r="DC77" s="70">
        <f t="shared" si="89"/>
        <v>0</v>
      </c>
      <c r="DD77" s="70">
        <f t="shared" si="89"/>
        <v>0</v>
      </c>
      <c r="DE77" s="70">
        <f t="shared" si="89"/>
        <v>0</v>
      </c>
      <c r="DF77" s="70">
        <f t="shared" si="89"/>
        <v>0</v>
      </c>
      <c r="DG77" s="70">
        <f t="shared" si="89"/>
        <v>0</v>
      </c>
      <c r="DH77" s="70">
        <f t="shared" si="89"/>
        <v>0</v>
      </c>
      <c r="DI77" s="70">
        <f t="shared" si="89"/>
        <v>0</v>
      </c>
      <c r="DJ77" s="70">
        <f t="shared" si="89"/>
        <v>0</v>
      </c>
      <c r="DK77" s="70">
        <f t="shared" si="89"/>
        <v>0</v>
      </c>
      <c r="DL77" s="70">
        <f t="shared" si="89"/>
        <v>0</v>
      </c>
      <c r="DM77" s="70">
        <f t="shared" si="89"/>
        <v>0</v>
      </c>
      <c r="DN77" s="70">
        <f t="shared" si="89"/>
        <v>0</v>
      </c>
      <c r="DO77" s="70">
        <f t="shared" si="89"/>
        <v>0</v>
      </c>
      <c r="DP77" s="70">
        <f t="shared" si="89"/>
        <v>0</v>
      </c>
      <c r="DQ77" s="70">
        <f t="shared" si="89"/>
        <v>0</v>
      </c>
      <c r="DR77" s="70">
        <f t="shared" si="89"/>
        <v>0</v>
      </c>
      <c r="DS77" s="70">
        <f t="shared" si="89"/>
        <v>0</v>
      </c>
      <c r="DT77" s="70">
        <f t="shared" si="89"/>
        <v>0</v>
      </c>
      <c r="DU77" s="70">
        <f t="shared" si="89"/>
        <v>0</v>
      </c>
      <c r="DV77" s="70">
        <f t="shared" si="89"/>
        <v>790417.38727236923</v>
      </c>
    </row>
    <row r="78" spans="2:126" x14ac:dyDescent="0.3">
      <c r="B78" t="s">
        <v>46</v>
      </c>
      <c r="F78" s="70">
        <f>F77/$I$12*$H$12</f>
        <v>0</v>
      </c>
      <c r="G78" s="70">
        <f t="shared" ref="G78:BR78" si="90">G77/$I$12*$H$12</f>
        <v>0</v>
      </c>
      <c r="H78" s="70">
        <f t="shared" si="90"/>
        <v>0</v>
      </c>
      <c r="I78" s="70">
        <f t="shared" si="90"/>
        <v>0</v>
      </c>
      <c r="J78" s="70">
        <f t="shared" si="90"/>
        <v>0</v>
      </c>
      <c r="K78" s="70">
        <f t="shared" si="90"/>
        <v>0</v>
      </c>
      <c r="L78" s="70">
        <f t="shared" si="90"/>
        <v>0</v>
      </c>
      <c r="M78" s="70">
        <f t="shared" si="90"/>
        <v>0</v>
      </c>
      <c r="N78" s="70">
        <f t="shared" si="90"/>
        <v>0</v>
      </c>
      <c r="O78" s="70">
        <f t="shared" si="90"/>
        <v>0</v>
      </c>
      <c r="P78" s="70">
        <f t="shared" si="90"/>
        <v>0</v>
      </c>
      <c r="Q78" s="70">
        <f t="shared" si="90"/>
        <v>0</v>
      </c>
      <c r="R78" s="70">
        <f t="shared" si="90"/>
        <v>0</v>
      </c>
      <c r="S78" s="70">
        <f t="shared" si="90"/>
        <v>0</v>
      </c>
      <c r="T78" s="70">
        <f t="shared" si="90"/>
        <v>0</v>
      </c>
      <c r="U78" s="70">
        <f t="shared" si="90"/>
        <v>0</v>
      </c>
      <c r="V78" s="70">
        <f t="shared" si="90"/>
        <v>0</v>
      </c>
      <c r="W78" s="70">
        <f t="shared" si="90"/>
        <v>0</v>
      </c>
      <c r="X78" s="70">
        <f t="shared" si="90"/>
        <v>0</v>
      </c>
      <c r="Y78" s="70">
        <f t="shared" si="90"/>
        <v>0</v>
      </c>
      <c r="Z78" s="70">
        <f t="shared" si="90"/>
        <v>0</v>
      </c>
      <c r="AA78" s="70">
        <f t="shared" si="90"/>
        <v>0</v>
      </c>
      <c r="AB78" s="70">
        <f t="shared" si="90"/>
        <v>0</v>
      </c>
      <c r="AC78" s="70">
        <f t="shared" si="90"/>
        <v>0</v>
      </c>
      <c r="AD78" s="70">
        <f t="shared" si="90"/>
        <v>0</v>
      </c>
      <c r="AE78" s="70">
        <f t="shared" si="90"/>
        <v>0</v>
      </c>
      <c r="AF78" s="70">
        <f t="shared" si="90"/>
        <v>0</v>
      </c>
      <c r="AG78" s="70">
        <f t="shared" si="90"/>
        <v>0</v>
      </c>
      <c r="AH78" s="70">
        <f t="shared" si="90"/>
        <v>0</v>
      </c>
      <c r="AI78" s="70">
        <f t="shared" si="90"/>
        <v>0</v>
      </c>
      <c r="AJ78" s="70">
        <f t="shared" si="90"/>
        <v>0</v>
      </c>
      <c r="AK78" s="70">
        <f t="shared" si="90"/>
        <v>0</v>
      </c>
      <c r="AL78" s="70">
        <f t="shared" si="90"/>
        <v>0</v>
      </c>
      <c r="AM78" s="70">
        <f t="shared" si="90"/>
        <v>0</v>
      </c>
      <c r="AN78" s="70">
        <f t="shared" si="90"/>
        <v>0</v>
      </c>
      <c r="AO78" s="70">
        <f t="shared" si="90"/>
        <v>0</v>
      </c>
      <c r="AP78" s="70">
        <f t="shared" si="90"/>
        <v>0</v>
      </c>
      <c r="AQ78" s="70">
        <f t="shared" si="90"/>
        <v>0</v>
      </c>
      <c r="AR78" s="70">
        <f t="shared" si="90"/>
        <v>0</v>
      </c>
      <c r="AS78" s="70">
        <f t="shared" si="90"/>
        <v>0</v>
      </c>
      <c r="AT78" s="70">
        <f t="shared" si="90"/>
        <v>0</v>
      </c>
      <c r="AU78" s="70">
        <f t="shared" si="90"/>
        <v>0</v>
      </c>
      <c r="AV78" s="70">
        <f t="shared" si="90"/>
        <v>0</v>
      </c>
      <c r="AW78" s="70">
        <f t="shared" si="90"/>
        <v>0</v>
      </c>
      <c r="AX78" s="70">
        <f t="shared" si="90"/>
        <v>0</v>
      </c>
      <c r="AY78" s="70">
        <f t="shared" si="90"/>
        <v>0</v>
      </c>
      <c r="AZ78" s="70">
        <f t="shared" si="90"/>
        <v>0</v>
      </c>
      <c r="BA78" s="70">
        <f t="shared" si="90"/>
        <v>0</v>
      </c>
      <c r="BB78" s="70">
        <f t="shared" si="90"/>
        <v>0</v>
      </c>
      <c r="BC78" s="70">
        <f t="shared" si="90"/>
        <v>0</v>
      </c>
      <c r="BD78" s="70">
        <f t="shared" si="90"/>
        <v>0</v>
      </c>
      <c r="BE78" s="70">
        <f t="shared" si="90"/>
        <v>0</v>
      </c>
      <c r="BF78" s="70">
        <f t="shared" si="90"/>
        <v>0</v>
      </c>
      <c r="BG78" s="70">
        <f t="shared" si="90"/>
        <v>0</v>
      </c>
      <c r="BH78" s="70">
        <f t="shared" si="90"/>
        <v>0</v>
      </c>
      <c r="BI78" s="70">
        <f t="shared" si="90"/>
        <v>0</v>
      </c>
      <c r="BJ78" s="70">
        <f t="shared" si="90"/>
        <v>0</v>
      </c>
      <c r="BK78" s="70">
        <f t="shared" si="90"/>
        <v>0</v>
      </c>
      <c r="BL78" s="70">
        <f t="shared" si="90"/>
        <v>0</v>
      </c>
      <c r="BM78" s="70">
        <f t="shared" si="90"/>
        <v>0</v>
      </c>
      <c r="BN78" s="70">
        <f t="shared" si="90"/>
        <v>0</v>
      </c>
      <c r="BO78" s="70">
        <f t="shared" si="90"/>
        <v>0</v>
      </c>
      <c r="BP78" s="70">
        <f t="shared" si="90"/>
        <v>0</v>
      </c>
      <c r="BQ78" s="70">
        <f t="shared" si="90"/>
        <v>0</v>
      </c>
      <c r="BR78" s="70">
        <f t="shared" si="90"/>
        <v>0</v>
      </c>
      <c r="BS78" s="70">
        <f t="shared" ref="BS78:DV78" si="91">BS77/$I$12*$H$12</f>
        <v>0</v>
      </c>
      <c r="BT78" s="70">
        <f t="shared" si="91"/>
        <v>0</v>
      </c>
      <c r="BU78" s="70">
        <f t="shared" si="91"/>
        <v>0</v>
      </c>
      <c r="BV78" s="70">
        <f t="shared" si="91"/>
        <v>0</v>
      </c>
      <c r="BW78" s="70">
        <f t="shared" si="91"/>
        <v>0</v>
      </c>
      <c r="BX78" s="70">
        <f t="shared" si="91"/>
        <v>0</v>
      </c>
      <c r="BY78" s="70">
        <f t="shared" si="91"/>
        <v>0</v>
      </c>
      <c r="BZ78" s="70">
        <f t="shared" si="91"/>
        <v>0</v>
      </c>
      <c r="CA78" s="70">
        <f t="shared" si="91"/>
        <v>0</v>
      </c>
      <c r="CB78" s="70">
        <f t="shared" si="91"/>
        <v>0</v>
      </c>
      <c r="CC78" s="70">
        <f t="shared" si="91"/>
        <v>0</v>
      </c>
      <c r="CD78" s="70">
        <f t="shared" si="91"/>
        <v>0</v>
      </c>
      <c r="CE78" s="70">
        <f t="shared" si="91"/>
        <v>0</v>
      </c>
      <c r="CF78" s="70">
        <f t="shared" si="91"/>
        <v>0</v>
      </c>
      <c r="CG78" s="70">
        <f t="shared" si="91"/>
        <v>0</v>
      </c>
      <c r="CH78" s="70">
        <f t="shared" si="91"/>
        <v>0</v>
      </c>
      <c r="CI78" s="70">
        <f t="shared" si="91"/>
        <v>0</v>
      </c>
      <c r="CJ78" s="70">
        <f t="shared" si="91"/>
        <v>0</v>
      </c>
      <c r="CK78" s="70">
        <f t="shared" si="91"/>
        <v>0</v>
      </c>
      <c r="CL78" s="70">
        <f t="shared" si="91"/>
        <v>0</v>
      </c>
      <c r="CM78" s="70">
        <f t="shared" si="91"/>
        <v>0</v>
      </c>
      <c r="CN78" s="70">
        <f t="shared" si="91"/>
        <v>0</v>
      </c>
      <c r="CO78" s="70">
        <f t="shared" si="91"/>
        <v>0</v>
      </c>
      <c r="CP78" s="70">
        <f t="shared" si="91"/>
        <v>0</v>
      </c>
      <c r="CQ78" s="70">
        <f t="shared" si="91"/>
        <v>0</v>
      </c>
      <c r="CR78" s="70">
        <f t="shared" si="91"/>
        <v>0</v>
      </c>
      <c r="CS78" s="70">
        <f t="shared" si="91"/>
        <v>0</v>
      </c>
      <c r="CT78" s="70">
        <f t="shared" si="91"/>
        <v>0</v>
      </c>
      <c r="CU78" s="70">
        <f t="shared" si="91"/>
        <v>0</v>
      </c>
      <c r="CV78" s="70">
        <f t="shared" si="91"/>
        <v>0</v>
      </c>
      <c r="CW78" s="70">
        <f t="shared" si="91"/>
        <v>0</v>
      </c>
      <c r="CX78" s="70">
        <f t="shared" si="91"/>
        <v>0</v>
      </c>
      <c r="CY78" s="70">
        <f t="shared" si="91"/>
        <v>0</v>
      </c>
      <c r="CZ78" s="70">
        <f t="shared" si="91"/>
        <v>0</v>
      </c>
      <c r="DA78" s="70">
        <f t="shared" si="91"/>
        <v>0</v>
      </c>
      <c r="DB78" s="70">
        <f t="shared" si="91"/>
        <v>0</v>
      </c>
      <c r="DC78" s="70">
        <f t="shared" si="91"/>
        <v>0</v>
      </c>
      <c r="DD78" s="70">
        <f t="shared" si="91"/>
        <v>0</v>
      </c>
      <c r="DE78" s="70">
        <f t="shared" si="91"/>
        <v>0</v>
      </c>
      <c r="DF78" s="70">
        <f t="shared" si="91"/>
        <v>0</v>
      </c>
      <c r="DG78" s="70">
        <f t="shared" si="91"/>
        <v>0</v>
      </c>
      <c r="DH78" s="70">
        <f t="shared" si="91"/>
        <v>0</v>
      </c>
      <c r="DI78" s="70">
        <f t="shared" si="91"/>
        <v>0</v>
      </c>
      <c r="DJ78" s="70">
        <f t="shared" si="91"/>
        <v>0</v>
      </c>
      <c r="DK78" s="70">
        <f t="shared" si="91"/>
        <v>0</v>
      </c>
      <c r="DL78" s="70">
        <f t="shared" si="91"/>
        <v>0</v>
      </c>
      <c r="DM78" s="70">
        <f t="shared" si="91"/>
        <v>0</v>
      </c>
      <c r="DN78" s="70">
        <f t="shared" si="91"/>
        <v>0</v>
      </c>
      <c r="DO78" s="70">
        <f t="shared" si="91"/>
        <v>0</v>
      </c>
      <c r="DP78" s="70">
        <f t="shared" si="91"/>
        <v>0</v>
      </c>
      <c r="DQ78" s="70">
        <f t="shared" si="91"/>
        <v>0</v>
      </c>
      <c r="DR78" s="70">
        <f t="shared" si="91"/>
        <v>0</v>
      </c>
      <c r="DS78" s="70">
        <f t="shared" si="91"/>
        <v>0</v>
      </c>
      <c r="DT78" s="70">
        <f t="shared" si="91"/>
        <v>0</v>
      </c>
      <c r="DU78" s="70">
        <f t="shared" si="91"/>
        <v>0</v>
      </c>
      <c r="DV78" s="70">
        <f t="shared" si="91"/>
        <v>464213.38617583585</v>
      </c>
    </row>
    <row r="79" spans="2:126" x14ac:dyDescent="0.3">
      <c r="B79" t="str">
        <f>"Total Distributions ("&amp;B67&amp;")"</f>
        <v>Total Distributions (Hurdle 3)</v>
      </c>
      <c r="F79" s="70">
        <f>SUM(F77:F78)</f>
        <v>0</v>
      </c>
      <c r="G79" s="70">
        <f t="shared" ref="G79:BR79" si="92">SUM(G77:G78)</f>
        <v>0</v>
      </c>
      <c r="H79" s="70">
        <f t="shared" si="92"/>
        <v>0</v>
      </c>
      <c r="I79" s="70">
        <f t="shared" si="92"/>
        <v>0</v>
      </c>
      <c r="J79" s="70">
        <f t="shared" si="92"/>
        <v>0</v>
      </c>
      <c r="K79" s="70">
        <f t="shared" si="92"/>
        <v>0</v>
      </c>
      <c r="L79" s="70">
        <f t="shared" si="92"/>
        <v>0</v>
      </c>
      <c r="M79" s="70">
        <f t="shared" si="92"/>
        <v>0</v>
      </c>
      <c r="N79" s="70">
        <f t="shared" si="92"/>
        <v>0</v>
      </c>
      <c r="O79" s="70">
        <f t="shared" si="92"/>
        <v>0</v>
      </c>
      <c r="P79" s="70">
        <f t="shared" si="92"/>
        <v>0</v>
      </c>
      <c r="Q79" s="70">
        <f t="shared" si="92"/>
        <v>0</v>
      </c>
      <c r="R79" s="70">
        <f t="shared" si="92"/>
        <v>0</v>
      </c>
      <c r="S79" s="70">
        <f t="shared" si="92"/>
        <v>0</v>
      </c>
      <c r="T79" s="70">
        <f t="shared" si="92"/>
        <v>0</v>
      </c>
      <c r="U79" s="70">
        <f t="shared" si="92"/>
        <v>0</v>
      </c>
      <c r="V79" s="70">
        <f t="shared" si="92"/>
        <v>0</v>
      </c>
      <c r="W79" s="70">
        <f t="shared" si="92"/>
        <v>0</v>
      </c>
      <c r="X79" s="70">
        <f t="shared" si="92"/>
        <v>0</v>
      </c>
      <c r="Y79" s="70">
        <f t="shared" si="92"/>
        <v>0</v>
      </c>
      <c r="Z79" s="70">
        <f t="shared" si="92"/>
        <v>0</v>
      </c>
      <c r="AA79" s="70">
        <f t="shared" si="92"/>
        <v>0</v>
      </c>
      <c r="AB79" s="70">
        <f t="shared" si="92"/>
        <v>0</v>
      </c>
      <c r="AC79" s="70">
        <f t="shared" si="92"/>
        <v>0</v>
      </c>
      <c r="AD79" s="70">
        <f t="shared" si="92"/>
        <v>0</v>
      </c>
      <c r="AE79" s="70">
        <f t="shared" si="92"/>
        <v>0</v>
      </c>
      <c r="AF79" s="70">
        <f t="shared" si="92"/>
        <v>0</v>
      </c>
      <c r="AG79" s="70">
        <f t="shared" si="92"/>
        <v>0</v>
      </c>
      <c r="AH79" s="70">
        <f t="shared" si="92"/>
        <v>0</v>
      </c>
      <c r="AI79" s="70">
        <f t="shared" si="92"/>
        <v>0</v>
      </c>
      <c r="AJ79" s="70">
        <f t="shared" si="92"/>
        <v>0</v>
      </c>
      <c r="AK79" s="70">
        <f t="shared" si="92"/>
        <v>0</v>
      </c>
      <c r="AL79" s="70">
        <f t="shared" si="92"/>
        <v>0</v>
      </c>
      <c r="AM79" s="70">
        <f t="shared" si="92"/>
        <v>0</v>
      </c>
      <c r="AN79" s="70">
        <f t="shared" si="92"/>
        <v>0</v>
      </c>
      <c r="AO79" s="70">
        <f t="shared" si="92"/>
        <v>0</v>
      </c>
      <c r="AP79" s="70">
        <f t="shared" si="92"/>
        <v>0</v>
      </c>
      <c r="AQ79" s="70">
        <f t="shared" si="92"/>
        <v>0</v>
      </c>
      <c r="AR79" s="70">
        <f t="shared" si="92"/>
        <v>0</v>
      </c>
      <c r="AS79" s="70">
        <f t="shared" si="92"/>
        <v>0</v>
      </c>
      <c r="AT79" s="70">
        <f t="shared" si="92"/>
        <v>0</v>
      </c>
      <c r="AU79" s="70">
        <f t="shared" si="92"/>
        <v>0</v>
      </c>
      <c r="AV79" s="70">
        <f t="shared" si="92"/>
        <v>0</v>
      </c>
      <c r="AW79" s="70">
        <f t="shared" si="92"/>
        <v>0</v>
      </c>
      <c r="AX79" s="70">
        <f t="shared" si="92"/>
        <v>0</v>
      </c>
      <c r="AY79" s="70">
        <f t="shared" si="92"/>
        <v>0</v>
      </c>
      <c r="AZ79" s="70">
        <f t="shared" si="92"/>
        <v>0</v>
      </c>
      <c r="BA79" s="70">
        <f t="shared" si="92"/>
        <v>0</v>
      </c>
      <c r="BB79" s="70">
        <f t="shared" si="92"/>
        <v>0</v>
      </c>
      <c r="BC79" s="70">
        <f t="shared" si="92"/>
        <v>0</v>
      </c>
      <c r="BD79" s="70">
        <f t="shared" si="92"/>
        <v>0</v>
      </c>
      <c r="BE79" s="70">
        <f t="shared" si="92"/>
        <v>0</v>
      </c>
      <c r="BF79" s="70">
        <f t="shared" si="92"/>
        <v>0</v>
      </c>
      <c r="BG79" s="70">
        <f t="shared" si="92"/>
        <v>0</v>
      </c>
      <c r="BH79" s="70">
        <f t="shared" si="92"/>
        <v>0</v>
      </c>
      <c r="BI79" s="70">
        <f t="shared" si="92"/>
        <v>0</v>
      </c>
      <c r="BJ79" s="70">
        <f t="shared" si="92"/>
        <v>0</v>
      </c>
      <c r="BK79" s="70">
        <f t="shared" si="92"/>
        <v>0</v>
      </c>
      <c r="BL79" s="70">
        <f t="shared" si="92"/>
        <v>0</v>
      </c>
      <c r="BM79" s="70">
        <f t="shared" si="92"/>
        <v>0</v>
      </c>
      <c r="BN79" s="70">
        <f t="shared" si="92"/>
        <v>0</v>
      </c>
      <c r="BO79" s="70">
        <f t="shared" si="92"/>
        <v>0</v>
      </c>
      <c r="BP79" s="70">
        <f t="shared" si="92"/>
        <v>0</v>
      </c>
      <c r="BQ79" s="70">
        <f t="shared" si="92"/>
        <v>0</v>
      </c>
      <c r="BR79" s="70">
        <f t="shared" si="92"/>
        <v>0</v>
      </c>
      <c r="BS79" s="70">
        <f t="shared" ref="BS79:DV79" si="93">SUM(BS77:BS78)</f>
        <v>0</v>
      </c>
      <c r="BT79" s="70">
        <f t="shared" si="93"/>
        <v>0</v>
      </c>
      <c r="BU79" s="70">
        <f t="shared" si="93"/>
        <v>0</v>
      </c>
      <c r="BV79" s="70">
        <f t="shared" si="93"/>
        <v>0</v>
      </c>
      <c r="BW79" s="70">
        <f t="shared" si="93"/>
        <v>0</v>
      </c>
      <c r="BX79" s="70">
        <f t="shared" si="93"/>
        <v>0</v>
      </c>
      <c r="BY79" s="70">
        <f t="shared" si="93"/>
        <v>0</v>
      </c>
      <c r="BZ79" s="70">
        <f t="shared" si="93"/>
        <v>0</v>
      </c>
      <c r="CA79" s="70">
        <f t="shared" si="93"/>
        <v>0</v>
      </c>
      <c r="CB79" s="70">
        <f t="shared" si="93"/>
        <v>0</v>
      </c>
      <c r="CC79" s="70">
        <f t="shared" si="93"/>
        <v>0</v>
      </c>
      <c r="CD79" s="70">
        <f t="shared" si="93"/>
        <v>0</v>
      </c>
      <c r="CE79" s="70">
        <f t="shared" si="93"/>
        <v>0</v>
      </c>
      <c r="CF79" s="70">
        <f t="shared" si="93"/>
        <v>0</v>
      </c>
      <c r="CG79" s="70">
        <f t="shared" si="93"/>
        <v>0</v>
      </c>
      <c r="CH79" s="70">
        <f t="shared" si="93"/>
        <v>0</v>
      </c>
      <c r="CI79" s="70">
        <f t="shared" si="93"/>
        <v>0</v>
      </c>
      <c r="CJ79" s="70">
        <f t="shared" si="93"/>
        <v>0</v>
      </c>
      <c r="CK79" s="70">
        <f t="shared" si="93"/>
        <v>0</v>
      </c>
      <c r="CL79" s="70">
        <f t="shared" si="93"/>
        <v>0</v>
      </c>
      <c r="CM79" s="70">
        <f t="shared" si="93"/>
        <v>0</v>
      </c>
      <c r="CN79" s="70">
        <f t="shared" si="93"/>
        <v>0</v>
      </c>
      <c r="CO79" s="70">
        <f t="shared" si="93"/>
        <v>0</v>
      </c>
      <c r="CP79" s="70">
        <f t="shared" si="93"/>
        <v>0</v>
      </c>
      <c r="CQ79" s="70">
        <f t="shared" si="93"/>
        <v>0</v>
      </c>
      <c r="CR79" s="70">
        <f t="shared" si="93"/>
        <v>0</v>
      </c>
      <c r="CS79" s="70">
        <f t="shared" si="93"/>
        <v>0</v>
      </c>
      <c r="CT79" s="70">
        <f t="shared" si="93"/>
        <v>0</v>
      </c>
      <c r="CU79" s="70">
        <f t="shared" si="93"/>
        <v>0</v>
      </c>
      <c r="CV79" s="70">
        <f t="shared" si="93"/>
        <v>0</v>
      </c>
      <c r="CW79" s="70">
        <f t="shared" si="93"/>
        <v>0</v>
      </c>
      <c r="CX79" s="70">
        <f t="shared" si="93"/>
        <v>0</v>
      </c>
      <c r="CY79" s="70">
        <f t="shared" si="93"/>
        <v>0</v>
      </c>
      <c r="CZ79" s="70">
        <f t="shared" si="93"/>
        <v>0</v>
      </c>
      <c r="DA79" s="70">
        <f t="shared" si="93"/>
        <v>0</v>
      </c>
      <c r="DB79" s="70">
        <f t="shared" si="93"/>
        <v>0</v>
      </c>
      <c r="DC79" s="70">
        <f t="shared" si="93"/>
        <v>0</v>
      </c>
      <c r="DD79" s="70">
        <f t="shared" si="93"/>
        <v>0</v>
      </c>
      <c r="DE79" s="70">
        <f t="shared" si="93"/>
        <v>0</v>
      </c>
      <c r="DF79" s="70">
        <f t="shared" si="93"/>
        <v>0</v>
      </c>
      <c r="DG79" s="70">
        <f t="shared" si="93"/>
        <v>0</v>
      </c>
      <c r="DH79" s="70">
        <f t="shared" si="93"/>
        <v>0</v>
      </c>
      <c r="DI79" s="70">
        <f t="shared" si="93"/>
        <v>0</v>
      </c>
      <c r="DJ79" s="70">
        <f t="shared" si="93"/>
        <v>0</v>
      </c>
      <c r="DK79" s="70">
        <f t="shared" si="93"/>
        <v>0</v>
      </c>
      <c r="DL79" s="70">
        <f t="shared" si="93"/>
        <v>0</v>
      </c>
      <c r="DM79" s="70">
        <f t="shared" si="93"/>
        <v>0</v>
      </c>
      <c r="DN79" s="70">
        <f t="shared" si="93"/>
        <v>0</v>
      </c>
      <c r="DO79" s="70">
        <f t="shared" si="93"/>
        <v>0</v>
      </c>
      <c r="DP79" s="70">
        <f t="shared" si="93"/>
        <v>0</v>
      </c>
      <c r="DQ79" s="70">
        <f t="shared" si="93"/>
        <v>0</v>
      </c>
      <c r="DR79" s="70">
        <f t="shared" si="93"/>
        <v>0</v>
      </c>
      <c r="DS79" s="70">
        <f t="shared" si="93"/>
        <v>0</v>
      </c>
      <c r="DT79" s="70">
        <f t="shared" si="93"/>
        <v>0</v>
      </c>
      <c r="DU79" s="70">
        <f t="shared" si="93"/>
        <v>0</v>
      </c>
      <c r="DV79" s="70">
        <f t="shared" si="93"/>
        <v>1254630.7734482051</v>
      </c>
    </row>
    <row r="80" spans="2:126" x14ac:dyDescent="0.3">
      <c r="B80" t="s">
        <v>1</v>
      </c>
      <c r="F80" s="70">
        <f>MAX(F34-F49-F64-F79,0)</f>
        <v>0</v>
      </c>
      <c r="G80" s="70">
        <f t="shared" ref="G80:BR80" si="94">MAX(G34-G49-G64-G79,0)</f>
        <v>0</v>
      </c>
      <c r="H80" s="70">
        <f t="shared" si="94"/>
        <v>0</v>
      </c>
      <c r="I80" s="70">
        <f t="shared" si="94"/>
        <v>0</v>
      </c>
      <c r="J80" s="70">
        <f t="shared" si="94"/>
        <v>0</v>
      </c>
      <c r="K80" s="70">
        <f t="shared" si="94"/>
        <v>0</v>
      </c>
      <c r="L80" s="70">
        <f t="shared" si="94"/>
        <v>0</v>
      </c>
      <c r="M80" s="70">
        <f t="shared" si="94"/>
        <v>0</v>
      </c>
      <c r="N80" s="70">
        <f t="shared" si="94"/>
        <v>0</v>
      </c>
      <c r="O80" s="70">
        <f t="shared" si="94"/>
        <v>0</v>
      </c>
      <c r="P80" s="70">
        <f t="shared" si="94"/>
        <v>0</v>
      </c>
      <c r="Q80" s="70">
        <f t="shared" si="94"/>
        <v>0</v>
      </c>
      <c r="R80" s="70">
        <f t="shared" si="94"/>
        <v>0</v>
      </c>
      <c r="S80" s="70">
        <f t="shared" si="94"/>
        <v>0</v>
      </c>
      <c r="T80" s="70">
        <f t="shared" si="94"/>
        <v>0</v>
      </c>
      <c r="U80" s="70">
        <f t="shared" si="94"/>
        <v>0</v>
      </c>
      <c r="V80" s="70">
        <f t="shared" si="94"/>
        <v>0</v>
      </c>
      <c r="W80" s="70">
        <f t="shared" si="94"/>
        <v>0</v>
      </c>
      <c r="X80" s="70">
        <f t="shared" si="94"/>
        <v>0</v>
      </c>
      <c r="Y80" s="70">
        <f t="shared" si="94"/>
        <v>0</v>
      </c>
      <c r="Z80" s="70">
        <f t="shared" si="94"/>
        <v>0</v>
      </c>
      <c r="AA80" s="70">
        <f t="shared" si="94"/>
        <v>0</v>
      </c>
      <c r="AB80" s="70">
        <f t="shared" si="94"/>
        <v>0</v>
      </c>
      <c r="AC80" s="70">
        <f t="shared" si="94"/>
        <v>0</v>
      </c>
      <c r="AD80" s="70">
        <f t="shared" si="94"/>
        <v>0</v>
      </c>
      <c r="AE80" s="70">
        <f t="shared" si="94"/>
        <v>0</v>
      </c>
      <c r="AF80" s="70">
        <f t="shared" si="94"/>
        <v>0</v>
      </c>
      <c r="AG80" s="70">
        <f t="shared" si="94"/>
        <v>0</v>
      </c>
      <c r="AH80" s="70">
        <f t="shared" si="94"/>
        <v>0</v>
      </c>
      <c r="AI80" s="70">
        <f t="shared" si="94"/>
        <v>0</v>
      </c>
      <c r="AJ80" s="70">
        <f t="shared" si="94"/>
        <v>0</v>
      </c>
      <c r="AK80" s="70">
        <f t="shared" si="94"/>
        <v>0</v>
      </c>
      <c r="AL80" s="70">
        <f t="shared" si="94"/>
        <v>0</v>
      </c>
      <c r="AM80" s="70">
        <f t="shared" si="94"/>
        <v>0</v>
      </c>
      <c r="AN80" s="70">
        <f t="shared" si="94"/>
        <v>0</v>
      </c>
      <c r="AO80" s="70">
        <f t="shared" si="94"/>
        <v>0</v>
      </c>
      <c r="AP80" s="70">
        <f t="shared" si="94"/>
        <v>0</v>
      </c>
      <c r="AQ80" s="70">
        <f t="shared" si="94"/>
        <v>0</v>
      </c>
      <c r="AR80" s="70">
        <f t="shared" si="94"/>
        <v>0</v>
      </c>
      <c r="AS80" s="70">
        <f t="shared" si="94"/>
        <v>0</v>
      </c>
      <c r="AT80" s="70">
        <f t="shared" si="94"/>
        <v>0</v>
      </c>
      <c r="AU80" s="70">
        <f t="shared" si="94"/>
        <v>0</v>
      </c>
      <c r="AV80" s="70">
        <f t="shared" si="94"/>
        <v>0</v>
      </c>
      <c r="AW80" s="70">
        <f t="shared" si="94"/>
        <v>0</v>
      </c>
      <c r="AX80" s="70">
        <f t="shared" si="94"/>
        <v>0</v>
      </c>
      <c r="AY80" s="70">
        <f t="shared" si="94"/>
        <v>0</v>
      </c>
      <c r="AZ80" s="70">
        <f t="shared" si="94"/>
        <v>0</v>
      </c>
      <c r="BA80" s="70">
        <f t="shared" si="94"/>
        <v>0</v>
      </c>
      <c r="BB80" s="70">
        <f t="shared" si="94"/>
        <v>0</v>
      </c>
      <c r="BC80" s="70">
        <f t="shared" si="94"/>
        <v>0</v>
      </c>
      <c r="BD80" s="70">
        <f t="shared" si="94"/>
        <v>0</v>
      </c>
      <c r="BE80" s="70">
        <f t="shared" si="94"/>
        <v>0</v>
      </c>
      <c r="BF80" s="70">
        <f t="shared" si="94"/>
        <v>0</v>
      </c>
      <c r="BG80" s="70">
        <f t="shared" si="94"/>
        <v>0</v>
      </c>
      <c r="BH80" s="70">
        <f t="shared" si="94"/>
        <v>0</v>
      </c>
      <c r="BI80" s="70">
        <f t="shared" si="94"/>
        <v>0</v>
      </c>
      <c r="BJ80" s="70">
        <f t="shared" si="94"/>
        <v>0</v>
      </c>
      <c r="BK80" s="70">
        <f t="shared" si="94"/>
        <v>0</v>
      </c>
      <c r="BL80" s="70">
        <f t="shared" si="94"/>
        <v>0</v>
      </c>
      <c r="BM80" s="70">
        <f t="shared" si="94"/>
        <v>0</v>
      </c>
      <c r="BN80" s="70">
        <f t="shared" si="94"/>
        <v>0</v>
      </c>
      <c r="BO80" s="70">
        <f t="shared" si="94"/>
        <v>0</v>
      </c>
      <c r="BP80" s="70">
        <f t="shared" si="94"/>
        <v>0</v>
      </c>
      <c r="BQ80" s="70">
        <f t="shared" si="94"/>
        <v>0</v>
      </c>
      <c r="BR80" s="70">
        <f t="shared" si="94"/>
        <v>0</v>
      </c>
      <c r="BS80" s="70">
        <f t="shared" ref="BS80:DV80" si="95">MAX(BS34-BS49-BS64-BS79,0)</f>
        <v>0</v>
      </c>
      <c r="BT80" s="70">
        <f t="shared" si="95"/>
        <v>0</v>
      </c>
      <c r="BU80" s="70">
        <f t="shared" si="95"/>
        <v>0</v>
      </c>
      <c r="BV80" s="70">
        <f t="shared" si="95"/>
        <v>0</v>
      </c>
      <c r="BW80" s="70">
        <f t="shared" si="95"/>
        <v>0</v>
      </c>
      <c r="BX80" s="70">
        <f t="shared" si="95"/>
        <v>0</v>
      </c>
      <c r="BY80" s="70">
        <f t="shared" si="95"/>
        <v>0</v>
      </c>
      <c r="BZ80" s="70">
        <f t="shared" si="95"/>
        <v>0</v>
      </c>
      <c r="CA80" s="70">
        <f t="shared" si="95"/>
        <v>0</v>
      </c>
      <c r="CB80" s="70">
        <f t="shared" si="95"/>
        <v>0</v>
      </c>
      <c r="CC80" s="70">
        <f t="shared" si="95"/>
        <v>0</v>
      </c>
      <c r="CD80" s="70">
        <f t="shared" si="95"/>
        <v>0</v>
      </c>
      <c r="CE80" s="70">
        <f t="shared" si="95"/>
        <v>0</v>
      </c>
      <c r="CF80" s="70">
        <f t="shared" si="95"/>
        <v>0</v>
      </c>
      <c r="CG80" s="70">
        <f t="shared" si="95"/>
        <v>0</v>
      </c>
      <c r="CH80" s="70">
        <f t="shared" si="95"/>
        <v>0</v>
      </c>
      <c r="CI80" s="70">
        <f t="shared" si="95"/>
        <v>0</v>
      </c>
      <c r="CJ80" s="70">
        <f t="shared" si="95"/>
        <v>0</v>
      </c>
      <c r="CK80" s="70">
        <f t="shared" si="95"/>
        <v>0</v>
      </c>
      <c r="CL80" s="70">
        <f t="shared" si="95"/>
        <v>0</v>
      </c>
      <c r="CM80" s="70">
        <f t="shared" si="95"/>
        <v>0</v>
      </c>
      <c r="CN80" s="70">
        <f t="shared" si="95"/>
        <v>0</v>
      </c>
      <c r="CO80" s="70">
        <f t="shared" si="95"/>
        <v>0</v>
      </c>
      <c r="CP80" s="70">
        <f t="shared" si="95"/>
        <v>0</v>
      </c>
      <c r="CQ80" s="70">
        <f t="shared" si="95"/>
        <v>0</v>
      </c>
      <c r="CR80" s="70">
        <f t="shared" si="95"/>
        <v>0</v>
      </c>
      <c r="CS80" s="70">
        <f t="shared" si="95"/>
        <v>0</v>
      </c>
      <c r="CT80" s="70">
        <f t="shared" si="95"/>
        <v>0</v>
      </c>
      <c r="CU80" s="70">
        <f t="shared" si="95"/>
        <v>0</v>
      </c>
      <c r="CV80" s="70">
        <f t="shared" si="95"/>
        <v>0</v>
      </c>
      <c r="CW80" s="70">
        <f t="shared" si="95"/>
        <v>0</v>
      </c>
      <c r="CX80" s="70">
        <f t="shared" si="95"/>
        <v>0</v>
      </c>
      <c r="CY80" s="70">
        <f t="shared" si="95"/>
        <v>0</v>
      </c>
      <c r="CZ80" s="70">
        <f t="shared" si="95"/>
        <v>0</v>
      </c>
      <c r="DA80" s="70">
        <f t="shared" si="95"/>
        <v>0</v>
      </c>
      <c r="DB80" s="70">
        <f t="shared" si="95"/>
        <v>0</v>
      </c>
      <c r="DC80" s="70">
        <f t="shared" si="95"/>
        <v>0</v>
      </c>
      <c r="DD80" s="70">
        <f t="shared" si="95"/>
        <v>0</v>
      </c>
      <c r="DE80" s="70">
        <f t="shared" si="95"/>
        <v>0</v>
      </c>
      <c r="DF80" s="70">
        <f t="shared" si="95"/>
        <v>0</v>
      </c>
      <c r="DG80" s="70">
        <f t="shared" si="95"/>
        <v>0</v>
      </c>
      <c r="DH80" s="70">
        <f t="shared" si="95"/>
        <v>0</v>
      </c>
      <c r="DI80" s="70">
        <f t="shared" si="95"/>
        <v>0</v>
      </c>
      <c r="DJ80" s="70">
        <f t="shared" si="95"/>
        <v>0</v>
      </c>
      <c r="DK80" s="70">
        <f t="shared" si="95"/>
        <v>0</v>
      </c>
      <c r="DL80" s="70">
        <f t="shared" si="95"/>
        <v>0</v>
      </c>
      <c r="DM80" s="70">
        <f t="shared" si="95"/>
        <v>0</v>
      </c>
      <c r="DN80" s="70">
        <f t="shared" si="95"/>
        <v>0</v>
      </c>
      <c r="DO80" s="70">
        <f t="shared" si="95"/>
        <v>0</v>
      </c>
      <c r="DP80" s="70">
        <f t="shared" si="95"/>
        <v>0</v>
      </c>
      <c r="DQ80" s="70">
        <f t="shared" si="95"/>
        <v>0</v>
      </c>
      <c r="DR80" s="70">
        <f t="shared" si="95"/>
        <v>0</v>
      </c>
      <c r="DS80" s="70">
        <f t="shared" si="95"/>
        <v>0</v>
      </c>
      <c r="DT80" s="70">
        <f t="shared" si="95"/>
        <v>0</v>
      </c>
      <c r="DU80" s="70">
        <f t="shared" si="95"/>
        <v>0</v>
      </c>
      <c r="DV80" s="70">
        <f t="shared" si="95"/>
        <v>0</v>
      </c>
    </row>
    <row r="81" spans="2:126" x14ac:dyDescent="0.3"/>
    <row r="82" spans="2:126" ht="15.6" x14ac:dyDescent="0.3">
      <c r="B82" s="79" t="s">
        <v>4</v>
      </c>
    </row>
    <row r="83" spans="2:126" x14ac:dyDescent="0.3">
      <c r="B83" s="84" t="s">
        <v>3</v>
      </c>
      <c r="C83" s="86"/>
      <c r="D83" s="85"/>
      <c r="E83" s="85"/>
      <c r="F83" s="83">
        <f>F$17</f>
        <v>0</v>
      </c>
      <c r="G83" s="83">
        <f t="shared" ref="G83:BR83" si="96">G$17</f>
        <v>1</v>
      </c>
      <c r="H83" s="83">
        <f t="shared" si="96"/>
        <v>2</v>
      </c>
      <c r="I83" s="83">
        <f t="shared" si="96"/>
        <v>3</v>
      </c>
      <c r="J83" s="83">
        <f t="shared" si="96"/>
        <v>4</v>
      </c>
      <c r="K83" s="83">
        <f t="shared" si="96"/>
        <v>5</v>
      </c>
      <c r="L83" s="83">
        <f t="shared" si="96"/>
        <v>6</v>
      </c>
      <c r="M83" s="83">
        <f t="shared" si="96"/>
        <v>7</v>
      </c>
      <c r="N83" s="83">
        <f t="shared" si="96"/>
        <v>8</v>
      </c>
      <c r="O83" s="83">
        <f t="shared" si="96"/>
        <v>9</v>
      </c>
      <c r="P83" s="83">
        <f t="shared" si="96"/>
        <v>10</v>
      </c>
      <c r="Q83" s="83">
        <f t="shared" si="96"/>
        <v>11</v>
      </c>
      <c r="R83" s="83">
        <f t="shared" si="96"/>
        <v>12</v>
      </c>
      <c r="S83" s="83">
        <f t="shared" si="96"/>
        <v>13</v>
      </c>
      <c r="T83" s="83">
        <f t="shared" si="96"/>
        <v>14</v>
      </c>
      <c r="U83" s="83">
        <f t="shared" si="96"/>
        <v>15</v>
      </c>
      <c r="V83" s="83">
        <f t="shared" si="96"/>
        <v>16</v>
      </c>
      <c r="W83" s="83">
        <f t="shared" si="96"/>
        <v>17</v>
      </c>
      <c r="X83" s="83">
        <f t="shared" si="96"/>
        <v>18</v>
      </c>
      <c r="Y83" s="83">
        <f t="shared" si="96"/>
        <v>19</v>
      </c>
      <c r="Z83" s="83">
        <f t="shared" si="96"/>
        <v>20</v>
      </c>
      <c r="AA83" s="83">
        <f t="shared" si="96"/>
        <v>21</v>
      </c>
      <c r="AB83" s="83">
        <f t="shared" si="96"/>
        <v>22</v>
      </c>
      <c r="AC83" s="83">
        <f t="shared" si="96"/>
        <v>23</v>
      </c>
      <c r="AD83" s="83">
        <f t="shared" si="96"/>
        <v>24</v>
      </c>
      <c r="AE83" s="83">
        <f t="shared" si="96"/>
        <v>25</v>
      </c>
      <c r="AF83" s="83">
        <f t="shared" si="96"/>
        <v>26</v>
      </c>
      <c r="AG83" s="83">
        <f t="shared" si="96"/>
        <v>27</v>
      </c>
      <c r="AH83" s="83">
        <f t="shared" si="96"/>
        <v>28</v>
      </c>
      <c r="AI83" s="83">
        <f t="shared" si="96"/>
        <v>29</v>
      </c>
      <c r="AJ83" s="83">
        <f t="shared" si="96"/>
        <v>30</v>
      </c>
      <c r="AK83" s="83">
        <f t="shared" si="96"/>
        <v>31</v>
      </c>
      <c r="AL83" s="83">
        <f t="shared" si="96"/>
        <v>32</v>
      </c>
      <c r="AM83" s="83">
        <f t="shared" si="96"/>
        <v>33</v>
      </c>
      <c r="AN83" s="83">
        <f t="shared" si="96"/>
        <v>34</v>
      </c>
      <c r="AO83" s="83">
        <f t="shared" si="96"/>
        <v>35</v>
      </c>
      <c r="AP83" s="83">
        <f t="shared" si="96"/>
        <v>36</v>
      </c>
      <c r="AQ83" s="83">
        <f t="shared" si="96"/>
        <v>37</v>
      </c>
      <c r="AR83" s="83">
        <f t="shared" si="96"/>
        <v>38</v>
      </c>
      <c r="AS83" s="83">
        <f t="shared" si="96"/>
        <v>39</v>
      </c>
      <c r="AT83" s="83">
        <f t="shared" si="96"/>
        <v>40</v>
      </c>
      <c r="AU83" s="83">
        <f t="shared" si="96"/>
        <v>41</v>
      </c>
      <c r="AV83" s="83">
        <f t="shared" si="96"/>
        <v>42</v>
      </c>
      <c r="AW83" s="83">
        <f t="shared" si="96"/>
        <v>43</v>
      </c>
      <c r="AX83" s="83">
        <f t="shared" si="96"/>
        <v>44</v>
      </c>
      <c r="AY83" s="83">
        <f t="shared" si="96"/>
        <v>45</v>
      </c>
      <c r="AZ83" s="83">
        <f t="shared" si="96"/>
        <v>46</v>
      </c>
      <c r="BA83" s="83">
        <f t="shared" si="96"/>
        <v>47</v>
      </c>
      <c r="BB83" s="83">
        <f t="shared" si="96"/>
        <v>48</v>
      </c>
      <c r="BC83" s="83">
        <f t="shared" si="96"/>
        <v>49</v>
      </c>
      <c r="BD83" s="83">
        <f t="shared" si="96"/>
        <v>50</v>
      </c>
      <c r="BE83" s="83">
        <f t="shared" si="96"/>
        <v>51</v>
      </c>
      <c r="BF83" s="83">
        <f t="shared" si="96"/>
        <v>52</v>
      </c>
      <c r="BG83" s="83">
        <f t="shared" si="96"/>
        <v>53</v>
      </c>
      <c r="BH83" s="83">
        <f t="shared" si="96"/>
        <v>54</v>
      </c>
      <c r="BI83" s="83">
        <f t="shared" si="96"/>
        <v>55</v>
      </c>
      <c r="BJ83" s="83">
        <f t="shared" si="96"/>
        <v>56</v>
      </c>
      <c r="BK83" s="83">
        <f t="shared" si="96"/>
        <v>57</v>
      </c>
      <c r="BL83" s="83">
        <f t="shared" si="96"/>
        <v>58</v>
      </c>
      <c r="BM83" s="83">
        <f t="shared" si="96"/>
        <v>59</v>
      </c>
      <c r="BN83" s="83">
        <f t="shared" si="96"/>
        <v>60</v>
      </c>
      <c r="BO83" s="83">
        <f t="shared" si="96"/>
        <v>61</v>
      </c>
      <c r="BP83" s="83">
        <f t="shared" si="96"/>
        <v>62</v>
      </c>
      <c r="BQ83" s="83">
        <f t="shared" si="96"/>
        <v>63</v>
      </c>
      <c r="BR83" s="83">
        <f t="shared" si="96"/>
        <v>64</v>
      </c>
      <c r="BS83" s="83">
        <f t="shared" ref="BS83:DV83" si="97">BS$17</f>
        <v>65</v>
      </c>
      <c r="BT83" s="83">
        <f t="shared" si="97"/>
        <v>66</v>
      </c>
      <c r="BU83" s="83">
        <f t="shared" si="97"/>
        <v>67</v>
      </c>
      <c r="BV83" s="83">
        <f t="shared" si="97"/>
        <v>68</v>
      </c>
      <c r="BW83" s="83">
        <f t="shared" si="97"/>
        <v>69</v>
      </c>
      <c r="BX83" s="83">
        <f t="shared" si="97"/>
        <v>70</v>
      </c>
      <c r="BY83" s="83">
        <f t="shared" si="97"/>
        <v>71</v>
      </c>
      <c r="BZ83" s="83">
        <f t="shared" si="97"/>
        <v>72</v>
      </c>
      <c r="CA83" s="83">
        <f t="shared" si="97"/>
        <v>73</v>
      </c>
      <c r="CB83" s="83">
        <f t="shared" si="97"/>
        <v>74</v>
      </c>
      <c r="CC83" s="83">
        <f t="shared" si="97"/>
        <v>75</v>
      </c>
      <c r="CD83" s="83">
        <f t="shared" si="97"/>
        <v>76</v>
      </c>
      <c r="CE83" s="83">
        <f t="shared" si="97"/>
        <v>77</v>
      </c>
      <c r="CF83" s="83">
        <f t="shared" si="97"/>
        <v>78</v>
      </c>
      <c r="CG83" s="83">
        <f t="shared" si="97"/>
        <v>79</v>
      </c>
      <c r="CH83" s="83">
        <f t="shared" si="97"/>
        <v>80</v>
      </c>
      <c r="CI83" s="83">
        <f t="shared" si="97"/>
        <v>81</v>
      </c>
      <c r="CJ83" s="83">
        <f t="shared" si="97"/>
        <v>82</v>
      </c>
      <c r="CK83" s="83">
        <f t="shared" si="97"/>
        <v>83</v>
      </c>
      <c r="CL83" s="83">
        <f t="shared" si="97"/>
        <v>84</v>
      </c>
      <c r="CM83" s="83">
        <f t="shared" si="97"/>
        <v>85</v>
      </c>
      <c r="CN83" s="83">
        <f t="shared" si="97"/>
        <v>86</v>
      </c>
      <c r="CO83" s="83">
        <f t="shared" si="97"/>
        <v>87</v>
      </c>
      <c r="CP83" s="83">
        <f t="shared" si="97"/>
        <v>88</v>
      </c>
      <c r="CQ83" s="83">
        <f t="shared" si="97"/>
        <v>89</v>
      </c>
      <c r="CR83" s="83">
        <f t="shared" si="97"/>
        <v>90</v>
      </c>
      <c r="CS83" s="83">
        <f t="shared" si="97"/>
        <v>91</v>
      </c>
      <c r="CT83" s="83">
        <f t="shared" si="97"/>
        <v>92</v>
      </c>
      <c r="CU83" s="83">
        <f t="shared" si="97"/>
        <v>93</v>
      </c>
      <c r="CV83" s="83">
        <f t="shared" si="97"/>
        <v>94</v>
      </c>
      <c r="CW83" s="83">
        <f t="shared" si="97"/>
        <v>95</v>
      </c>
      <c r="CX83" s="83">
        <f t="shared" si="97"/>
        <v>96</v>
      </c>
      <c r="CY83" s="83">
        <f t="shared" si="97"/>
        <v>97</v>
      </c>
      <c r="CZ83" s="83">
        <f t="shared" si="97"/>
        <v>98</v>
      </c>
      <c r="DA83" s="83">
        <f t="shared" si="97"/>
        <v>99</v>
      </c>
      <c r="DB83" s="83">
        <f t="shared" si="97"/>
        <v>100</v>
      </c>
      <c r="DC83" s="83">
        <f t="shared" si="97"/>
        <v>101</v>
      </c>
      <c r="DD83" s="83">
        <f t="shared" si="97"/>
        <v>102</v>
      </c>
      <c r="DE83" s="83">
        <f t="shared" si="97"/>
        <v>103</v>
      </c>
      <c r="DF83" s="83">
        <f t="shared" si="97"/>
        <v>104</v>
      </c>
      <c r="DG83" s="83">
        <f t="shared" si="97"/>
        <v>105</v>
      </c>
      <c r="DH83" s="83">
        <f t="shared" si="97"/>
        <v>106</v>
      </c>
      <c r="DI83" s="83">
        <f t="shared" si="97"/>
        <v>107</v>
      </c>
      <c r="DJ83" s="83">
        <f t="shared" si="97"/>
        <v>108</v>
      </c>
      <c r="DK83" s="83">
        <f t="shared" si="97"/>
        <v>109</v>
      </c>
      <c r="DL83" s="83">
        <f t="shared" si="97"/>
        <v>110</v>
      </c>
      <c r="DM83" s="83">
        <f t="shared" si="97"/>
        <v>111</v>
      </c>
      <c r="DN83" s="83">
        <f t="shared" si="97"/>
        <v>112</v>
      </c>
      <c r="DO83" s="83">
        <f t="shared" si="97"/>
        <v>113</v>
      </c>
      <c r="DP83" s="83">
        <f t="shared" si="97"/>
        <v>114</v>
      </c>
      <c r="DQ83" s="83">
        <f t="shared" si="97"/>
        <v>115</v>
      </c>
      <c r="DR83" s="83">
        <f t="shared" si="97"/>
        <v>116</v>
      </c>
      <c r="DS83" s="83">
        <f t="shared" si="97"/>
        <v>117</v>
      </c>
      <c r="DT83" s="83">
        <f t="shared" si="97"/>
        <v>118</v>
      </c>
      <c r="DU83" s="83">
        <f t="shared" si="97"/>
        <v>119</v>
      </c>
      <c r="DV83" s="83">
        <f t="shared" si="97"/>
        <v>120</v>
      </c>
    </row>
    <row r="84" spans="2:126" x14ac:dyDescent="0.3">
      <c r="B84" t="s">
        <v>2</v>
      </c>
      <c r="F84" s="70">
        <f>F80*$I$13</f>
        <v>0</v>
      </c>
      <c r="G84" s="70">
        <f t="shared" ref="G84:BR84" si="98">G80*$I$13</f>
        <v>0</v>
      </c>
      <c r="H84" s="70">
        <f t="shared" si="98"/>
        <v>0</v>
      </c>
      <c r="I84" s="70">
        <f t="shared" si="98"/>
        <v>0</v>
      </c>
      <c r="J84" s="70">
        <f t="shared" si="98"/>
        <v>0</v>
      </c>
      <c r="K84" s="70">
        <f t="shared" si="98"/>
        <v>0</v>
      </c>
      <c r="L84" s="70">
        <f t="shared" si="98"/>
        <v>0</v>
      </c>
      <c r="M84" s="70">
        <f t="shared" si="98"/>
        <v>0</v>
      </c>
      <c r="N84" s="70">
        <f t="shared" si="98"/>
        <v>0</v>
      </c>
      <c r="O84" s="70">
        <f t="shared" si="98"/>
        <v>0</v>
      </c>
      <c r="P84" s="70">
        <f t="shared" si="98"/>
        <v>0</v>
      </c>
      <c r="Q84" s="70">
        <f t="shared" si="98"/>
        <v>0</v>
      </c>
      <c r="R84" s="70">
        <f t="shared" si="98"/>
        <v>0</v>
      </c>
      <c r="S84" s="70">
        <f t="shared" si="98"/>
        <v>0</v>
      </c>
      <c r="T84" s="70">
        <f t="shared" si="98"/>
        <v>0</v>
      </c>
      <c r="U84" s="70">
        <f t="shared" si="98"/>
        <v>0</v>
      </c>
      <c r="V84" s="70">
        <f t="shared" si="98"/>
        <v>0</v>
      </c>
      <c r="W84" s="70">
        <f t="shared" si="98"/>
        <v>0</v>
      </c>
      <c r="X84" s="70">
        <f t="shared" si="98"/>
        <v>0</v>
      </c>
      <c r="Y84" s="70">
        <f t="shared" si="98"/>
        <v>0</v>
      </c>
      <c r="Z84" s="70">
        <f t="shared" si="98"/>
        <v>0</v>
      </c>
      <c r="AA84" s="70">
        <f t="shared" si="98"/>
        <v>0</v>
      </c>
      <c r="AB84" s="70">
        <f t="shared" si="98"/>
        <v>0</v>
      </c>
      <c r="AC84" s="70">
        <f t="shared" si="98"/>
        <v>0</v>
      </c>
      <c r="AD84" s="70">
        <f t="shared" si="98"/>
        <v>0</v>
      </c>
      <c r="AE84" s="70">
        <f t="shared" si="98"/>
        <v>0</v>
      </c>
      <c r="AF84" s="70">
        <f t="shared" si="98"/>
        <v>0</v>
      </c>
      <c r="AG84" s="70">
        <f t="shared" si="98"/>
        <v>0</v>
      </c>
      <c r="AH84" s="70">
        <f t="shared" si="98"/>
        <v>0</v>
      </c>
      <c r="AI84" s="70">
        <f t="shared" si="98"/>
        <v>0</v>
      </c>
      <c r="AJ84" s="70">
        <f t="shared" si="98"/>
        <v>0</v>
      </c>
      <c r="AK84" s="70">
        <f t="shared" si="98"/>
        <v>0</v>
      </c>
      <c r="AL84" s="70">
        <f t="shared" si="98"/>
        <v>0</v>
      </c>
      <c r="AM84" s="70">
        <f t="shared" si="98"/>
        <v>0</v>
      </c>
      <c r="AN84" s="70">
        <f t="shared" si="98"/>
        <v>0</v>
      </c>
      <c r="AO84" s="70">
        <f t="shared" si="98"/>
        <v>0</v>
      </c>
      <c r="AP84" s="70">
        <f t="shared" si="98"/>
        <v>0</v>
      </c>
      <c r="AQ84" s="70">
        <f t="shared" si="98"/>
        <v>0</v>
      </c>
      <c r="AR84" s="70">
        <f t="shared" si="98"/>
        <v>0</v>
      </c>
      <c r="AS84" s="70">
        <f t="shared" si="98"/>
        <v>0</v>
      </c>
      <c r="AT84" s="70">
        <f t="shared" si="98"/>
        <v>0</v>
      </c>
      <c r="AU84" s="70">
        <f t="shared" si="98"/>
        <v>0</v>
      </c>
      <c r="AV84" s="70">
        <f t="shared" si="98"/>
        <v>0</v>
      </c>
      <c r="AW84" s="70">
        <f t="shared" si="98"/>
        <v>0</v>
      </c>
      <c r="AX84" s="70">
        <f t="shared" si="98"/>
        <v>0</v>
      </c>
      <c r="AY84" s="70">
        <f t="shared" si="98"/>
        <v>0</v>
      </c>
      <c r="AZ84" s="70">
        <f t="shared" si="98"/>
        <v>0</v>
      </c>
      <c r="BA84" s="70">
        <f t="shared" si="98"/>
        <v>0</v>
      </c>
      <c r="BB84" s="70">
        <f t="shared" si="98"/>
        <v>0</v>
      </c>
      <c r="BC84" s="70">
        <f t="shared" si="98"/>
        <v>0</v>
      </c>
      <c r="BD84" s="70">
        <f t="shared" si="98"/>
        <v>0</v>
      </c>
      <c r="BE84" s="70">
        <f t="shared" si="98"/>
        <v>0</v>
      </c>
      <c r="BF84" s="70">
        <f t="shared" si="98"/>
        <v>0</v>
      </c>
      <c r="BG84" s="70">
        <f t="shared" si="98"/>
        <v>0</v>
      </c>
      <c r="BH84" s="70">
        <f t="shared" si="98"/>
        <v>0</v>
      </c>
      <c r="BI84" s="70">
        <f t="shared" si="98"/>
        <v>0</v>
      </c>
      <c r="BJ84" s="70">
        <f t="shared" si="98"/>
        <v>0</v>
      </c>
      <c r="BK84" s="70">
        <f t="shared" si="98"/>
        <v>0</v>
      </c>
      <c r="BL84" s="70">
        <f t="shared" si="98"/>
        <v>0</v>
      </c>
      <c r="BM84" s="70">
        <f t="shared" si="98"/>
        <v>0</v>
      </c>
      <c r="BN84" s="70">
        <f t="shared" si="98"/>
        <v>0</v>
      </c>
      <c r="BO84" s="70">
        <f t="shared" si="98"/>
        <v>0</v>
      </c>
      <c r="BP84" s="70">
        <f t="shared" si="98"/>
        <v>0</v>
      </c>
      <c r="BQ84" s="70">
        <f t="shared" si="98"/>
        <v>0</v>
      </c>
      <c r="BR84" s="70">
        <f t="shared" si="98"/>
        <v>0</v>
      </c>
      <c r="BS84" s="70">
        <f t="shared" ref="BS84:DV84" si="99">BS80*$I$13</f>
        <v>0</v>
      </c>
      <c r="BT84" s="70">
        <f t="shared" si="99"/>
        <v>0</v>
      </c>
      <c r="BU84" s="70">
        <f t="shared" si="99"/>
        <v>0</v>
      </c>
      <c r="BV84" s="70">
        <f t="shared" si="99"/>
        <v>0</v>
      </c>
      <c r="BW84" s="70">
        <f t="shared" si="99"/>
        <v>0</v>
      </c>
      <c r="BX84" s="70">
        <f t="shared" si="99"/>
        <v>0</v>
      </c>
      <c r="BY84" s="70">
        <f t="shared" si="99"/>
        <v>0</v>
      </c>
      <c r="BZ84" s="70">
        <f t="shared" si="99"/>
        <v>0</v>
      </c>
      <c r="CA84" s="70">
        <f t="shared" si="99"/>
        <v>0</v>
      </c>
      <c r="CB84" s="70">
        <f t="shared" si="99"/>
        <v>0</v>
      </c>
      <c r="CC84" s="70">
        <f t="shared" si="99"/>
        <v>0</v>
      </c>
      <c r="CD84" s="70">
        <f t="shared" si="99"/>
        <v>0</v>
      </c>
      <c r="CE84" s="70">
        <f t="shared" si="99"/>
        <v>0</v>
      </c>
      <c r="CF84" s="70">
        <f t="shared" si="99"/>
        <v>0</v>
      </c>
      <c r="CG84" s="70">
        <f t="shared" si="99"/>
        <v>0</v>
      </c>
      <c r="CH84" s="70">
        <f t="shared" si="99"/>
        <v>0</v>
      </c>
      <c r="CI84" s="70">
        <f t="shared" si="99"/>
        <v>0</v>
      </c>
      <c r="CJ84" s="70">
        <f t="shared" si="99"/>
        <v>0</v>
      </c>
      <c r="CK84" s="70">
        <f t="shared" si="99"/>
        <v>0</v>
      </c>
      <c r="CL84" s="70">
        <f t="shared" si="99"/>
        <v>0</v>
      </c>
      <c r="CM84" s="70">
        <f t="shared" si="99"/>
        <v>0</v>
      </c>
      <c r="CN84" s="70">
        <f t="shared" si="99"/>
        <v>0</v>
      </c>
      <c r="CO84" s="70">
        <f t="shared" si="99"/>
        <v>0</v>
      </c>
      <c r="CP84" s="70">
        <f t="shared" si="99"/>
        <v>0</v>
      </c>
      <c r="CQ84" s="70">
        <f t="shared" si="99"/>
        <v>0</v>
      </c>
      <c r="CR84" s="70">
        <f t="shared" si="99"/>
        <v>0</v>
      </c>
      <c r="CS84" s="70">
        <f t="shared" si="99"/>
        <v>0</v>
      </c>
      <c r="CT84" s="70">
        <f t="shared" si="99"/>
        <v>0</v>
      </c>
      <c r="CU84" s="70">
        <f t="shared" si="99"/>
        <v>0</v>
      </c>
      <c r="CV84" s="70">
        <f t="shared" si="99"/>
        <v>0</v>
      </c>
      <c r="CW84" s="70">
        <f t="shared" si="99"/>
        <v>0</v>
      </c>
      <c r="CX84" s="70">
        <f t="shared" si="99"/>
        <v>0</v>
      </c>
      <c r="CY84" s="70">
        <f t="shared" si="99"/>
        <v>0</v>
      </c>
      <c r="CZ84" s="70">
        <f t="shared" si="99"/>
        <v>0</v>
      </c>
      <c r="DA84" s="70">
        <f t="shared" si="99"/>
        <v>0</v>
      </c>
      <c r="DB84" s="70">
        <f t="shared" si="99"/>
        <v>0</v>
      </c>
      <c r="DC84" s="70">
        <f t="shared" si="99"/>
        <v>0</v>
      </c>
      <c r="DD84" s="70">
        <f t="shared" si="99"/>
        <v>0</v>
      </c>
      <c r="DE84" s="70">
        <f t="shared" si="99"/>
        <v>0</v>
      </c>
      <c r="DF84" s="70">
        <f t="shared" si="99"/>
        <v>0</v>
      </c>
      <c r="DG84" s="70">
        <f t="shared" si="99"/>
        <v>0</v>
      </c>
      <c r="DH84" s="70">
        <f t="shared" si="99"/>
        <v>0</v>
      </c>
      <c r="DI84" s="70">
        <f t="shared" si="99"/>
        <v>0</v>
      </c>
      <c r="DJ84" s="70">
        <f t="shared" si="99"/>
        <v>0</v>
      </c>
      <c r="DK84" s="70">
        <f t="shared" si="99"/>
        <v>0</v>
      </c>
      <c r="DL84" s="70">
        <f t="shared" si="99"/>
        <v>0</v>
      </c>
      <c r="DM84" s="70">
        <f t="shared" si="99"/>
        <v>0</v>
      </c>
      <c r="DN84" s="70">
        <f t="shared" si="99"/>
        <v>0</v>
      </c>
      <c r="DO84" s="70">
        <f t="shared" si="99"/>
        <v>0</v>
      </c>
      <c r="DP84" s="70">
        <f t="shared" si="99"/>
        <v>0</v>
      </c>
      <c r="DQ84" s="70">
        <f t="shared" si="99"/>
        <v>0</v>
      </c>
      <c r="DR84" s="70">
        <f t="shared" si="99"/>
        <v>0</v>
      </c>
      <c r="DS84" s="70">
        <f t="shared" si="99"/>
        <v>0</v>
      </c>
      <c r="DT84" s="70">
        <f t="shared" si="99"/>
        <v>0</v>
      </c>
      <c r="DU84" s="70">
        <f t="shared" si="99"/>
        <v>0</v>
      </c>
      <c r="DV84" s="70">
        <f t="shared" si="99"/>
        <v>0</v>
      </c>
    </row>
    <row r="85" spans="2:126" x14ac:dyDescent="0.3">
      <c r="B85" t="s">
        <v>46</v>
      </c>
      <c r="F85" s="70">
        <f>F80*$H$13</f>
        <v>0</v>
      </c>
      <c r="G85" s="70">
        <f t="shared" ref="G85:BR85" si="100">G80*$H$13</f>
        <v>0</v>
      </c>
      <c r="H85" s="70">
        <f t="shared" si="100"/>
        <v>0</v>
      </c>
      <c r="I85" s="70">
        <f t="shared" si="100"/>
        <v>0</v>
      </c>
      <c r="J85" s="70">
        <f t="shared" si="100"/>
        <v>0</v>
      </c>
      <c r="K85" s="70">
        <f t="shared" si="100"/>
        <v>0</v>
      </c>
      <c r="L85" s="70">
        <f t="shared" si="100"/>
        <v>0</v>
      </c>
      <c r="M85" s="70">
        <f t="shared" si="100"/>
        <v>0</v>
      </c>
      <c r="N85" s="70">
        <f t="shared" si="100"/>
        <v>0</v>
      </c>
      <c r="O85" s="70">
        <f t="shared" si="100"/>
        <v>0</v>
      </c>
      <c r="P85" s="70">
        <f t="shared" si="100"/>
        <v>0</v>
      </c>
      <c r="Q85" s="70">
        <f t="shared" si="100"/>
        <v>0</v>
      </c>
      <c r="R85" s="70">
        <f t="shared" si="100"/>
        <v>0</v>
      </c>
      <c r="S85" s="70">
        <f t="shared" si="100"/>
        <v>0</v>
      </c>
      <c r="T85" s="70">
        <f t="shared" si="100"/>
        <v>0</v>
      </c>
      <c r="U85" s="70">
        <f t="shared" si="100"/>
        <v>0</v>
      </c>
      <c r="V85" s="70">
        <f t="shared" si="100"/>
        <v>0</v>
      </c>
      <c r="W85" s="70">
        <f t="shared" si="100"/>
        <v>0</v>
      </c>
      <c r="X85" s="70">
        <f t="shared" si="100"/>
        <v>0</v>
      </c>
      <c r="Y85" s="70">
        <f t="shared" si="100"/>
        <v>0</v>
      </c>
      <c r="Z85" s="70">
        <f t="shared" si="100"/>
        <v>0</v>
      </c>
      <c r="AA85" s="70">
        <f t="shared" si="100"/>
        <v>0</v>
      </c>
      <c r="AB85" s="70">
        <f t="shared" si="100"/>
        <v>0</v>
      </c>
      <c r="AC85" s="70">
        <f t="shared" si="100"/>
        <v>0</v>
      </c>
      <c r="AD85" s="70">
        <f t="shared" si="100"/>
        <v>0</v>
      </c>
      <c r="AE85" s="70">
        <f t="shared" si="100"/>
        <v>0</v>
      </c>
      <c r="AF85" s="70">
        <f t="shared" si="100"/>
        <v>0</v>
      </c>
      <c r="AG85" s="70">
        <f t="shared" si="100"/>
        <v>0</v>
      </c>
      <c r="AH85" s="70">
        <f t="shared" si="100"/>
        <v>0</v>
      </c>
      <c r="AI85" s="70">
        <f t="shared" si="100"/>
        <v>0</v>
      </c>
      <c r="AJ85" s="70">
        <f t="shared" si="100"/>
        <v>0</v>
      </c>
      <c r="AK85" s="70">
        <f t="shared" si="100"/>
        <v>0</v>
      </c>
      <c r="AL85" s="70">
        <f t="shared" si="100"/>
        <v>0</v>
      </c>
      <c r="AM85" s="70">
        <f t="shared" si="100"/>
        <v>0</v>
      </c>
      <c r="AN85" s="70">
        <f t="shared" si="100"/>
        <v>0</v>
      </c>
      <c r="AO85" s="70">
        <f t="shared" si="100"/>
        <v>0</v>
      </c>
      <c r="AP85" s="70">
        <f t="shared" si="100"/>
        <v>0</v>
      </c>
      <c r="AQ85" s="70">
        <f t="shared" si="100"/>
        <v>0</v>
      </c>
      <c r="AR85" s="70">
        <f t="shared" si="100"/>
        <v>0</v>
      </c>
      <c r="AS85" s="70">
        <f t="shared" si="100"/>
        <v>0</v>
      </c>
      <c r="AT85" s="70">
        <f t="shared" si="100"/>
        <v>0</v>
      </c>
      <c r="AU85" s="70">
        <f t="shared" si="100"/>
        <v>0</v>
      </c>
      <c r="AV85" s="70">
        <f t="shared" si="100"/>
        <v>0</v>
      </c>
      <c r="AW85" s="70">
        <f t="shared" si="100"/>
        <v>0</v>
      </c>
      <c r="AX85" s="70">
        <f t="shared" si="100"/>
        <v>0</v>
      </c>
      <c r="AY85" s="70">
        <f t="shared" si="100"/>
        <v>0</v>
      </c>
      <c r="AZ85" s="70">
        <f t="shared" si="100"/>
        <v>0</v>
      </c>
      <c r="BA85" s="70">
        <f t="shared" si="100"/>
        <v>0</v>
      </c>
      <c r="BB85" s="70">
        <f t="shared" si="100"/>
        <v>0</v>
      </c>
      <c r="BC85" s="70">
        <f t="shared" si="100"/>
        <v>0</v>
      </c>
      <c r="BD85" s="70">
        <f t="shared" si="100"/>
        <v>0</v>
      </c>
      <c r="BE85" s="70">
        <f t="shared" si="100"/>
        <v>0</v>
      </c>
      <c r="BF85" s="70">
        <f t="shared" si="100"/>
        <v>0</v>
      </c>
      <c r="BG85" s="70">
        <f t="shared" si="100"/>
        <v>0</v>
      </c>
      <c r="BH85" s="70">
        <f t="shared" si="100"/>
        <v>0</v>
      </c>
      <c r="BI85" s="70">
        <f t="shared" si="100"/>
        <v>0</v>
      </c>
      <c r="BJ85" s="70">
        <f t="shared" si="100"/>
        <v>0</v>
      </c>
      <c r="BK85" s="70">
        <f t="shared" si="100"/>
        <v>0</v>
      </c>
      <c r="BL85" s="70">
        <f t="shared" si="100"/>
        <v>0</v>
      </c>
      <c r="BM85" s="70">
        <f t="shared" si="100"/>
        <v>0</v>
      </c>
      <c r="BN85" s="70">
        <f t="shared" si="100"/>
        <v>0</v>
      </c>
      <c r="BO85" s="70">
        <f t="shared" si="100"/>
        <v>0</v>
      </c>
      <c r="BP85" s="70">
        <f t="shared" si="100"/>
        <v>0</v>
      </c>
      <c r="BQ85" s="70">
        <f t="shared" si="100"/>
        <v>0</v>
      </c>
      <c r="BR85" s="70">
        <f t="shared" si="100"/>
        <v>0</v>
      </c>
      <c r="BS85" s="70">
        <f t="shared" ref="BS85:DV85" si="101">BS80*$H$13</f>
        <v>0</v>
      </c>
      <c r="BT85" s="70">
        <f t="shared" si="101"/>
        <v>0</v>
      </c>
      <c r="BU85" s="70">
        <f t="shared" si="101"/>
        <v>0</v>
      </c>
      <c r="BV85" s="70">
        <f t="shared" si="101"/>
        <v>0</v>
      </c>
      <c r="BW85" s="70">
        <f t="shared" si="101"/>
        <v>0</v>
      </c>
      <c r="BX85" s="70">
        <f t="shared" si="101"/>
        <v>0</v>
      </c>
      <c r="BY85" s="70">
        <f t="shared" si="101"/>
        <v>0</v>
      </c>
      <c r="BZ85" s="70">
        <f t="shared" si="101"/>
        <v>0</v>
      </c>
      <c r="CA85" s="70">
        <f t="shared" si="101"/>
        <v>0</v>
      </c>
      <c r="CB85" s="70">
        <f t="shared" si="101"/>
        <v>0</v>
      </c>
      <c r="CC85" s="70">
        <f t="shared" si="101"/>
        <v>0</v>
      </c>
      <c r="CD85" s="70">
        <f t="shared" si="101"/>
        <v>0</v>
      </c>
      <c r="CE85" s="70">
        <f t="shared" si="101"/>
        <v>0</v>
      </c>
      <c r="CF85" s="70">
        <f t="shared" si="101"/>
        <v>0</v>
      </c>
      <c r="CG85" s="70">
        <f t="shared" si="101"/>
        <v>0</v>
      </c>
      <c r="CH85" s="70">
        <f t="shared" si="101"/>
        <v>0</v>
      </c>
      <c r="CI85" s="70">
        <f t="shared" si="101"/>
        <v>0</v>
      </c>
      <c r="CJ85" s="70">
        <f t="shared" si="101"/>
        <v>0</v>
      </c>
      <c r="CK85" s="70">
        <f t="shared" si="101"/>
        <v>0</v>
      </c>
      <c r="CL85" s="70">
        <f t="shared" si="101"/>
        <v>0</v>
      </c>
      <c r="CM85" s="70">
        <f t="shared" si="101"/>
        <v>0</v>
      </c>
      <c r="CN85" s="70">
        <f t="shared" si="101"/>
        <v>0</v>
      </c>
      <c r="CO85" s="70">
        <f t="shared" si="101"/>
        <v>0</v>
      </c>
      <c r="CP85" s="70">
        <f t="shared" si="101"/>
        <v>0</v>
      </c>
      <c r="CQ85" s="70">
        <f t="shared" si="101"/>
        <v>0</v>
      </c>
      <c r="CR85" s="70">
        <f t="shared" si="101"/>
        <v>0</v>
      </c>
      <c r="CS85" s="70">
        <f t="shared" si="101"/>
        <v>0</v>
      </c>
      <c r="CT85" s="70">
        <f t="shared" si="101"/>
        <v>0</v>
      </c>
      <c r="CU85" s="70">
        <f t="shared" si="101"/>
        <v>0</v>
      </c>
      <c r="CV85" s="70">
        <f t="shared" si="101"/>
        <v>0</v>
      </c>
      <c r="CW85" s="70">
        <f t="shared" si="101"/>
        <v>0</v>
      </c>
      <c r="CX85" s="70">
        <f t="shared" si="101"/>
        <v>0</v>
      </c>
      <c r="CY85" s="70">
        <f t="shared" si="101"/>
        <v>0</v>
      </c>
      <c r="CZ85" s="70">
        <f t="shared" si="101"/>
        <v>0</v>
      </c>
      <c r="DA85" s="70">
        <f t="shared" si="101"/>
        <v>0</v>
      </c>
      <c r="DB85" s="70">
        <f t="shared" si="101"/>
        <v>0</v>
      </c>
      <c r="DC85" s="70">
        <f t="shared" si="101"/>
        <v>0</v>
      </c>
      <c r="DD85" s="70">
        <f t="shared" si="101"/>
        <v>0</v>
      </c>
      <c r="DE85" s="70">
        <f t="shared" si="101"/>
        <v>0</v>
      </c>
      <c r="DF85" s="70">
        <f t="shared" si="101"/>
        <v>0</v>
      </c>
      <c r="DG85" s="70">
        <f t="shared" si="101"/>
        <v>0</v>
      </c>
      <c r="DH85" s="70">
        <f t="shared" si="101"/>
        <v>0</v>
      </c>
      <c r="DI85" s="70">
        <f t="shared" si="101"/>
        <v>0</v>
      </c>
      <c r="DJ85" s="70">
        <f t="shared" si="101"/>
        <v>0</v>
      </c>
      <c r="DK85" s="70">
        <f t="shared" si="101"/>
        <v>0</v>
      </c>
      <c r="DL85" s="70">
        <f t="shared" si="101"/>
        <v>0</v>
      </c>
      <c r="DM85" s="70">
        <f t="shared" si="101"/>
        <v>0</v>
      </c>
      <c r="DN85" s="70">
        <f t="shared" si="101"/>
        <v>0</v>
      </c>
      <c r="DO85" s="70">
        <f t="shared" si="101"/>
        <v>0</v>
      </c>
      <c r="DP85" s="70">
        <f t="shared" si="101"/>
        <v>0</v>
      </c>
      <c r="DQ85" s="70">
        <f t="shared" si="101"/>
        <v>0</v>
      </c>
      <c r="DR85" s="70">
        <f t="shared" si="101"/>
        <v>0</v>
      </c>
      <c r="DS85" s="70">
        <f t="shared" si="101"/>
        <v>0</v>
      </c>
      <c r="DT85" s="70">
        <f t="shared" si="101"/>
        <v>0</v>
      </c>
      <c r="DU85" s="70">
        <f t="shared" si="101"/>
        <v>0</v>
      </c>
      <c r="DV85" s="70">
        <f t="shared" si="101"/>
        <v>0</v>
      </c>
    </row>
    <row r="86" spans="2:126" x14ac:dyDescent="0.3">
      <c r="B86" t="str">
        <f>"Total Distributions ("&amp;B82&amp;")"</f>
        <v>Total Distributions (Hurdle 4)</v>
      </c>
      <c r="F86" s="70">
        <f>SUM(F84:F85)</f>
        <v>0</v>
      </c>
      <c r="G86" s="70">
        <f t="shared" ref="G86:BR86" si="102">SUM(G84:G85)</f>
        <v>0</v>
      </c>
      <c r="H86" s="70">
        <f t="shared" si="102"/>
        <v>0</v>
      </c>
      <c r="I86" s="70">
        <f t="shared" si="102"/>
        <v>0</v>
      </c>
      <c r="J86" s="70">
        <f t="shared" si="102"/>
        <v>0</v>
      </c>
      <c r="K86" s="70">
        <f t="shared" si="102"/>
        <v>0</v>
      </c>
      <c r="L86" s="70">
        <f t="shared" si="102"/>
        <v>0</v>
      </c>
      <c r="M86" s="70">
        <f t="shared" si="102"/>
        <v>0</v>
      </c>
      <c r="N86" s="70">
        <f t="shared" si="102"/>
        <v>0</v>
      </c>
      <c r="O86" s="70">
        <f t="shared" si="102"/>
        <v>0</v>
      </c>
      <c r="P86" s="70">
        <f t="shared" si="102"/>
        <v>0</v>
      </c>
      <c r="Q86" s="70">
        <f t="shared" si="102"/>
        <v>0</v>
      </c>
      <c r="R86" s="70">
        <f t="shared" si="102"/>
        <v>0</v>
      </c>
      <c r="S86" s="70">
        <f t="shared" si="102"/>
        <v>0</v>
      </c>
      <c r="T86" s="70">
        <f t="shared" si="102"/>
        <v>0</v>
      </c>
      <c r="U86" s="70">
        <f t="shared" si="102"/>
        <v>0</v>
      </c>
      <c r="V86" s="70">
        <f t="shared" si="102"/>
        <v>0</v>
      </c>
      <c r="W86" s="70">
        <f t="shared" si="102"/>
        <v>0</v>
      </c>
      <c r="X86" s="70">
        <f t="shared" si="102"/>
        <v>0</v>
      </c>
      <c r="Y86" s="70">
        <f t="shared" si="102"/>
        <v>0</v>
      </c>
      <c r="Z86" s="70">
        <f t="shared" si="102"/>
        <v>0</v>
      </c>
      <c r="AA86" s="70">
        <f t="shared" si="102"/>
        <v>0</v>
      </c>
      <c r="AB86" s="70">
        <f t="shared" si="102"/>
        <v>0</v>
      </c>
      <c r="AC86" s="70">
        <f t="shared" si="102"/>
        <v>0</v>
      </c>
      <c r="AD86" s="70">
        <f t="shared" si="102"/>
        <v>0</v>
      </c>
      <c r="AE86" s="70">
        <f t="shared" si="102"/>
        <v>0</v>
      </c>
      <c r="AF86" s="70">
        <f t="shared" si="102"/>
        <v>0</v>
      </c>
      <c r="AG86" s="70">
        <f t="shared" si="102"/>
        <v>0</v>
      </c>
      <c r="AH86" s="70">
        <f t="shared" si="102"/>
        <v>0</v>
      </c>
      <c r="AI86" s="70">
        <f t="shared" si="102"/>
        <v>0</v>
      </c>
      <c r="AJ86" s="70">
        <f t="shared" si="102"/>
        <v>0</v>
      </c>
      <c r="AK86" s="70">
        <f t="shared" si="102"/>
        <v>0</v>
      </c>
      <c r="AL86" s="70">
        <f t="shared" si="102"/>
        <v>0</v>
      </c>
      <c r="AM86" s="70">
        <f t="shared" si="102"/>
        <v>0</v>
      </c>
      <c r="AN86" s="70">
        <f t="shared" si="102"/>
        <v>0</v>
      </c>
      <c r="AO86" s="70">
        <f t="shared" si="102"/>
        <v>0</v>
      </c>
      <c r="AP86" s="70">
        <f t="shared" si="102"/>
        <v>0</v>
      </c>
      <c r="AQ86" s="70">
        <f t="shared" si="102"/>
        <v>0</v>
      </c>
      <c r="AR86" s="70">
        <f t="shared" si="102"/>
        <v>0</v>
      </c>
      <c r="AS86" s="70">
        <f t="shared" si="102"/>
        <v>0</v>
      </c>
      <c r="AT86" s="70">
        <f t="shared" si="102"/>
        <v>0</v>
      </c>
      <c r="AU86" s="70">
        <f t="shared" si="102"/>
        <v>0</v>
      </c>
      <c r="AV86" s="70">
        <f t="shared" si="102"/>
        <v>0</v>
      </c>
      <c r="AW86" s="70">
        <f t="shared" si="102"/>
        <v>0</v>
      </c>
      <c r="AX86" s="70">
        <f t="shared" si="102"/>
        <v>0</v>
      </c>
      <c r="AY86" s="70">
        <f t="shared" si="102"/>
        <v>0</v>
      </c>
      <c r="AZ86" s="70">
        <f t="shared" si="102"/>
        <v>0</v>
      </c>
      <c r="BA86" s="70">
        <f t="shared" si="102"/>
        <v>0</v>
      </c>
      <c r="BB86" s="70">
        <f t="shared" si="102"/>
        <v>0</v>
      </c>
      <c r="BC86" s="70">
        <f t="shared" si="102"/>
        <v>0</v>
      </c>
      <c r="BD86" s="70">
        <f t="shared" si="102"/>
        <v>0</v>
      </c>
      <c r="BE86" s="70">
        <f t="shared" si="102"/>
        <v>0</v>
      </c>
      <c r="BF86" s="70">
        <f t="shared" si="102"/>
        <v>0</v>
      </c>
      <c r="BG86" s="70">
        <f t="shared" si="102"/>
        <v>0</v>
      </c>
      <c r="BH86" s="70">
        <f t="shared" si="102"/>
        <v>0</v>
      </c>
      <c r="BI86" s="70">
        <f t="shared" si="102"/>
        <v>0</v>
      </c>
      <c r="BJ86" s="70">
        <f t="shared" si="102"/>
        <v>0</v>
      </c>
      <c r="BK86" s="70">
        <f t="shared" si="102"/>
        <v>0</v>
      </c>
      <c r="BL86" s="70">
        <f t="shared" si="102"/>
        <v>0</v>
      </c>
      <c r="BM86" s="70">
        <f t="shared" si="102"/>
        <v>0</v>
      </c>
      <c r="BN86" s="70">
        <f t="shared" si="102"/>
        <v>0</v>
      </c>
      <c r="BO86" s="70">
        <f t="shared" si="102"/>
        <v>0</v>
      </c>
      <c r="BP86" s="70">
        <f t="shared" si="102"/>
        <v>0</v>
      </c>
      <c r="BQ86" s="70">
        <f t="shared" si="102"/>
        <v>0</v>
      </c>
      <c r="BR86" s="70">
        <f t="shared" si="102"/>
        <v>0</v>
      </c>
      <c r="BS86" s="70">
        <f t="shared" ref="BS86:DV86" si="103">SUM(BS84:BS85)</f>
        <v>0</v>
      </c>
      <c r="BT86" s="70">
        <f t="shared" si="103"/>
        <v>0</v>
      </c>
      <c r="BU86" s="70">
        <f t="shared" si="103"/>
        <v>0</v>
      </c>
      <c r="BV86" s="70">
        <f t="shared" si="103"/>
        <v>0</v>
      </c>
      <c r="BW86" s="70">
        <f t="shared" si="103"/>
        <v>0</v>
      </c>
      <c r="BX86" s="70">
        <f t="shared" si="103"/>
        <v>0</v>
      </c>
      <c r="BY86" s="70">
        <f t="shared" si="103"/>
        <v>0</v>
      </c>
      <c r="BZ86" s="70">
        <f t="shared" si="103"/>
        <v>0</v>
      </c>
      <c r="CA86" s="70">
        <f t="shared" si="103"/>
        <v>0</v>
      </c>
      <c r="CB86" s="70">
        <f t="shared" si="103"/>
        <v>0</v>
      </c>
      <c r="CC86" s="70">
        <f t="shared" si="103"/>
        <v>0</v>
      </c>
      <c r="CD86" s="70">
        <f t="shared" si="103"/>
        <v>0</v>
      </c>
      <c r="CE86" s="70">
        <f t="shared" si="103"/>
        <v>0</v>
      </c>
      <c r="CF86" s="70">
        <f t="shared" si="103"/>
        <v>0</v>
      </c>
      <c r="CG86" s="70">
        <f t="shared" si="103"/>
        <v>0</v>
      </c>
      <c r="CH86" s="70">
        <f t="shared" si="103"/>
        <v>0</v>
      </c>
      <c r="CI86" s="70">
        <f t="shared" si="103"/>
        <v>0</v>
      </c>
      <c r="CJ86" s="70">
        <f t="shared" si="103"/>
        <v>0</v>
      </c>
      <c r="CK86" s="70">
        <f t="shared" si="103"/>
        <v>0</v>
      </c>
      <c r="CL86" s="70">
        <f t="shared" si="103"/>
        <v>0</v>
      </c>
      <c r="CM86" s="70">
        <f t="shared" si="103"/>
        <v>0</v>
      </c>
      <c r="CN86" s="70">
        <f t="shared" si="103"/>
        <v>0</v>
      </c>
      <c r="CO86" s="70">
        <f t="shared" si="103"/>
        <v>0</v>
      </c>
      <c r="CP86" s="70">
        <f t="shared" si="103"/>
        <v>0</v>
      </c>
      <c r="CQ86" s="70">
        <f t="shared" si="103"/>
        <v>0</v>
      </c>
      <c r="CR86" s="70">
        <f t="shared" si="103"/>
        <v>0</v>
      </c>
      <c r="CS86" s="70">
        <f t="shared" si="103"/>
        <v>0</v>
      </c>
      <c r="CT86" s="70">
        <f t="shared" si="103"/>
        <v>0</v>
      </c>
      <c r="CU86" s="70">
        <f t="shared" si="103"/>
        <v>0</v>
      </c>
      <c r="CV86" s="70">
        <f t="shared" si="103"/>
        <v>0</v>
      </c>
      <c r="CW86" s="70">
        <f t="shared" si="103"/>
        <v>0</v>
      </c>
      <c r="CX86" s="70">
        <f t="shared" si="103"/>
        <v>0</v>
      </c>
      <c r="CY86" s="70">
        <f t="shared" si="103"/>
        <v>0</v>
      </c>
      <c r="CZ86" s="70">
        <f t="shared" si="103"/>
        <v>0</v>
      </c>
      <c r="DA86" s="70">
        <f t="shared" si="103"/>
        <v>0</v>
      </c>
      <c r="DB86" s="70">
        <f t="shared" si="103"/>
        <v>0</v>
      </c>
      <c r="DC86" s="70">
        <f t="shared" si="103"/>
        <v>0</v>
      </c>
      <c r="DD86" s="70">
        <f t="shared" si="103"/>
        <v>0</v>
      </c>
      <c r="DE86" s="70">
        <f t="shared" si="103"/>
        <v>0</v>
      </c>
      <c r="DF86" s="70">
        <f t="shared" si="103"/>
        <v>0</v>
      </c>
      <c r="DG86" s="70">
        <f t="shared" si="103"/>
        <v>0</v>
      </c>
      <c r="DH86" s="70">
        <f t="shared" si="103"/>
        <v>0</v>
      </c>
      <c r="DI86" s="70">
        <f t="shared" si="103"/>
        <v>0</v>
      </c>
      <c r="DJ86" s="70">
        <f t="shared" si="103"/>
        <v>0</v>
      </c>
      <c r="DK86" s="70">
        <f t="shared" si="103"/>
        <v>0</v>
      </c>
      <c r="DL86" s="70">
        <f t="shared" si="103"/>
        <v>0</v>
      </c>
      <c r="DM86" s="70">
        <f t="shared" si="103"/>
        <v>0</v>
      </c>
      <c r="DN86" s="70">
        <f t="shared" si="103"/>
        <v>0</v>
      </c>
      <c r="DO86" s="70">
        <f t="shared" si="103"/>
        <v>0</v>
      </c>
      <c r="DP86" s="70">
        <f t="shared" si="103"/>
        <v>0</v>
      </c>
      <c r="DQ86" s="70">
        <f t="shared" si="103"/>
        <v>0</v>
      </c>
      <c r="DR86" s="70">
        <f t="shared" si="103"/>
        <v>0</v>
      </c>
      <c r="DS86" s="70">
        <f t="shared" si="103"/>
        <v>0</v>
      </c>
      <c r="DT86" s="70">
        <f t="shared" si="103"/>
        <v>0</v>
      </c>
      <c r="DU86" s="70">
        <f t="shared" si="103"/>
        <v>0</v>
      </c>
      <c r="DV86" s="70">
        <f t="shared" si="103"/>
        <v>0</v>
      </c>
    </row>
    <row r="87" spans="2:126" x14ac:dyDescent="0.3">
      <c r="B87" t="s">
        <v>1</v>
      </c>
      <c r="F87" s="70">
        <f>MAX(F34-F49-F64-F79-F86,0)</f>
        <v>0</v>
      </c>
      <c r="G87" s="70">
        <f t="shared" ref="G87:BR87" si="104">MAX(G34-G49-G64-G79-G86,0)</f>
        <v>0</v>
      </c>
      <c r="H87" s="70">
        <f t="shared" si="104"/>
        <v>0</v>
      </c>
      <c r="I87" s="70">
        <f t="shared" si="104"/>
        <v>0</v>
      </c>
      <c r="J87" s="70">
        <f t="shared" si="104"/>
        <v>0</v>
      </c>
      <c r="K87" s="70">
        <f t="shared" si="104"/>
        <v>0</v>
      </c>
      <c r="L87" s="70">
        <f t="shared" si="104"/>
        <v>0</v>
      </c>
      <c r="M87" s="70">
        <f t="shared" si="104"/>
        <v>0</v>
      </c>
      <c r="N87" s="70">
        <f t="shared" si="104"/>
        <v>0</v>
      </c>
      <c r="O87" s="70">
        <f t="shared" si="104"/>
        <v>0</v>
      </c>
      <c r="P87" s="70">
        <f t="shared" si="104"/>
        <v>0</v>
      </c>
      <c r="Q87" s="70">
        <f t="shared" si="104"/>
        <v>0</v>
      </c>
      <c r="R87" s="70">
        <f t="shared" si="104"/>
        <v>0</v>
      </c>
      <c r="S87" s="70">
        <f t="shared" si="104"/>
        <v>0</v>
      </c>
      <c r="T87" s="70">
        <f t="shared" si="104"/>
        <v>0</v>
      </c>
      <c r="U87" s="70">
        <f t="shared" si="104"/>
        <v>0</v>
      </c>
      <c r="V87" s="70">
        <f t="shared" si="104"/>
        <v>0</v>
      </c>
      <c r="W87" s="70">
        <f t="shared" si="104"/>
        <v>0</v>
      </c>
      <c r="X87" s="70">
        <f t="shared" si="104"/>
        <v>0</v>
      </c>
      <c r="Y87" s="70">
        <f t="shared" si="104"/>
        <v>0</v>
      </c>
      <c r="Z87" s="70">
        <f t="shared" si="104"/>
        <v>0</v>
      </c>
      <c r="AA87" s="70">
        <f t="shared" si="104"/>
        <v>0</v>
      </c>
      <c r="AB87" s="70">
        <f t="shared" si="104"/>
        <v>0</v>
      </c>
      <c r="AC87" s="70">
        <f t="shared" si="104"/>
        <v>0</v>
      </c>
      <c r="AD87" s="70">
        <f t="shared" si="104"/>
        <v>0</v>
      </c>
      <c r="AE87" s="70">
        <f t="shared" si="104"/>
        <v>0</v>
      </c>
      <c r="AF87" s="70">
        <f t="shared" si="104"/>
        <v>0</v>
      </c>
      <c r="AG87" s="70">
        <f t="shared" si="104"/>
        <v>0</v>
      </c>
      <c r="AH87" s="70">
        <f t="shared" si="104"/>
        <v>0</v>
      </c>
      <c r="AI87" s="70">
        <f t="shared" si="104"/>
        <v>0</v>
      </c>
      <c r="AJ87" s="70">
        <f t="shared" si="104"/>
        <v>0</v>
      </c>
      <c r="AK87" s="70">
        <f t="shared" si="104"/>
        <v>0</v>
      </c>
      <c r="AL87" s="70">
        <f t="shared" si="104"/>
        <v>0</v>
      </c>
      <c r="AM87" s="70">
        <f t="shared" si="104"/>
        <v>0</v>
      </c>
      <c r="AN87" s="70">
        <f t="shared" si="104"/>
        <v>0</v>
      </c>
      <c r="AO87" s="70">
        <f t="shared" si="104"/>
        <v>0</v>
      </c>
      <c r="AP87" s="70">
        <f t="shared" si="104"/>
        <v>0</v>
      </c>
      <c r="AQ87" s="70">
        <f t="shared" si="104"/>
        <v>0</v>
      </c>
      <c r="AR87" s="70">
        <f t="shared" si="104"/>
        <v>0</v>
      </c>
      <c r="AS87" s="70">
        <f t="shared" si="104"/>
        <v>0</v>
      </c>
      <c r="AT87" s="70">
        <f t="shared" si="104"/>
        <v>0</v>
      </c>
      <c r="AU87" s="70">
        <f t="shared" si="104"/>
        <v>0</v>
      </c>
      <c r="AV87" s="70">
        <f t="shared" si="104"/>
        <v>0</v>
      </c>
      <c r="AW87" s="70">
        <f t="shared" si="104"/>
        <v>0</v>
      </c>
      <c r="AX87" s="70">
        <f t="shared" si="104"/>
        <v>0</v>
      </c>
      <c r="AY87" s="70">
        <f t="shared" si="104"/>
        <v>0</v>
      </c>
      <c r="AZ87" s="70">
        <f t="shared" si="104"/>
        <v>0</v>
      </c>
      <c r="BA87" s="70">
        <f t="shared" si="104"/>
        <v>0</v>
      </c>
      <c r="BB87" s="70">
        <f t="shared" si="104"/>
        <v>0</v>
      </c>
      <c r="BC87" s="70">
        <f t="shared" si="104"/>
        <v>0</v>
      </c>
      <c r="BD87" s="70">
        <f t="shared" si="104"/>
        <v>0</v>
      </c>
      <c r="BE87" s="70">
        <f t="shared" si="104"/>
        <v>0</v>
      </c>
      <c r="BF87" s="70">
        <f t="shared" si="104"/>
        <v>0</v>
      </c>
      <c r="BG87" s="70">
        <f t="shared" si="104"/>
        <v>0</v>
      </c>
      <c r="BH87" s="70">
        <f t="shared" si="104"/>
        <v>0</v>
      </c>
      <c r="BI87" s="70">
        <f t="shared" si="104"/>
        <v>0</v>
      </c>
      <c r="BJ87" s="70">
        <f t="shared" si="104"/>
        <v>0</v>
      </c>
      <c r="BK87" s="70">
        <f t="shared" si="104"/>
        <v>0</v>
      </c>
      <c r="BL87" s="70">
        <f t="shared" si="104"/>
        <v>0</v>
      </c>
      <c r="BM87" s="70">
        <f t="shared" si="104"/>
        <v>0</v>
      </c>
      <c r="BN87" s="70">
        <f t="shared" si="104"/>
        <v>0</v>
      </c>
      <c r="BO87" s="70">
        <f t="shared" si="104"/>
        <v>0</v>
      </c>
      <c r="BP87" s="70">
        <f t="shared" si="104"/>
        <v>0</v>
      </c>
      <c r="BQ87" s="70">
        <f t="shared" si="104"/>
        <v>0</v>
      </c>
      <c r="BR87" s="70">
        <f t="shared" si="104"/>
        <v>0</v>
      </c>
      <c r="BS87" s="70">
        <f t="shared" ref="BS87:DV87" si="105">MAX(BS34-BS49-BS64-BS79-BS86,0)</f>
        <v>0</v>
      </c>
      <c r="BT87" s="70">
        <f t="shared" si="105"/>
        <v>0</v>
      </c>
      <c r="BU87" s="70">
        <f t="shared" si="105"/>
        <v>0</v>
      </c>
      <c r="BV87" s="70">
        <f t="shared" si="105"/>
        <v>0</v>
      </c>
      <c r="BW87" s="70">
        <f t="shared" si="105"/>
        <v>0</v>
      </c>
      <c r="BX87" s="70">
        <f t="shared" si="105"/>
        <v>0</v>
      </c>
      <c r="BY87" s="70">
        <f t="shared" si="105"/>
        <v>0</v>
      </c>
      <c r="BZ87" s="70">
        <f t="shared" si="105"/>
        <v>0</v>
      </c>
      <c r="CA87" s="70">
        <f t="shared" si="105"/>
        <v>0</v>
      </c>
      <c r="CB87" s="70">
        <f t="shared" si="105"/>
        <v>0</v>
      </c>
      <c r="CC87" s="70">
        <f t="shared" si="105"/>
        <v>0</v>
      </c>
      <c r="CD87" s="70">
        <f t="shared" si="105"/>
        <v>0</v>
      </c>
      <c r="CE87" s="70">
        <f t="shared" si="105"/>
        <v>0</v>
      </c>
      <c r="CF87" s="70">
        <f t="shared" si="105"/>
        <v>0</v>
      </c>
      <c r="CG87" s="70">
        <f t="shared" si="105"/>
        <v>0</v>
      </c>
      <c r="CH87" s="70">
        <f t="shared" si="105"/>
        <v>0</v>
      </c>
      <c r="CI87" s="70">
        <f t="shared" si="105"/>
        <v>0</v>
      </c>
      <c r="CJ87" s="70">
        <f t="shared" si="105"/>
        <v>0</v>
      </c>
      <c r="CK87" s="70">
        <f t="shared" si="105"/>
        <v>0</v>
      </c>
      <c r="CL87" s="70">
        <f t="shared" si="105"/>
        <v>0</v>
      </c>
      <c r="CM87" s="70">
        <f t="shared" si="105"/>
        <v>0</v>
      </c>
      <c r="CN87" s="70">
        <f t="shared" si="105"/>
        <v>0</v>
      </c>
      <c r="CO87" s="70">
        <f t="shared" si="105"/>
        <v>0</v>
      </c>
      <c r="CP87" s="70">
        <f t="shared" si="105"/>
        <v>0</v>
      </c>
      <c r="CQ87" s="70">
        <f t="shared" si="105"/>
        <v>0</v>
      </c>
      <c r="CR87" s="70">
        <f t="shared" si="105"/>
        <v>0</v>
      </c>
      <c r="CS87" s="70">
        <f t="shared" si="105"/>
        <v>0</v>
      </c>
      <c r="CT87" s="70">
        <f t="shared" si="105"/>
        <v>0</v>
      </c>
      <c r="CU87" s="70">
        <f t="shared" si="105"/>
        <v>0</v>
      </c>
      <c r="CV87" s="70">
        <f t="shared" si="105"/>
        <v>0</v>
      </c>
      <c r="CW87" s="70">
        <f t="shared" si="105"/>
        <v>0</v>
      </c>
      <c r="CX87" s="70">
        <f t="shared" si="105"/>
        <v>0</v>
      </c>
      <c r="CY87" s="70">
        <f t="shared" si="105"/>
        <v>0</v>
      </c>
      <c r="CZ87" s="70">
        <f t="shared" si="105"/>
        <v>0</v>
      </c>
      <c r="DA87" s="70">
        <f t="shared" si="105"/>
        <v>0</v>
      </c>
      <c r="DB87" s="70">
        <f t="shared" si="105"/>
        <v>0</v>
      </c>
      <c r="DC87" s="70">
        <f t="shared" si="105"/>
        <v>0</v>
      </c>
      <c r="DD87" s="70">
        <f t="shared" si="105"/>
        <v>0</v>
      </c>
      <c r="DE87" s="70">
        <f t="shared" si="105"/>
        <v>0</v>
      </c>
      <c r="DF87" s="70">
        <f t="shared" si="105"/>
        <v>0</v>
      </c>
      <c r="DG87" s="70">
        <f t="shared" si="105"/>
        <v>0</v>
      </c>
      <c r="DH87" s="70">
        <f t="shared" si="105"/>
        <v>0</v>
      </c>
      <c r="DI87" s="70">
        <f t="shared" si="105"/>
        <v>0</v>
      </c>
      <c r="DJ87" s="70">
        <f t="shared" si="105"/>
        <v>0</v>
      </c>
      <c r="DK87" s="70">
        <f t="shared" si="105"/>
        <v>0</v>
      </c>
      <c r="DL87" s="70">
        <f t="shared" si="105"/>
        <v>0</v>
      </c>
      <c r="DM87" s="70">
        <f t="shared" si="105"/>
        <v>0</v>
      </c>
      <c r="DN87" s="70">
        <f t="shared" si="105"/>
        <v>0</v>
      </c>
      <c r="DO87" s="70">
        <f t="shared" si="105"/>
        <v>0</v>
      </c>
      <c r="DP87" s="70">
        <f t="shared" si="105"/>
        <v>0</v>
      </c>
      <c r="DQ87" s="70">
        <f t="shared" si="105"/>
        <v>0</v>
      </c>
      <c r="DR87" s="70">
        <f t="shared" si="105"/>
        <v>0</v>
      </c>
      <c r="DS87" s="70">
        <f t="shared" si="105"/>
        <v>0</v>
      </c>
      <c r="DT87" s="70">
        <f t="shared" si="105"/>
        <v>0</v>
      </c>
      <c r="DU87" s="70">
        <f t="shared" si="105"/>
        <v>0</v>
      </c>
      <c r="DV87" s="70">
        <f t="shared" si="105"/>
        <v>0</v>
      </c>
    </row>
    <row r="88" spans="2:126" x14ac:dyDescent="0.3"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</sheetData>
  <mergeCells count="3">
    <mergeCell ref="F9:G9"/>
    <mergeCell ref="H8:I8"/>
    <mergeCell ref="F8:G8"/>
  </mergeCells>
  <conditionalFormatting sqref="B32:B34">
    <cfRule type="expression" dxfId="7" priority="3">
      <formula>Print_Mode="On"</formula>
    </cfRule>
  </conditionalFormatting>
  <conditionalFormatting sqref="C31:DV31">
    <cfRule type="expression" dxfId="6" priority="1">
      <formula>OR(Equity_Share_GP=1,Equity_Share_GP=0)</formula>
    </cfRule>
  </conditionalFormatting>
  <conditionalFormatting sqref="J8:DV9 K8:L10 B32:DV37 E4:J6 M4:DV6 E7:DV7 B8:E8 B10:DV16 C17:DV17 B18:DV30 C38:DV38 B39:DV51 C52:DV52 B53:DV66 C67:DV67 B68:DV81 C82:DV82 B83:DV87">
    <cfRule type="expression" dxfId="5" priority="7">
      <formula>OR(Equity_Share_GP=1,Equity_Share_GP=0)</formula>
    </cfRule>
  </conditionalFormatting>
  <conditionalFormatting sqref="L8">
    <cfRule type="expression" dxfId="4" priority="6">
      <formula>$L$8="OK"</formula>
    </cfRule>
  </conditionalFormatting>
  <dataValidations count="1">
    <dataValidation type="list" allowBlank="1" showInputMessage="1" showErrorMessage="1" sqref="C32" xr:uid="{91D4AA33-8834-4E09-8A1D-1469A06015AC}">
      <formula1>"Yes, No"</formula1>
    </dataValidation>
  </dataValidations>
  <printOptions horizontalCentered="1"/>
  <pageMargins left="0.25" right="0.25" top="0.75" bottom="0.75" header="0.3" footer="0.3"/>
  <pageSetup scale="10" orientation="landscape" horizontalDpi="4294967294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8B2F-47C9-43BC-B36E-76AC368FC7B7}">
  <sheetPr>
    <tabColor theme="8" tint="0.79998168889431442"/>
    <pageSetUpPr fitToPage="1"/>
  </sheetPr>
  <dimension ref="A1:DZ88"/>
  <sheetViews>
    <sheetView showGridLines="0" tabSelected="1" zoomScale="85" zoomScaleNormal="85" zoomScaleSheetLayoutView="85" workbookViewId="0">
      <selection activeCell="K4" sqref="K4"/>
    </sheetView>
  </sheetViews>
  <sheetFormatPr defaultColWidth="0" defaultRowHeight="14.4" zeroHeight="1" x14ac:dyDescent="0.3"/>
  <cols>
    <col min="1" max="1" width="1.109375" customWidth="1"/>
    <col min="2" max="2" width="29.6640625" customWidth="1"/>
    <col min="3" max="3" width="15.44140625" customWidth="1"/>
    <col min="4" max="4" width="20.6640625" bestFit="1" customWidth="1"/>
    <col min="5" max="5" width="21.44140625" bestFit="1" customWidth="1"/>
    <col min="6" max="6" width="19.5546875" style="31" bestFit="1" customWidth="1"/>
    <col min="7" max="7" width="13.44140625" style="31" bestFit="1" customWidth="1"/>
    <col min="8" max="8" width="12.6640625" style="31" bestFit="1" customWidth="1"/>
    <col min="9" max="9" width="13.6640625" style="31" bestFit="1" customWidth="1"/>
    <col min="10" max="11" width="12.6640625" style="31" bestFit="1" customWidth="1"/>
    <col min="12" max="12" width="13" style="31" bestFit="1" customWidth="1"/>
    <col min="13" max="14" width="12.6640625" style="31" bestFit="1" customWidth="1"/>
    <col min="15" max="15" width="12.88671875" style="31" customWidth="1"/>
    <col min="16" max="16" width="12.5546875" style="31" customWidth="1"/>
    <col min="17" max="18" width="12.6640625" bestFit="1" customWidth="1"/>
    <col min="19" max="19" width="13.44140625" bestFit="1" customWidth="1"/>
    <col min="20" max="20" width="12.6640625" bestFit="1" customWidth="1"/>
    <col min="21" max="21" width="13.6640625" bestFit="1" customWidth="1"/>
    <col min="22" max="23" width="12.6640625" bestFit="1" customWidth="1"/>
    <col min="24" max="24" width="13" bestFit="1" customWidth="1"/>
    <col min="25" max="26" width="12.6640625" bestFit="1" customWidth="1"/>
    <col min="27" max="27" width="13.109375" bestFit="1" customWidth="1"/>
    <col min="28" max="28" width="12.88671875" bestFit="1" customWidth="1"/>
    <col min="29" max="30" width="12.6640625" bestFit="1" customWidth="1"/>
    <col min="31" max="31" width="13.44140625" bestFit="1" customWidth="1"/>
    <col min="32" max="32" width="12.6640625" bestFit="1" customWidth="1"/>
    <col min="33" max="33" width="13.6640625" bestFit="1" customWidth="1"/>
    <col min="34" max="35" width="12.6640625" bestFit="1" customWidth="1"/>
    <col min="36" max="36" width="13" bestFit="1" customWidth="1"/>
    <col min="37" max="38" width="12.6640625" bestFit="1" customWidth="1"/>
    <col min="39" max="39" width="13.109375" bestFit="1" customWidth="1"/>
    <col min="40" max="40" width="12.88671875" bestFit="1" customWidth="1"/>
    <col min="41" max="42" width="12.6640625" bestFit="1" customWidth="1"/>
    <col min="43" max="43" width="13.44140625" bestFit="1" customWidth="1"/>
    <col min="44" max="44" width="12.6640625" bestFit="1" customWidth="1"/>
    <col min="45" max="45" width="13.6640625" bestFit="1" customWidth="1"/>
    <col min="46" max="47" width="12.6640625" bestFit="1" customWidth="1"/>
    <col min="48" max="48" width="13" bestFit="1" customWidth="1"/>
    <col min="49" max="50" width="12.6640625" bestFit="1" customWidth="1"/>
    <col min="51" max="51" width="13.109375" bestFit="1" customWidth="1"/>
    <col min="52" max="52" width="12.88671875" bestFit="1" customWidth="1"/>
    <col min="53" max="54" width="12.6640625" bestFit="1" customWidth="1"/>
    <col min="55" max="55" width="13.44140625" bestFit="1" customWidth="1"/>
    <col min="56" max="56" width="12.6640625" bestFit="1" customWidth="1"/>
    <col min="57" max="57" width="13.6640625" bestFit="1" customWidth="1"/>
    <col min="58" max="59" width="12.6640625" bestFit="1" customWidth="1"/>
    <col min="60" max="60" width="13" bestFit="1" customWidth="1"/>
    <col min="61" max="62" width="12.6640625" bestFit="1" customWidth="1"/>
    <col min="63" max="63" width="13.109375" bestFit="1" customWidth="1"/>
    <col min="64" max="64" width="12.88671875" bestFit="1" customWidth="1"/>
    <col min="65" max="66" width="12.6640625" bestFit="1" customWidth="1"/>
    <col min="67" max="67" width="13.44140625" bestFit="1" customWidth="1"/>
    <col min="68" max="68" width="12.6640625" bestFit="1" customWidth="1"/>
    <col min="69" max="69" width="13.6640625" bestFit="1" customWidth="1"/>
    <col min="70" max="71" width="12.6640625" bestFit="1" customWidth="1"/>
    <col min="72" max="72" width="13" bestFit="1" customWidth="1"/>
    <col min="73" max="74" width="12.6640625" bestFit="1" customWidth="1"/>
    <col min="75" max="75" width="13.109375" bestFit="1" customWidth="1"/>
    <col min="76" max="76" width="12.88671875" bestFit="1" customWidth="1"/>
    <col min="77" max="78" width="12.6640625" bestFit="1" customWidth="1"/>
    <col min="79" max="79" width="13.44140625" bestFit="1" customWidth="1"/>
    <col min="80" max="80" width="12.6640625" bestFit="1" customWidth="1"/>
    <col min="81" max="81" width="13.6640625" bestFit="1" customWidth="1"/>
    <col min="82" max="83" width="12.6640625" bestFit="1" customWidth="1"/>
    <col min="84" max="84" width="13" bestFit="1" customWidth="1"/>
    <col min="85" max="86" width="12.6640625" bestFit="1" customWidth="1"/>
    <col min="87" max="87" width="13.109375" bestFit="1" customWidth="1"/>
    <col min="88" max="88" width="12.88671875" bestFit="1" customWidth="1"/>
    <col min="89" max="90" width="12.6640625" bestFit="1" customWidth="1"/>
    <col min="91" max="91" width="13.44140625" bestFit="1" customWidth="1"/>
    <col min="92" max="92" width="12.6640625" bestFit="1" customWidth="1"/>
    <col min="93" max="93" width="13.6640625" bestFit="1" customWidth="1"/>
    <col min="94" max="95" width="12.6640625" bestFit="1" customWidth="1"/>
    <col min="96" max="126" width="14.33203125" bestFit="1" customWidth="1"/>
    <col min="127" max="127" width="2.88671875" customWidth="1"/>
    <col min="128" max="130" width="0" hidden="1" customWidth="1"/>
    <col min="131" max="16384" width="9.109375" hidden="1"/>
  </cols>
  <sheetData>
    <row r="1" spans="2:126" ht="5.0999999999999996" customHeight="1" x14ac:dyDescent="0.3">
      <c r="F1"/>
      <c r="P1"/>
    </row>
    <row r="2" spans="2:126" ht="18" x14ac:dyDescent="0.35">
      <c r="B2" s="23" t="s">
        <v>53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2:126" ht="5.0999999999999996" customHeight="1" x14ac:dyDescent="0.3">
      <c r="B3" s="34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2:126" ht="15.6" x14ac:dyDescent="0.3">
      <c r="B4" s="26" t="s">
        <v>34</v>
      </c>
      <c r="C4" s="27" t="s">
        <v>0</v>
      </c>
      <c r="D4" s="27" t="s">
        <v>33</v>
      </c>
      <c r="F4" s="38"/>
      <c r="M4"/>
    </row>
    <row r="5" spans="2:126" x14ac:dyDescent="0.3">
      <c r="B5" t="s">
        <v>56</v>
      </c>
      <c r="C5" s="15">
        <v>0.05</v>
      </c>
      <c r="D5" s="28">
        <f>+D27</f>
        <v>19999.810987347089</v>
      </c>
      <c r="F5" s="17"/>
      <c r="G5" s="41"/>
      <c r="M5"/>
    </row>
    <row r="6" spans="2:126" x14ac:dyDescent="0.3">
      <c r="B6" t="s">
        <v>68</v>
      </c>
      <c r="C6" s="29">
        <f>1-C5</f>
        <v>0.95</v>
      </c>
      <c r="D6" s="30">
        <f>+D20</f>
        <v>379996.40875959437</v>
      </c>
      <c r="F6" s="17"/>
      <c r="G6" s="41"/>
    </row>
    <row r="7" spans="2:126" ht="15" thickBot="1" x14ac:dyDescent="0.35">
      <c r="B7" t="s">
        <v>30</v>
      </c>
      <c r="C7" s="19">
        <f>SUM(C5:C6)</f>
        <v>1</v>
      </c>
      <c r="D7" s="28">
        <f>SUM(D5:D6)</f>
        <v>399996.21974694147</v>
      </c>
      <c r="E7" s="5"/>
      <c r="F7" s="17"/>
      <c r="G7" s="41"/>
    </row>
    <row r="8" spans="2:126" ht="15.6" x14ac:dyDescent="0.3">
      <c r="F8" s="91" t="s">
        <v>28</v>
      </c>
      <c r="G8" s="91"/>
      <c r="H8" s="91" t="s">
        <v>29</v>
      </c>
      <c r="I8" s="91"/>
      <c r="K8" s="36" t="s">
        <v>35</v>
      </c>
      <c r="L8" s="37" t="str">
        <f>IF(L9=L10,"OK","ERROR")</f>
        <v>OK</v>
      </c>
    </row>
    <row r="9" spans="2:126" ht="15.6" x14ac:dyDescent="0.3">
      <c r="B9" s="26" t="s">
        <v>28</v>
      </c>
      <c r="C9" s="78"/>
      <c r="D9" s="78"/>
      <c r="E9" s="78"/>
      <c r="F9" s="91" t="s">
        <v>27</v>
      </c>
      <c r="G9" s="91"/>
      <c r="H9" s="78" t="s">
        <v>57</v>
      </c>
      <c r="I9" s="78" t="s">
        <v>69</v>
      </c>
      <c r="K9" s="39" t="s">
        <v>32</v>
      </c>
      <c r="L9" s="40">
        <f>ROUND(D21+D28,0)/1000000</f>
        <v>1.6210599999999999</v>
      </c>
    </row>
    <row r="10" spans="2:126" ht="15" thickBot="1" x14ac:dyDescent="0.35">
      <c r="B10" t="s">
        <v>25</v>
      </c>
      <c r="E10" s="75">
        <v>0.15</v>
      </c>
      <c r="F10" s="45" t="s">
        <v>58</v>
      </c>
      <c r="G10" s="46" t="s">
        <v>49</v>
      </c>
      <c r="H10" s="77">
        <f>C5</f>
        <v>0.05</v>
      </c>
      <c r="I10" s="44">
        <f>C6</f>
        <v>0.95</v>
      </c>
      <c r="J10" s="17"/>
      <c r="K10" s="42" t="s">
        <v>31</v>
      </c>
      <c r="L10" s="43">
        <f>ROUND(SUM(F33:DV33),0)/1000000</f>
        <v>1.6210599999999999</v>
      </c>
    </row>
    <row r="11" spans="2:126" x14ac:dyDescent="0.3">
      <c r="B11" t="s">
        <v>12</v>
      </c>
      <c r="D11" s="48">
        <f>E10</f>
        <v>0.15</v>
      </c>
      <c r="E11" s="76">
        <v>9.99</v>
      </c>
      <c r="F11" s="77">
        <v>0.4</v>
      </c>
      <c r="G11" s="50">
        <f>1-F11</f>
        <v>0.6</v>
      </c>
      <c r="H11" s="47">
        <f>F11+$C$5*G11</f>
        <v>0.43000000000000005</v>
      </c>
      <c r="I11" s="44">
        <f>1-H11</f>
        <v>0.56999999999999995</v>
      </c>
      <c r="J11" s="17"/>
    </row>
    <row r="12" spans="2:126" x14ac:dyDescent="0.3">
      <c r="B12" t="s">
        <v>11</v>
      </c>
      <c r="D12" s="48">
        <f>E11</f>
        <v>9.99</v>
      </c>
      <c r="E12" s="76">
        <v>9.99</v>
      </c>
      <c r="F12" s="77">
        <v>0.4</v>
      </c>
      <c r="G12" s="50">
        <f t="shared" ref="G12:G13" si="0">1-F12</f>
        <v>0.6</v>
      </c>
      <c r="H12" s="47">
        <f t="shared" ref="H12:H13" si="1">F12+$C$5*G12</f>
        <v>0.43000000000000005</v>
      </c>
      <c r="I12" s="44">
        <f t="shared" ref="I12:I13" si="2">1-H12</f>
        <v>0.56999999999999995</v>
      </c>
      <c r="J12" s="17"/>
    </row>
    <row r="13" spans="2:126" x14ac:dyDescent="0.3">
      <c r="B13" t="s">
        <v>4</v>
      </c>
      <c r="D13" s="48">
        <f>E12</f>
        <v>9.99</v>
      </c>
      <c r="E13" s="49"/>
      <c r="F13" s="77">
        <v>0.4</v>
      </c>
      <c r="G13" s="50">
        <f t="shared" si="0"/>
        <v>0.6</v>
      </c>
      <c r="H13" s="47">
        <f t="shared" si="1"/>
        <v>0.43000000000000005</v>
      </c>
      <c r="I13" s="44">
        <f t="shared" si="2"/>
        <v>0.56999999999999995</v>
      </c>
      <c r="J13" s="17"/>
    </row>
    <row r="14" spans="2:126" x14ac:dyDescent="0.3">
      <c r="D14" s="51"/>
      <c r="E14" s="49"/>
      <c r="F14" s="41"/>
      <c r="G14" s="52"/>
      <c r="H14" s="53"/>
      <c r="I14" s="53"/>
    </row>
    <row r="15" spans="2:126" x14ac:dyDescent="0.3">
      <c r="D15" s="51"/>
      <c r="E15" s="54" t="s">
        <v>24</v>
      </c>
      <c r="F15" s="35">
        <f>'GP-LP Returns'!F15</f>
        <v>43830</v>
      </c>
      <c r="G15" s="35">
        <f>'GP-LP Returns'!G15</f>
        <v>43861</v>
      </c>
      <c r="H15" s="35">
        <f>'GP-LP Returns'!H15</f>
        <v>43890</v>
      </c>
      <c r="I15" s="35">
        <f>'GP-LP Returns'!I15</f>
        <v>43921</v>
      </c>
      <c r="J15" s="35">
        <f>'GP-LP Returns'!J15</f>
        <v>43951</v>
      </c>
      <c r="K15" s="35">
        <f>'GP-LP Returns'!K15</f>
        <v>43982</v>
      </c>
      <c r="L15" s="35">
        <f>'GP-LP Returns'!L15</f>
        <v>44012</v>
      </c>
      <c r="M15" s="35">
        <f>'GP-LP Returns'!M15</f>
        <v>44043</v>
      </c>
      <c r="N15" s="35">
        <f>'GP-LP Returns'!N15</f>
        <v>44074</v>
      </c>
      <c r="O15" s="35">
        <f>'GP-LP Returns'!O15</f>
        <v>44104</v>
      </c>
      <c r="P15" s="35">
        <f>'GP-LP Returns'!P15</f>
        <v>44135</v>
      </c>
      <c r="Q15" s="35">
        <f>'GP-LP Returns'!Q15</f>
        <v>44165</v>
      </c>
      <c r="R15" s="35">
        <f>'GP-LP Returns'!R15</f>
        <v>44196</v>
      </c>
      <c r="S15" s="35">
        <f>'GP-LP Returns'!S15</f>
        <v>44227</v>
      </c>
      <c r="T15" s="35">
        <f>'GP-LP Returns'!T15</f>
        <v>44255</v>
      </c>
      <c r="U15" s="35">
        <f>'GP-LP Returns'!U15</f>
        <v>44286</v>
      </c>
      <c r="V15" s="35">
        <f>'GP-LP Returns'!V15</f>
        <v>44316</v>
      </c>
      <c r="W15" s="35">
        <f>'GP-LP Returns'!W15</f>
        <v>44347</v>
      </c>
      <c r="X15" s="35">
        <f>'GP-LP Returns'!X15</f>
        <v>44377</v>
      </c>
      <c r="Y15" s="35">
        <f>'GP-LP Returns'!Y15</f>
        <v>44408</v>
      </c>
      <c r="Z15" s="35">
        <f>'GP-LP Returns'!Z15</f>
        <v>44439</v>
      </c>
      <c r="AA15" s="35">
        <f>'GP-LP Returns'!AA15</f>
        <v>44469</v>
      </c>
      <c r="AB15" s="35">
        <f>'GP-LP Returns'!AB15</f>
        <v>44500</v>
      </c>
      <c r="AC15" s="35">
        <f>'GP-LP Returns'!AC15</f>
        <v>44530</v>
      </c>
      <c r="AD15" s="35">
        <f>'GP-LP Returns'!AD15</f>
        <v>44561</v>
      </c>
      <c r="AE15" s="35">
        <f>'GP-LP Returns'!AE15</f>
        <v>44592</v>
      </c>
      <c r="AF15" s="35">
        <f>'GP-LP Returns'!AF15</f>
        <v>44620</v>
      </c>
      <c r="AG15" s="35">
        <f>'GP-LP Returns'!AG15</f>
        <v>44651</v>
      </c>
      <c r="AH15" s="35">
        <f>'GP-LP Returns'!AH15</f>
        <v>44681</v>
      </c>
      <c r="AI15" s="35">
        <f>'GP-LP Returns'!AI15</f>
        <v>44712</v>
      </c>
      <c r="AJ15" s="35">
        <f>'GP-LP Returns'!AJ15</f>
        <v>44742</v>
      </c>
      <c r="AK15" s="35">
        <f>'GP-LP Returns'!AK15</f>
        <v>44773</v>
      </c>
      <c r="AL15" s="35">
        <f>'GP-LP Returns'!AL15</f>
        <v>44804</v>
      </c>
      <c r="AM15" s="35">
        <f>'GP-LP Returns'!AM15</f>
        <v>44834</v>
      </c>
      <c r="AN15" s="35">
        <f>'GP-LP Returns'!AN15</f>
        <v>44865</v>
      </c>
      <c r="AO15" s="35">
        <f>'GP-LP Returns'!AO15</f>
        <v>44895</v>
      </c>
      <c r="AP15" s="35">
        <f>'GP-LP Returns'!AP15</f>
        <v>44926</v>
      </c>
      <c r="AQ15" s="35">
        <f>'GP-LP Returns'!AQ15</f>
        <v>44957</v>
      </c>
      <c r="AR15" s="35">
        <f>'GP-LP Returns'!AR15</f>
        <v>44985</v>
      </c>
      <c r="AS15" s="35">
        <f>'GP-LP Returns'!AS15</f>
        <v>45016</v>
      </c>
      <c r="AT15" s="35">
        <f>'GP-LP Returns'!AT15</f>
        <v>45046</v>
      </c>
      <c r="AU15" s="35">
        <f>'GP-LP Returns'!AU15</f>
        <v>45077</v>
      </c>
      <c r="AV15" s="35">
        <f>'GP-LP Returns'!AV15</f>
        <v>45107</v>
      </c>
      <c r="AW15" s="35">
        <f>'GP-LP Returns'!AW15</f>
        <v>45138</v>
      </c>
      <c r="AX15" s="35">
        <f>'GP-LP Returns'!AX15</f>
        <v>45169</v>
      </c>
      <c r="AY15" s="35">
        <f>'GP-LP Returns'!AY15</f>
        <v>45199</v>
      </c>
      <c r="AZ15" s="35">
        <f>'GP-LP Returns'!AZ15</f>
        <v>45230</v>
      </c>
      <c r="BA15" s="35">
        <f>'GP-LP Returns'!BA15</f>
        <v>45260</v>
      </c>
      <c r="BB15" s="35">
        <f>'GP-LP Returns'!BB15</f>
        <v>45291</v>
      </c>
      <c r="BC15" s="35">
        <f>'GP-LP Returns'!BC15</f>
        <v>45322</v>
      </c>
      <c r="BD15" s="35">
        <f>'GP-LP Returns'!BD15</f>
        <v>45351</v>
      </c>
      <c r="BE15" s="35">
        <f>'GP-LP Returns'!BE15</f>
        <v>45382</v>
      </c>
      <c r="BF15" s="35">
        <f>'GP-LP Returns'!BF15</f>
        <v>45412</v>
      </c>
      <c r="BG15" s="35">
        <f>'GP-LP Returns'!BG15</f>
        <v>45443</v>
      </c>
      <c r="BH15" s="35">
        <f>'GP-LP Returns'!BH15</f>
        <v>45473</v>
      </c>
      <c r="BI15" s="35">
        <f>'GP-LP Returns'!BI15</f>
        <v>45504</v>
      </c>
      <c r="BJ15" s="35">
        <f>'GP-LP Returns'!BJ15</f>
        <v>45535</v>
      </c>
      <c r="BK15" s="35">
        <f>'GP-LP Returns'!BK15</f>
        <v>45565</v>
      </c>
      <c r="BL15" s="35">
        <f>'GP-LP Returns'!BL15</f>
        <v>45596</v>
      </c>
      <c r="BM15" s="35">
        <f>'GP-LP Returns'!BM15</f>
        <v>45626</v>
      </c>
      <c r="BN15" s="35">
        <f>'GP-LP Returns'!BN15</f>
        <v>45657</v>
      </c>
      <c r="BO15" s="35">
        <f>'GP-LP Returns'!BO15</f>
        <v>45688</v>
      </c>
      <c r="BP15" s="35">
        <f>'GP-LP Returns'!BP15</f>
        <v>45716</v>
      </c>
      <c r="BQ15" s="35">
        <f>'GP-LP Returns'!BQ15</f>
        <v>45747</v>
      </c>
      <c r="BR15" s="35">
        <f>'GP-LP Returns'!BR15</f>
        <v>45777</v>
      </c>
      <c r="BS15" s="35">
        <f>'GP-LP Returns'!BS15</f>
        <v>45808</v>
      </c>
      <c r="BT15" s="35">
        <f>'GP-LP Returns'!BT15</f>
        <v>45838</v>
      </c>
      <c r="BU15" s="35">
        <f>'GP-LP Returns'!BU15</f>
        <v>45869</v>
      </c>
      <c r="BV15" s="35">
        <f>'GP-LP Returns'!BV15</f>
        <v>45900</v>
      </c>
      <c r="BW15" s="35">
        <f>'GP-LP Returns'!BW15</f>
        <v>45930</v>
      </c>
      <c r="BX15" s="35">
        <f>'GP-LP Returns'!BX15</f>
        <v>45961</v>
      </c>
      <c r="BY15" s="35">
        <f>'GP-LP Returns'!BY15</f>
        <v>45991</v>
      </c>
      <c r="BZ15" s="35">
        <f>'GP-LP Returns'!BZ15</f>
        <v>46022</v>
      </c>
      <c r="CA15" s="35">
        <f>'GP-LP Returns'!CA15</f>
        <v>46053</v>
      </c>
      <c r="CB15" s="35">
        <f>'GP-LP Returns'!CB15</f>
        <v>46081</v>
      </c>
      <c r="CC15" s="35">
        <f>'GP-LP Returns'!CC15</f>
        <v>46112</v>
      </c>
      <c r="CD15" s="35">
        <f>'GP-LP Returns'!CD15</f>
        <v>46142</v>
      </c>
      <c r="CE15" s="35">
        <f>'GP-LP Returns'!CE15</f>
        <v>46173</v>
      </c>
      <c r="CF15" s="35">
        <f>'GP-LP Returns'!CF15</f>
        <v>46203</v>
      </c>
      <c r="CG15" s="35">
        <f>'GP-LP Returns'!CG15</f>
        <v>46234</v>
      </c>
      <c r="CH15" s="35">
        <f>'GP-LP Returns'!CH15</f>
        <v>46265</v>
      </c>
      <c r="CI15" s="35">
        <f>'GP-LP Returns'!CI15</f>
        <v>46295</v>
      </c>
      <c r="CJ15" s="35">
        <f>'GP-LP Returns'!CJ15</f>
        <v>46326</v>
      </c>
      <c r="CK15" s="35">
        <f>'GP-LP Returns'!CK15</f>
        <v>46356</v>
      </c>
      <c r="CL15" s="35">
        <f>'GP-LP Returns'!CL15</f>
        <v>46387</v>
      </c>
      <c r="CM15" s="35">
        <f>'GP-LP Returns'!CM15</f>
        <v>46418</v>
      </c>
      <c r="CN15" s="35">
        <f>'GP-LP Returns'!CN15</f>
        <v>46446</v>
      </c>
      <c r="CO15" s="35">
        <f>'GP-LP Returns'!CO15</f>
        <v>46477</v>
      </c>
      <c r="CP15" s="35">
        <f>'GP-LP Returns'!CP15</f>
        <v>46507</v>
      </c>
      <c r="CQ15" s="35">
        <f>'GP-LP Returns'!CQ15</f>
        <v>46538</v>
      </c>
      <c r="CR15" s="35">
        <f>'GP-LP Returns'!CR15</f>
        <v>46568</v>
      </c>
      <c r="CS15" s="35">
        <f>'GP-LP Returns'!CS15</f>
        <v>46599</v>
      </c>
      <c r="CT15" s="35">
        <f>'GP-LP Returns'!CT15</f>
        <v>46630</v>
      </c>
      <c r="CU15" s="35">
        <f>'GP-LP Returns'!CU15</f>
        <v>46660</v>
      </c>
      <c r="CV15" s="35">
        <f>'GP-LP Returns'!CV15</f>
        <v>46691</v>
      </c>
      <c r="CW15" s="35">
        <f>'GP-LP Returns'!CW15</f>
        <v>46721</v>
      </c>
      <c r="CX15" s="35">
        <f>'GP-LP Returns'!CX15</f>
        <v>46752</v>
      </c>
      <c r="CY15" s="35">
        <f>'GP-LP Returns'!CY15</f>
        <v>46783</v>
      </c>
      <c r="CZ15" s="35">
        <f>'GP-LP Returns'!CZ15</f>
        <v>46812</v>
      </c>
      <c r="DA15" s="35">
        <f>'GP-LP Returns'!DA15</f>
        <v>46843</v>
      </c>
      <c r="DB15" s="35">
        <f>'GP-LP Returns'!DB15</f>
        <v>46873</v>
      </c>
      <c r="DC15" s="35">
        <f>'GP-LP Returns'!DC15</f>
        <v>46904</v>
      </c>
      <c r="DD15" s="35">
        <f>'GP-LP Returns'!DD15</f>
        <v>46934</v>
      </c>
      <c r="DE15" s="35">
        <f>'GP-LP Returns'!DE15</f>
        <v>46965</v>
      </c>
      <c r="DF15" s="35">
        <f>'GP-LP Returns'!DF15</f>
        <v>46996</v>
      </c>
      <c r="DG15" s="35">
        <f>'GP-LP Returns'!DG15</f>
        <v>47026</v>
      </c>
      <c r="DH15" s="35">
        <f>'GP-LP Returns'!DH15</f>
        <v>47057</v>
      </c>
      <c r="DI15" s="35">
        <f>'GP-LP Returns'!DI15</f>
        <v>47087</v>
      </c>
      <c r="DJ15" s="35">
        <f>'GP-LP Returns'!DJ15</f>
        <v>47118</v>
      </c>
      <c r="DK15" s="35">
        <f>'GP-LP Returns'!DK15</f>
        <v>47149</v>
      </c>
      <c r="DL15" s="35">
        <f>'GP-LP Returns'!DL15</f>
        <v>47177</v>
      </c>
      <c r="DM15" s="35">
        <f>'GP-LP Returns'!DM15</f>
        <v>47208</v>
      </c>
      <c r="DN15" s="35">
        <f>'GP-LP Returns'!DN15</f>
        <v>47238</v>
      </c>
      <c r="DO15" s="35">
        <f>'GP-LP Returns'!DO15</f>
        <v>47269</v>
      </c>
      <c r="DP15" s="35">
        <f>'GP-LP Returns'!DP15</f>
        <v>47299</v>
      </c>
      <c r="DQ15" s="35">
        <f>'GP-LP Returns'!DQ15</f>
        <v>47330</v>
      </c>
      <c r="DR15" s="35">
        <f>'GP-LP Returns'!DR15</f>
        <v>47361</v>
      </c>
      <c r="DS15" s="35">
        <f>'GP-LP Returns'!DS15</f>
        <v>47391</v>
      </c>
      <c r="DT15" s="35">
        <f>'GP-LP Returns'!DT15</f>
        <v>47422</v>
      </c>
      <c r="DU15" s="35">
        <f>'GP-LP Returns'!DU15</f>
        <v>47452</v>
      </c>
      <c r="DV15" s="35">
        <f>'GP-LP Returns'!DV15</f>
        <v>47483</v>
      </c>
    </row>
    <row r="16" spans="2:126" x14ac:dyDescent="0.3">
      <c r="B16" s="61"/>
      <c r="C16" s="62"/>
      <c r="D16" s="63"/>
      <c r="F16" s="64">
        <f t="shared" ref="F16:BQ16" si="3">IF(F31="","",ROUNDUP(F31/12,0))</f>
        <v>0</v>
      </c>
      <c r="G16" s="64">
        <f t="shared" si="3"/>
        <v>1</v>
      </c>
      <c r="H16" s="64">
        <f t="shared" si="3"/>
        <v>1</v>
      </c>
      <c r="I16" s="64">
        <f t="shared" si="3"/>
        <v>1</v>
      </c>
      <c r="J16" s="64">
        <f t="shared" si="3"/>
        <v>1</v>
      </c>
      <c r="K16" s="64">
        <f t="shared" si="3"/>
        <v>1</v>
      </c>
      <c r="L16" s="64">
        <f t="shared" si="3"/>
        <v>1</v>
      </c>
      <c r="M16" s="64">
        <f t="shared" si="3"/>
        <v>1</v>
      </c>
      <c r="N16" s="64">
        <f t="shared" si="3"/>
        <v>1</v>
      </c>
      <c r="O16" s="64">
        <f t="shared" si="3"/>
        <v>1</v>
      </c>
      <c r="P16" s="64">
        <f t="shared" si="3"/>
        <v>1</v>
      </c>
      <c r="Q16" s="64">
        <f t="shared" si="3"/>
        <v>1</v>
      </c>
      <c r="R16" s="64">
        <f t="shared" si="3"/>
        <v>1</v>
      </c>
      <c r="S16" s="64">
        <f t="shared" si="3"/>
        <v>2</v>
      </c>
      <c r="T16" s="64">
        <f t="shared" si="3"/>
        <v>2</v>
      </c>
      <c r="U16" s="64">
        <f t="shared" si="3"/>
        <v>2</v>
      </c>
      <c r="V16" s="64">
        <f t="shared" si="3"/>
        <v>2</v>
      </c>
      <c r="W16" s="64">
        <f t="shared" si="3"/>
        <v>2</v>
      </c>
      <c r="X16" s="64">
        <f t="shared" si="3"/>
        <v>2</v>
      </c>
      <c r="Y16" s="64">
        <f t="shared" si="3"/>
        <v>2</v>
      </c>
      <c r="Z16" s="64">
        <f t="shared" si="3"/>
        <v>2</v>
      </c>
      <c r="AA16" s="64">
        <f t="shared" si="3"/>
        <v>2</v>
      </c>
      <c r="AB16" s="64">
        <f t="shared" si="3"/>
        <v>2</v>
      </c>
      <c r="AC16" s="64">
        <f t="shared" si="3"/>
        <v>2</v>
      </c>
      <c r="AD16" s="64">
        <f t="shared" si="3"/>
        <v>2</v>
      </c>
      <c r="AE16" s="64">
        <f t="shared" si="3"/>
        <v>3</v>
      </c>
      <c r="AF16" s="64">
        <f t="shared" si="3"/>
        <v>3</v>
      </c>
      <c r="AG16" s="64">
        <f t="shared" si="3"/>
        <v>3</v>
      </c>
      <c r="AH16" s="64">
        <f t="shared" si="3"/>
        <v>3</v>
      </c>
      <c r="AI16" s="64">
        <f t="shared" si="3"/>
        <v>3</v>
      </c>
      <c r="AJ16" s="64">
        <f t="shared" si="3"/>
        <v>3</v>
      </c>
      <c r="AK16" s="64">
        <f t="shared" si="3"/>
        <v>3</v>
      </c>
      <c r="AL16" s="64">
        <f t="shared" si="3"/>
        <v>3</v>
      </c>
      <c r="AM16" s="64">
        <f t="shared" si="3"/>
        <v>3</v>
      </c>
      <c r="AN16" s="64">
        <f t="shared" si="3"/>
        <v>3</v>
      </c>
      <c r="AO16" s="64">
        <f t="shared" si="3"/>
        <v>3</v>
      </c>
      <c r="AP16" s="64">
        <f t="shared" si="3"/>
        <v>3</v>
      </c>
      <c r="AQ16" s="64">
        <f t="shared" si="3"/>
        <v>4</v>
      </c>
      <c r="AR16" s="64">
        <f t="shared" si="3"/>
        <v>4</v>
      </c>
      <c r="AS16" s="64">
        <f t="shared" si="3"/>
        <v>4</v>
      </c>
      <c r="AT16" s="64">
        <f t="shared" si="3"/>
        <v>4</v>
      </c>
      <c r="AU16" s="64">
        <f t="shared" si="3"/>
        <v>4</v>
      </c>
      <c r="AV16" s="64">
        <f t="shared" si="3"/>
        <v>4</v>
      </c>
      <c r="AW16" s="64">
        <f t="shared" si="3"/>
        <v>4</v>
      </c>
      <c r="AX16" s="64">
        <f t="shared" si="3"/>
        <v>4</v>
      </c>
      <c r="AY16" s="64">
        <f t="shared" si="3"/>
        <v>4</v>
      </c>
      <c r="AZ16" s="64">
        <f t="shared" si="3"/>
        <v>4</v>
      </c>
      <c r="BA16" s="64">
        <f t="shared" si="3"/>
        <v>4</v>
      </c>
      <c r="BB16" s="64">
        <f t="shared" si="3"/>
        <v>4</v>
      </c>
      <c r="BC16" s="64">
        <f t="shared" si="3"/>
        <v>5</v>
      </c>
      <c r="BD16" s="64">
        <f t="shared" si="3"/>
        <v>5</v>
      </c>
      <c r="BE16" s="64">
        <f t="shared" si="3"/>
        <v>5</v>
      </c>
      <c r="BF16" s="64">
        <f t="shared" si="3"/>
        <v>5</v>
      </c>
      <c r="BG16" s="64">
        <f t="shared" si="3"/>
        <v>5</v>
      </c>
      <c r="BH16" s="64">
        <f t="shared" si="3"/>
        <v>5</v>
      </c>
      <c r="BI16" s="64">
        <f t="shared" si="3"/>
        <v>5</v>
      </c>
      <c r="BJ16" s="64">
        <f t="shared" si="3"/>
        <v>5</v>
      </c>
      <c r="BK16" s="64">
        <f t="shared" si="3"/>
        <v>5</v>
      </c>
      <c r="BL16" s="64">
        <f t="shared" si="3"/>
        <v>5</v>
      </c>
      <c r="BM16" s="64">
        <f t="shared" si="3"/>
        <v>5</v>
      </c>
      <c r="BN16" s="64">
        <f t="shared" si="3"/>
        <v>5</v>
      </c>
      <c r="BO16" s="64">
        <f t="shared" si="3"/>
        <v>6</v>
      </c>
      <c r="BP16" s="64">
        <f t="shared" si="3"/>
        <v>6</v>
      </c>
      <c r="BQ16" s="64">
        <f t="shared" si="3"/>
        <v>6</v>
      </c>
      <c r="BR16" s="64">
        <f t="shared" ref="BR16:DV16" si="4">IF(BR31="","",ROUNDUP(BR31/12,0))</f>
        <v>6</v>
      </c>
      <c r="BS16" s="64">
        <f t="shared" si="4"/>
        <v>6</v>
      </c>
      <c r="BT16" s="64">
        <f t="shared" si="4"/>
        <v>6</v>
      </c>
      <c r="BU16" s="64">
        <f t="shared" si="4"/>
        <v>6</v>
      </c>
      <c r="BV16" s="64">
        <f t="shared" si="4"/>
        <v>6</v>
      </c>
      <c r="BW16" s="64">
        <f t="shared" si="4"/>
        <v>6</v>
      </c>
      <c r="BX16" s="64">
        <f t="shared" si="4"/>
        <v>6</v>
      </c>
      <c r="BY16" s="64">
        <f t="shared" si="4"/>
        <v>6</v>
      </c>
      <c r="BZ16" s="64">
        <f t="shared" si="4"/>
        <v>6</v>
      </c>
      <c r="CA16" s="64">
        <f t="shared" si="4"/>
        <v>7</v>
      </c>
      <c r="CB16" s="64">
        <f t="shared" si="4"/>
        <v>7</v>
      </c>
      <c r="CC16" s="64">
        <f t="shared" si="4"/>
        <v>7</v>
      </c>
      <c r="CD16" s="64">
        <f t="shared" si="4"/>
        <v>7</v>
      </c>
      <c r="CE16" s="64">
        <f t="shared" si="4"/>
        <v>7</v>
      </c>
      <c r="CF16" s="64">
        <f t="shared" si="4"/>
        <v>7</v>
      </c>
      <c r="CG16" s="64">
        <f t="shared" si="4"/>
        <v>7</v>
      </c>
      <c r="CH16" s="64">
        <f t="shared" si="4"/>
        <v>7</v>
      </c>
      <c r="CI16" s="64">
        <f t="shared" si="4"/>
        <v>7</v>
      </c>
      <c r="CJ16" s="64">
        <f t="shared" si="4"/>
        <v>7</v>
      </c>
      <c r="CK16" s="64">
        <f t="shared" si="4"/>
        <v>7</v>
      </c>
      <c r="CL16" s="64">
        <f t="shared" si="4"/>
        <v>7</v>
      </c>
      <c r="CM16" s="64">
        <f t="shared" si="4"/>
        <v>8</v>
      </c>
      <c r="CN16" s="64">
        <f t="shared" si="4"/>
        <v>8</v>
      </c>
      <c r="CO16" s="64">
        <f t="shared" si="4"/>
        <v>8</v>
      </c>
      <c r="CP16" s="64">
        <f t="shared" si="4"/>
        <v>8</v>
      </c>
      <c r="CQ16" s="64">
        <f t="shared" si="4"/>
        <v>8</v>
      </c>
      <c r="CR16" s="64">
        <f t="shared" si="4"/>
        <v>8</v>
      </c>
      <c r="CS16" s="64">
        <f t="shared" si="4"/>
        <v>8</v>
      </c>
      <c r="CT16" s="64">
        <f t="shared" si="4"/>
        <v>8</v>
      </c>
      <c r="CU16" s="64">
        <f t="shared" si="4"/>
        <v>8</v>
      </c>
      <c r="CV16" s="64">
        <f t="shared" si="4"/>
        <v>8</v>
      </c>
      <c r="CW16" s="64">
        <f t="shared" si="4"/>
        <v>8</v>
      </c>
      <c r="CX16" s="64">
        <f t="shared" si="4"/>
        <v>8</v>
      </c>
      <c r="CY16" s="64">
        <f t="shared" si="4"/>
        <v>9</v>
      </c>
      <c r="CZ16" s="64">
        <f t="shared" si="4"/>
        <v>9</v>
      </c>
      <c r="DA16" s="64">
        <f t="shared" si="4"/>
        <v>9</v>
      </c>
      <c r="DB16" s="64">
        <f t="shared" si="4"/>
        <v>9</v>
      </c>
      <c r="DC16" s="64">
        <f t="shared" si="4"/>
        <v>9</v>
      </c>
      <c r="DD16" s="64">
        <f t="shared" si="4"/>
        <v>9</v>
      </c>
      <c r="DE16" s="64">
        <f t="shared" si="4"/>
        <v>9</v>
      </c>
      <c r="DF16" s="64">
        <f t="shared" si="4"/>
        <v>9</v>
      </c>
      <c r="DG16" s="64">
        <f t="shared" si="4"/>
        <v>9</v>
      </c>
      <c r="DH16" s="64">
        <f t="shared" si="4"/>
        <v>9</v>
      </c>
      <c r="DI16" s="64">
        <f t="shared" si="4"/>
        <v>9</v>
      </c>
      <c r="DJ16" s="64">
        <f t="shared" si="4"/>
        <v>9</v>
      </c>
      <c r="DK16" s="64">
        <f t="shared" si="4"/>
        <v>10</v>
      </c>
      <c r="DL16" s="64">
        <f t="shared" si="4"/>
        <v>10</v>
      </c>
      <c r="DM16" s="64">
        <f t="shared" si="4"/>
        <v>10</v>
      </c>
      <c r="DN16" s="64">
        <f t="shared" si="4"/>
        <v>10</v>
      </c>
      <c r="DO16" s="64">
        <f t="shared" si="4"/>
        <v>10</v>
      </c>
      <c r="DP16" s="64">
        <f t="shared" si="4"/>
        <v>10</v>
      </c>
      <c r="DQ16" s="64">
        <f t="shared" si="4"/>
        <v>10</v>
      </c>
      <c r="DR16" s="64">
        <f t="shared" si="4"/>
        <v>10</v>
      </c>
      <c r="DS16" s="64">
        <f t="shared" si="4"/>
        <v>10</v>
      </c>
      <c r="DT16" s="64">
        <f t="shared" si="4"/>
        <v>10</v>
      </c>
      <c r="DU16" s="64">
        <f t="shared" si="4"/>
        <v>10</v>
      </c>
      <c r="DV16" s="64">
        <f t="shared" si="4"/>
        <v>10</v>
      </c>
    </row>
    <row r="17" spans="2:130" ht="15.6" x14ac:dyDescent="0.3">
      <c r="B17" s="79" t="s">
        <v>23</v>
      </c>
      <c r="C17" s="80"/>
      <c r="D17" s="81"/>
      <c r="E17" s="82"/>
      <c r="F17" s="83">
        <v>0</v>
      </c>
      <c r="G17" s="83">
        <f>F17+1</f>
        <v>1</v>
      </c>
      <c r="H17" s="83">
        <f t="shared" ref="H17:BS17" si="5">G17+1</f>
        <v>2</v>
      </c>
      <c r="I17" s="83">
        <f t="shared" si="5"/>
        <v>3</v>
      </c>
      <c r="J17" s="83">
        <f t="shared" si="5"/>
        <v>4</v>
      </c>
      <c r="K17" s="83">
        <f t="shared" si="5"/>
        <v>5</v>
      </c>
      <c r="L17" s="83">
        <f t="shared" si="5"/>
        <v>6</v>
      </c>
      <c r="M17" s="83">
        <f t="shared" si="5"/>
        <v>7</v>
      </c>
      <c r="N17" s="83">
        <f t="shared" si="5"/>
        <v>8</v>
      </c>
      <c r="O17" s="83">
        <f t="shared" si="5"/>
        <v>9</v>
      </c>
      <c r="P17" s="83">
        <f t="shared" si="5"/>
        <v>10</v>
      </c>
      <c r="Q17" s="83">
        <f t="shared" si="5"/>
        <v>11</v>
      </c>
      <c r="R17" s="83">
        <f t="shared" si="5"/>
        <v>12</v>
      </c>
      <c r="S17" s="83">
        <f t="shared" si="5"/>
        <v>13</v>
      </c>
      <c r="T17" s="83">
        <f t="shared" si="5"/>
        <v>14</v>
      </c>
      <c r="U17" s="83">
        <f t="shared" si="5"/>
        <v>15</v>
      </c>
      <c r="V17" s="83">
        <f t="shared" si="5"/>
        <v>16</v>
      </c>
      <c r="W17" s="83">
        <f t="shared" si="5"/>
        <v>17</v>
      </c>
      <c r="X17" s="83">
        <f t="shared" si="5"/>
        <v>18</v>
      </c>
      <c r="Y17" s="83">
        <f t="shared" si="5"/>
        <v>19</v>
      </c>
      <c r="Z17" s="83">
        <f t="shared" si="5"/>
        <v>20</v>
      </c>
      <c r="AA17" s="83">
        <f t="shared" si="5"/>
        <v>21</v>
      </c>
      <c r="AB17" s="83">
        <f t="shared" si="5"/>
        <v>22</v>
      </c>
      <c r="AC17" s="83">
        <f t="shared" si="5"/>
        <v>23</v>
      </c>
      <c r="AD17" s="83">
        <f t="shared" si="5"/>
        <v>24</v>
      </c>
      <c r="AE17" s="83">
        <f t="shared" si="5"/>
        <v>25</v>
      </c>
      <c r="AF17" s="83">
        <f t="shared" si="5"/>
        <v>26</v>
      </c>
      <c r="AG17" s="83">
        <f t="shared" si="5"/>
        <v>27</v>
      </c>
      <c r="AH17" s="83">
        <f t="shared" si="5"/>
        <v>28</v>
      </c>
      <c r="AI17" s="83">
        <f t="shared" si="5"/>
        <v>29</v>
      </c>
      <c r="AJ17" s="83">
        <f t="shared" si="5"/>
        <v>30</v>
      </c>
      <c r="AK17" s="83">
        <f t="shared" si="5"/>
        <v>31</v>
      </c>
      <c r="AL17" s="83">
        <f t="shared" si="5"/>
        <v>32</v>
      </c>
      <c r="AM17" s="83">
        <f t="shared" si="5"/>
        <v>33</v>
      </c>
      <c r="AN17" s="83">
        <f t="shared" si="5"/>
        <v>34</v>
      </c>
      <c r="AO17" s="83">
        <f t="shared" si="5"/>
        <v>35</v>
      </c>
      <c r="AP17" s="83">
        <f t="shared" si="5"/>
        <v>36</v>
      </c>
      <c r="AQ17" s="83">
        <f t="shared" si="5"/>
        <v>37</v>
      </c>
      <c r="AR17" s="83">
        <f t="shared" si="5"/>
        <v>38</v>
      </c>
      <c r="AS17" s="83">
        <f t="shared" si="5"/>
        <v>39</v>
      </c>
      <c r="AT17" s="83">
        <f t="shared" si="5"/>
        <v>40</v>
      </c>
      <c r="AU17" s="83">
        <f t="shared" si="5"/>
        <v>41</v>
      </c>
      <c r="AV17" s="83">
        <f t="shared" si="5"/>
        <v>42</v>
      </c>
      <c r="AW17" s="83">
        <f t="shared" si="5"/>
        <v>43</v>
      </c>
      <c r="AX17" s="83">
        <f t="shared" si="5"/>
        <v>44</v>
      </c>
      <c r="AY17" s="83">
        <f t="shared" si="5"/>
        <v>45</v>
      </c>
      <c r="AZ17" s="83">
        <f t="shared" si="5"/>
        <v>46</v>
      </c>
      <c r="BA17" s="83">
        <f t="shared" si="5"/>
        <v>47</v>
      </c>
      <c r="BB17" s="83">
        <f t="shared" si="5"/>
        <v>48</v>
      </c>
      <c r="BC17" s="83">
        <f t="shared" si="5"/>
        <v>49</v>
      </c>
      <c r="BD17" s="83">
        <f t="shared" si="5"/>
        <v>50</v>
      </c>
      <c r="BE17" s="83">
        <f t="shared" si="5"/>
        <v>51</v>
      </c>
      <c r="BF17" s="83">
        <f t="shared" si="5"/>
        <v>52</v>
      </c>
      <c r="BG17" s="83">
        <f t="shared" si="5"/>
        <v>53</v>
      </c>
      <c r="BH17" s="83">
        <f t="shared" si="5"/>
        <v>54</v>
      </c>
      <c r="BI17" s="83">
        <f t="shared" si="5"/>
        <v>55</v>
      </c>
      <c r="BJ17" s="83">
        <f t="shared" si="5"/>
        <v>56</v>
      </c>
      <c r="BK17" s="83">
        <f t="shared" si="5"/>
        <v>57</v>
      </c>
      <c r="BL17" s="83">
        <f t="shared" si="5"/>
        <v>58</v>
      </c>
      <c r="BM17" s="83">
        <f t="shared" si="5"/>
        <v>59</v>
      </c>
      <c r="BN17" s="83">
        <f t="shared" si="5"/>
        <v>60</v>
      </c>
      <c r="BO17" s="83">
        <f t="shared" si="5"/>
        <v>61</v>
      </c>
      <c r="BP17" s="83">
        <f t="shared" si="5"/>
        <v>62</v>
      </c>
      <c r="BQ17" s="83">
        <f t="shared" si="5"/>
        <v>63</v>
      </c>
      <c r="BR17" s="83">
        <f t="shared" si="5"/>
        <v>64</v>
      </c>
      <c r="BS17" s="83">
        <f t="shared" si="5"/>
        <v>65</v>
      </c>
      <c r="BT17" s="83">
        <f t="shared" ref="BT17:DV17" si="6">BS17+1</f>
        <v>66</v>
      </c>
      <c r="BU17" s="83">
        <f t="shared" si="6"/>
        <v>67</v>
      </c>
      <c r="BV17" s="83">
        <f t="shared" si="6"/>
        <v>68</v>
      </c>
      <c r="BW17" s="83">
        <f t="shared" si="6"/>
        <v>69</v>
      </c>
      <c r="BX17" s="83">
        <f t="shared" si="6"/>
        <v>70</v>
      </c>
      <c r="BY17" s="83">
        <f t="shared" si="6"/>
        <v>71</v>
      </c>
      <c r="BZ17" s="83">
        <f t="shared" si="6"/>
        <v>72</v>
      </c>
      <c r="CA17" s="83">
        <f t="shared" si="6"/>
        <v>73</v>
      </c>
      <c r="CB17" s="83">
        <f t="shared" si="6"/>
        <v>74</v>
      </c>
      <c r="CC17" s="83">
        <f t="shared" si="6"/>
        <v>75</v>
      </c>
      <c r="CD17" s="83">
        <f t="shared" si="6"/>
        <v>76</v>
      </c>
      <c r="CE17" s="83">
        <f t="shared" si="6"/>
        <v>77</v>
      </c>
      <c r="CF17" s="83">
        <f t="shared" si="6"/>
        <v>78</v>
      </c>
      <c r="CG17" s="83">
        <f t="shared" si="6"/>
        <v>79</v>
      </c>
      <c r="CH17" s="83">
        <f t="shared" si="6"/>
        <v>80</v>
      </c>
      <c r="CI17" s="83">
        <f t="shared" si="6"/>
        <v>81</v>
      </c>
      <c r="CJ17" s="83">
        <f t="shared" si="6"/>
        <v>82</v>
      </c>
      <c r="CK17" s="83">
        <f t="shared" si="6"/>
        <v>83</v>
      </c>
      <c r="CL17" s="83">
        <f t="shared" si="6"/>
        <v>84</v>
      </c>
      <c r="CM17" s="83">
        <f t="shared" si="6"/>
        <v>85</v>
      </c>
      <c r="CN17" s="83">
        <f t="shared" si="6"/>
        <v>86</v>
      </c>
      <c r="CO17" s="83">
        <f t="shared" si="6"/>
        <v>87</v>
      </c>
      <c r="CP17" s="83">
        <f t="shared" si="6"/>
        <v>88</v>
      </c>
      <c r="CQ17" s="83">
        <f t="shared" si="6"/>
        <v>89</v>
      </c>
      <c r="CR17" s="83">
        <f t="shared" si="6"/>
        <v>90</v>
      </c>
      <c r="CS17" s="83">
        <f t="shared" si="6"/>
        <v>91</v>
      </c>
      <c r="CT17" s="83">
        <f t="shared" si="6"/>
        <v>92</v>
      </c>
      <c r="CU17" s="83">
        <f t="shared" si="6"/>
        <v>93</v>
      </c>
      <c r="CV17" s="83">
        <f t="shared" si="6"/>
        <v>94</v>
      </c>
      <c r="CW17" s="83">
        <f t="shared" si="6"/>
        <v>95</v>
      </c>
      <c r="CX17" s="83">
        <f t="shared" si="6"/>
        <v>96</v>
      </c>
      <c r="CY17" s="83">
        <f t="shared" si="6"/>
        <v>97</v>
      </c>
      <c r="CZ17" s="83">
        <f t="shared" si="6"/>
        <v>98</v>
      </c>
      <c r="DA17" s="83">
        <f t="shared" si="6"/>
        <v>99</v>
      </c>
      <c r="DB17" s="83">
        <f t="shared" si="6"/>
        <v>100</v>
      </c>
      <c r="DC17" s="83">
        <f t="shared" si="6"/>
        <v>101</v>
      </c>
      <c r="DD17" s="83">
        <f t="shared" si="6"/>
        <v>102</v>
      </c>
      <c r="DE17" s="83">
        <f t="shared" si="6"/>
        <v>103</v>
      </c>
      <c r="DF17" s="83">
        <f t="shared" si="6"/>
        <v>104</v>
      </c>
      <c r="DG17" s="83">
        <f t="shared" si="6"/>
        <v>105</v>
      </c>
      <c r="DH17" s="83">
        <f t="shared" si="6"/>
        <v>106</v>
      </c>
      <c r="DI17" s="83">
        <f t="shared" si="6"/>
        <v>107</v>
      </c>
      <c r="DJ17" s="83">
        <f t="shared" si="6"/>
        <v>108</v>
      </c>
      <c r="DK17" s="83">
        <f t="shared" si="6"/>
        <v>109</v>
      </c>
      <c r="DL17" s="83">
        <f t="shared" si="6"/>
        <v>110</v>
      </c>
      <c r="DM17" s="83">
        <f t="shared" si="6"/>
        <v>111</v>
      </c>
      <c r="DN17" s="83">
        <f t="shared" si="6"/>
        <v>112</v>
      </c>
      <c r="DO17" s="83">
        <f t="shared" si="6"/>
        <v>113</v>
      </c>
      <c r="DP17" s="83">
        <f t="shared" si="6"/>
        <v>114</v>
      </c>
      <c r="DQ17" s="83">
        <f t="shared" si="6"/>
        <v>115</v>
      </c>
      <c r="DR17" s="83">
        <f t="shared" si="6"/>
        <v>116</v>
      </c>
      <c r="DS17" s="83">
        <f t="shared" si="6"/>
        <v>117</v>
      </c>
      <c r="DT17" s="83">
        <f t="shared" si="6"/>
        <v>118</v>
      </c>
      <c r="DU17" s="83">
        <f t="shared" si="6"/>
        <v>119</v>
      </c>
      <c r="DV17" s="83">
        <f t="shared" si="6"/>
        <v>120</v>
      </c>
    </row>
    <row r="18" spans="2:130" x14ac:dyDescent="0.3">
      <c r="B18" s="55" t="s">
        <v>70</v>
      </c>
      <c r="D18" s="56"/>
      <c r="E18" s="49"/>
      <c r="F18" s="41"/>
      <c r="G18" s="52"/>
      <c r="H18" s="53"/>
      <c r="I18" s="53"/>
    </row>
    <row r="19" spans="2:130" x14ac:dyDescent="0.3">
      <c r="B19" s="13" t="s">
        <v>71</v>
      </c>
      <c r="D19" s="57">
        <f>SUM(F19:DV19)</f>
        <v>1683071.2682570897</v>
      </c>
      <c r="E19" s="49"/>
      <c r="F19" s="58">
        <f>F47+F62+F77+F84</f>
        <v>0</v>
      </c>
      <c r="G19" s="58">
        <f t="shared" ref="G19:BR19" si="7">G47+G62+G77+G84</f>
        <v>0</v>
      </c>
      <c r="H19" s="58">
        <f t="shared" si="7"/>
        <v>0</v>
      </c>
      <c r="I19" s="58">
        <f t="shared" si="7"/>
        <v>0</v>
      </c>
      <c r="J19" s="58">
        <f t="shared" si="7"/>
        <v>0</v>
      </c>
      <c r="K19" s="58">
        <f t="shared" si="7"/>
        <v>0</v>
      </c>
      <c r="L19" s="58">
        <f t="shared" si="7"/>
        <v>0</v>
      </c>
      <c r="M19" s="58">
        <f t="shared" si="7"/>
        <v>0</v>
      </c>
      <c r="N19" s="58">
        <f t="shared" si="7"/>
        <v>0</v>
      </c>
      <c r="O19" s="58">
        <f t="shared" si="7"/>
        <v>0</v>
      </c>
      <c r="P19" s="58">
        <f t="shared" si="7"/>
        <v>0</v>
      </c>
      <c r="Q19" s="58">
        <f t="shared" si="7"/>
        <v>0</v>
      </c>
      <c r="R19" s="58">
        <f t="shared" si="7"/>
        <v>0</v>
      </c>
      <c r="S19" s="58">
        <f t="shared" si="7"/>
        <v>0</v>
      </c>
      <c r="T19" s="58">
        <f t="shared" si="7"/>
        <v>0</v>
      </c>
      <c r="U19" s="58">
        <f t="shared" si="7"/>
        <v>0</v>
      </c>
      <c r="V19" s="58">
        <f t="shared" si="7"/>
        <v>0</v>
      </c>
      <c r="W19" s="58">
        <f t="shared" si="7"/>
        <v>0</v>
      </c>
      <c r="X19" s="58">
        <f t="shared" si="7"/>
        <v>0</v>
      </c>
      <c r="Y19" s="58">
        <f t="shared" si="7"/>
        <v>0</v>
      </c>
      <c r="Z19" s="58">
        <f t="shared" si="7"/>
        <v>0</v>
      </c>
      <c r="AA19" s="58">
        <f t="shared" si="7"/>
        <v>0</v>
      </c>
      <c r="AB19" s="58">
        <f t="shared" si="7"/>
        <v>0</v>
      </c>
      <c r="AC19" s="58">
        <f t="shared" si="7"/>
        <v>0</v>
      </c>
      <c r="AD19" s="58">
        <f t="shared" si="7"/>
        <v>0</v>
      </c>
      <c r="AE19" s="58">
        <f t="shared" si="7"/>
        <v>0</v>
      </c>
      <c r="AF19" s="58">
        <f t="shared" si="7"/>
        <v>0</v>
      </c>
      <c r="AG19" s="58">
        <f t="shared" si="7"/>
        <v>0</v>
      </c>
      <c r="AH19" s="58">
        <f t="shared" si="7"/>
        <v>0</v>
      </c>
      <c r="AI19" s="58">
        <f t="shared" si="7"/>
        <v>0</v>
      </c>
      <c r="AJ19" s="58">
        <f t="shared" si="7"/>
        <v>3750.9776869732491</v>
      </c>
      <c r="AK19" s="58">
        <f t="shared" si="7"/>
        <v>2135.355011795044</v>
      </c>
      <c r="AL19" s="58">
        <f t="shared" si="7"/>
        <v>2135.355011795044</v>
      </c>
      <c r="AM19" s="58">
        <f t="shared" si="7"/>
        <v>2135.355011795044</v>
      </c>
      <c r="AN19" s="58">
        <f t="shared" si="7"/>
        <v>2135.355011795044</v>
      </c>
      <c r="AO19" s="58">
        <f t="shared" si="7"/>
        <v>2135.355011795044</v>
      </c>
      <c r="AP19" s="58">
        <f t="shared" si="7"/>
        <v>2195.7420433820471</v>
      </c>
      <c r="AQ19" s="58">
        <f t="shared" si="7"/>
        <v>2195.7420433820471</v>
      </c>
      <c r="AR19" s="58">
        <f t="shared" si="7"/>
        <v>2195.7420433820471</v>
      </c>
      <c r="AS19" s="58">
        <f t="shared" si="7"/>
        <v>2195.7420433820471</v>
      </c>
      <c r="AT19" s="58">
        <f t="shared" si="7"/>
        <v>2195.7420433820471</v>
      </c>
      <c r="AU19" s="58">
        <f t="shared" si="7"/>
        <v>2195.7420433820471</v>
      </c>
      <c r="AV19" s="58">
        <f t="shared" si="7"/>
        <v>2195.7420433820471</v>
      </c>
      <c r="AW19" s="58">
        <f t="shared" si="7"/>
        <v>2195.7420433820471</v>
      </c>
      <c r="AX19" s="58">
        <f t="shared" si="7"/>
        <v>2195.7420433820471</v>
      </c>
      <c r="AY19" s="58">
        <f t="shared" si="7"/>
        <v>2195.7420433820471</v>
      </c>
      <c r="AZ19" s="58">
        <f t="shared" si="7"/>
        <v>2195.7420433820471</v>
      </c>
      <c r="BA19" s="58">
        <f t="shared" si="7"/>
        <v>2195.7420433820471</v>
      </c>
      <c r="BB19" s="58">
        <f t="shared" si="7"/>
        <v>2421.4887520277284</v>
      </c>
      <c r="BC19" s="58">
        <f t="shared" si="7"/>
        <v>2421.4887520277284</v>
      </c>
      <c r="BD19" s="58">
        <f t="shared" si="7"/>
        <v>2421.4887520277284</v>
      </c>
      <c r="BE19" s="58">
        <f t="shared" si="7"/>
        <v>2421.4887520277284</v>
      </c>
      <c r="BF19" s="58">
        <f t="shared" si="7"/>
        <v>2421.4887520277284</v>
      </c>
      <c r="BG19" s="58">
        <f t="shared" si="7"/>
        <v>2421.4887520277284</v>
      </c>
      <c r="BH19" s="58">
        <f t="shared" si="7"/>
        <v>2421.4887520277284</v>
      </c>
      <c r="BI19" s="58">
        <f t="shared" si="7"/>
        <v>1386.3617867963924</v>
      </c>
      <c r="BJ19" s="58">
        <f t="shared" si="7"/>
        <v>1386.3617867963924</v>
      </c>
      <c r="BK19" s="58">
        <f t="shared" si="7"/>
        <v>1386.3617867963924</v>
      </c>
      <c r="BL19" s="58">
        <f t="shared" si="7"/>
        <v>1386.3617867963924</v>
      </c>
      <c r="BM19" s="58">
        <f t="shared" si="7"/>
        <v>1386.3617867963924</v>
      </c>
      <c r="BN19" s="58">
        <f t="shared" si="7"/>
        <v>1620.1243690202225</v>
      </c>
      <c r="BO19" s="58">
        <f t="shared" si="7"/>
        <v>1620.1243690202225</v>
      </c>
      <c r="BP19" s="58">
        <f t="shared" si="7"/>
        <v>1620.1243690202225</v>
      </c>
      <c r="BQ19" s="58">
        <f t="shared" si="7"/>
        <v>1620.1243690202225</v>
      </c>
      <c r="BR19" s="58">
        <f t="shared" si="7"/>
        <v>1620.1243690202225</v>
      </c>
      <c r="BS19" s="58">
        <f t="shared" ref="BS19:DV19" si="8">BS47+BS62+BS77+BS84</f>
        <v>1620.1243690202225</v>
      </c>
      <c r="BT19" s="58">
        <f t="shared" si="8"/>
        <v>1620.1243690202225</v>
      </c>
      <c r="BU19" s="58">
        <f t="shared" si="8"/>
        <v>1620.1243690202225</v>
      </c>
      <c r="BV19" s="58">
        <f t="shared" si="8"/>
        <v>1620.1243690202225</v>
      </c>
      <c r="BW19" s="58">
        <f t="shared" si="8"/>
        <v>1620.1243690202225</v>
      </c>
      <c r="BX19" s="58">
        <f t="shared" si="8"/>
        <v>1620.1243690202225</v>
      </c>
      <c r="BY19" s="58">
        <f t="shared" si="8"/>
        <v>1620.1243690202225</v>
      </c>
      <c r="BZ19" s="58">
        <f t="shared" si="8"/>
        <v>1862.168170475918</v>
      </c>
      <c r="CA19" s="58">
        <f t="shared" si="8"/>
        <v>1862.168170475918</v>
      </c>
      <c r="CB19" s="58">
        <f t="shared" si="8"/>
        <v>1862.168170475918</v>
      </c>
      <c r="CC19" s="58">
        <f t="shared" si="8"/>
        <v>1862.168170475918</v>
      </c>
      <c r="CD19" s="58">
        <f t="shared" si="8"/>
        <v>1862.168170475918</v>
      </c>
      <c r="CE19" s="58">
        <f t="shared" si="8"/>
        <v>1862.168170475918</v>
      </c>
      <c r="CF19" s="58">
        <f t="shared" si="8"/>
        <v>1862.168170475918</v>
      </c>
      <c r="CG19" s="58">
        <f t="shared" si="8"/>
        <v>1862.168170475918</v>
      </c>
      <c r="CH19" s="58">
        <f t="shared" si="8"/>
        <v>1862.168170475918</v>
      </c>
      <c r="CI19" s="58">
        <f t="shared" si="8"/>
        <v>1862.168170475918</v>
      </c>
      <c r="CJ19" s="58">
        <f t="shared" si="8"/>
        <v>1862.168170475918</v>
      </c>
      <c r="CK19" s="58">
        <f t="shared" si="8"/>
        <v>1862.168170475918</v>
      </c>
      <c r="CL19" s="58">
        <f t="shared" si="8"/>
        <v>2112.7669945757439</v>
      </c>
      <c r="CM19" s="58">
        <f t="shared" si="8"/>
        <v>2112.7669945757439</v>
      </c>
      <c r="CN19" s="58">
        <f t="shared" si="8"/>
        <v>2112.7669945757439</v>
      </c>
      <c r="CO19" s="58">
        <f t="shared" si="8"/>
        <v>2112.7669945757439</v>
      </c>
      <c r="CP19" s="58">
        <f t="shared" si="8"/>
        <v>2112.7669945757439</v>
      </c>
      <c r="CQ19" s="58">
        <f t="shared" si="8"/>
        <v>2112.7669945757439</v>
      </c>
      <c r="CR19" s="58">
        <f t="shared" si="8"/>
        <v>2112.7669945757439</v>
      </c>
      <c r="CS19" s="58">
        <f t="shared" si="8"/>
        <v>2112.7669945757439</v>
      </c>
      <c r="CT19" s="58">
        <f t="shared" si="8"/>
        <v>2112.7669945757439</v>
      </c>
      <c r="CU19" s="58">
        <f t="shared" si="8"/>
        <v>2112.7669945757439</v>
      </c>
      <c r="CV19" s="58">
        <f t="shared" si="8"/>
        <v>2112.7669945757439</v>
      </c>
      <c r="CW19" s="58">
        <f t="shared" si="8"/>
        <v>2112.7669945757439</v>
      </c>
      <c r="CX19" s="58">
        <f t="shared" si="8"/>
        <v>2372.2033661710238</v>
      </c>
      <c r="CY19" s="58">
        <f t="shared" si="8"/>
        <v>2372.2033661710238</v>
      </c>
      <c r="CZ19" s="58">
        <f t="shared" si="8"/>
        <v>2372.2033661710238</v>
      </c>
      <c r="DA19" s="58">
        <f t="shared" si="8"/>
        <v>2372.2033661710238</v>
      </c>
      <c r="DB19" s="58">
        <f t="shared" si="8"/>
        <v>2372.2033661710238</v>
      </c>
      <c r="DC19" s="58">
        <f t="shared" si="8"/>
        <v>2372.2033661710238</v>
      </c>
      <c r="DD19" s="58">
        <f t="shared" si="8"/>
        <v>2372.2033661710238</v>
      </c>
      <c r="DE19" s="58">
        <f t="shared" si="8"/>
        <v>2372.2033661710238</v>
      </c>
      <c r="DF19" s="58">
        <f t="shared" si="8"/>
        <v>2372.2033661710238</v>
      </c>
      <c r="DG19" s="58">
        <f t="shared" si="8"/>
        <v>2372.2033661710238</v>
      </c>
      <c r="DH19" s="58">
        <f t="shared" si="8"/>
        <v>2372.2033661710238</v>
      </c>
      <c r="DI19" s="58">
        <f t="shared" si="8"/>
        <v>2372.2033661710238</v>
      </c>
      <c r="DJ19" s="58">
        <f t="shared" si="8"/>
        <v>2640.768803342085</v>
      </c>
      <c r="DK19" s="58">
        <f t="shared" si="8"/>
        <v>2640.768803342085</v>
      </c>
      <c r="DL19" s="58">
        <f t="shared" si="8"/>
        <v>2640.768803342085</v>
      </c>
      <c r="DM19" s="58">
        <f t="shared" si="8"/>
        <v>2640.768803342085</v>
      </c>
      <c r="DN19" s="58">
        <f t="shared" si="8"/>
        <v>2640.768803342085</v>
      </c>
      <c r="DO19" s="58">
        <f t="shared" si="8"/>
        <v>2640.768803342085</v>
      </c>
      <c r="DP19" s="58">
        <f t="shared" si="8"/>
        <v>2640.768803342085</v>
      </c>
      <c r="DQ19" s="58">
        <f t="shared" si="8"/>
        <v>2640.768803342085</v>
      </c>
      <c r="DR19" s="58">
        <f t="shared" si="8"/>
        <v>2640.768803342085</v>
      </c>
      <c r="DS19" s="58">
        <f t="shared" si="8"/>
        <v>2640.768803342085</v>
      </c>
      <c r="DT19" s="58">
        <f t="shared" si="8"/>
        <v>2640.768803342085</v>
      </c>
      <c r="DU19" s="58">
        <f t="shared" si="8"/>
        <v>2640.768803342085</v>
      </c>
      <c r="DV19" s="58">
        <f t="shared" si="8"/>
        <v>1491116.000349361</v>
      </c>
    </row>
    <row r="20" spans="2:130" x14ac:dyDescent="0.3">
      <c r="B20" s="13" t="s">
        <v>72</v>
      </c>
      <c r="D20" s="57">
        <f>SUM(F20:DV20)</f>
        <v>379996.40875959437</v>
      </c>
      <c r="E20" s="49"/>
      <c r="F20" s="58">
        <f>F42</f>
        <v>181905.12328713818</v>
      </c>
      <c r="G20" s="58">
        <f t="shared" ref="G20:BR20" si="9">G42</f>
        <v>912.04528411059755</v>
      </c>
      <c r="H20" s="58">
        <f t="shared" si="9"/>
        <v>2122.6946050690854</v>
      </c>
      <c r="I20" s="58">
        <f t="shared" si="9"/>
        <v>4540.1094596298981</v>
      </c>
      <c r="J20" s="58">
        <f t="shared" si="9"/>
        <v>8923.8947580499243</v>
      </c>
      <c r="K20" s="58">
        <f t="shared" si="9"/>
        <v>16119.564886071646</v>
      </c>
      <c r="L20" s="58">
        <f t="shared" si="9"/>
        <v>26758.651753721148</v>
      </c>
      <c r="M20" s="58">
        <f t="shared" si="9"/>
        <v>36071.436451986388</v>
      </c>
      <c r="N20" s="58">
        <f t="shared" si="9"/>
        <v>47730.350695688947</v>
      </c>
      <c r="O20" s="58">
        <f t="shared" si="9"/>
        <v>54912.537578128577</v>
      </c>
      <c r="P20" s="58">
        <f t="shared" si="9"/>
        <v>0</v>
      </c>
      <c r="Q20" s="58">
        <f t="shared" si="9"/>
        <v>0</v>
      </c>
      <c r="R20" s="58">
        <f t="shared" si="9"/>
        <v>0</v>
      </c>
      <c r="S20" s="58">
        <f t="shared" si="9"/>
        <v>0</v>
      </c>
      <c r="T20" s="58">
        <f t="shared" si="9"/>
        <v>0</v>
      </c>
      <c r="U20" s="58">
        <f t="shared" si="9"/>
        <v>0</v>
      </c>
      <c r="V20" s="58">
        <f t="shared" si="9"/>
        <v>0</v>
      </c>
      <c r="W20" s="58">
        <f t="shared" si="9"/>
        <v>0</v>
      </c>
      <c r="X20" s="58">
        <f t="shared" si="9"/>
        <v>0</v>
      </c>
      <c r="Y20" s="58">
        <f t="shared" si="9"/>
        <v>0</v>
      </c>
      <c r="Z20" s="58">
        <f t="shared" si="9"/>
        <v>0</v>
      </c>
      <c r="AA20" s="58">
        <f t="shared" si="9"/>
        <v>0</v>
      </c>
      <c r="AB20" s="58">
        <f t="shared" si="9"/>
        <v>0</v>
      </c>
      <c r="AC20" s="58">
        <f t="shared" si="9"/>
        <v>0</v>
      </c>
      <c r="AD20" s="58">
        <f t="shared" si="9"/>
        <v>0</v>
      </c>
      <c r="AE20" s="58">
        <f t="shared" si="9"/>
        <v>0</v>
      </c>
      <c r="AF20" s="58">
        <f t="shared" si="9"/>
        <v>0</v>
      </c>
      <c r="AG20" s="58">
        <f t="shared" si="9"/>
        <v>0</v>
      </c>
      <c r="AH20" s="58">
        <f t="shared" si="9"/>
        <v>0</v>
      </c>
      <c r="AI20" s="58">
        <f t="shared" si="9"/>
        <v>0</v>
      </c>
      <c r="AJ20" s="58">
        <f t="shared" si="9"/>
        <v>0</v>
      </c>
      <c r="AK20" s="58">
        <f t="shared" si="9"/>
        <v>0</v>
      </c>
      <c r="AL20" s="58">
        <f t="shared" si="9"/>
        <v>0</v>
      </c>
      <c r="AM20" s="58">
        <f t="shared" si="9"/>
        <v>0</v>
      </c>
      <c r="AN20" s="58">
        <f t="shared" si="9"/>
        <v>0</v>
      </c>
      <c r="AO20" s="58">
        <f t="shared" si="9"/>
        <v>0</v>
      </c>
      <c r="AP20" s="58">
        <f t="shared" si="9"/>
        <v>0</v>
      </c>
      <c r="AQ20" s="58">
        <f t="shared" si="9"/>
        <v>0</v>
      </c>
      <c r="AR20" s="58">
        <f t="shared" si="9"/>
        <v>0</v>
      </c>
      <c r="AS20" s="58">
        <f t="shared" si="9"/>
        <v>0</v>
      </c>
      <c r="AT20" s="58">
        <f t="shared" si="9"/>
        <v>0</v>
      </c>
      <c r="AU20" s="58">
        <f t="shared" si="9"/>
        <v>0</v>
      </c>
      <c r="AV20" s="58">
        <f t="shared" si="9"/>
        <v>0</v>
      </c>
      <c r="AW20" s="58">
        <f t="shared" si="9"/>
        <v>0</v>
      </c>
      <c r="AX20" s="58">
        <f t="shared" si="9"/>
        <v>0</v>
      </c>
      <c r="AY20" s="58">
        <f t="shared" si="9"/>
        <v>0</v>
      </c>
      <c r="AZ20" s="58">
        <f t="shared" si="9"/>
        <v>0</v>
      </c>
      <c r="BA20" s="58">
        <f t="shared" si="9"/>
        <v>0</v>
      </c>
      <c r="BB20" s="58">
        <f t="shared" si="9"/>
        <v>0</v>
      </c>
      <c r="BC20" s="58">
        <f t="shared" si="9"/>
        <v>0</v>
      </c>
      <c r="BD20" s="58">
        <f t="shared" si="9"/>
        <v>0</v>
      </c>
      <c r="BE20" s="58">
        <f t="shared" si="9"/>
        <v>0</v>
      </c>
      <c r="BF20" s="58">
        <f t="shared" si="9"/>
        <v>0</v>
      </c>
      <c r="BG20" s="58">
        <f t="shared" si="9"/>
        <v>0</v>
      </c>
      <c r="BH20" s="58">
        <f t="shared" si="9"/>
        <v>0</v>
      </c>
      <c r="BI20" s="58">
        <f t="shared" si="9"/>
        <v>0</v>
      </c>
      <c r="BJ20" s="58">
        <f t="shared" si="9"/>
        <v>0</v>
      </c>
      <c r="BK20" s="58">
        <f t="shared" si="9"/>
        <v>0</v>
      </c>
      <c r="BL20" s="58">
        <f t="shared" si="9"/>
        <v>0</v>
      </c>
      <c r="BM20" s="58">
        <f t="shared" si="9"/>
        <v>0</v>
      </c>
      <c r="BN20" s="58">
        <f t="shared" si="9"/>
        <v>0</v>
      </c>
      <c r="BO20" s="58">
        <f t="shared" si="9"/>
        <v>0</v>
      </c>
      <c r="BP20" s="58">
        <f t="shared" si="9"/>
        <v>0</v>
      </c>
      <c r="BQ20" s="58">
        <f t="shared" si="9"/>
        <v>0</v>
      </c>
      <c r="BR20" s="58">
        <f t="shared" si="9"/>
        <v>0</v>
      </c>
      <c r="BS20" s="58">
        <f t="shared" ref="BS20:DV20" si="10">BS42</f>
        <v>0</v>
      </c>
      <c r="BT20" s="58">
        <f t="shared" si="10"/>
        <v>0</v>
      </c>
      <c r="BU20" s="58">
        <f t="shared" si="10"/>
        <v>0</v>
      </c>
      <c r="BV20" s="58">
        <f t="shared" si="10"/>
        <v>0</v>
      </c>
      <c r="BW20" s="58">
        <f t="shared" si="10"/>
        <v>0</v>
      </c>
      <c r="BX20" s="58">
        <f t="shared" si="10"/>
        <v>0</v>
      </c>
      <c r="BY20" s="58">
        <f t="shared" si="10"/>
        <v>0</v>
      </c>
      <c r="BZ20" s="58">
        <f t="shared" si="10"/>
        <v>0</v>
      </c>
      <c r="CA20" s="58">
        <f t="shared" si="10"/>
        <v>0</v>
      </c>
      <c r="CB20" s="58">
        <f t="shared" si="10"/>
        <v>0</v>
      </c>
      <c r="CC20" s="58">
        <f t="shared" si="10"/>
        <v>0</v>
      </c>
      <c r="CD20" s="58">
        <f t="shared" si="10"/>
        <v>0</v>
      </c>
      <c r="CE20" s="58">
        <f t="shared" si="10"/>
        <v>0</v>
      </c>
      <c r="CF20" s="58">
        <f t="shared" si="10"/>
        <v>0</v>
      </c>
      <c r="CG20" s="58">
        <f t="shared" si="10"/>
        <v>0</v>
      </c>
      <c r="CH20" s="58">
        <f t="shared" si="10"/>
        <v>0</v>
      </c>
      <c r="CI20" s="58">
        <f t="shared" si="10"/>
        <v>0</v>
      </c>
      <c r="CJ20" s="58">
        <f t="shared" si="10"/>
        <v>0</v>
      </c>
      <c r="CK20" s="58">
        <f t="shared" si="10"/>
        <v>0</v>
      </c>
      <c r="CL20" s="58">
        <f t="shared" si="10"/>
        <v>0</v>
      </c>
      <c r="CM20" s="58">
        <f t="shared" si="10"/>
        <v>0</v>
      </c>
      <c r="CN20" s="58">
        <f t="shared" si="10"/>
        <v>0</v>
      </c>
      <c r="CO20" s="58">
        <f t="shared" si="10"/>
        <v>0</v>
      </c>
      <c r="CP20" s="58">
        <f t="shared" si="10"/>
        <v>0</v>
      </c>
      <c r="CQ20" s="58">
        <f t="shared" si="10"/>
        <v>0</v>
      </c>
      <c r="CR20" s="58">
        <f t="shared" si="10"/>
        <v>0</v>
      </c>
      <c r="CS20" s="58">
        <f t="shared" si="10"/>
        <v>0</v>
      </c>
      <c r="CT20" s="58">
        <f t="shared" si="10"/>
        <v>0</v>
      </c>
      <c r="CU20" s="58">
        <f t="shared" si="10"/>
        <v>0</v>
      </c>
      <c r="CV20" s="58">
        <f t="shared" si="10"/>
        <v>0</v>
      </c>
      <c r="CW20" s="58">
        <f t="shared" si="10"/>
        <v>0</v>
      </c>
      <c r="CX20" s="58">
        <f t="shared" si="10"/>
        <v>0</v>
      </c>
      <c r="CY20" s="58">
        <f t="shared" si="10"/>
        <v>0</v>
      </c>
      <c r="CZ20" s="58">
        <f t="shared" si="10"/>
        <v>0</v>
      </c>
      <c r="DA20" s="58">
        <f t="shared" si="10"/>
        <v>0</v>
      </c>
      <c r="DB20" s="58">
        <f t="shared" si="10"/>
        <v>0</v>
      </c>
      <c r="DC20" s="58">
        <f t="shared" si="10"/>
        <v>0</v>
      </c>
      <c r="DD20" s="58">
        <f t="shared" si="10"/>
        <v>0</v>
      </c>
      <c r="DE20" s="58">
        <f t="shared" si="10"/>
        <v>0</v>
      </c>
      <c r="DF20" s="58">
        <f t="shared" si="10"/>
        <v>0</v>
      </c>
      <c r="DG20" s="58">
        <f t="shared" si="10"/>
        <v>0</v>
      </c>
      <c r="DH20" s="58">
        <f t="shared" si="10"/>
        <v>0</v>
      </c>
      <c r="DI20" s="58">
        <f t="shared" si="10"/>
        <v>0</v>
      </c>
      <c r="DJ20" s="58">
        <f t="shared" si="10"/>
        <v>0</v>
      </c>
      <c r="DK20" s="58">
        <f t="shared" si="10"/>
        <v>0</v>
      </c>
      <c r="DL20" s="58">
        <f t="shared" si="10"/>
        <v>0</v>
      </c>
      <c r="DM20" s="58">
        <f t="shared" si="10"/>
        <v>0</v>
      </c>
      <c r="DN20" s="58">
        <f t="shared" si="10"/>
        <v>0</v>
      </c>
      <c r="DO20" s="58">
        <f t="shared" si="10"/>
        <v>0</v>
      </c>
      <c r="DP20" s="58">
        <f t="shared" si="10"/>
        <v>0</v>
      </c>
      <c r="DQ20" s="58">
        <f t="shared" si="10"/>
        <v>0</v>
      </c>
      <c r="DR20" s="58">
        <f t="shared" si="10"/>
        <v>0</v>
      </c>
      <c r="DS20" s="58">
        <f t="shared" si="10"/>
        <v>0</v>
      </c>
      <c r="DT20" s="58">
        <f t="shared" si="10"/>
        <v>0</v>
      </c>
      <c r="DU20" s="58">
        <f t="shared" si="10"/>
        <v>0</v>
      </c>
      <c r="DV20" s="58">
        <f t="shared" si="10"/>
        <v>0</v>
      </c>
    </row>
    <row r="21" spans="2:130" x14ac:dyDescent="0.3">
      <c r="B21" s="13" t="s">
        <v>73</v>
      </c>
      <c r="D21" s="57">
        <f>D19-D20</f>
        <v>1303074.8594974952</v>
      </c>
      <c r="E21" s="49"/>
      <c r="F21" s="41"/>
      <c r="G21" s="52"/>
      <c r="H21" s="53"/>
      <c r="I21" s="53"/>
    </row>
    <row r="22" spans="2:130" x14ac:dyDescent="0.3">
      <c r="B22" s="13" t="s">
        <v>74</v>
      </c>
      <c r="D22" s="59">
        <f>XIRR(F22:DV22,$F$15:$DV$15)</f>
        <v>0.17829801440238952</v>
      </c>
      <c r="E22" s="49"/>
      <c r="F22" s="58">
        <f>-F20+F19</f>
        <v>-181905.12328713818</v>
      </c>
      <c r="G22" s="58">
        <f t="shared" ref="G22:BR22" si="11">-G20+G19</f>
        <v>-912.04528411059755</v>
      </c>
      <c r="H22" s="58">
        <f t="shared" si="11"/>
        <v>-2122.6946050690854</v>
      </c>
      <c r="I22" s="58">
        <f t="shared" si="11"/>
        <v>-4540.1094596298981</v>
      </c>
      <c r="J22" s="58">
        <f t="shared" si="11"/>
        <v>-8923.8947580499243</v>
      </c>
      <c r="K22" s="58">
        <f t="shared" si="11"/>
        <v>-16119.564886071646</v>
      </c>
      <c r="L22" s="58">
        <f t="shared" si="11"/>
        <v>-26758.651753721148</v>
      </c>
      <c r="M22" s="58">
        <f t="shared" si="11"/>
        <v>-36071.436451986388</v>
      </c>
      <c r="N22" s="58">
        <f t="shared" si="11"/>
        <v>-47730.350695688947</v>
      </c>
      <c r="O22" s="58">
        <f t="shared" si="11"/>
        <v>-54912.537578128577</v>
      </c>
      <c r="P22" s="58">
        <f t="shared" si="11"/>
        <v>0</v>
      </c>
      <c r="Q22" s="58">
        <f t="shared" si="11"/>
        <v>0</v>
      </c>
      <c r="R22" s="58">
        <f t="shared" si="11"/>
        <v>0</v>
      </c>
      <c r="S22" s="58">
        <f t="shared" si="11"/>
        <v>0</v>
      </c>
      <c r="T22" s="58">
        <f t="shared" si="11"/>
        <v>0</v>
      </c>
      <c r="U22" s="58">
        <f t="shared" si="11"/>
        <v>0</v>
      </c>
      <c r="V22" s="58">
        <f t="shared" si="11"/>
        <v>0</v>
      </c>
      <c r="W22" s="58">
        <f t="shared" si="11"/>
        <v>0</v>
      </c>
      <c r="X22" s="58">
        <f t="shared" si="11"/>
        <v>0</v>
      </c>
      <c r="Y22" s="58">
        <f t="shared" si="11"/>
        <v>0</v>
      </c>
      <c r="Z22" s="58">
        <f t="shared" si="11"/>
        <v>0</v>
      </c>
      <c r="AA22" s="58">
        <f t="shared" si="11"/>
        <v>0</v>
      </c>
      <c r="AB22" s="58">
        <f t="shared" si="11"/>
        <v>0</v>
      </c>
      <c r="AC22" s="58">
        <f t="shared" si="11"/>
        <v>0</v>
      </c>
      <c r="AD22" s="58">
        <f t="shared" si="11"/>
        <v>0</v>
      </c>
      <c r="AE22" s="58">
        <f t="shared" si="11"/>
        <v>0</v>
      </c>
      <c r="AF22" s="58">
        <f t="shared" si="11"/>
        <v>0</v>
      </c>
      <c r="AG22" s="58">
        <f t="shared" si="11"/>
        <v>0</v>
      </c>
      <c r="AH22" s="58">
        <f t="shared" si="11"/>
        <v>0</v>
      </c>
      <c r="AI22" s="58">
        <f t="shared" si="11"/>
        <v>0</v>
      </c>
      <c r="AJ22" s="58">
        <f t="shared" si="11"/>
        <v>3750.9776869732491</v>
      </c>
      <c r="AK22" s="58">
        <f t="shared" si="11"/>
        <v>2135.355011795044</v>
      </c>
      <c r="AL22" s="58">
        <f t="shared" si="11"/>
        <v>2135.355011795044</v>
      </c>
      <c r="AM22" s="58">
        <f t="shared" si="11"/>
        <v>2135.355011795044</v>
      </c>
      <c r="AN22" s="58">
        <f t="shared" si="11"/>
        <v>2135.355011795044</v>
      </c>
      <c r="AO22" s="58">
        <f t="shared" si="11"/>
        <v>2135.355011795044</v>
      </c>
      <c r="AP22" s="58">
        <f t="shared" si="11"/>
        <v>2195.7420433820471</v>
      </c>
      <c r="AQ22" s="58">
        <f t="shared" si="11"/>
        <v>2195.7420433820471</v>
      </c>
      <c r="AR22" s="58">
        <f t="shared" si="11"/>
        <v>2195.7420433820471</v>
      </c>
      <c r="AS22" s="58">
        <f t="shared" si="11"/>
        <v>2195.7420433820471</v>
      </c>
      <c r="AT22" s="58">
        <f t="shared" si="11"/>
        <v>2195.7420433820471</v>
      </c>
      <c r="AU22" s="58">
        <f t="shared" si="11"/>
        <v>2195.7420433820471</v>
      </c>
      <c r="AV22" s="58">
        <f t="shared" si="11"/>
        <v>2195.7420433820471</v>
      </c>
      <c r="AW22" s="58">
        <f t="shared" si="11"/>
        <v>2195.7420433820471</v>
      </c>
      <c r="AX22" s="58">
        <f t="shared" si="11"/>
        <v>2195.7420433820471</v>
      </c>
      <c r="AY22" s="58">
        <f t="shared" si="11"/>
        <v>2195.7420433820471</v>
      </c>
      <c r="AZ22" s="58">
        <f t="shared" si="11"/>
        <v>2195.7420433820471</v>
      </c>
      <c r="BA22" s="58">
        <f t="shared" si="11"/>
        <v>2195.7420433820471</v>
      </c>
      <c r="BB22" s="58">
        <f t="shared" si="11"/>
        <v>2421.4887520277284</v>
      </c>
      <c r="BC22" s="58">
        <f t="shared" si="11"/>
        <v>2421.4887520277284</v>
      </c>
      <c r="BD22" s="58">
        <f t="shared" si="11"/>
        <v>2421.4887520277284</v>
      </c>
      <c r="BE22" s="58">
        <f t="shared" si="11"/>
        <v>2421.4887520277284</v>
      </c>
      <c r="BF22" s="58">
        <f t="shared" si="11"/>
        <v>2421.4887520277284</v>
      </c>
      <c r="BG22" s="58">
        <f t="shared" si="11"/>
        <v>2421.4887520277284</v>
      </c>
      <c r="BH22" s="58">
        <f t="shared" si="11"/>
        <v>2421.4887520277284</v>
      </c>
      <c r="BI22" s="58">
        <f t="shared" si="11"/>
        <v>1386.3617867963924</v>
      </c>
      <c r="BJ22" s="58">
        <f t="shared" si="11"/>
        <v>1386.3617867963924</v>
      </c>
      <c r="BK22" s="58">
        <f t="shared" si="11"/>
        <v>1386.3617867963924</v>
      </c>
      <c r="BL22" s="58">
        <f t="shared" si="11"/>
        <v>1386.3617867963924</v>
      </c>
      <c r="BM22" s="58">
        <f t="shared" si="11"/>
        <v>1386.3617867963924</v>
      </c>
      <c r="BN22" s="58">
        <f t="shared" si="11"/>
        <v>1620.1243690202225</v>
      </c>
      <c r="BO22" s="58">
        <f t="shared" si="11"/>
        <v>1620.1243690202225</v>
      </c>
      <c r="BP22" s="58">
        <f t="shared" si="11"/>
        <v>1620.1243690202225</v>
      </c>
      <c r="BQ22" s="58">
        <f t="shared" si="11"/>
        <v>1620.1243690202225</v>
      </c>
      <c r="BR22" s="58">
        <f t="shared" si="11"/>
        <v>1620.1243690202225</v>
      </c>
      <c r="BS22" s="58">
        <f t="shared" ref="BS22:DV22" si="12">-BS20+BS19</f>
        <v>1620.1243690202225</v>
      </c>
      <c r="BT22" s="58">
        <f t="shared" si="12"/>
        <v>1620.1243690202225</v>
      </c>
      <c r="BU22" s="58">
        <f t="shared" si="12"/>
        <v>1620.1243690202225</v>
      </c>
      <c r="BV22" s="58">
        <f t="shared" si="12"/>
        <v>1620.1243690202225</v>
      </c>
      <c r="BW22" s="58">
        <f t="shared" si="12"/>
        <v>1620.1243690202225</v>
      </c>
      <c r="BX22" s="58">
        <f t="shared" si="12"/>
        <v>1620.1243690202225</v>
      </c>
      <c r="BY22" s="58">
        <f t="shared" si="12"/>
        <v>1620.1243690202225</v>
      </c>
      <c r="BZ22" s="58">
        <f t="shared" si="12"/>
        <v>1862.168170475918</v>
      </c>
      <c r="CA22" s="58">
        <f t="shared" si="12"/>
        <v>1862.168170475918</v>
      </c>
      <c r="CB22" s="58">
        <f t="shared" si="12"/>
        <v>1862.168170475918</v>
      </c>
      <c r="CC22" s="58">
        <f t="shared" si="12"/>
        <v>1862.168170475918</v>
      </c>
      <c r="CD22" s="58">
        <f t="shared" si="12"/>
        <v>1862.168170475918</v>
      </c>
      <c r="CE22" s="58">
        <f t="shared" si="12"/>
        <v>1862.168170475918</v>
      </c>
      <c r="CF22" s="58">
        <f t="shared" si="12"/>
        <v>1862.168170475918</v>
      </c>
      <c r="CG22" s="58">
        <f t="shared" si="12"/>
        <v>1862.168170475918</v>
      </c>
      <c r="CH22" s="58">
        <f t="shared" si="12"/>
        <v>1862.168170475918</v>
      </c>
      <c r="CI22" s="58">
        <f t="shared" si="12"/>
        <v>1862.168170475918</v>
      </c>
      <c r="CJ22" s="58">
        <f t="shared" si="12"/>
        <v>1862.168170475918</v>
      </c>
      <c r="CK22" s="58">
        <f t="shared" si="12"/>
        <v>1862.168170475918</v>
      </c>
      <c r="CL22" s="58">
        <f t="shared" si="12"/>
        <v>2112.7669945757439</v>
      </c>
      <c r="CM22" s="58">
        <f t="shared" si="12"/>
        <v>2112.7669945757439</v>
      </c>
      <c r="CN22" s="58">
        <f t="shared" si="12"/>
        <v>2112.7669945757439</v>
      </c>
      <c r="CO22" s="58">
        <f t="shared" si="12"/>
        <v>2112.7669945757439</v>
      </c>
      <c r="CP22" s="58">
        <f t="shared" si="12"/>
        <v>2112.7669945757439</v>
      </c>
      <c r="CQ22" s="58">
        <f t="shared" si="12"/>
        <v>2112.7669945757439</v>
      </c>
      <c r="CR22" s="58">
        <f t="shared" si="12"/>
        <v>2112.7669945757439</v>
      </c>
      <c r="CS22" s="58">
        <f t="shared" si="12"/>
        <v>2112.7669945757439</v>
      </c>
      <c r="CT22" s="58">
        <f t="shared" si="12"/>
        <v>2112.7669945757439</v>
      </c>
      <c r="CU22" s="58">
        <f t="shared" si="12"/>
        <v>2112.7669945757439</v>
      </c>
      <c r="CV22" s="58">
        <f t="shared" si="12"/>
        <v>2112.7669945757439</v>
      </c>
      <c r="CW22" s="58">
        <f t="shared" si="12"/>
        <v>2112.7669945757439</v>
      </c>
      <c r="CX22" s="58">
        <f t="shared" si="12"/>
        <v>2372.2033661710238</v>
      </c>
      <c r="CY22" s="58">
        <f t="shared" si="12"/>
        <v>2372.2033661710238</v>
      </c>
      <c r="CZ22" s="58">
        <f t="shared" si="12"/>
        <v>2372.2033661710238</v>
      </c>
      <c r="DA22" s="58">
        <f t="shared" si="12"/>
        <v>2372.2033661710238</v>
      </c>
      <c r="DB22" s="58">
        <f t="shared" si="12"/>
        <v>2372.2033661710238</v>
      </c>
      <c r="DC22" s="58">
        <f t="shared" si="12"/>
        <v>2372.2033661710238</v>
      </c>
      <c r="DD22" s="58">
        <f t="shared" si="12"/>
        <v>2372.2033661710238</v>
      </c>
      <c r="DE22" s="58">
        <f t="shared" si="12"/>
        <v>2372.2033661710238</v>
      </c>
      <c r="DF22" s="58">
        <f t="shared" si="12"/>
        <v>2372.2033661710238</v>
      </c>
      <c r="DG22" s="58">
        <f t="shared" si="12"/>
        <v>2372.2033661710238</v>
      </c>
      <c r="DH22" s="58">
        <f t="shared" si="12"/>
        <v>2372.2033661710238</v>
      </c>
      <c r="DI22" s="58">
        <f t="shared" si="12"/>
        <v>2372.2033661710238</v>
      </c>
      <c r="DJ22" s="58">
        <f t="shared" si="12"/>
        <v>2640.768803342085</v>
      </c>
      <c r="DK22" s="58">
        <f t="shared" si="12"/>
        <v>2640.768803342085</v>
      </c>
      <c r="DL22" s="58">
        <f t="shared" si="12"/>
        <v>2640.768803342085</v>
      </c>
      <c r="DM22" s="58">
        <f t="shared" si="12"/>
        <v>2640.768803342085</v>
      </c>
      <c r="DN22" s="58">
        <f t="shared" si="12"/>
        <v>2640.768803342085</v>
      </c>
      <c r="DO22" s="58">
        <f t="shared" si="12"/>
        <v>2640.768803342085</v>
      </c>
      <c r="DP22" s="58">
        <f t="shared" si="12"/>
        <v>2640.768803342085</v>
      </c>
      <c r="DQ22" s="58">
        <f t="shared" si="12"/>
        <v>2640.768803342085</v>
      </c>
      <c r="DR22" s="58">
        <f t="shared" si="12"/>
        <v>2640.768803342085</v>
      </c>
      <c r="DS22" s="58">
        <f t="shared" si="12"/>
        <v>2640.768803342085</v>
      </c>
      <c r="DT22" s="58">
        <f t="shared" si="12"/>
        <v>2640.768803342085</v>
      </c>
      <c r="DU22" s="58">
        <f t="shared" si="12"/>
        <v>2640.768803342085</v>
      </c>
      <c r="DV22" s="58">
        <f t="shared" si="12"/>
        <v>1491116.000349361</v>
      </c>
    </row>
    <row r="23" spans="2:130" x14ac:dyDescent="0.3">
      <c r="B23" s="13" t="s">
        <v>75</v>
      </c>
      <c r="D23" s="60">
        <f>SUMIF(F22:DV22,"&gt;0")/-SUMIF($F$22:$DV$22,"&lt;0")</f>
        <v>4.4291767749886519</v>
      </c>
      <c r="E23" s="49"/>
      <c r="F23" s="41"/>
      <c r="G23" s="52"/>
      <c r="H23" s="53"/>
      <c r="I23" s="53"/>
    </row>
    <row r="24" spans="2:130" x14ac:dyDescent="0.3">
      <c r="B24" s="13"/>
      <c r="D24" s="51"/>
      <c r="E24" s="49"/>
      <c r="F24" s="41"/>
      <c r="G24" s="52"/>
      <c r="H24" s="53"/>
      <c r="I24" s="53"/>
    </row>
    <row r="25" spans="2:130" x14ac:dyDescent="0.3">
      <c r="B25" s="55" t="s">
        <v>59</v>
      </c>
      <c r="D25" s="51"/>
      <c r="E25" s="49"/>
      <c r="F25" s="41"/>
      <c r="G25" s="52"/>
      <c r="H25" s="53"/>
      <c r="I25" s="53"/>
    </row>
    <row r="26" spans="2:130" x14ac:dyDescent="0.3">
      <c r="B26" s="13" t="s">
        <v>60</v>
      </c>
      <c r="D26" s="57">
        <f t="shared" ref="D26:D27" si="13">SUM(F26:DV26)</f>
        <v>337984.70704276796</v>
      </c>
      <c r="E26" s="49"/>
      <c r="F26" s="58">
        <f>+F48+F63+F78+F85+F32</f>
        <v>0</v>
      </c>
      <c r="G26" s="58">
        <f t="shared" ref="G26:BR26" si="14">+G48+G63+G78+G85+G32</f>
        <v>0</v>
      </c>
      <c r="H26" s="58">
        <f t="shared" si="14"/>
        <v>0</v>
      </c>
      <c r="I26" s="58">
        <f t="shared" si="14"/>
        <v>0</v>
      </c>
      <c r="J26" s="58">
        <f t="shared" si="14"/>
        <v>0</v>
      </c>
      <c r="K26" s="58">
        <f t="shared" si="14"/>
        <v>0</v>
      </c>
      <c r="L26" s="58">
        <f t="shared" si="14"/>
        <v>0</v>
      </c>
      <c r="M26" s="58">
        <f t="shared" si="14"/>
        <v>0</v>
      </c>
      <c r="N26" s="58">
        <f t="shared" si="14"/>
        <v>0</v>
      </c>
      <c r="O26" s="58">
        <f t="shared" si="14"/>
        <v>0</v>
      </c>
      <c r="P26" s="58">
        <f t="shared" si="14"/>
        <v>0</v>
      </c>
      <c r="Q26" s="58">
        <f t="shared" si="14"/>
        <v>0</v>
      </c>
      <c r="R26" s="58">
        <f t="shared" si="14"/>
        <v>0</v>
      </c>
      <c r="S26" s="58">
        <f t="shared" si="14"/>
        <v>0</v>
      </c>
      <c r="T26" s="58">
        <f t="shared" si="14"/>
        <v>0</v>
      </c>
      <c r="U26" s="58">
        <f t="shared" si="14"/>
        <v>0</v>
      </c>
      <c r="V26" s="58">
        <f t="shared" si="14"/>
        <v>0</v>
      </c>
      <c r="W26" s="58">
        <f t="shared" si="14"/>
        <v>0</v>
      </c>
      <c r="X26" s="58">
        <f t="shared" si="14"/>
        <v>0</v>
      </c>
      <c r="Y26" s="58">
        <f t="shared" si="14"/>
        <v>0</v>
      </c>
      <c r="Z26" s="58">
        <f t="shared" si="14"/>
        <v>0</v>
      </c>
      <c r="AA26" s="58">
        <f t="shared" si="14"/>
        <v>0</v>
      </c>
      <c r="AB26" s="58">
        <f t="shared" si="14"/>
        <v>0</v>
      </c>
      <c r="AC26" s="58">
        <f t="shared" si="14"/>
        <v>0</v>
      </c>
      <c r="AD26" s="58">
        <f t="shared" si="14"/>
        <v>0</v>
      </c>
      <c r="AE26" s="58">
        <f t="shared" si="14"/>
        <v>0</v>
      </c>
      <c r="AF26" s="58">
        <f t="shared" si="14"/>
        <v>0</v>
      </c>
      <c r="AG26" s="58">
        <f t="shared" si="14"/>
        <v>0</v>
      </c>
      <c r="AH26" s="58">
        <f t="shared" si="14"/>
        <v>0</v>
      </c>
      <c r="AI26" s="58">
        <f t="shared" si="14"/>
        <v>0</v>
      </c>
      <c r="AJ26" s="58">
        <f t="shared" si="14"/>
        <v>197.41987826174997</v>
      </c>
      <c r="AK26" s="58">
        <f t="shared" si="14"/>
        <v>112.38710588394989</v>
      </c>
      <c r="AL26" s="58">
        <f t="shared" si="14"/>
        <v>112.38710588394989</v>
      </c>
      <c r="AM26" s="58">
        <f t="shared" si="14"/>
        <v>112.38710588394989</v>
      </c>
      <c r="AN26" s="58">
        <f t="shared" si="14"/>
        <v>112.38710588394989</v>
      </c>
      <c r="AO26" s="58">
        <f t="shared" si="14"/>
        <v>112.38710588394989</v>
      </c>
      <c r="AP26" s="58">
        <f t="shared" si="14"/>
        <v>115.56537070431828</v>
      </c>
      <c r="AQ26" s="58">
        <f t="shared" si="14"/>
        <v>115.56537070431828</v>
      </c>
      <c r="AR26" s="58">
        <f t="shared" si="14"/>
        <v>115.56537070431828</v>
      </c>
      <c r="AS26" s="58">
        <f t="shared" si="14"/>
        <v>115.56537070431828</v>
      </c>
      <c r="AT26" s="58">
        <f t="shared" si="14"/>
        <v>115.56537070431828</v>
      </c>
      <c r="AU26" s="58">
        <f t="shared" si="14"/>
        <v>115.56537070431828</v>
      </c>
      <c r="AV26" s="58">
        <f t="shared" si="14"/>
        <v>115.56537070431828</v>
      </c>
      <c r="AW26" s="58">
        <f t="shared" si="14"/>
        <v>115.56537070431828</v>
      </c>
      <c r="AX26" s="58">
        <f t="shared" si="14"/>
        <v>115.56537070431828</v>
      </c>
      <c r="AY26" s="58">
        <f t="shared" si="14"/>
        <v>115.56537070431828</v>
      </c>
      <c r="AZ26" s="58">
        <f t="shared" si="14"/>
        <v>115.56537070431828</v>
      </c>
      <c r="BA26" s="58">
        <f t="shared" si="14"/>
        <v>115.56537070431828</v>
      </c>
      <c r="BB26" s="58">
        <f t="shared" si="14"/>
        <v>127.44677642251204</v>
      </c>
      <c r="BC26" s="58">
        <f t="shared" si="14"/>
        <v>127.44677642251204</v>
      </c>
      <c r="BD26" s="58">
        <f t="shared" si="14"/>
        <v>127.44677642251204</v>
      </c>
      <c r="BE26" s="58">
        <f t="shared" si="14"/>
        <v>127.44677642251204</v>
      </c>
      <c r="BF26" s="58">
        <f t="shared" si="14"/>
        <v>127.44677642251204</v>
      </c>
      <c r="BG26" s="58">
        <f t="shared" si="14"/>
        <v>127.44677642251204</v>
      </c>
      <c r="BH26" s="58">
        <f t="shared" si="14"/>
        <v>127.44677642251204</v>
      </c>
      <c r="BI26" s="58">
        <f t="shared" si="14"/>
        <v>72.966409831389171</v>
      </c>
      <c r="BJ26" s="58">
        <f t="shared" si="14"/>
        <v>72.966409831389171</v>
      </c>
      <c r="BK26" s="58">
        <f t="shared" si="14"/>
        <v>72.966409831389171</v>
      </c>
      <c r="BL26" s="58">
        <f t="shared" si="14"/>
        <v>72.966409831389171</v>
      </c>
      <c r="BM26" s="58">
        <f t="shared" si="14"/>
        <v>72.966409831389171</v>
      </c>
      <c r="BN26" s="58">
        <f t="shared" si="14"/>
        <v>85.269703632643299</v>
      </c>
      <c r="BO26" s="58">
        <f t="shared" si="14"/>
        <v>85.269703632643299</v>
      </c>
      <c r="BP26" s="58">
        <f t="shared" si="14"/>
        <v>85.269703632643299</v>
      </c>
      <c r="BQ26" s="58">
        <f t="shared" si="14"/>
        <v>85.269703632643299</v>
      </c>
      <c r="BR26" s="58">
        <f t="shared" si="14"/>
        <v>85.269703632643299</v>
      </c>
      <c r="BS26" s="58">
        <f t="shared" ref="BS26:DV26" si="15">+BS48+BS63+BS78+BS85+BS32</f>
        <v>85.269703632643299</v>
      </c>
      <c r="BT26" s="58">
        <f t="shared" si="15"/>
        <v>85.269703632643299</v>
      </c>
      <c r="BU26" s="58">
        <f t="shared" si="15"/>
        <v>85.269703632643299</v>
      </c>
      <c r="BV26" s="58">
        <f t="shared" si="15"/>
        <v>85.269703632643299</v>
      </c>
      <c r="BW26" s="58">
        <f t="shared" si="15"/>
        <v>85.269703632643299</v>
      </c>
      <c r="BX26" s="58">
        <f t="shared" si="15"/>
        <v>85.269703632643299</v>
      </c>
      <c r="BY26" s="58">
        <f t="shared" si="15"/>
        <v>85.269703632643299</v>
      </c>
      <c r="BZ26" s="58">
        <f t="shared" si="15"/>
        <v>98.008851077679907</v>
      </c>
      <c r="CA26" s="58">
        <f t="shared" si="15"/>
        <v>98.008851077679907</v>
      </c>
      <c r="CB26" s="58">
        <f t="shared" si="15"/>
        <v>98.008851077679907</v>
      </c>
      <c r="CC26" s="58">
        <f t="shared" si="15"/>
        <v>98.008851077679907</v>
      </c>
      <c r="CD26" s="58">
        <f t="shared" si="15"/>
        <v>98.008851077679907</v>
      </c>
      <c r="CE26" s="58">
        <f t="shared" si="15"/>
        <v>98.008851077679907</v>
      </c>
      <c r="CF26" s="58">
        <f t="shared" si="15"/>
        <v>98.008851077679907</v>
      </c>
      <c r="CG26" s="58">
        <f t="shared" si="15"/>
        <v>98.008851077679907</v>
      </c>
      <c r="CH26" s="58">
        <f t="shared" si="15"/>
        <v>98.008851077679907</v>
      </c>
      <c r="CI26" s="58">
        <f t="shared" si="15"/>
        <v>98.008851077679907</v>
      </c>
      <c r="CJ26" s="58">
        <f t="shared" si="15"/>
        <v>98.008851077679907</v>
      </c>
      <c r="CK26" s="58">
        <f t="shared" si="15"/>
        <v>98.008851077679907</v>
      </c>
      <c r="CL26" s="58">
        <f t="shared" si="15"/>
        <v>111.19826287240758</v>
      </c>
      <c r="CM26" s="58">
        <f t="shared" si="15"/>
        <v>111.19826287240758</v>
      </c>
      <c r="CN26" s="58">
        <f t="shared" si="15"/>
        <v>111.19826287240758</v>
      </c>
      <c r="CO26" s="58">
        <f t="shared" si="15"/>
        <v>111.19826287240758</v>
      </c>
      <c r="CP26" s="58">
        <f t="shared" si="15"/>
        <v>111.19826287240758</v>
      </c>
      <c r="CQ26" s="58">
        <f t="shared" si="15"/>
        <v>111.19826287240758</v>
      </c>
      <c r="CR26" s="58">
        <f t="shared" si="15"/>
        <v>111.19826287240758</v>
      </c>
      <c r="CS26" s="58">
        <f t="shared" si="15"/>
        <v>111.19826287240758</v>
      </c>
      <c r="CT26" s="58">
        <f t="shared" si="15"/>
        <v>111.19826287240758</v>
      </c>
      <c r="CU26" s="58">
        <f t="shared" si="15"/>
        <v>111.19826287240758</v>
      </c>
      <c r="CV26" s="58">
        <f t="shared" si="15"/>
        <v>111.19826287240758</v>
      </c>
      <c r="CW26" s="58">
        <f t="shared" si="15"/>
        <v>111.19826287240758</v>
      </c>
      <c r="CX26" s="58">
        <f t="shared" si="15"/>
        <v>124.85280874584338</v>
      </c>
      <c r="CY26" s="58">
        <f t="shared" si="15"/>
        <v>124.85280874584338</v>
      </c>
      <c r="CZ26" s="58">
        <f t="shared" si="15"/>
        <v>124.85280874584338</v>
      </c>
      <c r="DA26" s="58">
        <f t="shared" si="15"/>
        <v>124.85280874584338</v>
      </c>
      <c r="DB26" s="58">
        <f t="shared" si="15"/>
        <v>124.85280874584338</v>
      </c>
      <c r="DC26" s="58">
        <f t="shared" si="15"/>
        <v>124.85280874584338</v>
      </c>
      <c r="DD26" s="58">
        <f t="shared" si="15"/>
        <v>124.85280874584338</v>
      </c>
      <c r="DE26" s="58">
        <f t="shared" si="15"/>
        <v>124.85280874584338</v>
      </c>
      <c r="DF26" s="58">
        <f t="shared" si="15"/>
        <v>124.85280874584338</v>
      </c>
      <c r="DG26" s="58">
        <f t="shared" si="15"/>
        <v>124.85280874584338</v>
      </c>
      <c r="DH26" s="58">
        <f t="shared" si="15"/>
        <v>124.85280874584338</v>
      </c>
      <c r="DI26" s="58">
        <f t="shared" si="15"/>
        <v>124.85280874584338</v>
      </c>
      <c r="DJ26" s="58">
        <f t="shared" si="15"/>
        <v>138.98783175484678</v>
      </c>
      <c r="DK26" s="58">
        <f t="shared" si="15"/>
        <v>138.98783175484678</v>
      </c>
      <c r="DL26" s="58">
        <f t="shared" si="15"/>
        <v>138.98783175484678</v>
      </c>
      <c r="DM26" s="58">
        <f t="shared" si="15"/>
        <v>138.98783175484678</v>
      </c>
      <c r="DN26" s="58">
        <f t="shared" si="15"/>
        <v>138.98783175484678</v>
      </c>
      <c r="DO26" s="58">
        <f t="shared" si="15"/>
        <v>138.98783175484678</v>
      </c>
      <c r="DP26" s="58">
        <f t="shared" si="15"/>
        <v>138.98783175484678</v>
      </c>
      <c r="DQ26" s="58">
        <f t="shared" si="15"/>
        <v>138.98783175484678</v>
      </c>
      <c r="DR26" s="58">
        <f t="shared" si="15"/>
        <v>138.98783175484678</v>
      </c>
      <c r="DS26" s="58">
        <f t="shared" si="15"/>
        <v>138.98783175484678</v>
      </c>
      <c r="DT26" s="58">
        <f t="shared" si="15"/>
        <v>138.98783175484678</v>
      </c>
      <c r="DU26" s="58">
        <f t="shared" si="15"/>
        <v>138.98783175484678</v>
      </c>
      <c r="DV26" s="58">
        <f t="shared" si="15"/>
        <v>327881.7982055191</v>
      </c>
    </row>
    <row r="27" spans="2:130" x14ac:dyDescent="0.3">
      <c r="B27" s="13" t="s">
        <v>61</v>
      </c>
      <c r="D27" s="57">
        <f t="shared" si="13"/>
        <v>19999.810987347089</v>
      </c>
      <c r="E27" s="49"/>
      <c r="F27" s="58">
        <f>-(MIN(F34,0)+F42)</f>
        <v>9573.9538572177989</v>
      </c>
      <c r="G27" s="58">
        <f t="shared" ref="G27:BR27" si="16">-(MIN(G34,0)+G42)</f>
        <v>48.002383374242072</v>
      </c>
      <c r="H27" s="58">
        <f t="shared" si="16"/>
        <v>111.72076868784688</v>
      </c>
      <c r="I27" s="58">
        <f t="shared" si="16"/>
        <v>238.95312945420574</v>
      </c>
      <c r="J27" s="58">
        <f t="shared" si="16"/>
        <v>469.67867147631296</v>
      </c>
      <c r="K27" s="58">
        <f t="shared" si="16"/>
        <v>848.39815189850924</v>
      </c>
      <c r="L27" s="58">
        <f t="shared" si="16"/>
        <v>1408.3500923011161</v>
      </c>
      <c r="M27" s="58">
        <f t="shared" si="16"/>
        <v>1898.4966553677077</v>
      </c>
      <c r="N27" s="58">
        <f t="shared" si="16"/>
        <v>2512.1237208257371</v>
      </c>
      <c r="O27" s="58">
        <f t="shared" si="16"/>
        <v>2890.1335567436108</v>
      </c>
      <c r="P27" s="58">
        <f t="shared" si="16"/>
        <v>0</v>
      </c>
      <c r="Q27" s="58">
        <f t="shared" si="16"/>
        <v>0</v>
      </c>
      <c r="R27" s="58">
        <f t="shared" si="16"/>
        <v>0</v>
      </c>
      <c r="S27" s="58">
        <f t="shared" si="16"/>
        <v>0</v>
      </c>
      <c r="T27" s="58">
        <f t="shared" si="16"/>
        <v>0</v>
      </c>
      <c r="U27" s="58">
        <f t="shared" si="16"/>
        <v>0</v>
      </c>
      <c r="V27" s="58">
        <f t="shared" si="16"/>
        <v>0</v>
      </c>
      <c r="W27" s="58">
        <f t="shared" si="16"/>
        <v>0</v>
      </c>
      <c r="X27" s="58">
        <f t="shared" si="16"/>
        <v>0</v>
      </c>
      <c r="Y27" s="58">
        <f t="shared" si="16"/>
        <v>0</v>
      </c>
      <c r="Z27" s="58">
        <f t="shared" si="16"/>
        <v>0</v>
      </c>
      <c r="AA27" s="58">
        <f t="shared" si="16"/>
        <v>0</v>
      </c>
      <c r="AB27" s="58">
        <f t="shared" si="16"/>
        <v>0</v>
      </c>
      <c r="AC27" s="58">
        <f t="shared" si="16"/>
        <v>0</v>
      </c>
      <c r="AD27" s="58">
        <f t="shared" si="16"/>
        <v>0</v>
      </c>
      <c r="AE27" s="58">
        <f t="shared" si="16"/>
        <v>0</v>
      </c>
      <c r="AF27" s="58">
        <f t="shared" si="16"/>
        <v>0</v>
      </c>
      <c r="AG27" s="58">
        <f t="shared" si="16"/>
        <v>0</v>
      </c>
      <c r="AH27" s="58">
        <f t="shared" si="16"/>
        <v>0</v>
      </c>
      <c r="AI27" s="58">
        <f t="shared" si="16"/>
        <v>0</v>
      </c>
      <c r="AJ27" s="58">
        <f t="shared" si="16"/>
        <v>0</v>
      </c>
      <c r="AK27" s="58">
        <f t="shared" si="16"/>
        <v>0</v>
      </c>
      <c r="AL27" s="58">
        <f t="shared" si="16"/>
        <v>0</v>
      </c>
      <c r="AM27" s="58">
        <f t="shared" si="16"/>
        <v>0</v>
      </c>
      <c r="AN27" s="58">
        <f t="shared" si="16"/>
        <v>0</v>
      </c>
      <c r="AO27" s="58">
        <f t="shared" si="16"/>
        <v>0</v>
      </c>
      <c r="AP27" s="58">
        <f t="shared" si="16"/>
        <v>0</v>
      </c>
      <c r="AQ27" s="58">
        <f t="shared" si="16"/>
        <v>0</v>
      </c>
      <c r="AR27" s="58">
        <f t="shared" si="16"/>
        <v>0</v>
      </c>
      <c r="AS27" s="58">
        <f t="shared" si="16"/>
        <v>0</v>
      </c>
      <c r="AT27" s="58">
        <f t="shared" si="16"/>
        <v>0</v>
      </c>
      <c r="AU27" s="58">
        <f t="shared" si="16"/>
        <v>0</v>
      </c>
      <c r="AV27" s="58">
        <f t="shared" si="16"/>
        <v>0</v>
      </c>
      <c r="AW27" s="58">
        <f t="shared" si="16"/>
        <v>0</v>
      </c>
      <c r="AX27" s="58">
        <f t="shared" si="16"/>
        <v>0</v>
      </c>
      <c r="AY27" s="58">
        <f t="shared" si="16"/>
        <v>0</v>
      </c>
      <c r="AZ27" s="58">
        <f t="shared" si="16"/>
        <v>0</v>
      </c>
      <c r="BA27" s="58">
        <f t="shared" si="16"/>
        <v>0</v>
      </c>
      <c r="BB27" s="58">
        <f t="shared" si="16"/>
        <v>0</v>
      </c>
      <c r="BC27" s="58">
        <f t="shared" si="16"/>
        <v>0</v>
      </c>
      <c r="BD27" s="58">
        <f t="shared" si="16"/>
        <v>0</v>
      </c>
      <c r="BE27" s="58">
        <f t="shared" si="16"/>
        <v>0</v>
      </c>
      <c r="BF27" s="58">
        <f t="shared" si="16"/>
        <v>0</v>
      </c>
      <c r="BG27" s="58">
        <f t="shared" si="16"/>
        <v>0</v>
      </c>
      <c r="BH27" s="58">
        <f t="shared" si="16"/>
        <v>0</v>
      </c>
      <c r="BI27" s="58">
        <f t="shared" si="16"/>
        <v>0</v>
      </c>
      <c r="BJ27" s="58">
        <f t="shared" si="16"/>
        <v>0</v>
      </c>
      <c r="BK27" s="58">
        <f t="shared" si="16"/>
        <v>0</v>
      </c>
      <c r="BL27" s="58">
        <f t="shared" si="16"/>
        <v>0</v>
      </c>
      <c r="BM27" s="58">
        <f t="shared" si="16"/>
        <v>0</v>
      </c>
      <c r="BN27" s="58">
        <f t="shared" si="16"/>
        <v>0</v>
      </c>
      <c r="BO27" s="58">
        <f t="shared" si="16"/>
        <v>0</v>
      </c>
      <c r="BP27" s="58">
        <f t="shared" si="16"/>
        <v>0</v>
      </c>
      <c r="BQ27" s="58">
        <f t="shared" si="16"/>
        <v>0</v>
      </c>
      <c r="BR27" s="58">
        <f t="shared" si="16"/>
        <v>0</v>
      </c>
      <c r="BS27" s="58">
        <f t="shared" ref="BS27:DV27" si="17">-(MIN(BS34,0)+BS42)</f>
        <v>0</v>
      </c>
      <c r="BT27" s="58">
        <f t="shared" si="17"/>
        <v>0</v>
      </c>
      <c r="BU27" s="58">
        <f t="shared" si="17"/>
        <v>0</v>
      </c>
      <c r="BV27" s="58">
        <f t="shared" si="17"/>
        <v>0</v>
      </c>
      <c r="BW27" s="58">
        <f t="shared" si="17"/>
        <v>0</v>
      </c>
      <c r="BX27" s="58">
        <f t="shared" si="17"/>
        <v>0</v>
      </c>
      <c r="BY27" s="58">
        <f t="shared" si="17"/>
        <v>0</v>
      </c>
      <c r="BZ27" s="58">
        <f t="shared" si="17"/>
        <v>0</v>
      </c>
      <c r="CA27" s="58">
        <f t="shared" si="17"/>
        <v>0</v>
      </c>
      <c r="CB27" s="58">
        <f t="shared" si="17"/>
        <v>0</v>
      </c>
      <c r="CC27" s="58">
        <f t="shared" si="17"/>
        <v>0</v>
      </c>
      <c r="CD27" s="58">
        <f t="shared" si="17"/>
        <v>0</v>
      </c>
      <c r="CE27" s="58">
        <f t="shared" si="17"/>
        <v>0</v>
      </c>
      <c r="CF27" s="58">
        <f t="shared" si="17"/>
        <v>0</v>
      </c>
      <c r="CG27" s="58">
        <f t="shared" si="17"/>
        <v>0</v>
      </c>
      <c r="CH27" s="58">
        <f t="shared" si="17"/>
        <v>0</v>
      </c>
      <c r="CI27" s="58">
        <f t="shared" si="17"/>
        <v>0</v>
      </c>
      <c r="CJ27" s="58">
        <f t="shared" si="17"/>
        <v>0</v>
      </c>
      <c r="CK27" s="58">
        <f t="shared" si="17"/>
        <v>0</v>
      </c>
      <c r="CL27" s="58">
        <f t="shared" si="17"/>
        <v>0</v>
      </c>
      <c r="CM27" s="58">
        <f t="shared" si="17"/>
        <v>0</v>
      </c>
      <c r="CN27" s="58">
        <f t="shared" si="17"/>
        <v>0</v>
      </c>
      <c r="CO27" s="58">
        <f t="shared" si="17"/>
        <v>0</v>
      </c>
      <c r="CP27" s="58">
        <f t="shared" si="17"/>
        <v>0</v>
      </c>
      <c r="CQ27" s="58">
        <f t="shared" si="17"/>
        <v>0</v>
      </c>
      <c r="CR27" s="58">
        <f t="shared" si="17"/>
        <v>0</v>
      </c>
      <c r="CS27" s="58">
        <f t="shared" si="17"/>
        <v>0</v>
      </c>
      <c r="CT27" s="58">
        <f t="shared" si="17"/>
        <v>0</v>
      </c>
      <c r="CU27" s="58">
        <f t="shared" si="17"/>
        <v>0</v>
      </c>
      <c r="CV27" s="58">
        <f t="shared" si="17"/>
        <v>0</v>
      </c>
      <c r="CW27" s="58">
        <f t="shared" si="17"/>
        <v>0</v>
      </c>
      <c r="CX27" s="58">
        <f t="shared" si="17"/>
        <v>0</v>
      </c>
      <c r="CY27" s="58">
        <f t="shared" si="17"/>
        <v>0</v>
      </c>
      <c r="CZ27" s="58">
        <f t="shared" si="17"/>
        <v>0</v>
      </c>
      <c r="DA27" s="58">
        <f t="shared" si="17"/>
        <v>0</v>
      </c>
      <c r="DB27" s="58">
        <f t="shared" si="17"/>
        <v>0</v>
      </c>
      <c r="DC27" s="58">
        <f t="shared" si="17"/>
        <v>0</v>
      </c>
      <c r="DD27" s="58">
        <f t="shared" si="17"/>
        <v>0</v>
      </c>
      <c r="DE27" s="58">
        <f t="shared" si="17"/>
        <v>0</v>
      </c>
      <c r="DF27" s="58">
        <f t="shared" si="17"/>
        <v>0</v>
      </c>
      <c r="DG27" s="58">
        <f t="shared" si="17"/>
        <v>0</v>
      </c>
      <c r="DH27" s="58">
        <f t="shared" si="17"/>
        <v>0</v>
      </c>
      <c r="DI27" s="58">
        <f t="shared" si="17"/>
        <v>0</v>
      </c>
      <c r="DJ27" s="58">
        <f t="shared" si="17"/>
        <v>0</v>
      </c>
      <c r="DK27" s="58">
        <f t="shared" si="17"/>
        <v>0</v>
      </c>
      <c r="DL27" s="58">
        <f t="shared" si="17"/>
        <v>0</v>
      </c>
      <c r="DM27" s="58">
        <f t="shared" si="17"/>
        <v>0</v>
      </c>
      <c r="DN27" s="58">
        <f t="shared" si="17"/>
        <v>0</v>
      </c>
      <c r="DO27" s="58">
        <f t="shared" si="17"/>
        <v>0</v>
      </c>
      <c r="DP27" s="58">
        <f t="shared" si="17"/>
        <v>0</v>
      </c>
      <c r="DQ27" s="58">
        <f t="shared" si="17"/>
        <v>0</v>
      </c>
      <c r="DR27" s="58">
        <f t="shared" si="17"/>
        <v>0</v>
      </c>
      <c r="DS27" s="58">
        <f t="shared" si="17"/>
        <v>0</v>
      </c>
      <c r="DT27" s="58">
        <f t="shared" si="17"/>
        <v>0</v>
      </c>
      <c r="DU27" s="58">
        <f t="shared" si="17"/>
        <v>0</v>
      </c>
      <c r="DV27" s="58">
        <f t="shared" si="17"/>
        <v>0</v>
      </c>
    </row>
    <row r="28" spans="2:130" x14ac:dyDescent="0.3">
      <c r="B28" s="13" t="s">
        <v>62</v>
      </c>
      <c r="D28" s="57">
        <f>D26-D27</f>
        <v>317984.89605542086</v>
      </c>
      <c r="E28" s="49"/>
      <c r="F28" s="41"/>
      <c r="G28" s="52"/>
      <c r="H28" s="53"/>
      <c r="I28" s="53"/>
    </row>
    <row r="29" spans="2:130" x14ac:dyDescent="0.3">
      <c r="B29" s="13" t="s">
        <v>63</v>
      </c>
      <c r="D29" s="59">
        <f>XIRR(F29:DV29,$F$15:$DV$15)</f>
        <v>0.34897895455360417</v>
      </c>
      <c r="E29" s="49"/>
      <c r="F29" s="58">
        <f>-F27+F26</f>
        <v>-9573.9538572177989</v>
      </c>
      <c r="G29" s="58">
        <f t="shared" ref="G29:BR29" si="18">-G27+G26</f>
        <v>-48.002383374242072</v>
      </c>
      <c r="H29" s="58">
        <f t="shared" si="18"/>
        <v>-111.72076868784688</v>
      </c>
      <c r="I29" s="58">
        <f t="shared" si="18"/>
        <v>-238.95312945420574</v>
      </c>
      <c r="J29" s="58">
        <f t="shared" si="18"/>
        <v>-469.67867147631296</v>
      </c>
      <c r="K29" s="58">
        <f t="shared" si="18"/>
        <v>-848.39815189850924</v>
      </c>
      <c r="L29" s="58">
        <f t="shared" si="18"/>
        <v>-1408.3500923011161</v>
      </c>
      <c r="M29" s="58">
        <f t="shared" si="18"/>
        <v>-1898.4966553677077</v>
      </c>
      <c r="N29" s="58">
        <f t="shared" si="18"/>
        <v>-2512.1237208257371</v>
      </c>
      <c r="O29" s="58">
        <f t="shared" si="18"/>
        <v>-2890.1335567436108</v>
      </c>
      <c r="P29" s="58">
        <f t="shared" si="18"/>
        <v>0</v>
      </c>
      <c r="Q29" s="58">
        <f t="shared" si="18"/>
        <v>0</v>
      </c>
      <c r="R29" s="58">
        <f t="shared" si="18"/>
        <v>0</v>
      </c>
      <c r="S29" s="58">
        <f t="shared" si="18"/>
        <v>0</v>
      </c>
      <c r="T29" s="58">
        <f t="shared" si="18"/>
        <v>0</v>
      </c>
      <c r="U29" s="58">
        <f t="shared" si="18"/>
        <v>0</v>
      </c>
      <c r="V29" s="58">
        <f t="shared" si="18"/>
        <v>0</v>
      </c>
      <c r="W29" s="58">
        <f t="shared" si="18"/>
        <v>0</v>
      </c>
      <c r="X29" s="58">
        <f t="shared" si="18"/>
        <v>0</v>
      </c>
      <c r="Y29" s="58">
        <f t="shared" si="18"/>
        <v>0</v>
      </c>
      <c r="Z29" s="58">
        <f t="shared" si="18"/>
        <v>0</v>
      </c>
      <c r="AA29" s="58">
        <f t="shared" si="18"/>
        <v>0</v>
      </c>
      <c r="AB29" s="58">
        <f t="shared" si="18"/>
        <v>0</v>
      </c>
      <c r="AC29" s="58">
        <f t="shared" si="18"/>
        <v>0</v>
      </c>
      <c r="AD29" s="58">
        <f t="shared" si="18"/>
        <v>0</v>
      </c>
      <c r="AE29" s="58">
        <f t="shared" si="18"/>
        <v>0</v>
      </c>
      <c r="AF29" s="58">
        <f t="shared" si="18"/>
        <v>0</v>
      </c>
      <c r="AG29" s="58">
        <f t="shared" si="18"/>
        <v>0</v>
      </c>
      <c r="AH29" s="58">
        <f t="shared" si="18"/>
        <v>0</v>
      </c>
      <c r="AI29" s="58">
        <f t="shared" si="18"/>
        <v>0</v>
      </c>
      <c r="AJ29" s="58">
        <f t="shared" si="18"/>
        <v>197.41987826174997</v>
      </c>
      <c r="AK29" s="58">
        <f t="shared" si="18"/>
        <v>112.38710588394989</v>
      </c>
      <c r="AL29" s="58">
        <f t="shared" si="18"/>
        <v>112.38710588394989</v>
      </c>
      <c r="AM29" s="58">
        <f t="shared" si="18"/>
        <v>112.38710588394989</v>
      </c>
      <c r="AN29" s="58">
        <f t="shared" si="18"/>
        <v>112.38710588394989</v>
      </c>
      <c r="AO29" s="58">
        <f t="shared" si="18"/>
        <v>112.38710588394989</v>
      </c>
      <c r="AP29" s="58">
        <f t="shared" si="18"/>
        <v>115.56537070431828</v>
      </c>
      <c r="AQ29" s="58">
        <f t="shared" si="18"/>
        <v>115.56537070431828</v>
      </c>
      <c r="AR29" s="58">
        <f t="shared" si="18"/>
        <v>115.56537070431828</v>
      </c>
      <c r="AS29" s="58">
        <f t="shared" si="18"/>
        <v>115.56537070431828</v>
      </c>
      <c r="AT29" s="58">
        <f t="shared" si="18"/>
        <v>115.56537070431828</v>
      </c>
      <c r="AU29" s="58">
        <f t="shared" si="18"/>
        <v>115.56537070431828</v>
      </c>
      <c r="AV29" s="58">
        <f t="shared" si="18"/>
        <v>115.56537070431828</v>
      </c>
      <c r="AW29" s="58">
        <f t="shared" si="18"/>
        <v>115.56537070431828</v>
      </c>
      <c r="AX29" s="58">
        <f t="shared" si="18"/>
        <v>115.56537070431828</v>
      </c>
      <c r="AY29" s="58">
        <f t="shared" si="18"/>
        <v>115.56537070431828</v>
      </c>
      <c r="AZ29" s="58">
        <f t="shared" si="18"/>
        <v>115.56537070431828</v>
      </c>
      <c r="BA29" s="58">
        <f t="shared" si="18"/>
        <v>115.56537070431828</v>
      </c>
      <c r="BB29" s="58">
        <f t="shared" si="18"/>
        <v>127.44677642251204</v>
      </c>
      <c r="BC29" s="58">
        <f t="shared" si="18"/>
        <v>127.44677642251204</v>
      </c>
      <c r="BD29" s="58">
        <f t="shared" si="18"/>
        <v>127.44677642251204</v>
      </c>
      <c r="BE29" s="58">
        <f t="shared" si="18"/>
        <v>127.44677642251204</v>
      </c>
      <c r="BF29" s="58">
        <f t="shared" si="18"/>
        <v>127.44677642251204</v>
      </c>
      <c r="BG29" s="58">
        <f t="shared" si="18"/>
        <v>127.44677642251204</v>
      </c>
      <c r="BH29" s="58">
        <f t="shared" si="18"/>
        <v>127.44677642251204</v>
      </c>
      <c r="BI29" s="58">
        <f t="shared" si="18"/>
        <v>72.966409831389171</v>
      </c>
      <c r="BJ29" s="58">
        <f t="shared" si="18"/>
        <v>72.966409831389171</v>
      </c>
      <c r="BK29" s="58">
        <f t="shared" si="18"/>
        <v>72.966409831389171</v>
      </c>
      <c r="BL29" s="58">
        <f t="shared" si="18"/>
        <v>72.966409831389171</v>
      </c>
      <c r="BM29" s="58">
        <f t="shared" si="18"/>
        <v>72.966409831389171</v>
      </c>
      <c r="BN29" s="58">
        <f t="shared" si="18"/>
        <v>85.269703632643299</v>
      </c>
      <c r="BO29" s="58">
        <f t="shared" si="18"/>
        <v>85.269703632643299</v>
      </c>
      <c r="BP29" s="58">
        <f t="shared" si="18"/>
        <v>85.269703632643299</v>
      </c>
      <c r="BQ29" s="58">
        <f t="shared" si="18"/>
        <v>85.269703632643299</v>
      </c>
      <c r="BR29" s="58">
        <f t="shared" si="18"/>
        <v>85.269703632643299</v>
      </c>
      <c r="BS29" s="58">
        <f t="shared" ref="BS29:DV29" si="19">-BS27+BS26</f>
        <v>85.269703632643299</v>
      </c>
      <c r="BT29" s="58">
        <f t="shared" si="19"/>
        <v>85.269703632643299</v>
      </c>
      <c r="BU29" s="58">
        <f t="shared" si="19"/>
        <v>85.269703632643299</v>
      </c>
      <c r="BV29" s="58">
        <f t="shared" si="19"/>
        <v>85.269703632643299</v>
      </c>
      <c r="BW29" s="58">
        <f t="shared" si="19"/>
        <v>85.269703632643299</v>
      </c>
      <c r="BX29" s="58">
        <f t="shared" si="19"/>
        <v>85.269703632643299</v>
      </c>
      <c r="BY29" s="58">
        <f t="shared" si="19"/>
        <v>85.269703632643299</v>
      </c>
      <c r="BZ29" s="58">
        <f t="shared" si="19"/>
        <v>98.008851077679907</v>
      </c>
      <c r="CA29" s="58">
        <f t="shared" si="19"/>
        <v>98.008851077679907</v>
      </c>
      <c r="CB29" s="58">
        <f t="shared" si="19"/>
        <v>98.008851077679907</v>
      </c>
      <c r="CC29" s="58">
        <f t="shared" si="19"/>
        <v>98.008851077679907</v>
      </c>
      <c r="CD29" s="58">
        <f t="shared" si="19"/>
        <v>98.008851077679907</v>
      </c>
      <c r="CE29" s="58">
        <f t="shared" si="19"/>
        <v>98.008851077679907</v>
      </c>
      <c r="CF29" s="58">
        <f t="shared" si="19"/>
        <v>98.008851077679907</v>
      </c>
      <c r="CG29" s="58">
        <f t="shared" si="19"/>
        <v>98.008851077679907</v>
      </c>
      <c r="CH29" s="58">
        <f t="shared" si="19"/>
        <v>98.008851077679907</v>
      </c>
      <c r="CI29" s="58">
        <f t="shared" si="19"/>
        <v>98.008851077679907</v>
      </c>
      <c r="CJ29" s="58">
        <f t="shared" si="19"/>
        <v>98.008851077679907</v>
      </c>
      <c r="CK29" s="58">
        <f t="shared" si="19"/>
        <v>98.008851077679907</v>
      </c>
      <c r="CL29" s="58">
        <f t="shared" si="19"/>
        <v>111.19826287240758</v>
      </c>
      <c r="CM29" s="58">
        <f t="shared" si="19"/>
        <v>111.19826287240758</v>
      </c>
      <c r="CN29" s="58">
        <f t="shared" si="19"/>
        <v>111.19826287240758</v>
      </c>
      <c r="CO29" s="58">
        <f t="shared" si="19"/>
        <v>111.19826287240758</v>
      </c>
      <c r="CP29" s="58">
        <f t="shared" si="19"/>
        <v>111.19826287240758</v>
      </c>
      <c r="CQ29" s="58">
        <f t="shared" si="19"/>
        <v>111.19826287240758</v>
      </c>
      <c r="CR29" s="58">
        <f t="shared" si="19"/>
        <v>111.19826287240758</v>
      </c>
      <c r="CS29" s="58">
        <f t="shared" si="19"/>
        <v>111.19826287240758</v>
      </c>
      <c r="CT29" s="58">
        <f t="shared" si="19"/>
        <v>111.19826287240758</v>
      </c>
      <c r="CU29" s="58">
        <f t="shared" si="19"/>
        <v>111.19826287240758</v>
      </c>
      <c r="CV29" s="58">
        <f t="shared" si="19"/>
        <v>111.19826287240758</v>
      </c>
      <c r="CW29" s="58">
        <f t="shared" si="19"/>
        <v>111.19826287240758</v>
      </c>
      <c r="CX29" s="58">
        <f t="shared" si="19"/>
        <v>124.85280874584338</v>
      </c>
      <c r="CY29" s="58">
        <f t="shared" si="19"/>
        <v>124.85280874584338</v>
      </c>
      <c r="CZ29" s="58">
        <f t="shared" si="19"/>
        <v>124.85280874584338</v>
      </c>
      <c r="DA29" s="58">
        <f t="shared" si="19"/>
        <v>124.85280874584338</v>
      </c>
      <c r="DB29" s="58">
        <f t="shared" si="19"/>
        <v>124.85280874584338</v>
      </c>
      <c r="DC29" s="58">
        <f t="shared" si="19"/>
        <v>124.85280874584338</v>
      </c>
      <c r="DD29" s="58">
        <f t="shared" si="19"/>
        <v>124.85280874584338</v>
      </c>
      <c r="DE29" s="58">
        <f t="shared" si="19"/>
        <v>124.85280874584338</v>
      </c>
      <c r="DF29" s="58">
        <f t="shared" si="19"/>
        <v>124.85280874584338</v>
      </c>
      <c r="DG29" s="58">
        <f t="shared" si="19"/>
        <v>124.85280874584338</v>
      </c>
      <c r="DH29" s="58">
        <f t="shared" si="19"/>
        <v>124.85280874584338</v>
      </c>
      <c r="DI29" s="58">
        <f t="shared" si="19"/>
        <v>124.85280874584338</v>
      </c>
      <c r="DJ29" s="58">
        <f t="shared" si="19"/>
        <v>138.98783175484678</v>
      </c>
      <c r="DK29" s="58">
        <f t="shared" si="19"/>
        <v>138.98783175484678</v>
      </c>
      <c r="DL29" s="58">
        <f t="shared" si="19"/>
        <v>138.98783175484678</v>
      </c>
      <c r="DM29" s="58">
        <f t="shared" si="19"/>
        <v>138.98783175484678</v>
      </c>
      <c r="DN29" s="58">
        <f t="shared" si="19"/>
        <v>138.98783175484678</v>
      </c>
      <c r="DO29" s="58">
        <f t="shared" si="19"/>
        <v>138.98783175484678</v>
      </c>
      <c r="DP29" s="58">
        <f t="shared" si="19"/>
        <v>138.98783175484678</v>
      </c>
      <c r="DQ29" s="58">
        <f t="shared" si="19"/>
        <v>138.98783175484678</v>
      </c>
      <c r="DR29" s="58">
        <f t="shared" si="19"/>
        <v>138.98783175484678</v>
      </c>
      <c r="DS29" s="58">
        <f t="shared" si="19"/>
        <v>138.98783175484678</v>
      </c>
      <c r="DT29" s="58">
        <f t="shared" si="19"/>
        <v>138.98783175484678</v>
      </c>
      <c r="DU29" s="58">
        <f t="shared" si="19"/>
        <v>138.98783175484678</v>
      </c>
      <c r="DV29" s="58">
        <f t="shared" si="19"/>
        <v>327881.7982055191</v>
      </c>
    </row>
    <row r="30" spans="2:130" x14ac:dyDescent="0.3">
      <c r="B30" s="13" t="s">
        <v>64</v>
      </c>
      <c r="D30" s="60">
        <f>SUMIF(F29:DV29,"&gt;0")/-SUMIF($F$29:$DV$29,"&lt;0")</f>
        <v>16.899395062113062</v>
      </c>
      <c r="E30" s="49"/>
      <c r="F30" s="41"/>
      <c r="G30" s="52"/>
      <c r="H30" s="53"/>
      <c r="I30" s="53"/>
    </row>
    <row r="31" spans="2:130" ht="15.6" x14ac:dyDescent="0.3">
      <c r="B31" s="79" t="s">
        <v>50</v>
      </c>
      <c r="C31" s="89"/>
      <c r="D31" s="88" t="s">
        <v>55</v>
      </c>
      <c r="E31" s="88" t="s">
        <v>36</v>
      </c>
      <c r="F31" s="83">
        <v>0</v>
      </c>
      <c r="G31" s="83">
        <f>F31+1</f>
        <v>1</v>
      </c>
      <c r="H31" s="83">
        <f t="shared" ref="H31:BS31" si="20">G31+1</f>
        <v>2</v>
      </c>
      <c r="I31" s="83">
        <f t="shared" si="20"/>
        <v>3</v>
      </c>
      <c r="J31" s="83">
        <f t="shared" si="20"/>
        <v>4</v>
      </c>
      <c r="K31" s="83">
        <f t="shared" si="20"/>
        <v>5</v>
      </c>
      <c r="L31" s="83">
        <f t="shared" si="20"/>
        <v>6</v>
      </c>
      <c r="M31" s="83">
        <f t="shared" si="20"/>
        <v>7</v>
      </c>
      <c r="N31" s="83">
        <f t="shared" si="20"/>
        <v>8</v>
      </c>
      <c r="O31" s="83">
        <f t="shared" si="20"/>
        <v>9</v>
      </c>
      <c r="P31" s="83">
        <f t="shared" si="20"/>
        <v>10</v>
      </c>
      <c r="Q31" s="83">
        <f t="shared" si="20"/>
        <v>11</v>
      </c>
      <c r="R31" s="83">
        <f t="shared" si="20"/>
        <v>12</v>
      </c>
      <c r="S31" s="83">
        <f t="shared" si="20"/>
        <v>13</v>
      </c>
      <c r="T31" s="83">
        <f t="shared" si="20"/>
        <v>14</v>
      </c>
      <c r="U31" s="83">
        <f t="shared" si="20"/>
        <v>15</v>
      </c>
      <c r="V31" s="83">
        <f t="shared" si="20"/>
        <v>16</v>
      </c>
      <c r="W31" s="83">
        <f t="shared" si="20"/>
        <v>17</v>
      </c>
      <c r="X31" s="83">
        <f t="shared" si="20"/>
        <v>18</v>
      </c>
      <c r="Y31" s="83">
        <f t="shared" si="20"/>
        <v>19</v>
      </c>
      <c r="Z31" s="83">
        <f t="shared" si="20"/>
        <v>20</v>
      </c>
      <c r="AA31" s="83">
        <f t="shared" si="20"/>
        <v>21</v>
      </c>
      <c r="AB31" s="83">
        <f t="shared" si="20"/>
        <v>22</v>
      </c>
      <c r="AC31" s="83">
        <f t="shared" si="20"/>
        <v>23</v>
      </c>
      <c r="AD31" s="83">
        <f t="shared" si="20"/>
        <v>24</v>
      </c>
      <c r="AE31" s="83">
        <f t="shared" si="20"/>
        <v>25</v>
      </c>
      <c r="AF31" s="83">
        <f t="shared" si="20"/>
        <v>26</v>
      </c>
      <c r="AG31" s="83">
        <f t="shared" si="20"/>
        <v>27</v>
      </c>
      <c r="AH31" s="83">
        <f t="shared" si="20"/>
        <v>28</v>
      </c>
      <c r="AI31" s="83">
        <f t="shared" si="20"/>
        <v>29</v>
      </c>
      <c r="AJ31" s="83">
        <f t="shared" si="20"/>
        <v>30</v>
      </c>
      <c r="AK31" s="83">
        <f t="shared" si="20"/>
        <v>31</v>
      </c>
      <c r="AL31" s="83">
        <f t="shared" si="20"/>
        <v>32</v>
      </c>
      <c r="AM31" s="83">
        <f t="shared" si="20"/>
        <v>33</v>
      </c>
      <c r="AN31" s="83">
        <f t="shared" si="20"/>
        <v>34</v>
      </c>
      <c r="AO31" s="83">
        <f t="shared" si="20"/>
        <v>35</v>
      </c>
      <c r="AP31" s="83">
        <f t="shared" si="20"/>
        <v>36</v>
      </c>
      <c r="AQ31" s="83">
        <f t="shared" si="20"/>
        <v>37</v>
      </c>
      <c r="AR31" s="83">
        <f t="shared" si="20"/>
        <v>38</v>
      </c>
      <c r="AS31" s="83">
        <f t="shared" si="20"/>
        <v>39</v>
      </c>
      <c r="AT31" s="83">
        <f t="shared" si="20"/>
        <v>40</v>
      </c>
      <c r="AU31" s="83">
        <f t="shared" si="20"/>
        <v>41</v>
      </c>
      <c r="AV31" s="83">
        <f t="shared" si="20"/>
        <v>42</v>
      </c>
      <c r="AW31" s="83">
        <f t="shared" si="20"/>
        <v>43</v>
      </c>
      <c r="AX31" s="83">
        <f t="shared" si="20"/>
        <v>44</v>
      </c>
      <c r="AY31" s="83">
        <f t="shared" si="20"/>
        <v>45</v>
      </c>
      <c r="AZ31" s="83">
        <f t="shared" si="20"/>
        <v>46</v>
      </c>
      <c r="BA31" s="83">
        <f t="shared" si="20"/>
        <v>47</v>
      </c>
      <c r="BB31" s="83">
        <f t="shared" si="20"/>
        <v>48</v>
      </c>
      <c r="BC31" s="83">
        <f t="shared" si="20"/>
        <v>49</v>
      </c>
      <c r="BD31" s="83">
        <f t="shared" si="20"/>
        <v>50</v>
      </c>
      <c r="BE31" s="83">
        <f t="shared" si="20"/>
        <v>51</v>
      </c>
      <c r="BF31" s="83">
        <f t="shared" si="20"/>
        <v>52</v>
      </c>
      <c r="BG31" s="83">
        <f t="shared" si="20"/>
        <v>53</v>
      </c>
      <c r="BH31" s="83">
        <f t="shared" si="20"/>
        <v>54</v>
      </c>
      <c r="BI31" s="83">
        <f t="shared" si="20"/>
        <v>55</v>
      </c>
      <c r="BJ31" s="83">
        <f t="shared" si="20"/>
        <v>56</v>
      </c>
      <c r="BK31" s="83">
        <f t="shared" si="20"/>
        <v>57</v>
      </c>
      <c r="BL31" s="83">
        <f t="shared" si="20"/>
        <v>58</v>
      </c>
      <c r="BM31" s="83">
        <f t="shared" si="20"/>
        <v>59</v>
      </c>
      <c r="BN31" s="83">
        <f t="shared" si="20"/>
        <v>60</v>
      </c>
      <c r="BO31" s="83">
        <f t="shared" si="20"/>
        <v>61</v>
      </c>
      <c r="BP31" s="83">
        <f t="shared" si="20"/>
        <v>62</v>
      </c>
      <c r="BQ31" s="83">
        <f t="shared" si="20"/>
        <v>63</v>
      </c>
      <c r="BR31" s="83">
        <f t="shared" si="20"/>
        <v>64</v>
      </c>
      <c r="BS31" s="83">
        <f t="shared" si="20"/>
        <v>65</v>
      </c>
      <c r="BT31" s="83">
        <f t="shared" ref="BT31:DV31" si="21">BS31+1</f>
        <v>66</v>
      </c>
      <c r="BU31" s="83">
        <f t="shared" si="21"/>
        <v>67</v>
      </c>
      <c r="BV31" s="83">
        <f t="shared" si="21"/>
        <v>68</v>
      </c>
      <c r="BW31" s="83">
        <f t="shared" si="21"/>
        <v>69</v>
      </c>
      <c r="BX31" s="83">
        <f t="shared" si="21"/>
        <v>70</v>
      </c>
      <c r="BY31" s="83">
        <f t="shared" si="21"/>
        <v>71</v>
      </c>
      <c r="BZ31" s="83">
        <f t="shared" si="21"/>
        <v>72</v>
      </c>
      <c r="CA31" s="83">
        <f t="shared" si="21"/>
        <v>73</v>
      </c>
      <c r="CB31" s="83">
        <f t="shared" si="21"/>
        <v>74</v>
      </c>
      <c r="CC31" s="83">
        <f t="shared" si="21"/>
        <v>75</v>
      </c>
      <c r="CD31" s="83">
        <f t="shared" si="21"/>
        <v>76</v>
      </c>
      <c r="CE31" s="83">
        <f t="shared" si="21"/>
        <v>77</v>
      </c>
      <c r="CF31" s="83">
        <f t="shared" si="21"/>
        <v>78</v>
      </c>
      <c r="CG31" s="83">
        <f t="shared" si="21"/>
        <v>79</v>
      </c>
      <c r="CH31" s="83">
        <f t="shared" si="21"/>
        <v>80</v>
      </c>
      <c r="CI31" s="83">
        <f t="shared" si="21"/>
        <v>81</v>
      </c>
      <c r="CJ31" s="83">
        <f t="shared" si="21"/>
        <v>82</v>
      </c>
      <c r="CK31" s="83">
        <f t="shared" si="21"/>
        <v>83</v>
      </c>
      <c r="CL31" s="83">
        <f t="shared" si="21"/>
        <v>84</v>
      </c>
      <c r="CM31" s="83">
        <f t="shared" si="21"/>
        <v>85</v>
      </c>
      <c r="CN31" s="83">
        <f t="shared" si="21"/>
        <v>86</v>
      </c>
      <c r="CO31" s="83">
        <f t="shared" si="21"/>
        <v>87</v>
      </c>
      <c r="CP31" s="83">
        <f t="shared" si="21"/>
        <v>88</v>
      </c>
      <c r="CQ31" s="83">
        <f t="shared" si="21"/>
        <v>89</v>
      </c>
      <c r="CR31" s="83">
        <f t="shared" si="21"/>
        <v>90</v>
      </c>
      <c r="CS31" s="83">
        <f t="shared" si="21"/>
        <v>91</v>
      </c>
      <c r="CT31" s="83">
        <f t="shared" si="21"/>
        <v>92</v>
      </c>
      <c r="CU31" s="83">
        <f t="shared" si="21"/>
        <v>93</v>
      </c>
      <c r="CV31" s="83">
        <f t="shared" si="21"/>
        <v>94</v>
      </c>
      <c r="CW31" s="83">
        <f t="shared" si="21"/>
        <v>95</v>
      </c>
      <c r="CX31" s="83">
        <f t="shared" si="21"/>
        <v>96</v>
      </c>
      <c r="CY31" s="83">
        <f t="shared" si="21"/>
        <v>97</v>
      </c>
      <c r="CZ31" s="83">
        <f t="shared" si="21"/>
        <v>98</v>
      </c>
      <c r="DA31" s="83">
        <f t="shared" si="21"/>
        <v>99</v>
      </c>
      <c r="DB31" s="83">
        <f t="shared" si="21"/>
        <v>100</v>
      </c>
      <c r="DC31" s="83">
        <f t="shared" si="21"/>
        <v>101</v>
      </c>
      <c r="DD31" s="83">
        <f t="shared" si="21"/>
        <v>102</v>
      </c>
      <c r="DE31" s="83">
        <f t="shared" si="21"/>
        <v>103</v>
      </c>
      <c r="DF31" s="83">
        <f t="shared" si="21"/>
        <v>104</v>
      </c>
      <c r="DG31" s="83">
        <f t="shared" si="21"/>
        <v>105</v>
      </c>
      <c r="DH31" s="83">
        <f t="shared" si="21"/>
        <v>106</v>
      </c>
      <c r="DI31" s="83">
        <f t="shared" si="21"/>
        <v>107</v>
      </c>
      <c r="DJ31" s="83">
        <f t="shared" si="21"/>
        <v>108</v>
      </c>
      <c r="DK31" s="83">
        <f t="shared" si="21"/>
        <v>109</v>
      </c>
      <c r="DL31" s="83">
        <f t="shared" si="21"/>
        <v>110</v>
      </c>
      <c r="DM31" s="83">
        <f t="shared" si="21"/>
        <v>111</v>
      </c>
      <c r="DN31" s="83">
        <f t="shared" si="21"/>
        <v>112</v>
      </c>
      <c r="DO31" s="83">
        <f t="shared" si="21"/>
        <v>113</v>
      </c>
      <c r="DP31" s="83">
        <f t="shared" si="21"/>
        <v>114</v>
      </c>
      <c r="DQ31" s="83">
        <f t="shared" si="21"/>
        <v>115</v>
      </c>
      <c r="DR31" s="83">
        <f t="shared" si="21"/>
        <v>116</v>
      </c>
      <c r="DS31" s="83">
        <f t="shared" si="21"/>
        <v>117</v>
      </c>
      <c r="DT31" s="83">
        <f t="shared" si="21"/>
        <v>118</v>
      </c>
      <c r="DU31" s="83">
        <f t="shared" si="21"/>
        <v>119</v>
      </c>
      <c r="DV31" s="83">
        <f t="shared" si="21"/>
        <v>120</v>
      </c>
      <c r="DW31" s="7"/>
      <c r="DX31" s="7"/>
      <c r="DY31" s="7"/>
      <c r="DZ31" s="7"/>
    </row>
    <row r="32" spans="2:130" x14ac:dyDescent="0.3">
      <c r="B32" s="16" t="s">
        <v>47</v>
      </c>
      <c r="C32" s="90"/>
      <c r="D32" s="8">
        <v>5.0000000000000001E-3</v>
      </c>
      <c r="E32" s="18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0</v>
      </c>
      <c r="AJ32" s="72">
        <v>0</v>
      </c>
      <c r="AK32" s="72">
        <v>0</v>
      </c>
      <c r="AL32" s="72">
        <v>0</v>
      </c>
      <c r="AM32" s="72">
        <v>0</v>
      </c>
      <c r="AN32" s="72">
        <v>0</v>
      </c>
      <c r="AO32" s="72">
        <v>0</v>
      </c>
      <c r="AP32" s="72">
        <v>0</v>
      </c>
      <c r="AQ32" s="72">
        <v>0</v>
      </c>
      <c r="AR32" s="72">
        <v>0</v>
      </c>
      <c r="AS32" s="72">
        <v>0</v>
      </c>
      <c r="AT32" s="72">
        <v>0</v>
      </c>
      <c r="AU32" s="72">
        <v>0</v>
      </c>
      <c r="AV32" s="72">
        <v>0</v>
      </c>
      <c r="AW32" s="72">
        <v>0</v>
      </c>
      <c r="AX32" s="72">
        <v>0</v>
      </c>
      <c r="AY32" s="72">
        <v>0</v>
      </c>
      <c r="AZ32" s="72">
        <v>0</v>
      </c>
      <c r="BA32" s="72">
        <v>0</v>
      </c>
      <c r="BB32" s="72">
        <v>0</v>
      </c>
      <c r="BC32" s="72">
        <v>0</v>
      </c>
      <c r="BD32" s="72">
        <v>0</v>
      </c>
      <c r="BE32" s="72">
        <v>0</v>
      </c>
      <c r="BF32" s="72">
        <v>0</v>
      </c>
      <c r="BG32" s="72">
        <v>0</v>
      </c>
      <c r="BH32" s="72">
        <v>0</v>
      </c>
      <c r="BI32" s="72">
        <v>0</v>
      </c>
      <c r="BJ32" s="72">
        <v>0</v>
      </c>
      <c r="BK32" s="72">
        <v>0</v>
      </c>
      <c r="BL32" s="72">
        <v>0</v>
      </c>
      <c r="BM32" s="72">
        <v>0</v>
      </c>
      <c r="BN32" s="72">
        <v>0</v>
      </c>
      <c r="BO32" s="72">
        <v>0</v>
      </c>
      <c r="BP32" s="72">
        <v>0</v>
      </c>
      <c r="BQ32" s="72">
        <v>0</v>
      </c>
      <c r="BR32" s="72">
        <v>0</v>
      </c>
      <c r="BS32" s="72">
        <v>0</v>
      </c>
      <c r="BT32" s="72">
        <v>0</v>
      </c>
      <c r="BU32" s="72">
        <v>0</v>
      </c>
      <c r="BV32" s="72">
        <v>0</v>
      </c>
      <c r="BW32" s="72">
        <v>0</v>
      </c>
      <c r="BX32" s="72">
        <v>0</v>
      </c>
      <c r="BY32" s="72">
        <v>0</v>
      </c>
      <c r="BZ32" s="72">
        <v>0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  <c r="DC32" s="72">
        <v>0</v>
      </c>
      <c r="DD32" s="72">
        <v>0</v>
      </c>
      <c r="DE32" s="72">
        <v>0</v>
      </c>
      <c r="DF32" s="72">
        <v>0</v>
      </c>
      <c r="DG32" s="72">
        <v>0</v>
      </c>
      <c r="DH32" s="72">
        <v>0</v>
      </c>
      <c r="DI32" s="72">
        <v>0</v>
      </c>
      <c r="DJ32" s="72">
        <v>0</v>
      </c>
      <c r="DK32" s="72">
        <v>0</v>
      </c>
      <c r="DL32" s="72">
        <v>0</v>
      </c>
      <c r="DM32" s="72">
        <v>0</v>
      </c>
      <c r="DN32" s="72">
        <v>0</v>
      </c>
      <c r="DO32" s="72">
        <v>0</v>
      </c>
      <c r="DP32" s="72">
        <v>0</v>
      </c>
      <c r="DQ32" s="72">
        <v>0</v>
      </c>
      <c r="DR32" s="72">
        <v>0</v>
      </c>
      <c r="DS32" s="72">
        <v>0</v>
      </c>
      <c r="DT32" s="72">
        <v>0</v>
      </c>
      <c r="DU32" s="72">
        <v>0</v>
      </c>
      <c r="DV32" s="72">
        <v>0</v>
      </c>
      <c r="DW32" s="7"/>
      <c r="DX32" s="7"/>
      <c r="DY32" s="7"/>
      <c r="DZ32" s="7"/>
    </row>
    <row r="33" spans="2:130" x14ac:dyDescent="0.3">
      <c r="B33" s="16" t="s">
        <v>16</v>
      </c>
      <c r="E33" s="4"/>
      <c r="F33" s="66">
        <f>'GP-LP Returns'!F29</f>
        <v>-191479.07714435598</v>
      </c>
      <c r="G33" s="66">
        <f>'GP-LP Returns'!G29</f>
        <v>-960.04766748483962</v>
      </c>
      <c r="H33" s="66">
        <f>'GP-LP Returns'!H29</f>
        <v>-2234.4153737569322</v>
      </c>
      <c r="I33" s="66">
        <f>'GP-LP Returns'!I29</f>
        <v>-4779.0625890841038</v>
      </c>
      <c r="J33" s="66">
        <f>'GP-LP Returns'!J29</f>
        <v>-9393.5734295262373</v>
      </c>
      <c r="K33" s="66">
        <f>'GP-LP Returns'!K29</f>
        <v>-16967.963037970156</v>
      </c>
      <c r="L33" s="66">
        <f>'GP-LP Returns'!L29</f>
        <v>-28167.001846022264</v>
      </c>
      <c r="M33" s="66">
        <f>'GP-LP Returns'!M29</f>
        <v>-37969.933107354096</v>
      </c>
      <c r="N33" s="66">
        <f>'GP-LP Returns'!N29</f>
        <v>-50242.474416514684</v>
      </c>
      <c r="O33" s="66">
        <f>'GP-LP Returns'!O29</f>
        <v>-57802.671134872187</v>
      </c>
      <c r="P33" s="66">
        <f>'GP-LP Returns'!P29</f>
        <v>0</v>
      </c>
      <c r="Q33" s="66">
        <f>'GP-LP Returns'!Q29</f>
        <v>0</v>
      </c>
      <c r="R33" s="66">
        <f>'GP-LP Returns'!R29</f>
        <v>0</v>
      </c>
      <c r="S33" s="66">
        <f>'GP-LP Returns'!S29</f>
        <v>0</v>
      </c>
      <c r="T33" s="66">
        <f>'GP-LP Returns'!T29</f>
        <v>0</v>
      </c>
      <c r="U33" s="66">
        <f>'GP-LP Returns'!U29</f>
        <v>0</v>
      </c>
      <c r="V33" s="66">
        <f>'GP-LP Returns'!V29</f>
        <v>0</v>
      </c>
      <c r="W33" s="66">
        <f>'GP-LP Returns'!W29</f>
        <v>0</v>
      </c>
      <c r="X33" s="66">
        <f>'GP-LP Returns'!X29</f>
        <v>0</v>
      </c>
      <c r="Y33" s="66">
        <f>'GP-LP Returns'!Y29</f>
        <v>0</v>
      </c>
      <c r="Z33" s="66">
        <f>'GP-LP Returns'!Z29</f>
        <v>0</v>
      </c>
      <c r="AA33" s="66">
        <f>'GP-LP Returns'!AA29</f>
        <v>0</v>
      </c>
      <c r="AB33" s="66">
        <f>'GP-LP Returns'!AB29</f>
        <v>0</v>
      </c>
      <c r="AC33" s="66">
        <f>'GP-LP Returns'!AC29</f>
        <v>0</v>
      </c>
      <c r="AD33" s="66">
        <f>'GP-LP Returns'!AD29</f>
        <v>0</v>
      </c>
      <c r="AE33" s="66">
        <f>'GP-LP Returns'!AE29</f>
        <v>0</v>
      </c>
      <c r="AF33" s="66">
        <f>'GP-LP Returns'!AF29</f>
        <v>0</v>
      </c>
      <c r="AG33" s="66">
        <f>'GP-LP Returns'!AG29</f>
        <v>0</v>
      </c>
      <c r="AH33" s="66">
        <f>'GP-LP Returns'!AH29</f>
        <v>0</v>
      </c>
      <c r="AI33" s="66">
        <f>'GP-LP Returns'!AI29</f>
        <v>0</v>
      </c>
      <c r="AJ33" s="66">
        <f>'GP-LP Returns'!AJ29</f>
        <v>3948.3975652349991</v>
      </c>
      <c r="AK33" s="66">
        <f>'GP-LP Returns'!AK29</f>
        <v>2247.7421176789935</v>
      </c>
      <c r="AL33" s="66">
        <f>'GP-LP Returns'!AL29</f>
        <v>2247.7421176789935</v>
      </c>
      <c r="AM33" s="66">
        <f>'GP-LP Returns'!AM29</f>
        <v>2247.7421176789935</v>
      </c>
      <c r="AN33" s="66">
        <f>'GP-LP Returns'!AN29</f>
        <v>2247.7421176789935</v>
      </c>
      <c r="AO33" s="66">
        <f>'GP-LP Returns'!AO29</f>
        <v>2247.7421176789935</v>
      </c>
      <c r="AP33" s="66">
        <f>'GP-LP Returns'!AP29</f>
        <v>2311.3074140863655</v>
      </c>
      <c r="AQ33" s="66">
        <f>'GP-LP Returns'!AQ29</f>
        <v>2311.3074140863655</v>
      </c>
      <c r="AR33" s="66">
        <f>'GP-LP Returns'!AR29</f>
        <v>2311.3074140863655</v>
      </c>
      <c r="AS33" s="66">
        <f>'GP-LP Returns'!AS29</f>
        <v>2311.3074140863655</v>
      </c>
      <c r="AT33" s="66">
        <f>'GP-LP Returns'!AT29</f>
        <v>2311.3074140863655</v>
      </c>
      <c r="AU33" s="66">
        <f>'GP-LP Returns'!AU29</f>
        <v>2311.3074140863655</v>
      </c>
      <c r="AV33" s="66">
        <f>'GP-LP Returns'!AV29</f>
        <v>2311.3074140863655</v>
      </c>
      <c r="AW33" s="66">
        <f>'GP-LP Returns'!AW29</f>
        <v>2311.3074140863655</v>
      </c>
      <c r="AX33" s="66">
        <f>'GP-LP Returns'!AX29</f>
        <v>2311.3074140863655</v>
      </c>
      <c r="AY33" s="66">
        <f>'GP-LP Returns'!AY29</f>
        <v>2311.3074140863655</v>
      </c>
      <c r="AZ33" s="66">
        <f>'GP-LP Returns'!AZ29</f>
        <v>2311.3074140863655</v>
      </c>
      <c r="BA33" s="66">
        <f>'GP-LP Returns'!BA29</f>
        <v>2311.3074140863655</v>
      </c>
      <c r="BB33" s="66">
        <f>'GP-LP Returns'!BB29</f>
        <v>2548.9355284502403</v>
      </c>
      <c r="BC33" s="66">
        <f>'GP-LP Returns'!BC29</f>
        <v>2548.9355284502403</v>
      </c>
      <c r="BD33" s="66">
        <f>'GP-LP Returns'!BD29</f>
        <v>2548.9355284502403</v>
      </c>
      <c r="BE33" s="66">
        <f>'GP-LP Returns'!BE29</f>
        <v>2548.9355284502403</v>
      </c>
      <c r="BF33" s="66">
        <f>'GP-LP Returns'!BF29</f>
        <v>2548.9355284502403</v>
      </c>
      <c r="BG33" s="66">
        <f>'GP-LP Returns'!BG29</f>
        <v>2548.9355284502403</v>
      </c>
      <c r="BH33" s="66">
        <f>'GP-LP Returns'!BH29</f>
        <v>2548.9355284502403</v>
      </c>
      <c r="BI33" s="66">
        <f>'GP-LP Returns'!BI29</f>
        <v>1459.3281966277814</v>
      </c>
      <c r="BJ33" s="66">
        <f>'GP-LP Returns'!BJ29</f>
        <v>1459.3281966277814</v>
      </c>
      <c r="BK33" s="66">
        <f>'GP-LP Returns'!BK29</f>
        <v>1459.3281966277814</v>
      </c>
      <c r="BL33" s="66">
        <f>'GP-LP Returns'!BL29</f>
        <v>1459.3281966277814</v>
      </c>
      <c r="BM33" s="66">
        <f>'GP-LP Returns'!BM29</f>
        <v>1459.3281966277814</v>
      </c>
      <c r="BN33" s="66">
        <f>'GP-LP Returns'!BN29</f>
        <v>1705.3940726528658</v>
      </c>
      <c r="BO33" s="66">
        <f>'GP-LP Returns'!BO29</f>
        <v>1705.3940726528658</v>
      </c>
      <c r="BP33" s="66">
        <f>'GP-LP Returns'!BP29</f>
        <v>1705.3940726528658</v>
      </c>
      <c r="BQ33" s="66">
        <f>'GP-LP Returns'!BQ29</f>
        <v>1705.3940726528658</v>
      </c>
      <c r="BR33" s="66">
        <f>'GP-LP Returns'!BR29</f>
        <v>1705.3940726528658</v>
      </c>
      <c r="BS33" s="66">
        <f>'GP-LP Returns'!BS29</f>
        <v>1705.3940726528658</v>
      </c>
      <c r="BT33" s="66">
        <f>'GP-LP Returns'!BT29</f>
        <v>1705.3940726528658</v>
      </c>
      <c r="BU33" s="66">
        <f>'GP-LP Returns'!BU29</f>
        <v>1705.3940726528658</v>
      </c>
      <c r="BV33" s="66">
        <f>'GP-LP Returns'!BV29</f>
        <v>1705.3940726528658</v>
      </c>
      <c r="BW33" s="66">
        <f>'GP-LP Returns'!BW29</f>
        <v>1705.3940726528658</v>
      </c>
      <c r="BX33" s="66">
        <f>'GP-LP Returns'!BX29</f>
        <v>1705.3940726528658</v>
      </c>
      <c r="BY33" s="66">
        <f>'GP-LP Returns'!BY29</f>
        <v>1705.3940726528658</v>
      </c>
      <c r="BZ33" s="66">
        <f>'GP-LP Returns'!BZ29</f>
        <v>1960.177021553598</v>
      </c>
      <c r="CA33" s="66">
        <f>'GP-LP Returns'!CA29</f>
        <v>1960.177021553598</v>
      </c>
      <c r="CB33" s="66">
        <f>'GP-LP Returns'!CB29</f>
        <v>1960.177021553598</v>
      </c>
      <c r="CC33" s="66">
        <f>'GP-LP Returns'!CC29</f>
        <v>1960.177021553598</v>
      </c>
      <c r="CD33" s="66">
        <f>'GP-LP Returns'!CD29</f>
        <v>1960.177021553598</v>
      </c>
      <c r="CE33" s="66">
        <f>'GP-LP Returns'!CE29</f>
        <v>1960.177021553598</v>
      </c>
      <c r="CF33" s="66">
        <f>'GP-LP Returns'!CF29</f>
        <v>1960.177021553598</v>
      </c>
      <c r="CG33" s="66">
        <f>'GP-LP Returns'!CG29</f>
        <v>1960.177021553598</v>
      </c>
      <c r="CH33" s="66">
        <f>'GP-LP Returns'!CH29</f>
        <v>1960.177021553598</v>
      </c>
      <c r="CI33" s="66">
        <f>'GP-LP Returns'!CI29</f>
        <v>1960.177021553598</v>
      </c>
      <c r="CJ33" s="66">
        <f>'GP-LP Returns'!CJ29</f>
        <v>1960.177021553598</v>
      </c>
      <c r="CK33" s="66">
        <f>'GP-LP Returns'!CK29</f>
        <v>1960.177021553598</v>
      </c>
      <c r="CL33" s="66">
        <f>'GP-LP Returns'!CL29</f>
        <v>2223.9652574481515</v>
      </c>
      <c r="CM33" s="66">
        <f>'GP-LP Returns'!CM29</f>
        <v>2223.9652574481515</v>
      </c>
      <c r="CN33" s="66">
        <f>'GP-LP Returns'!CN29</f>
        <v>2223.9652574481515</v>
      </c>
      <c r="CO33" s="66">
        <f>'GP-LP Returns'!CO29</f>
        <v>2223.9652574481515</v>
      </c>
      <c r="CP33" s="66">
        <f>'GP-LP Returns'!CP29</f>
        <v>2223.9652574481515</v>
      </c>
      <c r="CQ33" s="66">
        <f>'GP-LP Returns'!CQ29</f>
        <v>2223.9652574481515</v>
      </c>
      <c r="CR33" s="66">
        <f>'GP-LP Returns'!CR29</f>
        <v>2223.9652574481515</v>
      </c>
      <c r="CS33" s="66">
        <f>'GP-LP Returns'!CS29</f>
        <v>2223.9652574481515</v>
      </c>
      <c r="CT33" s="66">
        <f>'GP-LP Returns'!CT29</f>
        <v>2223.9652574481515</v>
      </c>
      <c r="CU33" s="66">
        <f>'GP-LP Returns'!CU29</f>
        <v>2223.9652574481515</v>
      </c>
      <c r="CV33" s="66">
        <f>'GP-LP Returns'!CV29</f>
        <v>2223.9652574481515</v>
      </c>
      <c r="CW33" s="66">
        <f>'GP-LP Returns'!CW29</f>
        <v>2223.9652574481515</v>
      </c>
      <c r="CX33" s="66">
        <f>'GP-LP Returns'!CX29</f>
        <v>2497.0561749168673</v>
      </c>
      <c r="CY33" s="66">
        <f>'GP-LP Returns'!CY29</f>
        <v>2497.0561749168673</v>
      </c>
      <c r="CZ33" s="66">
        <f>'GP-LP Returns'!CZ29</f>
        <v>2497.0561749168673</v>
      </c>
      <c r="DA33" s="66">
        <f>'GP-LP Returns'!DA29</f>
        <v>2497.0561749168673</v>
      </c>
      <c r="DB33" s="66">
        <f>'GP-LP Returns'!DB29</f>
        <v>2497.0561749168673</v>
      </c>
      <c r="DC33" s="66">
        <f>'GP-LP Returns'!DC29</f>
        <v>2497.0561749168673</v>
      </c>
      <c r="DD33" s="66">
        <f>'GP-LP Returns'!DD29</f>
        <v>2497.0561749168673</v>
      </c>
      <c r="DE33" s="66">
        <f>'GP-LP Returns'!DE29</f>
        <v>2497.0561749168673</v>
      </c>
      <c r="DF33" s="66">
        <f>'GP-LP Returns'!DF29</f>
        <v>2497.0561749168673</v>
      </c>
      <c r="DG33" s="66">
        <f>'GP-LP Returns'!DG29</f>
        <v>2497.0561749168673</v>
      </c>
      <c r="DH33" s="66">
        <f>'GP-LP Returns'!DH29</f>
        <v>2497.0561749168673</v>
      </c>
      <c r="DI33" s="66">
        <f>'GP-LP Returns'!DI29</f>
        <v>2497.0561749168673</v>
      </c>
      <c r="DJ33" s="66">
        <f>'GP-LP Returns'!DJ29</f>
        <v>2779.7566350969314</v>
      </c>
      <c r="DK33" s="66">
        <f>'GP-LP Returns'!DK29</f>
        <v>2779.7566350969314</v>
      </c>
      <c r="DL33" s="66">
        <f>'GP-LP Returns'!DL29</f>
        <v>2779.7566350969314</v>
      </c>
      <c r="DM33" s="66">
        <f>'GP-LP Returns'!DM29</f>
        <v>2779.7566350969314</v>
      </c>
      <c r="DN33" s="66">
        <f>'GP-LP Returns'!DN29</f>
        <v>2779.7566350969314</v>
      </c>
      <c r="DO33" s="66">
        <f>'GP-LP Returns'!DO29</f>
        <v>2779.7566350969314</v>
      </c>
      <c r="DP33" s="66">
        <f>'GP-LP Returns'!DP29</f>
        <v>2779.7566350969314</v>
      </c>
      <c r="DQ33" s="66">
        <f>'GP-LP Returns'!DQ29</f>
        <v>2779.7566350969314</v>
      </c>
      <c r="DR33" s="66">
        <f>'GP-LP Returns'!DR29</f>
        <v>2779.7566350969314</v>
      </c>
      <c r="DS33" s="66">
        <f>'GP-LP Returns'!DS29</f>
        <v>2779.7566350969314</v>
      </c>
      <c r="DT33" s="66">
        <f>'GP-LP Returns'!DT29</f>
        <v>2779.7566350969314</v>
      </c>
      <c r="DU33" s="66">
        <f>'GP-LP Returns'!DU29</f>
        <v>2779.7566350969314</v>
      </c>
      <c r="DV33" s="66">
        <f>'GP-LP Returns'!DV29</f>
        <v>1818997.7985548801</v>
      </c>
      <c r="DW33" s="7"/>
      <c r="DX33" s="7"/>
      <c r="DY33" s="7"/>
      <c r="DZ33" s="7"/>
    </row>
    <row r="34" spans="2:130" x14ac:dyDescent="0.3">
      <c r="B34" t="s">
        <v>15</v>
      </c>
      <c r="E34" s="5"/>
      <c r="F34" s="67">
        <f>F33-F32</f>
        <v>-191479.07714435598</v>
      </c>
      <c r="G34" s="67">
        <f t="shared" ref="G34:BR34" si="22">G33-G32</f>
        <v>-960.04766748483962</v>
      </c>
      <c r="H34" s="67">
        <f t="shared" si="22"/>
        <v>-2234.4153737569322</v>
      </c>
      <c r="I34" s="67">
        <f t="shared" si="22"/>
        <v>-4779.0625890841038</v>
      </c>
      <c r="J34" s="67">
        <f t="shared" si="22"/>
        <v>-9393.5734295262373</v>
      </c>
      <c r="K34" s="67">
        <f t="shared" si="22"/>
        <v>-16967.963037970156</v>
      </c>
      <c r="L34" s="67">
        <f t="shared" si="22"/>
        <v>-28167.001846022264</v>
      </c>
      <c r="M34" s="67">
        <f t="shared" si="22"/>
        <v>-37969.933107354096</v>
      </c>
      <c r="N34" s="67">
        <f t="shared" si="22"/>
        <v>-50242.474416514684</v>
      </c>
      <c r="O34" s="67">
        <f t="shared" si="22"/>
        <v>-57802.671134872187</v>
      </c>
      <c r="P34" s="67">
        <f t="shared" si="22"/>
        <v>0</v>
      </c>
      <c r="Q34" s="67">
        <f t="shared" si="22"/>
        <v>0</v>
      </c>
      <c r="R34" s="67">
        <f t="shared" si="22"/>
        <v>0</v>
      </c>
      <c r="S34" s="67">
        <f t="shared" si="22"/>
        <v>0</v>
      </c>
      <c r="T34" s="67">
        <f t="shared" si="22"/>
        <v>0</v>
      </c>
      <c r="U34" s="67">
        <f t="shared" si="22"/>
        <v>0</v>
      </c>
      <c r="V34" s="67">
        <f t="shared" si="22"/>
        <v>0</v>
      </c>
      <c r="W34" s="67">
        <f t="shared" si="22"/>
        <v>0</v>
      </c>
      <c r="X34" s="67">
        <f t="shared" si="22"/>
        <v>0</v>
      </c>
      <c r="Y34" s="67">
        <f t="shared" si="22"/>
        <v>0</v>
      </c>
      <c r="Z34" s="67">
        <f t="shared" si="22"/>
        <v>0</v>
      </c>
      <c r="AA34" s="67">
        <f t="shared" si="22"/>
        <v>0</v>
      </c>
      <c r="AB34" s="67">
        <f t="shared" si="22"/>
        <v>0</v>
      </c>
      <c r="AC34" s="67">
        <f t="shared" si="22"/>
        <v>0</v>
      </c>
      <c r="AD34" s="67">
        <f t="shared" si="22"/>
        <v>0</v>
      </c>
      <c r="AE34" s="67">
        <f t="shared" si="22"/>
        <v>0</v>
      </c>
      <c r="AF34" s="67">
        <f t="shared" si="22"/>
        <v>0</v>
      </c>
      <c r="AG34" s="67">
        <f t="shared" si="22"/>
        <v>0</v>
      </c>
      <c r="AH34" s="67">
        <f t="shared" si="22"/>
        <v>0</v>
      </c>
      <c r="AI34" s="67">
        <f t="shared" si="22"/>
        <v>0</v>
      </c>
      <c r="AJ34" s="67">
        <f t="shared" si="22"/>
        <v>3948.3975652349991</v>
      </c>
      <c r="AK34" s="67">
        <f t="shared" si="22"/>
        <v>2247.7421176789935</v>
      </c>
      <c r="AL34" s="67">
        <f t="shared" si="22"/>
        <v>2247.7421176789935</v>
      </c>
      <c r="AM34" s="67">
        <f t="shared" si="22"/>
        <v>2247.7421176789935</v>
      </c>
      <c r="AN34" s="67">
        <f t="shared" si="22"/>
        <v>2247.7421176789935</v>
      </c>
      <c r="AO34" s="67">
        <f t="shared" si="22"/>
        <v>2247.7421176789935</v>
      </c>
      <c r="AP34" s="67">
        <f t="shared" si="22"/>
        <v>2311.3074140863655</v>
      </c>
      <c r="AQ34" s="67">
        <f t="shared" si="22"/>
        <v>2311.3074140863655</v>
      </c>
      <c r="AR34" s="67">
        <f t="shared" si="22"/>
        <v>2311.3074140863655</v>
      </c>
      <c r="AS34" s="67">
        <f t="shared" si="22"/>
        <v>2311.3074140863655</v>
      </c>
      <c r="AT34" s="67">
        <f t="shared" si="22"/>
        <v>2311.3074140863655</v>
      </c>
      <c r="AU34" s="67">
        <f t="shared" si="22"/>
        <v>2311.3074140863655</v>
      </c>
      <c r="AV34" s="67">
        <f t="shared" si="22"/>
        <v>2311.3074140863655</v>
      </c>
      <c r="AW34" s="67">
        <f t="shared" si="22"/>
        <v>2311.3074140863655</v>
      </c>
      <c r="AX34" s="67">
        <f t="shared" si="22"/>
        <v>2311.3074140863655</v>
      </c>
      <c r="AY34" s="67">
        <f t="shared" si="22"/>
        <v>2311.3074140863655</v>
      </c>
      <c r="AZ34" s="67">
        <f t="shared" si="22"/>
        <v>2311.3074140863655</v>
      </c>
      <c r="BA34" s="67">
        <f t="shared" si="22"/>
        <v>2311.3074140863655</v>
      </c>
      <c r="BB34" s="67">
        <f t="shared" si="22"/>
        <v>2548.9355284502403</v>
      </c>
      <c r="BC34" s="67">
        <f t="shared" si="22"/>
        <v>2548.9355284502403</v>
      </c>
      <c r="BD34" s="67">
        <f t="shared" si="22"/>
        <v>2548.9355284502403</v>
      </c>
      <c r="BE34" s="67">
        <f t="shared" si="22"/>
        <v>2548.9355284502403</v>
      </c>
      <c r="BF34" s="67">
        <f t="shared" si="22"/>
        <v>2548.9355284502403</v>
      </c>
      <c r="BG34" s="67">
        <f t="shared" si="22"/>
        <v>2548.9355284502403</v>
      </c>
      <c r="BH34" s="67">
        <f t="shared" si="22"/>
        <v>2548.9355284502403</v>
      </c>
      <c r="BI34" s="67">
        <f t="shared" si="22"/>
        <v>1459.3281966277814</v>
      </c>
      <c r="BJ34" s="67">
        <f t="shared" si="22"/>
        <v>1459.3281966277814</v>
      </c>
      <c r="BK34" s="67">
        <f t="shared" si="22"/>
        <v>1459.3281966277814</v>
      </c>
      <c r="BL34" s="67">
        <f t="shared" si="22"/>
        <v>1459.3281966277814</v>
      </c>
      <c r="BM34" s="67">
        <f t="shared" si="22"/>
        <v>1459.3281966277814</v>
      </c>
      <c r="BN34" s="67">
        <f t="shared" si="22"/>
        <v>1705.3940726528658</v>
      </c>
      <c r="BO34" s="67">
        <f t="shared" si="22"/>
        <v>1705.3940726528658</v>
      </c>
      <c r="BP34" s="67">
        <f t="shared" si="22"/>
        <v>1705.3940726528658</v>
      </c>
      <c r="BQ34" s="67">
        <f t="shared" si="22"/>
        <v>1705.3940726528658</v>
      </c>
      <c r="BR34" s="67">
        <f t="shared" si="22"/>
        <v>1705.3940726528658</v>
      </c>
      <c r="BS34" s="67">
        <f t="shared" ref="BS34:DV34" si="23">BS33-BS32</f>
        <v>1705.3940726528658</v>
      </c>
      <c r="BT34" s="67">
        <f t="shared" si="23"/>
        <v>1705.3940726528658</v>
      </c>
      <c r="BU34" s="67">
        <f t="shared" si="23"/>
        <v>1705.3940726528658</v>
      </c>
      <c r="BV34" s="67">
        <f t="shared" si="23"/>
        <v>1705.3940726528658</v>
      </c>
      <c r="BW34" s="67">
        <f t="shared" si="23"/>
        <v>1705.3940726528658</v>
      </c>
      <c r="BX34" s="67">
        <f t="shared" si="23"/>
        <v>1705.3940726528658</v>
      </c>
      <c r="BY34" s="67">
        <f t="shared" si="23"/>
        <v>1705.3940726528658</v>
      </c>
      <c r="BZ34" s="67">
        <f t="shared" si="23"/>
        <v>1960.177021553598</v>
      </c>
      <c r="CA34" s="67">
        <f t="shared" si="23"/>
        <v>1960.177021553598</v>
      </c>
      <c r="CB34" s="67">
        <f t="shared" si="23"/>
        <v>1960.177021553598</v>
      </c>
      <c r="CC34" s="67">
        <f t="shared" si="23"/>
        <v>1960.177021553598</v>
      </c>
      <c r="CD34" s="67">
        <f t="shared" si="23"/>
        <v>1960.177021553598</v>
      </c>
      <c r="CE34" s="67">
        <f t="shared" si="23"/>
        <v>1960.177021553598</v>
      </c>
      <c r="CF34" s="67">
        <f t="shared" si="23"/>
        <v>1960.177021553598</v>
      </c>
      <c r="CG34" s="67">
        <f t="shared" si="23"/>
        <v>1960.177021553598</v>
      </c>
      <c r="CH34" s="67">
        <f t="shared" si="23"/>
        <v>1960.177021553598</v>
      </c>
      <c r="CI34" s="67">
        <f t="shared" si="23"/>
        <v>1960.177021553598</v>
      </c>
      <c r="CJ34" s="67">
        <f t="shared" si="23"/>
        <v>1960.177021553598</v>
      </c>
      <c r="CK34" s="67">
        <f t="shared" si="23"/>
        <v>1960.177021553598</v>
      </c>
      <c r="CL34" s="67">
        <f t="shared" si="23"/>
        <v>2223.9652574481515</v>
      </c>
      <c r="CM34" s="67">
        <f t="shared" si="23"/>
        <v>2223.9652574481515</v>
      </c>
      <c r="CN34" s="67">
        <f t="shared" si="23"/>
        <v>2223.9652574481515</v>
      </c>
      <c r="CO34" s="67">
        <f t="shared" si="23"/>
        <v>2223.9652574481515</v>
      </c>
      <c r="CP34" s="67">
        <f t="shared" si="23"/>
        <v>2223.9652574481515</v>
      </c>
      <c r="CQ34" s="67">
        <f t="shared" si="23"/>
        <v>2223.9652574481515</v>
      </c>
      <c r="CR34" s="67">
        <f t="shared" si="23"/>
        <v>2223.9652574481515</v>
      </c>
      <c r="CS34" s="67">
        <f t="shared" si="23"/>
        <v>2223.9652574481515</v>
      </c>
      <c r="CT34" s="67">
        <f t="shared" si="23"/>
        <v>2223.9652574481515</v>
      </c>
      <c r="CU34" s="67">
        <f t="shared" si="23"/>
        <v>2223.9652574481515</v>
      </c>
      <c r="CV34" s="67">
        <f t="shared" si="23"/>
        <v>2223.9652574481515</v>
      </c>
      <c r="CW34" s="67">
        <f t="shared" si="23"/>
        <v>2223.9652574481515</v>
      </c>
      <c r="CX34" s="67">
        <f t="shared" si="23"/>
        <v>2497.0561749168673</v>
      </c>
      <c r="CY34" s="67">
        <f t="shared" si="23"/>
        <v>2497.0561749168673</v>
      </c>
      <c r="CZ34" s="67">
        <f t="shared" si="23"/>
        <v>2497.0561749168673</v>
      </c>
      <c r="DA34" s="67">
        <f t="shared" si="23"/>
        <v>2497.0561749168673</v>
      </c>
      <c r="DB34" s="67">
        <f t="shared" si="23"/>
        <v>2497.0561749168673</v>
      </c>
      <c r="DC34" s="67">
        <f t="shared" si="23"/>
        <v>2497.0561749168673</v>
      </c>
      <c r="DD34" s="67">
        <f t="shared" si="23"/>
        <v>2497.0561749168673</v>
      </c>
      <c r="DE34" s="67">
        <f t="shared" si="23"/>
        <v>2497.0561749168673</v>
      </c>
      <c r="DF34" s="67">
        <f t="shared" si="23"/>
        <v>2497.0561749168673</v>
      </c>
      <c r="DG34" s="67">
        <f t="shared" si="23"/>
        <v>2497.0561749168673</v>
      </c>
      <c r="DH34" s="67">
        <f t="shared" si="23"/>
        <v>2497.0561749168673</v>
      </c>
      <c r="DI34" s="67">
        <f t="shared" si="23"/>
        <v>2497.0561749168673</v>
      </c>
      <c r="DJ34" s="67">
        <f t="shared" si="23"/>
        <v>2779.7566350969314</v>
      </c>
      <c r="DK34" s="67">
        <f t="shared" si="23"/>
        <v>2779.7566350969314</v>
      </c>
      <c r="DL34" s="67">
        <f t="shared" si="23"/>
        <v>2779.7566350969314</v>
      </c>
      <c r="DM34" s="67">
        <f t="shared" si="23"/>
        <v>2779.7566350969314</v>
      </c>
      <c r="DN34" s="67">
        <f t="shared" si="23"/>
        <v>2779.7566350969314</v>
      </c>
      <c r="DO34" s="67">
        <f t="shared" si="23"/>
        <v>2779.7566350969314</v>
      </c>
      <c r="DP34" s="67">
        <f t="shared" si="23"/>
        <v>2779.7566350969314</v>
      </c>
      <c r="DQ34" s="67">
        <f t="shared" si="23"/>
        <v>2779.7566350969314</v>
      </c>
      <c r="DR34" s="67">
        <f t="shared" si="23"/>
        <v>2779.7566350969314</v>
      </c>
      <c r="DS34" s="67">
        <f t="shared" si="23"/>
        <v>2779.7566350969314</v>
      </c>
      <c r="DT34" s="67">
        <f t="shared" si="23"/>
        <v>2779.7566350969314</v>
      </c>
      <c r="DU34" s="67">
        <f t="shared" si="23"/>
        <v>2779.7566350969314</v>
      </c>
      <c r="DV34" s="67">
        <f t="shared" si="23"/>
        <v>1818997.7985548801</v>
      </c>
    </row>
    <row r="35" spans="2:130" x14ac:dyDescent="0.3">
      <c r="B35" s="13" t="s">
        <v>65</v>
      </c>
      <c r="F35" s="73">
        <f>XIRR($F$34:$DV$34,$F$15:$DV$15)</f>
        <v>0.19425916075706481</v>
      </c>
    </row>
    <row r="36" spans="2:130" x14ac:dyDescent="0.3">
      <c r="B36" s="13" t="s">
        <v>66</v>
      </c>
      <c r="F36" s="74">
        <f>SUMIF(F34:DV34,"&gt;0")/-SUMIF($F$34:$DV$34,"&lt;0")</f>
        <v>5.0526876893448733</v>
      </c>
    </row>
    <row r="37" spans="2:130" x14ac:dyDescent="0.3">
      <c r="B37" s="13"/>
      <c r="E37" s="4"/>
      <c r="F37" s="68"/>
      <c r="P37" s="68"/>
    </row>
    <row r="38" spans="2:130" ht="15.6" x14ac:dyDescent="0.3">
      <c r="B38" s="79" t="s">
        <v>14</v>
      </c>
      <c r="G38" s="44"/>
      <c r="H38" s="69"/>
      <c r="I38" s="53"/>
    </row>
    <row r="39" spans="2:130" x14ac:dyDescent="0.3">
      <c r="B39" s="84" t="s">
        <v>76</v>
      </c>
      <c r="C39" s="86">
        <f>E10</f>
        <v>0.15</v>
      </c>
      <c r="D39" s="85"/>
      <c r="E39" s="85"/>
      <c r="F39" s="83">
        <f>F$17</f>
        <v>0</v>
      </c>
      <c r="G39" s="83">
        <f t="shared" ref="G39:BR39" si="24">G$17</f>
        <v>1</v>
      </c>
      <c r="H39" s="83">
        <f t="shared" si="24"/>
        <v>2</v>
      </c>
      <c r="I39" s="83">
        <f t="shared" si="24"/>
        <v>3</v>
      </c>
      <c r="J39" s="83">
        <f t="shared" si="24"/>
        <v>4</v>
      </c>
      <c r="K39" s="83">
        <f t="shared" si="24"/>
        <v>5</v>
      </c>
      <c r="L39" s="83">
        <f t="shared" si="24"/>
        <v>6</v>
      </c>
      <c r="M39" s="83">
        <f t="shared" si="24"/>
        <v>7</v>
      </c>
      <c r="N39" s="83">
        <f t="shared" si="24"/>
        <v>8</v>
      </c>
      <c r="O39" s="83">
        <f t="shared" si="24"/>
        <v>9</v>
      </c>
      <c r="P39" s="83">
        <f t="shared" si="24"/>
        <v>10</v>
      </c>
      <c r="Q39" s="83">
        <f t="shared" si="24"/>
        <v>11</v>
      </c>
      <c r="R39" s="83">
        <f t="shared" si="24"/>
        <v>12</v>
      </c>
      <c r="S39" s="83">
        <f t="shared" si="24"/>
        <v>13</v>
      </c>
      <c r="T39" s="83">
        <f t="shared" si="24"/>
        <v>14</v>
      </c>
      <c r="U39" s="83">
        <f t="shared" si="24"/>
        <v>15</v>
      </c>
      <c r="V39" s="83">
        <f t="shared" si="24"/>
        <v>16</v>
      </c>
      <c r="W39" s="83">
        <f t="shared" si="24"/>
        <v>17</v>
      </c>
      <c r="X39" s="83">
        <f t="shared" si="24"/>
        <v>18</v>
      </c>
      <c r="Y39" s="83">
        <f t="shared" si="24"/>
        <v>19</v>
      </c>
      <c r="Z39" s="83">
        <f t="shared" si="24"/>
        <v>20</v>
      </c>
      <c r="AA39" s="83">
        <f t="shared" si="24"/>
        <v>21</v>
      </c>
      <c r="AB39" s="83">
        <f t="shared" si="24"/>
        <v>22</v>
      </c>
      <c r="AC39" s="83">
        <f t="shared" si="24"/>
        <v>23</v>
      </c>
      <c r="AD39" s="83">
        <f t="shared" si="24"/>
        <v>24</v>
      </c>
      <c r="AE39" s="83">
        <f t="shared" si="24"/>
        <v>25</v>
      </c>
      <c r="AF39" s="83">
        <f t="shared" si="24"/>
        <v>26</v>
      </c>
      <c r="AG39" s="83">
        <f t="shared" si="24"/>
        <v>27</v>
      </c>
      <c r="AH39" s="83">
        <f t="shared" si="24"/>
        <v>28</v>
      </c>
      <c r="AI39" s="83">
        <f t="shared" si="24"/>
        <v>29</v>
      </c>
      <c r="AJ39" s="83">
        <f t="shared" si="24"/>
        <v>30</v>
      </c>
      <c r="AK39" s="83">
        <f t="shared" si="24"/>
        <v>31</v>
      </c>
      <c r="AL39" s="83">
        <f t="shared" si="24"/>
        <v>32</v>
      </c>
      <c r="AM39" s="83">
        <f t="shared" si="24"/>
        <v>33</v>
      </c>
      <c r="AN39" s="83">
        <f t="shared" si="24"/>
        <v>34</v>
      </c>
      <c r="AO39" s="83">
        <f t="shared" si="24"/>
        <v>35</v>
      </c>
      <c r="AP39" s="83">
        <f t="shared" si="24"/>
        <v>36</v>
      </c>
      <c r="AQ39" s="83">
        <f t="shared" si="24"/>
        <v>37</v>
      </c>
      <c r="AR39" s="83">
        <f t="shared" si="24"/>
        <v>38</v>
      </c>
      <c r="AS39" s="83">
        <f t="shared" si="24"/>
        <v>39</v>
      </c>
      <c r="AT39" s="83">
        <f t="shared" si="24"/>
        <v>40</v>
      </c>
      <c r="AU39" s="83">
        <f t="shared" si="24"/>
        <v>41</v>
      </c>
      <c r="AV39" s="83">
        <f t="shared" si="24"/>
        <v>42</v>
      </c>
      <c r="AW39" s="83">
        <f t="shared" si="24"/>
        <v>43</v>
      </c>
      <c r="AX39" s="83">
        <f t="shared" si="24"/>
        <v>44</v>
      </c>
      <c r="AY39" s="83">
        <f t="shared" si="24"/>
        <v>45</v>
      </c>
      <c r="AZ39" s="83">
        <f t="shared" si="24"/>
        <v>46</v>
      </c>
      <c r="BA39" s="83">
        <f t="shared" si="24"/>
        <v>47</v>
      </c>
      <c r="BB39" s="83">
        <f t="shared" si="24"/>
        <v>48</v>
      </c>
      <c r="BC39" s="83">
        <f t="shared" si="24"/>
        <v>49</v>
      </c>
      <c r="BD39" s="83">
        <f t="shared" si="24"/>
        <v>50</v>
      </c>
      <c r="BE39" s="83">
        <f t="shared" si="24"/>
        <v>51</v>
      </c>
      <c r="BF39" s="83">
        <f t="shared" si="24"/>
        <v>52</v>
      </c>
      <c r="BG39" s="83">
        <f t="shared" si="24"/>
        <v>53</v>
      </c>
      <c r="BH39" s="83">
        <f t="shared" si="24"/>
        <v>54</v>
      </c>
      <c r="BI39" s="83">
        <f t="shared" si="24"/>
        <v>55</v>
      </c>
      <c r="BJ39" s="83">
        <f t="shared" si="24"/>
        <v>56</v>
      </c>
      <c r="BK39" s="83">
        <f t="shared" si="24"/>
        <v>57</v>
      </c>
      <c r="BL39" s="83">
        <f t="shared" si="24"/>
        <v>58</v>
      </c>
      <c r="BM39" s="83">
        <f t="shared" si="24"/>
        <v>59</v>
      </c>
      <c r="BN39" s="83">
        <f t="shared" si="24"/>
        <v>60</v>
      </c>
      <c r="BO39" s="83">
        <f t="shared" si="24"/>
        <v>61</v>
      </c>
      <c r="BP39" s="83">
        <f t="shared" si="24"/>
        <v>62</v>
      </c>
      <c r="BQ39" s="83">
        <f t="shared" si="24"/>
        <v>63</v>
      </c>
      <c r="BR39" s="83">
        <f t="shared" si="24"/>
        <v>64</v>
      </c>
      <c r="BS39" s="83">
        <f t="shared" ref="BS39:DV39" si="25">BS$17</f>
        <v>65</v>
      </c>
      <c r="BT39" s="83">
        <f t="shared" si="25"/>
        <v>66</v>
      </c>
      <c r="BU39" s="83">
        <f t="shared" si="25"/>
        <v>67</v>
      </c>
      <c r="BV39" s="83">
        <f t="shared" si="25"/>
        <v>68</v>
      </c>
      <c r="BW39" s="83">
        <f t="shared" si="25"/>
        <v>69</v>
      </c>
      <c r="BX39" s="83">
        <f t="shared" si="25"/>
        <v>70</v>
      </c>
      <c r="BY39" s="83">
        <f t="shared" si="25"/>
        <v>71</v>
      </c>
      <c r="BZ39" s="83">
        <f t="shared" si="25"/>
        <v>72</v>
      </c>
      <c r="CA39" s="83">
        <f t="shared" si="25"/>
        <v>73</v>
      </c>
      <c r="CB39" s="83">
        <f t="shared" si="25"/>
        <v>74</v>
      </c>
      <c r="CC39" s="83">
        <f t="shared" si="25"/>
        <v>75</v>
      </c>
      <c r="CD39" s="83">
        <f t="shared" si="25"/>
        <v>76</v>
      </c>
      <c r="CE39" s="83">
        <f t="shared" si="25"/>
        <v>77</v>
      </c>
      <c r="CF39" s="83">
        <f t="shared" si="25"/>
        <v>78</v>
      </c>
      <c r="CG39" s="83">
        <f t="shared" si="25"/>
        <v>79</v>
      </c>
      <c r="CH39" s="83">
        <f t="shared" si="25"/>
        <v>80</v>
      </c>
      <c r="CI39" s="83">
        <f t="shared" si="25"/>
        <v>81</v>
      </c>
      <c r="CJ39" s="83">
        <f t="shared" si="25"/>
        <v>82</v>
      </c>
      <c r="CK39" s="83">
        <f t="shared" si="25"/>
        <v>83</v>
      </c>
      <c r="CL39" s="83">
        <f t="shared" si="25"/>
        <v>84</v>
      </c>
      <c r="CM39" s="83">
        <f t="shared" si="25"/>
        <v>85</v>
      </c>
      <c r="CN39" s="83">
        <f t="shared" si="25"/>
        <v>86</v>
      </c>
      <c r="CO39" s="83">
        <f t="shared" si="25"/>
        <v>87</v>
      </c>
      <c r="CP39" s="83">
        <f t="shared" si="25"/>
        <v>88</v>
      </c>
      <c r="CQ39" s="83">
        <f t="shared" si="25"/>
        <v>89</v>
      </c>
      <c r="CR39" s="83">
        <f t="shared" si="25"/>
        <v>90</v>
      </c>
      <c r="CS39" s="83">
        <f t="shared" si="25"/>
        <v>91</v>
      </c>
      <c r="CT39" s="83">
        <f t="shared" si="25"/>
        <v>92</v>
      </c>
      <c r="CU39" s="83">
        <f t="shared" si="25"/>
        <v>93</v>
      </c>
      <c r="CV39" s="83">
        <f t="shared" si="25"/>
        <v>94</v>
      </c>
      <c r="CW39" s="83">
        <f t="shared" si="25"/>
        <v>95</v>
      </c>
      <c r="CX39" s="83">
        <f t="shared" si="25"/>
        <v>96</v>
      </c>
      <c r="CY39" s="83">
        <f t="shared" si="25"/>
        <v>97</v>
      </c>
      <c r="CZ39" s="83">
        <f t="shared" si="25"/>
        <v>98</v>
      </c>
      <c r="DA39" s="83">
        <f t="shared" si="25"/>
        <v>99</v>
      </c>
      <c r="DB39" s="83">
        <f t="shared" si="25"/>
        <v>100</v>
      </c>
      <c r="DC39" s="83">
        <f t="shared" si="25"/>
        <v>101</v>
      </c>
      <c r="DD39" s="83">
        <f t="shared" si="25"/>
        <v>102</v>
      </c>
      <c r="DE39" s="83">
        <f t="shared" si="25"/>
        <v>103</v>
      </c>
      <c r="DF39" s="83">
        <f t="shared" si="25"/>
        <v>104</v>
      </c>
      <c r="DG39" s="83">
        <f t="shared" si="25"/>
        <v>105</v>
      </c>
      <c r="DH39" s="83">
        <f t="shared" si="25"/>
        <v>106</v>
      </c>
      <c r="DI39" s="83">
        <f t="shared" si="25"/>
        <v>107</v>
      </c>
      <c r="DJ39" s="83">
        <f t="shared" si="25"/>
        <v>108</v>
      </c>
      <c r="DK39" s="83">
        <f t="shared" si="25"/>
        <v>109</v>
      </c>
      <c r="DL39" s="83">
        <f t="shared" si="25"/>
        <v>110</v>
      </c>
      <c r="DM39" s="83">
        <f t="shared" si="25"/>
        <v>111</v>
      </c>
      <c r="DN39" s="83">
        <f t="shared" si="25"/>
        <v>112</v>
      </c>
      <c r="DO39" s="83">
        <f t="shared" si="25"/>
        <v>113</v>
      </c>
      <c r="DP39" s="83">
        <f t="shared" si="25"/>
        <v>114</v>
      </c>
      <c r="DQ39" s="83">
        <f t="shared" si="25"/>
        <v>115</v>
      </c>
      <c r="DR39" s="83">
        <f t="shared" si="25"/>
        <v>116</v>
      </c>
      <c r="DS39" s="83">
        <f t="shared" si="25"/>
        <v>117</v>
      </c>
      <c r="DT39" s="83">
        <f t="shared" si="25"/>
        <v>118</v>
      </c>
      <c r="DU39" s="83">
        <f t="shared" si="25"/>
        <v>119</v>
      </c>
      <c r="DV39" s="83">
        <f t="shared" si="25"/>
        <v>120</v>
      </c>
    </row>
    <row r="40" spans="2:130" x14ac:dyDescent="0.3">
      <c r="B40" t="s">
        <v>77</v>
      </c>
      <c r="F40" s="70">
        <f>E44</f>
        <v>0</v>
      </c>
      <c r="G40" s="70">
        <f t="shared" ref="G40:BR40" si="26">F44</f>
        <v>181905.12328713818</v>
      </c>
      <c r="H40" s="70">
        <f t="shared" si="26"/>
        <v>184948.17197785329</v>
      </c>
      <c r="I40" s="70">
        <f t="shared" si="26"/>
        <v>189237.51905212167</v>
      </c>
      <c r="J40" s="70">
        <f t="shared" si="26"/>
        <v>195994.53032556633</v>
      </c>
      <c r="K40" s="70">
        <f t="shared" si="26"/>
        <v>207214.48472312593</v>
      </c>
      <c r="L40" s="70">
        <f t="shared" si="26"/>
        <v>225761.55008231924</v>
      </c>
      <c r="M40" s="70">
        <f t="shared" si="26"/>
        <v>255164.97963895206</v>
      </c>
      <c r="N40" s="70">
        <f t="shared" si="26"/>
        <v>294225.65262826486</v>
      </c>
      <c r="O40" s="70">
        <f t="shared" si="26"/>
        <v>345402.83240018354</v>
      </c>
      <c r="P40" s="70">
        <f t="shared" si="26"/>
        <v>404361.73546376231</v>
      </c>
      <c r="Q40" s="70">
        <f t="shared" si="26"/>
        <v>409098.79960028804</v>
      </c>
      <c r="R40" s="70">
        <f t="shared" si="26"/>
        <v>413891.35804961715</v>
      </c>
      <c r="S40" s="70">
        <f t="shared" si="26"/>
        <v>418740.06092301372</v>
      </c>
      <c r="T40" s="70">
        <f t="shared" si="26"/>
        <v>423645.56594774115</v>
      </c>
      <c r="U40" s="70">
        <f t="shared" si="26"/>
        <v>428608.53855628322</v>
      </c>
      <c r="V40" s="70">
        <f t="shared" si="26"/>
        <v>433629.65197660984</v>
      </c>
      <c r="W40" s="70">
        <f t="shared" si="26"/>
        <v>438709.58732350077</v>
      </c>
      <c r="X40" s="70">
        <f t="shared" si="26"/>
        <v>443849.03369093873</v>
      </c>
      <c r="Y40" s="70">
        <f t="shared" si="26"/>
        <v>449048.6882455853</v>
      </c>
      <c r="Z40" s="70">
        <f t="shared" si="26"/>
        <v>454309.25632135145</v>
      </c>
      <c r="AA40" s="70">
        <f t="shared" si="26"/>
        <v>459631.45151507645</v>
      </c>
      <c r="AB40" s="70">
        <f t="shared" si="26"/>
        <v>465015.99578332721</v>
      </c>
      <c r="AC40" s="70">
        <f t="shared" si="26"/>
        <v>470463.61954033177</v>
      </c>
      <c r="AD40" s="70">
        <f t="shared" si="26"/>
        <v>475975.06175706029</v>
      </c>
      <c r="AE40" s="70">
        <f t="shared" si="26"/>
        <v>481551.07006146631</v>
      </c>
      <c r="AF40" s="70">
        <f t="shared" si="26"/>
        <v>487192.40083990287</v>
      </c>
      <c r="AG40" s="70">
        <f t="shared" si="26"/>
        <v>492899.81933972624</v>
      </c>
      <c r="AH40" s="70">
        <f t="shared" si="26"/>
        <v>498674.09977310186</v>
      </c>
      <c r="AI40" s="70">
        <f t="shared" si="26"/>
        <v>504516.0254220264</v>
      </c>
      <c r="AJ40" s="70">
        <f t="shared" si="26"/>
        <v>510426.38874458009</v>
      </c>
      <c r="AK40" s="70">
        <f t="shared" si="26"/>
        <v>512655.01379545039</v>
      </c>
      <c r="AL40" s="70">
        <f t="shared" si="26"/>
        <v>516525.3696788153</v>
      </c>
      <c r="AM40" s="70">
        <f t="shared" si="26"/>
        <v>520441.06645980413</v>
      </c>
      <c r="AN40" s="70">
        <f t="shared" si="26"/>
        <v>524402.63530326553</v>
      </c>
      <c r="AO40" s="70">
        <f t="shared" si="26"/>
        <v>528410.61359660036</v>
      </c>
      <c r="AP40" s="70">
        <f t="shared" si="26"/>
        <v>532465.54502265819</v>
      </c>
      <c r="AQ40" s="70">
        <f t="shared" si="26"/>
        <v>536507.59260190104</v>
      </c>
      <c r="AR40" s="70">
        <f t="shared" si="26"/>
        <v>540596.99243272084</v>
      </c>
      <c r="AS40" s="70">
        <f t="shared" si="26"/>
        <v>544734.2992428107</v>
      </c>
      <c r="AT40" s="70">
        <f t="shared" si="26"/>
        <v>548920.07425845275</v>
      </c>
      <c r="AU40" s="70">
        <f t="shared" si="26"/>
        <v>553154.88528064825</v>
      </c>
      <c r="AV40" s="70">
        <f t="shared" si="26"/>
        <v>557439.30676214001</v>
      </c>
      <c r="AW40" s="70">
        <f t="shared" si="26"/>
        <v>561773.91988533712</v>
      </c>
      <c r="AX40" s="70">
        <f t="shared" si="26"/>
        <v>566159.31264115218</v>
      </c>
      <c r="AY40" s="70">
        <f t="shared" si="26"/>
        <v>570596.07990876259</v>
      </c>
      <c r="AZ40" s="70">
        <f t="shared" si="26"/>
        <v>575084.82353630569</v>
      </c>
      <c r="BA40" s="70">
        <f t="shared" si="26"/>
        <v>579626.15242251998</v>
      </c>
      <c r="BB40" s="70">
        <f t="shared" si="26"/>
        <v>584220.68259934208</v>
      </c>
      <c r="BC40" s="70">
        <f t="shared" si="26"/>
        <v>588643.29060682561</v>
      </c>
      <c r="BD40" s="70">
        <f t="shared" si="26"/>
        <v>593117.70909968589</v>
      </c>
      <c r="BE40" s="70">
        <f t="shared" si="26"/>
        <v>597644.54503345478</v>
      </c>
      <c r="BF40" s="70">
        <f t="shared" si="26"/>
        <v>602224.41247409757</v>
      </c>
      <c r="BG40" s="70">
        <f t="shared" si="26"/>
        <v>606857.93268131139</v>
      </c>
      <c r="BH40" s="70">
        <f t="shared" si="26"/>
        <v>611545.73419279919</v>
      </c>
      <c r="BI40" s="70">
        <f t="shared" si="26"/>
        <v>616288.45290953084</v>
      </c>
      <c r="BJ40" s="70">
        <f t="shared" si="26"/>
        <v>622121.85914723459</v>
      </c>
      <c r="BK40" s="70">
        <f t="shared" si="26"/>
        <v>628023.60325437284</v>
      </c>
      <c r="BL40" s="70">
        <f t="shared" si="26"/>
        <v>633994.48580340843</v>
      </c>
      <c r="BM40" s="70">
        <f t="shared" si="26"/>
        <v>640035.3167454442</v>
      </c>
      <c r="BN40" s="70">
        <f t="shared" si="26"/>
        <v>646146.91552009271</v>
      </c>
      <c r="BO40" s="70">
        <f t="shared" si="26"/>
        <v>652096.34858440992</v>
      </c>
      <c r="BP40" s="70">
        <f t="shared" si="26"/>
        <v>658115.4787627958</v>
      </c>
      <c r="BQ40" s="70">
        <f t="shared" si="26"/>
        <v>664205.1225511512</v>
      </c>
      <c r="BR40" s="70">
        <f t="shared" si="26"/>
        <v>670366.10601055878</v>
      </c>
      <c r="BS40" s="70">
        <f t="shared" ref="BS40:DV40" si="27">BR44</f>
        <v>676599.26487933786</v>
      </c>
      <c r="BT40" s="70">
        <f t="shared" si="27"/>
        <v>682905.44468641293</v>
      </c>
      <c r="BU40" s="70">
        <f t="shared" si="27"/>
        <v>689285.5008660095</v>
      </c>
      <c r="BV40" s="70">
        <f t="shared" si="27"/>
        <v>695740.29887369415</v>
      </c>
      <c r="BW40" s="70">
        <f t="shared" si="27"/>
        <v>702270.71430377325</v>
      </c>
      <c r="BX40" s="70">
        <f t="shared" si="27"/>
        <v>708877.63300806785</v>
      </c>
      <c r="BY40" s="70">
        <f t="shared" si="27"/>
        <v>715561.95121607941</v>
      </c>
      <c r="BZ40" s="70">
        <f t="shared" si="27"/>
        <v>722324.57565656374</v>
      </c>
      <c r="CA40" s="70">
        <f t="shared" si="27"/>
        <v>728924.37987907289</v>
      </c>
      <c r="CB40" s="70">
        <f t="shared" si="27"/>
        <v>735601.50025973597</v>
      </c>
      <c r="CC40" s="70">
        <f t="shared" si="27"/>
        <v>742356.84255092242</v>
      </c>
      <c r="CD40" s="70">
        <f t="shared" si="27"/>
        <v>749191.32311581529</v>
      </c>
      <c r="CE40" s="70">
        <f t="shared" si="27"/>
        <v>756105.86905271618</v>
      </c>
      <c r="CF40" s="70">
        <f t="shared" si="27"/>
        <v>763101.41832080646</v>
      </c>
      <c r="CG40" s="70">
        <f t="shared" si="27"/>
        <v>770178.9198673811</v>
      </c>
      <c r="CH40" s="70">
        <f t="shared" si="27"/>
        <v>777339.33375657396</v>
      </c>
      <c r="CI40" s="70">
        <f t="shared" si="27"/>
        <v>784583.63129959058</v>
      </c>
      <c r="CJ40" s="70">
        <f t="shared" si="27"/>
        <v>791912.7951864663</v>
      </c>
      <c r="CK40" s="70">
        <f t="shared" si="27"/>
        <v>799327.81961936876</v>
      </c>
      <c r="CL40" s="70">
        <f t="shared" si="27"/>
        <v>806829.71044746134</v>
      </c>
      <c r="CM40" s="70">
        <f t="shared" si="27"/>
        <v>814168.88647924701</v>
      </c>
      <c r="CN40" s="70">
        <f t="shared" si="27"/>
        <v>821594.04034850514</v>
      </c>
      <c r="CO40" s="70">
        <f t="shared" si="27"/>
        <v>829106.17927845882</v>
      </c>
      <c r="CP40" s="70">
        <f t="shared" si="27"/>
        <v>836706.32229186734</v>
      </c>
      <c r="CQ40" s="70">
        <f t="shared" si="27"/>
        <v>844395.50034925691</v>
      </c>
      <c r="CR40" s="70">
        <f t="shared" si="27"/>
        <v>852174.75648877071</v>
      </c>
      <c r="CS40" s="70">
        <f t="shared" si="27"/>
        <v>860045.14596765721</v>
      </c>
      <c r="CT40" s="70">
        <f t="shared" si="27"/>
        <v>868007.73640541569</v>
      </c>
      <c r="CU40" s="70">
        <f t="shared" si="27"/>
        <v>876063.60792861937</v>
      </c>
      <c r="CV40" s="70">
        <f t="shared" si="27"/>
        <v>884213.85331743443</v>
      </c>
      <c r="CW40" s="70">
        <f t="shared" si="27"/>
        <v>892459.57815385587</v>
      </c>
      <c r="CX40" s="70">
        <f t="shared" si="27"/>
        <v>900801.90097167995</v>
      </c>
      <c r="CY40" s="70">
        <f t="shared" si="27"/>
        <v>908982.51703663822</v>
      </c>
      <c r="CZ40" s="70">
        <f t="shared" si="27"/>
        <v>917258.96833915066</v>
      </c>
      <c r="DA40" s="70">
        <f t="shared" si="27"/>
        <v>925632.37758106319</v>
      </c>
      <c r="DB40" s="70">
        <f t="shared" si="27"/>
        <v>934103.88061658072</v>
      </c>
      <c r="DC40" s="70">
        <f t="shared" si="27"/>
        <v>942674.62660634564</v>
      </c>
      <c r="DD40" s="70">
        <f t="shared" si="27"/>
        <v>951345.77817332186</v>
      </c>
      <c r="DE40" s="70">
        <f t="shared" si="27"/>
        <v>960118.51156050456</v>
      </c>
      <c r="DF40" s="70">
        <f t="shared" si="27"/>
        <v>968994.01679047814</v>
      </c>
      <c r="DG40" s="70">
        <f t="shared" si="27"/>
        <v>977973.49782684259</v>
      </c>
      <c r="DH40" s="70">
        <f t="shared" si="27"/>
        <v>987058.17273753148</v>
      </c>
      <c r="DI40" s="70">
        <f t="shared" si="27"/>
        <v>996249.27386004291</v>
      </c>
      <c r="DJ40" s="70">
        <f t="shared" si="27"/>
        <v>1005548.0479686066</v>
      </c>
      <c r="DK40" s="70">
        <f t="shared" si="27"/>
        <v>1014687.1910061374</v>
      </c>
      <c r="DL40" s="70">
        <f t="shared" si="27"/>
        <v>1023933.3983450716</v>
      </c>
      <c r="DM40" s="70">
        <f t="shared" si="27"/>
        <v>1033287.9242348052</v>
      </c>
      <c r="DN40" s="70">
        <f t="shared" si="27"/>
        <v>1042752.0376181615</v>
      </c>
      <c r="DO40" s="70">
        <f t="shared" si="27"/>
        <v>1052327.0223035242</v>
      </c>
      <c r="DP40" s="70">
        <f t="shared" si="27"/>
        <v>1062014.1771389847</v>
      </c>
      <c r="DQ40" s="70">
        <f t="shared" si="27"/>
        <v>1071814.8161885324</v>
      </c>
      <c r="DR40" s="70">
        <f t="shared" si="27"/>
        <v>1081730.268910307</v>
      </c>
      <c r="DS40" s="70">
        <f t="shared" si="27"/>
        <v>1091761.8803369398</v>
      </c>
      <c r="DT40" s="70">
        <f t="shared" si="27"/>
        <v>1101911.011258008</v>
      </c>
      <c r="DU40" s="70">
        <f t="shared" si="27"/>
        <v>1112179.0384046251</v>
      </c>
      <c r="DV40" s="70">
        <f t="shared" si="27"/>
        <v>1122567.3546361958</v>
      </c>
    </row>
    <row r="41" spans="2:130" x14ac:dyDescent="0.3">
      <c r="B41" t="s">
        <v>78</v>
      </c>
      <c r="E41" s="87"/>
      <c r="F41" s="70">
        <f>F40*((1+$C$39)^(1/12)-1)</f>
        <v>0</v>
      </c>
      <c r="G41" s="70">
        <f t="shared" ref="G41:BR41" si="28">G40*((1+$C$39)^(1/12)-1)</f>
        <v>2131.00340660451</v>
      </c>
      <c r="H41" s="70">
        <f t="shared" si="28"/>
        <v>2166.6524691993063</v>
      </c>
      <c r="I41" s="70">
        <f t="shared" si="28"/>
        <v>2216.9018138147767</v>
      </c>
      <c r="J41" s="70">
        <f t="shared" si="28"/>
        <v>2296.0596395096932</v>
      </c>
      <c r="K41" s="70">
        <f t="shared" si="28"/>
        <v>2427.5004731216477</v>
      </c>
      <c r="L41" s="70">
        <f t="shared" si="28"/>
        <v>2644.777802911688</v>
      </c>
      <c r="M41" s="70">
        <f t="shared" si="28"/>
        <v>2989.2365373264029</v>
      </c>
      <c r="N41" s="70">
        <f t="shared" si="28"/>
        <v>3446.8290762297629</v>
      </c>
      <c r="O41" s="70">
        <f t="shared" si="28"/>
        <v>4046.3654854501915</v>
      </c>
      <c r="P41" s="70">
        <f t="shared" si="28"/>
        <v>4737.0641365257052</v>
      </c>
      <c r="Q41" s="70">
        <f t="shared" si="28"/>
        <v>4792.5584493291217</v>
      </c>
      <c r="R41" s="70">
        <f t="shared" si="28"/>
        <v>4848.7028733965535</v>
      </c>
      <c r="S41" s="70">
        <f t="shared" si="28"/>
        <v>4905.5050247274485</v>
      </c>
      <c r="T41" s="70">
        <f t="shared" si="28"/>
        <v>4962.9726085420534</v>
      </c>
      <c r="U41" s="70">
        <f t="shared" si="28"/>
        <v>5021.113420326632</v>
      </c>
      <c r="V41" s="70">
        <f t="shared" si="28"/>
        <v>5079.9353468909194</v>
      </c>
      <c r="W41" s="70">
        <f t="shared" si="28"/>
        <v>5139.4463674379731</v>
      </c>
      <c r="X41" s="70">
        <f t="shared" si="28"/>
        <v>5199.6545546465513</v>
      </c>
      <c r="Y41" s="70">
        <f t="shared" si="28"/>
        <v>5260.568075766173</v>
      </c>
      <c r="Z41" s="70">
        <f t="shared" si="28"/>
        <v>5322.195193725006</v>
      </c>
      <c r="AA41" s="70">
        <f t="shared" si="28"/>
        <v>5384.5442682507373</v>
      </c>
      <c r="AB41" s="70">
        <f t="shared" si="28"/>
        <v>5447.6237570045678</v>
      </c>
      <c r="AC41" s="70">
        <f t="shared" si="28"/>
        <v>5511.4422167284956</v>
      </c>
      <c r="AD41" s="70">
        <f t="shared" si="28"/>
        <v>5576.008304406043</v>
      </c>
      <c r="AE41" s="70">
        <f t="shared" si="28"/>
        <v>5641.3307784365716</v>
      </c>
      <c r="AF41" s="70">
        <f t="shared" si="28"/>
        <v>5707.4184998233677</v>
      </c>
      <c r="AG41" s="70">
        <f t="shared" si="28"/>
        <v>5774.280433375633</v>
      </c>
      <c r="AH41" s="70">
        <f t="shared" si="28"/>
        <v>5841.9256489245636</v>
      </c>
      <c r="AI41" s="70">
        <f t="shared" si="28"/>
        <v>5910.3633225536751</v>
      </c>
      <c r="AJ41" s="70">
        <f t="shared" si="28"/>
        <v>5979.6027378435401</v>
      </c>
      <c r="AK41" s="70">
        <f t="shared" si="28"/>
        <v>6005.7108951599894</v>
      </c>
      <c r="AL41" s="70">
        <f t="shared" si="28"/>
        <v>6051.0517927838755</v>
      </c>
      <c r="AM41" s="70">
        <f t="shared" si="28"/>
        <v>6096.9238552564966</v>
      </c>
      <c r="AN41" s="70">
        <f t="shared" si="28"/>
        <v>6143.3333051299269</v>
      </c>
      <c r="AO41" s="70">
        <f t="shared" si="28"/>
        <v>6190.2864378529202</v>
      </c>
      <c r="AP41" s="70">
        <f t="shared" si="28"/>
        <v>6237.7896226248904</v>
      </c>
      <c r="AQ41" s="70">
        <f t="shared" si="28"/>
        <v>6285.1418742018141</v>
      </c>
      <c r="AR41" s="70">
        <f t="shared" si="28"/>
        <v>6333.0488534719307</v>
      </c>
      <c r="AS41" s="70">
        <f t="shared" si="28"/>
        <v>6381.5170590240768</v>
      </c>
      <c r="AT41" s="70">
        <f t="shared" si="28"/>
        <v>6430.5530655775219</v>
      </c>
      <c r="AU41" s="70">
        <f t="shared" si="28"/>
        <v>6480.1635248738212</v>
      </c>
      <c r="AV41" s="70">
        <f t="shared" si="28"/>
        <v>6530.3551665791329</v>
      </c>
      <c r="AW41" s="70">
        <f t="shared" si="28"/>
        <v>6581.1347991970924</v>
      </c>
      <c r="AX41" s="70">
        <f t="shared" si="28"/>
        <v>6632.5093109923928</v>
      </c>
      <c r="AY41" s="70">
        <f t="shared" si="28"/>
        <v>6684.4856709251744</v>
      </c>
      <c r="AZ41" s="70">
        <f t="shared" si="28"/>
        <v>6737.0709295963625</v>
      </c>
      <c r="BA41" s="70">
        <f t="shared" si="28"/>
        <v>6790.2722202040932</v>
      </c>
      <c r="BB41" s="70">
        <f t="shared" si="28"/>
        <v>6844.0967595113234</v>
      </c>
      <c r="BC41" s="70">
        <f t="shared" si="28"/>
        <v>6895.9072448880715</v>
      </c>
      <c r="BD41" s="70">
        <f t="shared" si="28"/>
        <v>6948.3246857965851</v>
      </c>
      <c r="BE41" s="70">
        <f t="shared" si="28"/>
        <v>7001.3561926704942</v>
      </c>
      <c r="BF41" s="70">
        <f t="shared" si="28"/>
        <v>7055.0089592415661</v>
      </c>
      <c r="BG41" s="70">
        <f t="shared" si="28"/>
        <v>7109.2902635155378</v>
      </c>
      <c r="BH41" s="70">
        <f t="shared" si="28"/>
        <v>7164.2074687593813</v>
      </c>
      <c r="BI41" s="70">
        <f t="shared" si="28"/>
        <v>7219.7680245001256</v>
      </c>
      <c r="BJ41" s="70">
        <f t="shared" si="28"/>
        <v>7288.1058939345794</v>
      </c>
      <c r="BK41" s="70">
        <f t="shared" si="28"/>
        <v>7357.2443358319388</v>
      </c>
      <c r="BL41" s="70">
        <f t="shared" si="28"/>
        <v>7427.1927288320931</v>
      </c>
      <c r="BM41" s="70">
        <f t="shared" si="28"/>
        <v>7497.960561444921</v>
      </c>
      <c r="BN41" s="70">
        <f t="shared" si="28"/>
        <v>7569.5574333374061</v>
      </c>
      <c r="BO41" s="70">
        <f t="shared" si="28"/>
        <v>7639.2545474061117</v>
      </c>
      <c r="BP41" s="70">
        <f t="shared" si="28"/>
        <v>7709.7681573756845</v>
      </c>
      <c r="BQ41" s="70">
        <f t="shared" si="28"/>
        <v>7781.1078284277692</v>
      </c>
      <c r="BR41" s="70">
        <f t="shared" si="28"/>
        <v>7853.28323779932</v>
      </c>
      <c r="BS41" s="70">
        <f t="shared" ref="BS41:DV41" si="29">BS40*((1+$C$39)^(1/12)-1)</f>
        <v>7926.3041760953138</v>
      </c>
      <c r="BT41" s="70">
        <f t="shared" si="29"/>
        <v>8000.180548616855</v>
      </c>
      <c r="BU41" s="70">
        <f t="shared" si="29"/>
        <v>8074.9223767048261</v>
      </c>
      <c r="BV41" s="70">
        <f t="shared" si="29"/>
        <v>8150.5397990992869</v>
      </c>
      <c r="BW41" s="70">
        <f t="shared" si="29"/>
        <v>8227.0430733147914</v>
      </c>
      <c r="BX41" s="70">
        <f t="shared" si="29"/>
        <v>8304.4425770318285</v>
      </c>
      <c r="BY41" s="70">
        <f t="shared" si="29"/>
        <v>8382.7488095045483</v>
      </c>
      <c r="BZ41" s="70">
        <f t="shared" si="29"/>
        <v>8461.9723929849915</v>
      </c>
      <c r="CA41" s="70">
        <f t="shared" si="29"/>
        <v>8539.2885511389832</v>
      </c>
      <c r="CB41" s="70">
        <f t="shared" si="29"/>
        <v>8617.5104616623121</v>
      </c>
      <c r="CC41" s="70">
        <f t="shared" si="29"/>
        <v>8696.6487353687316</v>
      </c>
      <c r="CD41" s="70">
        <f t="shared" si="29"/>
        <v>8776.7141073768053</v>
      </c>
      <c r="CE41" s="70">
        <f t="shared" si="29"/>
        <v>8857.7174385661092</v>
      </c>
      <c r="CF41" s="70">
        <f t="shared" si="29"/>
        <v>8939.6697170505267</v>
      </c>
      <c r="CG41" s="70">
        <f t="shared" si="29"/>
        <v>9022.5820596687827</v>
      </c>
      <c r="CH41" s="70">
        <f t="shared" si="29"/>
        <v>9106.4657134924419</v>
      </c>
      <c r="CI41" s="70">
        <f t="shared" si="29"/>
        <v>9191.3320573515794</v>
      </c>
      <c r="CJ41" s="70">
        <f t="shared" si="29"/>
        <v>9277.1926033783184</v>
      </c>
      <c r="CK41" s="70">
        <f t="shared" si="29"/>
        <v>9364.0589985684528</v>
      </c>
      <c r="CL41" s="70">
        <f t="shared" si="29"/>
        <v>9451.9430263613685</v>
      </c>
      <c r="CM41" s="70">
        <f t="shared" si="29"/>
        <v>9537.9208638339169</v>
      </c>
      <c r="CN41" s="70">
        <f t="shared" si="29"/>
        <v>9624.9059245294029</v>
      </c>
      <c r="CO41" s="70">
        <f t="shared" si="29"/>
        <v>9712.9100079842065</v>
      </c>
      <c r="CP41" s="70">
        <f t="shared" si="29"/>
        <v>9801.945051965291</v>
      </c>
      <c r="CQ41" s="70">
        <f t="shared" si="29"/>
        <v>9892.0231340895698</v>
      </c>
      <c r="CR41" s="70">
        <f t="shared" si="29"/>
        <v>9983.1564734622334</v>
      </c>
      <c r="CS41" s="70">
        <f t="shared" si="29"/>
        <v>10075.357432334276</v>
      </c>
      <c r="CT41" s="70">
        <f t="shared" si="29"/>
        <v>10168.638517779436</v>
      </c>
      <c r="CU41" s="70">
        <f t="shared" si="29"/>
        <v>10263.01238339078</v>
      </c>
      <c r="CV41" s="70">
        <f t="shared" si="29"/>
        <v>10358.491830997167</v>
      </c>
      <c r="CW41" s="70">
        <f t="shared" si="29"/>
        <v>10455.089812399816</v>
      </c>
      <c r="CX41" s="70">
        <f t="shared" si="29"/>
        <v>10552.819431129223</v>
      </c>
      <c r="CY41" s="70">
        <f t="shared" si="29"/>
        <v>10648.654668683426</v>
      </c>
      <c r="CZ41" s="70">
        <f t="shared" si="29"/>
        <v>10745.612608083571</v>
      </c>
      <c r="DA41" s="70">
        <f t="shared" si="29"/>
        <v>10843.706401688509</v>
      </c>
      <c r="DB41" s="70">
        <f t="shared" si="29"/>
        <v>10942.949355935883</v>
      </c>
      <c r="DC41" s="70">
        <f t="shared" si="29"/>
        <v>11043.354933147146</v>
      </c>
      <c r="DD41" s="70">
        <f t="shared" si="29"/>
        <v>11144.936753353728</v>
      </c>
      <c r="DE41" s="70">
        <f t="shared" si="29"/>
        <v>11247.708596144597</v>
      </c>
      <c r="DF41" s="70">
        <f t="shared" si="29"/>
        <v>11351.684402535462</v>
      </c>
      <c r="DG41" s="70">
        <f t="shared" si="29"/>
        <v>11456.87827685987</v>
      </c>
      <c r="DH41" s="70">
        <f t="shared" si="29"/>
        <v>11563.304488682468</v>
      </c>
      <c r="DI41" s="70">
        <f t="shared" si="29"/>
        <v>11670.97747473466</v>
      </c>
      <c r="DJ41" s="70">
        <f t="shared" si="29"/>
        <v>11779.911840872966</v>
      </c>
      <c r="DK41" s="70">
        <f t="shared" si="29"/>
        <v>11886.976142276297</v>
      </c>
      <c r="DL41" s="70">
        <f t="shared" si="29"/>
        <v>11995.29469307565</v>
      </c>
      <c r="DM41" s="70">
        <f t="shared" si="29"/>
        <v>12104.882186698496</v>
      </c>
      <c r="DN41" s="70">
        <f t="shared" si="29"/>
        <v>12215.753488704588</v>
      </c>
      <c r="DO41" s="70">
        <f t="shared" si="29"/>
        <v>12327.92363880248</v>
      </c>
      <c r="DP41" s="70">
        <f t="shared" si="29"/>
        <v>12441.407852889655</v>
      </c>
      <c r="DQ41" s="70">
        <f t="shared" si="29"/>
        <v>12556.221525116578</v>
      </c>
      <c r="DR41" s="70">
        <f t="shared" si="29"/>
        <v>12672.380229974902</v>
      </c>
      <c r="DS41" s="70">
        <f t="shared" si="29"/>
        <v>12789.899724410157</v>
      </c>
      <c r="DT41" s="70">
        <f t="shared" si="29"/>
        <v>12908.795949959185</v>
      </c>
      <c r="DU41" s="70">
        <f t="shared" si="29"/>
        <v>13029.085034912605</v>
      </c>
      <c r="DV41" s="70">
        <f t="shared" si="29"/>
        <v>13150.783296502619</v>
      </c>
    </row>
    <row r="42" spans="2:130" x14ac:dyDescent="0.3">
      <c r="B42" t="s">
        <v>79</v>
      </c>
      <c r="E42" s="87"/>
      <c r="F42" s="70">
        <f>-MIN(F34,0)*$C$6</f>
        <v>181905.12328713818</v>
      </c>
      <c r="G42" s="70">
        <f t="shared" ref="G42:BR42" si="30">-MIN(G34,0)*$C$6</f>
        <v>912.04528411059755</v>
      </c>
      <c r="H42" s="70">
        <f t="shared" si="30"/>
        <v>2122.6946050690854</v>
      </c>
      <c r="I42" s="70">
        <f t="shared" si="30"/>
        <v>4540.1094596298981</v>
      </c>
      <c r="J42" s="70">
        <f t="shared" si="30"/>
        <v>8923.8947580499243</v>
      </c>
      <c r="K42" s="70">
        <f t="shared" si="30"/>
        <v>16119.564886071646</v>
      </c>
      <c r="L42" s="70">
        <f t="shared" si="30"/>
        <v>26758.651753721148</v>
      </c>
      <c r="M42" s="70">
        <f t="shared" si="30"/>
        <v>36071.436451986388</v>
      </c>
      <c r="N42" s="70">
        <f t="shared" si="30"/>
        <v>47730.350695688947</v>
      </c>
      <c r="O42" s="70">
        <f t="shared" si="30"/>
        <v>54912.537578128577</v>
      </c>
      <c r="P42" s="70">
        <f t="shared" si="30"/>
        <v>0</v>
      </c>
      <c r="Q42" s="70">
        <f t="shared" si="30"/>
        <v>0</v>
      </c>
      <c r="R42" s="70">
        <f t="shared" si="30"/>
        <v>0</v>
      </c>
      <c r="S42" s="70">
        <f t="shared" si="30"/>
        <v>0</v>
      </c>
      <c r="T42" s="70">
        <f t="shared" si="30"/>
        <v>0</v>
      </c>
      <c r="U42" s="70">
        <f t="shared" si="30"/>
        <v>0</v>
      </c>
      <c r="V42" s="70">
        <f t="shared" si="30"/>
        <v>0</v>
      </c>
      <c r="W42" s="70">
        <f t="shared" si="30"/>
        <v>0</v>
      </c>
      <c r="X42" s="70">
        <f t="shared" si="30"/>
        <v>0</v>
      </c>
      <c r="Y42" s="70">
        <f t="shared" si="30"/>
        <v>0</v>
      </c>
      <c r="Z42" s="70">
        <f t="shared" si="30"/>
        <v>0</v>
      </c>
      <c r="AA42" s="70">
        <f t="shared" si="30"/>
        <v>0</v>
      </c>
      <c r="AB42" s="70">
        <f t="shared" si="30"/>
        <v>0</v>
      </c>
      <c r="AC42" s="70">
        <f t="shared" si="30"/>
        <v>0</v>
      </c>
      <c r="AD42" s="70">
        <f t="shared" si="30"/>
        <v>0</v>
      </c>
      <c r="AE42" s="70">
        <f t="shared" si="30"/>
        <v>0</v>
      </c>
      <c r="AF42" s="70">
        <f t="shared" si="30"/>
        <v>0</v>
      </c>
      <c r="AG42" s="70">
        <f t="shared" si="30"/>
        <v>0</v>
      </c>
      <c r="AH42" s="70">
        <f t="shared" si="30"/>
        <v>0</v>
      </c>
      <c r="AI42" s="70">
        <f t="shared" si="30"/>
        <v>0</v>
      </c>
      <c r="AJ42" s="70">
        <f t="shared" si="30"/>
        <v>0</v>
      </c>
      <c r="AK42" s="70">
        <f t="shared" si="30"/>
        <v>0</v>
      </c>
      <c r="AL42" s="70">
        <f t="shared" si="30"/>
        <v>0</v>
      </c>
      <c r="AM42" s="70">
        <f t="shared" si="30"/>
        <v>0</v>
      </c>
      <c r="AN42" s="70">
        <f t="shared" si="30"/>
        <v>0</v>
      </c>
      <c r="AO42" s="70">
        <f t="shared" si="30"/>
        <v>0</v>
      </c>
      <c r="AP42" s="70">
        <f t="shared" si="30"/>
        <v>0</v>
      </c>
      <c r="AQ42" s="70">
        <f t="shared" si="30"/>
        <v>0</v>
      </c>
      <c r="AR42" s="70">
        <f t="shared" si="30"/>
        <v>0</v>
      </c>
      <c r="AS42" s="70">
        <f t="shared" si="30"/>
        <v>0</v>
      </c>
      <c r="AT42" s="70">
        <f t="shared" si="30"/>
        <v>0</v>
      </c>
      <c r="AU42" s="70">
        <f t="shared" si="30"/>
        <v>0</v>
      </c>
      <c r="AV42" s="70">
        <f t="shared" si="30"/>
        <v>0</v>
      </c>
      <c r="AW42" s="70">
        <f t="shared" si="30"/>
        <v>0</v>
      </c>
      <c r="AX42" s="70">
        <f t="shared" si="30"/>
        <v>0</v>
      </c>
      <c r="AY42" s="70">
        <f t="shared" si="30"/>
        <v>0</v>
      </c>
      <c r="AZ42" s="70">
        <f t="shared" si="30"/>
        <v>0</v>
      </c>
      <c r="BA42" s="70">
        <f t="shared" si="30"/>
        <v>0</v>
      </c>
      <c r="BB42" s="70">
        <f t="shared" si="30"/>
        <v>0</v>
      </c>
      <c r="BC42" s="70">
        <f t="shared" si="30"/>
        <v>0</v>
      </c>
      <c r="BD42" s="70">
        <f t="shared" si="30"/>
        <v>0</v>
      </c>
      <c r="BE42" s="70">
        <f t="shared" si="30"/>
        <v>0</v>
      </c>
      <c r="BF42" s="70">
        <f t="shared" si="30"/>
        <v>0</v>
      </c>
      <c r="BG42" s="70">
        <f t="shared" si="30"/>
        <v>0</v>
      </c>
      <c r="BH42" s="70">
        <f t="shared" si="30"/>
        <v>0</v>
      </c>
      <c r="BI42" s="70">
        <f t="shared" si="30"/>
        <v>0</v>
      </c>
      <c r="BJ42" s="70">
        <f t="shared" si="30"/>
        <v>0</v>
      </c>
      <c r="BK42" s="70">
        <f t="shared" si="30"/>
        <v>0</v>
      </c>
      <c r="BL42" s="70">
        <f t="shared" si="30"/>
        <v>0</v>
      </c>
      <c r="BM42" s="70">
        <f t="shared" si="30"/>
        <v>0</v>
      </c>
      <c r="BN42" s="70">
        <f t="shared" si="30"/>
        <v>0</v>
      </c>
      <c r="BO42" s="70">
        <f t="shared" si="30"/>
        <v>0</v>
      </c>
      <c r="BP42" s="70">
        <f t="shared" si="30"/>
        <v>0</v>
      </c>
      <c r="BQ42" s="70">
        <f t="shared" si="30"/>
        <v>0</v>
      </c>
      <c r="BR42" s="70">
        <f t="shared" si="30"/>
        <v>0</v>
      </c>
      <c r="BS42" s="70">
        <f t="shared" ref="BS42:DV42" si="31">-MIN(BS34,0)*$C$6</f>
        <v>0</v>
      </c>
      <c r="BT42" s="70">
        <f t="shared" si="31"/>
        <v>0</v>
      </c>
      <c r="BU42" s="70">
        <f t="shared" si="31"/>
        <v>0</v>
      </c>
      <c r="BV42" s="70">
        <f t="shared" si="31"/>
        <v>0</v>
      </c>
      <c r="BW42" s="70">
        <f t="shared" si="31"/>
        <v>0</v>
      </c>
      <c r="BX42" s="70">
        <f t="shared" si="31"/>
        <v>0</v>
      </c>
      <c r="BY42" s="70">
        <f t="shared" si="31"/>
        <v>0</v>
      </c>
      <c r="BZ42" s="70">
        <f t="shared" si="31"/>
        <v>0</v>
      </c>
      <c r="CA42" s="70">
        <f t="shared" si="31"/>
        <v>0</v>
      </c>
      <c r="CB42" s="70">
        <f t="shared" si="31"/>
        <v>0</v>
      </c>
      <c r="CC42" s="70">
        <f t="shared" si="31"/>
        <v>0</v>
      </c>
      <c r="CD42" s="70">
        <f t="shared" si="31"/>
        <v>0</v>
      </c>
      <c r="CE42" s="70">
        <f t="shared" si="31"/>
        <v>0</v>
      </c>
      <c r="CF42" s="70">
        <f t="shared" si="31"/>
        <v>0</v>
      </c>
      <c r="CG42" s="70">
        <f t="shared" si="31"/>
        <v>0</v>
      </c>
      <c r="CH42" s="70">
        <f t="shared" si="31"/>
        <v>0</v>
      </c>
      <c r="CI42" s="70">
        <f t="shared" si="31"/>
        <v>0</v>
      </c>
      <c r="CJ42" s="70">
        <f t="shared" si="31"/>
        <v>0</v>
      </c>
      <c r="CK42" s="70">
        <f t="shared" si="31"/>
        <v>0</v>
      </c>
      <c r="CL42" s="70">
        <f t="shared" si="31"/>
        <v>0</v>
      </c>
      <c r="CM42" s="70">
        <f t="shared" si="31"/>
        <v>0</v>
      </c>
      <c r="CN42" s="70">
        <f t="shared" si="31"/>
        <v>0</v>
      </c>
      <c r="CO42" s="70">
        <f t="shared" si="31"/>
        <v>0</v>
      </c>
      <c r="CP42" s="70">
        <f t="shared" si="31"/>
        <v>0</v>
      </c>
      <c r="CQ42" s="70">
        <f t="shared" si="31"/>
        <v>0</v>
      </c>
      <c r="CR42" s="70">
        <f t="shared" si="31"/>
        <v>0</v>
      </c>
      <c r="CS42" s="70">
        <f t="shared" si="31"/>
        <v>0</v>
      </c>
      <c r="CT42" s="70">
        <f t="shared" si="31"/>
        <v>0</v>
      </c>
      <c r="CU42" s="70">
        <f t="shared" si="31"/>
        <v>0</v>
      </c>
      <c r="CV42" s="70">
        <f t="shared" si="31"/>
        <v>0</v>
      </c>
      <c r="CW42" s="70">
        <f t="shared" si="31"/>
        <v>0</v>
      </c>
      <c r="CX42" s="70">
        <f t="shared" si="31"/>
        <v>0</v>
      </c>
      <c r="CY42" s="70">
        <f t="shared" si="31"/>
        <v>0</v>
      </c>
      <c r="CZ42" s="70">
        <f t="shared" si="31"/>
        <v>0</v>
      </c>
      <c r="DA42" s="70">
        <f t="shared" si="31"/>
        <v>0</v>
      </c>
      <c r="DB42" s="70">
        <f t="shared" si="31"/>
        <v>0</v>
      </c>
      <c r="DC42" s="70">
        <f t="shared" si="31"/>
        <v>0</v>
      </c>
      <c r="DD42" s="70">
        <f t="shared" si="31"/>
        <v>0</v>
      </c>
      <c r="DE42" s="70">
        <f t="shared" si="31"/>
        <v>0</v>
      </c>
      <c r="DF42" s="70">
        <f t="shared" si="31"/>
        <v>0</v>
      </c>
      <c r="DG42" s="70">
        <f t="shared" si="31"/>
        <v>0</v>
      </c>
      <c r="DH42" s="70">
        <f t="shared" si="31"/>
        <v>0</v>
      </c>
      <c r="DI42" s="70">
        <f t="shared" si="31"/>
        <v>0</v>
      </c>
      <c r="DJ42" s="70">
        <f t="shared" si="31"/>
        <v>0</v>
      </c>
      <c r="DK42" s="70">
        <f t="shared" si="31"/>
        <v>0</v>
      </c>
      <c r="DL42" s="70">
        <f t="shared" si="31"/>
        <v>0</v>
      </c>
      <c r="DM42" s="70">
        <f t="shared" si="31"/>
        <v>0</v>
      </c>
      <c r="DN42" s="70">
        <f t="shared" si="31"/>
        <v>0</v>
      </c>
      <c r="DO42" s="70">
        <f t="shared" si="31"/>
        <v>0</v>
      </c>
      <c r="DP42" s="70">
        <f t="shared" si="31"/>
        <v>0</v>
      </c>
      <c r="DQ42" s="70">
        <f t="shared" si="31"/>
        <v>0</v>
      </c>
      <c r="DR42" s="70">
        <f t="shared" si="31"/>
        <v>0</v>
      </c>
      <c r="DS42" s="70">
        <f t="shared" si="31"/>
        <v>0</v>
      </c>
      <c r="DT42" s="70">
        <f t="shared" si="31"/>
        <v>0</v>
      </c>
      <c r="DU42" s="70">
        <f t="shared" si="31"/>
        <v>0</v>
      </c>
      <c r="DV42" s="70">
        <f t="shared" si="31"/>
        <v>0</v>
      </c>
    </row>
    <row r="43" spans="2:130" x14ac:dyDescent="0.3">
      <c r="B43" t="s">
        <v>80</v>
      </c>
      <c r="F43" s="70">
        <f>MIN(F40+F41,MAX(F34,0)*$I$10)</f>
        <v>0</v>
      </c>
      <c r="G43" s="70">
        <f t="shared" ref="G43:BR43" si="32">MIN(G40+G41,MAX(G34,0)*$I$10)</f>
        <v>0</v>
      </c>
      <c r="H43" s="70">
        <f t="shared" si="32"/>
        <v>0</v>
      </c>
      <c r="I43" s="70">
        <f t="shared" si="32"/>
        <v>0</v>
      </c>
      <c r="J43" s="70">
        <f t="shared" si="32"/>
        <v>0</v>
      </c>
      <c r="K43" s="70">
        <f t="shared" si="32"/>
        <v>0</v>
      </c>
      <c r="L43" s="70">
        <f t="shared" si="32"/>
        <v>0</v>
      </c>
      <c r="M43" s="70">
        <f t="shared" si="32"/>
        <v>0</v>
      </c>
      <c r="N43" s="70">
        <f t="shared" si="32"/>
        <v>0</v>
      </c>
      <c r="O43" s="70">
        <f t="shared" si="32"/>
        <v>0</v>
      </c>
      <c r="P43" s="70">
        <f t="shared" si="32"/>
        <v>0</v>
      </c>
      <c r="Q43" s="70">
        <f t="shared" si="32"/>
        <v>0</v>
      </c>
      <c r="R43" s="70">
        <f t="shared" si="32"/>
        <v>0</v>
      </c>
      <c r="S43" s="70">
        <f t="shared" si="32"/>
        <v>0</v>
      </c>
      <c r="T43" s="70">
        <f t="shared" si="32"/>
        <v>0</v>
      </c>
      <c r="U43" s="70">
        <f t="shared" si="32"/>
        <v>0</v>
      </c>
      <c r="V43" s="70">
        <f t="shared" si="32"/>
        <v>0</v>
      </c>
      <c r="W43" s="70">
        <f t="shared" si="32"/>
        <v>0</v>
      </c>
      <c r="X43" s="70">
        <f t="shared" si="32"/>
        <v>0</v>
      </c>
      <c r="Y43" s="70">
        <f t="shared" si="32"/>
        <v>0</v>
      </c>
      <c r="Z43" s="70">
        <f t="shared" si="32"/>
        <v>0</v>
      </c>
      <c r="AA43" s="70">
        <f t="shared" si="32"/>
        <v>0</v>
      </c>
      <c r="AB43" s="70">
        <f t="shared" si="32"/>
        <v>0</v>
      </c>
      <c r="AC43" s="70">
        <f t="shared" si="32"/>
        <v>0</v>
      </c>
      <c r="AD43" s="70">
        <f t="shared" si="32"/>
        <v>0</v>
      </c>
      <c r="AE43" s="70">
        <f t="shared" si="32"/>
        <v>0</v>
      </c>
      <c r="AF43" s="70">
        <f t="shared" si="32"/>
        <v>0</v>
      </c>
      <c r="AG43" s="70">
        <f t="shared" si="32"/>
        <v>0</v>
      </c>
      <c r="AH43" s="70">
        <f t="shared" si="32"/>
        <v>0</v>
      </c>
      <c r="AI43" s="70">
        <f t="shared" si="32"/>
        <v>0</v>
      </c>
      <c r="AJ43" s="70">
        <f t="shared" si="32"/>
        <v>3750.9776869732491</v>
      </c>
      <c r="AK43" s="70">
        <f t="shared" si="32"/>
        <v>2135.3550117950435</v>
      </c>
      <c r="AL43" s="70">
        <f t="shared" si="32"/>
        <v>2135.3550117950435</v>
      </c>
      <c r="AM43" s="70">
        <f t="shared" si="32"/>
        <v>2135.3550117950435</v>
      </c>
      <c r="AN43" s="70">
        <f t="shared" si="32"/>
        <v>2135.3550117950435</v>
      </c>
      <c r="AO43" s="70">
        <f t="shared" si="32"/>
        <v>2135.3550117950435</v>
      </c>
      <c r="AP43" s="70">
        <f t="shared" si="32"/>
        <v>2195.7420433820471</v>
      </c>
      <c r="AQ43" s="70">
        <f t="shared" si="32"/>
        <v>2195.7420433820471</v>
      </c>
      <c r="AR43" s="70">
        <f t="shared" si="32"/>
        <v>2195.7420433820471</v>
      </c>
      <c r="AS43" s="70">
        <f t="shared" si="32"/>
        <v>2195.7420433820471</v>
      </c>
      <c r="AT43" s="70">
        <f t="shared" si="32"/>
        <v>2195.7420433820471</v>
      </c>
      <c r="AU43" s="70">
        <f t="shared" si="32"/>
        <v>2195.7420433820471</v>
      </c>
      <c r="AV43" s="70">
        <f t="shared" si="32"/>
        <v>2195.7420433820471</v>
      </c>
      <c r="AW43" s="70">
        <f t="shared" si="32"/>
        <v>2195.7420433820471</v>
      </c>
      <c r="AX43" s="70">
        <f t="shared" si="32"/>
        <v>2195.7420433820471</v>
      </c>
      <c r="AY43" s="70">
        <f t="shared" si="32"/>
        <v>2195.7420433820471</v>
      </c>
      <c r="AZ43" s="70">
        <f t="shared" si="32"/>
        <v>2195.7420433820471</v>
      </c>
      <c r="BA43" s="70">
        <f t="shared" si="32"/>
        <v>2195.7420433820471</v>
      </c>
      <c r="BB43" s="70">
        <f t="shared" si="32"/>
        <v>2421.4887520277284</v>
      </c>
      <c r="BC43" s="70">
        <f t="shared" si="32"/>
        <v>2421.4887520277284</v>
      </c>
      <c r="BD43" s="70">
        <f t="shared" si="32"/>
        <v>2421.4887520277284</v>
      </c>
      <c r="BE43" s="70">
        <f t="shared" si="32"/>
        <v>2421.4887520277284</v>
      </c>
      <c r="BF43" s="70">
        <f t="shared" si="32"/>
        <v>2421.4887520277284</v>
      </c>
      <c r="BG43" s="70">
        <f t="shared" si="32"/>
        <v>2421.4887520277284</v>
      </c>
      <c r="BH43" s="70">
        <f t="shared" si="32"/>
        <v>2421.4887520277284</v>
      </c>
      <c r="BI43" s="70">
        <f t="shared" si="32"/>
        <v>1386.3617867963922</v>
      </c>
      <c r="BJ43" s="70">
        <f t="shared" si="32"/>
        <v>1386.3617867963922</v>
      </c>
      <c r="BK43" s="70">
        <f t="shared" si="32"/>
        <v>1386.3617867963922</v>
      </c>
      <c r="BL43" s="70">
        <f t="shared" si="32"/>
        <v>1386.3617867963922</v>
      </c>
      <c r="BM43" s="70">
        <f t="shared" si="32"/>
        <v>1386.3617867963922</v>
      </c>
      <c r="BN43" s="70">
        <f t="shared" si="32"/>
        <v>1620.1243690202225</v>
      </c>
      <c r="BO43" s="70">
        <f t="shared" si="32"/>
        <v>1620.1243690202225</v>
      </c>
      <c r="BP43" s="70">
        <f t="shared" si="32"/>
        <v>1620.1243690202225</v>
      </c>
      <c r="BQ43" s="70">
        <f t="shared" si="32"/>
        <v>1620.1243690202225</v>
      </c>
      <c r="BR43" s="70">
        <f t="shared" si="32"/>
        <v>1620.1243690202225</v>
      </c>
      <c r="BS43" s="70">
        <f t="shared" ref="BS43:DV43" si="33">MIN(BS40+BS41,MAX(BS34,0)*$I$10)</f>
        <v>1620.1243690202225</v>
      </c>
      <c r="BT43" s="70">
        <f t="shared" si="33"/>
        <v>1620.1243690202225</v>
      </c>
      <c r="BU43" s="70">
        <f t="shared" si="33"/>
        <v>1620.1243690202225</v>
      </c>
      <c r="BV43" s="70">
        <f t="shared" si="33"/>
        <v>1620.1243690202225</v>
      </c>
      <c r="BW43" s="70">
        <f t="shared" si="33"/>
        <v>1620.1243690202225</v>
      </c>
      <c r="BX43" s="70">
        <f t="shared" si="33"/>
        <v>1620.1243690202225</v>
      </c>
      <c r="BY43" s="70">
        <f t="shared" si="33"/>
        <v>1620.1243690202225</v>
      </c>
      <c r="BZ43" s="70">
        <f t="shared" si="33"/>
        <v>1862.168170475918</v>
      </c>
      <c r="CA43" s="70">
        <f t="shared" si="33"/>
        <v>1862.168170475918</v>
      </c>
      <c r="CB43" s="70">
        <f t="shared" si="33"/>
        <v>1862.168170475918</v>
      </c>
      <c r="CC43" s="70">
        <f t="shared" si="33"/>
        <v>1862.168170475918</v>
      </c>
      <c r="CD43" s="70">
        <f t="shared" si="33"/>
        <v>1862.168170475918</v>
      </c>
      <c r="CE43" s="70">
        <f t="shared" si="33"/>
        <v>1862.168170475918</v>
      </c>
      <c r="CF43" s="70">
        <f t="shared" si="33"/>
        <v>1862.168170475918</v>
      </c>
      <c r="CG43" s="70">
        <f t="shared" si="33"/>
        <v>1862.168170475918</v>
      </c>
      <c r="CH43" s="70">
        <f t="shared" si="33"/>
        <v>1862.168170475918</v>
      </c>
      <c r="CI43" s="70">
        <f t="shared" si="33"/>
        <v>1862.168170475918</v>
      </c>
      <c r="CJ43" s="70">
        <f t="shared" si="33"/>
        <v>1862.168170475918</v>
      </c>
      <c r="CK43" s="70">
        <f t="shared" si="33"/>
        <v>1862.168170475918</v>
      </c>
      <c r="CL43" s="70">
        <f t="shared" si="33"/>
        <v>2112.7669945757439</v>
      </c>
      <c r="CM43" s="70">
        <f t="shared" si="33"/>
        <v>2112.7669945757439</v>
      </c>
      <c r="CN43" s="70">
        <f t="shared" si="33"/>
        <v>2112.7669945757439</v>
      </c>
      <c r="CO43" s="70">
        <f t="shared" si="33"/>
        <v>2112.7669945757439</v>
      </c>
      <c r="CP43" s="70">
        <f t="shared" si="33"/>
        <v>2112.7669945757439</v>
      </c>
      <c r="CQ43" s="70">
        <f t="shared" si="33"/>
        <v>2112.7669945757439</v>
      </c>
      <c r="CR43" s="70">
        <f t="shared" si="33"/>
        <v>2112.7669945757439</v>
      </c>
      <c r="CS43" s="70">
        <f t="shared" si="33"/>
        <v>2112.7669945757439</v>
      </c>
      <c r="CT43" s="70">
        <f t="shared" si="33"/>
        <v>2112.7669945757439</v>
      </c>
      <c r="CU43" s="70">
        <f t="shared" si="33"/>
        <v>2112.7669945757439</v>
      </c>
      <c r="CV43" s="70">
        <f t="shared" si="33"/>
        <v>2112.7669945757439</v>
      </c>
      <c r="CW43" s="70">
        <f t="shared" si="33"/>
        <v>2112.7669945757439</v>
      </c>
      <c r="CX43" s="70">
        <f t="shared" si="33"/>
        <v>2372.2033661710238</v>
      </c>
      <c r="CY43" s="70">
        <f t="shared" si="33"/>
        <v>2372.2033661710238</v>
      </c>
      <c r="CZ43" s="70">
        <f t="shared" si="33"/>
        <v>2372.2033661710238</v>
      </c>
      <c r="DA43" s="70">
        <f t="shared" si="33"/>
        <v>2372.2033661710238</v>
      </c>
      <c r="DB43" s="70">
        <f t="shared" si="33"/>
        <v>2372.2033661710238</v>
      </c>
      <c r="DC43" s="70">
        <f t="shared" si="33"/>
        <v>2372.2033661710238</v>
      </c>
      <c r="DD43" s="70">
        <f t="shared" si="33"/>
        <v>2372.2033661710238</v>
      </c>
      <c r="DE43" s="70">
        <f t="shared" si="33"/>
        <v>2372.2033661710238</v>
      </c>
      <c r="DF43" s="70">
        <f t="shared" si="33"/>
        <v>2372.2033661710238</v>
      </c>
      <c r="DG43" s="70">
        <f t="shared" si="33"/>
        <v>2372.2033661710238</v>
      </c>
      <c r="DH43" s="70">
        <f t="shared" si="33"/>
        <v>2372.2033661710238</v>
      </c>
      <c r="DI43" s="70">
        <f t="shared" si="33"/>
        <v>2372.2033661710238</v>
      </c>
      <c r="DJ43" s="70">
        <f t="shared" si="33"/>
        <v>2640.7688033420845</v>
      </c>
      <c r="DK43" s="70">
        <f t="shared" si="33"/>
        <v>2640.7688033420845</v>
      </c>
      <c r="DL43" s="70">
        <f t="shared" si="33"/>
        <v>2640.7688033420845</v>
      </c>
      <c r="DM43" s="70">
        <f t="shared" si="33"/>
        <v>2640.7688033420845</v>
      </c>
      <c r="DN43" s="70">
        <f t="shared" si="33"/>
        <v>2640.7688033420845</v>
      </c>
      <c r="DO43" s="70">
        <f t="shared" si="33"/>
        <v>2640.7688033420845</v>
      </c>
      <c r="DP43" s="70">
        <f t="shared" si="33"/>
        <v>2640.7688033420845</v>
      </c>
      <c r="DQ43" s="70">
        <f t="shared" si="33"/>
        <v>2640.7688033420845</v>
      </c>
      <c r="DR43" s="70">
        <f t="shared" si="33"/>
        <v>2640.7688033420845</v>
      </c>
      <c r="DS43" s="70">
        <f t="shared" si="33"/>
        <v>2640.7688033420845</v>
      </c>
      <c r="DT43" s="70">
        <f t="shared" si="33"/>
        <v>2640.7688033420845</v>
      </c>
      <c r="DU43" s="70">
        <f t="shared" si="33"/>
        <v>2640.7688033420845</v>
      </c>
      <c r="DV43" s="70">
        <f t="shared" si="33"/>
        <v>1135718.1379326985</v>
      </c>
    </row>
    <row r="44" spans="2:130" x14ac:dyDescent="0.3">
      <c r="B44" t="s">
        <v>81</v>
      </c>
      <c r="F44" s="70">
        <f>F40+F41+F42-F43</f>
        <v>181905.12328713818</v>
      </c>
      <c r="G44" s="70">
        <f t="shared" ref="G44:BR44" si="34">G40+G41+G42-G43</f>
        <v>184948.17197785329</v>
      </c>
      <c r="H44" s="70">
        <f t="shared" si="34"/>
        <v>189237.51905212167</v>
      </c>
      <c r="I44" s="70">
        <f t="shared" si="34"/>
        <v>195994.53032556633</v>
      </c>
      <c r="J44" s="70">
        <f t="shared" si="34"/>
        <v>207214.48472312593</v>
      </c>
      <c r="K44" s="70">
        <f t="shared" si="34"/>
        <v>225761.55008231924</v>
      </c>
      <c r="L44" s="70">
        <f t="shared" si="34"/>
        <v>255164.97963895206</v>
      </c>
      <c r="M44" s="70">
        <f t="shared" si="34"/>
        <v>294225.65262826486</v>
      </c>
      <c r="N44" s="70">
        <f t="shared" si="34"/>
        <v>345402.83240018354</v>
      </c>
      <c r="O44" s="70">
        <f t="shared" si="34"/>
        <v>404361.73546376231</v>
      </c>
      <c r="P44" s="70">
        <f t="shared" si="34"/>
        <v>409098.79960028804</v>
      </c>
      <c r="Q44" s="70">
        <f t="shared" si="34"/>
        <v>413891.35804961715</v>
      </c>
      <c r="R44" s="70">
        <f t="shared" si="34"/>
        <v>418740.06092301372</v>
      </c>
      <c r="S44" s="70">
        <f t="shared" si="34"/>
        <v>423645.56594774115</v>
      </c>
      <c r="T44" s="70">
        <f t="shared" si="34"/>
        <v>428608.53855628322</v>
      </c>
      <c r="U44" s="70">
        <f t="shared" si="34"/>
        <v>433629.65197660984</v>
      </c>
      <c r="V44" s="70">
        <f t="shared" si="34"/>
        <v>438709.58732350077</v>
      </c>
      <c r="W44" s="70">
        <f t="shared" si="34"/>
        <v>443849.03369093873</v>
      </c>
      <c r="X44" s="70">
        <f t="shared" si="34"/>
        <v>449048.6882455853</v>
      </c>
      <c r="Y44" s="70">
        <f t="shared" si="34"/>
        <v>454309.25632135145</v>
      </c>
      <c r="Z44" s="70">
        <f t="shared" si="34"/>
        <v>459631.45151507645</v>
      </c>
      <c r="AA44" s="70">
        <f t="shared" si="34"/>
        <v>465015.99578332721</v>
      </c>
      <c r="AB44" s="70">
        <f t="shared" si="34"/>
        <v>470463.61954033177</v>
      </c>
      <c r="AC44" s="70">
        <f t="shared" si="34"/>
        <v>475975.06175706029</v>
      </c>
      <c r="AD44" s="70">
        <f t="shared" si="34"/>
        <v>481551.07006146631</v>
      </c>
      <c r="AE44" s="70">
        <f t="shared" si="34"/>
        <v>487192.40083990287</v>
      </c>
      <c r="AF44" s="70">
        <f t="shared" si="34"/>
        <v>492899.81933972624</v>
      </c>
      <c r="AG44" s="70">
        <f t="shared" si="34"/>
        <v>498674.09977310186</v>
      </c>
      <c r="AH44" s="70">
        <f t="shared" si="34"/>
        <v>504516.0254220264</v>
      </c>
      <c r="AI44" s="70">
        <f t="shared" si="34"/>
        <v>510426.38874458009</v>
      </c>
      <c r="AJ44" s="70">
        <f t="shared" si="34"/>
        <v>512655.01379545039</v>
      </c>
      <c r="AK44" s="70">
        <f t="shared" si="34"/>
        <v>516525.3696788153</v>
      </c>
      <c r="AL44" s="70">
        <f t="shared" si="34"/>
        <v>520441.06645980413</v>
      </c>
      <c r="AM44" s="70">
        <f t="shared" si="34"/>
        <v>524402.63530326553</v>
      </c>
      <c r="AN44" s="70">
        <f t="shared" si="34"/>
        <v>528410.61359660036</v>
      </c>
      <c r="AO44" s="70">
        <f t="shared" si="34"/>
        <v>532465.54502265819</v>
      </c>
      <c r="AP44" s="70">
        <f t="shared" si="34"/>
        <v>536507.59260190104</v>
      </c>
      <c r="AQ44" s="70">
        <f t="shared" si="34"/>
        <v>540596.99243272084</v>
      </c>
      <c r="AR44" s="70">
        <f t="shared" si="34"/>
        <v>544734.2992428107</v>
      </c>
      <c r="AS44" s="70">
        <f t="shared" si="34"/>
        <v>548920.07425845275</v>
      </c>
      <c r="AT44" s="70">
        <f t="shared" si="34"/>
        <v>553154.88528064825</v>
      </c>
      <c r="AU44" s="70">
        <f t="shared" si="34"/>
        <v>557439.30676214001</v>
      </c>
      <c r="AV44" s="70">
        <f t="shared" si="34"/>
        <v>561773.91988533712</v>
      </c>
      <c r="AW44" s="70">
        <f t="shared" si="34"/>
        <v>566159.31264115218</v>
      </c>
      <c r="AX44" s="70">
        <f t="shared" si="34"/>
        <v>570596.07990876259</v>
      </c>
      <c r="AY44" s="70">
        <f t="shared" si="34"/>
        <v>575084.82353630569</v>
      </c>
      <c r="AZ44" s="70">
        <f t="shared" si="34"/>
        <v>579626.15242251998</v>
      </c>
      <c r="BA44" s="70">
        <f t="shared" si="34"/>
        <v>584220.68259934208</v>
      </c>
      <c r="BB44" s="70">
        <f t="shared" si="34"/>
        <v>588643.29060682561</v>
      </c>
      <c r="BC44" s="70">
        <f t="shared" si="34"/>
        <v>593117.70909968589</v>
      </c>
      <c r="BD44" s="70">
        <f t="shared" si="34"/>
        <v>597644.54503345478</v>
      </c>
      <c r="BE44" s="70">
        <f t="shared" si="34"/>
        <v>602224.41247409757</v>
      </c>
      <c r="BF44" s="70">
        <f t="shared" si="34"/>
        <v>606857.93268131139</v>
      </c>
      <c r="BG44" s="70">
        <f t="shared" si="34"/>
        <v>611545.73419279919</v>
      </c>
      <c r="BH44" s="70">
        <f t="shared" si="34"/>
        <v>616288.45290953084</v>
      </c>
      <c r="BI44" s="70">
        <f t="shared" si="34"/>
        <v>622121.85914723459</v>
      </c>
      <c r="BJ44" s="70">
        <f t="shared" si="34"/>
        <v>628023.60325437284</v>
      </c>
      <c r="BK44" s="70">
        <f t="shared" si="34"/>
        <v>633994.48580340843</v>
      </c>
      <c r="BL44" s="70">
        <f t="shared" si="34"/>
        <v>640035.3167454442</v>
      </c>
      <c r="BM44" s="70">
        <f t="shared" si="34"/>
        <v>646146.91552009271</v>
      </c>
      <c r="BN44" s="70">
        <f t="shared" si="34"/>
        <v>652096.34858440992</v>
      </c>
      <c r="BO44" s="70">
        <f t="shared" si="34"/>
        <v>658115.4787627958</v>
      </c>
      <c r="BP44" s="70">
        <f t="shared" si="34"/>
        <v>664205.1225511512</v>
      </c>
      <c r="BQ44" s="70">
        <f t="shared" si="34"/>
        <v>670366.10601055878</v>
      </c>
      <c r="BR44" s="70">
        <f t="shared" si="34"/>
        <v>676599.26487933786</v>
      </c>
      <c r="BS44" s="70">
        <f t="shared" ref="BS44:DV44" si="35">BS40+BS41+BS42-BS43</f>
        <v>682905.44468641293</v>
      </c>
      <c r="BT44" s="70">
        <f t="shared" si="35"/>
        <v>689285.5008660095</v>
      </c>
      <c r="BU44" s="70">
        <f t="shared" si="35"/>
        <v>695740.29887369415</v>
      </c>
      <c r="BV44" s="70">
        <f t="shared" si="35"/>
        <v>702270.71430377325</v>
      </c>
      <c r="BW44" s="70">
        <f t="shared" si="35"/>
        <v>708877.63300806785</v>
      </c>
      <c r="BX44" s="70">
        <f t="shared" si="35"/>
        <v>715561.95121607941</v>
      </c>
      <c r="BY44" s="70">
        <f t="shared" si="35"/>
        <v>722324.57565656374</v>
      </c>
      <c r="BZ44" s="70">
        <f t="shared" si="35"/>
        <v>728924.37987907289</v>
      </c>
      <c r="CA44" s="70">
        <f t="shared" si="35"/>
        <v>735601.50025973597</v>
      </c>
      <c r="CB44" s="70">
        <f t="shared" si="35"/>
        <v>742356.84255092242</v>
      </c>
      <c r="CC44" s="70">
        <f t="shared" si="35"/>
        <v>749191.32311581529</v>
      </c>
      <c r="CD44" s="70">
        <f t="shared" si="35"/>
        <v>756105.86905271618</v>
      </c>
      <c r="CE44" s="70">
        <f t="shared" si="35"/>
        <v>763101.41832080646</v>
      </c>
      <c r="CF44" s="70">
        <f t="shared" si="35"/>
        <v>770178.9198673811</v>
      </c>
      <c r="CG44" s="70">
        <f t="shared" si="35"/>
        <v>777339.33375657396</v>
      </c>
      <c r="CH44" s="70">
        <f t="shared" si="35"/>
        <v>784583.63129959058</v>
      </c>
      <c r="CI44" s="70">
        <f t="shared" si="35"/>
        <v>791912.7951864663</v>
      </c>
      <c r="CJ44" s="70">
        <f t="shared" si="35"/>
        <v>799327.81961936876</v>
      </c>
      <c r="CK44" s="70">
        <f t="shared" si="35"/>
        <v>806829.71044746134</v>
      </c>
      <c r="CL44" s="70">
        <f t="shared" si="35"/>
        <v>814168.88647924701</v>
      </c>
      <c r="CM44" s="70">
        <f t="shared" si="35"/>
        <v>821594.04034850514</v>
      </c>
      <c r="CN44" s="70">
        <f t="shared" si="35"/>
        <v>829106.17927845882</v>
      </c>
      <c r="CO44" s="70">
        <f t="shared" si="35"/>
        <v>836706.32229186734</v>
      </c>
      <c r="CP44" s="70">
        <f t="shared" si="35"/>
        <v>844395.50034925691</v>
      </c>
      <c r="CQ44" s="70">
        <f t="shared" si="35"/>
        <v>852174.75648877071</v>
      </c>
      <c r="CR44" s="70">
        <f t="shared" si="35"/>
        <v>860045.14596765721</v>
      </c>
      <c r="CS44" s="70">
        <f t="shared" si="35"/>
        <v>868007.73640541569</v>
      </c>
      <c r="CT44" s="70">
        <f t="shared" si="35"/>
        <v>876063.60792861937</v>
      </c>
      <c r="CU44" s="70">
        <f t="shared" si="35"/>
        <v>884213.85331743443</v>
      </c>
      <c r="CV44" s="70">
        <f t="shared" si="35"/>
        <v>892459.57815385587</v>
      </c>
      <c r="CW44" s="70">
        <f t="shared" si="35"/>
        <v>900801.90097167995</v>
      </c>
      <c r="CX44" s="70">
        <f t="shared" si="35"/>
        <v>908982.51703663822</v>
      </c>
      <c r="CY44" s="70">
        <f t="shared" si="35"/>
        <v>917258.96833915066</v>
      </c>
      <c r="CZ44" s="70">
        <f t="shared" si="35"/>
        <v>925632.37758106319</v>
      </c>
      <c r="DA44" s="70">
        <f t="shared" si="35"/>
        <v>934103.88061658072</v>
      </c>
      <c r="DB44" s="70">
        <f t="shared" si="35"/>
        <v>942674.62660634564</v>
      </c>
      <c r="DC44" s="70">
        <f t="shared" si="35"/>
        <v>951345.77817332186</v>
      </c>
      <c r="DD44" s="70">
        <f t="shared" si="35"/>
        <v>960118.51156050456</v>
      </c>
      <c r="DE44" s="70">
        <f t="shared" si="35"/>
        <v>968994.01679047814</v>
      </c>
      <c r="DF44" s="70">
        <f t="shared" si="35"/>
        <v>977973.49782684259</v>
      </c>
      <c r="DG44" s="70">
        <f t="shared" si="35"/>
        <v>987058.17273753148</v>
      </c>
      <c r="DH44" s="70">
        <f t="shared" si="35"/>
        <v>996249.27386004291</v>
      </c>
      <c r="DI44" s="70">
        <f t="shared" si="35"/>
        <v>1005548.0479686066</v>
      </c>
      <c r="DJ44" s="70">
        <f t="shared" si="35"/>
        <v>1014687.1910061374</v>
      </c>
      <c r="DK44" s="70">
        <f t="shared" si="35"/>
        <v>1023933.3983450716</v>
      </c>
      <c r="DL44" s="70">
        <f t="shared" si="35"/>
        <v>1033287.9242348052</v>
      </c>
      <c r="DM44" s="70">
        <f t="shared" si="35"/>
        <v>1042752.0376181615</v>
      </c>
      <c r="DN44" s="70">
        <f t="shared" si="35"/>
        <v>1052327.0223035242</v>
      </c>
      <c r="DO44" s="70">
        <f t="shared" si="35"/>
        <v>1062014.1771389847</v>
      </c>
      <c r="DP44" s="70">
        <f t="shared" si="35"/>
        <v>1071814.8161885324</v>
      </c>
      <c r="DQ44" s="70">
        <f t="shared" si="35"/>
        <v>1081730.268910307</v>
      </c>
      <c r="DR44" s="70">
        <f t="shared" si="35"/>
        <v>1091761.8803369398</v>
      </c>
      <c r="DS44" s="70">
        <f t="shared" si="35"/>
        <v>1101911.011258008</v>
      </c>
      <c r="DT44" s="70">
        <f t="shared" si="35"/>
        <v>1112179.0384046251</v>
      </c>
      <c r="DU44" s="70">
        <f t="shared" si="35"/>
        <v>1122567.3546361958</v>
      </c>
      <c r="DV44" s="70">
        <f t="shared" si="35"/>
        <v>0</v>
      </c>
    </row>
    <row r="45" spans="2:130" x14ac:dyDescent="0.3">
      <c r="B45" s="71">
        <f>C39</f>
        <v>0.15</v>
      </c>
      <c r="E45" s="65">
        <f>XIRR(F45:DV45,$F$15:$DV$15)</f>
        <v>0.14987403750419617</v>
      </c>
      <c r="F45" s="70">
        <f>-F42+F43</f>
        <v>-181905.12328713818</v>
      </c>
      <c r="G45" s="70">
        <f t="shared" ref="G45:BR45" si="36">-G42+G43</f>
        <v>-912.04528411059755</v>
      </c>
      <c r="H45" s="70">
        <f t="shared" si="36"/>
        <v>-2122.6946050690854</v>
      </c>
      <c r="I45" s="70">
        <f t="shared" si="36"/>
        <v>-4540.1094596298981</v>
      </c>
      <c r="J45" s="70">
        <f t="shared" si="36"/>
        <v>-8923.8947580499243</v>
      </c>
      <c r="K45" s="70">
        <f t="shared" si="36"/>
        <v>-16119.564886071646</v>
      </c>
      <c r="L45" s="70">
        <f t="shared" si="36"/>
        <v>-26758.651753721148</v>
      </c>
      <c r="M45" s="70">
        <f t="shared" si="36"/>
        <v>-36071.436451986388</v>
      </c>
      <c r="N45" s="70">
        <f t="shared" si="36"/>
        <v>-47730.350695688947</v>
      </c>
      <c r="O45" s="70">
        <f t="shared" si="36"/>
        <v>-54912.537578128577</v>
      </c>
      <c r="P45" s="70">
        <f t="shared" si="36"/>
        <v>0</v>
      </c>
      <c r="Q45" s="70">
        <f t="shared" si="36"/>
        <v>0</v>
      </c>
      <c r="R45" s="70">
        <f t="shared" si="36"/>
        <v>0</v>
      </c>
      <c r="S45" s="70">
        <f t="shared" si="36"/>
        <v>0</v>
      </c>
      <c r="T45" s="70">
        <f t="shared" si="36"/>
        <v>0</v>
      </c>
      <c r="U45" s="70">
        <f t="shared" si="36"/>
        <v>0</v>
      </c>
      <c r="V45" s="70">
        <f t="shared" si="36"/>
        <v>0</v>
      </c>
      <c r="W45" s="70">
        <f t="shared" si="36"/>
        <v>0</v>
      </c>
      <c r="X45" s="70">
        <f t="shared" si="36"/>
        <v>0</v>
      </c>
      <c r="Y45" s="70">
        <f t="shared" si="36"/>
        <v>0</v>
      </c>
      <c r="Z45" s="70">
        <f t="shared" si="36"/>
        <v>0</v>
      </c>
      <c r="AA45" s="70">
        <f t="shared" si="36"/>
        <v>0</v>
      </c>
      <c r="AB45" s="70">
        <f t="shared" si="36"/>
        <v>0</v>
      </c>
      <c r="AC45" s="70">
        <f t="shared" si="36"/>
        <v>0</v>
      </c>
      <c r="AD45" s="70">
        <f t="shared" si="36"/>
        <v>0</v>
      </c>
      <c r="AE45" s="70">
        <f t="shared" si="36"/>
        <v>0</v>
      </c>
      <c r="AF45" s="70">
        <f t="shared" si="36"/>
        <v>0</v>
      </c>
      <c r="AG45" s="70">
        <f t="shared" si="36"/>
        <v>0</v>
      </c>
      <c r="AH45" s="70">
        <f t="shared" si="36"/>
        <v>0</v>
      </c>
      <c r="AI45" s="70">
        <f t="shared" si="36"/>
        <v>0</v>
      </c>
      <c r="AJ45" s="70">
        <f t="shared" si="36"/>
        <v>3750.9776869732491</v>
      </c>
      <c r="AK45" s="70">
        <f t="shared" si="36"/>
        <v>2135.3550117950435</v>
      </c>
      <c r="AL45" s="70">
        <f t="shared" si="36"/>
        <v>2135.3550117950435</v>
      </c>
      <c r="AM45" s="70">
        <f t="shared" si="36"/>
        <v>2135.3550117950435</v>
      </c>
      <c r="AN45" s="70">
        <f t="shared" si="36"/>
        <v>2135.3550117950435</v>
      </c>
      <c r="AO45" s="70">
        <f t="shared" si="36"/>
        <v>2135.3550117950435</v>
      </c>
      <c r="AP45" s="70">
        <f t="shared" si="36"/>
        <v>2195.7420433820471</v>
      </c>
      <c r="AQ45" s="70">
        <f t="shared" si="36"/>
        <v>2195.7420433820471</v>
      </c>
      <c r="AR45" s="70">
        <f t="shared" si="36"/>
        <v>2195.7420433820471</v>
      </c>
      <c r="AS45" s="70">
        <f t="shared" si="36"/>
        <v>2195.7420433820471</v>
      </c>
      <c r="AT45" s="70">
        <f t="shared" si="36"/>
        <v>2195.7420433820471</v>
      </c>
      <c r="AU45" s="70">
        <f t="shared" si="36"/>
        <v>2195.7420433820471</v>
      </c>
      <c r="AV45" s="70">
        <f t="shared" si="36"/>
        <v>2195.7420433820471</v>
      </c>
      <c r="AW45" s="70">
        <f t="shared" si="36"/>
        <v>2195.7420433820471</v>
      </c>
      <c r="AX45" s="70">
        <f t="shared" si="36"/>
        <v>2195.7420433820471</v>
      </c>
      <c r="AY45" s="70">
        <f t="shared" si="36"/>
        <v>2195.7420433820471</v>
      </c>
      <c r="AZ45" s="70">
        <f t="shared" si="36"/>
        <v>2195.7420433820471</v>
      </c>
      <c r="BA45" s="70">
        <f t="shared" si="36"/>
        <v>2195.7420433820471</v>
      </c>
      <c r="BB45" s="70">
        <f t="shared" si="36"/>
        <v>2421.4887520277284</v>
      </c>
      <c r="BC45" s="70">
        <f t="shared" si="36"/>
        <v>2421.4887520277284</v>
      </c>
      <c r="BD45" s="70">
        <f t="shared" si="36"/>
        <v>2421.4887520277284</v>
      </c>
      <c r="BE45" s="70">
        <f t="shared" si="36"/>
        <v>2421.4887520277284</v>
      </c>
      <c r="BF45" s="70">
        <f t="shared" si="36"/>
        <v>2421.4887520277284</v>
      </c>
      <c r="BG45" s="70">
        <f t="shared" si="36"/>
        <v>2421.4887520277284</v>
      </c>
      <c r="BH45" s="70">
        <f t="shared" si="36"/>
        <v>2421.4887520277284</v>
      </c>
      <c r="BI45" s="70">
        <f t="shared" si="36"/>
        <v>1386.3617867963922</v>
      </c>
      <c r="BJ45" s="70">
        <f t="shared" si="36"/>
        <v>1386.3617867963922</v>
      </c>
      <c r="BK45" s="70">
        <f t="shared" si="36"/>
        <v>1386.3617867963922</v>
      </c>
      <c r="BL45" s="70">
        <f t="shared" si="36"/>
        <v>1386.3617867963922</v>
      </c>
      <c r="BM45" s="70">
        <f t="shared" si="36"/>
        <v>1386.3617867963922</v>
      </c>
      <c r="BN45" s="70">
        <f t="shared" si="36"/>
        <v>1620.1243690202225</v>
      </c>
      <c r="BO45" s="70">
        <f t="shared" si="36"/>
        <v>1620.1243690202225</v>
      </c>
      <c r="BP45" s="70">
        <f t="shared" si="36"/>
        <v>1620.1243690202225</v>
      </c>
      <c r="BQ45" s="70">
        <f t="shared" si="36"/>
        <v>1620.1243690202225</v>
      </c>
      <c r="BR45" s="70">
        <f t="shared" si="36"/>
        <v>1620.1243690202225</v>
      </c>
      <c r="BS45" s="70">
        <f t="shared" ref="BS45:DV45" si="37">-BS42+BS43</f>
        <v>1620.1243690202225</v>
      </c>
      <c r="BT45" s="70">
        <f t="shared" si="37"/>
        <v>1620.1243690202225</v>
      </c>
      <c r="BU45" s="70">
        <f t="shared" si="37"/>
        <v>1620.1243690202225</v>
      </c>
      <c r="BV45" s="70">
        <f t="shared" si="37"/>
        <v>1620.1243690202225</v>
      </c>
      <c r="BW45" s="70">
        <f t="shared" si="37"/>
        <v>1620.1243690202225</v>
      </c>
      <c r="BX45" s="70">
        <f t="shared" si="37"/>
        <v>1620.1243690202225</v>
      </c>
      <c r="BY45" s="70">
        <f t="shared" si="37"/>
        <v>1620.1243690202225</v>
      </c>
      <c r="BZ45" s="70">
        <f t="shared" si="37"/>
        <v>1862.168170475918</v>
      </c>
      <c r="CA45" s="70">
        <f t="shared" si="37"/>
        <v>1862.168170475918</v>
      </c>
      <c r="CB45" s="70">
        <f t="shared" si="37"/>
        <v>1862.168170475918</v>
      </c>
      <c r="CC45" s="70">
        <f t="shared" si="37"/>
        <v>1862.168170475918</v>
      </c>
      <c r="CD45" s="70">
        <f t="shared" si="37"/>
        <v>1862.168170475918</v>
      </c>
      <c r="CE45" s="70">
        <f t="shared" si="37"/>
        <v>1862.168170475918</v>
      </c>
      <c r="CF45" s="70">
        <f t="shared" si="37"/>
        <v>1862.168170475918</v>
      </c>
      <c r="CG45" s="70">
        <f t="shared" si="37"/>
        <v>1862.168170475918</v>
      </c>
      <c r="CH45" s="70">
        <f t="shared" si="37"/>
        <v>1862.168170475918</v>
      </c>
      <c r="CI45" s="70">
        <f t="shared" si="37"/>
        <v>1862.168170475918</v>
      </c>
      <c r="CJ45" s="70">
        <f t="shared" si="37"/>
        <v>1862.168170475918</v>
      </c>
      <c r="CK45" s="70">
        <f t="shared" si="37"/>
        <v>1862.168170475918</v>
      </c>
      <c r="CL45" s="70">
        <f t="shared" si="37"/>
        <v>2112.7669945757439</v>
      </c>
      <c r="CM45" s="70">
        <f t="shared" si="37"/>
        <v>2112.7669945757439</v>
      </c>
      <c r="CN45" s="70">
        <f t="shared" si="37"/>
        <v>2112.7669945757439</v>
      </c>
      <c r="CO45" s="70">
        <f t="shared" si="37"/>
        <v>2112.7669945757439</v>
      </c>
      <c r="CP45" s="70">
        <f t="shared" si="37"/>
        <v>2112.7669945757439</v>
      </c>
      <c r="CQ45" s="70">
        <f t="shared" si="37"/>
        <v>2112.7669945757439</v>
      </c>
      <c r="CR45" s="70">
        <f t="shared" si="37"/>
        <v>2112.7669945757439</v>
      </c>
      <c r="CS45" s="70">
        <f t="shared" si="37"/>
        <v>2112.7669945757439</v>
      </c>
      <c r="CT45" s="70">
        <f t="shared" si="37"/>
        <v>2112.7669945757439</v>
      </c>
      <c r="CU45" s="70">
        <f t="shared" si="37"/>
        <v>2112.7669945757439</v>
      </c>
      <c r="CV45" s="70">
        <f t="shared" si="37"/>
        <v>2112.7669945757439</v>
      </c>
      <c r="CW45" s="70">
        <f t="shared" si="37"/>
        <v>2112.7669945757439</v>
      </c>
      <c r="CX45" s="70">
        <f t="shared" si="37"/>
        <v>2372.2033661710238</v>
      </c>
      <c r="CY45" s="70">
        <f t="shared" si="37"/>
        <v>2372.2033661710238</v>
      </c>
      <c r="CZ45" s="70">
        <f t="shared" si="37"/>
        <v>2372.2033661710238</v>
      </c>
      <c r="DA45" s="70">
        <f t="shared" si="37"/>
        <v>2372.2033661710238</v>
      </c>
      <c r="DB45" s="70">
        <f t="shared" si="37"/>
        <v>2372.2033661710238</v>
      </c>
      <c r="DC45" s="70">
        <f t="shared" si="37"/>
        <v>2372.2033661710238</v>
      </c>
      <c r="DD45" s="70">
        <f t="shared" si="37"/>
        <v>2372.2033661710238</v>
      </c>
      <c r="DE45" s="70">
        <f t="shared" si="37"/>
        <v>2372.2033661710238</v>
      </c>
      <c r="DF45" s="70">
        <f t="shared" si="37"/>
        <v>2372.2033661710238</v>
      </c>
      <c r="DG45" s="70">
        <f t="shared" si="37"/>
        <v>2372.2033661710238</v>
      </c>
      <c r="DH45" s="70">
        <f t="shared" si="37"/>
        <v>2372.2033661710238</v>
      </c>
      <c r="DI45" s="70">
        <f t="shared" si="37"/>
        <v>2372.2033661710238</v>
      </c>
      <c r="DJ45" s="70">
        <f t="shared" si="37"/>
        <v>2640.7688033420845</v>
      </c>
      <c r="DK45" s="70">
        <f t="shared" si="37"/>
        <v>2640.7688033420845</v>
      </c>
      <c r="DL45" s="70">
        <f t="shared" si="37"/>
        <v>2640.7688033420845</v>
      </c>
      <c r="DM45" s="70">
        <f t="shared" si="37"/>
        <v>2640.7688033420845</v>
      </c>
      <c r="DN45" s="70">
        <f t="shared" si="37"/>
        <v>2640.7688033420845</v>
      </c>
      <c r="DO45" s="70">
        <f t="shared" si="37"/>
        <v>2640.7688033420845</v>
      </c>
      <c r="DP45" s="70">
        <f t="shared" si="37"/>
        <v>2640.7688033420845</v>
      </c>
      <c r="DQ45" s="70">
        <f t="shared" si="37"/>
        <v>2640.7688033420845</v>
      </c>
      <c r="DR45" s="70">
        <f t="shared" si="37"/>
        <v>2640.7688033420845</v>
      </c>
      <c r="DS45" s="70">
        <f t="shared" si="37"/>
        <v>2640.7688033420845</v>
      </c>
      <c r="DT45" s="70">
        <f t="shared" si="37"/>
        <v>2640.7688033420845</v>
      </c>
      <c r="DU45" s="70">
        <f t="shared" si="37"/>
        <v>2640.7688033420845</v>
      </c>
      <c r="DV45" s="70">
        <f t="shared" si="37"/>
        <v>1135718.1379326985</v>
      </c>
    </row>
    <row r="46" spans="2:130" x14ac:dyDescent="0.3">
      <c r="B46" s="24"/>
      <c r="C46" s="24"/>
      <c r="D46" s="24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</row>
    <row r="47" spans="2:130" x14ac:dyDescent="0.3">
      <c r="B47" t="s">
        <v>82</v>
      </c>
      <c r="F47" s="70">
        <f>+F43</f>
        <v>0</v>
      </c>
      <c r="G47" s="70">
        <f t="shared" ref="G47:BR47" si="38">+G43</f>
        <v>0</v>
      </c>
      <c r="H47" s="70">
        <f t="shared" si="38"/>
        <v>0</v>
      </c>
      <c r="I47" s="70">
        <f t="shared" si="38"/>
        <v>0</v>
      </c>
      <c r="J47" s="70">
        <f t="shared" si="38"/>
        <v>0</v>
      </c>
      <c r="K47" s="70">
        <f t="shared" si="38"/>
        <v>0</v>
      </c>
      <c r="L47" s="70">
        <f t="shared" si="38"/>
        <v>0</v>
      </c>
      <c r="M47" s="70">
        <f t="shared" si="38"/>
        <v>0</v>
      </c>
      <c r="N47" s="70">
        <f t="shared" si="38"/>
        <v>0</v>
      </c>
      <c r="O47" s="70">
        <f t="shared" si="38"/>
        <v>0</v>
      </c>
      <c r="P47" s="70">
        <f t="shared" si="38"/>
        <v>0</v>
      </c>
      <c r="Q47" s="70">
        <f t="shared" si="38"/>
        <v>0</v>
      </c>
      <c r="R47" s="70">
        <f t="shared" si="38"/>
        <v>0</v>
      </c>
      <c r="S47" s="70">
        <f t="shared" si="38"/>
        <v>0</v>
      </c>
      <c r="T47" s="70">
        <f t="shared" si="38"/>
        <v>0</v>
      </c>
      <c r="U47" s="70">
        <f t="shared" si="38"/>
        <v>0</v>
      </c>
      <c r="V47" s="70">
        <f t="shared" si="38"/>
        <v>0</v>
      </c>
      <c r="W47" s="70">
        <f t="shared" si="38"/>
        <v>0</v>
      </c>
      <c r="X47" s="70">
        <f t="shared" si="38"/>
        <v>0</v>
      </c>
      <c r="Y47" s="70">
        <f t="shared" si="38"/>
        <v>0</v>
      </c>
      <c r="Z47" s="70">
        <f t="shared" si="38"/>
        <v>0</v>
      </c>
      <c r="AA47" s="70">
        <f t="shared" si="38"/>
        <v>0</v>
      </c>
      <c r="AB47" s="70">
        <f t="shared" si="38"/>
        <v>0</v>
      </c>
      <c r="AC47" s="70">
        <f t="shared" si="38"/>
        <v>0</v>
      </c>
      <c r="AD47" s="70">
        <f t="shared" si="38"/>
        <v>0</v>
      </c>
      <c r="AE47" s="70">
        <f t="shared" si="38"/>
        <v>0</v>
      </c>
      <c r="AF47" s="70">
        <f t="shared" si="38"/>
        <v>0</v>
      </c>
      <c r="AG47" s="70">
        <f t="shared" si="38"/>
        <v>0</v>
      </c>
      <c r="AH47" s="70">
        <f t="shared" si="38"/>
        <v>0</v>
      </c>
      <c r="AI47" s="70">
        <f t="shared" si="38"/>
        <v>0</v>
      </c>
      <c r="AJ47" s="70">
        <f t="shared" si="38"/>
        <v>3750.9776869732491</v>
      </c>
      <c r="AK47" s="70">
        <f t="shared" si="38"/>
        <v>2135.3550117950435</v>
      </c>
      <c r="AL47" s="70">
        <f t="shared" si="38"/>
        <v>2135.3550117950435</v>
      </c>
      <c r="AM47" s="70">
        <f t="shared" si="38"/>
        <v>2135.3550117950435</v>
      </c>
      <c r="AN47" s="70">
        <f t="shared" si="38"/>
        <v>2135.3550117950435</v>
      </c>
      <c r="AO47" s="70">
        <f t="shared" si="38"/>
        <v>2135.3550117950435</v>
      </c>
      <c r="AP47" s="70">
        <f t="shared" si="38"/>
        <v>2195.7420433820471</v>
      </c>
      <c r="AQ47" s="70">
        <f t="shared" si="38"/>
        <v>2195.7420433820471</v>
      </c>
      <c r="AR47" s="70">
        <f t="shared" si="38"/>
        <v>2195.7420433820471</v>
      </c>
      <c r="AS47" s="70">
        <f t="shared" si="38"/>
        <v>2195.7420433820471</v>
      </c>
      <c r="AT47" s="70">
        <f t="shared" si="38"/>
        <v>2195.7420433820471</v>
      </c>
      <c r="AU47" s="70">
        <f t="shared" si="38"/>
        <v>2195.7420433820471</v>
      </c>
      <c r="AV47" s="70">
        <f t="shared" si="38"/>
        <v>2195.7420433820471</v>
      </c>
      <c r="AW47" s="70">
        <f t="shared" si="38"/>
        <v>2195.7420433820471</v>
      </c>
      <c r="AX47" s="70">
        <f t="shared" si="38"/>
        <v>2195.7420433820471</v>
      </c>
      <c r="AY47" s="70">
        <f t="shared" si="38"/>
        <v>2195.7420433820471</v>
      </c>
      <c r="AZ47" s="70">
        <f t="shared" si="38"/>
        <v>2195.7420433820471</v>
      </c>
      <c r="BA47" s="70">
        <f t="shared" si="38"/>
        <v>2195.7420433820471</v>
      </c>
      <c r="BB47" s="70">
        <f t="shared" si="38"/>
        <v>2421.4887520277284</v>
      </c>
      <c r="BC47" s="70">
        <f t="shared" si="38"/>
        <v>2421.4887520277284</v>
      </c>
      <c r="BD47" s="70">
        <f t="shared" si="38"/>
        <v>2421.4887520277284</v>
      </c>
      <c r="BE47" s="70">
        <f t="shared" si="38"/>
        <v>2421.4887520277284</v>
      </c>
      <c r="BF47" s="70">
        <f t="shared" si="38"/>
        <v>2421.4887520277284</v>
      </c>
      <c r="BG47" s="70">
        <f t="shared" si="38"/>
        <v>2421.4887520277284</v>
      </c>
      <c r="BH47" s="70">
        <f t="shared" si="38"/>
        <v>2421.4887520277284</v>
      </c>
      <c r="BI47" s="70">
        <f t="shared" si="38"/>
        <v>1386.3617867963922</v>
      </c>
      <c r="BJ47" s="70">
        <f t="shared" si="38"/>
        <v>1386.3617867963922</v>
      </c>
      <c r="BK47" s="70">
        <f t="shared" si="38"/>
        <v>1386.3617867963922</v>
      </c>
      <c r="BL47" s="70">
        <f t="shared" si="38"/>
        <v>1386.3617867963922</v>
      </c>
      <c r="BM47" s="70">
        <f t="shared" si="38"/>
        <v>1386.3617867963922</v>
      </c>
      <c r="BN47" s="70">
        <f t="shared" si="38"/>
        <v>1620.1243690202225</v>
      </c>
      <c r="BO47" s="70">
        <f t="shared" si="38"/>
        <v>1620.1243690202225</v>
      </c>
      <c r="BP47" s="70">
        <f t="shared" si="38"/>
        <v>1620.1243690202225</v>
      </c>
      <c r="BQ47" s="70">
        <f t="shared" si="38"/>
        <v>1620.1243690202225</v>
      </c>
      <c r="BR47" s="70">
        <f t="shared" si="38"/>
        <v>1620.1243690202225</v>
      </c>
      <c r="BS47" s="70">
        <f t="shared" ref="BS47:DV47" si="39">+BS43</f>
        <v>1620.1243690202225</v>
      </c>
      <c r="BT47" s="70">
        <f t="shared" si="39"/>
        <v>1620.1243690202225</v>
      </c>
      <c r="BU47" s="70">
        <f t="shared" si="39"/>
        <v>1620.1243690202225</v>
      </c>
      <c r="BV47" s="70">
        <f t="shared" si="39"/>
        <v>1620.1243690202225</v>
      </c>
      <c r="BW47" s="70">
        <f t="shared" si="39"/>
        <v>1620.1243690202225</v>
      </c>
      <c r="BX47" s="70">
        <f t="shared" si="39"/>
        <v>1620.1243690202225</v>
      </c>
      <c r="BY47" s="70">
        <f t="shared" si="39"/>
        <v>1620.1243690202225</v>
      </c>
      <c r="BZ47" s="70">
        <f t="shared" si="39"/>
        <v>1862.168170475918</v>
      </c>
      <c r="CA47" s="70">
        <f t="shared" si="39"/>
        <v>1862.168170475918</v>
      </c>
      <c r="CB47" s="70">
        <f t="shared" si="39"/>
        <v>1862.168170475918</v>
      </c>
      <c r="CC47" s="70">
        <f t="shared" si="39"/>
        <v>1862.168170475918</v>
      </c>
      <c r="CD47" s="70">
        <f t="shared" si="39"/>
        <v>1862.168170475918</v>
      </c>
      <c r="CE47" s="70">
        <f t="shared" si="39"/>
        <v>1862.168170475918</v>
      </c>
      <c r="CF47" s="70">
        <f t="shared" si="39"/>
        <v>1862.168170475918</v>
      </c>
      <c r="CG47" s="70">
        <f t="shared" si="39"/>
        <v>1862.168170475918</v>
      </c>
      <c r="CH47" s="70">
        <f t="shared" si="39"/>
        <v>1862.168170475918</v>
      </c>
      <c r="CI47" s="70">
        <f t="shared" si="39"/>
        <v>1862.168170475918</v>
      </c>
      <c r="CJ47" s="70">
        <f t="shared" si="39"/>
        <v>1862.168170475918</v>
      </c>
      <c r="CK47" s="70">
        <f t="shared" si="39"/>
        <v>1862.168170475918</v>
      </c>
      <c r="CL47" s="70">
        <f t="shared" si="39"/>
        <v>2112.7669945757439</v>
      </c>
      <c r="CM47" s="70">
        <f t="shared" si="39"/>
        <v>2112.7669945757439</v>
      </c>
      <c r="CN47" s="70">
        <f t="shared" si="39"/>
        <v>2112.7669945757439</v>
      </c>
      <c r="CO47" s="70">
        <f t="shared" si="39"/>
        <v>2112.7669945757439</v>
      </c>
      <c r="CP47" s="70">
        <f t="shared" si="39"/>
        <v>2112.7669945757439</v>
      </c>
      <c r="CQ47" s="70">
        <f t="shared" si="39"/>
        <v>2112.7669945757439</v>
      </c>
      <c r="CR47" s="70">
        <f t="shared" si="39"/>
        <v>2112.7669945757439</v>
      </c>
      <c r="CS47" s="70">
        <f t="shared" si="39"/>
        <v>2112.7669945757439</v>
      </c>
      <c r="CT47" s="70">
        <f t="shared" si="39"/>
        <v>2112.7669945757439</v>
      </c>
      <c r="CU47" s="70">
        <f t="shared" si="39"/>
        <v>2112.7669945757439</v>
      </c>
      <c r="CV47" s="70">
        <f t="shared" si="39"/>
        <v>2112.7669945757439</v>
      </c>
      <c r="CW47" s="70">
        <f t="shared" si="39"/>
        <v>2112.7669945757439</v>
      </c>
      <c r="CX47" s="70">
        <f t="shared" si="39"/>
        <v>2372.2033661710238</v>
      </c>
      <c r="CY47" s="70">
        <f t="shared" si="39"/>
        <v>2372.2033661710238</v>
      </c>
      <c r="CZ47" s="70">
        <f t="shared" si="39"/>
        <v>2372.2033661710238</v>
      </c>
      <c r="DA47" s="70">
        <f t="shared" si="39"/>
        <v>2372.2033661710238</v>
      </c>
      <c r="DB47" s="70">
        <f t="shared" si="39"/>
        <v>2372.2033661710238</v>
      </c>
      <c r="DC47" s="70">
        <f t="shared" si="39"/>
        <v>2372.2033661710238</v>
      </c>
      <c r="DD47" s="70">
        <f t="shared" si="39"/>
        <v>2372.2033661710238</v>
      </c>
      <c r="DE47" s="70">
        <f t="shared" si="39"/>
        <v>2372.2033661710238</v>
      </c>
      <c r="DF47" s="70">
        <f t="shared" si="39"/>
        <v>2372.2033661710238</v>
      </c>
      <c r="DG47" s="70">
        <f t="shared" si="39"/>
        <v>2372.2033661710238</v>
      </c>
      <c r="DH47" s="70">
        <f t="shared" si="39"/>
        <v>2372.2033661710238</v>
      </c>
      <c r="DI47" s="70">
        <f t="shared" si="39"/>
        <v>2372.2033661710238</v>
      </c>
      <c r="DJ47" s="70">
        <f t="shared" si="39"/>
        <v>2640.7688033420845</v>
      </c>
      <c r="DK47" s="70">
        <f t="shared" si="39"/>
        <v>2640.7688033420845</v>
      </c>
      <c r="DL47" s="70">
        <f t="shared" si="39"/>
        <v>2640.7688033420845</v>
      </c>
      <c r="DM47" s="70">
        <f t="shared" si="39"/>
        <v>2640.7688033420845</v>
      </c>
      <c r="DN47" s="70">
        <f t="shared" si="39"/>
        <v>2640.7688033420845</v>
      </c>
      <c r="DO47" s="70">
        <f t="shared" si="39"/>
        <v>2640.7688033420845</v>
      </c>
      <c r="DP47" s="70">
        <f t="shared" si="39"/>
        <v>2640.7688033420845</v>
      </c>
      <c r="DQ47" s="70">
        <f t="shared" si="39"/>
        <v>2640.7688033420845</v>
      </c>
      <c r="DR47" s="70">
        <f t="shared" si="39"/>
        <v>2640.7688033420845</v>
      </c>
      <c r="DS47" s="70">
        <f t="shared" si="39"/>
        <v>2640.7688033420845</v>
      </c>
      <c r="DT47" s="70">
        <f t="shared" si="39"/>
        <v>2640.7688033420845</v>
      </c>
      <c r="DU47" s="70">
        <f t="shared" si="39"/>
        <v>2640.7688033420845</v>
      </c>
      <c r="DV47" s="70">
        <f t="shared" si="39"/>
        <v>1135718.1379326985</v>
      </c>
    </row>
    <row r="48" spans="2:130" x14ac:dyDescent="0.3">
      <c r="B48" t="s">
        <v>67</v>
      </c>
      <c r="F48" s="70">
        <f>F47/$I$10*$H$10</f>
        <v>0</v>
      </c>
      <c r="G48" s="70">
        <f t="shared" ref="G48:BR48" si="40">G47/$I$10*$H$10</f>
        <v>0</v>
      </c>
      <c r="H48" s="70">
        <f t="shared" si="40"/>
        <v>0</v>
      </c>
      <c r="I48" s="70">
        <f t="shared" si="40"/>
        <v>0</v>
      </c>
      <c r="J48" s="70">
        <f t="shared" si="40"/>
        <v>0</v>
      </c>
      <c r="K48" s="70">
        <f t="shared" si="40"/>
        <v>0</v>
      </c>
      <c r="L48" s="70">
        <f t="shared" si="40"/>
        <v>0</v>
      </c>
      <c r="M48" s="70">
        <f t="shared" si="40"/>
        <v>0</v>
      </c>
      <c r="N48" s="70">
        <f t="shared" si="40"/>
        <v>0</v>
      </c>
      <c r="O48" s="70">
        <f t="shared" si="40"/>
        <v>0</v>
      </c>
      <c r="P48" s="70">
        <f t="shared" si="40"/>
        <v>0</v>
      </c>
      <c r="Q48" s="70">
        <f t="shared" si="40"/>
        <v>0</v>
      </c>
      <c r="R48" s="70">
        <f t="shared" si="40"/>
        <v>0</v>
      </c>
      <c r="S48" s="70">
        <f t="shared" si="40"/>
        <v>0</v>
      </c>
      <c r="T48" s="70">
        <f t="shared" si="40"/>
        <v>0</v>
      </c>
      <c r="U48" s="70">
        <f t="shared" si="40"/>
        <v>0</v>
      </c>
      <c r="V48" s="70">
        <f t="shared" si="40"/>
        <v>0</v>
      </c>
      <c r="W48" s="70">
        <f t="shared" si="40"/>
        <v>0</v>
      </c>
      <c r="X48" s="70">
        <f t="shared" si="40"/>
        <v>0</v>
      </c>
      <c r="Y48" s="70">
        <f t="shared" si="40"/>
        <v>0</v>
      </c>
      <c r="Z48" s="70">
        <f t="shared" si="40"/>
        <v>0</v>
      </c>
      <c r="AA48" s="70">
        <f t="shared" si="40"/>
        <v>0</v>
      </c>
      <c r="AB48" s="70">
        <f t="shared" si="40"/>
        <v>0</v>
      </c>
      <c r="AC48" s="70">
        <f t="shared" si="40"/>
        <v>0</v>
      </c>
      <c r="AD48" s="70">
        <f t="shared" si="40"/>
        <v>0</v>
      </c>
      <c r="AE48" s="70">
        <f t="shared" si="40"/>
        <v>0</v>
      </c>
      <c r="AF48" s="70">
        <f t="shared" si="40"/>
        <v>0</v>
      </c>
      <c r="AG48" s="70">
        <f t="shared" si="40"/>
        <v>0</v>
      </c>
      <c r="AH48" s="70">
        <f t="shared" si="40"/>
        <v>0</v>
      </c>
      <c r="AI48" s="70">
        <f t="shared" si="40"/>
        <v>0</v>
      </c>
      <c r="AJ48" s="70">
        <f t="shared" si="40"/>
        <v>197.41987826174997</v>
      </c>
      <c r="AK48" s="70">
        <f t="shared" si="40"/>
        <v>112.38710588394969</v>
      </c>
      <c r="AL48" s="70">
        <f t="shared" si="40"/>
        <v>112.38710588394969</v>
      </c>
      <c r="AM48" s="70">
        <f t="shared" si="40"/>
        <v>112.38710588394969</v>
      </c>
      <c r="AN48" s="70">
        <f t="shared" si="40"/>
        <v>112.38710588394969</v>
      </c>
      <c r="AO48" s="70">
        <f t="shared" si="40"/>
        <v>112.38710588394969</v>
      </c>
      <c r="AP48" s="70">
        <f t="shared" si="40"/>
        <v>115.56537070431828</v>
      </c>
      <c r="AQ48" s="70">
        <f t="shared" si="40"/>
        <v>115.56537070431828</v>
      </c>
      <c r="AR48" s="70">
        <f t="shared" si="40"/>
        <v>115.56537070431828</v>
      </c>
      <c r="AS48" s="70">
        <f t="shared" si="40"/>
        <v>115.56537070431828</v>
      </c>
      <c r="AT48" s="70">
        <f t="shared" si="40"/>
        <v>115.56537070431828</v>
      </c>
      <c r="AU48" s="70">
        <f t="shared" si="40"/>
        <v>115.56537070431828</v>
      </c>
      <c r="AV48" s="70">
        <f t="shared" si="40"/>
        <v>115.56537070431828</v>
      </c>
      <c r="AW48" s="70">
        <f t="shared" si="40"/>
        <v>115.56537070431828</v>
      </c>
      <c r="AX48" s="70">
        <f t="shared" si="40"/>
        <v>115.56537070431828</v>
      </c>
      <c r="AY48" s="70">
        <f t="shared" si="40"/>
        <v>115.56537070431828</v>
      </c>
      <c r="AZ48" s="70">
        <f t="shared" si="40"/>
        <v>115.56537070431828</v>
      </c>
      <c r="BA48" s="70">
        <f t="shared" si="40"/>
        <v>115.56537070431828</v>
      </c>
      <c r="BB48" s="70">
        <f t="shared" si="40"/>
        <v>127.44677642251204</v>
      </c>
      <c r="BC48" s="70">
        <f t="shared" si="40"/>
        <v>127.44677642251204</v>
      </c>
      <c r="BD48" s="70">
        <f t="shared" si="40"/>
        <v>127.44677642251204</v>
      </c>
      <c r="BE48" s="70">
        <f t="shared" si="40"/>
        <v>127.44677642251204</v>
      </c>
      <c r="BF48" s="70">
        <f t="shared" si="40"/>
        <v>127.44677642251204</v>
      </c>
      <c r="BG48" s="70">
        <f t="shared" si="40"/>
        <v>127.44677642251204</v>
      </c>
      <c r="BH48" s="70">
        <f t="shared" si="40"/>
        <v>127.44677642251204</v>
      </c>
      <c r="BI48" s="70">
        <f t="shared" si="40"/>
        <v>72.966409831389072</v>
      </c>
      <c r="BJ48" s="70">
        <f t="shared" si="40"/>
        <v>72.966409831389072</v>
      </c>
      <c r="BK48" s="70">
        <f t="shared" si="40"/>
        <v>72.966409831389072</v>
      </c>
      <c r="BL48" s="70">
        <f t="shared" si="40"/>
        <v>72.966409831389072</v>
      </c>
      <c r="BM48" s="70">
        <f t="shared" si="40"/>
        <v>72.966409831389072</v>
      </c>
      <c r="BN48" s="70">
        <f t="shared" si="40"/>
        <v>85.269703632643299</v>
      </c>
      <c r="BO48" s="70">
        <f t="shared" si="40"/>
        <v>85.269703632643299</v>
      </c>
      <c r="BP48" s="70">
        <f t="shared" si="40"/>
        <v>85.269703632643299</v>
      </c>
      <c r="BQ48" s="70">
        <f t="shared" si="40"/>
        <v>85.269703632643299</v>
      </c>
      <c r="BR48" s="70">
        <f t="shared" si="40"/>
        <v>85.269703632643299</v>
      </c>
      <c r="BS48" s="70">
        <f t="shared" ref="BS48:DV48" si="41">BS47/$I$10*$H$10</f>
        <v>85.269703632643299</v>
      </c>
      <c r="BT48" s="70">
        <f t="shared" si="41"/>
        <v>85.269703632643299</v>
      </c>
      <c r="BU48" s="70">
        <f t="shared" si="41"/>
        <v>85.269703632643299</v>
      </c>
      <c r="BV48" s="70">
        <f t="shared" si="41"/>
        <v>85.269703632643299</v>
      </c>
      <c r="BW48" s="70">
        <f t="shared" si="41"/>
        <v>85.269703632643299</v>
      </c>
      <c r="BX48" s="70">
        <f t="shared" si="41"/>
        <v>85.269703632643299</v>
      </c>
      <c r="BY48" s="70">
        <f t="shared" si="41"/>
        <v>85.269703632643299</v>
      </c>
      <c r="BZ48" s="70">
        <f t="shared" si="41"/>
        <v>98.008851077679907</v>
      </c>
      <c r="CA48" s="70">
        <f t="shared" si="41"/>
        <v>98.008851077679907</v>
      </c>
      <c r="CB48" s="70">
        <f t="shared" si="41"/>
        <v>98.008851077679907</v>
      </c>
      <c r="CC48" s="70">
        <f t="shared" si="41"/>
        <v>98.008851077679907</v>
      </c>
      <c r="CD48" s="70">
        <f t="shared" si="41"/>
        <v>98.008851077679907</v>
      </c>
      <c r="CE48" s="70">
        <f t="shared" si="41"/>
        <v>98.008851077679907</v>
      </c>
      <c r="CF48" s="70">
        <f t="shared" si="41"/>
        <v>98.008851077679907</v>
      </c>
      <c r="CG48" s="70">
        <f t="shared" si="41"/>
        <v>98.008851077679907</v>
      </c>
      <c r="CH48" s="70">
        <f t="shared" si="41"/>
        <v>98.008851077679907</v>
      </c>
      <c r="CI48" s="70">
        <f t="shared" si="41"/>
        <v>98.008851077679907</v>
      </c>
      <c r="CJ48" s="70">
        <f t="shared" si="41"/>
        <v>98.008851077679907</v>
      </c>
      <c r="CK48" s="70">
        <f t="shared" si="41"/>
        <v>98.008851077679907</v>
      </c>
      <c r="CL48" s="70">
        <f t="shared" si="41"/>
        <v>111.19826287240758</v>
      </c>
      <c r="CM48" s="70">
        <f t="shared" si="41"/>
        <v>111.19826287240758</v>
      </c>
      <c r="CN48" s="70">
        <f t="shared" si="41"/>
        <v>111.19826287240758</v>
      </c>
      <c r="CO48" s="70">
        <f t="shared" si="41"/>
        <v>111.19826287240758</v>
      </c>
      <c r="CP48" s="70">
        <f t="shared" si="41"/>
        <v>111.19826287240758</v>
      </c>
      <c r="CQ48" s="70">
        <f t="shared" si="41"/>
        <v>111.19826287240758</v>
      </c>
      <c r="CR48" s="70">
        <f t="shared" si="41"/>
        <v>111.19826287240758</v>
      </c>
      <c r="CS48" s="70">
        <f t="shared" si="41"/>
        <v>111.19826287240758</v>
      </c>
      <c r="CT48" s="70">
        <f t="shared" si="41"/>
        <v>111.19826287240758</v>
      </c>
      <c r="CU48" s="70">
        <f t="shared" si="41"/>
        <v>111.19826287240758</v>
      </c>
      <c r="CV48" s="70">
        <f t="shared" si="41"/>
        <v>111.19826287240758</v>
      </c>
      <c r="CW48" s="70">
        <f t="shared" si="41"/>
        <v>111.19826287240758</v>
      </c>
      <c r="CX48" s="70">
        <f t="shared" si="41"/>
        <v>124.85280874584338</v>
      </c>
      <c r="CY48" s="70">
        <f t="shared" si="41"/>
        <v>124.85280874584338</v>
      </c>
      <c r="CZ48" s="70">
        <f t="shared" si="41"/>
        <v>124.85280874584338</v>
      </c>
      <c r="DA48" s="70">
        <f t="shared" si="41"/>
        <v>124.85280874584338</v>
      </c>
      <c r="DB48" s="70">
        <f t="shared" si="41"/>
        <v>124.85280874584338</v>
      </c>
      <c r="DC48" s="70">
        <f t="shared" si="41"/>
        <v>124.85280874584338</v>
      </c>
      <c r="DD48" s="70">
        <f t="shared" si="41"/>
        <v>124.85280874584338</v>
      </c>
      <c r="DE48" s="70">
        <f t="shared" si="41"/>
        <v>124.85280874584338</v>
      </c>
      <c r="DF48" s="70">
        <f t="shared" si="41"/>
        <v>124.85280874584338</v>
      </c>
      <c r="DG48" s="70">
        <f t="shared" si="41"/>
        <v>124.85280874584338</v>
      </c>
      <c r="DH48" s="70">
        <f t="shared" si="41"/>
        <v>124.85280874584338</v>
      </c>
      <c r="DI48" s="70">
        <f t="shared" si="41"/>
        <v>124.85280874584338</v>
      </c>
      <c r="DJ48" s="70">
        <f t="shared" si="41"/>
        <v>138.98783175484658</v>
      </c>
      <c r="DK48" s="70">
        <f t="shared" si="41"/>
        <v>138.98783175484658</v>
      </c>
      <c r="DL48" s="70">
        <f t="shared" si="41"/>
        <v>138.98783175484658</v>
      </c>
      <c r="DM48" s="70">
        <f t="shared" si="41"/>
        <v>138.98783175484658</v>
      </c>
      <c r="DN48" s="70">
        <f t="shared" si="41"/>
        <v>138.98783175484658</v>
      </c>
      <c r="DO48" s="70">
        <f t="shared" si="41"/>
        <v>138.98783175484658</v>
      </c>
      <c r="DP48" s="70">
        <f t="shared" si="41"/>
        <v>138.98783175484658</v>
      </c>
      <c r="DQ48" s="70">
        <f t="shared" si="41"/>
        <v>138.98783175484658</v>
      </c>
      <c r="DR48" s="70">
        <f t="shared" si="41"/>
        <v>138.98783175484658</v>
      </c>
      <c r="DS48" s="70">
        <f t="shared" si="41"/>
        <v>138.98783175484658</v>
      </c>
      <c r="DT48" s="70">
        <f t="shared" si="41"/>
        <v>138.98783175484658</v>
      </c>
      <c r="DU48" s="70">
        <f t="shared" si="41"/>
        <v>138.98783175484658</v>
      </c>
      <c r="DV48" s="70">
        <f t="shared" si="41"/>
        <v>59774.638838563085</v>
      </c>
    </row>
    <row r="49" spans="2:126" x14ac:dyDescent="0.3">
      <c r="B49" t="str">
        <f>"Total Distributions ("&amp;B38&amp;")"</f>
        <v>Total Distributions (Hurdle 1)</v>
      </c>
      <c r="F49" s="70">
        <f>SUM(F47:F48)</f>
        <v>0</v>
      </c>
      <c r="G49" s="70">
        <f t="shared" ref="G49:BR49" si="42">SUM(G47:G48)</f>
        <v>0</v>
      </c>
      <c r="H49" s="70">
        <f t="shared" si="42"/>
        <v>0</v>
      </c>
      <c r="I49" s="70">
        <f t="shared" si="42"/>
        <v>0</v>
      </c>
      <c r="J49" s="70">
        <f t="shared" si="42"/>
        <v>0</v>
      </c>
      <c r="K49" s="70">
        <f t="shared" si="42"/>
        <v>0</v>
      </c>
      <c r="L49" s="70">
        <f t="shared" si="42"/>
        <v>0</v>
      </c>
      <c r="M49" s="70">
        <f t="shared" si="42"/>
        <v>0</v>
      </c>
      <c r="N49" s="70">
        <f t="shared" si="42"/>
        <v>0</v>
      </c>
      <c r="O49" s="70">
        <f t="shared" si="42"/>
        <v>0</v>
      </c>
      <c r="P49" s="70">
        <f t="shared" si="42"/>
        <v>0</v>
      </c>
      <c r="Q49" s="70">
        <f t="shared" si="42"/>
        <v>0</v>
      </c>
      <c r="R49" s="70">
        <f t="shared" si="42"/>
        <v>0</v>
      </c>
      <c r="S49" s="70">
        <f t="shared" si="42"/>
        <v>0</v>
      </c>
      <c r="T49" s="70">
        <f t="shared" si="42"/>
        <v>0</v>
      </c>
      <c r="U49" s="70">
        <f t="shared" si="42"/>
        <v>0</v>
      </c>
      <c r="V49" s="70">
        <f t="shared" si="42"/>
        <v>0</v>
      </c>
      <c r="W49" s="70">
        <f t="shared" si="42"/>
        <v>0</v>
      </c>
      <c r="X49" s="70">
        <f t="shared" si="42"/>
        <v>0</v>
      </c>
      <c r="Y49" s="70">
        <f t="shared" si="42"/>
        <v>0</v>
      </c>
      <c r="Z49" s="70">
        <f t="shared" si="42"/>
        <v>0</v>
      </c>
      <c r="AA49" s="70">
        <f t="shared" si="42"/>
        <v>0</v>
      </c>
      <c r="AB49" s="70">
        <f t="shared" si="42"/>
        <v>0</v>
      </c>
      <c r="AC49" s="70">
        <f t="shared" si="42"/>
        <v>0</v>
      </c>
      <c r="AD49" s="70">
        <f t="shared" si="42"/>
        <v>0</v>
      </c>
      <c r="AE49" s="70">
        <f t="shared" si="42"/>
        <v>0</v>
      </c>
      <c r="AF49" s="70">
        <f t="shared" si="42"/>
        <v>0</v>
      </c>
      <c r="AG49" s="70">
        <f t="shared" si="42"/>
        <v>0</v>
      </c>
      <c r="AH49" s="70">
        <f t="shared" si="42"/>
        <v>0</v>
      </c>
      <c r="AI49" s="70">
        <f t="shared" si="42"/>
        <v>0</v>
      </c>
      <c r="AJ49" s="70">
        <f t="shared" si="42"/>
        <v>3948.3975652349991</v>
      </c>
      <c r="AK49" s="70">
        <f t="shared" si="42"/>
        <v>2247.7421176789931</v>
      </c>
      <c r="AL49" s="70">
        <f t="shared" si="42"/>
        <v>2247.7421176789931</v>
      </c>
      <c r="AM49" s="70">
        <f t="shared" si="42"/>
        <v>2247.7421176789931</v>
      </c>
      <c r="AN49" s="70">
        <f t="shared" si="42"/>
        <v>2247.7421176789931</v>
      </c>
      <c r="AO49" s="70">
        <f t="shared" si="42"/>
        <v>2247.7421176789931</v>
      </c>
      <c r="AP49" s="70">
        <f t="shared" si="42"/>
        <v>2311.3074140863655</v>
      </c>
      <c r="AQ49" s="70">
        <f t="shared" si="42"/>
        <v>2311.3074140863655</v>
      </c>
      <c r="AR49" s="70">
        <f t="shared" si="42"/>
        <v>2311.3074140863655</v>
      </c>
      <c r="AS49" s="70">
        <f t="shared" si="42"/>
        <v>2311.3074140863655</v>
      </c>
      <c r="AT49" s="70">
        <f t="shared" si="42"/>
        <v>2311.3074140863655</v>
      </c>
      <c r="AU49" s="70">
        <f t="shared" si="42"/>
        <v>2311.3074140863655</v>
      </c>
      <c r="AV49" s="70">
        <f t="shared" si="42"/>
        <v>2311.3074140863655</v>
      </c>
      <c r="AW49" s="70">
        <f t="shared" si="42"/>
        <v>2311.3074140863655</v>
      </c>
      <c r="AX49" s="70">
        <f t="shared" si="42"/>
        <v>2311.3074140863655</v>
      </c>
      <c r="AY49" s="70">
        <f t="shared" si="42"/>
        <v>2311.3074140863655</v>
      </c>
      <c r="AZ49" s="70">
        <f t="shared" si="42"/>
        <v>2311.3074140863655</v>
      </c>
      <c r="BA49" s="70">
        <f t="shared" si="42"/>
        <v>2311.3074140863655</v>
      </c>
      <c r="BB49" s="70">
        <f t="shared" si="42"/>
        <v>2548.9355284502403</v>
      </c>
      <c r="BC49" s="70">
        <f t="shared" si="42"/>
        <v>2548.9355284502403</v>
      </c>
      <c r="BD49" s="70">
        <f t="shared" si="42"/>
        <v>2548.9355284502403</v>
      </c>
      <c r="BE49" s="70">
        <f t="shared" si="42"/>
        <v>2548.9355284502403</v>
      </c>
      <c r="BF49" s="70">
        <f t="shared" si="42"/>
        <v>2548.9355284502403</v>
      </c>
      <c r="BG49" s="70">
        <f t="shared" si="42"/>
        <v>2548.9355284502403</v>
      </c>
      <c r="BH49" s="70">
        <f t="shared" si="42"/>
        <v>2548.9355284502403</v>
      </c>
      <c r="BI49" s="70">
        <f t="shared" si="42"/>
        <v>1459.3281966277812</v>
      </c>
      <c r="BJ49" s="70">
        <f t="shared" si="42"/>
        <v>1459.3281966277812</v>
      </c>
      <c r="BK49" s="70">
        <f t="shared" si="42"/>
        <v>1459.3281966277812</v>
      </c>
      <c r="BL49" s="70">
        <f t="shared" si="42"/>
        <v>1459.3281966277812</v>
      </c>
      <c r="BM49" s="70">
        <f t="shared" si="42"/>
        <v>1459.3281966277812</v>
      </c>
      <c r="BN49" s="70">
        <f t="shared" si="42"/>
        <v>1705.3940726528658</v>
      </c>
      <c r="BO49" s="70">
        <f t="shared" si="42"/>
        <v>1705.3940726528658</v>
      </c>
      <c r="BP49" s="70">
        <f t="shared" si="42"/>
        <v>1705.3940726528658</v>
      </c>
      <c r="BQ49" s="70">
        <f t="shared" si="42"/>
        <v>1705.3940726528658</v>
      </c>
      <c r="BR49" s="70">
        <f t="shared" si="42"/>
        <v>1705.3940726528658</v>
      </c>
      <c r="BS49" s="70">
        <f t="shared" ref="BS49:DV49" si="43">SUM(BS47:BS48)</f>
        <v>1705.3940726528658</v>
      </c>
      <c r="BT49" s="70">
        <f t="shared" si="43"/>
        <v>1705.3940726528658</v>
      </c>
      <c r="BU49" s="70">
        <f t="shared" si="43"/>
        <v>1705.3940726528658</v>
      </c>
      <c r="BV49" s="70">
        <f t="shared" si="43"/>
        <v>1705.3940726528658</v>
      </c>
      <c r="BW49" s="70">
        <f t="shared" si="43"/>
        <v>1705.3940726528658</v>
      </c>
      <c r="BX49" s="70">
        <f t="shared" si="43"/>
        <v>1705.3940726528658</v>
      </c>
      <c r="BY49" s="70">
        <f t="shared" si="43"/>
        <v>1705.3940726528658</v>
      </c>
      <c r="BZ49" s="70">
        <f t="shared" si="43"/>
        <v>1960.177021553598</v>
      </c>
      <c r="CA49" s="70">
        <f t="shared" si="43"/>
        <v>1960.177021553598</v>
      </c>
      <c r="CB49" s="70">
        <f t="shared" si="43"/>
        <v>1960.177021553598</v>
      </c>
      <c r="CC49" s="70">
        <f t="shared" si="43"/>
        <v>1960.177021553598</v>
      </c>
      <c r="CD49" s="70">
        <f t="shared" si="43"/>
        <v>1960.177021553598</v>
      </c>
      <c r="CE49" s="70">
        <f t="shared" si="43"/>
        <v>1960.177021553598</v>
      </c>
      <c r="CF49" s="70">
        <f t="shared" si="43"/>
        <v>1960.177021553598</v>
      </c>
      <c r="CG49" s="70">
        <f t="shared" si="43"/>
        <v>1960.177021553598</v>
      </c>
      <c r="CH49" s="70">
        <f t="shared" si="43"/>
        <v>1960.177021553598</v>
      </c>
      <c r="CI49" s="70">
        <f t="shared" si="43"/>
        <v>1960.177021553598</v>
      </c>
      <c r="CJ49" s="70">
        <f t="shared" si="43"/>
        <v>1960.177021553598</v>
      </c>
      <c r="CK49" s="70">
        <f t="shared" si="43"/>
        <v>1960.177021553598</v>
      </c>
      <c r="CL49" s="70">
        <f t="shared" si="43"/>
        <v>2223.9652574481515</v>
      </c>
      <c r="CM49" s="70">
        <f t="shared" si="43"/>
        <v>2223.9652574481515</v>
      </c>
      <c r="CN49" s="70">
        <f t="shared" si="43"/>
        <v>2223.9652574481515</v>
      </c>
      <c r="CO49" s="70">
        <f t="shared" si="43"/>
        <v>2223.9652574481515</v>
      </c>
      <c r="CP49" s="70">
        <f t="shared" si="43"/>
        <v>2223.9652574481515</v>
      </c>
      <c r="CQ49" s="70">
        <f t="shared" si="43"/>
        <v>2223.9652574481515</v>
      </c>
      <c r="CR49" s="70">
        <f t="shared" si="43"/>
        <v>2223.9652574481515</v>
      </c>
      <c r="CS49" s="70">
        <f t="shared" si="43"/>
        <v>2223.9652574481515</v>
      </c>
      <c r="CT49" s="70">
        <f t="shared" si="43"/>
        <v>2223.9652574481515</v>
      </c>
      <c r="CU49" s="70">
        <f t="shared" si="43"/>
        <v>2223.9652574481515</v>
      </c>
      <c r="CV49" s="70">
        <f t="shared" si="43"/>
        <v>2223.9652574481515</v>
      </c>
      <c r="CW49" s="70">
        <f t="shared" si="43"/>
        <v>2223.9652574481515</v>
      </c>
      <c r="CX49" s="70">
        <f t="shared" si="43"/>
        <v>2497.0561749168673</v>
      </c>
      <c r="CY49" s="70">
        <f t="shared" si="43"/>
        <v>2497.0561749168673</v>
      </c>
      <c r="CZ49" s="70">
        <f t="shared" si="43"/>
        <v>2497.0561749168673</v>
      </c>
      <c r="DA49" s="70">
        <f t="shared" si="43"/>
        <v>2497.0561749168673</v>
      </c>
      <c r="DB49" s="70">
        <f t="shared" si="43"/>
        <v>2497.0561749168673</v>
      </c>
      <c r="DC49" s="70">
        <f t="shared" si="43"/>
        <v>2497.0561749168673</v>
      </c>
      <c r="DD49" s="70">
        <f t="shared" si="43"/>
        <v>2497.0561749168673</v>
      </c>
      <c r="DE49" s="70">
        <f t="shared" si="43"/>
        <v>2497.0561749168673</v>
      </c>
      <c r="DF49" s="70">
        <f t="shared" si="43"/>
        <v>2497.0561749168673</v>
      </c>
      <c r="DG49" s="70">
        <f t="shared" si="43"/>
        <v>2497.0561749168673</v>
      </c>
      <c r="DH49" s="70">
        <f t="shared" si="43"/>
        <v>2497.0561749168673</v>
      </c>
      <c r="DI49" s="70">
        <f t="shared" si="43"/>
        <v>2497.0561749168673</v>
      </c>
      <c r="DJ49" s="70">
        <f t="shared" si="43"/>
        <v>2779.7566350969309</v>
      </c>
      <c r="DK49" s="70">
        <f t="shared" si="43"/>
        <v>2779.7566350969309</v>
      </c>
      <c r="DL49" s="70">
        <f t="shared" si="43"/>
        <v>2779.7566350969309</v>
      </c>
      <c r="DM49" s="70">
        <f t="shared" si="43"/>
        <v>2779.7566350969309</v>
      </c>
      <c r="DN49" s="70">
        <f t="shared" si="43"/>
        <v>2779.7566350969309</v>
      </c>
      <c r="DO49" s="70">
        <f t="shared" si="43"/>
        <v>2779.7566350969309</v>
      </c>
      <c r="DP49" s="70">
        <f t="shared" si="43"/>
        <v>2779.7566350969309</v>
      </c>
      <c r="DQ49" s="70">
        <f t="shared" si="43"/>
        <v>2779.7566350969309</v>
      </c>
      <c r="DR49" s="70">
        <f t="shared" si="43"/>
        <v>2779.7566350969309</v>
      </c>
      <c r="DS49" s="70">
        <f t="shared" si="43"/>
        <v>2779.7566350969309</v>
      </c>
      <c r="DT49" s="70">
        <f t="shared" si="43"/>
        <v>2779.7566350969309</v>
      </c>
      <c r="DU49" s="70">
        <f t="shared" si="43"/>
        <v>2779.7566350969309</v>
      </c>
      <c r="DV49" s="70">
        <f t="shared" si="43"/>
        <v>1195492.7767712616</v>
      </c>
    </row>
    <row r="50" spans="2:126" x14ac:dyDescent="0.3">
      <c r="B50" t="s">
        <v>1</v>
      </c>
      <c r="F50" s="70">
        <f>MAX(F34-F49,0)</f>
        <v>0</v>
      </c>
      <c r="G50" s="70">
        <f t="shared" ref="G50:BR50" si="44">MAX(G34-G49,0)</f>
        <v>0</v>
      </c>
      <c r="H50" s="70">
        <f t="shared" si="44"/>
        <v>0</v>
      </c>
      <c r="I50" s="70">
        <f t="shared" si="44"/>
        <v>0</v>
      </c>
      <c r="J50" s="70">
        <f t="shared" si="44"/>
        <v>0</v>
      </c>
      <c r="K50" s="70">
        <f t="shared" si="44"/>
        <v>0</v>
      </c>
      <c r="L50" s="70">
        <f t="shared" si="44"/>
        <v>0</v>
      </c>
      <c r="M50" s="70">
        <f t="shared" si="44"/>
        <v>0</v>
      </c>
      <c r="N50" s="70">
        <f t="shared" si="44"/>
        <v>0</v>
      </c>
      <c r="O50" s="70">
        <f t="shared" si="44"/>
        <v>0</v>
      </c>
      <c r="P50" s="70">
        <f t="shared" si="44"/>
        <v>0</v>
      </c>
      <c r="Q50" s="70">
        <f t="shared" si="44"/>
        <v>0</v>
      </c>
      <c r="R50" s="70">
        <f t="shared" si="44"/>
        <v>0</v>
      </c>
      <c r="S50" s="70">
        <f t="shared" si="44"/>
        <v>0</v>
      </c>
      <c r="T50" s="70">
        <f t="shared" si="44"/>
        <v>0</v>
      </c>
      <c r="U50" s="70">
        <f t="shared" si="44"/>
        <v>0</v>
      </c>
      <c r="V50" s="70">
        <f t="shared" si="44"/>
        <v>0</v>
      </c>
      <c r="W50" s="70">
        <f t="shared" si="44"/>
        <v>0</v>
      </c>
      <c r="X50" s="70">
        <f t="shared" si="44"/>
        <v>0</v>
      </c>
      <c r="Y50" s="70">
        <f t="shared" si="44"/>
        <v>0</v>
      </c>
      <c r="Z50" s="70">
        <f t="shared" si="44"/>
        <v>0</v>
      </c>
      <c r="AA50" s="70">
        <f t="shared" si="44"/>
        <v>0</v>
      </c>
      <c r="AB50" s="70">
        <f t="shared" si="44"/>
        <v>0</v>
      </c>
      <c r="AC50" s="70">
        <f t="shared" si="44"/>
        <v>0</v>
      </c>
      <c r="AD50" s="70">
        <f t="shared" si="44"/>
        <v>0</v>
      </c>
      <c r="AE50" s="70">
        <f t="shared" si="44"/>
        <v>0</v>
      </c>
      <c r="AF50" s="70">
        <f t="shared" si="44"/>
        <v>0</v>
      </c>
      <c r="AG50" s="70">
        <f t="shared" si="44"/>
        <v>0</v>
      </c>
      <c r="AH50" s="70">
        <f t="shared" si="44"/>
        <v>0</v>
      </c>
      <c r="AI50" s="70">
        <f t="shared" si="44"/>
        <v>0</v>
      </c>
      <c r="AJ50" s="70">
        <f t="shared" si="44"/>
        <v>0</v>
      </c>
      <c r="AK50" s="70">
        <f t="shared" si="44"/>
        <v>4.5474735088646412E-13</v>
      </c>
      <c r="AL50" s="70">
        <f t="shared" si="44"/>
        <v>4.5474735088646412E-13</v>
      </c>
      <c r="AM50" s="70">
        <f t="shared" si="44"/>
        <v>4.5474735088646412E-13</v>
      </c>
      <c r="AN50" s="70">
        <f t="shared" si="44"/>
        <v>4.5474735088646412E-13</v>
      </c>
      <c r="AO50" s="70">
        <f t="shared" si="44"/>
        <v>4.5474735088646412E-13</v>
      </c>
      <c r="AP50" s="70">
        <f t="shared" si="44"/>
        <v>0</v>
      </c>
      <c r="AQ50" s="70">
        <f t="shared" si="44"/>
        <v>0</v>
      </c>
      <c r="AR50" s="70">
        <f t="shared" si="44"/>
        <v>0</v>
      </c>
      <c r="AS50" s="70">
        <f t="shared" si="44"/>
        <v>0</v>
      </c>
      <c r="AT50" s="70">
        <f t="shared" si="44"/>
        <v>0</v>
      </c>
      <c r="AU50" s="70">
        <f t="shared" si="44"/>
        <v>0</v>
      </c>
      <c r="AV50" s="70">
        <f t="shared" si="44"/>
        <v>0</v>
      </c>
      <c r="AW50" s="70">
        <f t="shared" si="44"/>
        <v>0</v>
      </c>
      <c r="AX50" s="70">
        <f t="shared" si="44"/>
        <v>0</v>
      </c>
      <c r="AY50" s="70">
        <f t="shared" si="44"/>
        <v>0</v>
      </c>
      <c r="AZ50" s="70">
        <f t="shared" si="44"/>
        <v>0</v>
      </c>
      <c r="BA50" s="70">
        <f t="shared" si="44"/>
        <v>0</v>
      </c>
      <c r="BB50" s="70">
        <f t="shared" si="44"/>
        <v>0</v>
      </c>
      <c r="BC50" s="70">
        <f t="shared" si="44"/>
        <v>0</v>
      </c>
      <c r="BD50" s="70">
        <f t="shared" si="44"/>
        <v>0</v>
      </c>
      <c r="BE50" s="70">
        <f t="shared" si="44"/>
        <v>0</v>
      </c>
      <c r="BF50" s="70">
        <f t="shared" si="44"/>
        <v>0</v>
      </c>
      <c r="BG50" s="70">
        <f t="shared" si="44"/>
        <v>0</v>
      </c>
      <c r="BH50" s="70">
        <f t="shared" si="44"/>
        <v>0</v>
      </c>
      <c r="BI50" s="70">
        <f t="shared" si="44"/>
        <v>2.2737367544323206E-13</v>
      </c>
      <c r="BJ50" s="70">
        <f t="shared" si="44"/>
        <v>2.2737367544323206E-13</v>
      </c>
      <c r="BK50" s="70">
        <f t="shared" si="44"/>
        <v>2.2737367544323206E-13</v>
      </c>
      <c r="BL50" s="70">
        <f t="shared" si="44"/>
        <v>2.2737367544323206E-13</v>
      </c>
      <c r="BM50" s="70">
        <f t="shared" si="44"/>
        <v>2.2737367544323206E-13</v>
      </c>
      <c r="BN50" s="70">
        <f t="shared" si="44"/>
        <v>0</v>
      </c>
      <c r="BO50" s="70">
        <f t="shared" si="44"/>
        <v>0</v>
      </c>
      <c r="BP50" s="70">
        <f t="shared" si="44"/>
        <v>0</v>
      </c>
      <c r="BQ50" s="70">
        <f t="shared" si="44"/>
        <v>0</v>
      </c>
      <c r="BR50" s="70">
        <f t="shared" si="44"/>
        <v>0</v>
      </c>
      <c r="BS50" s="70">
        <f t="shared" ref="BS50:DV50" si="45">MAX(BS34-BS49,0)</f>
        <v>0</v>
      </c>
      <c r="BT50" s="70">
        <f t="shared" si="45"/>
        <v>0</v>
      </c>
      <c r="BU50" s="70">
        <f t="shared" si="45"/>
        <v>0</v>
      </c>
      <c r="BV50" s="70">
        <f t="shared" si="45"/>
        <v>0</v>
      </c>
      <c r="BW50" s="70">
        <f t="shared" si="45"/>
        <v>0</v>
      </c>
      <c r="BX50" s="70">
        <f t="shared" si="45"/>
        <v>0</v>
      </c>
      <c r="BY50" s="70">
        <f t="shared" si="45"/>
        <v>0</v>
      </c>
      <c r="BZ50" s="70">
        <f t="shared" si="45"/>
        <v>0</v>
      </c>
      <c r="CA50" s="70">
        <f t="shared" si="45"/>
        <v>0</v>
      </c>
      <c r="CB50" s="70">
        <f t="shared" si="45"/>
        <v>0</v>
      </c>
      <c r="CC50" s="70">
        <f t="shared" si="45"/>
        <v>0</v>
      </c>
      <c r="CD50" s="70">
        <f t="shared" si="45"/>
        <v>0</v>
      </c>
      <c r="CE50" s="70">
        <f t="shared" si="45"/>
        <v>0</v>
      </c>
      <c r="CF50" s="70">
        <f t="shared" si="45"/>
        <v>0</v>
      </c>
      <c r="CG50" s="70">
        <f t="shared" si="45"/>
        <v>0</v>
      </c>
      <c r="CH50" s="70">
        <f t="shared" si="45"/>
        <v>0</v>
      </c>
      <c r="CI50" s="70">
        <f t="shared" si="45"/>
        <v>0</v>
      </c>
      <c r="CJ50" s="70">
        <f t="shared" si="45"/>
        <v>0</v>
      </c>
      <c r="CK50" s="70">
        <f t="shared" si="45"/>
        <v>0</v>
      </c>
      <c r="CL50" s="70">
        <f t="shared" si="45"/>
        <v>0</v>
      </c>
      <c r="CM50" s="70">
        <f t="shared" si="45"/>
        <v>0</v>
      </c>
      <c r="CN50" s="70">
        <f t="shared" si="45"/>
        <v>0</v>
      </c>
      <c r="CO50" s="70">
        <f t="shared" si="45"/>
        <v>0</v>
      </c>
      <c r="CP50" s="70">
        <f t="shared" si="45"/>
        <v>0</v>
      </c>
      <c r="CQ50" s="70">
        <f t="shared" si="45"/>
        <v>0</v>
      </c>
      <c r="CR50" s="70">
        <f t="shared" si="45"/>
        <v>0</v>
      </c>
      <c r="CS50" s="70">
        <f t="shared" si="45"/>
        <v>0</v>
      </c>
      <c r="CT50" s="70">
        <f t="shared" si="45"/>
        <v>0</v>
      </c>
      <c r="CU50" s="70">
        <f t="shared" si="45"/>
        <v>0</v>
      </c>
      <c r="CV50" s="70">
        <f t="shared" si="45"/>
        <v>0</v>
      </c>
      <c r="CW50" s="70">
        <f t="shared" si="45"/>
        <v>0</v>
      </c>
      <c r="CX50" s="70">
        <f t="shared" si="45"/>
        <v>0</v>
      </c>
      <c r="CY50" s="70">
        <f t="shared" si="45"/>
        <v>0</v>
      </c>
      <c r="CZ50" s="70">
        <f t="shared" si="45"/>
        <v>0</v>
      </c>
      <c r="DA50" s="70">
        <f t="shared" si="45"/>
        <v>0</v>
      </c>
      <c r="DB50" s="70">
        <f t="shared" si="45"/>
        <v>0</v>
      </c>
      <c r="DC50" s="70">
        <f t="shared" si="45"/>
        <v>0</v>
      </c>
      <c r="DD50" s="70">
        <f t="shared" si="45"/>
        <v>0</v>
      </c>
      <c r="DE50" s="70">
        <f t="shared" si="45"/>
        <v>0</v>
      </c>
      <c r="DF50" s="70">
        <f t="shared" si="45"/>
        <v>0</v>
      </c>
      <c r="DG50" s="70">
        <f t="shared" si="45"/>
        <v>0</v>
      </c>
      <c r="DH50" s="70">
        <f t="shared" si="45"/>
        <v>0</v>
      </c>
      <c r="DI50" s="70">
        <f t="shared" si="45"/>
        <v>0</v>
      </c>
      <c r="DJ50" s="70">
        <f t="shared" si="45"/>
        <v>4.5474735088646412E-13</v>
      </c>
      <c r="DK50" s="70">
        <f t="shared" si="45"/>
        <v>4.5474735088646412E-13</v>
      </c>
      <c r="DL50" s="70">
        <f t="shared" si="45"/>
        <v>4.5474735088646412E-13</v>
      </c>
      <c r="DM50" s="70">
        <f t="shared" si="45"/>
        <v>4.5474735088646412E-13</v>
      </c>
      <c r="DN50" s="70">
        <f t="shared" si="45"/>
        <v>4.5474735088646412E-13</v>
      </c>
      <c r="DO50" s="70">
        <f t="shared" si="45"/>
        <v>4.5474735088646412E-13</v>
      </c>
      <c r="DP50" s="70">
        <f t="shared" si="45"/>
        <v>4.5474735088646412E-13</v>
      </c>
      <c r="DQ50" s="70">
        <f t="shared" si="45"/>
        <v>4.5474735088646412E-13</v>
      </c>
      <c r="DR50" s="70">
        <f t="shared" si="45"/>
        <v>4.5474735088646412E-13</v>
      </c>
      <c r="DS50" s="70">
        <f t="shared" si="45"/>
        <v>4.5474735088646412E-13</v>
      </c>
      <c r="DT50" s="70">
        <f t="shared" si="45"/>
        <v>4.5474735088646412E-13</v>
      </c>
      <c r="DU50" s="70">
        <f t="shared" si="45"/>
        <v>4.5474735088646412E-13</v>
      </c>
      <c r="DV50" s="70">
        <f t="shared" si="45"/>
        <v>623505.02178361849</v>
      </c>
    </row>
    <row r="51" spans="2:126" x14ac:dyDescent="0.3"/>
    <row r="52" spans="2:126" ht="15.6" x14ac:dyDescent="0.3">
      <c r="B52" s="79" t="s">
        <v>12</v>
      </c>
    </row>
    <row r="53" spans="2:126" x14ac:dyDescent="0.3">
      <c r="B53" s="84" t="s">
        <v>76</v>
      </c>
      <c r="C53" s="86">
        <f>E11</f>
        <v>9.99</v>
      </c>
      <c r="D53" s="85"/>
      <c r="E53" s="85"/>
      <c r="F53" s="83">
        <f>F$17</f>
        <v>0</v>
      </c>
      <c r="G53" s="83">
        <f t="shared" ref="G53:BR53" si="46">G$17</f>
        <v>1</v>
      </c>
      <c r="H53" s="83">
        <f t="shared" si="46"/>
        <v>2</v>
      </c>
      <c r="I53" s="83">
        <f t="shared" si="46"/>
        <v>3</v>
      </c>
      <c r="J53" s="83">
        <f t="shared" si="46"/>
        <v>4</v>
      </c>
      <c r="K53" s="83">
        <f t="shared" si="46"/>
        <v>5</v>
      </c>
      <c r="L53" s="83">
        <f t="shared" si="46"/>
        <v>6</v>
      </c>
      <c r="M53" s="83">
        <f t="shared" si="46"/>
        <v>7</v>
      </c>
      <c r="N53" s="83">
        <f t="shared" si="46"/>
        <v>8</v>
      </c>
      <c r="O53" s="83">
        <f t="shared" si="46"/>
        <v>9</v>
      </c>
      <c r="P53" s="83">
        <f t="shared" si="46"/>
        <v>10</v>
      </c>
      <c r="Q53" s="83">
        <f t="shared" si="46"/>
        <v>11</v>
      </c>
      <c r="R53" s="83">
        <f t="shared" si="46"/>
        <v>12</v>
      </c>
      <c r="S53" s="83">
        <f t="shared" si="46"/>
        <v>13</v>
      </c>
      <c r="T53" s="83">
        <f t="shared" si="46"/>
        <v>14</v>
      </c>
      <c r="U53" s="83">
        <f t="shared" si="46"/>
        <v>15</v>
      </c>
      <c r="V53" s="83">
        <f t="shared" si="46"/>
        <v>16</v>
      </c>
      <c r="W53" s="83">
        <f t="shared" si="46"/>
        <v>17</v>
      </c>
      <c r="X53" s="83">
        <f t="shared" si="46"/>
        <v>18</v>
      </c>
      <c r="Y53" s="83">
        <f t="shared" si="46"/>
        <v>19</v>
      </c>
      <c r="Z53" s="83">
        <f t="shared" si="46"/>
        <v>20</v>
      </c>
      <c r="AA53" s="83">
        <f t="shared" si="46"/>
        <v>21</v>
      </c>
      <c r="AB53" s="83">
        <f t="shared" si="46"/>
        <v>22</v>
      </c>
      <c r="AC53" s="83">
        <f t="shared" si="46"/>
        <v>23</v>
      </c>
      <c r="AD53" s="83">
        <f t="shared" si="46"/>
        <v>24</v>
      </c>
      <c r="AE53" s="83">
        <f t="shared" si="46"/>
        <v>25</v>
      </c>
      <c r="AF53" s="83">
        <f t="shared" si="46"/>
        <v>26</v>
      </c>
      <c r="AG53" s="83">
        <f t="shared" si="46"/>
        <v>27</v>
      </c>
      <c r="AH53" s="83">
        <f t="shared" si="46"/>
        <v>28</v>
      </c>
      <c r="AI53" s="83">
        <f t="shared" si="46"/>
        <v>29</v>
      </c>
      <c r="AJ53" s="83">
        <f t="shared" si="46"/>
        <v>30</v>
      </c>
      <c r="AK53" s="83">
        <f t="shared" si="46"/>
        <v>31</v>
      </c>
      <c r="AL53" s="83">
        <f t="shared" si="46"/>
        <v>32</v>
      </c>
      <c r="AM53" s="83">
        <f t="shared" si="46"/>
        <v>33</v>
      </c>
      <c r="AN53" s="83">
        <f t="shared" si="46"/>
        <v>34</v>
      </c>
      <c r="AO53" s="83">
        <f t="shared" si="46"/>
        <v>35</v>
      </c>
      <c r="AP53" s="83">
        <f t="shared" si="46"/>
        <v>36</v>
      </c>
      <c r="AQ53" s="83">
        <f t="shared" si="46"/>
        <v>37</v>
      </c>
      <c r="AR53" s="83">
        <f t="shared" si="46"/>
        <v>38</v>
      </c>
      <c r="AS53" s="83">
        <f t="shared" si="46"/>
        <v>39</v>
      </c>
      <c r="AT53" s="83">
        <f t="shared" si="46"/>
        <v>40</v>
      </c>
      <c r="AU53" s="83">
        <f t="shared" si="46"/>
        <v>41</v>
      </c>
      <c r="AV53" s="83">
        <f t="shared" si="46"/>
        <v>42</v>
      </c>
      <c r="AW53" s="83">
        <f t="shared" si="46"/>
        <v>43</v>
      </c>
      <c r="AX53" s="83">
        <f t="shared" si="46"/>
        <v>44</v>
      </c>
      <c r="AY53" s="83">
        <f t="shared" si="46"/>
        <v>45</v>
      </c>
      <c r="AZ53" s="83">
        <f t="shared" si="46"/>
        <v>46</v>
      </c>
      <c r="BA53" s="83">
        <f t="shared" si="46"/>
        <v>47</v>
      </c>
      <c r="BB53" s="83">
        <f t="shared" si="46"/>
        <v>48</v>
      </c>
      <c r="BC53" s="83">
        <f t="shared" si="46"/>
        <v>49</v>
      </c>
      <c r="BD53" s="83">
        <f t="shared" si="46"/>
        <v>50</v>
      </c>
      <c r="BE53" s="83">
        <f t="shared" si="46"/>
        <v>51</v>
      </c>
      <c r="BF53" s="83">
        <f t="shared" si="46"/>
        <v>52</v>
      </c>
      <c r="BG53" s="83">
        <f t="shared" si="46"/>
        <v>53</v>
      </c>
      <c r="BH53" s="83">
        <f t="shared" si="46"/>
        <v>54</v>
      </c>
      <c r="BI53" s="83">
        <f t="shared" si="46"/>
        <v>55</v>
      </c>
      <c r="BJ53" s="83">
        <f t="shared" si="46"/>
        <v>56</v>
      </c>
      <c r="BK53" s="83">
        <f t="shared" si="46"/>
        <v>57</v>
      </c>
      <c r="BL53" s="83">
        <f t="shared" si="46"/>
        <v>58</v>
      </c>
      <c r="BM53" s="83">
        <f t="shared" si="46"/>
        <v>59</v>
      </c>
      <c r="BN53" s="83">
        <f t="shared" si="46"/>
        <v>60</v>
      </c>
      <c r="BO53" s="83">
        <f t="shared" si="46"/>
        <v>61</v>
      </c>
      <c r="BP53" s="83">
        <f t="shared" si="46"/>
        <v>62</v>
      </c>
      <c r="BQ53" s="83">
        <f t="shared" si="46"/>
        <v>63</v>
      </c>
      <c r="BR53" s="83">
        <f t="shared" si="46"/>
        <v>64</v>
      </c>
      <c r="BS53" s="83">
        <f t="shared" ref="BS53:DV53" si="47">BS$17</f>
        <v>65</v>
      </c>
      <c r="BT53" s="83">
        <f t="shared" si="47"/>
        <v>66</v>
      </c>
      <c r="BU53" s="83">
        <f t="shared" si="47"/>
        <v>67</v>
      </c>
      <c r="BV53" s="83">
        <f t="shared" si="47"/>
        <v>68</v>
      </c>
      <c r="BW53" s="83">
        <f t="shared" si="47"/>
        <v>69</v>
      </c>
      <c r="BX53" s="83">
        <f t="shared" si="47"/>
        <v>70</v>
      </c>
      <c r="BY53" s="83">
        <f t="shared" si="47"/>
        <v>71</v>
      </c>
      <c r="BZ53" s="83">
        <f t="shared" si="47"/>
        <v>72</v>
      </c>
      <c r="CA53" s="83">
        <f t="shared" si="47"/>
        <v>73</v>
      </c>
      <c r="CB53" s="83">
        <f t="shared" si="47"/>
        <v>74</v>
      </c>
      <c r="CC53" s="83">
        <f t="shared" si="47"/>
        <v>75</v>
      </c>
      <c r="CD53" s="83">
        <f t="shared" si="47"/>
        <v>76</v>
      </c>
      <c r="CE53" s="83">
        <f t="shared" si="47"/>
        <v>77</v>
      </c>
      <c r="CF53" s="83">
        <f t="shared" si="47"/>
        <v>78</v>
      </c>
      <c r="CG53" s="83">
        <f t="shared" si="47"/>
        <v>79</v>
      </c>
      <c r="CH53" s="83">
        <f t="shared" si="47"/>
        <v>80</v>
      </c>
      <c r="CI53" s="83">
        <f t="shared" si="47"/>
        <v>81</v>
      </c>
      <c r="CJ53" s="83">
        <f t="shared" si="47"/>
        <v>82</v>
      </c>
      <c r="CK53" s="83">
        <f t="shared" si="47"/>
        <v>83</v>
      </c>
      <c r="CL53" s="83">
        <f t="shared" si="47"/>
        <v>84</v>
      </c>
      <c r="CM53" s="83">
        <f t="shared" si="47"/>
        <v>85</v>
      </c>
      <c r="CN53" s="83">
        <f t="shared" si="47"/>
        <v>86</v>
      </c>
      <c r="CO53" s="83">
        <f t="shared" si="47"/>
        <v>87</v>
      </c>
      <c r="CP53" s="83">
        <f t="shared" si="47"/>
        <v>88</v>
      </c>
      <c r="CQ53" s="83">
        <f t="shared" si="47"/>
        <v>89</v>
      </c>
      <c r="CR53" s="83">
        <f t="shared" si="47"/>
        <v>90</v>
      </c>
      <c r="CS53" s="83">
        <f t="shared" si="47"/>
        <v>91</v>
      </c>
      <c r="CT53" s="83">
        <f t="shared" si="47"/>
        <v>92</v>
      </c>
      <c r="CU53" s="83">
        <f t="shared" si="47"/>
        <v>93</v>
      </c>
      <c r="CV53" s="83">
        <f t="shared" si="47"/>
        <v>94</v>
      </c>
      <c r="CW53" s="83">
        <f t="shared" si="47"/>
        <v>95</v>
      </c>
      <c r="CX53" s="83">
        <f t="shared" si="47"/>
        <v>96</v>
      </c>
      <c r="CY53" s="83">
        <f t="shared" si="47"/>
        <v>97</v>
      </c>
      <c r="CZ53" s="83">
        <f t="shared" si="47"/>
        <v>98</v>
      </c>
      <c r="DA53" s="83">
        <f t="shared" si="47"/>
        <v>99</v>
      </c>
      <c r="DB53" s="83">
        <f t="shared" si="47"/>
        <v>100</v>
      </c>
      <c r="DC53" s="83">
        <f t="shared" si="47"/>
        <v>101</v>
      </c>
      <c r="DD53" s="83">
        <f t="shared" si="47"/>
        <v>102</v>
      </c>
      <c r="DE53" s="83">
        <f t="shared" si="47"/>
        <v>103</v>
      </c>
      <c r="DF53" s="83">
        <f t="shared" si="47"/>
        <v>104</v>
      </c>
      <c r="DG53" s="83">
        <f t="shared" si="47"/>
        <v>105</v>
      </c>
      <c r="DH53" s="83">
        <f t="shared" si="47"/>
        <v>106</v>
      </c>
      <c r="DI53" s="83">
        <f t="shared" si="47"/>
        <v>107</v>
      </c>
      <c r="DJ53" s="83">
        <f t="shared" si="47"/>
        <v>108</v>
      </c>
      <c r="DK53" s="83">
        <f t="shared" si="47"/>
        <v>109</v>
      </c>
      <c r="DL53" s="83">
        <f t="shared" si="47"/>
        <v>110</v>
      </c>
      <c r="DM53" s="83">
        <f t="shared" si="47"/>
        <v>111</v>
      </c>
      <c r="DN53" s="83">
        <f t="shared" si="47"/>
        <v>112</v>
      </c>
      <c r="DO53" s="83">
        <f t="shared" si="47"/>
        <v>113</v>
      </c>
      <c r="DP53" s="83">
        <f t="shared" si="47"/>
        <v>114</v>
      </c>
      <c r="DQ53" s="83">
        <f t="shared" si="47"/>
        <v>115</v>
      </c>
      <c r="DR53" s="83">
        <f t="shared" si="47"/>
        <v>116</v>
      </c>
      <c r="DS53" s="83">
        <f t="shared" si="47"/>
        <v>117</v>
      </c>
      <c r="DT53" s="83">
        <f t="shared" si="47"/>
        <v>118</v>
      </c>
      <c r="DU53" s="83">
        <f t="shared" si="47"/>
        <v>119</v>
      </c>
      <c r="DV53" s="83">
        <f t="shared" si="47"/>
        <v>120</v>
      </c>
    </row>
    <row r="54" spans="2:126" x14ac:dyDescent="0.3">
      <c r="B54" t="s">
        <v>77</v>
      </c>
      <c r="F54" s="70">
        <f>E59</f>
        <v>0</v>
      </c>
      <c r="G54" s="70">
        <f t="shared" ref="G54:BR54" si="48">F59</f>
        <v>181905.12328713818</v>
      </c>
      <c r="H54" s="70">
        <f t="shared" si="48"/>
        <v>223035.66324711309</v>
      </c>
      <c r="I54" s="70">
        <f t="shared" si="48"/>
        <v>274470.65028647735</v>
      </c>
      <c r="J54" s="70">
        <f t="shared" si="48"/>
        <v>339695.12194410269</v>
      </c>
      <c r="K54" s="70">
        <f t="shared" si="48"/>
        <v>423724.24851995247</v>
      </c>
      <c r="L54" s="70">
        <f t="shared" si="48"/>
        <v>533527.54877962393</v>
      </c>
      <c r="M54" s="70">
        <f t="shared" si="48"/>
        <v>678247.00610202167</v>
      </c>
      <c r="N54" s="70">
        <f t="shared" si="48"/>
        <v>864276.14089093998</v>
      </c>
      <c r="O54" s="70">
        <f t="shared" si="48"/>
        <v>1103094.4870359388</v>
      </c>
      <c r="P54" s="70">
        <f t="shared" si="48"/>
        <v>1401896.8005155416</v>
      </c>
      <c r="Q54" s="70">
        <f t="shared" si="48"/>
        <v>1711850.5719585039</v>
      </c>
      <c r="R54" s="70">
        <f t="shared" si="48"/>
        <v>2090333.8816644726</v>
      </c>
      <c r="S54" s="70">
        <f t="shared" si="48"/>
        <v>2552498.3362510335</v>
      </c>
      <c r="T54" s="70">
        <f t="shared" si="48"/>
        <v>3116845.5019139769</v>
      </c>
      <c r="U54" s="70">
        <f t="shared" si="48"/>
        <v>3805967.5670816833</v>
      </c>
      <c r="V54" s="70">
        <f t="shared" si="48"/>
        <v>4647451.7626178619</v>
      </c>
      <c r="W54" s="70">
        <f t="shared" si="48"/>
        <v>5674984.7457111347</v>
      </c>
      <c r="X54" s="70">
        <f t="shared" si="48"/>
        <v>6929701.1586222621</v>
      </c>
      <c r="Y54" s="70">
        <f t="shared" si="48"/>
        <v>8461830.3483727202</v>
      </c>
      <c r="Z54" s="70">
        <f t="shared" si="48"/>
        <v>10332707.169565354</v>
      </c>
      <c r="AA54" s="70">
        <f t="shared" si="48"/>
        <v>12617227.367660359</v>
      </c>
      <c r="AB54" s="70">
        <f t="shared" si="48"/>
        <v>15406845.8376658</v>
      </c>
      <c r="AC54" s="70">
        <f t="shared" si="48"/>
        <v>18813237.785823956</v>
      </c>
      <c r="AD54" s="70">
        <f t="shared" si="48"/>
        <v>22972769.359492555</v>
      </c>
      <c r="AE54" s="70">
        <f t="shared" si="48"/>
        <v>28051956.715398863</v>
      </c>
      <c r="AF54" s="70">
        <f t="shared" si="48"/>
        <v>34254132.066034615</v>
      </c>
      <c r="AG54" s="70">
        <f t="shared" si="48"/>
        <v>41827583.562227711</v>
      </c>
      <c r="AH54" s="70">
        <f t="shared" si="48"/>
        <v>51075494.87117032</v>
      </c>
      <c r="AI54" s="70">
        <f t="shared" si="48"/>
        <v>62368082.355365396</v>
      </c>
      <c r="AJ54" s="70">
        <f t="shared" si="48"/>
        <v>76157415.733258694</v>
      </c>
      <c r="AK54" s="70">
        <f t="shared" si="48"/>
        <v>92991764.550929263</v>
      </c>
      <c r="AL54" s="70">
        <f t="shared" si="48"/>
        <v>113549736.13467139</v>
      </c>
      <c r="AM54" s="70">
        <f t="shared" si="48"/>
        <v>138652992.95143127</v>
      </c>
      <c r="AN54" s="70">
        <f t="shared" si="48"/>
        <v>169306479.37353343</v>
      </c>
      <c r="AO54" s="70">
        <f t="shared" si="48"/>
        <v>206737328.95169115</v>
      </c>
      <c r="AP54" s="70">
        <f t="shared" si="48"/>
        <v>252443989.55302665</v>
      </c>
      <c r="AQ54" s="70">
        <f t="shared" si="48"/>
        <v>308256149.48345059</v>
      </c>
      <c r="AR54" s="70">
        <f t="shared" si="48"/>
        <v>376408154.58396906</v>
      </c>
      <c r="AS54" s="70">
        <f t="shared" si="48"/>
        <v>459628295.23093963</v>
      </c>
      <c r="AT54" s="70">
        <f t="shared" si="48"/>
        <v>561248075.88283527</v>
      </c>
      <c r="AU54" s="70">
        <f t="shared" si="48"/>
        <v>685335583.29941046</v>
      </c>
      <c r="AV54" s="70">
        <f t="shared" si="48"/>
        <v>836858341.94031262</v>
      </c>
      <c r="AW54" s="70">
        <f t="shared" si="48"/>
        <v>1021882176.0404912</v>
      </c>
      <c r="AX54" s="70">
        <f t="shared" si="48"/>
        <v>1247814039.2945259</v>
      </c>
      <c r="AY54" s="70">
        <f t="shared" si="48"/>
        <v>1523698533.2122235</v>
      </c>
      <c r="AZ54" s="70">
        <f t="shared" si="48"/>
        <v>1860579984.4958105</v>
      </c>
      <c r="BA54" s="70">
        <f t="shared" si="48"/>
        <v>2271944576.2759929</v>
      </c>
      <c r="BB54" s="70">
        <f t="shared" si="48"/>
        <v>2774260232.7946587</v>
      </c>
      <c r="BC54" s="70">
        <f t="shared" si="48"/>
        <v>3387635644.6833091</v>
      </c>
      <c r="BD54" s="70">
        <f t="shared" si="48"/>
        <v>4136625905.0796046</v>
      </c>
      <c r="BE54" s="70">
        <f t="shared" si="48"/>
        <v>5051214914.1844387</v>
      </c>
      <c r="BF54" s="70">
        <f t="shared" si="48"/>
        <v>6168015892.5212994</v>
      </c>
      <c r="BG54" s="70">
        <f t="shared" si="48"/>
        <v>7531737097.1254597</v>
      </c>
      <c r="BH54" s="70">
        <f t="shared" si="48"/>
        <v>9196971601.7160072</v>
      </c>
      <c r="BI54" s="70">
        <f t="shared" si="48"/>
        <v>11230382790.100243</v>
      </c>
      <c r="BJ54" s="70">
        <f t="shared" si="48"/>
        <v>13713374088.549225</v>
      </c>
      <c r="BK54" s="70">
        <f t="shared" si="48"/>
        <v>16745344824.807964</v>
      </c>
      <c r="BL54" s="70">
        <f t="shared" si="48"/>
        <v>20447672155.262863</v>
      </c>
      <c r="BM54" s="70">
        <f t="shared" si="48"/>
        <v>24968569239.760174</v>
      </c>
      <c r="BN54" s="70">
        <f t="shared" si="48"/>
        <v>30489018574.558735</v>
      </c>
      <c r="BO54" s="70">
        <f t="shared" si="48"/>
        <v>37230016927.687569</v>
      </c>
      <c r="BP54" s="70">
        <f t="shared" si="48"/>
        <v>45461423035.563194</v>
      </c>
      <c r="BQ54" s="70">
        <f t="shared" si="48"/>
        <v>55512760087.340279</v>
      </c>
      <c r="BR54" s="70">
        <f t="shared" si="48"/>
        <v>67786407530.365135</v>
      </c>
      <c r="BS54" s="70">
        <f t="shared" ref="BS54:DV54" si="49">BR59</f>
        <v>82773709297.251648</v>
      </c>
      <c r="BT54" s="70">
        <f t="shared" si="49"/>
        <v>101074643497.48984</v>
      </c>
      <c r="BU54" s="70">
        <f t="shared" si="49"/>
        <v>123421840999.1403</v>
      </c>
      <c r="BV54" s="70">
        <f t="shared" si="49"/>
        <v>150709914422.80594</v>
      </c>
      <c r="BW54" s="70">
        <f t="shared" si="49"/>
        <v>184031271658.78015</v>
      </c>
      <c r="BX54" s="70">
        <f t="shared" si="49"/>
        <v>224719847609.49167</v>
      </c>
      <c r="BY54" s="70">
        <f t="shared" si="49"/>
        <v>274404504845.16556</v>
      </c>
      <c r="BZ54" s="70">
        <f t="shared" si="49"/>
        <v>335074240930.71246</v>
      </c>
      <c r="CA54" s="70">
        <f t="shared" si="49"/>
        <v>409157812589.55457</v>
      </c>
      <c r="CB54" s="70">
        <f t="shared" si="49"/>
        <v>499620965419.54901</v>
      </c>
      <c r="CC54" s="70">
        <f t="shared" si="49"/>
        <v>610085159257.67358</v>
      </c>
      <c r="CD54" s="70">
        <f t="shared" si="49"/>
        <v>744972544215.81641</v>
      </c>
      <c r="CE54" s="70">
        <f t="shared" si="49"/>
        <v>909682990095.76172</v>
      </c>
      <c r="CF54" s="70">
        <f t="shared" si="49"/>
        <v>1110810256299.262</v>
      </c>
      <c r="CG54" s="70">
        <f t="shared" si="49"/>
        <v>1356405956039.9971</v>
      </c>
      <c r="CH54" s="70">
        <f t="shared" si="49"/>
        <v>1656301881986.2705</v>
      </c>
      <c r="CI54" s="70">
        <f t="shared" si="49"/>
        <v>2022503596813.1829</v>
      </c>
      <c r="CJ54" s="70">
        <f t="shared" si="49"/>
        <v>2469671045050.5293</v>
      </c>
      <c r="CK54" s="70">
        <f t="shared" si="49"/>
        <v>3015705426286.5967</v>
      </c>
      <c r="CL54" s="70">
        <f t="shared" si="49"/>
        <v>3682465823688.3364</v>
      </c>
      <c r="CM54" s="70">
        <f t="shared" si="49"/>
        <v>4496644275968.4121</v>
      </c>
      <c r="CN54" s="70">
        <f t="shared" si="49"/>
        <v>5490834325264.0459</v>
      </c>
      <c r="CO54" s="70">
        <f t="shared" si="49"/>
        <v>6704835815171.374</v>
      </c>
      <c r="CP54" s="70">
        <f t="shared" si="49"/>
        <v>8187248175405.0879</v>
      </c>
      <c r="CQ54" s="70">
        <f t="shared" si="49"/>
        <v>9997415975068.5293</v>
      </c>
      <c r="CR54" s="70">
        <f t="shared" si="49"/>
        <v>12207804629964.654</v>
      </c>
      <c r="CS54" s="70">
        <f t="shared" si="49"/>
        <v>14906901369284.57</v>
      </c>
      <c r="CT54" s="70">
        <f t="shared" si="49"/>
        <v>18202757594419.676</v>
      </c>
      <c r="CU54" s="70">
        <f t="shared" si="49"/>
        <v>22227314439128.715</v>
      </c>
      <c r="CV54" s="70">
        <f t="shared" si="49"/>
        <v>27141684693744.547</v>
      </c>
      <c r="CW54" s="70">
        <f t="shared" si="49"/>
        <v>33142602541681.891</v>
      </c>
      <c r="CX54" s="70">
        <f t="shared" si="49"/>
        <v>40470299306871.594</v>
      </c>
      <c r="CY54" s="70">
        <f t="shared" si="49"/>
        <v>49418120497170.195</v>
      </c>
      <c r="CZ54" s="70">
        <f t="shared" si="49"/>
        <v>60344269138612.414</v>
      </c>
      <c r="DA54" s="70">
        <f t="shared" si="49"/>
        <v>73686145512307.109</v>
      </c>
      <c r="DB54" s="70">
        <f t="shared" si="49"/>
        <v>89977857350803.266</v>
      </c>
      <c r="DC54" s="70">
        <f t="shared" si="49"/>
        <v>109871601468527.7</v>
      </c>
      <c r="DD54" s="70">
        <f t="shared" si="49"/>
        <v>134163772785131.8</v>
      </c>
      <c r="DE54" s="70">
        <f t="shared" si="49"/>
        <v>163826845949397.63</v>
      </c>
      <c r="DF54" s="70">
        <f t="shared" si="49"/>
        <v>200048305862582.19</v>
      </c>
      <c r="DG54" s="70">
        <f t="shared" si="49"/>
        <v>244278185584652.09</v>
      </c>
      <c r="DH54" s="70">
        <f t="shared" si="49"/>
        <v>298287114681314.13</v>
      </c>
      <c r="DI54" s="70">
        <f t="shared" si="49"/>
        <v>364237201828233.31</v>
      </c>
      <c r="DJ54" s="70">
        <f t="shared" si="49"/>
        <v>444768589275333.25</v>
      </c>
      <c r="DK54" s="70">
        <f t="shared" si="49"/>
        <v>543105144156446.31</v>
      </c>
      <c r="DL54" s="70">
        <f t="shared" si="49"/>
        <v>663183517725568.38</v>
      </c>
      <c r="DM54" s="70">
        <f t="shared" si="49"/>
        <v>809810739072072.75</v>
      </c>
      <c r="DN54" s="70">
        <f t="shared" si="49"/>
        <v>988856652176656.5</v>
      </c>
      <c r="DO54" s="70">
        <f t="shared" si="49"/>
        <v>1207488900029851</v>
      </c>
      <c r="DP54" s="70">
        <f t="shared" si="49"/>
        <v>1474459862798601</v>
      </c>
      <c r="DQ54" s="70">
        <f t="shared" si="49"/>
        <v>1800457036872992.3</v>
      </c>
      <c r="DR54" s="70">
        <f t="shared" si="49"/>
        <v>2198530881317803.8</v>
      </c>
      <c r="DS54" s="70">
        <f t="shared" si="49"/>
        <v>2684617259462024.5</v>
      </c>
      <c r="DT54" s="70">
        <f t="shared" si="49"/>
        <v>3278175390232719</v>
      </c>
      <c r="DU54" s="70">
        <f t="shared" si="49"/>
        <v>4002966847975381.5</v>
      </c>
      <c r="DV54" s="70">
        <f t="shared" si="49"/>
        <v>4888006796016592</v>
      </c>
    </row>
    <row r="55" spans="2:126" x14ac:dyDescent="0.3">
      <c r="B55" t="s">
        <v>83</v>
      </c>
      <c r="F55" s="70">
        <f>F54*((1+$C$53)^(1/12)-1)</f>
        <v>0</v>
      </c>
      <c r="G55" s="70">
        <f t="shared" ref="G55:BR55" si="50">G54*((1+$C$53)^(1/12)-1)</f>
        <v>40218.494675864313</v>
      </c>
      <c r="H55" s="70">
        <f t="shared" si="50"/>
        <v>49312.292434295217</v>
      </c>
      <c r="I55" s="70">
        <f t="shared" si="50"/>
        <v>60684.362197995419</v>
      </c>
      <c r="J55" s="70">
        <f t="shared" si="50"/>
        <v>75105.231817799839</v>
      </c>
      <c r="K55" s="70">
        <f t="shared" si="50"/>
        <v>93683.735373599877</v>
      </c>
      <c r="L55" s="70">
        <f t="shared" si="50"/>
        <v>117960.80556867654</v>
      </c>
      <c r="M55" s="70">
        <f t="shared" si="50"/>
        <v>149957.69833693188</v>
      </c>
      <c r="N55" s="70">
        <f t="shared" si="50"/>
        <v>191087.99544930994</v>
      </c>
      <c r="O55" s="70">
        <f t="shared" si="50"/>
        <v>243889.77590147426</v>
      </c>
      <c r="P55" s="70">
        <f t="shared" si="50"/>
        <v>309953.7714429624</v>
      </c>
      <c r="Q55" s="70">
        <f t="shared" si="50"/>
        <v>378483.30970596883</v>
      </c>
      <c r="R55" s="70">
        <f t="shared" si="50"/>
        <v>462164.45458656107</v>
      </c>
      <c r="S55" s="70">
        <f t="shared" si="50"/>
        <v>564347.16566294339</v>
      </c>
      <c r="T55" s="70">
        <f t="shared" si="50"/>
        <v>689122.06516770646</v>
      </c>
      <c r="U55" s="70">
        <f t="shared" si="50"/>
        <v>841484.195536179</v>
      </c>
      <c r="V55" s="70">
        <f t="shared" si="50"/>
        <v>1027532.9830932729</v>
      </c>
      <c r="W55" s="70">
        <f t="shared" si="50"/>
        <v>1254716.4129111276</v>
      </c>
      <c r="X55" s="70">
        <f t="shared" si="50"/>
        <v>1532129.1897504581</v>
      </c>
      <c r="Y55" s="70">
        <f t="shared" si="50"/>
        <v>1870876.8211926343</v>
      </c>
      <c r="Z55" s="70">
        <f t="shared" si="50"/>
        <v>2284520.1980950045</v>
      </c>
      <c r="AA55" s="70">
        <f t="shared" si="50"/>
        <v>2789618.4700054415</v>
      </c>
      <c r="AB55" s="70">
        <f t="shared" si="50"/>
        <v>3406391.9481581561</v>
      </c>
      <c r="AC55" s="70">
        <f t="shared" si="50"/>
        <v>4159531.5736685973</v>
      </c>
      <c r="AD55" s="70">
        <f t="shared" si="50"/>
        <v>5079187.3559063068</v>
      </c>
      <c r="AE55" s="70">
        <f t="shared" si="50"/>
        <v>6202175.3506357484</v>
      </c>
      <c r="AF55" s="70">
        <f t="shared" si="50"/>
        <v>7573451.4961930951</v>
      </c>
      <c r="AG55" s="70">
        <f t="shared" si="50"/>
        <v>9247911.3089426085</v>
      </c>
      <c r="AH55" s="70">
        <f t="shared" si="50"/>
        <v>11292587.484195074</v>
      </c>
      <c r="AI55" s="70">
        <f t="shared" si="50"/>
        <v>13789333.377893299</v>
      </c>
      <c r="AJ55" s="70">
        <f t="shared" si="50"/>
        <v>16838099.79535754</v>
      </c>
      <c r="AK55" s="70">
        <f t="shared" si="50"/>
        <v>20560106.938753914</v>
      </c>
      <c r="AL55" s="70">
        <f t="shared" si="50"/>
        <v>25105392.171771668</v>
      </c>
      <c r="AM55" s="70">
        <f t="shared" si="50"/>
        <v>30655621.777113948</v>
      </c>
      <c r="AN55" s="70">
        <f t="shared" si="50"/>
        <v>37432984.933169506</v>
      </c>
      <c r="AO55" s="70">
        <f t="shared" si="50"/>
        <v>45708795.956347302</v>
      </c>
      <c r="AP55" s="70">
        <f t="shared" si="50"/>
        <v>55814355.672467321</v>
      </c>
      <c r="AQ55" s="70">
        <f t="shared" si="50"/>
        <v>68154200.842561856</v>
      </c>
      <c r="AR55" s="70">
        <f t="shared" si="50"/>
        <v>83222336.389013961</v>
      </c>
      <c r="AS55" s="70">
        <f t="shared" si="50"/>
        <v>101621976.39393908</v>
      </c>
      <c r="AT55" s="70">
        <f t="shared" si="50"/>
        <v>124089703.15861861</v>
      </c>
      <c r="AU55" s="70">
        <f t="shared" si="50"/>
        <v>151524954.38294557</v>
      </c>
      <c r="AV55" s="70">
        <f t="shared" si="50"/>
        <v>185026029.84222198</v>
      </c>
      <c r="AW55" s="70">
        <f t="shared" si="50"/>
        <v>225934058.99607807</v>
      </c>
      <c r="AX55" s="70">
        <f t="shared" si="50"/>
        <v>275886689.65974104</v>
      </c>
      <c r="AY55" s="70">
        <f t="shared" si="50"/>
        <v>336883647.02563059</v>
      </c>
      <c r="AZ55" s="70">
        <f t="shared" si="50"/>
        <v>411366787.5222258</v>
      </c>
      <c r="BA55" s="70">
        <f t="shared" si="50"/>
        <v>502317852.26070946</v>
      </c>
      <c r="BB55" s="70">
        <f t="shared" si="50"/>
        <v>613377833.37740231</v>
      </c>
      <c r="BC55" s="70">
        <f t="shared" si="50"/>
        <v>748992681.88504744</v>
      </c>
      <c r="BD55" s="70">
        <f t="shared" si="50"/>
        <v>914591430.59358668</v>
      </c>
      <c r="BE55" s="70">
        <f t="shared" si="50"/>
        <v>1116803399.8256133</v>
      </c>
      <c r="BF55" s="70">
        <f t="shared" si="50"/>
        <v>1363723626.0929122</v>
      </c>
      <c r="BG55" s="70">
        <f t="shared" si="50"/>
        <v>1665236926.0792997</v>
      </c>
      <c r="BH55" s="70">
        <f t="shared" si="50"/>
        <v>2033413609.8729875</v>
      </c>
      <c r="BI55" s="70">
        <f t="shared" si="50"/>
        <v>2482992684.8107672</v>
      </c>
      <c r="BJ55" s="70">
        <f t="shared" si="50"/>
        <v>3031972122.6205249</v>
      </c>
      <c r="BK55" s="70">
        <f t="shared" si="50"/>
        <v>3702328716.8166847</v>
      </c>
      <c r="BL55" s="70">
        <f t="shared" si="50"/>
        <v>4520898470.8590965</v>
      </c>
      <c r="BM55" s="70">
        <f t="shared" si="50"/>
        <v>5520450721.1603479</v>
      </c>
      <c r="BN55" s="70">
        <f t="shared" si="50"/>
        <v>6740999973.2532005</v>
      </c>
      <c r="BO55" s="70">
        <f t="shared" si="50"/>
        <v>8231407727.9999924</v>
      </c>
      <c r="BP55" s="70">
        <f t="shared" si="50"/>
        <v>10051338671.901453</v>
      </c>
      <c r="BQ55" s="70">
        <f t="shared" si="50"/>
        <v>12273649063.149225</v>
      </c>
      <c r="BR55" s="70">
        <f t="shared" si="50"/>
        <v>14987303387.010885</v>
      </c>
      <c r="BS55" s="70">
        <f t="shared" ref="BS55:DV55" si="51">BS54*((1+$C$53)^(1/12)-1)</f>
        <v>18300935820.362564</v>
      </c>
      <c r="BT55" s="70">
        <f t="shared" si="51"/>
        <v>22347199121.774841</v>
      </c>
      <c r="BU55" s="70">
        <f t="shared" si="51"/>
        <v>27288075043.789986</v>
      </c>
      <c r="BV55" s="70">
        <f t="shared" si="51"/>
        <v>33321358856.098583</v>
      </c>
      <c r="BW55" s="70">
        <f t="shared" si="51"/>
        <v>40688577570.835892</v>
      </c>
      <c r="BX55" s="70">
        <f t="shared" si="51"/>
        <v>49684658855.798233</v>
      </c>
      <c r="BY55" s="70">
        <f t="shared" si="51"/>
        <v>60669737705.671303</v>
      </c>
      <c r="BZ55" s="70">
        <f t="shared" si="51"/>
        <v>74083573521.010254</v>
      </c>
      <c r="CA55" s="70">
        <f t="shared" si="51"/>
        <v>90463154692.162582</v>
      </c>
      <c r="CB55" s="70">
        <f t="shared" si="51"/>
        <v>110464195700.29279</v>
      </c>
      <c r="CC55" s="70">
        <f t="shared" si="51"/>
        <v>134887386820.31104</v>
      </c>
      <c r="CD55" s="70">
        <f t="shared" si="51"/>
        <v>164710447742.11359</v>
      </c>
      <c r="CE55" s="70">
        <f t="shared" si="51"/>
        <v>201127268065.66852</v>
      </c>
      <c r="CF55" s="70">
        <f t="shared" si="51"/>
        <v>245595701602.90338</v>
      </c>
      <c r="CG55" s="70">
        <f t="shared" si="51"/>
        <v>299895927808.44159</v>
      </c>
      <c r="CH55" s="70">
        <f t="shared" si="51"/>
        <v>366201716689.08063</v>
      </c>
      <c r="CI55" s="70">
        <f t="shared" si="51"/>
        <v>447167450099.51459</v>
      </c>
      <c r="CJ55" s="70">
        <f t="shared" si="51"/>
        <v>546034383098.23547</v>
      </c>
      <c r="CK55" s="70">
        <f t="shared" si="51"/>
        <v>666760399263.90771</v>
      </c>
      <c r="CL55" s="70">
        <f t="shared" si="51"/>
        <v>814178454392.84265</v>
      </c>
      <c r="CM55" s="70">
        <f t="shared" si="51"/>
        <v>994190051408.40039</v>
      </c>
      <c r="CN55" s="70">
        <f t="shared" si="51"/>
        <v>1214001492020.0947</v>
      </c>
      <c r="CO55" s="70">
        <f t="shared" si="51"/>
        <v>1482412362346.4802</v>
      </c>
      <c r="CP55" s="70">
        <f t="shared" si="51"/>
        <v>1810167801776.2097</v>
      </c>
      <c r="CQ55" s="70">
        <f t="shared" si="51"/>
        <v>2210388657008.8931</v>
      </c>
      <c r="CR55" s="70">
        <f t="shared" si="51"/>
        <v>2699096741432.6831</v>
      </c>
      <c r="CS55" s="70">
        <f t="shared" si="51"/>
        <v>3295856227247.8701</v>
      </c>
      <c r="CT55" s="70">
        <f t="shared" si="51"/>
        <v>4024556846821.8042</v>
      </c>
      <c r="CU55" s="70">
        <f t="shared" si="51"/>
        <v>4914370256728.5957</v>
      </c>
      <c r="CV55" s="70">
        <f t="shared" si="51"/>
        <v>6000917850050.1074</v>
      </c>
      <c r="CW55" s="70">
        <f t="shared" si="51"/>
        <v>7327696767302.4727</v>
      </c>
      <c r="CX55" s="70">
        <f t="shared" si="51"/>
        <v>8947821192670.8027</v>
      </c>
      <c r="CY55" s="70">
        <f t="shared" si="51"/>
        <v>10926148643814.424</v>
      </c>
      <c r="CZ55" s="70">
        <f t="shared" si="51"/>
        <v>13341876376066.904</v>
      </c>
      <c r="DA55" s="70">
        <f t="shared" si="51"/>
        <v>16291711840868.352</v>
      </c>
      <c r="DB55" s="70">
        <f t="shared" si="51"/>
        <v>19893744120096.641</v>
      </c>
      <c r="DC55" s="70">
        <f t="shared" si="51"/>
        <v>24292171318976.305</v>
      </c>
      <c r="DD55" s="70">
        <f t="shared" si="51"/>
        <v>29663073166638.035</v>
      </c>
      <c r="DE55" s="70">
        <f t="shared" si="51"/>
        <v>36221459915556.789</v>
      </c>
      <c r="DF55" s="70">
        <f t="shared" si="51"/>
        <v>44229879724442.117</v>
      </c>
      <c r="DG55" s="70">
        <f t="shared" si="51"/>
        <v>54008929099034.219</v>
      </c>
      <c r="DH55" s="70">
        <f t="shared" si="51"/>
        <v>65950087149291.398</v>
      </c>
      <c r="DI55" s="70">
        <f t="shared" si="51"/>
        <v>80531387449472.109</v>
      </c>
      <c r="DJ55" s="70">
        <f t="shared" si="51"/>
        <v>98336554883753.828</v>
      </c>
      <c r="DK55" s="70">
        <f t="shared" si="51"/>
        <v>120078373571762.84</v>
      </c>
      <c r="DL55" s="70">
        <f t="shared" si="51"/>
        <v>146627221349145.09</v>
      </c>
      <c r="DM55" s="70">
        <f t="shared" si="51"/>
        <v>179045913107224.5</v>
      </c>
      <c r="DN55" s="70">
        <f t="shared" si="51"/>
        <v>218632247855835.28</v>
      </c>
      <c r="DO55" s="70">
        <f t="shared" si="51"/>
        <v>266970962771390.78</v>
      </c>
      <c r="DP55" s="70">
        <f t="shared" si="51"/>
        <v>325997174077032</v>
      </c>
      <c r="DQ55" s="70">
        <f t="shared" si="51"/>
        <v>398073844447452.25</v>
      </c>
      <c r="DR55" s="70">
        <f t="shared" si="51"/>
        <v>486086378146861.75</v>
      </c>
      <c r="DS55" s="70">
        <f t="shared" si="51"/>
        <v>593558130773335.5</v>
      </c>
      <c r="DT55" s="70">
        <f t="shared" si="51"/>
        <v>724791457745303.38</v>
      </c>
      <c r="DU55" s="70">
        <f t="shared" si="51"/>
        <v>885039948043851.75</v>
      </c>
      <c r="DV55" s="70">
        <f t="shared" si="51"/>
        <v>1080718738146073.4</v>
      </c>
    </row>
    <row r="56" spans="2:126" x14ac:dyDescent="0.3">
      <c r="B56" t="s">
        <v>79</v>
      </c>
      <c r="F56" s="70">
        <f>F42</f>
        <v>181905.12328713818</v>
      </c>
      <c r="G56" s="70">
        <f t="shared" ref="G56:BR56" si="52">G42</f>
        <v>912.04528411059755</v>
      </c>
      <c r="H56" s="70">
        <f t="shared" si="52"/>
        <v>2122.6946050690854</v>
      </c>
      <c r="I56" s="70">
        <f t="shared" si="52"/>
        <v>4540.1094596298981</v>
      </c>
      <c r="J56" s="70">
        <f t="shared" si="52"/>
        <v>8923.8947580499243</v>
      </c>
      <c r="K56" s="70">
        <f t="shared" si="52"/>
        <v>16119.564886071646</v>
      </c>
      <c r="L56" s="70">
        <f t="shared" si="52"/>
        <v>26758.651753721148</v>
      </c>
      <c r="M56" s="70">
        <f t="shared" si="52"/>
        <v>36071.436451986388</v>
      </c>
      <c r="N56" s="70">
        <f t="shared" si="52"/>
        <v>47730.350695688947</v>
      </c>
      <c r="O56" s="70">
        <f t="shared" si="52"/>
        <v>54912.537578128577</v>
      </c>
      <c r="P56" s="70">
        <f t="shared" si="52"/>
        <v>0</v>
      </c>
      <c r="Q56" s="70">
        <f t="shared" si="52"/>
        <v>0</v>
      </c>
      <c r="R56" s="70">
        <f t="shared" si="52"/>
        <v>0</v>
      </c>
      <c r="S56" s="70">
        <f t="shared" si="52"/>
        <v>0</v>
      </c>
      <c r="T56" s="70">
        <f t="shared" si="52"/>
        <v>0</v>
      </c>
      <c r="U56" s="70">
        <f t="shared" si="52"/>
        <v>0</v>
      </c>
      <c r="V56" s="70">
        <f t="shared" si="52"/>
        <v>0</v>
      </c>
      <c r="W56" s="70">
        <f t="shared" si="52"/>
        <v>0</v>
      </c>
      <c r="X56" s="70">
        <f t="shared" si="52"/>
        <v>0</v>
      </c>
      <c r="Y56" s="70">
        <f t="shared" si="52"/>
        <v>0</v>
      </c>
      <c r="Z56" s="70">
        <f t="shared" si="52"/>
        <v>0</v>
      </c>
      <c r="AA56" s="70">
        <f t="shared" si="52"/>
        <v>0</v>
      </c>
      <c r="AB56" s="70">
        <f t="shared" si="52"/>
        <v>0</v>
      </c>
      <c r="AC56" s="70">
        <f t="shared" si="52"/>
        <v>0</v>
      </c>
      <c r="AD56" s="70">
        <f t="shared" si="52"/>
        <v>0</v>
      </c>
      <c r="AE56" s="70">
        <f t="shared" si="52"/>
        <v>0</v>
      </c>
      <c r="AF56" s="70">
        <f t="shared" si="52"/>
        <v>0</v>
      </c>
      <c r="AG56" s="70">
        <f t="shared" si="52"/>
        <v>0</v>
      </c>
      <c r="AH56" s="70">
        <f t="shared" si="52"/>
        <v>0</v>
      </c>
      <c r="AI56" s="70">
        <f t="shared" si="52"/>
        <v>0</v>
      </c>
      <c r="AJ56" s="70">
        <f t="shared" si="52"/>
        <v>0</v>
      </c>
      <c r="AK56" s="70">
        <f t="shared" si="52"/>
        <v>0</v>
      </c>
      <c r="AL56" s="70">
        <f t="shared" si="52"/>
        <v>0</v>
      </c>
      <c r="AM56" s="70">
        <f t="shared" si="52"/>
        <v>0</v>
      </c>
      <c r="AN56" s="70">
        <f t="shared" si="52"/>
        <v>0</v>
      </c>
      <c r="AO56" s="70">
        <f t="shared" si="52"/>
        <v>0</v>
      </c>
      <c r="AP56" s="70">
        <f t="shared" si="52"/>
        <v>0</v>
      </c>
      <c r="AQ56" s="70">
        <f t="shared" si="52"/>
        <v>0</v>
      </c>
      <c r="AR56" s="70">
        <f t="shared" si="52"/>
        <v>0</v>
      </c>
      <c r="AS56" s="70">
        <f t="shared" si="52"/>
        <v>0</v>
      </c>
      <c r="AT56" s="70">
        <f t="shared" si="52"/>
        <v>0</v>
      </c>
      <c r="AU56" s="70">
        <f t="shared" si="52"/>
        <v>0</v>
      </c>
      <c r="AV56" s="70">
        <f t="shared" si="52"/>
        <v>0</v>
      </c>
      <c r="AW56" s="70">
        <f t="shared" si="52"/>
        <v>0</v>
      </c>
      <c r="AX56" s="70">
        <f t="shared" si="52"/>
        <v>0</v>
      </c>
      <c r="AY56" s="70">
        <f t="shared" si="52"/>
        <v>0</v>
      </c>
      <c r="AZ56" s="70">
        <f t="shared" si="52"/>
        <v>0</v>
      </c>
      <c r="BA56" s="70">
        <f t="shared" si="52"/>
        <v>0</v>
      </c>
      <c r="BB56" s="70">
        <f t="shared" si="52"/>
        <v>0</v>
      </c>
      <c r="BC56" s="70">
        <f t="shared" si="52"/>
        <v>0</v>
      </c>
      <c r="BD56" s="70">
        <f t="shared" si="52"/>
        <v>0</v>
      </c>
      <c r="BE56" s="70">
        <f t="shared" si="52"/>
        <v>0</v>
      </c>
      <c r="BF56" s="70">
        <f t="shared" si="52"/>
        <v>0</v>
      </c>
      <c r="BG56" s="70">
        <f t="shared" si="52"/>
        <v>0</v>
      </c>
      <c r="BH56" s="70">
        <f t="shared" si="52"/>
        <v>0</v>
      </c>
      <c r="BI56" s="70">
        <f t="shared" si="52"/>
        <v>0</v>
      </c>
      <c r="BJ56" s="70">
        <f t="shared" si="52"/>
        <v>0</v>
      </c>
      <c r="BK56" s="70">
        <f t="shared" si="52"/>
        <v>0</v>
      </c>
      <c r="BL56" s="70">
        <f t="shared" si="52"/>
        <v>0</v>
      </c>
      <c r="BM56" s="70">
        <f t="shared" si="52"/>
        <v>0</v>
      </c>
      <c r="BN56" s="70">
        <f t="shared" si="52"/>
        <v>0</v>
      </c>
      <c r="BO56" s="70">
        <f t="shared" si="52"/>
        <v>0</v>
      </c>
      <c r="BP56" s="70">
        <f t="shared" si="52"/>
        <v>0</v>
      </c>
      <c r="BQ56" s="70">
        <f t="shared" si="52"/>
        <v>0</v>
      </c>
      <c r="BR56" s="70">
        <f t="shared" si="52"/>
        <v>0</v>
      </c>
      <c r="BS56" s="70">
        <f t="shared" ref="BS56:DV56" si="53">BS42</f>
        <v>0</v>
      </c>
      <c r="BT56" s="70">
        <f t="shared" si="53"/>
        <v>0</v>
      </c>
      <c r="BU56" s="70">
        <f t="shared" si="53"/>
        <v>0</v>
      </c>
      <c r="BV56" s="70">
        <f t="shared" si="53"/>
        <v>0</v>
      </c>
      <c r="BW56" s="70">
        <f t="shared" si="53"/>
        <v>0</v>
      </c>
      <c r="BX56" s="70">
        <f t="shared" si="53"/>
        <v>0</v>
      </c>
      <c r="BY56" s="70">
        <f t="shared" si="53"/>
        <v>0</v>
      </c>
      <c r="BZ56" s="70">
        <f t="shared" si="53"/>
        <v>0</v>
      </c>
      <c r="CA56" s="70">
        <f t="shared" si="53"/>
        <v>0</v>
      </c>
      <c r="CB56" s="70">
        <f t="shared" si="53"/>
        <v>0</v>
      </c>
      <c r="CC56" s="70">
        <f t="shared" si="53"/>
        <v>0</v>
      </c>
      <c r="CD56" s="70">
        <f t="shared" si="53"/>
        <v>0</v>
      </c>
      <c r="CE56" s="70">
        <f t="shared" si="53"/>
        <v>0</v>
      </c>
      <c r="CF56" s="70">
        <f t="shared" si="53"/>
        <v>0</v>
      </c>
      <c r="CG56" s="70">
        <f t="shared" si="53"/>
        <v>0</v>
      </c>
      <c r="CH56" s="70">
        <f t="shared" si="53"/>
        <v>0</v>
      </c>
      <c r="CI56" s="70">
        <f t="shared" si="53"/>
        <v>0</v>
      </c>
      <c r="CJ56" s="70">
        <f t="shared" si="53"/>
        <v>0</v>
      </c>
      <c r="CK56" s="70">
        <f t="shared" si="53"/>
        <v>0</v>
      </c>
      <c r="CL56" s="70">
        <f t="shared" si="53"/>
        <v>0</v>
      </c>
      <c r="CM56" s="70">
        <f t="shared" si="53"/>
        <v>0</v>
      </c>
      <c r="CN56" s="70">
        <f t="shared" si="53"/>
        <v>0</v>
      </c>
      <c r="CO56" s="70">
        <f t="shared" si="53"/>
        <v>0</v>
      </c>
      <c r="CP56" s="70">
        <f t="shared" si="53"/>
        <v>0</v>
      </c>
      <c r="CQ56" s="70">
        <f t="shared" si="53"/>
        <v>0</v>
      </c>
      <c r="CR56" s="70">
        <f t="shared" si="53"/>
        <v>0</v>
      </c>
      <c r="CS56" s="70">
        <f t="shared" si="53"/>
        <v>0</v>
      </c>
      <c r="CT56" s="70">
        <f t="shared" si="53"/>
        <v>0</v>
      </c>
      <c r="CU56" s="70">
        <f t="shared" si="53"/>
        <v>0</v>
      </c>
      <c r="CV56" s="70">
        <f t="shared" si="53"/>
        <v>0</v>
      </c>
      <c r="CW56" s="70">
        <f t="shared" si="53"/>
        <v>0</v>
      </c>
      <c r="CX56" s="70">
        <f t="shared" si="53"/>
        <v>0</v>
      </c>
      <c r="CY56" s="70">
        <f t="shared" si="53"/>
        <v>0</v>
      </c>
      <c r="CZ56" s="70">
        <f t="shared" si="53"/>
        <v>0</v>
      </c>
      <c r="DA56" s="70">
        <f t="shared" si="53"/>
        <v>0</v>
      </c>
      <c r="DB56" s="70">
        <f t="shared" si="53"/>
        <v>0</v>
      </c>
      <c r="DC56" s="70">
        <f t="shared" si="53"/>
        <v>0</v>
      </c>
      <c r="DD56" s="70">
        <f t="shared" si="53"/>
        <v>0</v>
      </c>
      <c r="DE56" s="70">
        <f t="shared" si="53"/>
        <v>0</v>
      </c>
      <c r="DF56" s="70">
        <f t="shared" si="53"/>
        <v>0</v>
      </c>
      <c r="DG56" s="70">
        <f t="shared" si="53"/>
        <v>0</v>
      </c>
      <c r="DH56" s="70">
        <f t="shared" si="53"/>
        <v>0</v>
      </c>
      <c r="DI56" s="70">
        <f t="shared" si="53"/>
        <v>0</v>
      </c>
      <c r="DJ56" s="70">
        <f t="shared" si="53"/>
        <v>0</v>
      </c>
      <c r="DK56" s="70">
        <f t="shared" si="53"/>
        <v>0</v>
      </c>
      <c r="DL56" s="70">
        <f t="shared" si="53"/>
        <v>0</v>
      </c>
      <c r="DM56" s="70">
        <f t="shared" si="53"/>
        <v>0</v>
      </c>
      <c r="DN56" s="70">
        <f t="shared" si="53"/>
        <v>0</v>
      </c>
      <c r="DO56" s="70">
        <f t="shared" si="53"/>
        <v>0</v>
      </c>
      <c r="DP56" s="70">
        <f t="shared" si="53"/>
        <v>0</v>
      </c>
      <c r="DQ56" s="70">
        <f t="shared" si="53"/>
        <v>0</v>
      </c>
      <c r="DR56" s="70">
        <f t="shared" si="53"/>
        <v>0</v>
      </c>
      <c r="DS56" s="70">
        <f t="shared" si="53"/>
        <v>0</v>
      </c>
      <c r="DT56" s="70">
        <f t="shared" si="53"/>
        <v>0</v>
      </c>
      <c r="DU56" s="70">
        <f t="shared" si="53"/>
        <v>0</v>
      </c>
      <c r="DV56" s="70">
        <f t="shared" si="53"/>
        <v>0</v>
      </c>
    </row>
    <row r="57" spans="2:126" x14ac:dyDescent="0.3">
      <c r="B57" t="s">
        <v>7</v>
      </c>
      <c r="F57" s="70">
        <f>F47</f>
        <v>0</v>
      </c>
      <c r="G57" s="70">
        <f t="shared" ref="G57:BR57" si="54">G47</f>
        <v>0</v>
      </c>
      <c r="H57" s="70">
        <f t="shared" si="54"/>
        <v>0</v>
      </c>
      <c r="I57" s="70">
        <f t="shared" si="54"/>
        <v>0</v>
      </c>
      <c r="J57" s="70">
        <f t="shared" si="54"/>
        <v>0</v>
      </c>
      <c r="K57" s="70">
        <f t="shared" si="54"/>
        <v>0</v>
      </c>
      <c r="L57" s="70">
        <f t="shared" si="54"/>
        <v>0</v>
      </c>
      <c r="M57" s="70">
        <f t="shared" si="54"/>
        <v>0</v>
      </c>
      <c r="N57" s="70">
        <f t="shared" si="54"/>
        <v>0</v>
      </c>
      <c r="O57" s="70">
        <f t="shared" si="54"/>
        <v>0</v>
      </c>
      <c r="P57" s="70">
        <f t="shared" si="54"/>
        <v>0</v>
      </c>
      <c r="Q57" s="70">
        <f t="shared" si="54"/>
        <v>0</v>
      </c>
      <c r="R57" s="70">
        <f t="shared" si="54"/>
        <v>0</v>
      </c>
      <c r="S57" s="70">
        <f t="shared" si="54"/>
        <v>0</v>
      </c>
      <c r="T57" s="70">
        <f t="shared" si="54"/>
        <v>0</v>
      </c>
      <c r="U57" s="70">
        <f t="shared" si="54"/>
        <v>0</v>
      </c>
      <c r="V57" s="70">
        <f t="shared" si="54"/>
        <v>0</v>
      </c>
      <c r="W57" s="70">
        <f t="shared" si="54"/>
        <v>0</v>
      </c>
      <c r="X57" s="70">
        <f t="shared" si="54"/>
        <v>0</v>
      </c>
      <c r="Y57" s="70">
        <f t="shared" si="54"/>
        <v>0</v>
      </c>
      <c r="Z57" s="70">
        <f t="shared" si="54"/>
        <v>0</v>
      </c>
      <c r="AA57" s="70">
        <f t="shared" si="54"/>
        <v>0</v>
      </c>
      <c r="AB57" s="70">
        <f t="shared" si="54"/>
        <v>0</v>
      </c>
      <c r="AC57" s="70">
        <f t="shared" si="54"/>
        <v>0</v>
      </c>
      <c r="AD57" s="70">
        <f t="shared" si="54"/>
        <v>0</v>
      </c>
      <c r="AE57" s="70">
        <f t="shared" si="54"/>
        <v>0</v>
      </c>
      <c r="AF57" s="70">
        <f t="shared" si="54"/>
        <v>0</v>
      </c>
      <c r="AG57" s="70">
        <f t="shared" si="54"/>
        <v>0</v>
      </c>
      <c r="AH57" s="70">
        <f t="shared" si="54"/>
        <v>0</v>
      </c>
      <c r="AI57" s="70">
        <f t="shared" si="54"/>
        <v>0</v>
      </c>
      <c r="AJ57" s="70">
        <f t="shared" si="54"/>
        <v>3750.9776869732491</v>
      </c>
      <c r="AK57" s="70">
        <f t="shared" si="54"/>
        <v>2135.3550117950435</v>
      </c>
      <c r="AL57" s="70">
        <f t="shared" si="54"/>
        <v>2135.3550117950435</v>
      </c>
      <c r="AM57" s="70">
        <f t="shared" si="54"/>
        <v>2135.3550117950435</v>
      </c>
      <c r="AN57" s="70">
        <f t="shared" si="54"/>
        <v>2135.3550117950435</v>
      </c>
      <c r="AO57" s="70">
        <f t="shared" si="54"/>
        <v>2135.3550117950435</v>
      </c>
      <c r="AP57" s="70">
        <f t="shared" si="54"/>
        <v>2195.7420433820471</v>
      </c>
      <c r="AQ57" s="70">
        <f t="shared" si="54"/>
        <v>2195.7420433820471</v>
      </c>
      <c r="AR57" s="70">
        <f t="shared" si="54"/>
        <v>2195.7420433820471</v>
      </c>
      <c r="AS57" s="70">
        <f t="shared" si="54"/>
        <v>2195.7420433820471</v>
      </c>
      <c r="AT57" s="70">
        <f t="shared" si="54"/>
        <v>2195.7420433820471</v>
      </c>
      <c r="AU57" s="70">
        <f t="shared" si="54"/>
        <v>2195.7420433820471</v>
      </c>
      <c r="AV57" s="70">
        <f t="shared" si="54"/>
        <v>2195.7420433820471</v>
      </c>
      <c r="AW57" s="70">
        <f t="shared" si="54"/>
        <v>2195.7420433820471</v>
      </c>
      <c r="AX57" s="70">
        <f t="shared" si="54"/>
        <v>2195.7420433820471</v>
      </c>
      <c r="AY57" s="70">
        <f t="shared" si="54"/>
        <v>2195.7420433820471</v>
      </c>
      <c r="AZ57" s="70">
        <f t="shared" si="54"/>
        <v>2195.7420433820471</v>
      </c>
      <c r="BA57" s="70">
        <f t="shared" si="54"/>
        <v>2195.7420433820471</v>
      </c>
      <c r="BB57" s="70">
        <f t="shared" si="54"/>
        <v>2421.4887520277284</v>
      </c>
      <c r="BC57" s="70">
        <f t="shared" si="54"/>
        <v>2421.4887520277284</v>
      </c>
      <c r="BD57" s="70">
        <f t="shared" si="54"/>
        <v>2421.4887520277284</v>
      </c>
      <c r="BE57" s="70">
        <f t="shared" si="54"/>
        <v>2421.4887520277284</v>
      </c>
      <c r="BF57" s="70">
        <f t="shared" si="54"/>
        <v>2421.4887520277284</v>
      </c>
      <c r="BG57" s="70">
        <f t="shared" si="54"/>
        <v>2421.4887520277284</v>
      </c>
      <c r="BH57" s="70">
        <f t="shared" si="54"/>
        <v>2421.4887520277284</v>
      </c>
      <c r="BI57" s="70">
        <f t="shared" si="54"/>
        <v>1386.3617867963922</v>
      </c>
      <c r="BJ57" s="70">
        <f t="shared" si="54"/>
        <v>1386.3617867963922</v>
      </c>
      <c r="BK57" s="70">
        <f t="shared" si="54"/>
        <v>1386.3617867963922</v>
      </c>
      <c r="BL57" s="70">
        <f t="shared" si="54"/>
        <v>1386.3617867963922</v>
      </c>
      <c r="BM57" s="70">
        <f t="shared" si="54"/>
        <v>1386.3617867963922</v>
      </c>
      <c r="BN57" s="70">
        <f t="shared" si="54"/>
        <v>1620.1243690202225</v>
      </c>
      <c r="BO57" s="70">
        <f t="shared" si="54"/>
        <v>1620.1243690202225</v>
      </c>
      <c r="BP57" s="70">
        <f t="shared" si="54"/>
        <v>1620.1243690202225</v>
      </c>
      <c r="BQ57" s="70">
        <f t="shared" si="54"/>
        <v>1620.1243690202225</v>
      </c>
      <c r="BR57" s="70">
        <f t="shared" si="54"/>
        <v>1620.1243690202225</v>
      </c>
      <c r="BS57" s="70">
        <f t="shared" ref="BS57:DV57" si="55">BS47</f>
        <v>1620.1243690202225</v>
      </c>
      <c r="BT57" s="70">
        <f t="shared" si="55"/>
        <v>1620.1243690202225</v>
      </c>
      <c r="BU57" s="70">
        <f t="shared" si="55"/>
        <v>1620.1243690202225</v>
      </c>
      <c r="BV57" s="70">
        <f t="shared" si="55"/>
        <v>1620.1243690202225</v>
      </c>
      <c r="BW57" s="70">
        <f t="shared" si="55"/>
        <v>1620.1243690202225</v>
      </c>
      <c r="BX57" s="70">
        <f t="shared" si="55"/>
        <v>1620.1243690202225</v>
      </c>
      <c r="BY57" s="70">
        <f t="shared" si="55"/>
        <v>1620.1243690202225</v>
      </c>
      <c r="BZ57" s="70">
        <f t="shared" si="55"/>
        <v>1862.168170475918</v>
      </c>
      <c r="CA57" s="70">
        <f t="shared" si="55"/>
        <v>1862.168170475918</v>
      </c>
      <c r="CB57" s="70">
        <f t="shared" si="55"/>
        <v>1862.168170475918</v>
      </c>
      <c r="CC57" s="70">
        <f t="shared" si="55"/>
        <v>1862.168170475918</v>
      </c>
      <c r="CD57" s="70">
        <f t="shared" si="55"/>
        <v>1862.168170475918</v>
      </c>
      <c r="CE57" s="70">
        <f t="shared" si="55"/>
        <v>1862.168170475918</v>
      </c>
      <c r="CF57" s="70">
        <f t="shared" si="55"/>
        <v>1862.168170475918</v>
      </c>
      <c r="CG57" s="70">
        <f t="shared" si="55"/>
        <v>1862.168170475918</v>
      </c>
      <c r="CH57" s="70">
        <f t="shared" si="55"/>
        <v>1862.168170475918</v>
      </c>
      <c r="CI57" s="70">
        <f t="shared" si="55"/>
        <v>1862.168170475918</v>
      </c>
      <c r="CJ57" s="70">
        <f t="shared" si="55"/>
        <v>1862.168170475918</v>
      </c>
      <c r="CK57" s="70">
        <f t="shared" si="55"/>
        <v>1862.168170475918</v>
      </c>
      <c r="CL57" s="70">
        <f t="shared" si="55"/>
        <v>2112.7669945757439</v>
      </c>
      <c r="CM57" s="70">
        <f t="shared" si="55"/>
        <v>2112.7669945757439</v>
      </c>
      <c r="CN57" s="70">
        <f t="shared" si="55"/>
        <v>2112.7669945757439</v>
      </c>
      <c r="CO57" s="70">
        <f t="shared" si="55"/>
        <v>2112.7669945757439</v>
      </c>
      <c r="CP57" s="70">
        <f t="shared" si="55"/>
        <v>2112.7669945757439</v>
      </c>
      <c r="CQ57" s="70">
        <f t="shared" si="55"/>
        <v>2112.7669945757439</v>
      </c>
      <c r="CR57" s="70">
        <f t="shared" si="55"/>
        <v>2112.7669945757439</v>
      </c>
      <c r="CS57" s="70">
        <f t="shared" si="55"/>
        <v>2112.7669945757439</v>
      </c>
      <c r="CT57" s="70">
        <f t="shared" si="55"/>
        <v>2112.7669945757439</v>
      </c>
      <c r="CU57" s="70">
        <f t="shared" si="55"/>
        <v>2112.7669945757439</v>
      </c>
      <c r="CV57" s="70">
        <f t="shared" si="55"/>
        <v>2112.7669945757439</v>
      </c>
      <c r="CW57" s="70">
        <f t="shared" si="55"/>
        <v>2112.7669945757439</v>
      </c>
      <c r="CX57" s="70">
        <f t="shared" si="55"/>
        <v>2372.2033661710238</v>
      </c>
      <c r="CY57" s="70">
        <f t="shared" si="55"/>
        <v>2372.2033661710238</v>
      </c>
      <c r="CZ57" s="70">
        <f t="shared" si="55"/>
        <v>2372.2033661710238</v>
      </c>
      <c r="DA57" s="70">
        <f t="shared" si="55"/>
        <v>2372.2033661710238</v>
      </c>
      <c r="DB57" s="70">
        <f t="shared" si="55"/>
        <v>2372.2033661710238</v>
      </c>
      <c r="DC57" s="70">
        <f t="shared" si="55"/>
        <v>2372.2033661710238</v>
      </c>
      <c r="DD57" s="70">
        <f t="shared" si="55"/>
        <v>2372.2033661710238</v>
      </c>
      <c r="DE57" s="70">
        <f t="shared" si="55"/>
        <v>2372.2033661710238</v>
      </c>
      <c r="DF57" s="70">
        <f t="shared" si="55"/>
        <v>2372.2033661710238</v>
      </c>
      <c r="DG57" s="70">
        <f t="shared" si="55"/>
        <v>2372.2033661710238</v>
      </c>
      <c r="DH57" s="70">
        <f t="shared" si="55"/>
        <v>2372.2033661710238</v>
      </c>
      <c r="DI57" s="70">
        <f t="shared" si="55"/>
        <v>2372.2033661710238</v>
      </c>
      <c r="DJ57" s="70">
        <f t="shared" si="55"/>
        <v>2640.7688033420845</v>
      </c>
      <c r="DK57" s="70">
        <f t="shared" si="55"/>
        <v>2640.7688033420845</v>
      </c>
      <c r="DL57" s="70">
        <f t="shared" si="55"/>
        <v>2640.7688033420845</v>
      </c>
      <c r="DM57" s="70">
        <f t="shared" si="55"/>
        <v>2640.7688033420845</v>
      </c>
      <c r="DN57" s="70">
        <f t="shared" si="55"/>
        <v>2640.7688033420845</v>
      </c>
      <c r="DO57" s="70">
        <f t="shared" si="55"/>
        <v>2640.7688033420845</v>
      </c>
      <c r="DP57" s="70">
        <f t="shared" si="55"/>
        <v>2640.7688033420845</v>
      </c>
      <c r="DQ57" s="70">
        <f t="shared" si="55"/>
        <v>2640.7688033420845</v>
      </c>
      <c r="DR57" s="70">
        <f t="shared" si="55"/>
        <v>2640.7688033420845</v>
      </c>
      <c r="DS57" s="70">
        <f t="shared" si="55"/>
        <v>2640.7688033420845</v>
      </c>
      <c r="DT57" s="70">
        <f t="shared" si="55"/>
        <v>2640.7688033420845</v>
      </c>
      <c r="DU57" s="70">
        <f t="shared" si="55"/>
        <v>2640.7688033420845</v>
      </c>
      <c r="DV57" s="70">
        <f t="shared" si="55"/>
        <v>1135718.1379326985</v>
      </c>
    </row>
    <row r="58" spans="2:126" x14ac:dyDescent="0.3">
      <c r="B58" t="str">
        <f>"Distributions to Investors "&amp;B52</f>
        <v>Distributions to Investors Hurdle 2</v>
      </c>
      <c r="F58" s="70">
        <f>MIN(F54+F55-F57,F50*$I$11)</f>
        <v>0</v>
      </c>
      <c r="G58" s="70">
        <f t="shared" ref="G58:BR58" si="56">MIN(G54+G55-G57,G50*$I$11)</f>
        <v>0</v>
      </c>
      <c r="H58" s="70">
        <f t="shared" si="56"/>
        <v>0</v>
      </c>
      <c r="I58" s="70">
        <f t="shared" si="56"/>
        <v>0</v>
      </c>
      <c r="J58" s="70">
        <f t="shared" si="56"/>
        <v>0</v>
      </c>
      <c r="K58" s="70">
        <f t="shared" si="56"/>
        <v>0</v>
      </c>
      <c r="L58" s="70">
        <f t="shared" si="56"/>
        <v>0</v>
      </c>
      <c r="M58" s="70">
        <f t="shared" si="56"/>
        <v>0</v>
      </c>
      <c r="N58" s="70">
        <f t="shared" si="56"/>
        <v>0</v>
      </c>
      <c r="O58" s="70">
        <f t="shared" si="56"/>
        <v>0</v>
      </c>
      <c r="P58" s="70">
        <f t="shared" si="56"/>
        <v>0</v>
      </c>
      <c r="Q58" s="70">
        <f t="shared" si="56"/>
        <v>0</v>
      </c>
      <c r="R58" s="70">
        <f t="shared" si="56"/>
        <v>0</v>
      </c>
      <c r="S58" s="70">
        <f t="shared" si="56"/>
        <v>0</v>
      </c>
      <c r="T58" s="70">
        <f t="shared" si="56"/>
        <v>0</v>
      </c>
      <c r="U58" s="70">
        <f t="shared" si="56"/>
        <v>0</v>
      </c>
      <c r="V58" s="70">
        <f t="shared" si="56"/>
        <v>0</v>
      </c>
      <c r="W58" s="70">
        <f t="shared" si="56"/>
        <v>0</v>
      </c>
      <c r="X58" s="70">
        <f t="shared" si="56"/>
        <v>0</v>
      </c>
      <c r="Y58" s="70">
        <f t="shared" si="56"/>
        <v>0</v>
      </c>
      <c r="Z58" s="70">
        <f t="shared" si="56"/>
        <v>0</v>
      </c>
      <c r="AA58" s="70">
        <f t="shared" si="56"/>
        <v>0</v>
      </c>
      <c r="AB58" s="70">
        <f t="shared" si="56"/>
        <v>0</v>
      </c>
      <c r="AC58" s="70">
        <f t="shared" si="56"/>
        <v>0</v>
      </c>
      <c r="AD58" s="70">
        <f t="shared" si="56"/>
        <v>0</v>
      </c>
      <c r="AE58" s="70">
        <f t="shared" si="56"/>
        <v>0</v>
      </c>
      <c r="AF58" s="70">
        <f t="shared" si="56"/>
        <v>0</v>
      </c>
      <c r="AG58" s="70">
        <f t="shared" si="56"/>
        <v>0</v>
      </c>
      <c r="AH58" s="70">
        <f t="shared" si="56"/>
        <v>0</v>
      </c>
      <c r="AI58" s="70">
        <f t="shared" si="56"/>
        <v>0</v>
      </c>
      <c r="AJ58" s="70">
        <f t="shared" si="56"/>
        <v>0</v>
      </c>
      <c r="AK58" s="70">
        <f t="shared" si="56"/>
        <v>2.5920599000528453E-13</v>
      </c>
      <c r="AL58" s="70">
        <f t="shared" si="56"/>
        <v>2.5920599000528453E-13</v>
      </c>
      <c r="AM58" s="70">
        <f t="shared" si="56"/>
        <v>2.5920599000528453E-13</v>
      </c>
      <c r="AN58" s="70">
        <f t="shared" si="56"/>
        <v>2.5920599000528453E-13</v>
      </c>
      <c r="AO58" s="70">
        <f t="shared" si="56"/>
        <v>2.5920599000528453E-13</v>
      </c>
      <c r="AP58" s="70">
        <f t="shared" si="56"/>
        <v>0</v>
      </c>
      <c r="AQ58" s="70">
        <f t="shared" si="56"/>
        <v>0</v>
      </c>
      <c r="AR58" s="70">
        <f t="shared" si="56"/>
        <v>0</v>
      </c>
      <c r="AS58" s="70">
        <f t="shared" si="56"/>
        <v>0</v>
      </c>
      <c r="AT58" s="70">
        <f t="shared" si="56"/>
        <v>0</v>
      </c>
      <c r="AU58" s="70">
        <f t="shared" si="56"/>
        <v>0</v>
      </c>
      <c r="AV58" s="70">
        <f t="shared" si="56"/>
        <v>0</v>
      </c>
      <c r="AW58" s="70">
        <f t="shared" si="56"/>
        <v>0</v>
      </c>
      <c r="AX58" s="70">
        <f t="shared" si="56"/>
        <v>0</v>
      </c>
      <c r="AY58" s="70">
        <f t="shared" si="56"/>
        <v>0</v>
      </c>
      <c r="AZ58" s="70">
        <f t="shared" si="56"/>
        <v>0</v>
      </c>
      <c r="BA58" s="70">
        <f t="shared" si="56"/>
        <v>0</v>
      </c>
      <c r="BB58" s="70">
        <f t="shared" si="56"/>
        <v>0</v>
      </c>
      <c r="BC58" s="70">
        <f t="shared" si="56"/>
        <v>0</v>
      </c>
      <c r="BD58" s="70">
        <f t="shared" si="56"/>
        <v>0</v>
      </c>
      <c r="BE58" s="70">
        <f t="shared" si="56"/>
        <v>0</v>
      </c>
      <c r="BF58" s="70">
        <f t="shared" si="56"/>
        <v>0</v>
      </c>
      <c r="BG58" s="70">
        <f t="shared" si="56"/>
        <v>0</v>
      </c>
      <c r="BH58" s="70">
        <f t="shared" si="56"/>
        <v>0</v>
      </c>
      <c r="BI58" s="70">
        <f t="shared" si="56"/>
        <v>1.2960299500264226E-13</v>
      </c>
      <c r="BJ58" s="70">
        <f t="shared" si="56"/>
        <v>1.2960299500264226E-13</v>
      </c>
      <c r="BK58" s="70">
        <f t="shared" si="56"/>
        <v>1.2960299500264226E-13</v>
      </c>
      <c r="BL58" s="70">
        <f t="shared" si="56"/>
        <v>1.2960299500264226E-13</v>
      </c>
      <c r="BM58" s="70">
        <f t="shared" si="56"/>
        <v>1.2960299500264226E-13</v>
      </c>
      <c r="BN58" s="70">
        <f t="shared" si="56"/>
        <v>0</v>
      </c>
      <c r="BO58" s="70">
        <f t="shared" si="56"/>
        <v>0</v>
      </c>
      <c r="BP58" s="70">
        <f t="shared" si="56"/>
        <v>0</v>
      </c>
      <c r="BQ58" s="70">
        <f t="shared" si="56"/>
        <v>0</v>
      </c>
      <c r="BR58" s="70">
        <f t="shared" si="56"/>
        <v>0</v>
      </c>
      <c r="BS58" s="70">
        <f t="shared" ref="BS58:DV58" si="57">MIN(BS54+BS55-BS57,BS50*$I$11)</f>
        <v>0</v>
      </c>
      <c r="BT58" s="70">
        <f t="shared" si="57"/>
        <v>0</v>
      </c>
      <c r="BU58" s="70">
        <f t="shared" si="57"/>
        <v>0</v>
      </c>
      <c r="BV58" s="70">
        <f t="shared" si="57"/>
        <v>0</v>
      </c>
      <c r="BW58" s="70">
        <f t="shared" si="57"/>
        <v>0</v>
      </c>
      <c r="BX58" s="70">
        <f t="shared" si="57"/>
        <v>0</v>
      </c>
      <c r="BY58" s="70">
        <f t="shared" si="57"/>
        <v>0</v>
      </c>
      <c r="BZ58" s="70">
        <f t="shared" si="57"/>
        <v>0</v>
      </c>
      <c r="CA58" s="70">
        <f t="shared" si="57"/>
        <v>0</v>
      </c>
      <c r="CB58" s="70">
        <f t="shared" si="57"/>
        <v>0</v>
      </c>
      <c r="CC58" s="70">
        <f t="shared" si="57"/>
        <v>0</v>
      </c>
      <c r="CD58" s="70">
        <f t="shared" si="57"/>
        <v>0</v>
      </c>
      <c r="CE58" s="70">
        <f t="shared" si="57"/>
        <v>0</v>
      </c>
      <c r="CF58" s="70">
        <f t="shared" si="57"/>
        <v>0</v>
      </c>
      <c r="CG58" s="70">
        <f t="shared" si="57"/>
        <v>0</v>
      </c>
      <c r="CH58" s="70">
        <f t="shared" si="57"/>
        <v>0</v>
      </c>
      <c r="CI58" s="70">
        <f t="shared" si="57"/>
        <v>0</v>
      </c>
      <c r="CJ58" s="70">
        <f t="shared" si="57"/>
        <v>0</v>
      </c>
      <c r="CK58" s="70">
        <f t="shared" si="57"/>
        <v>0</v>
      </c>
      <c r="CL58" s="70">
        <f t="shared" si="57"/>
        <v>0</v>
      </c>
      <c r="CM58" s="70">
        <f t="shared" si="57"/>
        <v>0</v>
      </c>
      <c r="CN58" s="70">
        <f t="shared" si="57"/>
        <v>0</v>
      </c>
      <c r="CO58" s="70">
        <f t="shared" si="57"/>
        <v>0</v>
      </c>
      <c r="CP58" s="70">
        <f t="shared" si="57"/>
        <v>0</v>
      </c>
      <c r="CQ58" s="70">
        <f t="shared" si="57"/>
        <v>0</v>
      </c>
      <c r="CR58" s="70">
        <f t="shared" si="57"/>
        <v>0</v>
      </c>
      <c r="CS58" s="70">
        <f t="shared" si="57"/>
        <v>0</v>
      </c>
      <c r="CT58" s="70">
        <f t="shared" si="57"/>
        <v>0</v>
      </c>
      <c r="CU58" s="70">
        <f t="shared" si="57"/>
        <v>0</v>
      </c>
      <c r="CV58" s="70">
        <f t="shared" si="57"/>
        <v>0</v>
      </c>
      <c r="CW58" s="70">
        <f t="shared" si="57"/>
        <v>0</v>
      </c>
      <c r="CX58" s="70">
        <f t="shared" si="57"/>
        <v>0</v>
      </c>
      <c r="CY58" s="70">
        <f t="shared" si="57"/>
        <v>0</v>
      </c>
      <c r="CZ58" s="70">
        <f t="shared" si="57"/>
        <v>0</v>
      </c>
      <c r="DA58" s="70">
        <f t="shared" si="57"/>
        <v>0</v>
      </c>
      <c r="DB58" s="70">
        <f t="shared" si="57"/>
        <v>0</v>
      </c>
      <c r="DC58" s="70">
        <f t="shared" si="57"/>
        <v>0</v>
      </c>
      <c r="DD58" s="70">
        <f t="shared" si="57"/>
        <v>0</v>
      </c>
      <c r="DE58" s="70">
        <f t="shared" si="57"/>
        <v>0</v>
      </c>
      <c r="DF58" s="70">
        <f t="shared" si="57"/>
        <v>0</v>
      </c>
      <c r="DG58" s="70">
        <f t="shared" si="57"/>
        <v>0</v>
      </c>
      <c r="DH58" s="70">
        <f t="shared" si="57"/>
        <v>0</v>
      </c>
      <c r="DI58" s="70">
        <f t="shared" si="57"/>
        <v>0</v>
      </c>
      <c r="DJ58" s="70">
        <f t="shared" si="57"/>
        <v>2.5920599000528453E-13</v>
      </c>
      <c r="DK58" s="70">
        <f t="shared" si="57"/>
        <v>2.5920599000528453E-13</v>
      </c>
      <c r="DL58" s="70">
        <f t="shared" si="57"/>
        <v>2.5920599000528453E-13</v>
      </c>
      <c r="DM58" s="70">
        <f t="shared" si="57"/>
        <v>2.5920599000528453E-13</v>
      </c>
      <c r="DN58" s="70">
        <f t="shared" si="57"/>
        <v>2.5920599000528453E-13</v>
      </c>
      <c r="DO58" s="70">
        <f t="shared" si="57"/>
        <v>2.5920599000528453E-13</v>
      </c>
      <c r="DP58" s="70">
        <f t="shared" si="57"/>
        <v>2.5920599000528453E-13</v>
      </c>
      <c r="DQ58" s="70">
        <f t="shared" si="57"/>
        <v>2.5920599000528453E-13</v>
      </c>
      <c r="DR58" s="70">
        <f t="shared" si="57"/>
        <v>2.5920599000528453E-13</v>
      </c>
      <c r="DS58" s="70">
        <f t="shared" si="57"/>
        <v>2.5920599000528453E-13</v>
      </c>
      <c r="DT58" s="70">
        <f t="shared" si="57"/>
        <v>2.5920599000528453E-13</v>
      </c>
      <c r="DU58" s="70">
        <f t="shared" si="57"/>
        <v>2.5920599000528453E-13</v>
      </c>
      <c r="DV58" s="70">
        <f t="shared" si="57"/>
        <v>355397.86241666251</v>
      </c>
    </row>
    <row r="59" spans="2:126" x14ac:dyDescent="0.3">
      <c r="B59" t="s">
        <v>81</v>
      </c>
      <c r="F59" s="70">
        <f>F54+F55+F56-F57-F58</f>
        <v>181905.12328713818</v>
      </c>
      <c r="G59" s="70">
        <f t="shared" ref="G59:BR59" si="58">G54+G55+G56-G57-G58</f>
        <v>223035.66324711309</v>
      </c>
      <c r="H59" s="70">
        <f t="shared" si="58"/>
        <v>274470.65028647735</v>
      </c>
      <c r="I59" s="70">
        <f t="shared" si="58"/>
        <v>339695.12194410269</v>
      </c>
      <c r="J59" s="70">
        <f t="shared" si="58"/>
        <v>423724.24851995247</v>
      </c>
      <c r="K59" s="70">
        <f t="shared" si="58"/>
        <v>533527.54877962393</v>
      </c>
      <c r="L59" s="70">
        <f t="shared" si="58"/>
        <v>678247.00610202167</v>
      </c>
      <c r="M59" s="70">
        <f t="shared" si="58"/>
        <v>864276.14089093998</v>
      </c>
      <c r="N59" s="70">
        <f t="shared" si="58"/>
        <v>1103094.4870359388</v>
      </c>
      <c r="O59" s="70">
        <f t="shared" si="58"/>
        <v>1401896.8005155416</v>
      </c>
      <c r="P59" s="70">
        <f t="shared" si="58"/>
        <v>1711850.5719585039</v>
      </c>
      <c r="Q59" s="70">
        <f t="shared" si="58"/>
        <v>2090333.8816644726</v>
      </c>
      <c r="R59" s="70">
        <f t="shared" si="58"/>
        <v>2552498.3362510335</v>
      </c>
      <c r="S59" s="70">
        <f t="shared" si="58"/>
        <v>3116845.5019139769</v>
      </c>
      <c r="T59" s="70">
        <f t="shared" si="58"/>
        <v>3805967.5670816833</v>
      </c>
      <c r="U59" s="70">
        <f t="shared" si="58"/>
        <v>4647451.7626178619</v>
      </c>
      <c r="V59" s="70">
        <f t="shared" si="58"/>
        <v>5674984.7457111347</v>
      </c>
      <c r="W59" s="70">
        <f t="shared" si="58"/>
        <v>6929701.1586222621</v>
      </c>
      <c r="X59" s="70">
        <f t="shared" si="58"/>
        <v>8461830.3483727202</v>
      </c>
      <c r="Y59" s="70">
        <f t="shared" si="58"/>
        <v>10332707.169565354</v>
      </c>
      <c r="Z59" s="70">
        <f t="shared" si="58"/>
        <v>12617227.367660359</v>
      </c>
      <c r="AA59" s="70">
        <f t="shared" si="58"/>
        <v>15406845.8376658</v>
      </c>
      <c r="AB59" s="70">
        <f t="shared" si="58"/>
        <v>18813237.785823956</v>
      </c>
      <c r="AC59" s="70">
        <f t="shared" si="58"/>
        <v>22972769.359492555</v>
      </c>
      <c r="AD59" s="70">
        <f t="shared" si="58"/>
        <v>28051956.715398863</v>
      </c>
      <c r="AE59" s="70">
        <f t="shared" si="58"/>
        <v>34254132.066034615</v>
      </c>
      <c r="AF59" s="70">
        <f t="shared" si="58"/>
        <v>41827583.562227711</v>
      </c>
      <c r="AG59" s="70">
        <f t="shared" si="58"/>
        <v>51075494.87117032</v>
      </c>
      <c r="AH59" s="70">
        <f t="shared" si="58"/>
        <v>62368082.355365396</v>
      </c>
      <c r="AI59" s="70">
        <f t="shared" si="58"/>
        <v>76157415.733258694</v>
      </c>
      <c r="AJ59" s="70">
        <f t="shared" si="58"/>
        <v>92991764.550929263</v>
      </c>
      <c r="AK59" s="70">
        <f t="shared" si="58"/>
        <v>113549736.13467139</v>
      </c>
      <c r="AL59" s="70">
        <f t="shared" si="58"/>
        <v>138652992.95143127</v>
      </c>
      <c r="AM59" s="70">
        <f t="shared" si="58"/>
        <v>169306479.37353343</v>
      </c>
      <c r="AN59" s="70">
        <f t="shared" si="58"/>
        <v>206737328.95169115</v>
      </c>
      <c r="AO59" s="70">
        <f t="shared" si="58"/>
        <v>252443989.55302665</v>
      </c>
      <c r="AP59" s="70">
        <f t="shared" si="58"/>
        <v>308256149.48345059</v>
      </c>
      <c r="AQ59" s="70">
        <f t="shared" si="58"/>
        <v>376408154.58396906</v>
      </c>
      <c r="AR59" s="70">
        <f t="shared" si="58"/>
        <v>459628295.23093963</v>
      </c>
      <c r="AS59" s="70">
        <f t="shared" si="58"/>
        <v>561248075.88283527</v>
      </c>
      <c r="AT59" s="70">
        <f t="shared" si="58"/>
        <v>685335583.29941046</v>
      </c>
      <c r="AU59" s="70">
        <f t="shared" si="58"/>
        <v>836858341.94031262</v>
      </c>
      <c r="AV59" s="70">
        <f t="shared" si="58"/>
        <v>1021882176.0404912</v>
      </c>
      <c r="AW59" s="70">
        <f t="shared" si="58"/>
        <v>1247814039.2945259</v>
      </c>
      <c r="AX59" s="70">
        <f t="shared" si="58"/>
        <v>1523698533.2122235</v>
      </c>
      <c r="AY59" s="70">
        <f t="shared" si="58"/>
        <v>1860579984.4958105</v>
      </c>
      <c r="AZ59" s="70">
        <f t="shared" si="58"/>
        <v>2271944576.2759929</v>
      </c>
      <c r="BA59" s="70">
        <f t="shared" si="58"/>
        <v>2774260232.7946587</v>
      </c>
      <c r="BB59" s="70">
        <f t="shared" si="58"/>
        <v>3387635644.6833091</v>
      </c>
      <c r="BC59" s="70">
        <f t="shared" si="58"/>
        <v>4136625905.0796046</v>
      </c>
      <c r="BD59" s="70">
        <f t="shared" si="58"/>
        <v>5051214914.1844387</v>
      </c>
      <c r="BE59" s="70">
        <f t="shared" si="58"/>
        <v>6168015892.5212994</v>
      </c>
      <c r="BF59" s="70">
        <f t="shared" si="58"/>
        <v>7531737097.1254597</v>
      </c>
      <c r="BG59" s="70">
        <f t="shared" si="58"/>
        <v>9196971601.7160072</v>
      </c>
      <c r="BH59" s="70">
        <f t="shared" si="58"/>
        <v>11230382790.100243</v>
      </c>
      <c r="BI59" s="70">
        <f t="shared" si="58"/>
        <v>13713374088.549225</v>
      </c>
      <c r="BJ59" s="70">
        <f t="shared" si="58"/>
        <v>16745344824.807964</v>
      </c>
      <c r="BK59" s="70">
        <f t="shared" si="58"/>
        <v>20447672155.262863</v>
      </c>
      <c r="BL59" s="70">
        <f t="shared" si="58"/>
        <v>24968569239.760174</v>
      </c>
      <c r="BM59" s="70">
        <f t="shared" si="58"/>
        <v>30489018574.558735</v>
      </c>
      <c r="BN59" s="70">
        <f t="shared" si="58"/>
        <v>37230016927.687569</v>
      </c>
      <c r="BO59" s="70">
        <f t="shared" si="58"/>
        <v>45461423035.563194</v>
      </c>
      <c r="BP59" s="70">
        <f t="shared" si="58"/>
        <v>55512760087.340279</v>
      </c>
      <c r="BQ59" s="70">
        <f t="shared" si="58"/>
        <v>67786407530.365135</v>
      </c>
      <c r="BR59" s="70">
        <f t="shared" si="58"/>
        <v>82773709297.251648</v>
      </c>
      <c r="BS59" s="70">
        <f t="shared" ref="BS59:DV59" si="59">BS54+BS55+BS56-BS57-BS58</f>
        <v>101074643497.48984</v>
      </c>
      <c r="BT59" s="70">
        <f t="shared" si="59"/>
        <v>123421840999.1403</v>
      </c>
      <c r="BU59" s="70">
        <f t="shared" si="59"/>
        <v>150709914422.80594</v>
      </c>
      <c r="BV59" s="70">
        <f t="shared" si="59"/>
        <v>184031271658.78015</v>
      </c>
      <c r="BW59" s="70">
        <f t="shared" si="59"/>
        <v>224719847609.49167</v>
      </c>
      <c r="BX59" s="70">
        <f t="shared" si="59"/>
        <v>274404504845.16556</v>
      </c>
      <c r="BY59" s="70">
        <f t="shared" si="59"/>
        <v>335074240930.71246</v>
      </c>
      <c r="BZ59" s="70">
        <f t="shared" si="59"/>
        <v>409157812589.55457</v>
      </c>
      <c r="CA59" s="70">
        <f t="shared" si="59"/>
        <v>499620965419.54901</v>
      </c>
      <c r="CB59" s="70">
        <f t="shared" si="59"/>
        <v>610085159257.67358</v>
      </c>
      <c r="CC59" s="70">
        <f t="shared" si="59"/>
        <v>744972544215.81641</v>
      </c>
      <c r="CD59" s="70">
        <f t="shared" si="59"/>
        <v>909682990095.76172</v>
      </c>
      <c r="CE59" s="70">
        <f t="shared" si="59"/>
        <v>1110810256299.262</v>
      </c>
      <c r="CF59" s="70">
        <f t="shared" si="59"/>
        <v>1356405956039.9971</v>
      </c>
      <c r="CG59" s="70">
        <f t="shared" si="59"/>
        <v>1656301881986.2705</v>
      </c>
      <c r="CH59" s="70">
        <f t="shared" si="59"/>
        <v>2022503596813.1829</v>
      </c>
      <c r="CI59" s="70">
        <f t="shared" si="59"/>
        <v>2469671045050.5293</v>
      </c>
      <c r="CJ59" s="70">
        <f t="shared" si="59"/>
        <v>3015705426286.5967</v>
      </c>
      <c r="CK59" s="70">
        <f t="shared" si="59"/>
        <v>3682465823688.3364</v>
      </c>
      <c r="CL59" s="70">
        <f t="shared" si="59"/>
        <v>4496644275968.4121</v>
      </c>
      <c r="CM59" s="70">
        <f t="shared" si="59"/>
        <v>5490834325264.0459</v>
      </c>
      <c r="CN59" s="70">
        <f t="shared" si="59"/>
        <v>6704835815171.374</v>
      </c>
      <c r="CO59" s="70">
        <f t="shared" si="59"/>
        <v>8187248175405.0879</v>
      </c>
      <c r="CP59" s="70">
        <f t="shared" si="59"/>
        <v>9997415975068.5293</v>
      </c>
      <c r="CQ59" s="70">
        <f t="shared" si="59"/>
        <v>12207804629964.654</v>
      </c>
      <c r="CR59" s="70">
        <f t="shared" si="59"/>
        <v>14906901369284.57</v>
      </c>
      <c r="CS59" s="70">
        <f t="shared" si="59"/>
        <v>18202757594419.676</v>
      </c>
      <c r="CT59" s="70">
        <f t="shared" si="59"/>
        <v>22227314439128.715</v>
      </c>
      <c r="CU59" s="70">
        <f t="shared" si="59"/>
        <v>27141684693744.547</v>
      </c>
      <c r="CV59" s="70">
        <f t="shared" si="59"/>
        <v>33142602541681.891</v>
      </c>
      <c r="CW59" s="70">
        <f t="shared" si="59"/>
        <v>40470299306871.594</v>
      </c>
      <c r="CX59" s="70">
        <f t="shared" si="59"/>
        <v>49418120497170.195</v>
      </c>
      <c r="CY59" s="70">
        <f t="shared" si="59"/>
        <v>60344269138612.414</v>
      </c>
      <c r="CZ59" s="70">
        <f t="shared" si="59"/>
        <v>73686145512307.109</v>
      </c>
      <c r="DA59" s="70">
        <f t="shared" si="59"/>
        <v>89977857350803.266</v>
      </c>
      <c r="DB59" s="70">
        <f t="shared" si="59"/>
        <v>109871601468527.7</v>
      </c>
      <c r="DC59" s="70">
        <f t="shared" si="59"/>
        <v>134163772785131.8</v>
      </c>
      <c r="DD59" s="70">
        <f t="shared" si="59"/>
        <v>163826845949397.63</v>
      </c>
      <c r="DE59" s="70">
        <f t="shared" si="59"/>
        <v>200048305862582.19</v>
      </c>
      <c r="DF59" s="70">
        <f t="shared" si="59"/>
        <v>244278185584652.09</v>
      </c>
      <c r="DG59" s="70">
        <f t="shared" si="59"/>
        <v>298287114681314.13</v>
      </c>
      <c r="DH59" s="70">
        <f t="shared" si="59"/>
        <v>364237201828233.31</v>
      </c>
      <c r="DI59" s="70">
        <f t="shared" si="59"/>
        <v>444768589275333.25</v>
      </c>
      <c r="DJ59" s="70">
        <f t="shared" si="59"/>
        <v>543105144156446.31</v>
      </c>
      <c r="DK59" s="70">
        <f t="shared" si="59"/>
        <v>663183517725568.38</v>
      </c>
      <c r="DL59" s="70">
        <f t="shared" si="59"/>
        <v>809810739072072.75</v>
      </c>
      <c r="DM59" s="70">
        <f t="shared" si="59"/>
        <v>988856652176656.5</v>
      </c>
      <c r="DN59" s="70">
        <f t="shared" si="59"/>
        <v>1207488900029851</v>
      </c>
      <c r="DO59" s="70">
        <f t="shared" si="59"/>
        <v>1474459862798601</v>
      </c>
      <c r="DP59" s="70">
        <f t="shared" si="59"/>
        <v>1800457036872992.3</v>
      </c>
      <c r="DQ59" s="70">
        <f t="shared" si="59"/>
        <v>2198530881317803.8</v>
      </c>
      <c r="DR59" s="70">
        <f t="shared" si="59"/>
        <v>2684617259462024.5</v>
      </c>
      <c r="DS59" s="70">
        <f t="shared" si="59"/>
        <v>3278175390232719</v>
      </c>
      <c r="DT59" s="70">
        <f t="shared" si="59"/>
        <v>4002966847975381.5</v>
      </c>
      <c r="DU59" s="70">
        <f t="shared" si="59"/>
        <v>4888006796016592</v>
      </c>
      <c r="DV59" s="70">
        <f t="shared" si="59"/>
        <v>5968725532671549</v>
      </c>
    </row>
    <row r="60" spans="2:126" x14ac:dyDescent="0.3">
      <c r="B60" s="71">
        <f>C53</f>
        <v>9.99</v>
      </c>
      <c r="E60" s="65">
        <f>XIRR(F60:DV60,$F$15:$DV$15)</f>
        <v>0.17829801440238952</v>
      </c>
      <c r="F60" s="70">
        <f>-F56+F57+F58</f>
        <v>-181905.12328713818</v>
      </c>
      <c r="G60" s="70">
        <f t="shared" ref="G60:BR60" si="60">-G56+G57+G58</f>
        <v>-912.04528411059755</v>
      </c>
      <c r="H60" s="70">
        <f t="shared" si="60"/>
        <v>-2122.6946050690854</v>
      </c>
      <c r="I60" s="70">
        <f t="shared" si="60"/>
        <v>-4540.1094596298981</v>
      </c>
      <c r="J60" s="70">
        <f t="shared" si="60"/>
        <v>-8923.8947580499243</v>
      </c>
      <c r="K60" s="70">
        <f t="shared" si="60"/>
        <v>-16119.564886071646</v>
      </c>
      <c r="L60" s="70">
        <f t="shared" si="60"/>
        <v>-26758.651753721148</v>
      </c>
      <c r="M60" s="70">
        <f t="shared" si="60"/>
        <v>-36071.436451986388</v>
      </c>
      <c r="N60" s="70">
        <f t="shared" si="60"/>
        <v>-47730.350695688947</v>
      </c>
      <c r="O60" s="70">
        <f t="shared" si="60"/>
        <v>-54912.537578128577</v>
      </c>
      <c r="P60" s="70">
        <f t="shared" si="60"/>
        <v>0</v>
      </c>
      <c r="Q60" s="70">
        <f t="shared" si="60"/>
        <v>0</v>
      </c>
      <c r="R60" s="70">
        <f t="shared" si="60"/>
        <v>0</v>
      </c>
      <c r="S60" s="70">
        <f t="shared" si="60"/>
        <v>0</v>
      </c>
      <c r="T60" s="70">
        <f t="shared" si="60"/>
        <v>0</v>
      </c>
      <c r="U60" s="70">
        <f t="shared" si="60"/>
        <v>0</v>
      </c>
      <c r="V60" s="70">
        <f t="shared" si="60"/>
        <v>0</v>
      </c>
      <c r="W60" s="70">
        <f t="shared" si="60"/>
        <v>0</v>
      </c>
      <c r="X60" s="70">
        <f t="shared" si="60"/>
        <v>0</v>
      </c>
      <c r="Y60" s="70">
        <f t="shared" si="60"/>
        <v>0</v>
      </c>
      <c r="Z60" s="70">
        <f t="shared" si="60"/>
        <v>0</v>
      </c>
      <c r="AA60" s="70">
        <f t="shared" si="60"/>
        <v>0</v>
      </c>
      <c r="AB60" s="70">
        <f t="shared" si="60"/>
        <v>0</v>
      </c>
      <c r="AC60" s="70">
        <f t="shared" si="60"/>
        <v>0</v>
      </c>
      <c r="AD60" s="70">
        <f t="shared" si="60"/>
        <v>0</v>
      </c>
      <c r="AE60" s="70">
        <f t="shared" si="60"/>
        <v>0</v>
      </c>
      <c r="AF60" s="70">
        <f t="shared" si="60"/>
        <v>0</v>
      </c>
      <c r="AG60" s="70">
        <f t="shared" si="60"/>
        <v>0</v>
      </c>
      <c r="AH60" s="70">
        <f t="shared" si="60"/>
        <v>0</v>
      </c>
      <c r="AI60" s="70">
        <f t="shared" si="60"/>
        <v>0</v>
      </c>
      <c r="AJ60" s="70">
        <f t="shared" si="60"/>
        <v>3750.9776869732491</v>
      </c>
      <c r="AK60" s="70">
        <f t="shared" si="60"/>
        <v>2135.355011795044</v>
      </c>
      <c r="AL60" s="70">
        <f t="shared" si="60"/>
        <v>2135.355011795044</v>
      </c>
      <c r="AM60" s="70">
        <f t="shared" si="60"/>
        <v>2135.355011795044</v>
      </c>
      <c r="AN60" s="70">
        <f t="shared" si="60"/>
        <v>2135.355011795044</v>
      </c>
      <c r="AO60" s="70">
        <f t="shared" si="60"/>
        <v>2135.355011795044</v>
      </c>
      <c r="AP60" s="70">
        <f t="shared" si="60"/>
        <v>2195.7420433820471</v>
      </c>
      <c r="AQ60" s="70">
        <f t="shared" si="60"/>
        <v>2195.7420433820471</v>
      </c>
      <c r="AR60" s="70">
        <f t="shared" si="60"/>
        <v>2195.7420433820471</v>
      </c>
      <c r="AS60" s="70">
        <f t="shared" si="60"/>
        <v>2195.7420433820471</v>
      </c>
      <c r="AT60" s="70">
        <f t="shared" si="60"/>
        <v>2195.7420433820471</v>
      </c>
      <c r="AU60" s="70">
        <f t="shared" si="60"/>
        <v>2195.7420433820471</v>
      </c>
      <c r="AV60" s="70">
        <f t="shared" si="60"/>
        <v>2195.7420433820471</v>
      </c>
      <c r="AW60" s="70">
        <f t="shared" si="60"/>
        <v>2195.7420433820471</v>
      </c>
      <c r="AX60" s="70">
        <f t="shared" si="60"/>
        <v>2195.7420433820471</v>
      </c>
      <c r="AY60" s="70">
        <f t="shared" si="60"/>
        <v>2195.7420433820471</v>
      </c>
      <c r="AZ60" s="70">
        <f t="shared" si="60"/>
        <v>2195.7420433820471</v>
      </c>
      <c r="BA60" s="70">
        <f t="shared" si="60"/>
        <v>2195.7420433820471</v>
      </c>
      <c r="BB60" s="70">
        <f t="shared" si="60"/>
        <v>2421.4887520277284</v>
      </c>
      <c r="BC60" s="70">
        <f t="shared" si="60"/>
        <v>2421.4887520277284</v>
      </c>
      <c r="BD60" s="70">
        <f t="shared" si="60"/>
        <v>2421.4887520277284</v>
      </c>
      <c r="BE60" s="70">
        <f t="shared" si="60"/>
        <v>2421.4887520277284</v>
      </c>
      <c r="BF60" s="70">
        <f t="shared" si="60"/>
        <v>2421.4887520277284</v>
      </c>
      <c r="BG60" s="70">
        <f t="shared" si="60"/>
        <v>2421.4887520277284</v>
      </c>
      <c r="BH60" s="70">
        <f t="shared" si="60"/>
        <v>2421.4887520277284</v>
      </c>
      <c r="BI60" s="70">
        <f t="shared" si="60"/>
        <v>1386.3617867963924</v>
      </c>
      <c r="BJ60" s="70">
        <f t="shared" si="60"/>
        <v>1386.3617867963924</v>
      </c>
      <c r="BK60" s="70">
        <f t="shared" si="60"/>
        <v>1386.3617867963924</v>
      </c>
      <c r="BL60" s="70">
        <f t="shared" si="60"/>
        <v>1386.3617867963924</v>
      </c>
      <c r="BM60" s="70">
        <f t="shared" si="60"/>
        <v>1386.3617867963924</v>
      </c>
      <c r="BN60" s="70">
        <f t="shared" si="60"/>
        <v>1620.1243690202225</v>
      </c>
      <c r="BO60" s="70">
        <f t="shared" si="60"/>
        <v>1620.1243690202225</v>
      </c>
      <c r="BP60" s="70">
        <f t="shared" si="60"/>
        <v>1620.1243690202225</v>
      </c>
      <c r="BQ60" s="70">
        <f t="shared" si="60"/>
        <v>1620.1243690202225</v>
      </c>
      <c r="BR60" s="70">
        <f t="shared" si="60"/>
        <v>1620.1243690202225</v>
      </c>
      <c r="BS60" s="70">
        <f t="shared" ref="BS60:DV60" si="61">-BS56+BS57+BS58</f>
        <v>1620.1243690202225</v>
      </c>
      <c r="BT60" s="70">
        <f t="shared" si="61"/>
        <v>1620.1243690202225</v>
      </c>
      <c r="BU60" s="70">
        <f t="shared" si="61"/>
        <v>1620.1243690202225</v>
      </c>
      <c r="BV60" s="70">
        <f t="shared" si="61"/>
        <v>1620.1243690202225</v>
      </c>
      <c r="BW60" s="70">
        <f t="shared" si="61"/>
        <v>1620.1243690202225</v>
      </c>
      <c r="BX60" s="70">
        <f t="shared" si="61"/>
        <v>1620.1243690202225</v>
      </c>
      <c r="BY60" s="70">
        <f t="shared" si="61"/>
        <v>1620.1243690202225</v>
      </c>
      <c r="BZ60" s="70">
        <f t="shared" si="61"/>
        <v>1862.168170475918</v>
      </c>
      <c r="CA60" s="70">
        <f t="shared" si="61"/>
        <v>1862.168170475918</v>
      </c>
      <c r="CB60" s="70">
        <f t="shared" si="61"/>
        <v>1862.168170475918</v>
      </c>
      <c r="CC60" s="70">
        <f t="shared" si="61"/>
        <v>1862.168170475918</v>
      </c>
      <c r="CD60" s="70">
        <f t="shared" si="61"/>
        <v>1862.168170475918</v>
      </c>
      <c r="CE60" s="70">
        <f t="shared" si="61"/>
        <v>1862.168170475918</v>
      </c>
      <c r="CF60" s="70">
        <f t="shared" si="61"/>
        <v>1862.168170475918</v>
      </c>
      <c r="CG60" s="70">
        <f t="shared" si="61"/>
        <v>1862.168170475918</v>
      </c>
      <c r="CH60" s="70">
        <f t="shared" si="61"/>
        <v>1862.168170475918</v>
      </c>
      <c r="CI60" s="70">
        <f t="shared" si="61"/>
        <v>1862.168170475918</v>
      </c>
      <c r="CJ60" s="70">
        <f t="shared" si="61"/>
        <v>1862.168170475918</v>
      </c>
      <c r="CK60" s="70">
        <f t="shared" si="61"/>
        <v>1862.168170475918</v>
      </c>
      <c r="CL60" s="70">
        <f t="shared" si="61"/>
        <v>2112.7669945757439</v>
      </c>
      <c r="CM60" s="70">
        <f t="shared" si="61"/>
        <v>2112.7669945757439</v>
      </c>
      <c r="CN60" s="70">
        <f t="shared" si="61"/>
        <v>2112.7669945757439</v>
      </c>
      <c r="CO60" s="70">
        <f t="shared" si="61"/>
        <v>2112.7669945757439</v>
      </c>
      <c r="CP60" s="70">
        <f t="shared" si="61"/>
        <v>2112.7669945757439</v>
      </c>
      <c r="CQ60" s="70">
        <f t="shared" si="61"/>
        <v>2112.7669945757439</v>
      </c>
      <c r="CR60" s="70">
        <f t="shared" si="61"/>
        <v>2112.7669945757439</v>
      </c>
      <c r="CS60" s="70">
        <f t="shared" si="61"/>
        <v>2112.7669945757439</v>
      </c>
      <c r="CT60" s="70">
        <f t="shared" si="61"/>
        <v>2112.7669945757439</v>
      </c>
      <c r="CU60" s="70">
        <f t="shared" si="61"/>
        <v>2112.7669945757439</v>
      </c>
      <c r="CV60" s="70">
        <f t="shared" si="61"/>
        <v>2112.7669945757439</v>
      </c>
      <c r="CW60" s="70">
        <f t="shared" si="61"/>
        <v>2112.7669945757439</v>
      </c>
      <c r="CX60" s="70">
        <f t="shared" si="61"/>
        <v>2372.2033661710238</v>
      </c>
      <c r="CY60" s="70">
        <f t="shared" si="61"/>
        <v>2372.2033661710238</v>
      </c>
      <c r="CZ60" s="70">
        <f t="shared" si="61"/>
        <v>2372.2033661710238</v>
      </c>
      <c r="DA60" s="70">
        <f t="shared" si="61"/>
        <v>2372.2033661710238</v>
      </c>
      <c r="DB60" s="70">
        <f t="shared" si="61"/>
        <v>2372.2033661710238</v>
      </c>
      <c r="DC60" s="70">
        <f t="shared" si="61"/>
        <v>2372.2033661710238</v>
      </c>
      <c r="DD60" s="70">
        <f t="shared" si="61"/>
        <v>2372.2033661710238</v>
      </c>
      <c r="DE60" s="70">
        <f t="shared" si="61"/>
        <v>2372.2033661710238</v>
      </c>
      <c r="DF60" s="70">
        <f t="shared" si="61"/>
        <v>2372.2033661710238</v>
      </c>
      <c r="DG60" s="70">
        <f t="shared" si="61"/>
        <v>2372.2033661710238</v>
      </c>
      <c r="DH60" s="70">
        <f t="shared" si="61"/>
        <v>2372.2033661710238</v>
      </c>
      <c r="DI60" s="70">
        <f t="shared" si="61"/>
        <v>2372.2033661710238</v>
      </c>
      <c r="DJ60" s="70">
        <f t="shared" si="61"/>
        <v>2640.768803342085</v>
      </c>
      <c r="DK60" s="70">
        <f t="shared" si="61"/>
        <v>2640.768803342085</v>
      </c>
      <c r="DL60" s="70">
        <f t="shared" si="61"/>
        <v>2640.768803342085</v>
      </c>
      <c r="DM60" s="70">
        <f t="shared" si="61"/>
        <v>2640.768803342085</v>
      </c>
      <c r="DN60" s="70">
        <f t="shared" si="61"/>
        <v>2640.768803342085</v>
      </c>
      <c r="DO60" s="70">
        <f t="shared" si="61"/>
        <v>2640.768803342085</v>
      </c>
      <c r="DP60" s="70">
        <f t="shared" si="61"/>
        <v>2640.768803342085</v>
      </c>
      <c r="DQ60" s="70">
        <f t="shared" si="61"/>
        <v>2640.768803342085</v>
      </c>
      <c r="DR60" s="70">
        <f t="shared" si="61"/>
        <v>2640.768803342085</v>
      </c>
      <c r="DS60" s="70">
        <f t="shared" si="61"/>
        <v>2640.768803342085</v>
      </c>
      <c r="DT60" s="70">
        <f t="shared" si="61"/>
        <v>2640.768803342085</v>
      </c>
      <c r="DU60" s="70">
        <f t="shared" si="61"/>
        <v>2640.768803342085</v>
      </c>
      <c r="DV60" s="70">
        <f t="shared" si="61"/>
        <v>1491116.000349361</v>
      </c>
    </row>
    <row r="61" spans="2:126" x14ac:dyDescent="0.3">
      <c r="B61" s="24" t="s">
        <v>5</v>
      </c>
      <c r="C61" s="24"/>
      <c r="D61" s="24"/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</row>
    <row r="62" spans="2:126" x14ac:dyDescent="0.3">
      <c r="B62" t="s">
        <v>82</v>
      </c>
      <c r="F62" s="70">
        <f>F58</f>
        <v>0</v>
      </c>
      <c r="G62" s="70">
        <f t="shared" ref="G62:BR62" si="62">G58</f>
        <v>0</v>
      </c>
      <c r="H62" s="70">
        <f t="shared" si="62"/>
        <v>0</v>
      </c>
      <c r="I62" s="70">
        <f t="shared" si="62"/>
        <v>0</v>
      </c>
      <c r="J62" s="70">
        <f t="shared" si="62"/>
        <v>0</v>
      </c>
      <c r="K62" s="70">
        <f t="shared" si="62"/>
        <v>0</v>
      </c>
      <c r="L62" s="70">
        <f t="shared" si="62"/>
        <v>0</v>
      </c>
      <c r="M62" s="70">
        <f t="shared" si="62"/>
        <v>0</v>
      </c>
      <c r="N62" s="70">
        <f t="shared" si="62"/>
        <v>0</v>
      </c>
      <c r="O62" s="70">
        <f t="shared" si="62"/>
        <v>0</v>
      </c>
      <c r="P62" s="70">
        <f t="shared" si="62"/>
        <v>0</v>
      </c>
      <c r="Q62" s="70">
        <f t="shared" si="62"/>
        <v>0</v>
      </c>
      <c r="R62" s="70">
        <f t="shared" si="62"/>
        <v>0</v>
      </c>
      <c r="S62" s="70">
        <f t="shared" si="62"/>
        <v>0</v>
      </c>
      <c r="T62" s="70">
        <f t="shared" si="62"/>
        <v>0</v>
      </c>
      <c r="U62" s="70">
        <f t="shared" si="62"/>
        <v>0</v>
      </c>
      <c r="V62" s="70">
        <f t="shared" si="62"/>
        <v>0</v>
      </c>
      <c r="W62" s="70">
        <f t="shared" si="62"/>
        <v>0</v>
      </c>
      <c r="X62" s="70">
        <f t="shared" si="62"/>
        <v>0</v>
      </c>
      <c r="Y62" s="70">
        <f t="shared" si="62"/>
        <v>0</v>
      </c>
      <c r="Z62" s="70">
        <f t="shared" si="62"/>
        <v>0</v>
      </c>
      <c r="AA62" s="70">
        <f t="shared" si="62"/>
        <v>0</v>
      </c>
      <c r="AB62" s="70">
        <f t="shared" si="62"/>
        <v>0</v>
      </c>
      <c r="AC62" s="70">
        <f t="shared" si="62"/>
        <v>0</v>
      </c>
      <c r="AD62" s="70">
        <f t="shared" si="62"/>
        <v>0</v>
      </c>
      <c r="AE62" s="70">
        <f t="shared" si="62"/>
        <v>0</v>
      </c>
      <c r="AF62" s="70">
        <f t="shared" si="62"/>
        <v>0</v>
      </c>
      <c r="AG62" s="70">
        <f t="shared" si="62"/>
        <v>0</v>
      </c>
      <c r="AH62" s="70">
        <f t="shared" si="62"/>
        <v>0</v>
      </c>
      <c r="AI62" s="70">
        <f t="shared" si="62"/>
        <v>0</v>
      </c>
      <c r="AJ62" s="70">
        <f t="shared" si="62"/>
        <v>0</v>
      </c>
      <c r="AK62" s="70">
        <f t="shared" si="62"/>
        <v>2.5920599000528453E-13</v>
      </c>
      <c r="AL62" s="70">
        <f t="shared" si="62"/>
        <v>2.5920599000528453E-13</v>
      </c>
      <c r="AM62" s="70">
        <f t="shared" si="62"/>
        <v>2.5920599000528453E-13</v>
      </c>
      <c r="AN62" s="70">
        <f t="shared" si="62"/>
        <v>2.5920599000528453E-13</v>
      </c>
      <c r="AO62" s="70">
        <f t="shared" si="62"/>
        <v>2.5920599000528453E-13</v>
      </c>
      <c r="AP62" s="70">
        <f t="shared" si="62"/>
        <v>0</v>
      </c>
      <c r="AQ62" s="70">
        <f t="shared" si="62"/>
        <v>0</v>
      </c>
      <c r="AR62" s="70">
        <f t="shared" si="62"/>
        <v>0</v>
      </c>
      <c r="AS62" s="70">
        <f t="shared" si="62"/>
        <v>0</v>
      </c>
      <c r="AT62" s="70">
        <f t="shared" si="62"/>
        <v>0</v>
      </c>
      <c r="AU62" s="70">
        <f t="shared" si="62"/>
        <v>0</v>
      </c>
      <c r="AV62" s="70">
        <f t="shared" si="62"/>
        <v>0</v>
      </c>
      <c r="AW62" s="70">
        <f t="shared" si="62"/>
        <v>0</v>
      </c>
      <c r="AX62" s="70">
        <f t="shared" si="62"/>
        <v>0</v>
      </c>
      <c r="AY62" s="70">
        <f t="shared" si="62"/>
        <v>0</v>
      </c>
      <c r="AZ62" s="70">
        <f t="shared" si="62"/>
        <v>0</v>
      </c>
      <c r="BA62" s="70">
        <f t="shared" si="62"/>
        <v>0</v>
      </c>
      <c r="BB62" s="70">
        <f t="shared" si="62"/>
        <v>0</v>
      </c>
      <c r="BC62" s="70">
        <f t="shared" si="62"/>
        <v>0</v>
      </c>
      <c r="BD62" s="70">
        <f t="shared" si="62"/>
        <v>0</v>
      </c>
      <c r="BE62" s="70">
        <f t="shared" si="62"/>
        <v>0</v>
      </c>
      <c r="BF62" s="70">
        <f t="shared" si="62"/>
        <v>0</v>
      </c>
      <c r="BG62" s="70">
        <f t="shared" si="62"/>
        <v>0</v>
      </c>
      <c r="BH62" s="70">
        <f t="shared" si="62"/>
        <v>0</v>
      </c>
      <c r="BI62" s="70">
        <f t="shared" si="62"/>
        <v>1.2960299500264226E-13</v>
      </c>
      <c r="BJ62" s="70">
        <f t="shared" si="62"/>
        <v>1.2960299500264226E-13</v>
      </c>
      <c r="BK62" s="70">
        <f t="shared" si="62"/>
        <v>1.2960299500264226E-13</v>
      </c>
      <c r="BL62" s="70">
        <f t="shared" si="62"/>
        <v>1.2960299500264226E-13</v>
      </c>
      <c r="BM62" s="70">
        <f t="shared" si="62"/>
        <v>1.2960299500264226E-13</v>
      </c>
      <c r="BN62" s="70">
        <f t="shared" si="62"/>
        <v>0</v>
      </c>
      <c r="BO62" s="70">
        <f t="shared" si="62"/>
        <v>0</v>
      </c>
      <c r="BP62" s="70">
        <f t="shared" si="62"/>
        <v>0</v>
      </c>
      <c r="BQ62" s="70">
        <f t="shared" si="62"/>
        <v>0</v>
      </c>
      <c r="BR62" s="70">
        <f t="shared" si="62"/>
        <v>0</v>
      </c>
      <c r="BS62" s="70">
        <f t="shared" ref="BS62:DV62" si="63">BS58</f>
        <v>0</v>
      </c>
      <c r="BT62" s="70">
        <f t="shared" si="63"/>
        <v>0</v>
      </c>
      <c r="BU62" s="70">
        <f t="shared" si="63"/>
        <v>0</v>
      </c>
      <c r="BV62" s="70">
        <f t="shared" si="63"/>
        <v>0</v>
      </c>
      <c r="BW62" s="70">
        <f t="shared" si="63"/>
        <v>0</v>
      </c>
      <c r="BX62" s="70">
        <f t="shared" si="63"/>
        <v>0</v>
      </c>
      <c r="BY62" s="70">
        <f t="shared" si="63"/>
        <v>0</v>
      </c>
      <c r="BZ62" s="70">
        <f t="shared" si="63"/>
        <v>0</v>
      </c>
      <c r="CA62" s="70">
        <f t="shared" si="63"/>
        <v>0</v>
      </c>
      <c r="CB62" s="70">
        <f t="shared" si="63"/>
        <v>0</v>
      </c>
      <c r="CC62" s="70">
        <f t="shared" si="63"/>
        <v>0</v>
      </c>
      <c r="CD62" s="70">
        <f t="shared" si="63"/>
        <v>0</v>
      </c>
      <c r="CE62" s="70">
        <f t="shared" si="63"/>
        <v>0</v>
      </c>
      <c r="CF62" s="70">
        <f t="shared" si="63"/>
        <v>0</v>
      </c>
      <c r="CG62" s="70">
        <f t="shared" si="63"/>
        <v>0</v>
      </c>
      <c r="CH62" s="70">
        <f t="shared" si="63"/>
        <v>0</v>
      </c>
      <c r="CI62" s="70">
        <f t="shared" si="63"/>
        <v>0</v>
      </c>
      <c r="CJ62" s="70">
        <f t="shared" si="63"/>
        <v>0</v>
      </c>
      <c r="CK62" s="70">
        <f t="shared" si="63"/>
        <v>0</v>
      </c>
      <c r="CL62" s="70">
        <f t="shared" si="63"/>
        <v>0</v>
      </c>
      <c r="CM62" s="70">
        <f t="shared" si="63"/>
        <v>0</v>
      </c>
      <c r="CN62" s="70">
        <f t="shared" si="63"/>
        <v>0</v>
      </c>
      <c r="CO62" s="70">
        <f t="shared" si="63"/>
        <v>0</v>
      </c>
      <c r="CP62" s="70">
        <f t="shared" si="63"/>
        <v>0</v>
      </c>
      <c r="CQ62" s="70">
        <f t="shared" si="63"/>
        <v>0</v>
      </c>
      <c r="CR62" s="70">
        <f t="shared" si="63"/>
        <v>0</v>
      </c>
      <c r="CS62" s="70">
        <f t="shared" si="63"/>
        <v>0</v>
      </c>
      <c r="CT62" s="70">
        <f t="shared" si="63"/>
        <v>0</v>
      </c>
      <c r="CU62" s="70">
        <f t="shared" si="63"/>
        <v>0</v>
      </c>
      <c r="CV62" s="70">
        <f t="shared" si="63"/>
        <v>0</v>
      </c>
      <c r="CW62" s="70">
        <f t="shared" si="63"/>
        <v>0</v>
      </c>
      <c r="CX62" s="70">
        <f t="shared" si="63"/>
        <v>0</v>
      </c>
      <c r="CY62" s="70">
        <f t="shared" si="63"/>
        <v>0</v>
      </c>
      <c r="CZ62" s="70">
        <f t="shared" si="63"/>
        <v>0</v>
      </c>
      <c r="DA62" s="70">
        <f t="shared" si="63"/>
        <v>0</v>
      </c>
      <c r="DB62" s="70">
        <f t="shared" si="63"/>
        <v>0</v>
      </c>
      <c r="DC62" s="70">
        <f t="shared" si="63"/>
        <v>0</v>
      </c>
      <c r="DD62" s="70">
        <f t="shared" si="63"/>
        <v>0</v>
      </c>
      <c r="DE62" s="70">
        <f t="shared" si="63"/>
        <v>0</v>
      </c>
      <c r="DF62" s="70">
        <f t="shared" si="63"/>
        <v>0</v>
      </c>
      <c r="DG62" s="70">
        <f t="shared" si="63"/>
        <v>0</v>
      </c>
      <c r="DH62" s="70">
        <f t="shared" si="63"/>
        <v>0</v>
      </c>
      <c r="DI62" s="70">
        <f t="shared" si="63"/>
        <v>0</v>
      </c>
      <c r="DJ62" s="70">
        <f t="shared" si="63"/>
        <v>2.5920599000528453E-13</v>
      </c>
      <c r="DK62" s="70">
        <f t="shared" si="63"/>
        <v>2.5920599000528453E-13</v>
      </c>
      <c r="DL62" s="70">
        <f t="shared" si="63"/>
        <v>2.5920599000528453E-13</v>
      </c>
      <c r="DM62" s="70">
        <f t="shared" si="63"/>
        <v>2.5920599000528453E-13</v>
      </c>
      <c r="DN62" s="70">
        <f t="shared" si="63"/>
        <v>2.5920599000528453E-13</v>
      </c>
      <c r="DO62" s="70">
        <f t="shared" si="63"/>
        <v>2.5920599000528453E-13</v>
      </c>
      <c r="DP62" s="70">
        <f t="shared" si="63"/>
        <v>2.5920599000528453E-13</v>
      </c>
      <c r="DQ62" s="70">
        <f t="shared" si="63"/>
        <v>2.5920599000528453E-13</v>
      </c>
      <c r="DR62" s="70">
        <f t="shared" si="63"/>
        <v>2.5920599000528453E-13</v>
      </c>
      <c r="DS62" s="70">
        <f t="shared" si="63"/>
        <v>2.5920599000528453E-13</v>
      </c>
      <c r="DT62" s="70">
        <f t="shared" si="63"/>
        <v>2.5920599000528453E-13</v>
      </c>
      <c r="DU62" s="70">
        <f t="shared" si="63"/>
        <v>2.5920599000528453E-13</v>
      </c>
      <c r="DV62" s="70">
        <f t="shared" si="63"/>
        <v>355397.86241666251</v>
      </c>
    </row>
    <row r="63" spans="2:126" x14ac:dyDescent="0.3">
      <c r="B63" t="s">
        <v>67</v>
      </c>
      <c r="F63" s="70">
        <f>F62/$I$11*$H$11</f>
        <v>0</v>
      </c>
      <c r="G63" s="70">
        <f t="shared" ref="G63:BR63" si="64">G62/$I$11*$H$11</f>
        <v>0</v>
      </c>
      <c r="H63" s="70">
        <f t="shared" si="64"/>
        <v>0</v>
      </c>
      <c r="I63" s="70">
        <f t="shared" si="64"/>
        <v>0</v>
      </c>
      <c r="J63" s="70">
        <f t="shared" si="64"/>
        <v>0</v>
      </c>
      <c r="K63" s="70">
        <f t="shared" si="64"/>
        <v>0</v>
      </c>
      <c r="L63" s="70">
        <f t="shared" si="64"/>
        <v>0</v>
      </c>
      <c r="M63" s="70">
        <f t="shared" si="64"/>
        <v>0</v>
      </c>
      <c r="N63" s="70">
        <f t="shared" si="64"/>
        <v>0</v>
      </c>
      <c r="O63" s="70">
        <f t="shared" si="64"/>
        <v>0</v>
      </c>
      <c r="P63" s="70">
        <f t="shared" si="64"/>
        <v>0</v>
      </c>
      <c r="Q63" s="70">
        <f t="shared" si="64"/>
        <v>0</v>
      </c>
      <c r="R63" s="70">
        <f t="shared" si="64"/>
        <v>0</v>
      </c>
      <c r="S63" s="70">
        <f t="shared" si="64"/>
        <v>0</v>
      </c>
      <c r="T63" s="70">
        <f t="shared" si="64"/>
        <v>0</v>
      </c>
      <c r="U63" s="70">
        <f t="shared" si="64"/>
        <v>0</v>
      </c>
      <c r="V63" s="70">
        <f t="shared" si="64"/>
        <v>0</v>
      </c>
      <c r="W63" s="70">
        <f t="shared" si="64"/>
        <v>0</v>
      </c>
      <c r="X63" s="70">
        <f t="shared" si="64"/>
        <v>0</v>
      </c>
      <c r="Y63" s="70">
        <f t="shared" si="64"/>
        <v>0</v>
      </c>
      <c r="Z63" s="70">
        <f t="shared" si="64"/>
        <v>0</v>
      </c>
      <c r="AA63" s="70">
        <f t="shared" si="64"/>
        <v>0</v>
      </c>
      <c r="AB63" s="70">
        <f t="shared" si="64"/>
        <v>0</v>
      </c>
      <c r="AC63" s="70">
        <f t="shared" si="64"/>
        <v>0</v>
      </c>
      <c r="AD63" s="70">
        <f t="shared" si="64"/>
        <v>0</v>
      </c>
      <c r="AE63" s="70">
        <f t="shared" si="64"/>
        <v>0</v>
      </c>
      <c r="AF63" s="70">
        <f t="shared" si="64"/>
        <v>0</v>
      </c>
      <c r="AG63" s="70">
        <f t="shared" si="64"/>
        <v>0</v>
      </c>
      <c r="AH63" s="70">
        <f t="shared" si="64"/>
        <v>0</v>
      </c>
      <c r="AI63" s="70">
        <f t="shared" si="64"/>
        <v>0</v>
      </c>
      <c r="AJ63" s="70">
        <f t="shared" si="64"/>
        <v>0</v>
      </c>
      <c r="AK63" s="70">
        <f t="shared" si="64"/>
        <v>1.9554136088117959E-13</v>
      </c>
      <c r="AL63" s="70">
        <f t="shared" si="64"/>
        <v>1.9554136088117959E-13</v>
      </c>
      <c r="AM63" s="70">
        <f t="shared" si="64"/>
        <v>1.9554136088117959E-13</v>
      </c>
      <c r="AN63" s="70">
        <f t="shared" si="64"/>
        <v>1.9554136088117959E-13</v>
      </c>
      <c r="AO63" s="70">
        <f t="shared" si="64"/>
        <v>1.9554136088117959E-13</v>
      </c>
      <c r="AP63" s="70">
        <f t="shared" si="64"/>
        <v>0</v>
      </c>
      <c r="AQ63" s="70">
        <f t="shared" si="64"/>
        <v>0</v>
      </c>
      <c r="AR63" s="70">
        <f t="shared" si="64"/>
        <v>0</v>
      </c>
      <c r="AS63" s="70">
        <f t="shared" si="64"/>
        <v>0</v>
      </c>
      <c r="AT63" s="70">
        <f t="shared" si="64"/>
        <v>0</v>
      </c>
      <c r="AU63" s="70">
        <f t="shared" si="64"/>
        <v>0</v>
      </c>
      <c r="AV63" s="70">
        <f t="shared" si="64"/>
        <v>0</v>
      </c>
      <c r="AW63" s="70">
        <f t="shared" si="64"/>
        <v>0</v>
      </c>
      <c r="AX63" s="70">
        <f t="shared" si="64"/>
        <v>0</v>
      </c>
      <c r="AY63" s="70">
        <f t="shared" si="64"/>
        <v>0</v>
      </c>
      <c r="AZ63" s="70">
        <f t="shared" si="64"/>
        <v>0</v>
      </c>
      <c r="BA63" s="70">
        <f t="shared" si="64"/>
        <v>0</v>
      </c>
      <c r="BB63" s="70">
        <f t="shared" si="64"/>
        <v>0</v>
      </c>
      <c r="BC63" s="70">
        <f t="shared" si="64"/>
        <v>0</v>
      </c>
      <c r="BD63" s="70">
        <f t="shared" si="64"/>
        <v>0</v>
      </c>
      <c r="BE63" s="70">
        <f t="shared" si="64"/>
        <v>0</v>
      </c>
      <c r="BF63" s="70">
        <f t="shared" si="64"/>
        <v>0</v>
      </c>
      <c r="BG63" s="70">
        <f t="shared" si="64"/>
        <v>0</v>
      </c>
      <c r="BH63" s="70">
        <f t="shared" si="64"/>
        <v>0</v>
      </c>
      <c r="BI63" s="70">
        <f t="shared" si="64"/>
        <v>9.7770680440589797E-14</v>
      </c>
      <c r="BJ63" s="70">
        <f t="shared" si="64"/>
        <v>9.7770680440589797E-14</v>
      </c>
      <c r="BK63" s="70">
        <f t="shared" si="64"/>
        <v>9.7770680440589797E-14</v>
      </c>
      <c r="BL63" s="70">
        <f t="shared" si="64"/>
        <v>9.7770680440589797E-14</v>
      </c>
      <c r="BM63" s="70">
        <f t="shared" si="64"/>
        <v>9.7770680440589797E-14</v>
      </c>
      <c r="BN63" s="70">
        <f t="shared" si="64"/>
        <v>0</v>
      </c>
      <c r="BO63" s="70">
        <f t="shared" si="64"/>
        <v>0</v>
      </c>
      <c r="BP63" s="70">
        <f t="shared" si="64"/>
        <v>0</v>
      </c>
      <c r="BQ63" s="70">
        <f t="shared" si="64"/>
        <v>0</v>
      </c>
      <c r="BR63" s="70">
        <f t="shared" si="64"/>
        <v>0</v>
      </c>
      <c r="BS63" s="70">
        <f t="shared" ref="BS63:DV63" si="65">BS62/$I$11*$H$11</f>
        <v>0</v>
      </c>
      <c r="BT63" s="70">
        <f t="shared" si="65"/>
        <v>0</v>
      </c>
      <c r="BU63" s="70">
        <f t="shared" si="65"/>
        <v>0</v>
      </c>
      <c r="BV63" s="70">
        <f t="shared" si="65"/>
        <v>0</v>
      </c>
      <c r="BW63" s="70">
        <f t="shared" si="65"/>
        <v>0</v>
      </c>
      <c r="BX63" s="70">
        <f t="shared" si="65"/>
        <v>0</v>
      </c>
      <c r="BY63" s="70">
        <f t="shared" si="65"/>
        <v>0</v>
      </c>
      <c r="BZ63" s="70">
        <f t="shared" si="65"/>
        <v>0</v>
      </c>
      <c r="CA63" s="70">
        <f t="shared" si="65"/>
        <v>0</v>
      </c>
      <c r="CB63" s="70">
        <f t="shared" si="65"/>
        <v>0</v>
      </c>
      <c r="CC63" s="70">
        <f t="shared" si="65"/>
        <v>0</v>
      </c>
      <c r="CD63" s="70">
        <f t="shared" si="65"/>
        <v>0</v>
      </c>
      <c r="CE63" s="70">
        <f t="shared" si="65"/>
        <v>0</v>
      </c>
      <c r="CF63" s="70">
        <f t="shared" si="65"/>
        <v>0</v>
      </c>
      <c r="CG63" s="70">
        <f t="shared" si="65"/>
        <v>0</v>
      </c>
      <c r="CH63" s="70">
        <f t="shared" si="65"/>
        <v>0</v>
      </c>
      <c r="CI63" s="70">
        <f t="shared" si="65"/>
        <v>0</v>
      </c>
      <c r="CJ63" s="70">
        <f t="shared" si="65"/>
        <v>0</v>
      </c>
      <c r="CK63" s="70">
        <f t="shared" si="65"/>
        <v>0</v>
      </c>
      <c r="CL63" s="70">
        <f t="shared" si="65"/>
        <v>0</v>
      </c>
      <c r="CM63" s="70">
        <f t="shared" si="65"/>
        <v>0</v>
      </c>
      <c r="CN63" s="70">
        <f t="shared" si="65"/>
        <v>0</v>
      </c>
      <c r="CO63" s="70">
        <f t="shared" si="65"/>
        <v>0</v>
      </c>
      <c r="CP63" s="70">
        <f t="shared" si="65"/>
        <v>0</v>
      </c>
      <c r="CQ63" s="70">
        <f t="shared" si="65"/>
        <v>0</v>
      </c>
      <c r="CR63" s="70">
        <f t="shared" si="65"/>
        <v>0</v>
      </c>
      <c r="CS63" s="70">
        <f t="shared" si="65"/>
        <v>0</v>
      </c>
      <c r="CT63" s="70">
        <f t="shared" si="65"/>
        <v>0</v>
      </c>
      <c r="CU63" s="70">
        <f t="shared" si="65"/>
        <v>0</v>
      </c>
      <c r="CV63" s="70">
        <f t="shared" si="65"/>
        <v>0</v>
      </c>
      <c r="CW63" s="70">
        <f t="shared" si="65"/>
        <v>0</v>
      </c>
      <c r="CX63" s="70">
        <f t="shared" si="65"/>
        <v>0</v>
      </c>
      <c r="CY63" s="70">
        <f t="shared" si="65"/>
        <v>0</v>
      </c>
      <c r="CZ63" s="70">
        <f t="shared" si="65"/>
        <v>0</v>
      </c>
      <c r="DA63" s="70">
        <f t="shared" si="65"/>
        <v>0</v>
      </c>
      <c r="DB63" s="70">
        <f t="shared" si="65"/>
        <v>0</v>
      </c>
      <c r="DC63" s="70">
        <f t="shared" si="65"/>
        <v>0</v>
      </c>
      <c r="DD63" s="70">
        <f t="shared" si="65"/>
        <v>0</v>
      </c>
      <c r="DE63" s="70">
        <f t="shared" si="65"/>
        <v>0</v>
      </c>
      <c r="DF63" s="70">
        <f t="shared" si="65"/>
        <v>0</v>
      </c>
      <c r="DG63" s="70">
        <f t="shared" si="65"/>
        <v>0</v>
      </c>
      <c r="DH63" s="70">
        <f t="shared" si="65"/>
        <v>0</v>
      </c>
      <c r="DI63" s="70">
        <f t="shared" si="65"/>
        <v>0</v>
      </c>
      <c r="DJ63" s="70">
        <f t="shared" si="65"/>
        <v>1.9554136088117959E-13</v>
      </c>
      <c r="DK63" s="70">
        <f t="shared" si="65"/>
        <v>1.9554136088117959E-13</v>
      </c>
      <c r="DL63" s="70">
        <f t="shared" si="65"/>
        <v>1.9554136088117959E-13</v>
      </c>
      <c r="DM63" s="70">
        <f t="shared" si="65"/>
        <v>1.9554136088117959E-13</v>
      </c>
      <c r="DN63" s="70">
        <f t="shared" si="65"/>
        <v>1.9554136088117959E-13</v>
      </c>
      <c r="DO63" s="70">
        <f t="shared" si="65"/>
        <v>1.9554136088117959E-13</v>
      </c>
      <c r="DP63" s="70">
        <f t="shared" si="65"/>
        <v>1.9554136088117959E-13</v>
      </c>
      <c r="DQ63" s="70">
        <f t="shared" si="65"/>
        <v>1.9554136088117959E-13</v>
      </c>
      <c r="DR63" s="70">
        <f t="shared" si="65"/>
        <v>1.9554136088117959E-13</v>
      </c>
      <c r="DS63" s="70">
        <f t="shared" si="65"/>
        <v>1.9554136088117959E-13</v>
      </c>
      <c r="DT63" s="70">
        <f t="shared" si="65"/>
        <v>1.9554136088117959E-13</v>
      </c>
      <c r="DU63" s="70">
        <f t="shared" si="65"/>
        <v>1.9554136088117959E-13</v>
      </c>
      <c r="DV63" s="70">
        <f t="shared" si="65"/>
        <v>268107.15936695598</v>
      </c>
    </row>
    <row r="64" spans="2:126" x14ac:dyDescent="0.3">
      <c r="B64" t="str">
        <f>"Total Distributions ("&amp;B52&amp;")"</f>
        <v>Total Distributions (Hurdle 2)</v>
      </c>
      <c r="F64" s="70">
        <f>SUM(F62:F63)</f>
        <v>0</v>
      </c>
      <c r="G64" s="70">
        <f t="shared" ref="G64:BR64" si="66">SUM(G62:G63)</f>
        <v>0</v>
      </c>
      <c r="H64" s="70">
        <f t="shared" si="66"/>
        <v>0</v>
      </c>
      <c r="I64" s="70">
        <f t="shared" si="66"/>
        <v>0</v>
      </c>
      <c r="J64" s="70">
        <f t="shared" si="66"/>
        <v>0</v>
      </c>
      <c r="K64" s="70">
        <f t="shared" si="66"/>
        <v>0</v>
      </c>
      <c r="L64" s="70">
        <f t="shared" si="66"/>
        <v>0</v>
      </c>
      <c r="M64" s="70">
        <f t="shared" si="66"/>
        <v>0</v>
      </c>
      <c r="N64" s="70">
        <f t="shared" si="66"/>
        <v>0</v>
      </c>
      <c r="O64" s="70">
        <f t="shared" si="66"/>
        <v>0</v>
      </c>
      <c r="P64" s="70">
        <f t="shared" si="66"/>
        <v>0</v>
      </c>
      <c r="Q64" s="70">
        <f t="shared" si="66"/>
        <v>0</v>
      </c>
      <c r="R64" s="70">
        <f t="shared" si="66"/>
        <v>0</v>
      </c>
      <c r="S64" s="70">
        <f t="shared" si="66"/>
        <v>0</v>
      </c>
      <c r="T64" s="70">
        <f t="shared" si="66"/>
        <v>0</v>
      </c>
      <c r="U64" s="70">
        <f t="shared" si="66"/>
        <v>0</v>
      </c>
      <c r="V64" s="70">
        <f t="shared" si="66"/>
        <v>0</v>
      </c>
      <c r="W64" s="70">
        <f t="shared" si="66"/>
        <v>0</v>
      </c>
      <c r="X64" s="70">
        <f t="shared" si="66"/>
        <v>0</v>
      </c>
      <c r="Y64" s="70">
        <f t="shared" si="66"/>
        <v>0</v>
      </c>
      <c r="Z64" s="70">
        <f t="shared" si="66"/>
        <v>0</v>
      </c>
      <c r="AA64" s="70">
        <f t="shared" si="66"/>
        <v>0</v>
      </c>
      <c r="AB64" s="70">
        <f t="shared" si="66"/>
        <v>0</v>
      </c>
      <c r="AC64" s="70">
        <f t="shared" si="66"/>
        <v>0</v>
      </c>
      <c r="AD64" s="70">
        <f t="shared" si="66"/>
        <v>0</v>
      </c>
      <c r="AE64" s="70">
        <f t="shared" si="66"/>
        <v>0</v>
      </c>
      <c r="AF64" s="70">
        <f t="shared" si="66"/>
        <v>0</v>
      </c>
      <c r="AG64" s="70">
        <f t="shared" si="66"/>
        <v>0</v>
      </c>
      <c r="AH64" s="70">
        <f t="shared" si="66"/>
        <v>0</v>
      </c>
      <c r="AI64" s="70">
        <f t="shared" si="66"/>
        <v>0</v>
      </c>
      <c r="AJ64" s="70">
        <f t="shared" si="66"/>
        <v>0</v>
      </c>
      <c r="AK64" s="70">
        <f t="shared" si="66"/>
        <v>4.5474735088646412E-13</v>
      </c>
      <c r="AL64" s="70">
        <f t="shared" si="66"/>
        <v>4.5474735088646412E-13</v>
      </c>
      <c r="AM64" s="70">
        <f t="shared" si="66"/>
        <v>4.5474735088646412E-13</v>
      </c>
      <c r="AN64" s="70">
        <f t="shared" si="66"/>
        <v>4.5474735088646412E-13</v>
      </c>
      <c r="AO64" s="70">
        <f t="shared" si="66"/>
        <v>4.5474735088646412E-13</v>
      </c>
      <c r="AP64" s="70">
        <f t="shared" si="66"/>
        <v>0</v>
      </c>
      <c r="AQ64" s="70">
        <f t="shared" si="66"/>
        <v>0</v>
      </c>
      <c r="AR64" s="70">
        <f t="shared" si="66"/>
        <v>0</v>
      </c>
      <c r="AS64" s="70">
        <f t="shared" si="66"/>
        <v>0</v>
      </c>
      <c r="AT64" s="70">
        <f t="shared" si="66"/>
        <v>0</v>
      </c>
      <c r="AU64" s="70">
        <f t="shared" si="66"/>
        <v>0</v>
      </c>
      <c r="AV64" s="70">
        <f t="shared" si="66"/>
        <v>0</v>
      </c>
      <c r="AW64" s="70">
        <f t="shared" si="66"/>
        <v>0</v>
      </c>
      <c r="AX64" s="70">
        <f t="shared" si="66"/>
        <v>0</v>
      </c>
      <c r="AY64" s="70">
        <f t="shared" si="66"/>
        <v>0</v>
      </c>
      <c r="AZ64" s="70">
        <f t="shared" si="66"/>
        <v>0</v>
      </c>
      <c r="BA64" s="70">
        <f t="shared" si="66"/>
        <v>0</v>
      </c>
      <c r="BB64" s="70">
        <f t="shared" si="66"/>
        <v>0</v>
      </c>
      <c r="BC64" s="70">
        <f t="shared" si="66"/>
        <v>0</v>
      </c>
      <c r="BD64" s="70">
        <f t="shared" si="66"/>
        <v>0</v>
      </c>
      <c r="BE64" s="70">
        <f t="shared" si="66"/>
        <v>0</v>
      </c>
      <c r="BF64" s="70">
        <f t="shared" si="66"/>
        <v>0</v>
      </c>
      <c r="BG64" s="70">
        <f t="shared" si="66"/>
        <v>0</v>
      </c>
      <c r="BH64" s="70">
        <f t="shared" si="66"/>
        <v>0</v>
      </c>
      <c r="BI64" s="70">
        <f t="shared" si="66"/>
        <v>2.2737367544323206E-13</v>
      </c>
      <c r="BJ64" s="70">
        <f t="shared" si="66"/>
        <v>2.2737367544323206E-13</v>
      </c>
      <c r="BK64" s="70">
        <f t="shared" si="66"/>
        <v>2.2737367544323206E-13</v>
      </c>
      <c r="BL64" s="70">
        <f t="shared" si="66"/>
        <v>2.2737367544323206E-13</v>
      </c>
      <c r="BM64" s="70">
        <f t="shared" si="66"/>
        <v>2.2737367544323206E-13</v>
      </c>
      <c r="BN64" s="70">
        <f t="shared" si="66"/>
        <v>0</v>
      </c>
      <c r="BO64" s="70">
        <f t="shared" si="66"/>
        <v>0</v>
      </c>
      <c r="BP64" s="70">
        <f t="shared" si="66"/>
        <v>0</v>
      </c>
      <c r="BQ64" s="70">
        <f t="shared" si="66"/>
        <v>0</v>
      </c>
      <c r="BR64" s="70">
        <f t="shared" si="66"/>
        <v>0</v>
      </c>
      <c r="BS64" s="70">
        <f t="shared" ref="BS64:DV64" si="67">SUM(BS62:BS63)</f>
        <v>0</v>
      </c>
      <c r="BT64" s="70">
        <f t="shared" si="67"/>
        <v>0</v>
      </c>
      <c r="BU64" s="70">
        <f t="shared" si="67"/>
        <v>0</v>
      </c>
      <c r="BV64" s="70">
        <f t="shared" si="67"/>
        <v>0</v>
      </c>
      <c r="BW64" s="70">
        <f t="shared" si="67"/>
        <v>0</v>
      </c>
      <c r="BX64" s="70">
        <f t="shared" si="67"/>
        <v>0</v>
      </c>
      <c r="BY64" s="70">
        <f t="shared" si="67"/>
        <v>0</v>
      </c>
      <c r="BZ64" s="70">
        <f t="shared" si="67"/>
        <v>0</v>
      </c>
      <c r="CA64" s="70">
        <f t="shared" si="67"/>
        <v>0</v>
      </c>
      <c r="CB64" s="70">
        <f t="shared" si="67"/>
        <v>0</v>
      </c>
      <c r="CC64" s="70">
        <f t="shared" si="67"/>
        <v>0</v>
      </c>
      <c r="CD64" s="70">
        <f t="shared" si="67"/>
        <v>0</v>
      </c>
      <c r="CE64" s="70">
        <f t="shared" si="67"/>
        <v>0</v>
      </c>
      <c r="CF64" s="70">
        <f t="shared" si="67"/>
        <v>0</v>
      </c>
      <c r="CG64" s="70">
        <f t="shared" si="67"/>
        <v>0</v>
      </c>
      <c r="CH64" s="70">
        <f t="shared" si="67"/>
        <v>0</v>
      </c>
      <c r="CI64" s="70">
        <f t="shared" si="67"/>
        <v>0</v>
      </c>
      <c r="CJ64" s="70">
        <f t="shared" si="67"/>
        <v>0</v>
      </c>
      <c r="CK64" s="70">
        <f t="shared" si="67"/>
        <v>0</v>
      </c>
      <c r="CL64" s="70">
        <f t="shared" si="67"/>
        <v>0</v>
      </c>
      <c r="CM64" s="70">
        <f t="shared" si="67"/>
        <v>0</v>
      </c>
      <c r="CN64" s="70">
        <f t="shared" si="67"/>
        <v>0</v>
      </c>
      <c r="CO64" s="70">
        <f t="shared" si="67"/>
        <v>0</v>
      </c>
      <c r="CP64" s="70">
        <f t="shared" si="67"/>
        <v>0</v>
      </c>
      <c r="CQ64" s="70">
        <f t="shared" si="67"/>
        <v>0</v>
      </c>
      <c r="CR64" s="70">
        <f t="shared" si="67"/>
        <v>0</v>
      </c>
      <c r="CS64" s="70">
        <f t="shared" si="67"/>
        <v>0</v>
      </c>
      <c r="CT64" s="70">
        <f t="shared" si="67"/>
        <v>0</v>
      </c>
      <c r="CU64" s="70">
        <f t="shared" si="67"/>
        <v>0</v>
      </c>
      <c r="CV64" s="70">
        <f t="shared" si="67"/>
        <v>0</v>
      </c>
      <c r="CW64" s="70">
        <f t="shared" si="67"/>
        <v>0</v>
      </c>
      <c r="CX64" s="70">
        <f t="shared" si="67"/>
        <v>0</v>
      </c>
      <c r="CY64" s="70">
        <f t="shared" si="67"/>
        <v>0</v>
      </c>
      <c r="CZ64" s="70">
        <f t="shared" si="67"/>
        <v>0</v>
      </c>
      <c r="DA64" s="70">
        <f t="shared" si="67"/>
        <v>0</v>
      </c>
      <c r="DB64" s="70">
        <f t="shared" si="67"/>
        <v>0</v>
      </c>
      <c r="DC64" s="70">
        <f t="shared" si="67"/>
        <v>0</v>
      </c>
      <c r="DD64" s="70">
        <f t="shared" si="67"/>
        <v>0</v>
      </c>
      <c r="DE64" s="70">
        <f t="shared" si="67"/>
        <v>0</v>
      </c>
      <c r="DF64" s="70">
        <f t="shared" si="67"/>
        <v>0</v>
      </c>
      <c r="DG64" s="70">
        <f t="shared" si="67"/>
        <v>0</v>
      </c>
      <c r="DH64" s="70">
        <f t="shared" si="67"/>
        <v>0</v>
      </c>
      <c r="DI64" s="70">
        <f t="shared" si="67"/>
        <v>0</v>
      </c>
      <c r="DJ64" s="70">
        <f t="shared" si="67"/>
        <v>4.5474735088646412E-13</v>
      </c>
      <c r="DK64" s="70">
        <f t="shared" si="67"/>
        <v>4.5474735088646412E-13</v>
      </c>
      <c r="DL64" s="70">
        <f t="shared" si="67"/>
        <v>4.5474735088646412E-13</v>
      </c>
      <c r="DM64" s="70">
        <f t="shared" si="67"/>
        <v>4.5474735088646412E-13</v>
      </c>
      <c r="DN64" s="70">
        <f t="shared" si="67"/>
        <v>4.5474735088646412E-13</v>
      </c>
      <c r="DO64" s="70">
        <f t="shared" si="67"/>
        <v>4.5474735088646412E-13</v>
      </c>
      <c r="DP64" s="70">
        <f t="shared" si="67"/>
        <v>4.5474735088646412E-13</v>
      </c>
      <c r="DQ64" s="70">
        <f t="shared" si="67"/>
        <v>4.5474735088646412E-13</v>
      </c>
      <c r="DR64" s="70">
        <f t="shared" si="67"/>
        <v>4.5474735088646412E-13</v>
      </c>
      <c r="DS64" s="70">
        <f t="shared" si="67"/>
        <v>4.5474735088646412E-13</v>
      </c>
      <c r="DT64" s="70">
        <f t="shared" si="67"/>
        <v>4.5474735088646412E-13</v>
      </c>
      <c r="DU64" s="70">
        <f t="shared" si="67"/>
        <v>4.5474735088646412E-13</v>
      </c>
      <c r="DV64" s="70">
        <f t="shared" si="67"/>
        <v>623505.02178361849</v>
      </c>
    </row>
    <row r="65" spans="2:126" x14ac:dyDescent="0.3">
      <c r="B65" t="s">
        <v>1</v>
      </c>
      <c r="F65" s="70">
        <f>MAX(F34-F49-F64,0)</f>
        <v>0</v>
      </c>
      <c r="G65" s="70">
        <f t="shared" ref="G65:BR65" si="68">MAX(G34-G49-G64,0)</f>
        <v>0</v>
      </c>
      <c r="H65" s="70">
        <f t="shared" si="68"/>
        <v>0</v>
      </c>
      <c r="I65" s="70">
        <f t="shared" si="68"/>
        <v>0</v>
      </c>
      <c r="J65" s="70">
        <f t="shared" si="68"/>
        <v>0</v>
      </c>
      <c r="K65" s="70">
        <f t="shared" si="68"/>
        <v>0</v>
      </c>
      <c r="L65" s="70">
        <f t="shared" si="68"/>
        <v>0</v>
      </c>
      <c r="M65" s="70">
        <f t="shared" si="68"/>
        <v>0</v>
      </c>
      <c r="N65" s="70">
        <f t="shared" si="68"/>
        <v>0</v>
      </c>
      <c r="O65" s="70">
        <f t="shared" si="68"/>
        <v>0</v>
      </c>
      <c r="P65" s="70">
        <f t="shared" si="68"/>
        <v>0</v>
      </c>
      <c r="Q65" s="70">
        <f t="shared" si="68"/>
        <v>0</v>
      </c>
      <c r="R65" s="70">
        <f t="shared" si="68"/>
        <v>0</v>
      </c>
      <c r="S65" s="70">
        <f t="shared" si="68"/>
        <v>0</v>
      </c>
      <c r="T65" s="70">
        <f t="shared" si="68"/>
        <v>0</v>
      </c>
      <c r="U65" s="70">
        <f t="shared" si="68"/>
        <v>0</v>
      </c>
      <c r="V65" s="70">
        <f t="shared" si="68"/>
        <v>0</v>
      </c>
      <c r="W65" s="70">
        <f t="shared" si="68"/>
        <v>0</v>
      </c>
      <c r="X65" s="70">
        <f t="shared" si="68"/>
        <v>0</v>
      </c>
      <c r="Y65" s="70">
        <f t="shared" si="68"/>
        <v>0</v>
      </c>
      <c r="Z65" s="70">
        <f t="shared" si="68"/>
        <v>0</v>
      </c>
      <c r="AA65" s="70">
        <f t="shared" si="68"/>
        <v>0</v>
      </c>
      <c r="AB65" s="70">
        <f t="shared" si="68"/>
        <v>0</v>
      </c>
      <c r="AC65" s="70">
        <f t="shared" si="68"/>
        <v>0</v>
      </c>
      <c r="AD65" s="70">
        <f t="shared" si="68"/>
        <v>0</v>
      </c>
      <c r="AE65" s="70">
        <f t="shared" si="68"/>
        <v>0</v>
      </c>
      <c r="AF65" s="70">
        <f t="shared" si="68"/>
        <v>0</v>
      </c>
      <c r="AG65" s="70">
        <f t="shared" si="68"/>
        <v>0</v>
      </c>
      <c r="AH65" s="70">
        <f t="shared" si="68"/>
        <v>0</v>
      </c>
      <c r="AI65" s="70">
        <f t="shared" si="68"/>
        <v>0</v>
      </c>
      <c r="AJ65" s="70">
        <f t="shared" si="68"/>
        <v>0</v>
      </c>
      <c r="AK65" s="70">
        <f t="shared" si="68"/>
        <v>0</v>
      </c>
      <c r="AL65" s="70">
        <f t="shared" si="68"/>
        <v>0</v>
      </c>
      <c r="AM65" s="70">
        <f t="shared" si="68"/>
        <v>0</v>
      </c>
      <c r="AN65" s="70">
        <f t="shared" si="68"/>
        <v>0</v>
      </c>
      <c r="AO65" s="70">
        <f t="shared" si="68"/>
        <v>0</v>
      </c>
      <c r="AP65" s="70">
        <f t="shared" si="68"/>
        <v>0</v>
      </c>
      <c r="AQ65" s="70">
        <f t="shared" si="68"/>
        <v>0</v>
      </c>
      <c r="AR65" s="70">
        <f t="shared" si="68"/>
        <v>0</v>
      </c>
      <c r="AS65" s="70">
        <f t="shared" si="68"/>
        <v>0</v>
      </c>
      <c r="AT65" s="70">
        <f t="shared" si="68"/>
        <v>0</v>
      </c>
      <c r="AU65" s="70">
        <f t="shared" si="68"/>
        <v>0</v>
      </c>
      <c r="AV65" s="70">
        <f t="shared" si="68"/>
        <v>0</v>
      </c>
      <c r="AW65" s="70">
        <f t="shared" si="68"/>
        <v>0</v>
      </c>
      <c r="AX65" s="70">
        <f t="shared" si="68"/>
        <v>0</v>
      </c>
      <c r="AY65" s="70">
        <f t="shared" si="68"/>
        <v>0</v>
      </c>
      <c r="AZ65" s="70">
        <f t="shared" si="68"/>
        <v>0</v>
      </c>
      <c r="BA65" s="70">
        <f t="shared" si="68"/>
        <v>0</v>
      </c>
      <c r="BB65" s="70">
        <f t="shared" si="68"/>
        <v>0</v>
      </c>
      <c r="BC65" s="70">
        <f t="shared" si="68"/>
        <v>0</v>
      </c>
      <c r="BD65" s="70">
        <f t="shared" si="68"/>
        <v>0</v>
      </c>
      <c r="BE65" s="70">
        <f t="shared" si="68"/>
        <v>0</v>
      </c>
      <c r="BF65" s="70">
        <f t="shared" si="68"/>
        <v>0</v>
      </c>
      <c r="BG65" s="70">
        <f t="shared" si="68"/>
        <v>0</v>
      </c>
      <c r="BH65" s="70">
        <f t="shared" si="68"/>
        <v>0</v>
      </c>
      <c r="BI65" s="70">
        <f t="shared" si="68"/>
        <v>0</v>
      </c>
      <c r="BJ65" s="70">
        <f t="shared" si="68"/>
        <v>0</v>
      </c>
      <c r="BK65" s="70">
        <f t="shared" si="68"/>
        <v>0</v>
      </c>
      <c r="BL65" s="70">
        <f t="shared" si="68"/>
        <v>0</v>
      </c>
      <c r="BM65" s="70">
        <f t="shared" si="68"/>
        <v>0</v>
      </c>
      <c r="BN65" s="70">
        <f t="shared" si="68"/>
        <v>0</v>
      </c>
      <c r="BO65" s="70">
        <f t="shared" si="68"/>
        <v>0</v>
      </c>
      <c r="BP65" s="70">
        <f t="shared" si="68"/>
        <v>0</v>
      </c>
      <c r="BQ65" s="70">
        <f t="shared" si="68"/>
        <v>0</v>
      </c>
      <c r="BR65" s="70">
        <f t="shared" si="68"/>
        <v>0</v>
      </c>
      <c r="BS65" s="70">
        <f t="shared" ref="BS65:DV65" si="69">MAX(BS34-BS49-BS64,0)</f>
        <v>0</v>
      </c>
      <c r="BT65" s="70">
        <f t="shared" si="69"/>
        <v>0</v>
      </c>
      <c r="BU65" s="70">
        <f t="shared" si="69"/>
        <v>0</v>
      </c>
      <c r="BV65" s="70">
        <f t="shared" si="69"/>
        <v>0</v>
      </c>
      <c r="BW65" s="70">
        <f t="shared" si="69"/>
        <v>0</v>
      </c>
      <c r="BX65" s="70">
        <f t="shared" si="69"/>
        <v>0</v>
      </c>
      <c r="BY65" s="70">
        <f t="shared" si="69"/>
        <v>0</v>
      </c>
      <c r="BZ65" s="70">
        <f t="shared" si="69"/>
        <v>0</v>
      </c>
      <c r="CA65" s="70">
        <f t="shared" si="69"/>
        <v>0</v>
      </c>
      <c r="CB65" s="70">
        <f t="shared" si="69"/>
        <v>0</v>
      </c>
      <c r="CC65" s="70">
        <f t="shared" si="69"/>
        <v>0</v>
      </c>
      <c r="CD65" s="70">
        <f t="shared" si="69"/>
        <v>0</v>
      </c>
      <c r="CE65" s="70">
        <f t="shared" si="69"/>
        <v>0</v>
      </c>
      <c r="CF65" s="70">
        <f t="shared" si="69"/>
        <v>0</v>
      </c>
      <c r="CG65" s="70">
        <f t="shared" si="69"/>
        <v>0</v>
      </c>
      <c r="CH65" s="70">
        <f t="shared" si="69"/>
        <v>0</v>
      </c>
      <c r="CI65" s="70">
        <f t="shared" si="69"/>
        <v>0</v>
      </c>
      <c r="CJ65" s="70">
        <f t="shared" si="69"/>
        <v>0</v>
      </c>
      <c r="CK65" s="70">
        <f t="shared" si="69"/>
        <v>0</v>
      </c>
      <c r="CL65" s="70">
        <f t="shared" si="69"/>
        <v>0</v>
      </c>
      <c r="CM65" s="70">
        <f t="shared" si="69"/>
        <v>0</v>
      </c>
      <c r="CN65" s="70">
        <f t="shared" si="69"/>
        <v>0</v>
      </c>
      <c r="CO65" s="70">
        <f t="shared" si="69"/>
        <v>0</v>
      </c>
      <c r="CP65" s="70">
        <f t="shared" si="69"/>
        <v>0</v>
      </c>
      <c r="CQ65" s="70">
        <f t="shared" si="69"/>
        <v>0</v>
      </c>
      <c r="CR65" s="70">
        <f t="shared" si="69"/>
        <v>0</v>
      </c>
      <c r="CS65" s="70">
        <f t="shared" si="69"/>
        <v>0</v>
      </c>
      <c r="CT65" s="70">
        <f t="shared" si="69"/>
        <v>0</v>
      </c>
      <c r="CU65" s="70">
        <f t="shared" si="69"/>
        <v>0</v>
      </c>
      <c r="CV65" s="70">
        <f t="shared" si="69"/>
        <v>0</v>
      </c>
      <c r="CW65" s="70">
        <f t="shared" si="69"/>
        <v>0</v>
      </c>
      <c r="CX65" s="70">
        <f t="shared" si="69"/>
        <v>0</v>
      </c>
      <c r="CY65" s="70">
        <f t="shared" si="69"/>
        <v>0</v>
      </c>
      <c r="CZ65" s="70">
        <f t="shared" si="69"/>
        <v>0</v>
      </c>
      <c r="DA65" s="70">
        <f t="shared" si="69"/>
        <v>0</v>
      </c>
      <c r="DB65" s="70">
        <f t="shared" si="69"/>
        <v>0</v>
      </c>
      <c r="DC65" s="70">
        <f t="shared" si="69"/>
        <v>0</v>
      </c>
      <c r="DD65" s="70">
        <f t="shared" si="69"/>
        <v>0</v>
      </c>
      <c r="DE65" s="70">
        <f t="shared" si="69"/>
        <v>0</v>
      </c>
      <c r="DF65" s="70">
        <f t="shared" si="69"/>
        <v>0</v>
      </c>
      <c r="DG65" s="70">
        <f t="shared" si="69"/>
        <v>0</v>
      </c>
      <c r="DH65" s="70">
        <f t="shared" si="69"/>
        <v>0</v>
      </c>
      <c r="DI65" s="70">
        <f t="shared" si="69"/>
        <v>0</v>
      </c>
      <c r="DJ65" s="70">
        <f t="shared" si="69"/>
        <v>0</v>
      </c>
      <c r="DK65" s="70">
        <f t="shared" si="69"/>
        <v>0</v>
      </c>
      <c r="DL65" s="70">
        <f t="shared" si="69"/>
        <v>0</v>
      </c>
      <c r="DM65" s="70">
        <f t="shared" si="69"/>
        <v>0</v>
      </c>
      <c r="DN65" s="70">
        <f t="shared" si="69"/>
        <v>0</v>
      </c>
      <c r="DO65" s="70">
        <f t="shared" si="69"/>
        <v>0</v>
      </c>
      <c r="DP65" s="70">
        <f t="shared" si="69"/>
        <v>0</v>
      </c>
      <c r="DQ65" s="70">
        <f t="shared" si="69"/>
        <v>0</v>
      </c>
      <c r="DR65" s="70">
        <f t="shared" si="69"/>
        <v>0</v>
      </c>
      <c r="DS65" s="70">
        <f t="shared" si="69"/>
        <v>0</v>
      </c>
      <c r="DT65" s="70">
        <f t="shared" si="69"/>
        <v>0</v>
      </c>
      <c r="DU65" s="70">
        <f t="shared" si="69"/>
        <v>0</v>
      </c>
      <c r="DV65" s="70">
        <f t="shared" si="69"/>
        <v>0</v>
      </c>
    </row>
    <row r="66" spans="2:126" x14ac:dyDescent="0.3"/>
    <row r="67" spans="2:126" ht="15.6" x14ac:dyDescent="0.3">
      <c r="B67" s="79" t="s">
        <v>11</v>
      </c>
    </row>
    <row r="68" spans="2:126" x14ac:dyDescent="0.3">
      <c r="B68" s="84" t="s">
        <v>76</v>
      </c>
      <c r="C68" s="86">
        <f>E12</f>
        <v>9.99</v>
      </c>
      <c r="D68" s="85"/>
      <c r="E68" s="85"/>
      <c r="F68" s="83">
        <f>F$17</f>
        <v>0</v>
      </c>
      <c r="G68" s="83">
        <f t="shared" ref="G68:BR68" si="70">G$17</f>
        <v>1</v>
      </c>
      <c r="H68" s="83">
        <f t="shared" si="70"/>
        <v>2</v>
      </c>
      <c r="I68" s="83">
        <f t="shared" si="70"/>
        <v>3</v>
      </c>
      <c r="J68" s="83">
        <f t="shared" si="70"/>
        <v>4</v>
      </c>
      <c r="K68" s="83">
        <f t="shared" si="70"/>
        <v>5</v>
      </c>
      <c r="L68" s="83">
        <f t="shared" si="70"/>
        <v>6</v>
      </c>
      <c r="M68" s="83">
        <f t="shared" si="70"/>
        <v>7</v>
      </c>
      <c r="N68" s="83">
        <f t="shared" si="70"/>
        <v>8</v>
      </c>
      <c r="O68" s="83">
        <f t="shared" si="70"/>
        <v>9</v>
      </c>
      <c r="P68" s="83">
        <f t="shared" si="70"/>
        <v>10</v>
      </c>
      <c r="Q68" s="83">
        <f t="shared" si="70"/>
        <v>11</v>
      </c>
      <c r="R68" s="83">
        <f t="shared" si="70"/>
        <v>12</v>
      </c>
      <c r="S68" s="83">
        <f t="shared" si="70"/>
        <v>13</v>
      </c>
      <c r="T68" s="83">
        <f t="shared" si="70"/>
        <v>14</v>
      </c>
      <c r="U68" s="83">
        <f t="shared" si="70"/>
        <v>15</v>
      </c>
      <c r="V68" s="83">
        <f t="shared" si="70"/>
        <v>16</v>
      </c>
      <c r="W68" s="83">
        <f t="shared" si="70"/>
        <v>17</v>
      </c>
      <c r="X68" s="83">
        <f t="shared" si="70"/>
        <v>18</v>
      </c>
      <c r="Y68" s="83">
        <f t="shared" si="70"/>
        <v>19</v>
      </c>
      <c r="Z68" s="83">
        <f t="shared" si="70"/>
        <v>20</v>
      </c>
      <c r="AA68" s="83">
        <f t="shared" si="70"/>
        <v>21</v>
      </c>
      <c r="AB68" s="83">
        <f t="shared" si="70"/>
        <v>22</v>
      </c>
      <c r="AC68" s="83">
        <f t="shared" si="70"/>
        <v>23</v>
      </c>
      <c r="AD68" s="83">
        <f t="shared" si="70"/>
        <v>24</v>
      </c>
      <c r="AE68" s="83">
        <f t="shared" si="70"/>
        <v>25</v>
      </c>
      <c r="AF68" s="83">
        <f t="shared" si="70"/>
        <v>26</v>
      </c>
      <c r="AG68" s="83">
        <f t="shared" si="70"/>
        <v>27</v>
      </c>
      <c r="AH68" s="83">
        <f t="shared" si="70"/>
        <v>28</v>
      </c>
      <c r="AI68" s="83">
        <f t="shared" si="70"/>
        <v>29</v>
      </c>
      <c r="AJ68" s="83">
        <f t="shared" si="70"/>
        <v>30</v>
      </c>
      <c r="AK68" s="83">
        <f t="shared" si="70"/>
        <v>31</v>
      </c>
      <c r="AL68" s="83">
        <f t="shared" si="70"/>
        <v>32</v>
      </c>
      <c r="AM68" s="83">
        <f t="shared" si="70"/>
        <v>33</v>
      </c>
      <c r="AN68" s="83">
        <f t="shared" si="70"/>
        <v>34</v>
      </c>
      <c r="AO68" s="83">
        <f t="shared" si="70"/>
        <v>35</v>
      </c>
      <c r="AP68" s="83">
        <f t="shared" si="70"/>
        <v>36</v>
      </c>
      <c r="AQ68" s="83">
        <f t="shared" si="70"/>
        <v>37</v>
      </c>
      <c r="AR68" s="83">
        <f t="shared" si="70"/>
        <v>38</v>
      </c>
      <c r="AS68" s="83">
        <f t="shared" si="70"/>
        <v>39</v>
      </c>
      <c r="AT68" s="83">
        <f t="shared" si="70"/>
        <v>40</v>
      </c>
      <c r="AU68" s="83">
        <f t="shared" si="70"/>
        <v>41</v>
      </c>
      <c r="AV68" s="83">
        <f t="shared" si="70"/>
        <v>42</v>
      </c>
      <c r="AW68" s="83">
        <f t="shared" si="70"/>
        <v>43</v>
      </c>
      <c r="AX68" s="83">
        <f t="shared" si="70"/>
        <v>44</v>
      </c>
      <c r="AY68" s="83">
        <f t="shared" si="70"/>
        <v>45</v>
      </c>
      <c r="AZ68" s="83">
        <f t="shared" si="70"/>
        <v>46</v>
      </c>
      <c r="BA68" s="83">
        <f t="shared" si="70"/>
        <v>47</v>
      </c>
      <c r="BB68" s="83">
        <f t="shared" si="70"/>
        <v>48</v>
      </c>
      <c r="BC68" s="83">
        <f t="shared" si="70"/>
        <v>49</v>
      </c>
      <c r="BD68" s="83">
        <f t="shared" si="70"/>
        <v>50</v>
      </c>
      <c r="BE68" s="83">
        <f t="shared" si="70"/>
        <v>51</v>
      </c>
      <c r="BF68" s="83">
        <f t="shared" si="70"/>
        <v>52</v>
      </c>
      <c r="BG68" s="83">
        <f t="shared" si="70"/>
        <v>53</v>
      </c>
      <c r="BH68" s="83">
        <f t="shared" si="70"/>
        <v>54</v>
      </c>
      <c r="BI68" s="83">
        <f t="shared" si="70"/>
        <v>55</v>
      </c>
      <c r="BJ68" s="83">
        <f t="shared" si="70"/>
        <v>56</v>
      </c>
      <c r="BK68" s="83">
        <f t="shared" si="70"/>
        <v>57</v>
      </c>
      <c r="BL68" s="83">
        <f t="shared" si="70"/>
        <v>58</v>
      </c>
      <c r="BM68" s="83">
        <f t="shared" si="70"/>
        <v>59</v>
      </c>
      <c r="BN68" s="83">
        <f t="shared" si="70"/>
        <v>60</v>
      </c>
      <c r="BO68" s="83">
        <f t="shared" si="70"/>
        <v>61</v>
      </c>
      <c r="BP68" s="83">
        <f t="shared" si="70"/>
        <v>62</v>
      </c>
      <c r="BQ68" s="83">
        <f t="shared" si="70"/>
        <v>63</v>
      </c>
      <c r="BR68" s="83">
        <f t="shared" si="70"/>
        <v>64</v>
      </c>
      <c r="BS68" s="83">
        <f t="shared" ref="BS68:DV68" si="71">BS$17</f>
        <v>65</v>
      </c>
      <c r="BT68" s="83">
        <f t="shared" si="71"/>
        <v>66</v>
      </c>
      <c r="BU68" s="83">
        <f t="shared" si="71"/>
        <v>67</v>
      </c>
      <c r="BV68" s="83">
        <f t="shared" si="71"/>
        <v>68</v>
      </c>
      <c r="BW68" s="83">
        <f t="shared" si="71"/>
        <v>69</v>
      </c>
      <c r="BX68" s="83">
        <f t="shared" si="71"/>
        <v>70</v>
      </c>
      <c r="BY68" s="83">
        <f t="shared" si="71"/>
        <v>71</v>
      </c>
      <c r="BZ68" s="83">
        <f t="shared" si="71"/>
        <v>72</v>
      </c>
      <c r="CA68" s="83">
        <f t="shared" si="71"/>
        <v>73</v>
      </c>
      <c r="CB68" s="83">
        <f t="shared" si="71"/>
        <v>74</v>
      </c>
      <c r="CC68" s="83">
        <f t="shared" si="71"/>
        <v>75</v>
      </c>
      <c r="CD68" s="83">
        <f t="shared" si="71"/>
        <v>76</v>
      </c>
      <c r="CE68" s="83">
        <f t="shared" si="71"/>
        <v>77</v>
      </c>
      <c r="CF68" s="83">
        <f t="shared" si="71"/>
        <v>78</v>
      </c>
      <c r="CG68" s="83">
        <f t="shared" si="71"/>
        <v>79</v>
      </c>
      <c r="CH68" s="83">
        <f t="shared" si="71"/>
        <v>80</v>
      </c>
      <c r="CI68" s="83">
        <f t="shared" si="71"/>
        <v>81</v>
      </c>
      <c r="CJ68" s="83">
        <f t="shared" si="71"/>
        <v>82</v>
      </c>
      <c r="CK68" s="83">
        <f t="shared" si="71"/>
        <v>83</v>
      </c>
      <c r="CL68" s="83">
        <f t="shared" si="71"/>
        <v>84</v>
      </c>
      <c r="CM68" s="83">
        <f t="shared" si="71"/>
        <v>85</v>
      </c>
      <c r="CN68" s="83">
        <f t="shared" si="71"/>
        <v>86</v>
      </c>
      <c r="CO68" s="83">
        <f t="shared" si="71"/>
        <v>87</v>
      </c>
      <c r="CP68" s="83">
        <f t="shared" si="71"/>
        <v>88</v>
      </c>
      <c r="CQ68" s="83">
        <f t="shared" si="71"/>
        <v>89</v>
      </c>
      <c r="CR68" s="83">
        <f t="shared" si="71"/>
        <v>90</v>
      </c>
      <c r="CS68" s="83">
        <f t="shared" si="71"/>
        <v>91</v>
      </c>
      <c r="CT68" s="83">
        <f t="shared" si="71"/>
        <v>92</v>
      </c>
      <c r="CU68" s="83">
        <f t="shared" si="71"/>
        <v>93</v>
      </c>
      <c r="CV68" s="83">
        <f t="shared" si="71"/>
        <v>94</v>
      </c>
      <c r="CW68" s="83">
        <f t="shared" si="71"/>
        <v>95</v>
      </c>
      <c r="CX68" s="83">
        <f t="shared" si="71"/>
        <v>96</v>
      </c>
      <c r="CY68" s="83">
        <f t="shared" si="71"/>
        <v>97</v>
      </c>
      <c r="CZ68" s="83">
        <f t="shared" si="71"/>
        <v>98</v>
      </c>
      <c r="DA68" s="83">
        <f t="shared" si="71"/>
        <v>99</v>
      </c>
      <c r="DB68" s="83">
        <f t="shared" si="71"/>
        <v>100</v>
      </c>
      <c r="DC68" s="83">
        <f t="shared" si="71"/>
        <v>101</v>
      </c>
      <c r="DD68" s="83">
        <f t="shared" si="71"/>
        <v>102</v>
      </c>
      <c r="DE68" s="83">
        <f t="shared" si="71"/>
        <v>103</v>
      </c>
      <c r="DF68" s="83">
        <f t="shared" si="71"/>
        <v>104</v>
      </c>
      <c r="DG68" s="83">
        <f t="shared" si="71"/>
        <v>105</v>
      </c>
      <c r="DH68" s="83">
        <f t="shared" si="71"/>
        <v>106</v>
      </c>
      <c r="DI68" s="83">
        <f t="shared" si="71"/>
        <v>107</v>
      </c>
      <c r="DJ68" s="83">
        <f t="shared" si="71"/>
        <v>108</v>
      </c>
      <c r="DK68" s="83">
        <f t="shared" si="71"/>
        <v>109</v>
      </c>
      <c r="DL68" s="83">
        <f t="shared" si="71"/>
        <v>110</v>
      </c>
      <c r="DM68" s="83">
        <f t="shared" si="71"/>
        <v>111</v>
      </c>
      <c r="DN68" s="83">
        <f t="shared" si="71"/>
        <v>112</v>
      </c>
      <c r="DO68" s="83">
        <f t="shared" si="71"/>
        <v>113</v>
      </c>
      <c r="DP68" s="83">
        <f t="shared" si="71"/>
        <v>114</v>
      </c>
      <c r="DQ68" s="83">
        <f t="shared" si="71"/>
        <v>115</v>
      </c>
      <c r="DR68" s="83">
        <f t="shared" si="71"/>
        <v>116</v>
      </c>
      <c r="DS68" s="83">
        <f t="shared" si="71"/>
        <v>117</v>
      </c>
      <c r="DT68" s="83">
        <f t="shared" si="71"/>
        <v>118</v>
      </c>
      <c r="DU68" s="83">
        <f t="shared" si="71"/>
        <v>119</v>
      </c>
      <c r="DV68" s="83">
        <f t="shared" si="71"/>
        <v>120</v>
      </c>
    </row>
    <row r="69" spans="2:126" x14ac:dyDescent="0.3">
      <c r="B69" t="s">
        <v>77</v>
      </c>
      <c r="F69" s="70">
        <f>E74</f>
        <v>0</v>
      </c>
      <c r="G69" s="70">
        <f t="shared" ref="G69:BR69" si="72">F74</f>
        <v>181905.12328713818</v>
      </c>
      <c r="H69" s="70">
        <f t="shared" si="72"/>
        <v>223035.66324711309</v>
      </c>
      <c r="I69" s="70">
        <f t="shared" si="72"/>
        <v>274470.65028647735</v>
      </c>
      <c r="J69" s="70">
        <f t="shared" si="72"/>
        <v>339695.12194410269</v>
      </c>
      <c r="K69" s="70">
        <f t="shared" si="72"/>
        <v>423724.24851995247</v>
      </c>
      <c r="L69" s="70">
        <f t="shared" si="72"/>
        <v>533527.54877962393</v>
      </c>
      <c r="M69" s="70">
        <f t="shared" si="72"/>
        <v>678247.00610202167</v>
      </c>
      <c r="N69" s="70">
        <f t="shared" si="72"/>
        <v>864276.14089093998</v>
      </c>
      <c r="O69" s="70">
        <f t="shared" si="72"/>
        <v>1103094.4870359388</v>
      </c>
      <c r="P69" s="70">
        <f t="shared" si="72"/>
        <v>1401896.8005155416</v>
      </c>
      <c r="Q69" s="70">
        <f t="shared" si="72"/>
        <v>1711850.5719585039</v>
      </c>
      <c r="R69" s="70">
        <f t="shared" si="72"/>
        <v>2090333.8816644726</v>
      </c>
      <c r="S69" s="70">
        <f t="shared" si="72"/>
        <v>2552498.3362510335</v>
      </c>
      <c r="T69" s="70">
        <f t="shared" si="72"/>
        <v>3116845.5019139769</v>
      </c>
      <c r="U69" s="70">
        <f t="shared" si="72"/>
        <v>3805967.5670816833</v>
      </c>
      <c r="V69" s="70">
        <f t="shared" si="72"/>
        <v>4647451.7626178619</v>
      </c>
      <c r="W69" s="70">
        <f t="shared" si="72"/>
        <v>5674984.7457111347</v>
      </c>
      <c r="X69" s="70">
        <f t="shared" si="72"/>
        <v>6929701.1586222621</v>
      </c>
      <c r="Y69" s="70">
        <f t="shared" si="72"/>
        <v>8461830.3483727202</v>
      </c>
      <c r="Z69" s="70">
        <f t="shared" si="72"/>
        <v>10332707.169565354</v>
      </c>
      <c r="AA69" s="70">
        <f t="shared" si="72"/>
        <v>12617227.367660359</v>
      </c>
      <c r="AB69" s="70">
        <f t="shared" si="72"/>
        <v>15406845.8376658</v>
      </c>
      <c r="AC69" s="70">
        <f t="shared" si="72"/>
        <v>18813237.785823956</v>
      </c>
      <c r="AD69" s="70">
        <f t="shared" si="72"/>
        <v>22972769.359492555</v>
      </c>
      <c r="AE69" s="70">
        <f t="shared" si="72"/>
        <v>28051956.715398863</v>
      </c>
      <c r="AF69" s="70">
        <f t="shared" si="72"/>
        <v>34254132.066034615</v>
      </c>
      <c r="AG69" s="70">
        <f t="shared" si="72"/>
        <v>41827583.562227711</v>
      </c>
      <c r="AH69" s="70">
        <f t="shared" si="72"/>
        <v>51075494.87117032</v>
      </c>
      <c r="AI69" s="70">
        <f t="shared" si="72"/>
        <v>62368082.355365396</v>
      </c>
      <c r="AJ69" s="70">
        <f t="shared" si="72"/>
        <v>76157415.733258694</v>
      </c>
      <c r="AK69" s="70">
        <f t="shared" si="72"/>
        <v>92991764.550929263</v>
      </c>
      <c r="AL69" s="70">
        <f t="shared" si="72"/>
        <v>113549736.13467139</v>
      </c>
      <c r="AM69" s="70">
        <f t="shared" si="72"/>
        <v>138652992.95143127</v>
      </c>
      <c r="AN69" s="70">
        <f t="shared" si="72"/>
        <v>169306479.37353343</v>
      </c>
      <c r="AO69" s="70">
        <f t="shared" si="72"/>
        <v>206737328.95169115</v>
      </c>
      <c r="AP69" s="70">
        <f t="shared" si="72"/>
        <v>252443989.55302665</v>
      </c>
      <c r="AQ69" s="70">
        <f t="shared" si="72"/>
        <v>308256149.48345059</v>
      </c>
      <c r="AR69" s="70">
        <f t="shared" si="72"/>
        <v>376408154.58396906</v>
      </c>
      <c r="AS69" s="70">
        <f t="shared" si="72"/>
        <v>459628295.23093963</v>
      </c>
      <c r="AT69" s="70">
        <f t="shared" si="72"/>
        <v>561248075.88283527</v>
      </c>
      <c r="AU69" s="70">
        <f t="shared" si="72"/>
        <v>685335583.29941046</v>
      </c>
      <c r="AV69" s="70">
        <f t="shared" si="72"/>
        <v>836858341.94031262</v>
      </c>
      <c r="AW69" s="70">
        <f t="shared" si="72"/>
        <v>1021882176.0404912</v>
      </c>
      <c r="AX69" s="70">
        <f t="shared" si="72"/>
        <v>1247814039.2945259</v>
      </c>
      <c r="AY69" s="70">
        <f t="shared" si="72"/>
        <v>1523698533.2122235</v>
      </c>
      <c r="AZ69" s="70">
        <f t="shared" si="72"/>
        <v>1860579984.4958105</v>
      </c>
      <c r="BA69" s="70">
        <f t="shared" si="72"/>
        <v>2271944576.2759929</v>
      </c>
      <c r="BB69" s="70">
        <f t="shared" si="72"/>
        <v>2774260232.7946587</v>
      </c>
      <c r="BC69" s="70">
        <f t="shared" si="72"/>
        <v>3387635644.6833091</v>
      </c>
      <c r="BD69" s="70">
        <f t="shared" si="72"/>
        <v>4136625905.0796046</v>
      </c>
      <c r="BE69" s="70">
        <f t="shared" si="72"/>
        <v>5051214914.1844387</v>
      </c>
      <c r="BF69" s="70">
        <f t="shared" si="72"/>
        <v>6168015892.5212994</v>
      </c>
      <c r="BG69" s="70">
        <f t="shared" si="72"/>
        <v>7531737097.1254597</v>
      </c>
      <c r="BH69" s="70">
        <f t="shared" si="72"/>
        <v>9196971601.7160072</v>
      </c>
      <c r="BI69" s="70">
        <f t="shared" si="72"/>
        <v>11230382790.100243</v>
      </c>
      <c r="BJ69" s="70">
        <f t="shared" si="72"/>
        <v>13713374088.549225</v>
      </c>
      <c r="BK69" s="70">
        <f t="shared" si="72"/>
        <v>16745344824.807964</v>
      </c>
      <c r="BL69" s="70">
        <f t="shared" si="72"/>
        <v>20447672155.262863</v>
      </c>
      <c r="BM69" s="70">
        <f t="shared" si="72"/>
        <v>24968569239.760174</v>
      </c>
      <c r="BN69" s="70">
        <f t="shared" si="72"/>
        <v>30489018574.558735</v>
      </c>
      <c r="BO69" s="70">
        <f t="shared" si="72"/>
        <v>37230016927.687569</v>
      </c>
      <c r="BP69" s="70">
        <f t="shared" si="72"/>
        <v>45461423035.563194</v>
      </c>
      <c r="BQ69" s="70">
        <f t="shared" si="72"/>
        <v>55512760087.340279</v>
      </c>
      <c r="BR69" s="70">
        <f t="shared" si="72"/>
        <v>67786407530.365135</v>
      </c>
      <c r="BS69" s="70">
        <f t="shared" ref="BS69:DV69" si="73">BR74</f>
        <v>82773709297.251648</v>
      </c>
      <c r="BT69" s="70">
        <f t="shared" si="73"/>
        <v>101074643497.48984</v>
      </c>
      <c r="BU69" s="70">
        <f t="shared" si="73"/>
        <v>123421840999.1403</v>
      </c>
      <c r="BV69" s="70">
        <f t="shared" si="73"/>
        <v>150709914422.80594</v>
      </c>
      <c r="BW69" s="70">
        <f t="shared" si="73"/>
        <v>184031271658.78015</v>
      </c>
      <c r="BX69" s="70">
        <f t="shared" si="73"/>
        <v>224719847609.49167</v>
      </c>
      <c r="BY69" s="70">
        <f t="shared" si="73"/>
        <v>274404504845.16556</v>
      </c>
      <c r="BZ69" s="70">
        <f t="shared" si="73"/>
        <v>335074240930.71246</v>
      </c>
      <c r="CA69" s="70">
        <f t="shared" si="73"/>
        <v>409157812589.55457</v>
      </c>
      <c r="CB69" s="70">
        <f t="shared" si="73"/>
        <v>499620965419.54901</v>
      </c>
      <c r="CC69" s="70">
        <f t="shared" si="73"/>
        <v>610085159257.67358</v>
      </c>
      <c r="CD69" s="70">
        <f t="shared" si="73"/>
        <v>744972544215.81641</v>
      </c>
      <c r="CE69" s="70">
        <f t="shared" si="73"/>
        <v>909682990095.76172</v>
      </c>
      <c r="CF69" s="70">
        <f t="shared" si="73"/>
        <v>1110810256299.262</v>
      </c>
      <c r="CG69" s="70">
        <f t="shared" si="73"/>
        <v>1356405956039.9971</v>
      </c>
      <c r="CH69" s="70">
        <f t="shared" si="73"/>
        <v>1656301881986.2705</v>
      </c>
      <c r="CI69" s="70">
        <f t="shared" si="73"/>
        <v>2022503596813.1829</v>
      </c>
      <c r="CJ69" s="70">
        <f t="shared" si="73"/>
        <v>2469671045050.5293</v>
      </c>
      <c r="CK69" s="70">
        <f t="shared" si="73"/>
        <v>3015705426286.5967</v>
      </c>
      <c r="CL69" s="70">
        <f t="shared" si="73"/>
        <v>3682465823688.3364</v>
      </c>
      <c r="CM69" s="70">
        <f t="shared" si="73"/>
        <v>4496644275968.4121</v>
      </c>
      <c r="CN69" s="70">
        <f t="shared" si="73"/>
        <v>5490834325264.0459</v>
      </c>
      <c r="CO69" s="70">
        <f t="shared" si="73"/>
        <v>6704835815171.374</v>
      </c>
      <c r="CP69" s="70">
        <f t="shared" si="73"/>
        <v>8187248175405.0879</v>
      </c>
      <c r="CQ69" s="70">
        <f t="shared" si="73"/>
        <v>9997415975068.5293</v>
      </c>
      <c r="CR69" s="70">
        <f t="shared" si="73"/>
        <v>12207804629964.654</v>
      </c>
      <c r="CS69" s="70">
        <f t="shared" si="73"/>
        <v>14906901369284.57</v>
      </c>
      <c r="CT69" s="70">
        <f t="shared" si="73"/>
        <v>18202757594419.676</v>
      </c>
      <c r="CU69" s="70">
        <f t="shared" si="73"/>
        <v>22227314439128.715</v>
      </c>
      <c r="CV69" s="70">
        <f t="shared" si="73"/>
        <v>27141684693744.547</v>
      </c>
      <c r="CW69" s="70">
        <f t="shared" si="73"/>
        <v>33142602541681.891</v>
      </c>
      <c r="CX69" s="70">
        <f t="shared" si="73"/>
        <v>40470299306871.594</v>
      </c>
      <c r="CY69" s="70">
        <f t="shared" si="73"/>
        <v>49418120497170.195</v>
      </c>
      <c r="CZ69" s="70">
        <f t="shared" si="73"/>
        <v>60344269138612.414</v>
      </c>
      <c r="DA69" s="70">
        <f t="shared" si="73"/>
        <v>73686145512307.109</v>
      </c>
      <c r="DB69" s="70">
        <f t="shared" si="73"/>
        <v>89977857350803.266</v>
      </c>
      <c r="DC69" s="70">
        <f t="shared" si="73"/>
        <v>109871601468527.7</v>
      </c>
      <c r="DD69" s="70">
        <f t="shared" si="73"/>
        <v>134163772785131.8</v>
      </c>
      <c r="DE69" s="70">
        <f t="shared" si="73"/>
        <v>163826845949397.63</v>
      </c>
      <c r="DF69" s="70">
        <f t="shared" si="73"/>
        <v>200048305862582.19</v>
      </c>
      <c r="DG69" s="70">
        <f t="shared" si="73"/>
        <v>244278185584652.09</v>
      </c>
      <c r="DH69" s="70">
        <f t="shared" si="73"/>
        <v>298287114681314.13</v>
      </c>
      <c r="DI69" s="70">
        <f t="shared" si="73"/>
        <v>364237201828233.31</v>
      </c>
      <c r="DJ69" s="70">
        <f t="shared" si="73"/>
        <v>444768589275333.25</v>
      </c>
      <c r="DK69" s="70">
        <f t="shared" si="73"/>
        <v>543105144156446.31</v>
      </c>
      <c r="DL69" s="70">
        <f t="shared" si="73"/>
        <v>663183517725568.38</v>
      </c>
      <c r="DM69" s="70">
        <f t="shared" si="73"/>
        <v>809810739072072.75</v>
      </c>
      <c r="DN69" s="70">
        <f t="shared" si="73"/>
        <v>988856652176656.5</v>
      </c>
      <c r="DO69" s="70">
        <f t="shared" si="73"/>
        <v>1207488900029851</v>
      </c>
      <c r="DP69" s="70">
        <f t="shared" si="73"/>
        <v>1474459862798601</v>
      </c>
      <c r="DQ69" s="70">
        <f t="shared" si="73"/>
        <v>1800457036872992.3</v>
      </c>
      <c r="DR69" s="70">
        <f t="shared" si="73"/>
        <v>2198530881317803.8</v>
      </c>
      <c r="DS69" s="70">
        <f t="shared" si="73"/>
        <v>2684617259462024.5</v>
      </c>
      <c r="DT69" s="70">
        <f t="shared" si="73"/>
        <v>3278175390232719</v>
      </c>
      <c r="DU69" s="70">
        <f t="shared" si="73"/>
        <v>4002966847975381.5</v>
      </c>
      <c r="DV69" s="70">
        <f t="shared" si="73"/>
        <v>4888006796016592</v>
      </c>
    </row>
    <row r="70" spans="2:126" x14ac:dyDescent="0.3">
      <c r="B70" t="s">
        <v>83</v>
      </c>
      <c r="F70" s="70">
        <f>F69*((1+$C$68)^(1/12)-1)</f>
        <v>0</v>
      </c>
      <c r="G70" s="70">
        <f t="shared" ref="G70:BR70" si="74">G69*((1+$C$68)^(1/12)-1)</f>
        <v>40218.494675864313</v>
      </c>
      <c r="H70" s="70">
        <f t="shared" si="74"/>
        <v>49312.292434295217</v>
      </c>
      <c r="I70" s="70">
        <f t="shared" si="74"/>
        <v>60684.362197995419</v>
      </c>
      <c r="J70" s="70">
        <f t="shared" si="74"/>
        <v>75105.231817799839</v>
      </c>
      <c r="K70" s="70">
        <f t="shared" si="74"/>
        <v>93683.735373599877</v>
      </c>
      <c r="L70" s="70">
        <f t="shared" si="74"/>
        <v>117960.80556867654</v>
      </c>
      <c r="M70" s="70">
        <f t="shared" si="74"/>
        <v>149957.69833693188</v>
      </c>
      <c r="N70" s="70">
        <f t="shared" si="74"/>
        <v>191087.99544930994</v>
      </c>
      <c r="O70" s="70">
        <f t="shared" si="74"/>
        <v>243889.77590147426</v>
      </c>
      <c r="P70" s="70">
        <f t="shared" si="74"/>
        <v>309953.7714429624</v>
      </c>
      <c r="Q70" s="70">
        <f t="shared" si="74"/>
        <v>378483.30970596883</v>
      </c>
      <c r="R70" s="70">
        <f t="shared" si="74"/>
        <v>462164.45458656107</v>
      </c>
      <c r="S70" s="70">
        <f t="shared" si="74"/>
        <v>564347.16566294339</v>
      </c>
      <c r="T70" s="70">
        <f t="shared" si="74"/>
        <v>689122.06516770646</v>
      </c>
      <c r="U70" s="70">
        <f t="shared" si="74"/>
        <v>841484.195536179</v>
      </c>
      <c r="V70" s="70">
        <f t="shared" si="74"/>
        <v>1027532.9830932729</v>
      </c>
      <c r="W70" s="70">
        <f t="shared" si="74"/>
        <v>1254716.4129111276</v>
      </c>
      <c r="X70" s="70">
        <f t="shared" si="74"/>
        <v>1532129.1897504581</v>
      </c>
      <c r="Y70" s="70">
        <f t="shared" si="74"/>
        <v>1870876.8211926343</v>
      </c>
      <c r="Z70" s="70">
        <f t="shared" si="74"/>
        <v>2284520.1980950045</v>
      </c>
      <c r="AA70" s="70">
        <f t="shared" si="74"/>
        <v>2789618.4700054415</v>
      </c>
      <c r="AB70" s="70">
        <f t="shared" si="74"/>
        <v>3406391.9481581561</v>
      </c>
      <c r="AC70" s="70">
        <f t="shared" si="74"/>
        <v>4159531.5736685973</v>
      </c>
      <c r="AD70" s="70">
        <f t="shared" si="74"/>
        <v>5079187.3559063068</v>
      </c>
      <c r="AE70" s="70">
        <f t="shared" si="74"/>
        <v>6202175.3506357484</v>
      </c>
      <c r="AF70" s="70">
        <f t="shared" si="74"/>
        <v>7573451.4961930951</v>
      </c>
      <c r="AG70" s="70">
        <f t="shared" si="74"/>
        <v>9247911.3089426085</v>
      </c>
      <c r="AH70" s="70">
        <f t="shared" si="74"/>
        <v>11292587.484195074</v>
      </c>
      <c r="AI70" s="70">
        <f t="shared" si="74"/>
        <v>13789333.377893299</v>
      </c>
      <c r="AJ70" s="70">
        <f t="shared" si="74"/>
        <v>16838099.79535754</v>
      </c>
      <c r="AK70" s="70">
        <f t="shared" si="74"/>
        <v>20560106.938753914</v>
      </c>
      <c r="AL70" s="70">
        <f t="shared" si="74"/>
        <v>25105392.171771668</v>
      </c>
      <c r="AM70" s="70">
        <f t="shared" si="74"/>
        <v>30655621.777113948</v>
      </c>
      <c r="AN70" s="70">
        <f t="shared" si="74"/>
        <v>37432984.933169506</v>
      </c>
      <c r="AO70" s="70">
        <f t="shared" si="74"/>
        <v>45708795.956347302</v>
      </c>
      <c r="AP70" s="70">
        <f t="shared" si="74"/>
        <v>55814355.672467321</v>
      </c>
      <c r="AQ70" s="70">
        <f t="shared" si="74"/>
        <v>68154200.842561856</v>
      </c>
      <c r="AR70" s="70">
        <f t="shared" si="74"/>
        <v>83222336.389013961</v>
      </c>
      <c r="AS70" s="70">
        <f t="shared" si="74"/>
        <v>101621976.39393908</v>
      </c>
      <c r="AT70" s="70">
        <f t="shared" si="74"/>
        <v>124089703.15861861</v>
      </c>
      <c r="AU70" s="70">
        <f t="shared" si="74"/>
        <v>151524954.38294557</v>
      </c>
      <c r="AV70" s="70">
        <f t="shared" si="74"/>
        <v>185026029.84222198</v>
      </c>
      <c r="AW70" s="70">
        <f t="shared" si="74"/>
        <v>225934058.99607807</v>
      </c>
      <c r="AX70" s="70">
        <f t="shared" si="74"/>
        <v>275886689.65974104</v>
      </c>
      <c r="AY70" s="70">
        <f t="shared" si="74"/>
        <v>336883647.02563059</v>
      </c>
      <c r="AZ70" s="70">
        <f t="shared" si="74"/>
        <v>411366787.5222258</v>
      </c>
      <c r="BA70" s="70">
        <f t="shared" si="74"/>
        <v>502317852.26070946</v>
      </c>
      <c r="BB70" s="70">
        <f t="shared" si="74"/>
        <v>613377833.37740231</v>
      </c>
      <c r="BC70" s="70">
        <f t="shared" si="74"/>
        <v>748992681.88504744</v>
      </c>
      <c r="BD70" s="70">
        <f t="shared" si="74"/>
        <v>914591430.59358668</v>
      </c>
      <c r="BE70" s="70">
        <f t="shared" si="74"/>
        <v>1116803399.8256133</v>
      </c>
      <c r="BF70" s="70">
        <f t="shared" si="74"/>
        <v>1363723626.0929122</v>
      </c>
      <c r="BG70" s="70">
        <f t="shared" si="74"/>
        <v>1665236926.0792997</v>
      </c>
      <c r="BH70" s="70">
        <f t="shared" si="74"/>
        <v>2033413609.8729875</v>
      </c>
      <c r="BI70" s="70">
        <f t="shared" si="74"/>
        <v>2482992684.8107672</v>
      </c>
      <c r="BJ70" s="70">
        <f t="shared" si="74"/>
        <v>3031972122.6205249</v>
      </c>
      <c r="BK70" s="70">
        <f t="shared" si="74"/>
        <v>3702328716.8166847</v>
      </c>
      <c r="BL70" s="70">
        <f t="shared" si="74"/>
        <v>4520898470.8590965</v>
      </c>
      <c r="BM70" s="70">
        <f t="shared" si="74"/>
        <v>5520450721.1603479</v>
      </c>
      <c r="BN70" s="70">
        <f t="shared" si="74"/>
        <v>6740999973.2532005</v>
      </c>
      <c r="BO70" s="70">
        <f t="shared" si="74"/>
        <v>8231407727.9999924</v>
      </c>
      <c r="BP70" s="70">
        <f t="shared" si="74"/>
        <v>10051338671.901453</v>
      </c>
      <c r="BQ70" s="70">
        <f t="shared" si="74"/>
        <v>12273649063.149225</v>
      </c>
      <c r="BR70" s="70">
        <f t="shared" si="74"/>
        <v>14987303387.010885</v>
      </c>
      <c r="BS70" s="70">
        <f t="shared" ref="BS70:DV70" si="75">BS69*((1+$C$68)^(1/12)-1)</f>
        <v>18300935820.362564</v>
      </c>
      <c r="BT70" s="70">
        <f t="shared" si="75"/>
        <v>22347199121.774841</v>
      </c>
      <c r="BU70" s="70">
        <f t="shared" si="75"/>
        <v>27288075043.789986</v>
      </c>
      <c r="BV70" s="70">
        <f t="shared" si="75"/>
        <v>33321358856.098583</v>
      </c>
      <c r="BW70" s="70">
        <f t="shared" si="75"/>
        <v>40688577570.835892</v>
      </c>
      <c r="BX70" s="70">
        <f t="shared" si="75"/>
        <v>49684658855.798233</v>
      </c>
      <c r="BY70" s="70">
        <f t="shared" si="75"/>
        <v>60669737705.671303</v>
      </c>
      <c r="BZ70" s="70">
        <f t="shared" si="75"/>
        <v>74083573521.010254</v>
      </c>
      <c r="CA70" s="70">
        <f t="shared" si="75"/>
        <v>90463154692.162582</v>
      </c>
      <c r="CB70" s="70">
        <f t="shared" si="75"/>
        <v>110464195700.29279</v>
      </c>
      <c r="CC70" s="70">
        <f t="shared" si="75"/>
        <v>134887386820.31104</v>
      </c>
      <c r="CD70" s="70">
        <f t="shared" si="75"/>
        <v>164710447742.11359</v>
      </c>
      <c r="CE70" s="70">
        <f t="shared" si="75"/>
        <v>201127268065.66852</v>
      </c>
      <c r="CF70" s="70">
        <f t="shared" si="75"/>
        <v>245595701602.90338</v>
      </c>
      <c r="CG70" s="70">
        <f t="shared" si="75"/>
        <v>299895927808.44159</v>
      </c>
      <c r="CH70" s="70">
        <f t="shared" si="75"/>
        <v>366201716689.08063</v>
      </c>
      <c r="CI70" s="70">
        <f t="shared" si="75"/>
        <v>447167450099.51459</v>
      </c>
      <c r="CJ70" s="70">
        <f t="shared" si="75"/>
        <v>546034383098.23547</v>
      </c>
      <c r="CK70" s="70">
        <f t="shared" si="75"/>
        <v>666760399263.90771</v>
      </c>
      <c r="CL70" s="70">
        <f t="shared" si="75"/>
        <v>814178454392.84265</v>
      </c>
      <c r="CM70" s="70">
        <f t="shared" si="75"/>
        <v>994190051408.40039</v>
      </c>
      <c r="CN70" s="70">
        <f t="shared" si="75"/>
        <v>1214001492020.0947</v>
      </c>
      <c r="CO70" s="70">
        <f t="shared" si="75"/>
        <v>1482412362346.4802</v>
      </c>
      <c r="CP70" s="70">
        <f t="shared" si="75"/>
        <v>1810167801776.2097</v>
      </c>
      <c r="CQ70" s="70">
        <f t="shared" si="75"/>
        <v>2210388657008.8931</v>
      </c>
      <c r="CR70" s="70">
        <f t="shared" si="75"/>
        <v>2699096741432.6831</v>
      </c>
      <c r="CS70" s="70">
        <f t="shared" si="75"/>
        <v>3295856227247.8701</v>
      </c>
      <c r="CT70" s="70">
        <f t="shared" si="75"/>
        <v>4024556846821.8042</v>
      </c>
      <c r="CU70" s="70">
        <f t="shared" si="75"/>
        <v>4914370256728.5957</v>
      </c>
      <c r="CV70" s="70">
        <f t="shared" si="75"/>
        <v>6000917850050.1074</v>
      </c>
      <c r="CW70" s="70">
        <f t="shared" si="75"/>
        <v>7327696767302.4727</v>
      </c>
      <c r="CX70" s="70">
        <f t="shared" si="75"/>
        <v>8947821192670.8027</v>
      </c>
      <c r="CY70" s="70">
        <f t="shared" si="75"/>
        <v>10926148643814.424</v>
      </c>
      <c r="CZ70" s="70">
        <f t="shared" si="75"/>
        <v>13341876376066.904</v>
      </c>
      <c r="DA70" s="70">
        <f t="shared" si="75"/>
        <v>16291711840868.352</v>
      </c>
      <c r="DB70" s="70">
        <f t="shared" si="75"/>
        <v>19893744120096.641</v>
      </c>
      <c r="DC70" s="70">
        <f t="shared" si="75"/>
        <v>24292171318976.305</v>
      </c>
      <c r="DD70" s="70">
        <f t="shared" si="75"/>
        <v>29663073166638.035</v>
      </c>
      <c r="DE70" s="70">
        <f t="shared" si="75"/>
        <v>36221459915556.789</v>
      </c>
      <c r="DF70" s="70">
        <f t="shared" si="75"/>
        <v>44229879724442.117</v>
      </c>
      <c r="DG70" s="70">
        <f t="shared" si="75"/>
        <v>54008929099034.219</v>
      </c>
      <c r="DH70" s="70">
        <f t="shared" si="75"/>
        <v>65950087149291.398</v>
      </c>
      <c r="DI70" s="70">
        <f t="shared" si="75"/>
        <v>80531387449472.109</v>
      </c>
      <c r="DJ70" s="70">
        <f t="shared" si="75"/>
        <v>98336554883753.828</v>
      </c>
      <c r="DK70" s="70">
        <f t="shared" si="75"/>
        <v>120078373571762.84</v>
      </c>
      <c r="DL70" s="70">
        <f t="shared" si="75"/>
        <v>146627221349145.09</v>
      </c>
      <c r="DM70" s="70">
        <f t="shared" si="75"/>
        <v>179045913107224.5</v>
      </c>
      <c r="DN70" s="70">
        <f t="shared" si="75"/>
        <v>218632247855835.28</v>
      </c>
      <c r="DO70" s="70">
        <f t="shared" si="75"/>
        <v>266970962771390.78</v>
      </c>
      <c r="DP70" s="70">
        <f t="shared" si="75"/>
        <v>325997174077032</v>
      </c>
      <c r="DQ70" s="70">
        <f t="shared" si="75"/>
        <v>398073844447452.25</v>
      </c>
      <c r="DR70" s="70">
        <f t="shared" si="75"/>
        <v>486086378146861.75</v>
      </c>
      <c r="DS70" s="70">
        <f t="shared" si="75"/>
        <v>593558130773335.5</v>
      </c>
      <c r="DT70" s="70">
        <f t="shared" si="75"/>
        <v>724791457745303.38</v>
      </c>
      <c r="DU70" s="70">
        <f t="shared" si="75"/>
        <v>885039948043851.75</v>
      </c>
      <c r="DV70" s="70">
        <f t="shared" si="75"/>
        <v>1080718738146073.4</v>
      </c>
    </row>
    <row r="71" spans="2:126" x14ac:dyDescent="0.3">
      <c r="B71" t="s">
        <v>79</v>
      </c>
      <c r="F71" s="70">
        <f>F56</f>
        <v>181905.12328713818</v>
      </c>
      <c r="G71" s="70">
        <f t="shared" ref="G71:BR71" si="76">G56</f>
        <v>912.04528411059755</v>
      </c>
      <c r="H71" s="70">
        <f t="shared" si="76"/>
        <v>2122.6946050690854</v>
      </c>
      <c r="I71" s="70">
        <f t="shared" si="76"/>
        <v>4540.1094596298981</v>
      </c>
      <c r="J71" s="70">
        <f t="shared" si="76"/>
        <v>8923.8947580499243</v>
      </c>
      <c r="K71" s="70">
        <f t="shared" si="76"/>
        <v>16119.564886071646</v>
      </c>
      <c r="L71" s="70">
        <f t="shared" si="76"/>
        <v>26758.651753721148</v>
      </c>
      <c r="M71" s="70">
        <f t="shared" si="76"/>
        <v>36071.436451986388</v>
      </c>
      <c r="N71" s="70">
        <f t="shared" si="76"/>
        <v>47730.350695688947</v>
      </c>
      <c r="O71" s="70">
        <f t="shared" si="76"/>
        <v>54912.537578128577</v>
      </c>
      <c r="P71" s="70">
        <f t="shared" si="76"/>
        <v>0</v>
      </c>
      <c r="Q71" s="70">
        <f t="shared" si="76"/>
        <v>0</v>
      </c>
      <c r="R71" s="70">
        <f t="shared" si="76"/>
        <v>0</v>
      </c>
      <c r="S71" s="70">
        <f t="shared" si="76"/>
        <v>0</v>
      </c>
      <c r="T71" s="70">
        <f t="shared" si="76"/>
        <v>0</v>
      </c>
      <c r="U71" s="70">
        <f t="shared" si="76"/>
        <v>0</v>
      </c>
      <c r="V71" s="70">
        <f t="shared" si="76"/>
        <v>0</v>
      </c>
      <c r="W71" s="70">
        <f t="shared" si="76"/>
        <v>0</v>
      </c>
      <c r="X71" s="70">
        <f t="shared" si="76"/>
        <v>0</v>
      </c>
      <c r="Y71" s="70">
        <f t="shared" si="76"/>
        <v>0</v>
      </c>
      <c r="Z71" s="70">
        <f t="shared" si="76"/>
        <v>0</v>
      </c>
      <c r="AA71" s="70">
        <f t="shared" si="76"/>
        <v>0</v>
      </c>
      <c r="AB71" s="70">
        <f t="shared" si="76"/>
        <v>0</v>
      </c>
      <c r="AC71" s="70">
        <f t="shared" si="76"/>
        <v>0</v>
      </c>
      <c r="AD71" s="70">
        <f t="shared" si="76"/>
        <v>0</v>
      </c>
      <c r="AE71" s="70">
        <f t="shared" si="76"/>
        <v>0</v>
      </c>
      <c r="AF71" s="70">
        <f t="shared" si="76"/>
        <v>0</v>
      </c>
      <c r="AG71" s="70">
        <f t="shared" si="76"/>
        <v>0</v>
      </c>
      <c r="AH71" s="70">
        <f t="shared" si="76"/>
        <v>0</v>
      </c>
      <c r="AI71" s="70">
        <f t="shared" si="76"/>
        <v>0</v>
      </c>
      <c r="AJ71" s="70">
        <f t="shared" si="76"/>
        <v>0</v>
      </c>
      <c r="AK71" s="70">
        <f t="shared" si="76"/>
        <v>0</v>
      </c>
      <c r="AL71" s="70">
        <f t="shared" si="76"/>
        <v>0</v>
      </c>
      <c r="AM71" s="70">
        <f t="shared" si="76"/>
        <v>0</v>
      </c>
      <c r="AN71" s="70">
        <f t="shared" si="76"/>
        <v>0</v>
      </c>
      <c r="AO71" s="70">
        <f t="shared" si="76"/>
        <v>0</v>
      </c>
      <c r="AP71" s="70">
        <f t="shared" si="76"/>
        <v>0</v>
      </c>
      <c r="AQ71" s="70">
        <f t="shared" si="76"/>
        <v>0</v>
      </c>
      <c r="AR71" s="70">
        <f t="shared" si="76"/>
        <v>0</v>
      </c>
      <c r="AS71" s="70">
        <f t="shared" si="76"/>
        <v>0</v>
      </c>
      <c r="AT71" s="70">
        <f t="shared" si="76"/>
        <v>0</v>
      </c>
      <c r="AU71" s="70">
        <f t="shared" si="76"/>
        <v>0</v>
      </c>
      <c r="AV71" s="70">
        <f t="shared" si="76"/>
        <v>0</v>
      </c>
      <c r="AW71" s="70">
        <f t="shared" si="76"/>
        <v>0</v>
      </c>
      <c r="AX71" s="70">
        <f t="shared" si="76"/>
        <v>0</v>
      </c>
      <c r="AY71" s="70">
        <f t="shared" si="76"/>
        <v>0</v>
      </c>
      <c r="AZ71" s="70">
        <f t="shared" si="76"/>
        <v>0</v>
      </c>
      <c r="BA71" s="70">
        <f t="shared" si="76"/>
        <v>0</v>
      </c>
      <c r="BB71" s="70">
        <f t="shared" si="76"/>
        <v>0</v>
      </c>
      <c r="BC71" s="70">
        <f t="shared" si="76"/>
        <v>0</v>
      </c>
      <c r="BD71" s="70">
        <f t="shared" si="76"/>
        <v>0</v>
      </c>
      <c r="BE71" s="70">
        <f t="shared" si="76"/>
        <v>0</v>
      </c>
      <c r="BF71" s="70">
        <f t="shared" si="76"/>
        <v>0</v>
      </c>
      <c r="BG71" s="70">
        <f t="shared" si="76"/>
        <v>0</v>
      </c>
      <c r="BH71" s="70">
        <f t="shared" si="76"/>
        <v>0</v>
      </c>
      <c r="BI71" s="70">
        <f t="shared" si="76"/>
        <v>0</v>
      </c>
      <c r="BJ71" s="70">
        <f t="shared" si="76"/>
        <v>0</v>
      </c>
      <c r="BK71" s="70">
        <f t="shared" si="76"/>
        <v>0</v>
      </c>
      <c r="BL71" s="70">
        <f t="shared" si="76"/>
        <v>0</v>
      </c>
      <c r="BM71" s="70">
        <f t="shared" si="76"/>
        <v>0</v>
      </c>
      <c r="BN71" s="70">
        <f t="shared" si="76"/>
        <v>0</v>
      </c>
      <c r="BO71" s="70">
        <f t="shared" si="76"/>
        <v>0</v>
      </c>
      <c r="BP71" s="70">
        <f t="shared" si="76"/>
        <v>0</v>
      </c>
      <c r="BQ71" s="70">
        <f t="shared" si="76"/>
        <v>0</v>
      </c>
      <c r="BR71" s="70">
        <f t="shared" si="76"/>
        <v>0</v>
      </c>
      <c r="BS71" s="70">
        <f t="shared" ref="BS71:DV71" si="77">BS56</f>
        <v>0</v>
      </c>
      <c r="BT71" s="70">
        <f t="shared" si="77"/>
        <v>0</v>
      </c>
      <c r="BU71" s="70">
        <f t="shared" si="77"/>
        <v>0</v>
      </c>
      <c r="BV71" s="70">
        <f t="shared" si="77"/>
        <v>0</v>
      </c>
      <c r="BW71" s="70">
        <f t="shared" si="77"/>
        <v>0</v>
      </c>
      <c r="BX71" s="70">
        <f t="shared" si="77"/>
        <v>0</v>
      </c>
      <c r="BY71" s="70">
        <f t="shared" si="77"/>
        <v>0</v>
      </c>
      <c r="BZ71" s="70">
        <f t="shared" si="77"/>
        <v>0</v>
      </c>
      <c r="CA71" s="70">
        <f t="shared" si="77"/>
        <v>0</v>
      </c>
      <c r="CB71" s="70">
        <f t="shared" si="77"/>
        <v>0</v>
      </c>
      <c r="CC71" s="70">
        <f t="shared" si="77"/>
        <v>0</v>
      </c>
      <c r="CD71" s="70">
        <f t="shared" si="77"/>
        <v>0</v>
      </c>
      <c r="CE71" s="70">
        <f t="shared" si="77"/>
        <v>0</v>
      </c>
      <c r="CF71" s="70">
        <f t="shared" si="77"/>
        <v>0</v>
      </c>
      <c r="CG71" s="70">
        <f t="shared" si="77"/>
        <v>0</v>
      </c>
      <c r="CH71" s="70">
        <f t="shared" si="77"/>
        <v>0</v>
      </c>
      <c r="CI71" s="70">
        <f t="shared" si="77"/>
        <v>0</v>
      </c>
      <c r="CJ71" s="70">
        <f t="shared" si="77"/>
        <v>0</v>
      </c>
      <c r="CK71" s="70">
        <f t="shared" si="77"/>
        <v>0</v>
      </c>
      <c r="CL71" s="70">
        <f t="shared" si="77"/>
        <v>0</v>
      </c>
      <c r="CM71" s="70">
        <f t="shared" si="77"/>
        <v>0</v>
      </c>
      <c r="CN71" s="70">
        <f t="shared" si="77"/>
        <v>0</v>
      </c>
      <c r="CO71" s="70">
        <f t="shared" si="77"/>
        <v>0</v>
      </c>
      <c r="CP71" s="70">
        <f t="shared" si="77"/>
        <v>0</v>
      </c>
      <c r="CQ71" s="70">
        <f t="shared" si="77"/>
        <v>0</v>
      </c>
      <c r="CR71" s="70">
        <f t="shared" si="77"/>
        <v>0</v>
      </c>
      <c r="CS71" s="70">
        <f t="shared" si="77"/>
        <v>0</v>
      </c>
      <c r="CT71" s="70">
        <f t="shared" si="77"/>
        <v>0</v>
      </c>
      <c r="CU71" s="70">
        <f t="shared" si="77"/>
        <v>0</v>
      </c>
      <c r="CV71" s="70">
        <f t="shared" si="77"/>
        <v>0</v>
      </c>
      <c r="CW71" s="70">
        <f t="shared" si="77"/>
        <v>0</v>
      </c>
      <c r="CX71" s="70">
        <f t="shared" si="77"/>
        <v>0</v>
      </c>
      <c r="CY71" s="70">
        <f t="shared" si="77"/>
        <v>0</v>
      </c>
      <c r="CZ71" s="70">
        <f t="shared" si="77"/>
        <v>0</v>
      </c>
      <c r="DA71" s="70">
        <f t="shared" si="77"/>
        <v>0</v>
      </c>
      <c r="DB71" s="70">
        <f t="shared" si="77"/>
        <v>0</v>
      </c>
      <c r="DC71" s="70">
        <f t="shared" si="77"/>
        <v>0</v>
      </c>
      <c r="DD71" s="70">
        <f t="shared" si="77"/>
        <v>0</v>
      </c>
      <c r="DE71" s="70">
        <f t="shared" si="77"/>
        <v>0</v>
      </c>
      <c r="DF71" s="70">
        <f t="shared" si="77"/>
        <v>0</v>
      </c>
      <c r="DG71" s="70">
        <f t="shared" si="77"/>
        <v>0</v>
      </c>
      <c r="DH71" s="70">
        <f t="shared" si="77"/>
        <v>0</v>
      </c>
      <c r="DI71" s="70">
        <f t="shared" si="77"/>
        <v>0</v>
      </c>
      <c r="DJ71" s="70">
        <f t="shared" si="77"/>
        <v>0</v>
      </c>
      <c r="DK71" s="70">
        <f t="shared" si="77"/>
        <v>0</v>
      </c>
      <c r="DL71" s="70">
        <f t="shared" si="77"/>
        <v>0</v>
      </c>
      <c r="DM71" s="70">
        <f t="shared" si="77"/>
        <v>0</v>
      </c>
      <c r="DN71" s="70">
        <f t="shared" si="77"/>
        <v>0</v>
      </c>
      <c r="DO71" s="70">
        <f t="shared" si="77"/>
        <v>0</v>
      </c>
      <c r="DP71" s="70">
        <f t="shared" si="77"/>
        <v>0</v>
      </c>
      <c r="DQ71" s="70">
        <f t="shared" si="77"/>
        <v>0</v>
      </c>
      <c r="DR71" s="70">
        <f t="shared" si="77"/>
        <v>0</v>
      </c>
      <c r="DS71" s="70">
        <f t="shared" si="77"/>
        <v>0</v>
      </c>
      <c r="DT71" s="70">
        <f t="shared" si="77"/>
        <v>0</v>
      </c>
      <c r="DU71" s="70">
        <f t="shared" si="77"/>
        <v>0</v>
      </c>
      <c r="DV71" s="70">
        <f t="shared" si="77"/>
        <v>0</v>
      </c>
    </row>
    <row r="72" spans="2:126" x14ac:dyDescent="0.3">
      <c r="B72" t="s">
        <v>7</v>
      </c>
      <c r="F72" s="70">
        <f>F47+F62</f>
        <v>0</v>
      </c>
      <c r="G72" s="70">
        <f t="shared" ref="G72:BR72" si="78">G47+G62</f>
        <v>0</v>
      </c>
      <c r="H72" s="70">
        <f t="shared" si="78"/>
        <v>0</v>
      </c>
      <c r="I72" s="70">
        <f t="shared" si="78"/>
        <v>0</v>
      </c>
      <c r="J72" s="70">
        <f t="shared" si="78"/>
        <v>0</v>
      </c>
      <c r="K72" s="70">
        <f t="shared" si="78"/>
        <v>0</v>
      </c>
      <c r="L72" s="70">
        <f t="shared" si="78"/>
        <v>0</v>
      </c>
      <c r="M72" s="70">
        <f t="shared" si="78"/>
        <v>0</v>
      </c>
      <c r="N72" s="70">
        <f t="shared" si="78"/>
        <v>0</v>
      </c>
      <c r="O72" s="70">
        <f t="shared" si="78"/>
        <v>0</v>
      </c>
      <c r="P72" s="70">
        <f t="shared" si="78"/>
        <v>0</v>
      </c>
      <c r="Q72" s="70">
        <f t="shared" si="78"/>
        <v>0</v>
      </c>
      <c r="R72" s="70">
        <f t="shared" si="78"/>
        <v>0</v>
      </c>
      <c r="S72" s="70">
        <f t="shared" si="78"/>
        <v>0</v>
      </c>
      <c r="T72" s="70">
        <f t="shared" si="78"/>
        <v>0</v>
      </c>
      <c r="U72" s="70">
        <f t="shared" si="78"/>
        <v>0</v>
      </c>
      <c r="V72" s="70">
        <f t="shared" si="78"/>
        <v>0</v>
      </c>
      <c r="W72" s="70">
        <f t="shared" si="78"/>
        <v>0</v>
      </c>
      <c r="X72" s="70">
        <f t="shared" si="78"/>
        <v>0</v>
      </c>
      <c r="Y72" s="70">
        <f t="shared" si="78"/>
        <v>0</v>
      </c>
      <c r="Z72" s="70">
        <f t="shared" si="78"/>
        <v>0</v>
      </c>
      <c r="AA72" s="70">
        <f t="shared" si="78"/>
        <v>0</v>
      </c>
      <c r="AB72" s="70">
        <f t="shared" si="78"/>
        <v>0</v>
      </c>
      <c r="AC72" s="70">
        <f t="shared" si="78"/>
        <v>0</v>
      </c>
      <c r="AD72" s="70">
        <f t="shared" si="78"/>
        <v>0</v>
      </c>
      <c r="AE72" s="70">
        <f t="shared" si="78"/>
        <v>0</v>
      </c>
      <c r="AF72" s="70">
        <f t="shared" si="78"/>
        <v>0</v>
      </c>
      <c r="AG72" s="70">
        <f t="shared" si="78"/>
        <v>0</v>
      </c>
      <c r="AH72" s="70">
        <f t="shared" si="78"/>
        <v>0</v>
      </c>
      <c r="AI72" s="70">
        <f t="shared" si="78"/>
        <v>0</v>
      </c>
      <c r="AJ72" s="70">
        <f t="shared" si="78"/>
        <v>3750.9776869732491</v>
      </c>
      <c r="AK72" s="70">
        <f t="shared" si="78"/>
        <v>2135.355011795044</v>
      </c>
      <c r="AL72" s="70">
        <f t="shared" si="78"/>
        <v>2135.355011795044</v>
      </c>
      <c r="AM72" s="70">
        <f t="shared" si="78"/>
        <v>2135.355011795044</v>
      </c>
      <c r="AN72" s="70">
        <f t="shared" si="78"/>
        <v>2135.355011795044</v>
      </c>
      <c r="AO72" s="70">
        <f t="shared" si="78"/>
        <v>2135.355011795044</v>
      </c>
      <c r="AP72" s="70">
        <f t="shared" si="78"/>
        <v>2195.7420433820471</v>
      </c>
      <c r="AQ72" s="70">
        <f t="shared" si="78"/>
        <v>2195.7420433820471</v>
      </c>
      <c r="AR72" s="70">
        <f t="shared" si="78"/>
        <v>2195.7420433820471</v>
      </c>
      <c r="AS72" s="70">
        <f t="shared" si="78"/>
        <v>2195.7420433820471</v>
      </c>
      <c r="AT72" s="70">
        <f t="shared" si="78"/>
        <v>2195.7420433820471</v>
      </c>
      <c r="AU72" s="70">
        <f t="shared" si="78"/>
        <v>2195.7420433820471</v>
      </c>
      <c r="AV72" s="70">
        <f t="shared" si="78"/>
        <v>2195.7420433820471</v>
      </c>
      <c r="AW72" s="70">
        <f t="shared" si="78"/>
        <v>2195.7420433820471</v>
      </c>
      <c r="AX72" s="70">
        <f t="shared" si="78"/>
        <v>2195.7420433820471</v>
      </c>
      <c r="AY72" s="70">
        <f t="shared" si="78"/>
        <v>2195.7420433820471</v>
      </c>
      <c r="AZ72" s="70">
        <f t="shared" si="78"/>
        <v>2195.7420433820471</v>
      </c>
      <c r="BA72" s="70">
        <f t="shared" si="78"/>
        <v>2195.7420433820471</v>
      </c>
      <c r="BB72" s="70">
        <f t="shared" si="78"/>
        <v>2421.4887520277284</v>
      </c>
      <c r="BC72" s="70">
        <f t="shared" si="78"/>
        <v>2421.4887520277284</v>
      </c>
      <c r="BD72" s="70">
        <f t="shared" si="78"/>
        <v>2421.4887520277284</v>
      </c>
      <c r="BE72" s="70">
        <f t="shared" si="78"/>
        <v>2421.4887520277284</v>
      </c>
      <c r="BF72" s="70">
        <f t="shared" si="78"/>
        <v>2421.4887520277284</v>
      </c>
      <c r="BG72" s="70">
        <f t="shared" si="78"/>
        <v>2421.4887520277284</v>
      </c>
      <c r="BH72" s="70">
        <f t="shared" si="78"/>
        <v>2421.4887520277284</v>
      </c>
      <c r="BI72" s="70">
        <f t="shared" si="78"/>
        <v>1386.3617867963924</v>
      </c>
      <c r="BJ72" s="70">
        <f t="shared" si="78"/>
        <v>1386.3617867963924</v>
      </c>
      <c r="BK72" s="70">
        <f t="shared" si="78"/>
        <v>1386.3617867963924</v>
      </c>
      <c r="BL72" s="70">
        <f t="shared" si="78"/>
        <v>1386.3617867963924</v>
      </c>
      <c r="BM72" s="70">
        <f t="shared" si="78"/>
        <v>1386.3617867963924</v>
      </c>
      <c r="BN72" s="70">
        <f t="shared" si="78"/>
        <v>1620.1243690202225</v>
      </c>
      <c r="BO72" s="70">
        <f t="shared" si="78"/>
        <v>1620.1243690202225</v>
      </c>
      <c r="BP72" s="70">
        <f t="shared" si="78"/>
        <v>1620.1243690202225</v>
      </c>
      <c r="BQ72" s="70">
        <f t="shared" si="78"/>
        <v>1620.1243690202225</v>
      </c>
      <c r="BR72" s="70">
        <f t="shared" si="78"/>
        <v>1620.1243690202225</v>
      </c>
      <c r="BS72" s="70">
        <f t="shared" ref="BS72:DV72" si="79">BS47+BS62</f>
        <v>1620.1243690202225</v>
      </c>
      <c r="BT72" s="70">
        <f t="shared" si="79"/>
        <v>1620.1243690202225</v>
      </c>
      <c r="BU72" s="70">
        <f t="shared" si="79"/>
        <v>1620.1243690202225</v>
      </c>
      <c r="BV72" s="70">
        <f t="shared" si="79"/>
        <v>1620.1243690202225</v>
      </c>
      <c r="BW72" s="70">
        <f t="shared" si="79"/>
        <v>1620.1243690202225</v>
      </c>
      <c r="BX72" s="70">
        <f t="shared" si="79"/>
        <v>1620.1243690202225</v>
      </c>
      <c r="BY72" s="70">
        <f t="shared" si="79"/>
        <v>1620.1243690202225</v>
      </c>
      <c r="BZ72" s="70">
        <f t="shared" si="79"/>
        <v>1862.168170475918</v>
      </c>
      <c r="CA72" s="70">
        <f t="shared" si="79"/>
        <v>1862.168170475918</v>
      </c>
      <c r="CB72" s="70">
        <f t="shared" si="79"/>
        <v>1862.168170475918</v>
      </c>
      <c r="CC72" s="70">
        <f t="shared" si="79"/>
        <v>1862.168170475918</v>
      </c>
      <c r="CD72" s="70">
        <f t="shared" si="79"/>
        <v>1862.168170475918</v>
      </c>
      <c r="CE72" s="70">
        <f t="shared" si="79"/>
        <v>1862.168170475918</v>
      </c>
      <c r="CF72" s="70">
        <f t="shared" si="79"/>
        <v>1862.168170475918</v>
      </c>
      <c r="CG72" s="70">
        <f t="shared" si="79"/>
        <v>1862.168170475918</v>
      </c>
      <c r="CH72" s="70">
        <f t="shared" si="79"/>
        <v>1862.168170475918</v>
      </c>
      <c r="CI72" s="70">
        <f t="shared" si="79"/>
        <v>1862.168170475918</v>
      </c>
      <c r="CJ72" s="70">
        <f t="shared" si="79"/>
        <v>1862.168170475918</v>
      </c>
      <c r="CK72" s="70">
        <f t="shared" si="79"/>
        <v>1862.168170475918</v>
      </c>
      <c r="CL72" s="70">
        <f t="shared" si="79"/>
        <v>2112.7669945757439</v>
      </c>
      <c r="CM72" s="70">
        <f t="shared" si="79"/>
        <v>2112.7669945757439</v>
      </c>
      <c r="CN72" s="70">
        <f t="shared" si="79"/>
        <v>2112.7669945757439</v>
      </c>
      <c r="CO72" s="70">
        <f t="shared" si="79"/>
        <v>2112.7669945757439</v>
      </c>
      <c r="CP72" s="70">
        <f t="shared" si="79"/>
        <v>2112.7669945757439</v>
      </c>
      <c r="CQ72" s="70">
        <f t="shared" si="79"/>
        <v>2112.7669945757439</v>
      </c>
      <c r="CR72" s="70">
        <f t="shared" si="79"/>
        <v>2112.7669945757439</v>
      </c>
      <c r="CS72" s="70">
        <f t="shared" si="79"/>
        <v>2112.7669945757439</v>
      </c>
      <c r="CT72" s="70">
        <f t="shared" si="79"/>
        <v>2112.7669945757439</v>
      </c>
      <c r="CU72" s="70">
        <f t="shared" si="79"/>
        <v>2112.7669945757439</v>
      </c>
      <c r="CV72" s="70">
        <f t="shared" si="79"/>
        <v>2112.7669945757439</v>
      </c>
      <c r="CW72" s="70">
        <f t="shared" si="79"/>
        <v>2112.7669945757439</v>
      </c>
      <c r="CX72" s="70">
        <f t="shared" si="79"/>
        <v>2372.2033661710238</v>
      </c>
      <c r="CY72" s="70">
        <f t="shared" si="79"/>
        <v>2372.2033661710238</v>
      </c>
      <c r="CZ72" s="70">
        <f t="shared" si="79"/>
        <v>2372.2033661710238</v>
      </c>
      <c r="DA72" s="70">
        <f t="shared" si="79"/>
        <v>2372.2033661710238</v>
      </c>
      <c r="DB72" s="70">
        <f t="shared" si="79"/>
        <v>2372.2033661710238</v>
      </c>
      <c r="DC72" s="70">
        <f t="shared" si="79"/>
        <v>2372.2033661710238</v>
      </c>
      <c r="DD72" s="70">
        <f t="shared" si="79"/>
        <v>2372.2033661710238</v>
      </c>
      <c r="DE72" s="70">
        <f t="shared" si="79"/>
        <v>2372.2033661710238</v>
      </c>
      <c r="DF72" s="70">
        <f t="shared" si="79"/>
        <v>2372.2033661710238</v>
      </c>
      <c r="DG72" s="70">
        <f t="shared" si="79"/>
        <v>2372.2033661710238</v>
      </c>
      <c r="DH72" s="70">
        <f t="shared" si="79"/>
        <v>2372.2033661710238</v>
      </c>
      <c r="DI72" s="70">
        <f t="shared" si="79"/>
        <v>2372.2033661710238</v>
      </c>
      <c r="DJ72" s="70">
        <f t="shared" si="79"/>
        <v>2640.768803342085</v>
      </c>
      <c r="DK72" s="70">
        <f t="shared" si="79"/>
        <v>2640.768803342085</v>
      </c>
      <c r="DL72" s="70">
        <f t="shared" si="79"/>
        <v>2640.768803342085</v>
      </c>
      <c r="DM72" s="70">
        <f t="shared" si="79"/>
        <v>2640.768803342085</v>
      </c>
      <c r="DN72" s="70">
        <f t="shared" si="79"/>
        <v>2640.768803342085</v>
      </c>
      <c r="DO72" s="70">
        <f t="shared" si="79"/>
        <v>2640.768803342085</v>
      </c>
      <c r="DP72" s="70">
        <f t="shared" si="79"/>
        <v>2640.768803342085</v>
      </c>
      <c r="DQ72" s="70">
        <f t="shared" si="79"/>
        <v>2640.768803342085</v>
      </c>
      <c r="DR72" s="70">
        <f t="shared" si="79"/>
        <v>2640.768803342085</v>
      </c>
      <c r="DS72" s="70">
        <f t="shared" si="79"/>
        <v>2640.768803342085</v>
      </c>
      <c r="DT72" s="70">
        <f t="shared" si="79"/>
        <v>2640.768803342085</v>
      </c>
      <c r="DU72" s="70">
        <f t="shared" si="79"/>
        <v>2640.768803342085</v>
      </c>
      <c r="DV72" s="70">
        <f t="shared" si="79"/>
        <v>1491116.000349361</v>
      </c>
    </row>
    <row r="73" spans="2:126" x14ac:dyDescent="0.3">
      <c r="B73" t="str">
        <f>"Distributions to Investors "&amp;B67</f>
        <v>Distributions to Investors Hurdle 3</v>
      </c>
      <c r="F73" s="70">
        <f>MIN(F69+F70-F72,F65*$I$12)</f>
        <v>0</v>
      </c>
      <c r="G73" s="70">
        <f t="shared" ref="G73:BR73" si="80">MIN(G69+G70-G72,G65*$I$12)</f>
        <v>0</v>
      </c>
      <c r="H73" s="70">
        <f t="shared" si="80"/>
        <v>0</v>
      </c>
      <c r="I73" s="70">
        <f t="shared" si="80"/>
        <v>0</v>
      </c>
      <c r="J73" s="70">
        <f t="shared" si="80"/>
        <v>0</v>
      </c>
      <c r="K73" s="70">
        <f t="shared" si="80"/>
        <v>0</v>
      </c>
      <c r="L73" s="70">
        <f t="shared" si="80"/>
        <v>0</v>
      </c>
      <c r="M73" s="70">
        <f t="shared" si="80"/>
        <v>0</v>
      </c>
      <c r="N73" s="70">
        <f t="shared" si="80"/>
        <v>0</v>
      </c>
      <c r="O73" s="70">
        <f t="shared" si="80"/>
        <v>0</v>
      </c>
      <c r="P73" s="70">
        <f t="shared" si="80"/>
        <v>0</v>
      </c>
      <c r="Q73" s="70">
        <f t="shared" si="80"/>
        <v>0</v>
      </c>
      <c r="R73" s="70">
        <f t="shared" si="80"/>
        <v>0</v>
      </c>
      <c r="S73" s="70">
        <f t="shared" si="80"/>
        <v>0</v>
      </c>
      <c r="T73" s="70">
        <f t="shared" si="80"/>
        <v>0</v>
      </c>
      <c r="U73" s="70">
        <f t="shared" si="80"/>
        <v>0</v>
      </c>
      <c r="V73" s="70">
        <f t="shared" si="80"/>
        <v>0</v>
      </c>
      <c r="W73" s="70">
        <f t="shared" si="80"/>
        <v>0</v>
      </c>
      <c r="X73" s="70">
        <f t="shared" si="80"/>
        <v>0</v>
      </c>
      <c r="Y73" s="70">
        <f t="shared" si="80"/>
        <v>0</v>
      </c>
      <c r="Z73" s="70">
        <f t="shared" si="80"/>
        <v>0</v>
      </c>
      <c r="AA73" s="70">
        <f t="shared" si="80"/>
        <v>0</v>
      </c>
      <c r="AB73" s="70">
        <f t="shared" si="80"/>
        <v>0</v>
      </c>
      <c r="AC73" s="70">
        <f t="shared" si="80"/>
        <v>0</v>
      </c>
      <c r="AD73" s="70">
        <f t="shared" si="80"/>
        <v>0</v>
      </c>
      <c r="AE73" s="70">
        <f t="shared" si="80"/>
        <v>0</v>
      </c>
      <c r="AF73" s="70">
        <f t="shared" si="80"/>
        <v>0</v>
      </c>
      <c r="AG73" s="70">
        <f t="shared" si="80"/>
        <v>0</v>
      </c>
      <c r="AH73" s="70">
        <f t="shared" si="80"/>
        <v>0</v>
      </c>
      <c r="AI73" s="70">
        <f t="shared" si="80"/>
        <v>0</v>
      </c>
      <c r="AJ73" s="70">
        <f t="shared" si="80"/>
        <v>0</v>
      </c>
      <c r="AK73" s="70">
        <f t="shared" si="80"/>
        <v>0</v>
      </c>
      <c r="AL73" s="70">
        <f t="shared" si="80"/>
        <v>0</v>
      </c>
      <c r="AM73" s="70">
        <f t="shared" si="80"/>
        <v>0</v>
      </c>
      <c r="AN73" s="70">
        <f t="shared" si="80"/>
        <v>0</v>
      </c>
      <c r="AO73" s="70">
        <f t="shared" si="80"/>
        <v>0</v>
      </c>
      <c r="AP73" s="70">
        <f t="shared" si="80"/>
        <v>0</v>
      </c>
      <c r="AQ73" s="70">
        <f t="shared" si="80"/>
        <v>0</v>
      </c>
      <c r="AR73" s="70">
        <f t="shared" si="80"/>
        <v>0</v>
      </c>
      <c r="AS73" s="70">
        <f t="shared" si="80"/>
        <v>0</v>
      </c>
      <c r="AT73" s="70">
        <f t="shared" si="80"/>
        <v>0</v>
      </c>
      <c r="AU73" s="70">
        <f t="shared" si="80"/>
        <v>0</v>
      </c>
      <c r="AV73" s="70">
        <f t="shared" si="80"/>
        <v>0</v>
      </c>
      <c r="AW73" s="70">
        <f t="shared" si="80"/>
        <v>0</v>
      </c>
      <c r="AX73" s="70">
        <f t="shared" si="80"/>
        <v>0</v>
      </c>
      <c r="AY73" s="70">
        <f t="shared" si="80"/>
        <v>0</v>
      </c>
      <c r="AZ73" s="70">
        <f t="shared" si="80"/>
        <v>0</v>
      </c>
      <c r="BA73" s="70">
        <f t="shared" si="80"/>
        <v>0</v>
      </c>
      <c r="BB73" s="70">
        <f t="shared" si="80"/>
        <v>0</v>
      </c>
      <c r="BC73" s="70">
        <f t="shared" si="80"/>
        <v>0</v>
      </c>
      <c r="BD73" s="70">
        <f t="shared" si="80"/>
        <v>0</v>
      </c>
      <c r="BE73" s="70">
        <f t="shared" si="80"/>
        <v>0</v>
      </c>
      <c r="BF73" s="70">
        <f t="shared" si="80"/>
        <v>0</v>
      </c>
      <c r="BG73" s="70">
        <f t="shared" si="80"/>
        <v>0</v>
      </c>
      <c r="BH73" s="70">
        <f t="shared" si="80"/>
        <v>0</v>
      </c>
      <c r="BI73" s="70">
        <f t="shared" si="80"/>
        <v>0</v>
      </c>
      <c r="BJ73" s="70">
        <f t="shared" si="80"/>
        <v>0</v>
      </c>
      <c r="BK73" s="70">
        <f t="shared" si="80"/>
        <v>0</v>
      </c>
      <c r="BL73" s="70">
        <f t="shared" si="80"/>
        <v>0</v>
      </c>
      <c r="BM73" s="70">
        <f t="shared" si="80"/>
        <v>0</v>
      </c>
      <c r="BN73" s="70">
        <f t="shared" si="80"/>
        <v>0</v>
      </c>
      <c r="BO73" s="70">
        <f t="shared" si="80"/>
        <v>0</v>
      </c>
      <c r="BP73" s="70">
        <f t="shared" si="80"/>
        <v>0</v>
      </c>
      <c r="BQ73" s="70">
        <f t="shared" si="80"/>
        <v>0</v>
      </c>
      <c r="BR73" s="70">
        <f t="shared" si="80"/>
        <v>0</v>
      </c>
      <c r="BS73" s="70">
        <f t="shared" ref="BS73:DV73" si="81">MIN(BS69+BS70-BS72,BS65*$I$12)</f>
        <v>0</v>
      </c>
      <c r="BT73" s="70">
        <f t="shared" si="81"/>
        <v>0</v>
      </c>
      <c r="BU73" s="70">
        <f t="shared" si="81"/>
        <v>0</v>
      </c>
      <c r="BV73" s="70">
        <f t="shared" si="81"/>
        <v>0</v>
      </c>
      <c r="BW73" s="70">
        <f t="shared" si="81"/>
        <v>0</v>
      </c>
      <c r="BX73" s="70">
        <f t="shared" si="81"/>
        <v>0</v>
      </c>
      <c r="BY73" s="70">
        <f t="shared" si="81"/>
        <v>0</v>
      </c>
      <c r="BZ73" s="70">
        <f t="shared" si="81"/>
        <v>0</v>
      </c>
      <c r="CA73" s="70">
        <f t="shared" si="81"/>
        <v>0</v>
      </c>
      <c r="CB73" s="70">
        <f t="shared" si="81"/>
        <v>0</v>
      </c>
      <c r="CC73" s="70">
        <f t="shared" si="81"/>
        <v>0</v>
      </c>
      <c r="CD73" s="70">
        <f t="shared" si="81"/>
        <v>0</v>
      </c>
      <c r="CE73" s="70">
        <f t="shared" si="81"/>
        <v>0</v>
      </c>
      <c r="CF73" s="70">
        <f t="shared" si="81"/>
        <v>0</v>
      </c>
      <c r="CG73" s="70">
        <f t="shared" si="81"/>
        <v>0</v>
      </c>
      <c r="CH73" s="70">
        <f t="shared" si="81"/>
        <v>0</v>
      </c>
      <c r="CI73" s="70">
        <f t="shared" si="81"/>
        <v>0</v>
      </c>
      <c r="CJ73" s="70">
        <f t="shared" si="81"/>
        <v>0</v>
      </c>
      <c r="CK73" s="70">
        <f t="shared" si="81"/>
        <v>0</v>
      </c>
      <c r="CL73" s="70">
        <f t="shared" si="81"/>
        <v>0</v>
      </c>
      <c r="CM73" s="70">
        <f t="shared" si="81"/>
        <v>0</v>
      </c>
      <c r="CN73" s="70">
        <f t="shared" si="81"/>
        <v>0</v>
      </c>
      <c r="CO73" s="70">
        <f t="shared" si="81"/>
        <v>0</v>
      </c>
      <c r="CP73" s="70">
        <f t="shared" si="81"/>
        <v>0</v>
      </c>
      <c r="CQ73" s="70">
        <f t="shared" si="81"/>
        <v>0</v>
      </c>
      <c r="CR73" s="70">
        <f t="shared" si="81"/>
        <v>0</v>
      </c>
      <c r="CS73" s="70">
        <f t="shared" si="81"/>
        <v>0</v>
      </c>
      <c r="CT73" s="70">
        <f t="shared" si="81"/>
        <v>0</v>
      </c>
      <c r="CU73" s="70">
        <f t="shared" si="81"/>
        <v>0</v>
      </c>
      <c r="CV73" s="70">
        <f t="shared" si="81"/>
        <v>0</v>
      </c>
      <c r="CW73" s="70">
        <f t="shared" si="81"/>
        <v>0</v>
      </c>
      <c r="CX73" s="70">
        <f t="shared" si="81"/>
        <v>0</v>
      </c>
      <c r="CY73" s="70">
        <f t="shared" si="81"/>
        <v>0</v>
      </c>
      <c r="CZ73" s="70">
        <f t="shared" si="81"/>
        <v>0</v>
      </c>
      <c r="DA73" s="70">
        <f t="shared" si="81"/>
        <v>0</v>
      </c>
      <c r="DB73" s="70">
        <f t="shared" si="81"/>
        <v>0</v>
      </c>
      <c r="DC73" s="70">
        <f t="shared" si="81"/>
        <v>0</v>
      </c>
      <c r="DD73" s="70">
        <f t="shared" si="81"/>
        <v>0</v>
      </c>
      <c r="DE73" s="70">
        <f t="shared" si="81"/>
        <v>0</v>
      </c>
      <c r="DF73" s="70">
        <f t="shared" si="81"/>
        <v>0</v>
      </c>
      <c r="DG73" s="70">
        <f t="shared" si="81"/>
        <v>0</v>
      </c>
      <c r="DH73" s="70">
        <f t="shared" si="81"/>
        <v>0</v>
      </c>
      <c r="DI73" s="70">
        <f t="shared" si="81"/>
        <v>0</v>
      </c>
      <c r="DJ73" s="70">
        <f t="shared" si="81"/>
        <v>0</v>
      </c>
      <c r="DK73" s="70">
        <f t="shared" si="81"/>
        <v>0</v>
      </c>
      <c r="DL73" s="70">
        <f t="shared" si="81"/>
        <v>0</v>
      </c>
      <c r="DM73" s="70">
        <f t="shared" si="81"/>
        <v>0</v>
      </c>
      <c r="DN73" s="70">
        <f t="shared" si="81"/>
        <v>0</v>
      </c>
      <c r="DO73" s="70">
        <f t="shared" si="81"/>
        <v>0</v>
      </c>
      <c r="DP73" s="70">
        <f t="shared" si="81"/>
        <v>0</v>
      </c>
      <c r="DQ73" s="70">
        <f t="shared" si="81"/>
        <v>0</v>
      </c>
      <c r="DR73" s="70">
        <f t="shared" si="81"/>
        <v>0</v>
      </c>
      <c r="DS73" s="70">
        <f t="shared" si="81"/>
        <v>0</v>
      </c>
      <c r="DT73" s="70">
        <f t="shared" si="81"/>
        <v>0</v>
      </c>
      <c r="DU73" s="70">
        <f t="shared" si="81"/>
        <v>0</v>
      </c>
      <c r="DV73" s="70">
        <f t="shared" si="81"/>
        <v>0</v>
      </c>
    </row>
    <row r="74" spans="2:126" x14ac:dyDescent="0.3">
      <c r="B74" t="s">
        <v>81</v>
      </c>
      <c r="F74" s="70">
        <f>F69+F70+F71-F72-F73</f>
        <v>181905.12328713818</v>
      </c>
      <c r="G74" s="70">
        <f t="shared" ref="G74:BR74" si="82">G69+G70+G71-G72-G73</f>
        <v>223035.66324711309</v>
      </c>
      <c r="H74" s="70">
        <f t="shared" si="82"/>
        <v>274470.65028647735</v>
      </c>
      <c r="I74" s="70">
        <f t="shared" si="82"/>
        <v>339695.12194410269</v>
      </c>
      <c r="J74" s="70">
        <f t="shared" si="82"/>
        <v>423724.24851995247</v>
      </c>
      <c r="K74" s="70">
        <f t="shared" si="82"/>
        <v>533527.54877962393</v>
      </c>
      <c r="L74" s="70">
        <f t="shared" si="82"/>
        <v>678247.00610202167</v>
      </c>
      <c r="M74" s="70">
        <f t="shared" si="82"/>
        <v>864276.14089093998</v>
      </c>
      <c r="N74" s="70">
        <f t="shared" si="82"/>
        <v>1103094.4870359388</v>
      </c>
      <c r="O74" s="70">
        <f t="shared" si="82"/>
        <v>1401896.8005155416</v>
      </c>
      <c r="P74" s="70">
        <f t="shared" si="82"/>
        <v>1711850.5719585039</v>
      </c>
      <c r="Q74" s="70">
        <f t="shared" si="82"/>
        <v>2090333.8816644726</v>
      </c>
      <c r="R74" s="70">
        <f t="shared" si="82"/>
        <v>2552498.3362510335</v>
      </c>
      <c r="S74" s="70">
        <f t="shared" si="82"/>
        <v>3116845.5019139769</v>
      </c>
      <c r="T74" s="70">
        <f t="shared" si="82"/>
        <v>3805967.5670816833</v>
      </c>
      <c r="U74" s="70">
        <f t="shared" si="82"/>
        <v>4647451.7626178619</v>
      </c>
      <c r="V74" s="70">
        <f t="shared" si="82"/>
        <v>5674984.7457111347</v>
      </c>
      <c r="W74" s="70">
        <f t="shared" si="82"/>
        <v>6929701.1586222621</v>
      </c>
      <c r="X74" s="70">
        <f t="shared" si="82"/>
        <v>8461830.3483727202</v>
      </c>
      <c r="Y74" s="70">
        <f t="shared" si="82"/>
        <v>10332707.169565354</v>
      </c>
      <c r="Z74" s="70">
        <f t="shared" si="82"/>
        <v>12617227.367660359</v>
      </c>
      <c r="AA74" s="70">
        <f t="shared" si="82"/>
        <v>15406845.8376658</v>
      </c>
      <c r="AB74" s="70">
        <f t="shared" si="82"/>
        <v>18813237.785823956</v>
      </c>
      <c r="AC74" s="70">
        <f t="shared" si="82"/>
        <v>22972769.359492555</v>
      </c>
      <c r="AD74" s="70">
        <f t="shared" si="82"/>
        <v>28051956.715398863</v>
      </c>
      <c r="AE74" s="70">
        <f t="shared" si="82"/>
        <v>34254132.066034615</v>
      </c>
      <c r="AF74" s="70">
        <f t="shared" si="82"/>
        <v>41827583.562227711</v>
      </c>
      <c r="AG74" s="70">
        <f t="shared" si="82"/>
        <v>51075494.87117032</v>
      </c>
      <c r="AH74" s="70">
        <f t="shared" si="82"/>
        <v>62368082.355365396</v>
      </c>
      <c r="AI74" s="70">
        <f t="shared" si="82"/>
        <v>76157415.733258694</v>
      </c>
      <c r="AJ74" s="70">
        <f t="shared" si="82"/>
        <v>92991764.550929263</v>
      </c>
      <c r="AK74" s="70">
        <f t="shared" si="82"/>
        <v>113549736.13467139</v>
      </c>
      <c r="AL74" s="70">
        <f t="shared" si="82"/>
        <v>138652992.95143127</v>
      </c>
      <c r="AM74" s="70">
        <f t="shared" si="82"/>
        <v>169306479.37353343</v>
      </c>
      <c r="AN74" s="70">
        <f t="shared" si="82"/>
        <v>206737328.95169115</v>
      </c>
      <c r="AO74" s="70">
        <f t="shared" si="82"/>
        <v>252443989.55302665</v>
      </c>
      <c r="AP74" s="70">
        <f t="shared" si="82"/>
        <v>308256149.48345059</v>
      </c>
      <c r="AQ74" s="70">
        <f t="shared" si="82"/>
        <v>376408154.58396906</v>
      </c>
      <c r="AR74" s="70">
        <f t="shared" si="82"/>
        <v>459628295.23093963</v>
      </c>
      <c r="AS74" s="70">
        <f t="shared" si="82"/>
        <v>561248075.88283527</v>
      </c>
      <c r="AT74" s="70">
        <f t="shared" si="82"/>
        <v>685335583.29941046</v>
      </c>
      <c r="AU74" s="70">
        <f t="shared" si="82"/>
        <v>836858341.94031262</v>
      </c>
      <c r="AV74" s="70">
        <f t="shared" si="82"/>
        <v>1021882176.0404912</v>
      </c>
      <c r="AW74" s="70">
        <f t="shared" si="82"/>
        <v>1247814039.2945259</v>
      </c>
      <c r="AX74" s="70">
        <f t="shared" si="82"/>
        <v>1523698533.2122235</v>
      </c>
      <c r="AY74" s="70">
        <f t="shared" si="82"/>
        <v>1860579984.4958105</v>
      </c>
      <c r="AZ74" s="70">
        <f t="shared" si="82"/>
        <v>2271944576.2759929</v>
      </c>
      <c r="BA74" s="70">
        <f t="shared" si="82"/>
        <v>2774260232.7946587</v>
      </c>
      <c r="BB74" s="70">
        <f t="shared" si="82"/>
        <v>3387635644.6833091</v>
      </c>
      <c r="BC74" s="70">
        <f t="shared" si="82"/>
        <v>4136625905.0796046</v>
      </c>
      <c r="BD74" s="70">
        <f t="shared" si="82"/>
        <v>5051214914.1844387</v>
      </c>
      <c r="BE74" s="70">
        <f t="shared" si="82"/>
        <v>6168015892.5212994</v>
      </c>
      <c r="BF74" s="70">
        <f t="shared" si="82"/>
        <v>7531737097.1254597</v>
      </c>
      <c r="BG74" s="70">
        <f t="shared" si="82"/>
        <v>9196971601.7160072</v>
      </c>
      <c r="BH74" s="70">
        <f t="shared" si="82"/>
        <v>11230382790.100243</v>
      </c>
      <c r="BI74" s="70">
        <f t="shared" si="82"/>
        <v>13713374088.549225</v>
      </c>
      <c r="BJ74" s="70">
        <f t="shared" si="82"/>
        <v>16745344824.807964</v>
      </c>
      <c r="BK74" s="70">
        <f t="shared" si="82"/>
        <v>20447672155.262863</v>
      </c>
      <c r="BL74" s="70">
        <f t="shared" si="82"/>
        <v>24968569239.760174</v>
      </c>
      <c r="BM74" s="70">
        <f t="shared" si="82"/>
        <v>30489018574.558735</v>
      </c>
      <c r="BN74" s="70">
        <f t="shared" si="82"/>
        <v>37230016927.687569</v>
      </c>
      <c r="BO74" s="70">
        <f t="shared" si="82"/>
        <v>45461423035.563194</v>
      </c>
      <c r="BP74" s="70">
        <f t="shared" si="82"/>
        <v>55512760087.340279</v>
      </c>
      <c r="BQ74" s="70">
        <f t="shared" si="82"/>
        <v>67786407530.365135</v>
      </c>
      <c r="BR74" s="70">
        <f t="shared" si="82"/>
        <v>82773709297.251648</v>
      </c>
      <c r="BS74" s="70">
        <f t="shared" ref="BS74:DV74" si="83">BS69+BS70+BS71-BS72-BS73</f>
        <v>101074643497.48984</v>
      </c>
      <c r="BT74" s="70">
        <f t="shared" si="83"/>
        <v>123421840999.1403</v>
      </c>
      <c r="BU74" s="70">
        <f t="shared" si="83"/>
        <v>150709914422.80594</v>
      </c>
      <c r="BV74" s="70">
        <f t="shared" si="83"/>
        <v>184031271658.78015</v>
      </c>
      <c r="BW74" s="70">
        <f t="shared" si="83"/>
        <v>224719847609.49167</v>
      </c>
      <c r="BX74" s="70">
        <f t="shared" si="83"/>
        <v>274404504845.16556</v>
      </c>
      <c r="BY74" s="70">
        <f t="shared" si="83"/>
        <v>335074240930.71246</v>
      </c>
      <c r="BZ74" s="70">
        <f t="shared" si="83"/>
        <v>409157812589.55457</v>
      </c>
      <c r="CA74" s="70">
        <f t="shared" si="83"/>
        <v>499620965419.54901</v>
      </c>
      <c r="CB74" s="70">
        <f t="shared" si="83"/>
        <v>610085159257.67358</v>
      </c>
      <c r="CC74" s="70">
        <f t="shared" si="83"/>
        <v>744972544215.81641</v>
      </c>
      <c r="CD74" s="70">
        <f t="shared" si="83"/>
        <v>909682990095.76172</v>
      </c>
      <c r="CE74" s="70">
        <f t="shared" si="83"/>
        <v>1110810256299.262</v>
      </c>
      <c r="CF74" s="70">
        <f t="shared" si="83"/>
        <v>1356405956039.9971</v>
      </c>
      <c r="CG74" s="70">
        <f t="shared" si="83"/>
        <v>1656301881986.2705</v>
      </c>
      <c r="CH74" s="70">
        <f t="shared" si="83"/>
        <v>2022503596813.1829</v>
      </c>
      <c r="CI74" s="70">
        <f t="shared" si="83"/>
        <v>2469671045050.5293</v>
      </c>
      <c r="CJ74" s="70">
        <f t="shared" si="83"/>
        <v>3015705426286.5967</v>
      </c>
      <c r="CK74" s="70">
        <f t="shared" si="83"/>
        <v>3682465823688.3364</v>
      </c>
      <c r="CL74" s="70">
        <f t="shared" si="83"/>
        <v>4496644275968.4121</v>
      </c>
      <c r="CM74" s="70">
        <f t="shared" si="83"/>
        <v>5490834325264.0459</v>
      </c>
      <c r="CN74" s="70">
        <f t="shared" si="83"/>
        <v>6704835815171.374</v>
      </c>
      <c r="CO74" s="70">
        <f t="shared" si="83"/>
        <v>8187248175405.0879</v>
      </c>
      <c r="CP74" s="70">
        <f t="shared" si="83"/>
        <v>9997415975068.5293</v>
      </c>
      <c r="CQ74" s="70">
        <f t="shared" si="83"/>
        <v>12207804629964.654</v>
      </c>
      <c r="CR74" s="70">
        <f t="shared" si="83"/>
        <v>14906901369284.57</v>
      </c>
      <c r="CS74" s="70">
        <f t="shared" si="83"/>
        <v>18202757594419.676</v>
      </c>
      <c r="CT74" s="70">
        <f t="shared" si="83"/>
        <v>22227314439128.715</v>
      </c>
      <c r="CU74" s="70">
        <f t="shared" si="83"/>
        <v>27141684693744.547</v>
      </c>
      <c r="CV74" s="70">
        <f t="shared" si="83"/>
        <v>33142602541681.891</v>
      </c>
      <c r="CW74" s="70">
        <f t="shared" si="83"/>
        <v>40470299306871.594</v>
      </c>
      <c r="CX74" s="70">
        <f t="shared" si="83"/>
        <v>49418120497170.195</v>
      </c>
      <c r="CY74" s="70">
        <f t="shared" si="83"/>
        <v>60344269138612.414</v>
      </c>
      <c r="CZ74" s="70">
        <f t="shared" si="83"/>
        <v>73686145512307.109</v>
      </c>
      <c r="DA74" s="70">
        <f t="shared" si="83"/>
        <v>89977857350803.266</v>
      </c>
      <c r="DB74" s="70">
        <f t="shared" si="83"/>
        <v>109871601468527.7</v>
      </c>
      <c r="DC74" s="70">
        <f t="shared" si="83"/>
        <v>134163772785131.8</v>
      </c>
      <c r="DD74" s="70">
        <f t="shared" si="83"/>
        <v>163826845949397.63</v>
      </c>
      <c r="DE74" s="70">
        <f t="shared" si="83"/>
        <v>200048305862582.19</v>
      </c>
      <c r="DF74" s="70">
        <f t="shared" si="83"/>
        <v>244278185584652.09</v>
      </c>
      <c r="DG74" s="70">
        <f t="shared" si="83"/>
        <v>298287114681314.13</v>
      </c>
      <c r="DH74" s="70">
        <f t="shared" si="83"/>
        <v>364237201828233.31</v>
      </c>
      <c r="DI74" s="70">
        <f t="shared" si="83"/>
        <v>444768589275333.25</v>
      </c>
      <c r="DJ74" s="70">
        <f t="shared" si="83"/>
        <v>543105144156446.31</v>
      </c>
      <c r="DK74" s="70">
        <f t="shared" si="83"/>
        <v>663183517725568.38</v>
      </c>
      <c r="DL74" s="70">
        <f t="shared" si="83"/>
        <v>809810739072072.75</v>
      </c>
      <c r="DM74" s="70">
        <f t="shared" si="83"/>
        <v>988856652176656.5</v>
      </c>
      <c r="DN74" s="70">
        <f t="shared" si="83"/>
        <v>1207488900029851</v>
      </c>
      <c r="DO74" s="70">
        <f t="shared" si="83"/>
        <v>1474459862798601</v>
      </c>
      <c r="DP74" s="70">
        <f t="shared" si="83"/>
        <v>1800457036872992.3</v>
      </c>
      <c r="DQ74" s="70">
        <f t="shared" si="83"/>
        <v>2198530881317803.8</v>
      </c>
      <c r="DR74" s="70">
        <f t="shared" si="83"/>
        <v>2684617259462024.5</v>
      </c>
      <c r="DS74" s="70">
        <f t="shared" si="83"/>
        <v>3278175390232719</v>
      </c>
      <c r="DT74" s="70">
        <f t="shared" si="83"/>
        <v>4002966847975381.5</v>
      </c>
      <c r="DU74" s="70">
        <f t="shared" si="83"/>
        <v>4888006796016592</v>
      </c>
      <c r="DV74" s="70">
        <f t="shared" si="83"/>
        <v>5968725532671549</v>
      </c>
    </row>
    <row r="75" spans="2:126" x14ac:dyDescent="0.3">
      <c r="B75" s="71">
        <f>C68</f>
        <v>9.99</v>
      </c>
      <c r="E75" s="65">
        <f>XIRR(F75:DV75,$F$15:$DV$15)</f>
        <v>0.17829801440238952</v>
      </c>
      <c r="F75" s="70">
        <f>-F71+F72+F73</f>
        <v>-181905.12328713818</v>
      </c>
      <c r="G75" s="70">
        <f t="shared" ref="G75:BR75" si="84">-G71+G72+G73</f>
        <v>-912.04528411059755</v>
      </c>
      <c r="H75" s="70">
        <f t="shared" si="84"/>
        <v>-2122.6946050690854</v>
      </c>
      <c r="I75" s="70">
        <f t="shared" si="84"/>
        <v>-4540.1094596298981</v>
      </c>
      <c r="J75" s="70">
        <f t="shared" si="84"/>
        <v>-8923.8947580499243</v>
      </c>
      <c r="K75" s="70">
        <f t="shared" si="84"/>
        <v>-16119.564886071646</v>
      </c>
      <c r="L75" s="70">
        <f t="shared" si="84"/>
        <v>-26758.651753721148</v>
      </c>
      <c r="M75" s="70">
        <f t="shared" si="84"/>
        <v>-36071.436451986388</v>
      </c>
      <c r="N75" s="70">
        <f t="shared" si="84"/>
        <v>-47730.350695688947</v>
      </c>
      <c r="O75" s="70">
        <f t="shared" si="84"/>
        <v>-54912.537578128577</v>
      </c>
      <c r="P75" s="70">
        <f t="shared" si="84"/>
        <v>0</v>
      </c>
      <c r="Q75" s="70">
        <f t="shared" si="84"/>
        <v>0</v>
      </c>
      <c r="R75" s="70">
        <f t="shared" si="84"/>
        <v>0</v>
      </c>
      <c r="S75" s="70">
        <f t="shared" si="84"/>
        <v>0</v>
      </c>
      <c r="T75" s="70">
        <f t="shared" si="84"/>
        <v>0</v>
      </c>
      <c r="U75" s="70">
        <f t="shared" si="84"/>
        <v>0</v>
      </c>
      <c r="V75" s="70">
        <f t="shared" si="84"/>
        <v>0</v>
      </c>
      <c r="W75" s="70">
        <f t="shared" si="84"/>
        <v>0</v>
      </c>
      <c r="X75" s="70">
        <f t="shared" si="84"/>
        <v>0</v>
      </c>
      <c r="Y75" s="70">
        <f t="shared" si="84"/>
        <v>0</v>
      </c>
      <c r="Z75" s="70">
        <f t="shared" si="84"/>
        <v>0</v>
      </c>
      <c r="AA75" s="70">
        <f t="shared" si="84"/>
        <v>0</v>
      </c>
      <c r="AB75" s="70">
        <f t="shared" si="84"/>
        <v>0</v>
      </c>
      <c r="AC75" s="70">
        <f t="shared" si="84"/>
        <v>0</v>
      </c>
      <c r="AD75" s="70">
        <f t="shared" si="84"/>
        <v>0</v>
      </c>
      <c r="AE75" s="70">
        <f t="shared" si="84"/>
        <v>0</v>
      </c>
      <c r="AF75" s="70">
        <f t="shared" si="84"/>
        <v>0</v>
      </c>
      <c r="AG75" s="70">
        <f t="shared" si="84"/>
        <v>0</v>
      </c>
      <c r="AH75" s="70">
        <f t="shared" si="84"/>
        <v>0</v>
      </c>
      <c r="AI75" s="70">
        <f t="shared" si="84"/>
        <v>0</v>
      </c>
      <c r="AJ75" s="70">
        <f t="shared" si="84"/>
        <v>3750.9776869732491</v>
      </c>
      <c r="AK75" s="70">
        <f t="shared" si="84"/>
        <v>2135.355011795044</v>
      </c>
      <c r="AL75" s="70">
        <f t="shared" si="84"/>
        <v>2135.355011795044</v>
      </c>
      <c r="AM75" s="70">
        <f t="shared" si="84"/>
        <v>2135.355011795044</v>
      </c>
      <c r="AN75" s="70">
        <f t="shared" si="84"/>
        <v>2135.355011795044</v>
      </c>
      <c r="AO75" s="70">
        <f t="shared" si="84"/>
        <v>2135.355011795044</v>
      </c>
      <c r="AP75" s="70">
        <f t="shared" si="84"/>
        <v>2195.7420433820471</v>
      </c>
      <c r="AQ75" s="70">
        <f t="shared" si="84"/>
        <v>2195.7420433820471</v>
      </c>
      <c r="AR75" s="70">
        <f t="shared" si="84"/>
        <v>2195.7420433820471</v>
      </c>
      <c r="AS75" s="70">
        <f t="shared" si="84"/>
        <v>2195.7420433820471</v>
      </c>
      <c r="AT75" s="70">
        <f t="shared" si="84"/>
        <v>2195.7420433820471</v>
      </c>
      <c r="AU75" s="70">
        <f t="shared" si="84"/>
        <v>2195.7420433820471</v>
      </c>
      <c r="AV75" s="70">
        <f t="shared" si="84"/>
        <v>2195.7420433820471</v>
      </c>
      <c r="AW75" s="70">
        <f t="shared" si="84"/>
        <v>2195.7420433820471</v>
      </c>
      <c r="AX75" s="70">
        <f t="shared" si="84"/>
        <v>2195.7420433820471</v>
      </c>
      <c r="AY75" s="70">
        <f t="shared" si="84"/>
        <v>2195.7420433820471</v>
      </c>
      <c r="AZ75" s="70">
        <f t="shared" si="84"/>
        <v>2195.7420433820471</v>
      </c>
      <c r="BA75" s="70">
        <f t="shared" si="84"/>
        <v>2195.7420433820471</v>
      </c>
      <c r="BB75" s="70">
        <f t="shared" si="84"/>
        <v>2421.4887520277284</v>
      </c>
      <c r="BC75" s="70">
        <f t="shared" si="84"/>
        <v>2421.4887520277284</v>
      </c>
      <c r="BD75" s="70">
        <f t="shared" si="84"/>
        <v>2421.4887520277284</v>
      </c>
      <c r="BE75" s="70">
        <f t="shared" si="84"/>
        <v>2421.4887520277284</v>
      </c>
      <c r="BF75" s="70">
        <f t="shared" si="84"/>
        <v>2421.4887520277284</v>
      </c>
      <c r="BG75" s="70">
        <f t="shared" si="84"/>
        <v>2421.4887520277284</v>
      </c>
      <c r="BH75" s="70">
        <f t="shared" si="84"/>
        <v>2421.4887520277284</v>
      </c>
      <c r="BI75" s="70">
        <f t="shared" si="84"/>
        <v>1386.3617867963924</v>
      </c>
      <c r="BJ75" s="70">
        <f t="shared" si="84"/>
        <v>1386.3617867963924</v>
      </c>
      <c r="BK75" s="70">
        <f t="shared" si="84"/>
        <v>1386.3617867963924</v>
      </c>
      <c r="BL75" s="70">
        <f t="shared" si="84"/>
        <v>1386.3617867963924</v>
      </c>
      <c r="BM75" s="70">
        <f t="shared" si="84"/>
        <v>1386.3617867963924</v>
      </c>
      <c r="BN75" s="70">
        <f t="shared" si="84"/>
        <v>1620.1243690202225</v>
      </c>
      <c r="BO75" s="70">
        <f t="shared" si="84"/>
        <v>1620.1243690202225</v>
      </c>
      <c r="BP75" s="70">
        <f t="shared" si="84"/>
        <v>1620.1243690202225</v>
      </c>
      <c r="BQ75" s="70">
        <f t="shared" si="84"/>
        <v>1620.1243690202225</v>
      </c>
      <c r="BR75" s="70">
        <f t="shared" si="84"/>
        <v>1620.1243690202225</v>
      </c>
      <c r="BS75" s="70">
        <f t="shared" ref="BS75:DV75" si="85">-BS71+BS72+BS73</f>
        <v>1620.1243690202225</v>
      </c>
      <c r="BT75" s="70">
        <f t="shared" si="85"/>
        <v>1620.1243690202225</v>
      </c>
      <c r="BU75" s="70">
        <f t="shared" si="85"/>
        <v>1620.1243690202225</v>
      </c>
      <c r="BV75" s="70">
        <f t="shared" si="85"/>
        <v>1620.1243690202225</v>
      </c>
      <c r="BW75" s="70">
        <f t="shared" si="85"/>
        <v>1620.1243690202225</v>
      </c>
      <c r="BX75" s="70">
        <f t="shared" si="85"/>
        <v>1620.1243690202225</v>
      </c>
      <c r="BY75" s="70">
        <f t="shared" si="85"/>
        <v>1620.1243690202225</v>
      </c>
      <c r="BZ75" s="70">
        <f t="shared" si="85"/>
        <v>1862.168170475918</v>
      </c>
      <c r="CA75" s="70">
        <f t="shared" si="85"/>
        <v>1862.168170475918</v>
      </c>
      <c r="CB75" s="70">
        <f t="shared" si="85"/>
        <v>1862.168170475918</v>
      </c>
      <c r="CC75" s="70">
        <f t="shared" si="85"/>
        <v>1862.168170475918</v>
      </c>
      <c r="CD75" s="70">
        <f t="shared" si="85"/>
        <v>1862.168170475918</v>
      </c>
      <c r="CE75" s="70">
        <f t="shared" si="85"/>
        <v>1862.168170475918</v>
      </c>
      <c r="CF75" s="70">
        <f t="shared" si="85"/>
        <v>1862.168170475918</v>
      </c>
      <c r="CG75" s="70">
        <f t="shared" si="85"/>
        <v>1862.168170475918</v>
      </c>
      <c r="CH75" s="70">
        <f t="shared" si="85"/>
        <v>1862.168170475918</v>
      </c>
      <c r="CI75" s="70">
        <f t="shared" si="85"/>
        <v>1862.168170475918</v>
      </c>
      <c r="CJ75" s="70">
        <f t="shared" si="85"/>
        <v>1862.168170475918</v>
      </c>
      <c r="CK75" s="70">
        <f t="shared" si="85"/>
        <v>1862.168170475918</v>
      </c>
      <c r="CL75" s="70">
        <f t="shared" si="85"/>
        <v>2112.7669945757439</v>
      </c>
      <c r="CM75" s="70">
        <f t="shared" si="85"/>
        <v>2112.7669945757439</v>
      </c>
      <c r="CN75" s="70">
        <f t="shared" si="85"/>
        <v>2112.7669945757439</v>
      </c>
      <c r="CO75" s="70">
        <f t="shared" si="85"/>
        <v>2112.7669945757439</v>
      </c>
      <c r="CP75" s="70">
        <f t="shared" si="85"/>
        <v>2112.7669945757439</v>
      </c>
      <c r="CQ75" s="70">
        <f t="shared" si="85"/>
        <v>2112.7669945757439</v>
      </c>
      <c r="CR75" s="70">
        <f t="shared" si="85"/>
        <v>2112.7669945757439</v>
      </c>
      <c r="CS75" s="70">
        <f t="shared" si="85"/>
        <v>2112.7669945757439</v>
      </c>
      <c r="CT75" s="70">
        <f t="shared" si="85"/>
        <v>2112.7669945757439</v>
      </c>
      <c r="CU75" s="70">
        <f t="shared" si="85"/>
        <v>2112.7669945757439</v>
      </c>
      <c r="CV75" s="70">
        <f t="shared" si="85"/>
        <v>2112.7669945757439</v>
      </c>
      <c r="CW75" s="70">
        <f t="shared" si="85"/>
        <v>2112.7669945757439</v>
      </c>
      <c r="CX75" s="70">
        <f t="shared" si="85"/>
        <v>2372.2033661710238</v>
      </c>
      <c r="CY75" s="70">
        <f t="shared" si="85"/>
        <v>2372.2033661710238</v>
      </c>
      <c r="CZ75" s="70">
        <f t="shared" si="85"/>
        <v>2372.2033661710238</v>
      </c>
      <c r="DA75" s="70">
        <f t="shared" si="85"/>
        <v>2372.2033661710238</v>
      </c>
      <c r="DB75" s="70">
        <f t="shared" si="85"/>
        <v>2372.2033661710238</v>
      </c>
      <c r="DC75" s="70">
        <f t="shared" si="85"/>
        <v>2372.2033661710238</v>
      </c>
      <c r="DD75" s="70">
        <f t="shared" si="85"/>
        <v>2372.2033661710238</v>
      </c>
      <c r="DE75" s="70">
        <f t="shared" si="85"/>
        <v>2372.2033661710238</v>
      </c>
      <c r="DF75" s="70">
        <f t="shared" si="85"/>
        <v>2372.2033661710238</v>
      </c>
      <c r="DG75" s="70">
        <f t="shared" si="85"/>
        <v>2372.2033661710238</v>
      </c>
      <c r="DH75" s="70">
        <f t="shared" si="85"/>
        <v>2372.2033661710238</v>
      </c>
      <c r="DI75" s="70">
        <f t="shared" si="85"/>
        <v>2372.2033661710238</v>
      </c>
      <c r="DJ75" s="70">
        <f t="shared" si="85"/>
        <v>2640.768803342085</v>
      </c>
      <c r="DK75" s="70">
        <f t="shared" si="85"/>
        <v>2640.768803342085</v>
      </c>
      <c r="DL75" s="70">
        <f t="shared" si="85"/>
        <v>2640.768803342085</v>
      </c>
      <c r="DM75" s="70">
        <f t="shared" si="85"/>
        <v>2640.768803342085</v>
      </c>
      <c r="DN75" s="70">
        <f t="shared" si="85"/>
        <v>2640.768803342085</v>
      </c>
      <c r="DO75" s="70">
        <f t="shared" si="85"/>
        <v>2640.768803342085</v>
      </c>
      <c r="DP75" s="70">
        <f t="shared" si="85"/>
        <v>2640.768803342085</v>
      </c>
      <c r="DQ75" s="70">
        <f t="shared" si="85"/>
        <v>2640.768803342085</v>
      </c>
      <c r="DR75" s="70">
        <f t="shared" si="85"/>
        <v>2640.768803342085</v>
      </c>
      <c r="DS75" s="70">
        <f t="shared" si="85"/>
        <v>2640.768803342085</v>
      </c>
      <c r="DT75" s="70">
        <f t="shared" si="85"/>
        <v>2640.768803342085</v>
      </c>
      <c r="DU75" s="70">
        <f t="shared" si="85"/>
        <v>2640.768803342085</v>
      </c>
      <c r="DV75" s="70">
        <f t="shared" si="85"/>
        <v>1491116.000349361</v>
      </c>
    </row>
    <row r="76" spans="2:126" x14ac:dyDescent="0.3">
      <c r="B76" s="24" t="s">
        <v>5</v>
      </c>
      <c r="C76" s="24"/>
      <c r="D76" s="24"/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</row>
    <row r="77" spans="2:126" x14ac:dyDescent="0.3">
      <c r="B77" t="s">
        <v>82</v>
      </c>
      <c r="F77" s="70">
        <f>F73</f>
        <v>0</v>
      </c>
      <c r="G77" s="70">
        <f t="shared" ref="G77:BR77" si="86">G73</f>
        <v>0</v>
      </c>
      <c r="H77" s="70">
        <f t="shared" si="86"/>
        <v>0</v>
      </c>
      <c r="I77" s="70">
        <f t="shared" si="86"/>
        <v>0</v>
      </c>
      <c r="J77" s="70">
        <f t="shared" si="86"/>
        <v>0</v>
      </c>
      <c r="K77" s="70">
        <f t="shared" si="86"/>
        <v>0</v>
      </c>
      <c r="L77" s="70">
        <f t="shared" si="86"/>
        <v>0</v>
      </c>
      <c r="M77" s="70">
        <f t="shared" si="86"/>
        <v>0</v>
      </c>
      <c r="N77" s="70">
        <f t="shared" si="86"/>
        <v>0</v>
      </c>
      <c r="O77" s="70">
        <f t="shared" si="86"/>
        <v>0</v>
      </c>
      <c r="P77" s="70">
        <f t="shared" si="86"/>
        <v>0</v>
      </c>
      <c r="Q77" s="70">
        <f t="shared" si="86"/>
        <v>0</v>
      </c>
      <c r="R77" s="70">
        <f t="shared" si="86"/>
        <v>0</v>
      </c>
      <c r="S77" s="70">
        <f t="shared" si="86"/>
        <v>0</v>
      </c>
      <c r="T77" s="70">
        <f t="shared" si="86"/>
        <v>0</v>
      </c>
      <c r="U77" s="70">
        <f t="shared" si="86"/>
        <v>0</v>
      </c>
      <c r="V77" s="70">
        <f t="shared" si="86"/>
        <v>0</v>
      </c>
      <c r="W77" s="70">
        <f t="shared" si="86"/>
        <v>0</v>
      </c>
      <c r="X77" s="70">
        <f t="shared" si="86"/>
        <v>0</v>
      </c>
      <c r="Y77" s="70">
        <f t="shared" si="86"/>
        <v>0</v>
      </c>
      <c r="Z77" s="70">
        <f t="shared" si="86"/>
        <v>0</v>
      </c>
      <c r="AA77" s="70">
        <f t="shared" si="86"/>
        <v>0</v>
      </c>
      <c r="AB77" s="70">
        <f t="shared" si="86"/>
        <v>0</v>
      </c>
      <c r="AC77" s="70">
        <f t="shared" si="86"/>
        <v>0</v>
      </c>
      <c r="AD77" s="70">
        <f t="shared" si="86"/>
        <v>0</v>
      </c>
      <c r="AE77" s="70">
        <f t="shared" si="86"/>
        <v>0</v>
      </c>
      <c r="AF77" s="70">
        <f t="shared" si="86"/>
        <v>0</v>
      </c>
      <c r="AG77" s="70">
        <f t="shared" si="86"/>
        <v>0</v>
      </c>
      <c r="AH77" s="70">
        <f t="shared" si="86"/>
        <v>0</v>
      </c>
      <c r="AI77" s="70">
        <f t="shared" si="86"/>
        <v>0</v>
      </c>
      <c r="AJ77" s="70">
        <f t="shared" si="86"/>
        <v>0</v>
      </c>
      <c r="AK77" s="70">
        <f t="shared" si="86"/>
        <v>0</v>
      </c>
      <c r="AL77" s="70">
        <f t="shared" si="86"/>
        <v>0</v>
      </c>
      <c r="AM77" s="70">
        <f t="shared" si="86"/>
        <v>0</v>
      </c>
      <c r="AN77" s="70">
        <f t="shared" si="86"/>
        <v>0</v>
      </c>
      <c r="AO77" s="70">
        <f t="shared" si="86"/>
        <v>0</v>
      </c>
      <c r="AP77" s="70">
        <f t="shared" si="86"/>
        <v>0</v>
      </c>
      <c r="AQ77" s="70">
        <f t="shared" si="86"/>
        <v>0</v>
      </c>
      <c r="AR77" s="70">
        <f t="shared" si="86"/>
        <v>0</v>
      </c>
      <c r="AS77" s="70">
        <f t="shared" si="86"/>
        <v>0</v>
      </c>
      <c r="AT77" s="70">
        <f t="shared" si="86"/>
        <v>0</v>
      </c>
      <c r="AU77" s="70">
        <f t="shared" si="86"/>
        <v>0</v>
      </c>
      <c r="AV77" s="70">
        <f t="shared" si="86"/>
        <v>0</v>
      </c>
      <c r="AW77" s="70">
        <f t="shared" si="86"/>
        <v>0</v>
      </c>
      <c r="AX77" s="70">
        <f t="shared" si="86"/>
        <v>0</v>
      </c>
      <c r="AY77" s="70">
        <f t="shared" si="86"/>
        <v>0</v>
      </c>
      <c r="AZ77" s="70">
        <f t="shared" si="86"/>
        <v>0</v>
      </c>
      <c r="BA77" s="70">
        <f t="shared" si="86"/>
        <v>0</v>
      </c>
      <c r="BB77" s="70">
        <f t="shared" si="86"/>
        <v>0</v>
      </c>
      <c r="BC77" s="70">
        <f t="shared" si="86"/>
        <v>0</v>
      </c>
      <c r="BD77" s="70">
        <f t="shared" si="86"/>
        <v>0</v>
      </c>
      <c r="BE77" s="70">
        <f t="shared" si="86"/>
        <v>0</v>
      </c>
      <c r="BF77" s="70">
        <f t="shared" si="86"/>
        <v>0</v>
      </c>
      <c r="BG77" s="70">
        <f t="shared" si="86"/>
        <v>0</v>
      </c>
      <c r="BH77" s="70">
        <f t="shared" si="86"/>
        <v>0</v>
      </c>
      <c r="BI77" s="70">
        <f t="shared" si="86"/>
        <v>0</v>
      </c>
      <c r="BJ77" s="70">
        <f t="shared" si="86"/>
        <v>0</v>
      </c>
      <c r="BK77" s="70">
        <f t="shared" si="86"/>
        <v>0</v>
      </c>
      <c r="BL77" s="70">
        <f t="shared" si="86"/>
        <v>0</v>
      </c>
      <c r="BM77" s="70">
        <f t="shared" si="86"/>
        <v>0</v>
      </c>
      <c r="BN77" s="70">
        <f t="shared" si="86"/>
        <v>0</v>
      </c>
      <c r="BO77" s="70">
        <f t="shared" si="86"/>
        <v>0</v>
      </c>
      <c r="BP77" s="70">
        <f t="shared" si="86"/>
        <v>0</v>
      </c>
      <c r="BQ77" s="70">
        <f t="shared" si="86"/>
        <v>0</v>
      </c>
      <c r="BR77" s="70">
        <f t="shared" si="86"/>
        <v>0</v>
      </c>
      <c r="BS77" s="70">
        <f t="shared" ref="BS77:DV77" si="87">BS73</f>
        <v>0</v>
      </c>
      <c r="BT77" s="70">
        <f t="shared" si="87"/>
        <v>0</v>
      </c>
      <c r="BU77" s="70">
        <f t="shared" si="87"/>
        <v>0</v>
      </c>
      <c r="BV77" s="70">
        <f t="shared" si="87"/>
        <v>0</v>
      </c>
      <c r="BW77" s="70">
        <f t="shared" si="87"/>
        <v>0</v>
      </c>
      <c r="BX77" s="70">
        <f t="shared" si="87"/>
        <v>0</v>
      </c>
      <c r="BY77" s="70">
        <f t="shared" si="87"/>
        <v>0</v>
      </c>
      <c r="BZ77" s="70">
        <f t="shared" si="87"/>
        <v>0</v>
      </c>
      <c r="CA77" s="70">
        <f t="shared" si="87"/>
        <v>0</v>
      </c>
      <c r="CB77" s="70">
        <f t="shared" si="87"/>
        <v>0</v>
      </c>
      <c r="CC77" s="70">
        <f t="shared" si="87"/>
        <v>0</v>
      </c>
      <c r="CD77" s="70">
        <f t="shared" si="87"/>
        <v>0</v>
      </c>
      <c r="CE77" s="70">
        <f t="shared" si="87"/>
        <v>0</v>
      </c>
      <c r="CF77" s="70">
        <f t="shared" si="87"/>
        <v>0</v>
      </c>
      <c r="CG77" s="70">
        <f t="shared" si="87"/>
        <v>0</v>
      </c>
      <c r="CH77" s="70">
        <f t="shared" si="87"/>
        <v>0</v>
      </c>
      <c r="CI77" s="70">
        <f t="shared" si="87"/>
        <v>0</v>
      </c>
      <c r="CJ77" s="70">
        <f t="shared" si="87"/>
        <v>0</v>
      </c>
      <c r="CK77" s="70">
        <f t="shared" si="87"/>
        <v>0</v>
      </c>
      <c r="CL77" s="70">
        <f t="shared" si="87"/>
        <v>0</v>
      </c>
      <c r="CM77" s="70">
        <f t="shared" si="87"/>
        <v>0</v>
      </c>
      <c r="CN77" s="70">
        <f t="shared" si="87"/>
        <v>0</v>
      </c>
      <c r="CO77" s="70">
        <f t="shared" si="87"/>
        <v>0</v>
      </c>
      <c r="CP77" s="70">
        <f t="shared" si="87"/>
        <v>0</v>
      </c>
      <c r="CQ77" s="70">
        <f t="shared" si="87"/>
        <v>0</v>
      </c>
      <c r="CR77" s="70">
        <f t="shared" si="87"/>
        <v>0</v>
      </c>
      <c r="CS77" s="70">
        <f t="shared" si="87"/>
        <v>0</v>
      </c>
      <c r="CT77" s="70">
        <f t="shared" si="87"/>
        <v>0</v>
      </c>
      <c r="CU77" s="70">
        <f t="shared" si="87"/>
        <v>0</v>
      </c>
      <c r="CV77" s="70">
        <f t="shared" si="87"/>
        <v>0</v>
      </c>
      <c r="CW77" s="70">
        <f t="shared" si="87"/>
        <v>0</v>
      </c>
      <c r="CX77" s="70">
        <f t="shared" si="87"/>
        <v>0</v>
      </c>
      <c r="CY77" s="70">
        <f t="shared" si="87"/>
        <v>0</v>
      </c>
      <c r="CZ77" s="70">
        <f t="shared" si="87"/>
        <v>0</v>
      </c>
      <c r="DA77" s="70">
        <f t="shared" si="87"/>
        <v>0</v>
      </c>
      <c r="DB77" s="70">
        <f t="shared" si="87"/>
        <v>0</v>
      </c>
      <c r="DC77" s="70">
        <f t="shared" si="87"/>
        <v>0</v>
      </c>
      <c r="DD77" s="70">
        <f t="shared" si="87"/>
        <v>0</v>
      </c>
      <c r="DE77" s="70">
        <f t="shared" si="87"/>
        <v>0</v>
      </c>
      <c r="DF77" s="70">
        <f t="shared" si="87"/>
        <v>0</v>
      </c>
      <c r="DG77" s="70">
        <f t="shared" si="87"/>
        <v>0</v>
      </c>
      <c r="DH77" s="70">
        <f t="shared" si="87"/>
        <v>0</v>
      </c>
      <c r="DI77" s="70">
        <f t="shared" si="87"/>
        <v>0</v>
      </c>
      <c r="DJ77" s="70">
        <f t="shared" si="87"/>
        <v>0</v>
      </c>
      <c r="DK77" s="70">
        <f t="shared" si="87"/>
        <v>0</v>
      </c>
      <c r="DL77" s="70">
        <f t="shared" si="87"/>
        <v>0</v>
      </c>
      <c r="DM77" s="70">
        <f t="shared" si="87"/>
        <v>0</v>
      </c>
      <c r="DN77" s="70">
        <f t="shared" si="87"/>
        <v>0</v>
      </c>
      <c r="DO77" s="70">
        <f t="shared" si="87"/>
        <v>0</v>
      </c>
      <c r="DP77" s="70">
        <f t="shared" si="87"/>
        <v>0</v>
      </c>
      <c r="DQ77" s="70">
        <f t="shared" si="87"/>
        <v>0</v>
      </c>
      <c r="DR77" s="70">
        <f t="shared" si="87"/>
        <v>0</v>
      </c>
      <c r="DS77" s="70">
        <f t="shared" si="87"/>
        <v>0</v>
      </c>
      <c r="DT77" s="70">
        <f t="shared" si="87"/>
        <v>0</v>
      </c>
      <c r="DU77" s="70">
        <f t="shared" si="87"/>
        <v>0</v>
      </c>
      <c r="DV77" s="70">
        <f t="shared" si="87"/>
        <v>0</v>
      </c>
    </row>
    <row r="78" spans="2:126" x14ac:dyDescent="0.3">
      <c r="B78" t="s">
        <v>67</v>
      </c>
      <c r="F78" s="70">
        <f>F77/$I$12*$H$12</f>
        <v>0</v>
      </c>
      <c r="G78" s="70">
        <f t="shared" ref="G78:BR78" si="88">G77/$I$12*$H$12</f>
        <v>0</v>
      </c>
      <c r="H78" s="70">
        <f t="shared" si="88"/>
        <v>0</v>
      </c>
      <c r="I78" s="70">
        <f t="shared" si="88"/>
        <v>0</v>
      </c>
      <c r="J78" s="70">
        <f t="shared" si="88"/>
        <v>0</v>
      </c>
      <c r="K78" s="70">
        <f t="shared" si="88"/>
        <v>0</v>
      </c>
      <c r="L78" s="70">
        <f t="shared" si="88"/>
        <v>0</v>
      </c>
      <c r="M78" s="70">
        <f t="shared" si="88"/>
        <v>0</v>
      </c>
      <c r="N78" s="70">
        <f t="shared" si="88"/>
        <v>0</v>
      </c>
      <c r="O78" s="70">
        <f t="shared" si="88"/>
        <v>0</v>
      </c>
      <c r="P78" s="70">
        <f t="shared" si="88"/>
        <v>0</v>
      </c>
      <c r="Q78" s="70">
        <f t="shared" si="88"/>
        <v>0</v>
      </c>
      <c r="R78" s="70">
        <f t="shared" si="88"/>
        <v>0</v>
      </c>
      <c r="S78" s="70">
        <f t="shared" si="88"/>
        <v>0</v>
      </c>
      <c r="T78" s="70">
        <f t="shared" si="88"/>
        <v>0</v>
      </c>
      <c r="U78" s="70">
        <f t="shared" si="88"/>
        <v>0</v>
      </c>
      <c r="V78" s="70">
        <f t="shared" si="88"/>
        <v>0</v>
      </c>
      <c r="W78" s="70">
        <f t="shared" si="88"/>
        <v>0</v>
      </c>
      <c r="X78" s="70">
        <f t="shared" si="88"/>
        <v>0</v>
      </c>
      <c r="Y78" s="70">
        <f t="shared" si="88"/>
        <v>0</v>
      </c>
      <c r="Z78" s="70">
        <f t="shared" si="88"/>
        <v>0</v>
      </c>
      <c r="AA78" s="70">
        <f t="shared" si="88"/>
        <v>0</v>
      </c>
      <c r="AB78" s="70">
        <f t="shared" si="88"/>
        <v>0</v>
      </c>
      <c r="AC78" s="70">
        <f t="shared" si="88"/>
        <v>0</v>
      </c>
      <c r="AD78" s="70">
        <f t="shared" si="88"/>
        <v>0</v>
      </c>
      <c r="AE78" s="70">
        <f t="shared" si="88"/>
        <v>0</v>
      </c>
      <c r="AF78" s="70">
        <f t="shared" si="88"/>
        <v>0</v>
      </c>
      <c r="AG78" s="70">
        <f t="shared" si="88"/>
        <v>0</v>
      </c>
      <c r="AH78" s="70">
        <f t="shared" si="88"/>
        <v>0</v>
      </c>
      <c r="AI78" s="70">
        <f t="shared" si="88"/>
        <v>0</v>
      </c>
      <c r="AJ78" s="70">
        <f t="shared" si="88"/>
        <v>0</v>
      </c>
      <c r="AK78" s="70">
        <f t="shared" si="88"/>
        <v>0</v>
      </c>
      <c r="AL78" s="70">
        <f t="shared" si="88"/>
        <v>0</v>
      </c>
      <c r="AM78" s="70">
        <f t="shared" si="88"/>
        <v>0</v>
      </c>
      <c r="AN78" s="70">
        <f t="shared" si="88"/>
        <v>0</v>
      </c>
      <c r="AO78" s="70">
        <f t="shared" si="88"/>
        <v>0</v>
      </c>
      <c r="AP78" s="70">
        <f t="shared" si="88"/>
        <v>0</v>
      </c>
      <c r="AQ78" s="70">
        <f t="shared" si="88"/>
        <v>0</v>
      </c>
      <c r="AR78" s="70">
        <f t="shared" si="88"/>
        <v>0</v>
      </c>
      <c r="AS78" s="70">
        <f t="shared" si="88"/>
        <v>0</v>
      </c>
      <c r="AT78" s="70">
        <f t="shared" si="88"/>
        <v>0</v>
      </c>
      <c r="AU78" s="70">
        <f t="shared" si="88"/>
        <v>0</v>
      </c>
      <c r="AV78" s="70">
        <f t="shared" si="88"/>
        <v>0</v>
      </c>
      <c r="AW78" s="70">
        <f t="shared" si="88"/>
        <v>0</v>
      </c>
      <c r="AX78" s="70">
        <f t="shared" si="88"/>
        <v>0</v>
      </c>
      <c r="AY78" s="70">
        <f t="shared" si="88"/>
        <v>0</v>
      </c>
      <c r="AZ78" s="70">
        <f t="shared" si="88"/>
        <v>0</v>
      </c>
      <c r="BA78" s="70">
        <f t="shared" si="88"/>
        <v>0</v>
      </c>
      <c r="BB78" s="70">
        <f t="shared" si="88"/>
        <v>0</v>
      </c>
      <c r="BC78" s="70">
        <f t="shared" si="88"/>
        <v>0</v>
      </c>
      <c r="BD78" s="70">
        <f t="shared" si="88"/>
        <v>0</v>
      </c>
      <c r="BE78" s="70">
        <f t="shared" si="88"/>
        <v>0</v>
      </c>
      <c r="BF78" s="70">
        <f t="shared" si="88"/>
        <v>0</v>
      </c>
      <c r="BG78" s="70">
        <f t="shared" si="88"/>
        <v>0</v>
      </c>
      <c r="BH78" s="70">
        <f t="shared" si="88"/>
        <v>0</v>
      </c>
      <c r="BI78" s="70">
        <f t="shared" si="88"/>
        <v>0</v>
      </c>
      <c r="BJ78" s="70">
        <f t="shared" si="88"/>
        <v>0</v>
      </c>
      <c r="BK78" s="70">
        <f t="shared" si="88"/>
        <v>0</v>
      </c>
      <c r="BL78" s="70">
        <f t="shared" si="88"/>
        <v>0</v>
      </c>
      <c r="BM78" s="70">
        <f t="shared" si="88"/>
        <v>0</v>
      </c>
      <c r="BN78" s="70">
        <f t="shared" si="88"/>
        <v>0</v>
      </c>
      <c r="BO78" s="70">
        <f t="shared" si="88"/>
        <v>0</v>
      </c>
      <c r="BP78" s="70">
        <f t="shared" si="88"/>
        <v>0</v>
      </c>
      <c r="BQ78" s="70">
        <f t="shared" si="88"/>
        <v>0</v>
      </c>
      <c r="BR78" s="70">
        <f t="shared" si="88"/>
        <v>0</v>
      </c>
      <c r="BS78" s="70">
        <f t="shared" ref="BS78:DV78" si="89">BS77/$I$12*$H$12</f>
        <v>0</v>
      </c>
      <c r="BT78" s="70">
        <f t="shared" si="89"/>
        <v>0</v>
      </c>
      <c r="BU78" s="70">
        <f t="shared" si="89"/>
        <v>0</v>
      </c>
      <c r="BV78" s="70">
        <f t="shared" si="89"/>
        <v>0</v>
      </c>
      <c r="BW78" s="70">
        <f t="shared" si="89"/>
        <v>0</v>
      </c>
      <c r="BX78" s="70">
        <f t="shared" si="89"/>
        <v>0</v>
      </c>
      <c r="BY78" s="70">
        <f t="shared" si="89"/>
        <v>0</v>
      </c>
      <c r="BZ78" s="70">
        <f t="shared" si="89"/>
        <v>0</v>
      </c>
      <c r="CA78" s="70">
        <f t="shared" si="89"/>
        <v>0</v>
      </c>
      <c r="CB78" s="70">
        <f t="shared" si="89"/>
        <v>0</v>
      </c>
      <c r="CC78" s="70">
        <f t="shared" si="89"/>
        <v>0</v>
      </c>
      <c r="CD78" s="70">
        <f t="shared" si="89"/>
        <v>0</v>
      </c>
      <c r="CE78" s="70">
        <f t="shared" si="89"/>
        <v>0</v>
      </c>
      <c r="CF78" s="70">
        <f t="shared" si="89"/>
        <v>0</v>
      </c>
      <c r="CG78" s="70">
        <f t="shared" si="89"/>
        <v>0</v>
      </c>
      <c r="CH78" s="70">
        <f t="shared" si="89"/>
        <v>0</v>
      </c>
      <c r="CI78" s="70">
        <f t="shared" si="89"/>
        <v>0</v>
      </c>
      <c r="CJ78" s="70">
        <f t="shared" si="89"/>
        <v>0</v>
      </c>
      <c r="CK78" s="70">
        <f t="shared" si="89"/>
        <v>0</v>
      </c>
      <c r="CL78" s="70">
        <f t="shared" si="89"/>
        <v>0</v>
      </c>
      <c r="CM78" s="70">
        <f t="shared" si="89"/>
        <v>0</v>
      </c>
      <c r="CN78" s="70">
        <f t="shared" si="89"/>
        <v>0</v>
      </c>
      <c r="CO78" s="70">
        <f t="shared" si="89"/>
        <v>0</v>
      </c>
      <c r="CP78" s="70">
        <f t="shared" si="89"/>
        <v>0</v>
      </c>
      <c r="CQ78" s="70">
        <f t="shared" si="89"/>
        <v>0</v>
      </c>
      <c r="CR78" s="70">
        <f t="shared" si="89"/>
        <v>0</v>
      </c>
      <c r="CS78" s="70">
        <f t="shared" si="89"/>
        <v>0</v>
      </c>
      <c r="CT78" s="70">
        <f t="shared" si="89"/>
        <v>0</v>
      </c>
      <c r="CU78" s="70">
        <f t="shared" si="89"/>
        <v>0</v>
      </c>
      <c r="CV78" s="70">
        <f t="shared" si="89"/>
        <v>0</v>
      </c>
      <c r="CW78" s="70">
        <f t="shared" si="89"/>
        <v>0</v>
      </c>
      <c r="CX78" s="70">
        <f t="shared" si="89"/>
        <v>0</v>
      </c>
      <c r="CY78" s="70">
        <f t="shared" si="89"/>
        <v>0</v>
      </c>
      <c r="CZ78" s="70">
        <f t="shared" si="89"/>
        <v>0</v>
      </c>
      <c r="DA78" s="70">
        <f t="shared" si="89"/>
        <v>0</v>
      </c>
      <c r="DB78" s="70">
        <f t="shared" si="89"/>
        <v>0</v>
      </c>
      <c r="DC78" s="70">
        <f t="shared" si="89"/>
        <v>0</v>
      </c>
      <c r="DD78" s="70">
        <f t="shared" si="89"/>
        <v>0</v>
      </c>
      <c r="DE78" s="70">
        <f t="shared" si="89"/>
        <v>0</v>
      </c>
      <c r="DF78" s="70">
        <f t="shared" si="89"/>
        <v>0</v>
      </c>
      <c r="DG78" s="70">
        <f t="shared" si="89"/>
        <v>0</v>
      </c>
      <c r="DH78" s="70">
        <f t="shared" si="89"/>
        <v>0</v>
      </c>
      <c r="DI78" s="70">
        <f t="shared" si="89"/>
        <v>0</v>
      </c>
      <c r="DJ78" s="70">
        <f t="shared" si="89"/>
        <v>0</v>
      </c>
      <c r="DK78" s="70">
        <f t="shared" si="89"/>
        <v>0</v>
      </c>
      <c r="DL78" s="70">
        <f t="shared" si="89"/>
        <v>0</v>
      </c>
      <c r="DM78" s="70">
        <f t="shared" si="89"/>
        <v>0</v>
      </c>
      <c r="DN78" s="70">
        <f t="shared" si="89"/>
        <v>0</v>
      </c>
      <c r="DO78" s="70">
        <f t="shared" si="89"/>
        <v>0</v>
      </c>
      <c r="DP78" s="70">
        <f t="shared" si="89"/>
        <v>0</v>
      </c>
      <c r="DQ78" s="70">
        <f t="shared" si="89"/>
        <v>0</v>
      </c>
      <c r="DR78" s="70">
        <f t="shared" si="89"/>
        <v>0</v>
      </c>
      <c r="DS78" s="70">
        <f t="shared" si="89"/>
        <v>0</v>
      </c>
      <c r="DT78" s="70">
        <f t="shared" si="89"/>
        <v>0</v>
      </c>
      <c r="DU78" s="70">
        <f t="shared" si="89"/>
        <v>0</v>
      </c>
      <c r="DV78" s="70">
        <f t="shared" si="89"/>
        <v>0</v>
      </c>
    </row>
    <row r="79" spans="2:126" x14ac:dyDescent="0.3">
      <c r="B79" t="str">
        <f>"Total Distributions ("&amp;B67&amp;")"</f>
        <v>Total Distributions (Hurdle 3)</v>
      </c>
      <c r="F79" s="70">
        <f>SUM(F77:F78)</f>
        <v>0</v>
      </c>
      <c r="G79" s="70">
        <f t="shared" ref="G79:BR79" si="90">SUM(G77:G78)</f>
        <v>0</v>
      </c>
      <c r="H79" s="70">
        <f t="shared" si="90"/>
        <v>0</v>
      </c>
      <c r="I79" s="70">
        <f t="shared" si="90"/>
        <v>0</v>
      </c>
      <c r="J79" s="70">
        <f t="shared" si="90"/>
        <v>0</v>
      </c>
      <c r="K79" s="70">
        <f t="shared" si="90"/>
        <v>0</v>
      </c>
      <c r="L79" s="70">
        <f t="shared" si="90"/>
        <v>0</v>
      </c>
      <c r="M79" s="70">
        <f t="shared" si="90"/>
        <v>0</v>
      </c>
      <c r="N79" s="70">
        <f t="shared" si="90"/>
        <v>0</v>
      </c>
      <c r="O79" s="70">
        <f t="shared" si="90"/>
        <v>0</v>
      </c>
      <c r="P79" s="70">
        <f t="shared" si="90"/>
        <v>0</v>
      </c>
      <c r="Q79" s="70">
        <f t="shared" si="90"/>
        <v>0</v>
      </c>
      <c r="R79" s="70">
        <f t="shared" si="90"/>
        <v>0</v>
      </c>
      <c r="S79" s="70">
        <f t="shared" si="90"/>
        <v>0</v>
      </c>
      <c r="T79" s="70">
        <f t="shared" si="90"/>
        <v>0</v>
      </c>
      <c r="U79" s="70">
        <f t="shared" si="90"/>
        <v>0</v>
      </c>
      <c r="V79" s="70">
        <f t="shared" si="90"/>
        <v>0</v>
      </c>
      <c r="W79" s="70">
        <f t="shared" si="90"/>
        <v>0</v>
      </c>
      <c r="X79" s="70">
        <f t="shared" si="90"/>
        <v>0</v>
      </c>
      <c r="Y79" s="70">
        <f t="shared" si="90"/>
        <v>0</v>
      </c>
      <c r="Z79" s="70">
        <f t="shared" si="90"/>
        <v>0</v>
      </c>
      <c r="AA79" s="70">
        <f t="shared" si="90"/>
        <v>0</v>
      </c>
      <c r="AB79" s="70">
        <f t="shared" si="90"/>
        <v>0</v>
      </c>
      <c r="AC79" s="70">
        <f t="shared" si="90"/>
        <v>0</v>
      </c>
      <c r="AD79" s="70">
        <f t="shared" si="90"/>
        <v>0</v>
      </c>
      <c r="AE79" s="70">
        <f t="shared" si="90"/>
        <v>0</v>
      </c>
      <c r="AF79" s="70">
        <f t="shared" si="90"/>
        <v>0</v>
      </c>
      <c r="AG79" s="70">
        <f t="shared" si="90"/>
        <v>0</v>
      </c>
      <c r="AH79" s="70">
        <f t="shared" si="90"/>
        <v>0</v>
      </c>
      <c r="AI79" s="70">
        <f t="shared" si="90"/>
        <v>0</v>
      </c>
      <c r="AJ79" s="70">
        <f t="shared" si="90"/>
        <v>0</v>
      </c>
      <c r="AK79" s="70">
        <f t="shared" si="90"/>
        <v>0</v>
      </c>
      <c r="AL79" s="70">
        <f t="shared" si="90"/>
        <v>0</v>
      </c>
      <c r="AM79" s="70">
        <f t="shared" si="90"/>
        <v>0</v>
      </c>
      <c r="AN79" s="70">
        <f t="shared" si="90"/>
        <v>0</v>
      </c>
      <c r="AO79" s="70">
        <f t="shared" si="90"/>
        <v>0</v>
      </c>
      <c r="AP79" s="70">
        <f t="shared" si="90"/>
        <v>0</v>
      </c>
      <c r="AQ79" s="70">
        <f t="shared" si="90"/>
        <v>0</v>
      </c>
      <c r="AR79" s="70">
        <f t="shared" si="90"/>
        <v>0</v>
      </c>
      <c r="AS79" s="70">
        <f t="shared" si="90"/>
        <v>0</v>
      </c>
      <c r="AT79" s="70">
        <f t="shared" si="90"/>
        <v>0</v>
      </c>
      <c r="AU79" s="70">
        <f t="shared" si="90"/>
        <v>0</v>
      </c>
      <c r="AV79" s="70">
        <f t="shared" si="90"/>
        <v>0</v>
      </c>
      <c r="AW79" s="70">
        <f t="shared" si="90"/>
        <v>0</v>
      </c>
      <c r="AX79" s="70">
        <f t="shared" si="90"/>
        <v>0</v>
      </c>
      <c r="AY79" s="70">
        <f t="shared" si="90"/>
        <v>0</v>
      </c>
      <c r="AZ79" s="70">
        <f t="shared" si="90"/>
        <v>0</v>
      </c>
      <c r="BA79" s="70">
        <f t="shared" si="90"/>
        <v>0</v>
      </c>
      <c r="BB79" s="70">
        <f t="shared" si="90"/>
        <v>0</v>
      </c>
      <c r="BC79" s="70">
        <f t="shared" si="90"/>
        <v>0</v>
      </c>
      <c r="BD79" s="70">
        <f t="shared" si="90"/>
        <v>0</v>
      </c>
      <c r="BE79" s="70">
        <f t="shared" si="90"/>
        <v>0</v>
      </c>
      <c r="BF79" s="70">
        <f t="shared" si="90"/>
        <v>0</v>
      </c>
      <c r="BG79" s="70">
        <f t="shared" si="90"/>
        <v>0</v>
      </c>
      <c r="BH79" s="70">
        <f t="shared" si="90"/>
        <v>0</v>
      </c>
      <c r="BI79" s="70">
        <f t="shared" si="90"/>
        <v>0</v>
      </c>
      <c r="BJ79" s="70">
        <f t="shared" si="90"/>
        <v>0</v>
      </c>
      <c r="BK79" s="70">
        <f t="shared" si="90"/>
        <v>0</v>
      </c>
      <c r="BL79" s="70">
        <f t="shared" si="90"/>
        <v>0</v>
      </c>
      <c r="BM79" s="70">
        <f t="shared" si="90"/>
        <v>0</v>
      </c>
      <c r="BN79" s="70">
        <f t="shared" si="90"/>
        <v>0</v>
      </c>
      <c r="BO79" s="70">
        <f t="shared" si="90"/>
        <v>0</v>
      </c>
      <c r="BP79" s="70">
        <f t="shared" si="90"/>
        <v>0</v>
      </c>
      <c r="BQ79" s="70">
        <f t="shared" si="90"/>
        <v>0</v>
      </c>
      <c r="BR79" s="70">
        <f t="shared" si="90"/>
        <v>0</v>
      </c>
      <c r="BS79" s="70">
        <f t="shared" ref="BS79:DV79" si="91">SUM(BS77:BS78)</f>
        <v>0</v>
      </c>
      <c r="BT79" s="70">
        <f t="shared" si="91"/>
        <v>0</v>
      </c>
      <c r="BU79" s="70">
        <f t="shared" si="91"/>
        <v>0</v>
      </c>
      <c r="BV79" s="70">
        <f t="shared" si="91"/>
        <v>0</v>
      </c>
      <c r="BW79" s="70">
        <f t="shared" si="91"/>
        <v>0</v>
      </c>
      <c r="BX79" s="70">
        <f t="shared" si="91"/>
        <v>0</v>
      </c>
      <c r="BY79" s="70">
        <f t="shared" si="91"/>
        <v>0</v>
      </c>
      <c r="BZ79" s="70">
        <f t="shared" si="91"/>
        <v>0</v>
      </c>
      <c r="CA79" s="70">
        <f t="shared" si="91"/>
        <v>0</v>
      </c>
      <c r="CB79" s="70">
        <f t="shared" si="91"/>
        <v>0</v>
      </c>
      <c r="CC79" s="70">
        <f t="shared" si="91"/>
        <v>0</v>
      </c>
      <c r="CD79" s="70">
        <f t="shared" si="91"/>
        <v>0</v>
      </c>
      <c r="CE79" s="70">
        <f t="shared" si="91"/>
        <v>0</v>
      </c>
      <c r="CF79" s="70">
        <f t="shared" si="91"/>
        <v>0</v>
      </c>
      <c r="CG79" s="70">
        <f t="shared" si="91"/>
        <v>0</v>
      </c>
      <c r="CH79" s="70">
        <f t="shared" si="91"/>
        <v>0</v>
      </c>
      <c r="CI79" s="70">
        <f t="shared" si="91"/>
        <v>0</v>
      </c>
      <c r="CJ79" s="70">
        <f t="shared" si="91"/>
        <v>0</v>
      </c>
      <c r="CK79" s="70">
        <f t="shared" si="91"/>
        <v>0</v>
      </c>
      <c r="CL79" s="70">
        <f t="shared" si="91"/>
        <v>0</v>
      </c>
      <c r="CM79" s="70">
        <f t="shared" si="91"/>
        <v>0</v>
      </c>
      <c r="CN79" s="70">
        <f t="shared" si="91"/>
        <v>0</v>
      </c>
      <c r="CO79" s="70">
        <f t="shared" si="91"/>
        <v>0</v>
      </c>
      <c r="CP79" s="70">
        <f t="shared" si="91"/>
        <v>0</v>
      </c>
      <c r="CQ79" s="70">
        <f t="shared" si="91"/>
        <v>0</v>
      </c>
      <c r="CR79" s="70">
        <f t="shared" si="91"/>
        <v>0</v>
      </c>
      <c r="CS79" s="70">
        <f t="shared" si="91"/>
        <v>0</v>
      </c>
      <c r="CT79" s="70">
        <f t="shared" si="91"/>
        <v>0</v>
      </c>
      <c r="CU79" s="70">
        <f t="shared" si="91"/>
        <v>0</v>
      </c>
      <c r="CV79" s="70">
        <f t="shared" si="91"/>
        <v>0</v>
      </c>
      <c r="CW79" s="70">
        <f t="shared" si="91"/>
        <v>0</v>
      </c>
      <c r="CX79" s="70">
        <f t="shared" si="91"/>
        <v>0</v>
      </c>
      <c r="CY79" s="70">
        <f t="shared" si="91"/>
        <v>0</v>
      </c>
      <c r="CZ79" s="70">
        <f t="shared" si="91"/>
        <v>0</v>
      </c>
      <c r="DA79" s="70">
        <f t="shared" si="91"/>
        <v>0</v>
      </c>
      <c r="DB79" s="70">
        <f t="shared" si="91"/>
        <v>0</v>
      </c>
      <c r="DC79" s="70">
        <f t="shared" si="91"/>
        <v>0</v>
      </c>
      <c r="DD79" s="70">
        <f t="shared" si="91"/>
        <v>0</v>
      </c>
      <c r="DE79" s="70">
        <f t="shared" si="91"/>
        <v>0</v>
      </c>
      <c r="DF79" s="70">
        <f t="shared" si="91"/>
        <v>0</v>
      </c>
      <c r="DG79" s="70">
        <f t="shared" si="91"/>
        <v>0</v>
      </c>
      <c r="DH79" s="70">
        <f t="shared" si="91"/>
        <v>0</v>
      </c>
      <c r="DI79" s="70">
        <f t="shared" si="91"/>
        <v>0</v>
      </c>
      <c r="DJ79" s="70">
        <f t="shared" si="91"/>
        <v>0</v>
      </c>
      <c r="DK79" s="70">
        <f t="shared" si="91"/>
        <v>0</v>
      </c>
      <c r="DL79" s="70">
        <f t="shared" si="91"/>
        <v>0</v>
      </c>
      <c r="DM79" s="70">
        <f t="shared" si="91"/>
        <v>0</v>
      </c>
      <c r="DN79" s="70">
        <f t="shared" si="91"/>
        <v>0</v>
      </c>
      <c r="DO79" s="70">
        <f t="shared" si="91"/>
        <v>0</v>
      </c>
      <c r="DP79" s="70">
        <f t="shared" si="91"/>
        <v>0</v>
      </c>
      <c r="DQ79" s="70">
        <f t="shared" si="91"/>
        <v>0</v>
      </c>
      <c r="DR79" s="70">
        <f t="shared" si="91"/>
        <v>0</v>
      </c>
      <c r="DS79" s="70">
        <f t="shared" si="91"/>
        <v>0</v>
      </c>
      <c r="DT79" s="70">
        <f t="shared" si="91"/>
        <v>0</v>
      </c>
      <c r="DU79" s="70">
        <f t="shared" si="91"/>
        <v>0</v>
      </c>
      <c r="DV79" s="70">
        <f t="shared" si="91"/>
        <v>0</v>
      </c>
    </row>
    <row r="80" spans="2:126" x14ac:dyDescent="0.3">
      <c r="B80" t="s">
        <v>1</v>
      </c>
      <c r="F80" s="70">
        <f>MAX(F34-F49-F64-F79,0)</f>
        <v>0</v>
      </c>
      <c r="G80" s="70">
        <f t="shared" ref="G80:BR80" si="92">MAX(G34-G49-G64-G79,0)</f>
        <v>0</v>
      </c>
      <c r="H80" s="70">
        <f t="shared" si="92"/>
        <v>0</v>
      </c>
      <c r="I80" s="70">
        <f t="shared" si="92"/>
        <v>0</v>
      </c>
      <c r="J80" s="70">
        <f t="shared" si="92"/>
        <v>0</v>
      </c>
      <c r="K80" s="70">
        <f t="shared" si="92"/>
        <v>0</v>
      </c>
      <c r="L80" s="70">
        <f t="shared" si="92"/>
        <v>0</v>
      </c>
      <c r="M80" s="70">
        <f t="shared" si="92"/>
        <v>0</v>
      </c>
      <c r="N80" s="70">
        <f t="shared" si="92"/>
        <v>0</v>
      </c>
      <c r="O80" s="70">
        <f t="shared" si="92"/>
        <v>0</v>
      </c>
      <c r="P80" s="70">
        <f t="shared" si="92"/>
        <v>0</v>
      </c>
      <c r="Q80" s="70">
        <f t="shared" si="92"/>
        <v>0</v>
      </c>
      <c r="R80" s="70">
        <f t="shared" si="92"/>
        <v>0</v>
      </c>
      <c r="S80" s="70">
        <f t="shared" si="92"/>
        <v>0</v>
      </c>
      <c r="T80" s="70">
        <f t="shared" si="92"/>
        <v>0</v>
      </c>
      <c r="U80" s="70">
        <f t="shared" si="92"/>
        <v>0</v>
      </c>
      <c r="V80" s="70">
        <f t="shared" si="92"/>
        <v>0</v>
      </c>
      <c r="W80" s="70">
        <f t="shared" si="92"/>
        <v>0</v>
      </c>
      <c r="X80" s="70">
        <f t="shared" si="92"/>
        <v>0</v>
      </c>
      <c r="Y80" s="70">
        <f t="shared" si="92"/>
        <v>0</v>
      </c>
      <c r="Z80" s="70">
        <f t="shared" si="92"/>
        <v>0</v>
      </c>
      <c r="AA80" s="70">
        <f t="shared" si="92"/>
        <v>0</v>
      </c>
      <c r="AB80" s="70">
        <f t="shared" si="92"/>
        <v>0</v>
      </c>
      <c r="AC80" s="70">
        <f t="shared" si="92"/>
        <v>0</v>
      </c>
      <c r="AD80" s="70">
        <f t="shared" si="92"/>
        <v>0</v>
      </c>
      <c r="AE80" s="70">
        <f t="shared" si="92"/>
        <v>0</v>
      </c>
      <c r="AF80" s="70">
        <f t="shared" si="92"/>
        <v>0</v>
      </c>
      <c r="AG80" s="70">
        <f t="shared" si="92"/>
        <v>0</v>
      </c>
      <c r="AH80" s="70">
        <f t="shared" si="92"/>
        <v>0</v>
      </c>
      <c r="AI80" s="70">
        <f t="shared" si="92"/>
        <v>0</v>
      </c>
      <c r="AJ80" s="70">
        <f t="shared" si="92"/>
        <v>0</v>
      </c>
      <c r="AK80" s="70">
        <f t="shared" si="92"/>
        <v>0</v>
      </c>
      <c r="AL80" s="70">
        <f t="shared" si="92"/>
        <v>0</v>
      </c>
      <c r="AM80" s="70">
        <f t="shared" si="92"/>
        <v>0</v>
      </c>
      <c r="AN80" s="70">
        <f t="shared" si="92"/>
        <v>0</v>
      </c>
      <c r="AO80" s="70">
        <f t="shared" si="92"/>
        <v>0</v>
      </c>
      <c r="AP80" s="70">
        <f t="shared" si="92"/>
        <v>0</v>
      </c>
      <c r="AQ80" s="70">
        <f t="shared" si="92"/>
        <v>0</v>
      </c>
      <c r="AR80" s="70">
        <f t="shared" si="92"/>
        <v>0</v>
      </c>
      <c r="AS80" s="70">
        <f t="shared" si="92"/>
        <v>0</v>
      </c>
      <c r="AT80" s="70">
        <f t="shared" si="92"/>
        <v>0</v>
      </c>
      <c r="AU80" s="70">
        <f t="shared" si="92"/>
        <v>0</v>
      </c>
      <c r="AV80" s="70">
        <f t="shared" si="92"/>
        <v>0</v>
      </c>
      <c r="AW80" s="70">
        <f t="shared" si="92"/>
        <v>0</v>
      </c>
      <c r="AX80" s="70">
        <f t="shared" si="92"/>
        <v>0</v>
      </c>
      <c r="AY80" s="70">
        <f t="shared" si="92"/>
        <v>0</v>
      </c>
      <c r="AZ80" s="70">
        <f t="shared" si="92"/>
        <v>0</v>
      </c>
      <c r="BA80" s="70">
        <f t="shared" si="92"/>
        <v>0</v>
      </c>
      <c r="BB80" s="70">
        <f t="shared" si="92"/>
        <v>0</v>
      </c>
      <c r="BC80" s="70">
        <f t="shared" si="92"/>
        <v>0</v>
      </c>
      <c r="BD80" s="70">
        <f t="shared" si="92"/>
        <v>0</v>
      </c>
      <c r="BE80" s="70">
        <f t="shared" si="92"/>
        <v>0</v>
      </c>
      <c r="BF80" s="70">
        <f t="shared" si="92"/>
        <v>0</v>
      </c>
      <c r="BG80" s="70">
        <f t="shared" si="92"/>
        <v>0</v>
      </c>
      <c r="BH80" s="70">
        <f t="shared" si="92"/>
        <v>0</v>
      </c>
      <c r="BI80" s="70">
        <f t="shared" si="92"/>
        <v>0</v>
      </c>
      <c r="BJ80" s="70">
        <f t="shared" si="92"/>
        <v>0</v>
      </c>
      <c r="BK80" s="70">
        <f t="shared" si="92"/>
        <v>0</v>
      </c>
      <c r="BL80" s="70">
        <f t="shared" si="92"/>
        <v>0</v>
      </c>
      <c r="BM80" s="70">
        <f t="shared" si="92"/>
        <v>0</v>
      </c>
      <c r="BN80" s="70">
        <f t="shared" si="92"/>
        <v>0</v>
      </c>
      <c r="BO80" s="70">
        <f t="shared" si="92"/>
        <v>0</v>
      </c>
      <c r="BP80" s="70">
        <f t="shared" si="92"/>
        <v>0</v>
      </c>
      <c r="BQ80" s="70">
        <f t="shared" si="92"/>
        <v>0</v>
      </c>
      <c r="BR80" s="70">
        <f t="shared" si="92"/>
        <v>0</v>
      </c>
      <c r="BS80" s="70">
        <f t="shared" ref="BS80:DV80" si="93">MAX(BS34-BS49-BS64-BS79,0)</f>
        <v>0</v>
      </c>
      <c r="BT80" s="70">
        <f t="shared" si="93"/>
        <v>0</v>
      </c>
      <c r="BU80" s="70">
        <f t="shared" si="93"/>
        <v>0</v>
      </c>
      <c r="BV80" s="70">
        <f t="shared" si="93"/>
        <v>0</v>
      </c>
      <c r="BW80" s="70">
        <f t="shared" si="93"/>
        <v>0</v>
      </c>
      <c r="BX80" s="70">
        <f t="shared" si="93"/>
        <v>0</v>
      </c>
      <c r="BY80" s="70">
        <f t="shared" si="93"/>
        <v>0</v>
      </c>
      <c r="BZ80" s="70">
        <f t="shared" si="93"/>
        <v>0</v>
      </c>
      <c r="CA80" s="70">
        <f t="shared" si="93"/>
        <v>0</v>
      </c>
      <c r="CB80" s="70">
        <f t="shared" si="93"/>
        <v>0</v>
      </c>
      <c r="CC80" s="70">
        <f t="shared" si="93"/>
        <v>0</v>
      </c>
      <c r="CD80" s="70">
        <f t="shared" si="93"/>
        <v>0</v>
      </c>
      <c r="CE80" s="70">
        <f t="shared" si="93"/>
        <v>0</v>
      </c>
      <c r="CF80" s="70">
        <f t="shared" si="93"/>
        <v>0</v>
      </c>
      <c r="CG80" s="70">
        <f t="shared" si="93"/>
        <v>0</v>
      </c>
      <c r="CH80" s="70">
        <f t="shared" si="93"/>
        <v>0</v>
      </c>
      <c r="CI80" s="70">
        <f t="shared" si="93"/>
        <v>0</v>
      </c>
      <c r="CJ80" s="70">
        <f t="shared" si="93"/>
        <v>0</v>
      </c>
      <c r="CK80" s="70">
        <f t="shared" si="93"/>
        <v>0</v>
      </c>
      <c r="CL80" s="70">
        <f t="shared" si="93"/>
        <v>0</v>
      </c>
      <c r="CM80" s="70">
        <f t="shared" si="93"/>
        <v>0</v>
      </c>
      <c r="CN80" s="70">
        <f t="shared" si="93"/>
        <v>0</v>
      </c>
      <c r="CO80" s="70">
        <f t="shared" si="93"/>
        <v>0</v>
      </c>
      <c r="CP80" s="70">
        <f t="shared" si="93"/>
        <v>0</v>
      </c>
      <c r="CQ80" s="70">
        <f t="shared" si="93"/>
        <v>0</v>
      </c>
      <c r="CR80" s="70">
        <f t="shared" si="93"/>
        <v>0</v>
      </c>
      <c r="CS80" s="70">
        <f t="shared" si="93"/>
        <v>0</v>
      </c>
      <c r="CT80" s="70">
        <f t="shared" si="93"/>
        <v>0</v>
      </c>
      <c r="CU80" s="70">
        <f t="shared" si="93"/>
        <v>0</v>
      </c>
      <c r="CV80" s="70">
        <f t="shared" si="93"/>
        <v>0</v>
      </c>
      <c r="CW80" s="70">
        <f t="shared" si="93"/>
        <v>0</v>
      </c>
      <c r="CX80" s="70">
        <f t="shared" si="93"/>
        <v>0</v>
      </c>
      <c r="CY80" s="70">
        <f t="shared" si="93"/>
        <v>0</v>
      </c>
      <c r="CZ80" s="70">
        <f t="shared" si="93"/>
        <v>0</v>
      </c>
      <c r="DA80" s="70">
        <f t="shared" si="93"/>
        <v>0</v>
      </c>
      <c r="DB80" s="70">
        <f t="shared" si="93"/>
        <v>0</v>
      </c>
      <c r="DC80" s="70">
        <f t="shared" si="93"/>
        <v>0</v>
      </c>
      <c r="DD80" s="70">
        <f t="shared" si="93"/>
        <v>0</v>
      </c>
      <c r="DE80" s="70">
        <f t="shared" si="93"/>
        <v>0</v>
      </c>
      <c r="DF80" s="70">
        <f t="shared" si="93"/>
        <v>0</v>
      </c>
      <c r="DG80" s="70">
        <f t="shared" si="93"/>
        <v>0</v>
      </c>
      <c r="DH80" s="70">
        <f t="shared" si="93"/>
        <v>0</v>
      </c>
      <c r="DI80" s="70">
        <f t="shared" si="93"/>
        <v>0</v>
      </c>
      <c r="DJ80" s="70">
        <f t="shared" si="93"/>
        <v>0</v>
      </c>
      <c r="DK80" s="70">
        <f t="shared" si="93"/>
        <v>0</v>
      </c>
      <c r="DL80" s="70">
        <f t="shared" si="93"/>
        <v>0</v>
      </c>
      <c r="DM80" s="70">
        <f t="shared" si="93"/>
        <v>0</v>
      </c>
      <c r="DN80" s="70">
        <f t="shared" si="93"/>
        <v>0</v>
      </c>
      <c r="DO80" s="70">
        <f t="shared" si="93"/>
        <v>0</v>
      </c>
      <c r="DP80" s="70">
        <f t="shared" si="93"/>
        <v>0</v>
      </c>
      <c r="DQ80" s="70">
        <f t="shared" si="93"/>
        <v>0</v>
      </c>
      <c r="DR80" s="70">
        <f t="shared" si="93"/>
        <v>0</v>
      </c>
      <c r="DS80" s="70">
        <f t="shared" si="93"/>
        <v>0</v>
      </c>
      <c r="DT80" s="70">
        <f t="shared" si="93"/>
        <v>0</v>
      </c>
      <c r="DU80" s="70">
        <f t="shared" si="93"/>
        <v>0</v>
      </c>
      <c r="DV80" s="70">
        <f t="shared" si="93"/>
        <v>0</v>
      </c>
    </row>
    <row r="81" spans="2:126" x14ac:dyDescent="0.3"/>
    <row r="82" spans="2:126" ht="15.6" x14ac:dyDescent="0.3">
      <c r="B82" s="79" t="s">
        <v>4</v>
      </c>
    </row>
    <row r="83" spans="2:126" x14ac:dyDescent="0.3">
      <c r="B83" s="84" t="s">
        <v>76</v>
      </c>
      <c r="C83" s="86"/>
      <c r="D83" s="85"/>
      <c r="E83" s="85"/>
      <c r="F83" s="83">
        <f>F$17</f>
        <v>0</v>
      </c>
      <c r="G83" s="83">
        <f t="shared" ref="G83:BR83" si="94">G$17</f>
        <v>1</v>
      </c>
      <c r="H83" s="83">
        <f t="shared" si="94"/>
        <v>2</v>
      </c>
      <c r="I83" s="83">
        <f t="shared" si="94"/>
        <v>3</v>
      </c>
      <c r="J83" s="83">
        <f t="shared" si="94"/>
        <v>4</v>
      </c>
      <c r="K83" s="83">
        <f t="shared" si="94"/>
        <v>5</v>
      </c>
      <c r="L83" s="83">
        <f t="shared" si="94"/>
        <v>6</v>
      </c>
      <c r="M83" s="83">
        <f t="shared" si="94"/>
        <v>7</v>
      </c>
      <c r="N83" s="83">
        <f t="shared" si="94"/>
        <v>8</v>
      </c>
      <c r="O83" s="83">
        <f t="shared" si="94"/>
        <v>9</v>
      </c>
      <c r="P83" s="83">
        <f t="shared" si="94"/>
        <v>10</v>
      </c>
      <c r="Q83" s="83">
        <f t="shared" si="94"/>
        <v>11</v>
      </c>
      <c r="R83" s="83">
        <f t="shared" si="94"/>
        <v>12</v>
      </c>
      <c r="S83" s="83">
        <f t="shared" si="94"/>
        <v>13</v>
      </c>
      <c r="T83" s="83">
        <f t="shared" si="94"/>
        <v>14</v>
      </c>
      <c r="U83" s="83">
        <f t="shared" si="94"/>
        <v>15</v>
      </c>
      <c r="V83" s="83">
        <f t="shared" si="94"/>
        <v>16</v>
      </c>
      <c r="W83" s="83">
        <f t="shared" si="94"/>
        <v>17</v>
      </c>
      <c r="X83" s="83">
        <f t="shared" si="94"/>
        <v>18</v>
      </c>
      <c r="Y83" s="83">
        <f t="shared" si="94"/>
        <v>19</v>
      </c>
      <c r="Z83" s="83">
        <f t="shared" si="94"/>
        <v>20</v>
      </c>
      <c r="AA83" s="83">
        <f t="shared" si="94"/>
        <v>21</v>
      </c>
      <c r="AB83" s="83">
        <f t="shared" si="94"/>
        <v>22</v>
      </c>
      <c r="AC83" s="83">
        <f t="shared" si="94"/>
        <v>23</v>
      </c>
      <c r="AD83" s="83">
        <f t="shared" si="94"/>
        <v>24</v>
      </c>
      <c r="AE83" s="83">
        <f t="shared" si="94"/>
        <v>25</v>
      </c>
      <c r="AF83" s="83">
        <f t="shared" si="94"/>
        <v>26</v>
      </c>
      <c r="AG83" s="83">
        <f t="shared" si="94"/>
        <v>27</v>
      </c>
      <c r="AH83" s="83">
        <f t="shared" si="94"/>
        <v>28</v>
      </c>
      <c r="AI83" s="83">
        <f t="shared" si="94"/>
        <v>29</v>
      </c>
      <c r="AJ83" s="83">
        <f t="shared" si="94"/>
        <v>30</v>
      </c>
      <c r="AK83" s="83">
        <f t="shared" si="94"/>
        <v>31</v>
      </c>
      <c r="AL83" s="83">
        <f t="shared" si="94"/>
        <v>32</v>
      </c>
      <c r="AM83" s="83">
        <f t="shared" si="94"/>
        <v>33</v>
      </c>
      <c r="AN83" s="83">
        <f t="shared" si="94"/>
        <v>34</v>
      </c>
      <c r="AO83" s="83">
        <f t="shared" si="94"/>
        <v>35</v>
      </c>
      <c r="AP83" s="83">
        <f t="shared" si="94"/>
        <v>36</v>
      </c>
      <c r="AQ83" s="83">
        <f t="shared" si="94"/>
        <v>37</v>
      </c>
      <c r="AR83" s="83">
        <f t="shared" si="94"/>
        <v>38</v>
      </c>
      <c r="AS83" s="83">
        <f t="shared" si="94"/>
        <v>39</v>
      </c>
      <c r="AT83" s="83">
        <f t="shared" si="94"/>
        <v>40</v>
      </c>
      <c r="AU83" s="83">
        <f t="shared" si="94"/>
        <v>41</v>
      </c>
      <c r="AV83" s="83">
        <f t="shared" si="94"/>
        <v>42</v>
      </c>
      <c r="AW83" s="83">
        <f t="shared" si="94"/>
        <v>43</v>
      </c>
      <c r="AX83" s="83">
        <f t="shared" si="94"/>
        <v>44</v>
      </c>
      <c r="AY83" s="83">
        <f t="shared" si="94"/>
        <v>45</v>
      </c>
      <c r="AZ83" s="83">
        <f t="shared" si="94"/>
        <v>46</v>
      </c>
      <c r="BA83" s="83">
        <f t="shared" si="94"/>
        <v>47</v>
      </c>
      <c r="BB83" s="83">
        <f t="shared" si="94"/>
        <v>48</v>
      </c>
      <c r="BC83" s="83">
        <f t="shared" si="94"/>
        <v>49</v>
      </c>
      <c r="BD83" s="83">
        <f t="shared" si="94"/>
        <v>50</v>
      </c>
      <c r="BE83" s="83">
        <f t="shared" si="94"/>
        <v>51</v>
      </c>
      <c r="BF83" s="83">
        <f t="shared" si="94"/>
        <v>52</v>
      </c>
      <c r="BG83" s="83">
        <f t="shared" si="94"/>
        <v>53</v>
      </c>
      <c r="BH83" s="83">
        <f t="shared" si="94"/>
        <v>54</v>
      </c>
      <c r="BI83" s="83">
        <f t="shared" si="94"/>
        <v>55</v>
      </c>
      <c r="BJ83" s="83">
        <f t="shared" si="94"/>
        <v>56</v>
      </c>
      <c r="BK83" s="83">
        <f t="shared" si="94"/>
        <v>57</v>
      </c>
      <c r="BL83" s="83">
        <f t="shared" si="94"/>
        <v>58</v>
      </c>
      <c r="BM83" s="83">
        <f t="shared" si="94"/>
        <v>59</v>
      </c>
      <c r="BN83" s="83">
        <f t="shared" si="94"/>
        <v>60</v>
      </c>
      <c r="BO83" s="83">
        <f t="shared" si="94"/>
        <v>61</v>
      </c>
      <c r="BP83" s="83">
        <f t="shared" si="94"/>
        <v>62</v>
      </c>
      <c r="BQ83" s="83">
        <f t="shared" si="94"/>
        <v>63</v>
      </c>
      <c r="BR83" s="83">
        <f t="shared" si="94"/>
        <v>64</v>
      </c>
      <c r="BS83" s="83">
        <f t="shared" ref="BS83:DV83" si="95">BS$17</f>
        <v>65</v>
      </c>
      <c r="BT83" s="83">
        <f t="shared" si="95"/>
        <v>66</v>
      </c>
      <c r="BU83" s="83">
        <f t="shared" si="95"/>
        <v>67</v>
      </c>
      <c r="BV83" s="83">
        <f t="shared" si="95"/>
        <v>68</v>
      </c>
      <c r="BW83" s="83">
        <f t="shared" si="95"/>
        <v>69</v>
      </c>
      <c r="BX83" s="83">
        <f t="shared" si="95"/>
        <v>70</v>
      </c>
      <c r="BY83" s="83">
        <f t="shared" si="95"/>
        <v>71</v>
      </c>
      <c r="BZ83" s="83">
        <f t="shared" si="95"/>
        <v>72</v>
      </c>
      <c r="CA83" s="83">
        <f t="shared" si="95"/>
        <v>73</v>
      </c>
      <c r="CB83" s="83">
        <f t="shared" si="95"/>
        <v>74</v>
      </c>
      <c r="CC83" s="83">
        <f t="shared" si="95"/>
        <v>75</v>
      </c>
      <c r="CD83" s="83">
        <f t="shared" si="95"/>
        <v>76</v>
      </c>
      <c r="CE83" s="83">
        <f t="shared" si="95"/>
        <v>77</v>
      </c>
      <c r="CF83" s="83">
        <f t="shared" si="95"/>
        <v>78</v>
      </c>
      <c r="CG83" s="83">
        <f t="shared" si="95"/>
        <v>79</v>
      </c>
      <c r="CH83" s="83">
        <f t="shared" si="95"/>
        <v>80</v>
      </c>
      <c r="CI83" s="83">
        <f t="shared" si="95"/>
        <v>81</v>
      </c>
      <c r="CJ83" s="83">
        <f t="shared" si="95"/>
        <v>82</v>
      </c>
      <c r="CK83" s="83">
        <f t="shared" si="95"/>
        <v>83</v>
      </c>
      <c r="CL83" s="83">
        <f t="shared" si="95"/>
        <v>84</v>
      </c>
      <c r="CM83" s="83">
        <f t="shared" si="95"/>
        <v>85</v>
      </c>
      <c r="CN83" s="83">
        <f t="shared" si="95"/>
        <v>86</v>
      </c>
      <c r="CO83" s="83">
        <f t="shared" si="95"/>
        <v>87</v>
      </c>
      <c r="CP83" s="83">
        <f t="shared" si="95"/>
        <v>88</v>
      </c>
      <c r="CQ83" s="83">
        <f t="shared" si="95"/>
        <v>89</v>
      </c>
      <c r="CR83" s="83">
        <f t="shared" si="95"/>
        <v>90</v>
      </c>
      <c r="CS83" s="83">
        <f t="shared" si="95"/>
        <v>91</v>
      </c>
      <c r="CT83" s="83">
        <f t="shared" si="95"/>
        <v>92</v>
      </c>
      <c r="CU83" s="83">
        <f t="shared" si="95"/>
        <v>93</v>
      </c>
      <c r="CV83" s="83">
        <f t="shared" si="95"/>
        <v>94</v>
      </c>
      <c r="CW83" s="83">
        <f t="shared" si="95"/>
        <v>95</v>
      </c>
      <c r="CX83" s="83">
        <f t="shared" si="95"/>
        <v>96</v>
      </c>
      <c r="CY83" s="83">
        <f t="shared" si="95"/>
        <v>97</v>
      </c>
      <c r="CZ83" s="83">
        <f t="shared" si="95"/>
        <v>98</v>
      </c>
      <c r="DA83" s="83">
        <f t="shared" si="95"/>
        <v>99</v>
      </c>
      <c r="DB83" s="83">
        <f t="shared" si="95"/>
        <v>100</v>
      </c>
      <c r="DC83" s="83">
        <f t="shared" si="95"/>
        <v>101</v>
      </c>
      <c r="DD83" s="83">
        <f t="shared" si="95"/>
        <v>102</v>
      </c>
      <c r="DE83" s="83">
        <f t="shared" si="95"/>
        <v>103</v>
      </c>
      <c r="DF83" s="83">
        <f t="shared" si="95"/>
        <v>104</v>
      </c>
      <c r="DG83" s="83">
        <f t="shared" si="95"/>
        <v>105</v>
      </c>
      <c r="DH83" s="83">
        <f t="shared" si="95"/>
        <v>106</v>
      </c>
      <c r="DI83" s="83">
        <f t="shared" si="95"/>
        <v>107</v>
      </c>
      <c r="DJ83" s="83">
        <f t="shared" si="95"/>
        <v>108</v>
      </c>
      <c r="DK83" s="83">
        <f t="shared" si="95"/>
        <v>109</v>
      </c>
      <c r="DL83" s="83">
        <f t="shared" si="95"/>
        <v>110</v>
      </c>
      <c r="DM83" s="83">
        <f t="shared" si="95"/>
        <v>111</v>
      </c>
      <c r="DN83" s="83">
        <f t="shared" si="95"/>
        <v>112</v>
      </c>
      <c r="DO83" s="83">
        <f t="shared" si="95"/>
        <v>113</v>
      </c>
      <c r="DP83" s="83">
        <f t="shared" si="95"/>
        <v>114</v>
      </c>
      <c r="DQ83" s="83">
        <f t="shared" si="95"/>
        <v>115</v>
      </c>
      <c r="DR83" s="83">
        <f t="shared" si="95"/>
        <v>116</v>
      </c>
      <c r="DS83" s="83">
        <f t="shared" si="95"/>
        <v>117</v>
      </c>
      <c r="DT83" s="83">
        <f t="shared" si="95"/>
        <v>118</v>
      </c>
      <c r="DU83" s="83">
        <f t="shared" si="95"/>
        <v>119</v>
      </c>
      <c r="DV83" s="83">
        <f t="shared" si="95"/>
        <v>120</v>
      </c>
    </row>
    <row r="84" spans="2:126" x14ac:dyDescent="0.3">
      <c r="B84" t="s">
        <v>82</v>
      </c>
      <c r="F84" s="70">
        <f>F80*$I$13</f>
        <v>0</v>
      </c>
      <c r="G84" s="70">
        <f t="shared" ref="G84:BR84" si="96">G80*$I$13</f>
        <v>0</v>
      </c>
      <c r="H84" s="70">
        <f t="shared" si="96"/>
        <v>0</v>
      </c>
      <c r="I84" s="70">
        <f t="shared" si="96"/>
        <v>0</v>
      </c>
      <c r="J84" s="70">
        <f t="shared" si="96"/>
        <v>0</v>
      </c>
      <c r="K84" s="70">
        <f t="shared" si="96"/>
        <v>0</v>
      </c>
      <c r="L84" s="70">
        <f t="shared" si="96"/>
        <v>0</v>
      </c>
      <c r="M84" s="70">
        <f t="shared" si="96"/>
        <v>0</v>
      </c>
      <c r="N84" s="70">
        <f t="shared" si="96"/>
        <v>0</v>
      </c>
      <c r="O84" s="70">
        <f t="shared" si="96"/>
        <v>0</v>
      </c>
      <c r="P84" s="70">
        <f t="shared" si="96"/>
        <v>0</v>
      </c>
      <c r="Q84" s="70">
        <f t="shared" si="96"/>
        <v>0</v>
      </c>
      <c r="R84" s="70">
        <f t="shared" si="96"/>
        <v>0</v>
      </c>
      <c r="S84" s="70">
        <f t="shared" si="96"/>
        <v>0</v>
      </c>
      <c r="T84" s="70">
        <f t="shared" si="96"/>
        <v>0</v>
      </c>
      <c r="U84" s="70">
        <f t="shared" si="96"/>
        <v>0</v>
      </c>
      <c r="V84" s="70">
        <f t="shared" si="96"/>
        <v>0</v>
      </c>
      <c r="W84" s="70">
        <f t="shared" si="96"/>
        <v>0</v>
      </c>
      <c r="X84" s="70">
        <f t="shared" si="96"/>
        <v>0</v>
      </c>
      <c r="Y84" s="70">
        <f t="shared" si="96"/>
        <v>0</v>
      </c>
      <c r="Z84" s="70">
        <f t="shared" si="96"/>
        <v>0</v>
      </c>
      <c r="AA84" s="70">
        <f t="shared" si="96"/>
        <v>0</v>
      </c>
      <c r="AB84" s="70">
        <f t="shared" si="96"/>
        <v>0</v>
      </c>
      <c r="AC84" s="70">
        <f t="shared" si="96"/>
        <v>0</v>
      </c>
      <c r="AD84" s="70">
        <f t="shared" si="96"/>
        <v>0</v>
      </c>
      <c r="AE84" s="70">
        <f t="shared" si="96"/>
        <v>0</v>
      </c>
      <c r="AF84" s="70">
        <f t="shared" si="96"/>
        <v>0</v>
      </c>
      <c r="AG84" s="70">
        <f t="shared" si="96"/>
        <v>0</v>
      </c>
      <c r="AH84" s="70">
        <f t="shared" si="96"/>
        <v>0</v>
      </c>
      <c r="AI84" s="70">
        <f t="shared" si="96"/>
        <v>0</v>
      </c>
      <c r="AJ84" s="70">
        <f t="shared" si="96"/>
        <v>0</v>
      </c>
      <c r="AK84" s="70">
        <f t="shared" si="96"/>
        <v>0</v>
      </c>
      <c r="AL84" s="70">
        <f t="shared" si="96"/>
        <v>0</v>
      </c>
      <c r="AM84" s="70">
        <f t="shared" si="96"/>
        <v>0</v>
      </c>
      <c r="AN84" s="70">
        <f t="shared" si="96"/>
        <v>0</v>
      </c>
      <c r="AO84" s="70">
        <f t="shared" si="96"/>
        <v>0</v>
      </c>
      <c r="AP84" s="70">
        <f t="shared" si="96"/>
        <v>0</v>
      </c>
      <c r="AQ84" s="70">
        <f t="shared" si="96"/>
        <v>0</v>
      </c>
      <c r="AR84" s="70">
        <f t="shared" si="96"/>
        <v>0</v>
      </c>
      <c r="AS84" s="70">
        <f t="shared" si="96"/>
        <v>0</v>
      </c>
      <c r="AT84" s="70">
        <f t="shared" si="96"/>
        <v>0</v>
      </c>
      <c r="AU84" s="70">
        <f t="shared" si="96"/>
        <v>0</v>
      </c>
      <c r="AV84" s="70">
        <f t="shared" si="96"/>
        <v>0</v>
      </c>
      <c r="AW84" s="70">
        <f t="shared" si="96"/>
        <v>0</v>
      </c>
      <c r="AX84" s="70">
        <f t="shared" si="96"/>
        <v>0</v>
      </c>
      <c r="AY84" s="70">
        <f t="shared" si="96"/>
        <v>0</v>
      </c>
      <c r="AZ84" s="70">
        <f t="shared" si="96"/>
        <v>0</v>
      </c>
      <c r="BA84" s="70">
        <f t="shared" si="96"/>
        <v>0</v>
      </c>
      <c r="BB84" s="70">
        <f t="shared" si="96"/>
        <v>0</v>
      </c>
      <c r="BC84" s="70">
        <f t="shared" si="96"/>
        <v>0</v>
      </c>
      <c r="BD84" s="70">
        <f t="shared" si="96"/>
        <v>0</v>
      </c>
      <c r="BE84" s="70">
        <f t="shared" si="96"/>
        <v>0</v>
      </c>
      <c r="BF84" s="70">
        <f t="shared" si="96"/>
        <v>0</v>
      </c>
      <c r="BG84" s="70">
        <f t="shared" si="96"/>
        <v>0</v>
      </c>
      <c r="BH84" s="70">
        <f t="shared" si="96"/>
        <v>0</v>
      </c>
      <c r="BI84" s="70">
        <f t="shared" si="96"/>
        <v>0</v>
      </c>
      <c r="BJ84" s="70">
        <f t="shared" si="96"/>
        <v>0</v>
      </c>
      <c r="BK84" s="70">
        <f t="shared" si="96"/>
        <v>0</v>
      </c>
      <c r="BL84" s="70">
        <f t="shared" si="96"/>
        <v>0</v>
      </c>
      <c r="BM84" s="70">
        <f t="shared" si="96"/>
        <v>0</v>
      </c>
      <c r="BN84" s="70">
        <f t="shared" si="96"/>
        <v>0</v>
      </c>
      <c r="BO84" s="70">
        <f t="shared" si="96"/>
        <v>0</v>
      </c>
      <c r="BP84" s="70">
        <f t="shared" si="96"/>
        <v>0</v>
      </c>
      <c r="BQ84" s="70">
        <f t="shared" si="96"/>
        <v>0</v>
      </c>
      <c r="BR84" s="70">
        <f t="shared" si="96"/>
        <v>0</v>
      </c>
      <c r="BS84" s="70">
        <f t="shared" ref="BS84:DV84" si="97">BS80*$I$13</f>
        <v>0</v>
      </c>
      <c r="BT84" s="70">
        <f t="shared" si="97"/>
        <v>0</v>
      </c>
      <c r="BU84" s="70">
        <f t="shared" si="97"/>
        <v>0</v>
      </c>
      <c r="BV84" s="70">
        <f t="shared" si="97"/>
        <v>0</v>
      </c>
      <c r="BW84" s="70">
        <f t="shared" si="97"/>
        <v>0</v>
      </c>
      <c r="BX84" s="70">
        <f t="shared" si="97"/>
        <v>0</v>
      </c>
      <c r="BY84" s="70">
        <f t="shared" si="97"/>
        <v>0</v>
      </c>
      <c r="BZ84" s="70">
        <f t="shared" si="97"/>
        <v>0</v>
      </c>
      <c r="CA84" s="70">
        <f t="shared" si="97"/>
        <v>0</v>
      </c>
      <c r="CB84" s="70">
        <f t="shared" si="97"/>
        <v>0</v>
      </c>
      <c r="CC84" s="70">
        <f t="shared" si="97"/>
        <v>0</v>
      </c>
      <c r="CD84" s="70">
        <f t="shared" si="97"/>
        <v>0</v>
      </c>
      <c r="CE84" s="70">
        <f t="shared" si="97"/>
        <v>0</v>
      </c>
      <c r="CF84" s="70">
        <f t="shared" si="97"/>
        <v>0</v>
      </c>
      <c r="CG84" s="70">
        <f t="shared" si="97"/>
        <v>0</v>
      </c>
      <c r="CH84" s="70">
        <f t="shared" si="97"/>
        <v>0</v>
      </c>
      <c r="CI84" s="70">
        <f t="shared" si="97"/>
        <v>0</v>
      </c>
      <c r="CJ84" s="70">
        <f t="shared" si="97"/>
        <v>0</v>
      </c>
      <c r="CK84" s="70">
        <f t="shared" si="97"/>
        <v>0</v>
      </c>
      <c r="CL84" s="70">
        <f t="shared" si="97"/>
        <v>0</v>
      </c>
      <c r="CM84" s="70">
        <f t="shared" si="97"/>
        <v>0</v>
      </c>
      <c r="CN84" s="70">
        <f t="shared" si="97"/>
        <v>0</v>
      </c>
      <c r="CO84" s="70">
        <f t="shared" si="97"/>
        <v>0</v>
      </c>
      <c r="CP84" s="70">
        <f t="shared" si="97"/>
        <v>0</v>
      </c>
      <c r="CQ84" s="70">
        <f t="shared" si="97"/>
        <v>0</v>
      </c>
      <c r="CR84" s="70">
        <f t="shared" si="97"/>
        <v>0</v>
      </c>
      <c r="CS84" s="70">
        <f t="shared" si="97"/>
        <v>0</v>
      </c>
      <c r="CT84" s="70">
        <f t="shared" si="97"/>
        <v>0</v>
      </c>
      <c r="CU84" s="70">
        <f t="shared" si="97"/>
        <v>0</v>
      </c>
      <c r="CV84" s="70">
        <f t="shared" si="97"/>
        <v>0</v>
      </c>
      <c r="CW84" s="70">
        <f t="shared" si="97"/>
        <v>0</v>
      </c>
      <c r="CX84" s="70">
        <f t="shared" si="97"/>
        <v>0</v>
      </c>
      <c r="CY84" s="70">
        <f t="shared" si="97"/>
        <v>0</v>
      </c>
      <c r="CZ84" s="70">
        <f t="shared" si="97"/>
        <v>0</v>
      </c>
      <c r="DA84" s="70">
        <f t="shared" si="97"/>
        <v>0</v>
      </c>
      <c r="DB84" s="70">
        <f t="shared" si="97"/>
        <v>0</v>
      </c>
      <c r="DC84" s="70">
        <f t="shared" si="97"/>
        <v>0</v>
      </c>
      <c r="DD84" s="70">
        <f t="shared" si="97"/>
        <v>0</v>
      </c>
      <c r="DE84" s="70">
        <f t="shared" si="97"/>
        <v>0</v>
      </c>
      <c r="DF84" s="70">
        <f t="shared" si="97"/>
        <v>0</v>
      </c>
      <c r="DG84" s="70">
        <f t="shared" si="97"/>
        <v>0</v>
      </c>
      <c r="DH84" s="70">
        <f t="shared" si="97"/>
        <v>0</v>
      </c>
      <c r="DI84" s="70">
        <f t="shared" si="97"/>
        <v>0</v>
      </c>
      <c r="DJ84" s="70">
        <f t="shared" si="97"/>
        <v>0</v>
      </c>
      <c r="DK84" s="70">
        <f t="shared" si="97"/>
        <v>0</v>
      </c>
      <c r="DL84" s="70">
        <f t="shared" si="97"/>
        <v>0</v>
      </c>
      <c r="DM84" s="70">
        <f t="shared" si="97"/>
        <v>0</v>
      </c>
      <c r="DN84" s="70">
        <f t="shared" si="97"/>
        <v>0</v>
      </c>
      <c r="DO84" s="70">
        <f t="shared" si="97"/>
        <v>0</v>
      </c>
      <c r="DP84" s="70">
        <f t="shared" si="97"/>
        <v>0</v>
      </c>
      <c r="DQ84" s="70">
        <f t="shared" si="97"/>
        <v>0</v>
      </c>
      <c r="DR84" s="70">
        <f t="shared" si="97"/>
        <v>0</v>
      </c>
      <c r="DS84" s="70">
        <f t="shared" si="97"/>
        <v>0</v>
      </c>
      <c r="DT84" s="70">
        <f t="shared" si="97"/>
        <v>0</v>
      </c>
      <c r="DU84" s="70">
        <f t="shared" si="97"/>
        <v>0</v>
      </c>
      <c r="DV84" s="70">
        <f t="shared" si="97"/>
        <v>0</v>
      </c>
    </row>
    <row r="85" spans="2:126" x14ac:dyDescent="0.3">
      <c r="B85" t="s">
        <v>67</v>
      </c>
      <c r="F85" s="70">
        <f>F80*$H$13</f>
        <v>0</v>
      </c>
      <c r="G85" s="70">
        <f t="shared" ref="G85:BR85" si="98">G80*$H$13</f>
        <v>0</v>
      </c>
      <c r="H85" s="70">
        <f t="shared" si="98"/>
        <v>0</v>
      </c>
      <c r="I85" s="70">
        <f t="shared" si="98"/>
        <v>0</v>
      </c>
      <c r="J85" s="70">
        <f t="shared" si="98"/>
        <v>0</v>
      </c>
      <c r="K85" s="70">
        <f t="shared" si="98"/>
        <v>0</v>
      </c>
      <c r="L85" s="70">
        <f t="shared" si="98"/>
        <v>0</v>
      </c>
      <c r="M85" s="70">
        <f t="shared" si="98"/>
        <v>0</v>
      </c>
      <c r="N85" s="70">
        <f t="shared" si="98"/>
        <v>0</v>
      </c>
      <c r="O85" s="70">
        <f t="shared" si="98"/>
        <v>0</v>
      </c>
      <c r="P85" s="70">
        <f t="shared" si="98"/>
        <v>0</v>
      </c>
      <c r="Q85" s="70">
        <f t="shared" si="98"/>
        <v>0</v>
      </c>
      <c r="R85" s="70">
        <f t="shared" si="98"/>
        <v>0</v>
      </c>
      <c r="S85" s="70">
        <f t="shared" si="98"/>
        <v>0</v>
      </c>
      <c r="T85" s="70">
        <f t="shared" si="98"/>
        <v>0</v>
      </c>
      <c r="U85" s="70">
        <f t="shared" si="98"/>
        <v>0</v>
      </c>
      <c r="V85" s="70">
        <f t="shared" si="98"/>
        <v>0</v>
      </c>
      <c r="W85" s="70">
        <f t="shared" si="98"/>
        <v>0</v>
      </c>
      <c r="X85" s="70">
        <f t="shared" si="98"/>
        <v>0</v>
      </c>
      <c r="Y85" s="70">
        <f t="shared" si="98"/>
        <v>0</v>
      </c>
      <c r="Z85" s="70">
        <f t="shared" si="98"/>
        <v>0</v>
      </c>
      <c r="AA85" s="70">
        <f t="shared" si="98"/>
        <v>0</v>
      </c>
      <c r="AB85" s="70">
        <f t="shared" si="98"/>
        <v>0</v>
      </c>
      <c r="AC85" s="70">
        <f t="shared" si="98"/>
        <v>0</v>
      </c>
      <c r="AD85" s="70">
        <f t="shared" si="98"/>
        <v>0</v>
      </c>
      <c r="AE85" s="70">
        <f t="shared" si="98"/>
        <v>0</v>
      </c>
      <c r="AF85" s="70">
        <f t="shared" si="98"/>
        <v>0</v>
      </c>
      <c r="AG85" s="70">
        <f t="shared" si="98"/>
        <v>0</v>
      </c>
      <c r="AH85" s="70">
        <f t="shared" si="98"/>
        <v>0</v>
      </c>
      <c r="AI85" s="70">
        <f t="shared" si="98"/>
        <v>0</v>
      </c>
      <c r="AJ85" s="70">
        <f t="shared" si="98"/>
        <v>0</v>
      </c>
      <c r="AK85" s="70">
        <f t="shared" si="98"/>
        <v>0</v>
      </c>
      <c r="AL85" s="70">
        <f t="shared" si="98"/>
        <v>0</v>
      </c>
      <c r="AM85" s="70">
        <f t="shared" si="98"/>
        <v>0</v>
      </c>
      <c r="AN85" s="70">
        <f t="shared" si="98"/>
        <v>0</v>
      </c>
      <c r="AO85" s="70">
        <f t="shared" si="98"/>
        <v>0</v>
      </c>
      <c r="AP85" s="70">
        <f t="shared" si="98"/>
        <v>0</v>
      </c>
      <c r="AQ85" s="70">
        <f t="shared" si="98"/>
        <v>0</v>
      </c>
      <c r="AR85" s="70">
        <f t="shared" si="98"/>
        <v>0</v>
      </c>
      <c r="AS85" s="70">
        <f t="shared" si="98"/>
        <v>0</v>
      </c>
      <c r="AT85" s="70">
        <f t="shared" si="98"/>
        <v>0</v>
      </c>
      <c r="AU85" s="70">
        <f t="shared" si="98"/>
        <v>0</v>
      </c>
      <c r="AV85" s="70">
        <f t="shared" si="98"/>
        <v>0</v>
      </c>
      <c r="AW85" s="70">
        <f t="shared" si="98"/>
        <v>0</v>
      </c>
      <c r="AX85" s="70">
        <f t="shared" si="98"/>
        <v>0</v>
      </c>
      <c r="AY85" s="70">
        <f t="shared" si="98"/>
        <v>0</v>
      </c>
      <c r="AZ85" s="70">
        <f t="shared" si="98"/>
        <v>0</v>
      </c>
      <c r="BA85" s="70">
        <f t="shared" si="98"/>
        <v>0</v>
      </c>
      <c r="BB85" s="70">
        <f t="shared" si="98"/>
        <v>0</v>
      </c>
      <c r="BC85" s="70">
        <f t="shared" si="98"/>
        <v>0</v>
      </c>
      <c r="BD85" s="70">
        <f t="shared" si="98"/>
        <v>0</v>
      </c>
      <c r="BE85" s="70">
        <f t="shared" si="98"/>
        <v>0</v>
      </c>
      <c r="BF85" s="70">
        <f t="shared" si="98"/>
        <v>0</v>
      </c>
      <c r="BG85" s="70">
        <f t="shared" si="98"/>
        <v>0</v>
      </c>
      <c r="BH85" s="70">
        <f t="shared" si="98"/>
        <v>0</v>
      </c>
      <c r="BI85" s="70">
        <f t="shared" si="98"/>
        <v>0</v>
      </c>
      <c r="BJ85" s="70">
        <f t="shared" si="98"/>
        <v>0</v>
      </c>
      <c r="BK85" s="70">
        <f t="shared" si="98"/>
        <v>0</v>
      </c>
      <c r="BL85" s="70">
        <f t="shared" si="98"/>
        <v>0</v>
      </c>
      <c r="BM85" s="70">
        <f t="shared" si="98"/>
        <v>0</v>
      </c>
      <c r="BN85" s="70">
        <f t="shared" si="98"/>
        <v>0</v>
      </c>
      <c r="BO85" s="70">
        <f t="shared" si="98"/>
        <v>0</v>
      </c>
      <c r="BP85" s="70">
        <f t="shared" si="98"/>
        <v>0</v>
      </c>
      <c r="BQ85" s="70">
        <f t="shared" si="98"/>
        <v>0</v>
      </c>
      <c r="BR85" s="70">
        <f t="shared" si="98"/>
        <v>0</v>
      </c>
      <c r="BS85" s="70">
        <f t="shared" ref="BS85:DV85" si="99">BS80*$H$13</f>
        <v>0</v>
      </c>
      <c r="BT85" s="70">
        <f t="shared" si="99"/>
        <v>0</v>
      </c>
      <c r="BU85" s="70">
        <f t="shared" si="99"/>
        <v>0</v>
      </c>
      <c r="BV85" s="70">
        <f t="shared" si="99"/>
        <v>0</v>
      </c>
      <c r="BW85" s="70">
        <f t="shared" si="99"/>
        <v>0</v>
      </c>
      <c r="BX85" s="70">
        <f t="shared" si="99"/>
        <v>0</v>
      </c>
      <c r="BY85" s="70">
        <f t="shared" si="99"/>
        <v>0</v>
      </c>
      <c r="BZ85" s="70">
        <f t="shared" si="99"/>
        <v>0</v>
      </c>
      <c r="CA85" s="70">
        <f t="shared" si="99"/>
        <v>0</v>
      </c>
      <c r="CB85" s="70">
        <f t="shared" si="99"/>
        <v>0</v>
      </c>
      <c r="CC85" s="70">
        <f t="shared" si="99"/>
        <v>0</v>
      </c>
      <c r="CD85" s="70">
        <f t="shared" si="99"/>
        <v>0</v>
      </c>
      <c r="CE85" s="70">
        <f t="shared" si="99"/>
        <v>0</v>
      </c>
      <c r="CF85" s="70">
        <f t="shared" si="99"/>
        <v>0</v>
      </c>
      <c r="CG85" s="70">
        <f t="shared" si="99"/>
        <v>0</v>
      </c>
      <c r="CH85" s="70">
        <f t="shared" si="99"/>
        <v>0</v>
      </c>
      <c r="CI85" s="70">
        <f t="shared" si="99"/>
        <v>0</v>
      </c>
      <c r="CJ85" s="70">
        <f t="shared" si="99"/>
        <v>0</v>
      </c>
      <c r="CK85" s="70">
        <f t="shared" si="99"/>
        <v>0</v>
      </c>
      <c r="CL85" s="70">
        <f t="shared" si="99"/>
        <v>0</v>
      </c>
      <c r="CM85" s="70">
        <f t="shared" si="99"/>
        <v>0</v>
      </c>
      <c r="CN85" s="70">
        <f t="shared" si="99"/>
        <v>0</v>
      </c>
      <c r="CO85" s="70">
        <f t="shared" si="99"/>
        <v>0</v>
      </c>
      <c r="CP85" s="70">
        <f t="shared" si="99"/>
        <v>0</v>
      </c>
      <c r="CQ85" s="70">
        <f t="shared" si="99"/>
        <v>0</v>
      </c>
      <c r="CR85" s="70">
        <f t="shared" si="99"/>
        <v>0</v>
      </c>
      <c r="CS85" s="70">
        <f t="shared" si="99"/>
        <v>0</v>
      </c>
      <c r="CT85" s="70">
        <f t="shared" si="99"/>
        <v>0</v>
      </c>
      <c r="CU85" s="70">
        <f t="shared" si="99"/>
        <v>0</v>
      </c>
      <c r="CV85" s="70">
        <f t="shared" si="99"/>
        <v>0</v>
      </c>
      <c r="CW85" s="70">
        <f t="shared" si="99"/>
        <v>0</v>
      </c>
      <c r="CX85" s="70">
        <f t="shared" si="99"/>
        <v>0</v>
      </c>
      <c r="CY85" s="70">
        <f t="shared" si="99"/>
        <v>0</v>
      </c>
      <c r="CZ85" s="70">
        <f t="shared" si="99"/>
        <v>0</v>
      </c>
      <c r="DA85" s="70">
        <f t="shared" si="99"/>
        <v>0</v>
      </c>
      <c r="DB85" s="70">
        <f t="shared" si="99"/>
        <v>0</v>
      </c>
      <c r="DC85" s="70">
        <f t="shared" si="99"/>
        <v>0</v>
      </c>
      <c r="DD85" s="70">
        <f t="shared" si="99"/>
        <v>0</v>
      </c>
      <c r="DE85" s="70">
        <f t="shared" si="99"/>
        <v>0</v>
      </c>
      <c r="DF85" s="70">
        <f t="shared" si="99"/>
        <v>0</v>
      </c>
      <c r="DG85" s="70">
        <f t="shared" si="99"/>
        <v>0</v>
      </c>
      <c r="DH85" s="70">
        <f t="shared" si="99"/>
        <v>0</v>
      </c>
      <c r="DI85" s="70">
        <f t="shared" si="99"/>
        <v>0</v>
      </c>
      <c r="DJ85" s="70">
        <f t="shared" si="99"/>
        <v>0</v>
      </c>
      <c r="DK85" s="70">
        <f t="shared" si="99"/>
        <v>0</v>
      </c>
      <c r="DL85" s="70">
        <f t="shared" si="99"/>
        <v>0</v>
      </c>
      <c r="DM85" s="70">
        <f t="shared" si="99"/>
        <v>0</v>
      </c>
      <c r="DN85" s="70">
        <f t="shared" si="99"/>
        <v>0</v>
      </c>
      <c r="DO85" s="70">
        <f t="shared" si="99"/>
        <v>0</v>
      </c>
      <c r="DP85" s="70">
        <f t="shared" si="99"/>
        <v>0</v>
      </c>
      <c r="DQ85" s="70">
        <f t="shared" si="99"/>
        <v>0</v>
      </c>
      <c r="DR85" s="70">
        <f t="shared" si="99"/>
        <v>0</v>
      </c>
      <c r="DS85" s="70">
        <f t="shared" si="99"/>
        <v>0</v>
      </c>
      <c r="DT85" s="70">
        <f t="shared" si="99"/>
        <v>0</v>
      </c>
      <c r="DU85" s="70">
        <f t="shared" si="99"/>
        <v>0</v>
      </c>
      <c r="DV85" s="70">
        <f t="shared" si="99"/>
        <v>0</v>
      </c>
    </row>
    <row r="86" spans="2:126" x14ac:dyDescent="0.3">
      <c r="B86" t="str">
        <f>"Total Distributions ("&amp;B82&amp;")"</f>
        <v>Total Distributions (Hurdle 4)</v>
      </c>
      <c r="F86" s="70">
        <f>SUM(F84:F85)</f>
        <v>0</v>
      </c>
      <c r="G86" s="70">
        <f t="shared" ref="G86:BR86" si="100">SUM(G84:G85)</f>
        <v>0</v>
      </c>
      <c r="H86" s="70">
        <f t="shared" si="100"/>
        <v>0</v>
      </c>
      <c r="I86" s="70">
        <f t="shared" si="100"/>
        <v>0</v>
      </c>
      <c r="J86" s="70">
        <f t="shared" si="100"/>
        <v>0</v>
      </c>
      <c r="K86" s="70">
        <f t="shared" si="100"/>
        <v>0</v>
      </c>
      <c r="L86" s="70">
        <f t="shared" si="100"/>
        <v>0</v>
      </c>
      <c r="M86" s="70">
        <f t="shared" si="100"/>
        <v>0</v>
      </c>
      <c r="N86" s="70">
        <f t="shared" si="100"/>
        <v>0</v>
      </c>
      <c r="O86" s="70">
        <f t="shared" si="100"/>
        <v>0</v>
      </c>
      <c r="P86" s="70">
        <f t="shared" si="100"/>
        <v>0</v>
      </c>
      <c r="Q86" s="70">
        <f t="shared" si="100"/>
        <v>0</v>
      </c>
      <c r="R86" s="70">
        <f t="shared" si="100"/>
        <v>0</v>
      </c>
      <c r="S86" s="70">
        <f t="shared" si="100"/>
        <v>0</v>
      </c>
      <c r="T86" s="70">
        <f t="shared" si="100"/>
        <v>0</v>
      </c>
      <c r="U86" s="70">
        <f t="shared" si="100"/>
        <v>0</v>
      </c>
      <c r="V86" s="70">
        <f t="shared" si="100"/>
        <v>0</v>
      </c>
      <c r="W86" s="70">
        <f t="shared" si="100"/>
        <v>0</v>
      </c>
      <c r="X86" s="70">
        <f t="shared" si="100"/>
        <v>0</v>
      </c>
      <c r="Y86" s="70">
        <f t="shared" si="100"/>
        <v>0</v>
      </c>
      <c r="Z86" s="70">
        <f t="shared" si="100"/>
        <v>0</v>
      </c>
      <c r="AA86" s="70">
        <f t="shared" si="100"/>
        <v>0</v>
      </c>
      <c r="AB86" s="70">
        <f t="shared" si="100"/>
        <v>0</v>
      </c>
      <c r="AC86" s="70">
        <f t="shared" si="100"/>
        <v>0</v>
      </c>
      <c r="AD86" s="70">
        <f t="shared" si="100"/>
        <v>0</v>
      </c>
      <c r="AE86" s="70">
        <f t="shared" si="100"/>
        <v>0</v>
      </c>
      <c r="AF86" s="70">
        <f t="shared" si="100"/>
        <v>0</v>
      </c>
      <c r="AG86" s="70">
        <f t="shared" si="100"/>
        <v>0</v>
      </c>
      <c r="AH86" s="70">
        <f t="shared" si="100"/>
        <v>0</v>
      </c>
      <c r="AI86" s="70">
        <f t="shared" si="100"/>
        <v>0</v>
      </c>
      <c r="AJ86" s="70">
        <f t="shared" si="100"/>
        <v>0</v>
      </c>
      <c r="AK86" s="70">
        <f t="shared" si="100"/>
        <v>0</v>
      </c>
      <c r="AL86" s="70">
        <f t="shared" si="100"/>
        <v>0</v>
      </c>
      <c r="AM86" s="70">
        <f t="shared" si="100"/>
        <v>0</v>
      </c>
      <c r="AN86" s="70">
        <f t="shared" si="100"/>
        <v>0</v>
      </c>
      <c r="AO86" s="70">
        <f t="shared" si="100"/>
        <v>0</v>
      </c>
      <c r="AP86" s="70">
        <f t="shared" si="100"/>
        <v>0</v>
      </c>
      <c r="AQ86" s="70">
        <f t="shared" si="100"/>
        <v>0</v>
      </c>
      <c r="AR86" s="70">
        <f t="shared" si="100"/>
        <v>0</v>
      </c>
      <c r="AS86" s="70">
        <f t="shared" si="100"/>
        <v>0</v>
      </c>
      <c r="AT86" s="70">
        <f t="shared" si="100"/>
        <v>0</v>
      </c>
      <c r="AU86" s="70">
        <f t="shared" si="100"/>
        <v>0</v>
      </c>
      <c r="AV86" s="70">
        <f t="shared" si="100"/>
        <v>0</v>
      </c>
      <c r="AW86" s="70">
        <f t="shared" si="100"/>
        <v>0</v>
      </c>
      <c r="AX86" s="70">
        <f t="shared" si="100"/>
        <v>0</v>
      </c>
      <c r="AY86" s="70">
        <f t="shared" si="100"/>
        <v>0</v>
      </c>
      <c r="AZ86" s="70">
        <f t="shared" si="100"/>
        <v>0</v>
      </c>
      <c r="BA86" s="70">
        <f t="shared" si="100"/>
        <v>0</v>
      </c>
      <c r="BB86" s="70">
        <f t="shared" si="100"/>
        <v>0</v>
      </c>
      <c r="BC86" s="70">
        <f t="shared" si="100"/>
        <v>0</v>
      </c>
      <c r="BD86" s="70">
        <f t="shared" si="100"/>
        <v>0</v>
      </c>
      <c r="BE86" s="70">
        <f t="shared" si="100"/>
        <v>0</v>
      </c>
      <c r="BF86" s="70">
        <f t="shared" si="100"/>
        <v>0</v>
      </c>
      <c r="BG86" s="70">
        <f t="shared" si="100"/>
        <v>0</v>
      </c>
      <c r="BH86" s="70">
        <f t="shared" si="100"/>
        <v>0</v>
      </c>
      <c r="BI86" s="70">
        <f t="shared" si="100"/>
        <v>0</v>
      </c>
      <c r="BJ86" s="70">
        <f t="shared" si="100"/>
        <v>0</v>
      </c>
      <c r="BK86" s="70">
        <f t="shared" si="100"/>
        <v>0</v>
      </c>
      <c r="BL86" s="70">
        <f t="shared" si="100"/>
        <v>0</v>
      </c>
      <c r="BM86" s="70">
        <f t="shared" si="100"/>
        <v>0</v>
      </c>
      <c r="BN86" s="70">
        <f t="shared" si="100"/>
        <v>0</v>
      </c>
      <c r="BO86" s="70">
        <f t="shared" si="100"/>
        <v>0</v>
      </c>
      <c r="BP86" s="70">
        <f t="shared" si="100"/>
        <v>0</v>
      </c>
      <c r="BQ86" s="70">
        <f t="shared" si="100"/>
        <v>0</v>
      </c>
      <c r="BR86" s="70">
        <f t="shared" si="100"/>
        <v>0</v>
      </c>
      <c r="BS86" s="70">
        <f t="shared" ref="BS86:DV86" si="101">SUM(BS84:BS85)</f>
        <v>0</v>
      </c>
      <c r="BT86" s="70">
        <f t="shared" si="101"/>
        <v>0</v>
      </c>
      <c r="BU86" s="70">
        <f t="shared" si="101"/>
        <v>0</v>
      </c>
      <c r="BV86" s="70">
        <f t="shared" si="101"/>
        <v>0</v>
      </c>
      <c r="BW86" s="70">
        <f t="shared" si="101"/>
        <v>0</v>
      </c>
      <c r="BX86" s="70">
        <f t="shared" si="101"/>
        <v>0</v>
      </c>
      <c r="BY86" s="70">
        <f t="shared" si="101"/>
        <v>0</v>
      </c>
      <c r="BZ86" s="70">
        <f t="shared" si="101"/>
        <v>0</v>
      </c>
      <c r="CA86" s="70">
        <f t="shared" si="101"/>
        <v>0</v>
      </c>
      <c r="CB86" s="70">
        <f t="shared" si="101"/>
        <v>0</v>
      </c>
      <c r="CC86" s="70">
        <f t="shared" si="101"/>
        <v>0</v>
      </c>
      <c r="CD86" s="70">
        <f t="shared" si="101"/>
        <v>0</v>
      </c>
      <c r="CE86" s="70">
        <f t="shared" si="101"/>
        <v>0</v>
      </c>
      <c r="CF86" s="70">
        <f t="shared" si="101"/>
        <v>0</v>
      </c>
      <c r="CG86" s="70">
        <f t="shared" si="101"/>
        <v>0</v>
      </c>
      <c r="CH86" s="70">
        <f t="shared" si="101"/>
        <v>0</v>
      </c>
      <c r="CI86" s="70">
        <f t="shared" si="101"/>
        <v>0</v>
      </c>
      <c r="CJ86" s="70">
        <f t="shared" si="101"/>
        <v>0</v>
      </c>
      <c r="CK86" s="70">
        <f t="shared" si="101"/>
        <v>0</v>
      </c>
      <c r="CL86" s="70">
        <f t="shared" si="101"/>
        <v>0</v>
      </c>
      <c r="CM86" s="70">
        <f t="shared" si="101"/>
        <v>0</v>
      </c>
      <c r="CN86" s="70">
        <f t="shared" si="101"/>
        <v>0</v>
      </c>
      <c r="CO86" s="70">
        <f t="shared" si="101"/>
        <v>0</v>
      </c>
      <c r="CP86" s="70">
        <f t="shared" si="101"/>
        <v>0</v>
      </c>
      <c r="CQ86" s="70">
        <f t="shared" si="101"/>
        <v>0</v>
      </c>
      <c r="CR86" s="70">
        <f t="shared" si="101"/>
        <v>0</v>
      </c>
      <c r="CS86" s="70">
        <f t="shared" si="101"/>
        <v>0</v>
      </c>
      <c r="CT86" s="70">
        <f t="shared" si="101"/>
        <v>0</v>
      </c>
      <c r="CU86" s="70">
        <f t="shared" si="101"/>
        <v>0</v>
      </c>
      <c r="CV86" s="70">
        <f t="shared" si="101"/>
        <v>0</v>
      </c>
      <c r="CW86" s="70">
        <f t="shared" si="101"/>
        <v>0</v>
      </c>
      <c r="CX86" s="70">
        <f t="shared" si="101"/>
        <v>0</v>
      </c>
      <c r="CY86" s="70">
        <f t="shared" si="101"/>
        <v>0</v>
      </c>
      <c r="CZ86" s="70">
        <f t="shared" si="101"/>
        <v>0</v>
      </c>
      <c r="DA86" s="70">
        <f t="shared" si="101"/>
        <v>0</v>
      </c>
      <c r="DB86" s="70">
        <f t="shared" si="101"/>
        <v>0</v>
      </c>
      <c r="DC86" s="70">
        <f t="shared" si="101"/>
        <v>0</v>
      </c>
      <c r="DD86" s="70">
        <f t="shared" si="101"/>
        <v>0</v>
      </c>
      <c r="DE86" s="70">
        <f t="shared" si="101"/>
        <v>0</v>
      </c>
      <c r="DF86" s="70">
        <f t="shared" si="101"/>
        <v>0</v>
      </c>
      <c r="DG86" s="70">
        <f t="shared" si="101"/>
        <v>0</v>
      </c>
      <c r="DH86" s="70">
        <f t="shared" si="101"/>
        <v>0</v>
      </c>
      <c r="DI86" s="70">
        <f t="shared" si="101"/>
        <v>0</v>
      </c>
      <c r="DJ86" s="70">
        <f t="shared" si="101"/>
        <v>0</v>
      </c>
      <c r="DK86" s="70">
        <f t="shared" si="101"/>
        <v>0</v>
      </c>
      <c r="DL86" s="70">
        <f t="shared" si="101"/>
        <v>0</v>
      </c>
      <c r="DM86" s="70">
        <f t="shared" si="101"/>
        <v>0</v>
      </c>
      <c r="DN86" s="70">
        <f t="shared" si="101"/>
        <v>0</v>
      </c>
      <c r="DO86" s="70">
        <f t="shared" si="101"/>
        <v>0</v>
      </c>
      <c r="DP86" s="70">
        <f t="shared" si="101"/>
        <v>0</v>
      </c>
      <c r="DQ86" s="70">
        <f t="shared" si="101"/>
        <v>0</v>
      </c>
      <c r="DR86" s="70">
        <f t="shared" si="101"/>
        <v>0</v>
      </c>
      <c r="DS86" s="70">
        <f t="shared" si="101"/>
        <v>0</v>
      </c>
      <c r="DT86" s="70">
        <f t="shared" si="101"/>
        <v>0</v>
      </c>
      <c r="DU86" s="70">
        <f t="shared" si="101"/>
        <v>0</v>
      </c>
      <c r="DV86" s="70">
        <f t="shared" si="101"/>
        <v>0</v>
      </c>
    </row>
    <row r="87" spans="2:126" x14ac:dyDescent="0.3">
      <c r="B87" t="s">
        <v>1</v>
      </c>
      <c r="F87" s="70">
        <f>MAX(F34-F49-F64-F79-F86,0)</f>
        <v>0</v>
      </c>
      <c r="G87" s="70">
        <f t="shared" ref="G87:BR87" si="102">MAX(G34-G49-G64-G79-G86,0)</f>
        <v>0</v>
      </c>
      <c r="H87" s="70">
        <f t="shared" si="102"/>
        <v>0</v>
      </c>
      <c r="I87" s="70">
        <f t="shared" si="102"/>
        <v>0</v>
      </c>
      <c r="J87" s="70">
        <f t="shared" si="102"/>
        <v>0</v>
      </c>
      <c r="K87" s="70">
        <f t="shared" si="102"/>
        <v>0</v>
      </c>
      <c r="L87" s="70">
        <f t="shared" si="102"/>
        <v>0</v>
      </c>
      <c r="M87" s="70">
        <f t="shared" si="102"/>
        <v>0</v>
      </c>
      <c r="N87" s="70">
        <f t="shared" si="102"/>
        <v>0</v>
      </c>
      <c r="O87" s="70">
        <f t="shared" si="102"/>
        <v>0</v>
      </c>
      <c r="P87" s="70">
        <f t="shared" si="102"/>
        <v>0</v>
      </c>
      <c r="Q87" s="70">
        <f t="shared" si="102"/>
        <v>0</v>
      </c>
      <c r="R87" s="70">
        <f t="shared" si="102"/>
        <v>0</v>
      </c>
      <c r="S87" s="70">
        <f t="shared" si="102"/>
        <v>0</v>
      </c>
      <c r="T87" s="70">
        <f t="shared" si="102"/>
        <v>0</v>
      </c>
      <c r="U87" s="70">
        <f t="shared" si="102"/>
        <v>0</v>
      </c>
      <c r="V87" s="70">
        <f t="shared" si="102"/>
        <v>0</v>
      </c>
      <c r="W87" s="70">
        <f t="shared" si="102"/>
        <v>0</v>
      </c>
      <c r="X87" s="70">
        <f t="shared" si="102"/>
        <v>0</v>
      </c>
      <c r="Y87" s="70">
        <f t="shared" si="102"/>
        <v>0</v>
      </c>
      <c r="Z87" s="70">
        <f t="shared" si="102"/>
        <v>0</v>
      </c>
      <c r="AA87" s="70">
        <f t="shared" si="102"/>
        <v>0</v>
      </c>
      <c r="AB87" s="70">
        <f t="shared" si="102"/>
        <v>0</v>
      </c>
      <c r="AC87" s="70">
        <f t="shared" si="102"/>
        <v>0</v>
      </c>
      <c r="AD87" s="70">
        <f t="shared" si="102"/>
        <v>0</v>
      </c>
      <c r="AE87" s="70">
        <f t="shared" si="102"/>
        <v>0</v>
      </c>
      <c r="AF87" s="70">
        <f t="shared" si="102"/>
        <v>0</v>
      </c>
      <c r="AG87" s="70">
        <f t="shared" si="102"/>
        <v>0</v>
      </c>
      <c r="AH87" s="70">
        <f t="shared" si="102"/>
        <v>0</v>
      </c>
      <c r="AI87" s="70">
        <f t="shared" si="102"/>
        <v>0</v>
      </c>
      <c r="AJ87" s="70">
        <f t="shared" si="102"/>
        <v>0</v>
      </c>
      <c r="AK87" s="70">
        <f t="shared" si="102"/>
        <v>0</v>
      </c>
      <c r="AL87" s="70">
        <f t="shared" si="102"/>
        <v>0</v>
      </c>
      <c r="AM87" s="70">
        <f t="shared" si="102"/>
        <v>0</v>
      </c>
      <c r="AN87" s="70">
        <f t="shared" si="102"/>
        <v>0</v>
      </c>
      <c r="AO87" s="70">
        <f t="shared" si="102"/>
        <v>0</v>
      </c>
      <c r="AP87" s="70">
        <f t="shared" si="102"/>
        <v>0</v>
      </c>
      <c r="AQ87" s="70">
        <f t="shared" si="102"/>
        <v>0</v>
      </c>
      <c r="AR87" s="70">
        <f t="shared" si="102"/>
        <v>0</v>
      </c>
      <c r="AS87" s="70">
        <f t="shared" si="102"/>
        <v>0</v>
      </c>
      <c r="AT87" s="70">
        <f t="shared" si="102"/>
        <v>0</v>
      </c>
      <c r="AU87" s="70">
        <f t="shared" si="102"/>
        <v>0</v>
      </c>
      <c r="AV87" s="70">
        <f t="shared" si="102"/>
        <v>0</v>
      </c>
      <c r="AW87" s="70">
        <f t="shared" si="102"/>
        <v>0</v>
      </c>
      <c r="AX87" s="70">
        <f t="shared" si="102"/>
        <v>0</v>
      </c>
      <c r="AY87" s="70">
        <f t="shared" si="102"/>
        <v>0</v>
      </c>
      <c r="AZ87" s="70">
        <f t="shared" si="102"/>
        <v>0</v>
      </c>
      <c r="BA87" s="70">
        <f t="shared" si="102"/>
        <v>0</v>
      </c>
      <c r="BB87" s="70">
        <f t="shared" si="102"/>
        <v>0</v>
      </c>
      <c r="BC87" s="70">
        <f t="shared" si="102"/>
        <v>0</v>
      </c>
      <c r="BD87" s="70">
        <f t="shared" si="102"/>
        <v>0</v>
      </c>
      <c r="BE87" s="70">
        <f t="shared" si="102"/>
        <v>0</v>
      </c>
      <c r="BF87" s="70">
        <f t="shared" si="102"/>
        <v>0</v>
      </c>
      <c r="BG87" s="70">
        <f t="shared" si="102"/>
        <v>0</v>
      </c>
      <c r="BH87" s="70">
        <f t="shared" si="102"/>
        <v>0</v>
      </c>
      <c r="BI87" s="70">
        <f t="shared" si="102"/>
        <v>0</v>
      </c>
      <c r="BJ87" s="70">
        <f t="shared" si="102"/>
        <v>0</v>
      </c>
      <c r="BK87" s="70">
        <f t="shared" si="102"/>
        <v>0</v>
      </c>
      <c r="BL87" s="70">
        <f t="shared" si="102"/>
        <v>0</v>
      </c>
      <c r="BM87" s="70">
        <f t="shared" si="102"/>
        <v>0</v>
      </c>
      <c r="BN87" s="70">
        <f t="shared" si="102"/>
        <v>0</v>
      </c>
      <c r="BO87" s="70">
        <f t="shared" si="102"/>
        <v>0</v>
      </c>
      <c r="BP87" s="70">
        <f t="shared" si="102"/>
        <v>0</v>
      </c>
      <c r="BQ87" s="70">
        <f t="shared" si="102"/>
        <v>0</v>
      </c>
      <c r="BR87" s="70">
        <f t="shared" si="102"/>
        <v>0</v>
      </c>
      <c r="BS87" s="70">
        <f t="shared" ref="BS87:DV87" si="103">MAX(BS34-BS49-BS64-BS79-BS86,0)</f>
        <v>0</v>
      </c>
      <c r="BT87" s="70">
        <f t="shared" si="103"/>
        <v>0</v>
      </c>
      <c r="BU87" s="70">
        <f t="shared" si="103"/>
        <v>0</v>
      </c>
      <c r="BV87" s="70">
        <f t="shared" si="103"/>
        <v>0</v>
      </c>
      <c r="BW87" s="70">
        <f t="shared" si="103"/>
        <v>0</v>
      </c>
      <c r="BX87" s="70">
        <f t="shared" si="103"/>
        <v>0</v>
      </c>
      <c r="BY87" s="70">
        <f t="shared" si="103"/>
        <v>0</v>
      </c>
      <c r="BZ87" s="70">
        <f t="shared" si="103"/>
        <v>0</v>
      </c>
      <c r="CA87" s="70">
        <f t="shared" si="103"/>
        <v>0</v>
      </c>
      <c r="CB87" s="70">
        <f t="shared" si="103"/>
        <v>0</v>
      </c>
      <c r="CC87" s="70">
        <f t="shared" si="103"/>
        <v>0</v>
      </c>
      <c r="CD87" s="70">
        <f t="shared" si="103"/>
        <v>0</v>
      </c>
      <c r="CE87" s="70">
        <f t="shared" si="103"/>
        <v>0</v>
      </c>
      <c r="CF87" s="70">
        <f t="shared" si="103"/>
        <v>0</v>
      </c>
      <c r="CG87" s="70">
        <f t="shared" si="103"/>
        <v>0</v>
      </c>
      <c r="CH87" s="70">
        <f t="shared" si="103"/>
        <v>0</v>
      </c>
      <c r="CI87" s="70">
        <f t="shared" si="103"/>
        <v>0</v>
      </c>
      <c r="CJ87" s="70">
        <f t="shared" si="103"/>
        <v>0</v>
      </c>
      <c r="CK87" s="70">
        <f t="shared" si="103"/>
        <v>0</v>
      </c>
      <c r="CL87" s="70">
        <f t="shared" si="103"/>
        <v>0</v>
      </c>
      <c r="CM87" s="70">
        <f t="shared" si="103"/>
        <v>0</v>
      </c>
      <c r="CN87" s="70">
        <f t="shared" si="103"/>
        <v>0</v>
      </c>
      <c r="CO87" s="70">
        <f t="shared" si="103"/>
        <v>0</v>
      </c>
      <c r="CP87" s="70">
        <f t="shared" si="103"/>
        <v>0</v>
      </c>
      <c r="CQ87" s="70">
        <f t="shared" si="103"/>
        <v>0</v>
      </c>
      <c r="CR87" s="70">
        <f t="shared" si="103"/>
        <v>0</v>
      </c>
      <c r="CS87" s="70">
        <f t="shared" si="103"/>
        <v>0</v>
      </c>
      <c r="CT87" s="70">
        <f t="shared" si="103"/>
        <v>0</v>
      </c>
      <c r="CU87" s="70">
        <f t="shared" si="103"/>
        <v>0</v>
      </c>
      <c r="CV87" s="70">
        <f t="shared" si="103"/>
        <v>0</v>
      </c>
      <c r="CW87" s="70">
        <f t="shared" si="103"/>
        <v>0</v>
      </c>
      <c r="CX87" s="70">
        <f t="shared" si="103"/>
        <v>0</v>
      </c>
      <c r="CY87" s="70">
        <f t="shared" si="103"/>
        <v>0</v>
      </c>
      <c r="CZ87" s="70">
        <f t="shared" si="103"/>
        <v>0</v>
      </c>
      <c r="DA87" s="70">
        <f t="shared" si="103"/>
        <v>0</v>
      </c>
      <c r="DB87" s="70">
        <f t="shared" si="103"/>
        <v>0</v>
      </c>
      <c r="DC87" s="70">
        <f t="shared" si="103"/>
        <v>0</v>
      </c>
      <c r="DD87" s="70">
        <f t="shared" si="103"/>
        <v>0</v>
      </c>
      <c r="DE87" s="70">
        <f t="shared" si="103"/>
        <v>0</v>
      </c>
      <c r="DF87" s="70">
        <f t="shared" si="103"/>
        <v>0</v>
      </c>
      <c r="DG87" s="70">
        <f t="shared" si="103"/>
        <v>0</v>
      </c>
      <c r="DH87" s="70">
        <f t="shared" si="103"/>
        <v>0</v>
      </c>
      <c r="DI87" s="70">
        <f t="shared" si="103"/>
        <v>0</v>
      </c>
      <c r="DJ87" s="70">
        <f t="shared" si="103"/>
        <v>0</v>
      </c>
      <c r="DK87" s="70">
        <f t="shared" si="103"/>
        <v>0</v>
      </c>
      <c r="DL87" s="70">
        <f t="shared" si="103"/>
        <v>0</v>
      </c>
      <c r="DM87" s="70">
        <f t="shared" si="103"/>
        <v>0</v>
      </c>
      <c r="DN87" s="70">
        <f t="shared" si="103"/>
        <v>0</v>
      </c>
      <c r="DO87" s="70">
        <f t="shared" si="103"/>
        <v>0</v>
      </c>
      <c r="DP87" s="70">
        <f t="shared" si="103"/>
        <v>0</v>
      </c>
      <c r="DQ87" s="70">
        <f t="shared" si="103"/>
        <v>0</v>
      </c>
      <c r="DR87" s="70">
        <f t="shared" si="103"/>
        <v>0</v>
      </c>
      <c r="DS87" s="70">
        <f t="shared" si="103"/>
        <v>0</v>
      </c>
      <c r="DT87" s="70">
        <f t="shared" si="103"/>
        <v>0</v>
      </c>
      <c r="DU87" s="70">
        <f t="shared" si="103"/>
        <v>0</v>
      </c>
      <c r="DV87" s="70">
        <f t="shared" si="103"/>
        <v>0</v>
      </c>
    </row>
    <row r="88" spans="2:126" x14ac:dyDescent="0.3"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</sheetData>
  <mergeCells count="3">
    <mergeCell ref="F8:G8"/>
    <mergeCell ref="H8:I8"/>
    <mergeCell ref="F9:G9"/>
  </mergeCells>
  <conditionalFormatting sqref="B32:B34">
    <cfRule type="expression" dxfId="3" priority="2">
      <formula>Print_Mode="On"</formula>
    </cfRule>
  </conditionalFormatting>
  <conditionalFormatting sqref="C31:DV31">
    <cfRule type="expression" dxfId="2" priority="1">
      <formula>OR(Equity_Share_GP=1,Equity_Share_GP=0)</formula>
    </cfRule>
  </conditionalFormatting>
  <conditionalFormatting sqref="J8:DV9 B32:DV37 E4:J6 M4:DV6 E7:DV7 B8:E8 C17:DV17 B18:DV30 C38:DV38 B39:DV51 C52:DV52 B53:DV66 C67:DV67 B68:DV81 C82:DV82 B83:DV87 B10:DV16">
    <cfRule type="expression" dxfId="1" priority="4">
      <formula>OR(Equity_Share_GP=1,Equity_Share_GP=0)</formula>
    </cfRule>
  </conditionalFormatting>
  <conditionalFormatting sqref="L8">
    <cfRule type="expression" dxfId="0" priority="3">
      <formula>$L$8="OK"</formula>
    </cfRule>
  </conditionalFormatting>
  <dataValidations disablePrompts="1" count="1">
    <dataValidation type="list" allowBlank="1" showInputMessage="1" showErrorMessage="1" sqref="C32" xr:uid="{EB25098F-B7A0-470D-A4CE-B4416A3924D2}">
      <formula1>"Yes, No"</formula1>
    </dataValidation>
  </dataValidations>
  <printOptions horizontalCentered="1"/>
  <pageMargins left="0.25" right="0.25" top="0.75" bottom="0.75" header="0.3" footer="0.3"/>
  <pageSetup scale="10" orientation="landscape" horizontalDpi="4294967294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Property-Level Cash Flow</vt:lpstr>
      <vt:lpstr>GP-LP Returns</vt:lpstr>
      <vt:lpstr>Co-GP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2019-02-16T16:47:00Z</dcterms:created>
  <dcterms:modified xsi:type="dcterms:W3CDTF">2026-10-15T17:34:54Z</dcterms:modified>
</cp:coreProperties>
</file>