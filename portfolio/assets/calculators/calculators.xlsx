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smacbookpro/Library/Mobile Documents/com~apple~CloudDocs/Analyst Portfolio/CRE Analyst Portfolio/Website Org/17. Calculators/"/>
    </mc:Choice>
  </mc:AlternateContent>
  <xr:revisionPtr revIDLastSave="0" documentId="8_{1FD1EF9E-16C2-4443-B97C-A541D8C7DEEF}" xr6:coauthVersionLast="47" xr6:coauthVersionMax="47" xr10:uidLastSave="{00000000-0000-0000-0000-000000000000}"/>
  <bookViews>
    <workbookView xWindow="0" yWindow="0" windowWidth="28800" windowHeight="18000" firstSheet="3" activeTab="8" xr2:uid="{00000000-000D-0000-FFFF-FFFF00000000}"/>
  </bookViews>
  <sheets>
    <sheet name="Amortization" sheetId="6" r:id="rId1"/>
    <sheet name="Draw Schedule Circular Ref." sheetId="4" r:id="rId2"/>
    <sheet name="Custom Formulas" sheetId="5" r:id="rId3"/>
    <sheet name="Dynamic Steady Growth" sheetId="7" r:id="rId4"/>
    <sheet name="Bell-Curve Calculator" sheetId="8" r:id="rId5"/>
    <sheet name="Loan Payoff Calculator" sheetId="9" r:id="rId6"/>
    <sheet name="Partitioning IRR and EMx" sheetId="10" r:id="rId7"/>
    <sheet name="Promote Calculator" sheetId="11" r:id="rId8"/>
    <sheet name="Straight Line Formulas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2" l="1"/>
  <c r="J11" i="12"/>
  <c r="K11" i="12"/>
  <c r="L11" i="12"/>
  <c r="M11" i="12"/>
  <c r="N11" i="12"/>
  <c r="O11" i="12"/>
  <c r="P11" i="12"/>
  <c r="Q11" i="12"/>
  <c r="R11" i="12"/>
  <c r="S11" i="12"/>
  <c r="F15" i="12"/>
  <c r="N15" i="12" s="1"/>
  <c r="J15" i="12"/>
  <c r="K15" i="12"/>
  <c r="L15" i="12"/>
  <c r="M15" i="12"/>
  <c r="O15" i="12"/>
  <c r="P15" i="12"/>
  <c r="Q15" i="12"/>
  <c r="R15" i="12"/>
  <c r="S15" i="12"/>
  <c r="F19" i="12"/>
  <c r="K19" i="12" s="1"/>
  <c r="J19" i="12"/>
  <c r="Q19" i="12"/>
  <c r="R19" i="12"/>
  <c r="F25" i="12"/>
  <c r="M25" i="12" s="1"/>
  <c r="J25" i="12"/>
  <c r="K25" i="12"/>
  <c r="L25" i="12"/>
  <c r="N25" i="12"/>
  <c r="P25" i="12"/>
  <c r="Q25" i="12"/>
  <c r="S25" i="12"/>
  <c r="F29" i="12"/>
  <c r="Q29" i="12" s="1"/>
  <c r="F33" i="12"/>
  <c r="M33" i="12" s="1"/>
  <c r="J33" i="12"/>
  <c r="K33" i="12"/>
  <c r="L33" i="12"/>
  <c r="P19" i="12" l="1"/>
  <c r="H15" i="12"/>
  <c r="S33" i="12"/>
  <c r="P29" i="12"/>
  <c r="N19" i="12"/>
  <c r="Q33" i="12"/>
  <c r="L19" i="12"/>
  <c r="H19" i="12" s="1"/>
  <c r="H11" i="12"/>
  <c r="O19" i="12"/>
  <c r="R33" i="12"/>
  <c r="M19" i="12"/>
  <c r="P33" i="12"/>
  <c r="R25" i="12"/>
  <c r="S19" i="12"/>
  <c r="O29" i="12"/>
  <c r="N29" i="12"/>
  <c r="O33" i="12"/>
  <c r="S29" i="12"/>
  <c r="K29" i="12"/>
  <c r="O25" i="12"/>
  <c r="M29" i="12"/>
  <c r="L29" i="12"/>
  <c r="N33" i="12"/>
  <c r="H33" i="12" s="1"/>
  <c r="R29" i="12"/>
  <c r="J29" i="12"/>
  <c r="F6" i="11"/>
  <c r="F7" i="11" s="1"/>
  <c r="E12" i="11"/>
  <c r="F12" i="11"/>
  <c r="E15" i="11"/>
  <c r="F15" i="11"/>
  <c r="D4" i="10"/>
  <c r="E4" i="10"/>
  <c r="F4" i="10"/>
  <c r="G4" i="10"/>
  <c r="H4" i="10"/>
  <c r="I4" i="10" s="1"/>
  <c r="J4" i="10" s="1"/>
  <c r="K4" i="10" s="1"/>
  <c r="L4" i="10" s="1"/>
  <c r="M4" i="10" s="1"/>
  <c r="E6" i="10"/>
  <c r="F6" i="10"/>
  <c r="G6" i="10"/>
  <c r="H6" i="10"/>
  <c r="H8" i="10" s="1"/>
  <c r="I6" i="10"/>
  <c r="I8" i="10" s="1"/>
  <c r="J6" i="10"/>
  <c r="K6" i="10" s="1"/>
  <c r="C8" i="10"/>
  <c r="D8" i="10"/>
  <c r="E8" i="10"/>
  <c r="F8" i="10"/>
  <c r="G8" i="10"/>
  <c r="C14" i="10"/>
  <c r="E14" i="10"/>
  <c r="L14" i="10" s="1"/>
  <c r="J14" i="10"/>
  <c r="B15" i="10"/>
  <c r="J15" i="10" s="1"/>
  <c r="C15" i="10"/>
  <c r="K15" i="10" s="1"/>
  <c r="E15" i="10"/>
  <c r="L15" i="10" s="1"/>
  <c r="B16" i="10"/>
  <c r="E16" i="10" s="1"/>
  <c r="C16" i="10"/>
  <c r="H25" i="12" l="1"/>
  <c r="H29" i="12"/>
  <c r="G14" i="10"/>
  <c r="K14" i="10"/>
  <c r="M14" i="10" s="1"/>
  <c r="G15" i="10"/>
  <c r="M15" i="10"/>
  <c r="L6" i="10"/>
  <c r="K8" i="10"/>
  <c r="L16" i="10"/>
  <c r="K16" i="10"/>
  <c r="G16" i="10"/>
  <c r="J8" i="10"/>
  <c r="J16" i="10"/>
  <c r="B17" i="10"/>
  <c r="E9" i="9"/>
  <c r="E10" i="9"/>
  <c r="D12" i="9"/>
  <c r="E12" i="9"/>
  <c r="E13" i="9" s="1"/>
  <c r="F12" i="9"/>
  <c r="F13" i="9" s="1"/>
  <c r="G12" i="9"/>
  <c r="G13" i="9" s="1"/>
  <c r="H12" i="9"/>
  <c r="H13" i="9" s="1"/>
  <c r="I12" i="9"/>
  <c r="J12" i="9" s="1"/>
  <c r="C13" i="9"/>
  <c r="D13" i="9"/>
  <c r="E15" i="9"/>
  <c r="M6" i="10" l="1"/>
  <c r="M8" i="10" s="1"/>
  <c r="L8" i="10"/>
  <c r="C9" i="10" s="1"/>
  <c r="M16" i="10"/>
  <c r="C10" i="10"/>
  <c r="E17" i="10"/>
  <c r="B18" i="10"/>
  <c r="J17" i="10"/>
  <c r="C17" i="10"/>
  <c r="I13" i="9"/>
  <c r="K12" i="9"/>
  <c r="J13" i="9"/>
  <c r="E19" i="8"/>
  <c r="F19" i="8"/>
  <c r="G19" i="8"/>
  <c r="H19" i="8"/>
  <c r="H50" i="8" s="1"/>
  <c r="H56" i="8" s="1"/>
  <c r="I19" i="8"/>
  <c r="J19" i="8"/>
  <c r="K19" i="8"/>
  <c r="L19" i="8"/>
  <c r="L41" i="8" s="1"/>
  <c r="M19" i="8"/>
  <c r="N19" i="8"/>
  <c r="E41" i="8"/>
  <c r="F41" i="8"/>
  <c r="G41" i="8"/>
  <c r="I41" i="8"/>
  <c r="J41" i="8"/>
  <c r="K41" i="8"/>
  <c r="M41" i="8"/>
  <c r="N41" i="8"/>
  <c r="E50" i="8"/>
  <c r="E56" i="8" s="1"/>
  <c r="F50" i="8"/>
  <c r="F56" i="8" s="1"/>
  <c r="G50" i="8"/>
  <c r="G56" i="8" s="1"/>
  <c r="I50" i="8"/>
  <c r="I56" i="8" s="1"/>
  <c r="J50" i="8"/>
  <c r="J56" i="8" s="1"/>
  <c r="K50" i="8"/>
  <c r="K56" i="8" s="1"/>
  <c r="M50" i="8"/>
  <c r="M56" i="8" s="1"/>
  <c r="N50" i="8"/>
  <c r="N56" i="8"/>
  <c r="E66" i="8"/>
  <c r="F66" i="8"/>
  <c r="G66" i="8"/>
  <c r="H66" i="8"/>
  <c r="I66" i="8"/>
  <c r="J66" i="8"/>
  <c r="K66" i="8"/>
  <c r="L66" i="8"/>
  <c r="M66" i="8"/>
  <c r="N66" i="8"/>
  <c r="F14" i="10" l="1"/>
  <c r="D15" i="10"/>
  <c r="F17" i="10"/>
  <c r="D16" i="10"/>
  <c r="D14" i="10"/>
  <c r="F16" i="10"/>
  <c r="D17" i="10"/>
  <c r="F15" i="10"/>
  <c r="K17" i="10"/>
  <c r="G17" i="10"/>
  <c r="J18" i="10"/>
  <c r="B19" i="10"/>
  <c r="C18" i="10"/>
  <c r="D18" i="10" s="1"/>
  <c r="E18" i="10"/>
  <c r="L18" i="10" s="1"/>
  <c r="L17" i="10"/>
  <c r="L12" i="9"/>
  <c r="K13" i="9"/>
  <c r="D66" i="8"/>
  <c r="D19" i="8"/>
  <c r="H41" i="8"/>
  <c r="D41" i="8" s="1"/>
  <c r="L50" i="8"/>
  <c r="L56" i="8" s="1"/>
  <c r="D56" i="8" s="1"/>
  <c r="F11" i="7"/>
  <c r="I11" i="7"/>
  <c r="G11" i="7" s="1"/>
  <c r="J11" i="7"/>
  <c r="K11" i="7"/>
  <c r="L11" i="7"/>
  <c r="M11" i="7"/>
  <c r="N11" i="7"/>
  <c r="O11" i="7"/>
  <c r="P11" i="7"/>
  <c r="Q11" i="7"/>
  <c r="R11" i="7"/>
  <c r="F12" i="7"/>
  <c r="I12" i="7"/>
  <c r="G12" i="7" s="1"/>
  <c r="J12" i="7"/>
  <c r="K12" i="7"/>
  <c r="L12" i="7"/>
  <c r="M12" i="7"/>
  <c r="N12" i="7"/>
  <c r="O12" i="7"/>
  <c r="P12" i="7"/>
  <c r="Q12" i="7"/>
  <c r="R12" i="7"/>
  <c r="F17" i="7"/>
  <c r="K17" i="7" s="1"/>
  <c r="I17" i="7"/>
  <c r="J17" i="7"/>
  <c r="O17" i="7"/>
  <c r="P17" i="7"/>
  <c r="Q17" i="7"/>
  <c r="R17" i="7"/>
  <c r="F18" i="7"/>
  <c r="P18" i="7" s="1"/>
  <c r="J18" i="7"/>
  <c r="K18" i="7"/>
  <c r="L18" i="7"/>
  <c r="M18" i="7"/>
  <c r="N18" i="7"/>
  <c r="O18" i="7"/>
  <c r="R18" i="7"/>
  <c r="H15" i="10" l="1"/>
  <c r="H17" i="10"/>
  <c r="M17" i="10"/>
  <c r="H14" i="10"/>
  <c r="J19" i="10"/>
  <c r="E19" i="10"/>
  <c r="B20" i="10"/>
  <c r="C19" i="10"/>
  <c r="D19" i="10" s="1"/>
  <c r="F18" i="10"/>
  <c r="H18" i="10" s="1"/>
  <c r="G18" i="10"/>
  <c r="K18" i="10"/>
  <c r="M18" i="10" s="1"/>
  <c r="H16" i="10"/>
  <c r="M12" i="9"/>
  <c r="L13" i="9"/>
  <c r="D50" i="8"/>
  <c r="N17" i="7"/>
  <c r="Q18" i="7"/>
  <c r="I18" i="7"/>
  <c r="G18" i="7" s="1"/>
  <c r="M17" i="7"/>
  <c r="L17" i="7"/>
  <c r="G17" i="7" s="1"/>
  <c r="I6" i="6"/>
  <c r="H8" i="6"/>
  <c r="H9" i="6"/>
  <c r="H10" i="6"/>
  <c r="I11" i="6"/>
  <c r="M5" i="6" s="1"/>
  <c r="M11" i="6"/>
  <c r="I12" i="6"/>
  <c r="M12" i="6"/>
  <c r="B15" i="6"/>
  <c r="L15" i="6"/>
  <c r="M15" i="6"/>
  <c r="B16" i="6"/>
  <c r="C16" i="6"/>
  <c r="D16" i="6" s="1"/>
  <c r="C17" i="6"/>
  <c r="D376" i="6"/>
  <c r="E376" i="6"/>
  <c r="F376" i="6"/>
  <c r="G19" i="10" l="1"/>
  <c r="K19" i="10"/>
  <c r="J20" i="10"/>
  <c r="C20" i="10"/>
  <c r="D20" i="10" s="1"/>
  <c r="E20" i="10"/>
  <c r="L20" i="10" s="1"/>
  <c r="B21" i="10"/>
  <c r="L19" i="10"/>
  <c r="F19" i="10"/>
  <c r="H19" i="10" s="1"/>
  <c r="M13" i="9"/>
  <c r="N12" i="9"/>
  <c r="G16" i="6"/>
  <c r="I16" i="6" s="1"/>
  <c r="E17" i="6"/>
  <c r="D17" i="6"/>
  <c r="C18" i="6"/>
  <c r="F17" i="6"/>
  <c r="B17" i="6"/>
  <c r="E16" i="6"/>
  <c r="F16" i="6"/>
  <c r="K8" i="5"/>
  <c r="L8" i="5" s="1"/>
  <c r="K9" i="5"/>
  <c r="K12" i="5" s="1"/>
  <c r="J10" i="5"/>
  <c r="F11" i="5"/>
  <c r="J11" i="5" s="1"/>
  <c r="K11" i="5"/>
  <c r="D12" i="5"/>
  <c r="E12" i="5"/>
  <c r="J12" i="5"/>
  <c r="D13" i="5"/>
  <c r="E13" i="5" s="1"/>
  <c r="E14" i="5"/>
  <c r="F20" i="10" l="1"/>
  <c r="H20" i="10" s="1"/>
  <c r="M19" i="10"/>
  <c r="J21" i="10"/>
  <c r="E21" i="10"/>
  <c r="L21" i="10" s="1"/>
  <c r="C21" i="10"/>
  <c r="D21" i="10" s="1"/>
  <c r="B22" i="10"/>
  <c r="G20" i="10"/>
  <c r="K20" i="10"/>
  <c r="M20" i="10" s="1"/>
  <c r="O12" i="9"/>
  <c r="N13" i="9"/>
  <c r="H16" i="6"/>
  <c r="J16" i="6" s="1"/>
  <c r="E18" i="6"/>
  <c r="B18" i="6"/>
  <c r="D18" i="6"/>
  <c r="F18" i="6" s="1"/>
  <c r="C19" i="6"/>
  <c r="K13" i="5"/>
  <c r="L13" i="5"/>
  <c r="L11" i="5"/>
  <c r="M8" i="5"/>
  <c r="J13" i="5"/>
  <c r="M13" i="5"/>
  <c r="L9" i="5"/>
  <c r="K9" i="4"/>
  <c r="K8" i="4" s="1"/>
  <c r="K10" i="4"/>
  <c r="L10" i="4" s="1"/>
  <c r="M10" i="4" s="1"/>
  <c r="J13" i="4"/>
  <c r="I13" i="4" s="1"/>
  <c r="G16" i="4"/>
  <c r="K16" i="4"/>
  <c r="G17" i="4"/>
  <c r="K17" i="4" s="1"/>
  <c r="G20" i="4"/>
  <c r="K20" i="4" s="1"/>
  <c r="G21" i="4"/>
  <c r="K21" i="4" s="1"/>
  <c r="G23" i="4"/>
  <c r="K23" i="4"/>
  <c r="K25" i="4"/>
  <c r="F27" i="4"/>
  <c r="F28" i="4"/>
  <c r="K29" i="4"/>
  <c r="K32" i="4"/>
  <c r="G33" i="4"/>
  <c r="K33" i="4"/>
  <c r="G35" i="4"/>
  <c r="K35" i="4" s="1"/>
  <c r="F37" i="4"/>
  <c r="G37" i="4"/>
  <c r="K37" i="4" s="1"/>
  <c r="J39" i="4"/>
  <c r="J67" i="4"/>
  <c r="K67" i="4"/>
  <c r="K70" i="4" s="1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D67" i="4"/>
  <c r="BE67" i="4"/>
  <c r="BF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J68" i="4"/>
  <c r="K68" i="4" s="1"/>
  <c r="L68" i="4" s="1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BD69" i="4"/>
  <c r="BE69" i="4"/>
  <c r="BF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J78" i="4"/>
  <c r="J81" i="4" s="1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BC78" i="4"/>
  <c r="BD78" i="4"/>
  <c r="BE78" i="4"/>
  <c r="BF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C86" i="4"/>
  <c r="C88" i="4"/>
  <c r="F21" i="10" l="1"/>
  <c r="C22" i="10"/>
  <c r="D22" i="10" s="1"/>
  <c r="E22" i="10"/>
  <c r="L22" i="10" s="1"/>
  <c r="B23" i="10"/>
  <c r="J22" i="10"/>
  <c r="H21" i="10"/>
  <c r="K21" i="10"/>
  <c r="M21" i="10" s="1"/>
  <c r="G21" i="10"/>
  <c r="O13" i="9"/>
  <c r="P12" i="9"/>
  <c r="E19" i="6"/>
  <c r="B19" i="6"/>
  <c r="D19" i="6"/>
  <c r="F19" i="6" s="1"/>
  <c r="C20" i="6"/>
  <c r="K16" i="6"/>
  <c r="L16" i="6"/>
  <c r="G17" i="6" s="1"/>
  <c r="M16" i="6"/>
  <c r="N8" i="5"/>
  <c r="M11" i="5"/>
  <c r="L12" i="5"/>
  <c r="M9" i="5"/>
  <c r="K27" i="4"/>
  <c r="K81" i="4" s="1"/>
  <c r="J70" i="4"/>
  <c r="L70" i="4"/>
  <c r="M68" i="4"/>
  <c r="N10" i="4"/>
  <c r="L9" i="4"/>
  <c r="F22" i="10" l="1"/>
  <c r="H22" i="10"/>
  <c r="C23" i="10"/>
  <c r="D23" i="10" s="1"/>
  <c r="J23" i="10"/>
  <c r="E23" i="10"/>
  <c r="F23" i="10" s="1"/>
  <c r="F24" i="10" s="1"/>
  <c r="K22" i="10"/>
  <c r="M22" i="10" s="1"/>
  <c r="G22" i="10"/>
  <c r="P13" i="9"/>
  <c r="Q12" i="9"/>
  <c r="I17" i="6"/>
  <c r="E20" i="6"/>
  <c r="F20" i="6"/>
  <c r="C21" i="6"/>
  <c r="B20" i="6"/>
  <c r="D20" i="6"/>
  <c r="O8" i="5"/>
  <c r="N11" i="5"/>
  <c r="N13" i="5"/>
  <c r="M12" i="5"/>
  <c r="N9" i="5"/>
  <c r="L8" i="4"/>
  <c r="L16" i="4"/>
  <c r="L21" i="4"/>
  <c r="L27" i="4"/>
  <c r="M9" i="4"/>
  <c r="L25" i="4"/>
  <c r="L17" i="4"/>
  <c r="L37" i="4"/>
  <c r="L23" i="4"/>
  <c r="L35" i="4"/>
  <c r="L20" i="4"/>
  <c r="L32" i="4"/>
  <c r="L33" i="4"/>
  <c r="L29" i="4"/>
  <c r="O10" i="4"/>
  <c r="M70" i="4"/>
  <c r="N68" i="4"/>
  <c r="H23" i="10" l="1"/>
  <c r="H24" i="10" s="1"/>
  <c r="F25" i="10" s="1"/>
  <c r="D24" i="10"/>
  <c r="L23" i="10"/>
  <c r="L24" i="10" s="1"/>
  <c r="E24" i="10"/>
  <c r="K23" i="10"/>
  <c r="G23" i="10"/>
  <c r="G24" i="10" s="1"/>
  <c r="C24" i="10"/>
  <c r="R12" i="9"/>
  <c r="Q13" i="9"/>
  <c r="E21" i="6"/>
  <c r="D21" i="6"/>
  <c r="F21" i="6" s="1"/>
  <c r="C22" i="6"/>
  <c r="B21" i="6"/>
  <c r="H17" i="6"/>
  <c r="J17" i="6" s="1"/>
  <c r="P8" i="5"/>
  <c r="O11" i="5"/>
  <c r="O13" i="5"/>
  <c r="N12" i="5"/>
  <c r="O9" i="5"/>
  <c r="P10" i="4"/>
  <c r="O68" i="4"/>
  <c r="N70" i="4"/>
  <c r="M8" i="4"/>
  <c r="M21" i="4"/>
  <c r="M20" i="4"/>
  <c r="N9" i="4"/>
  <c r="M25" i="4"/>
  <c r="M37" i="4"/>
  <c r="M16" i="4"/>
  <c r="M17" i="4"/>
  <c r="M23" i="4"/>
  <c r="M27" i="4"/>
  <c r="M32" i="4"/>
  <c r="M33" i="4"/>
  <c r="M35" i="4"/>
  <c r="M29" i="4"/>
  <c r="L81" i="4"/>
  <c r="D25" i="10" l="1"/>
  <c r="M23" i="10"/>
  <c r="M24" i="10" s="1"/>
  <c r="L25" i="10" s="1"/>
  <c r="K24" i="10"/>
  <c r="R13" i="9"/>
  <c r="S12" i="9"/>
  <c r="K17" i="6"/>
  <c r="L17" i="6" s="1"/>
  <c r="G18" i="6" s="1"/>
  <c r="M17" i="6"/>
  <c r="E22" i="6"/>
  <c r="C23" i="6"/>
  <c r="B22" i="6"/>
  <c r="D22" i="6"/>
  <c r="F22" i="6" s="1"/>
  <c r="P11" i="5"/>
  <c r="Q8" i="5"/>
  <c r="P13" i="5"/>
  <c r="P9" i="5"/>
  <c r="O12" i="5"/>
  <c r="Q10" i="4"/>
  <c r="O9" i="4"/>
  <c r="N8" i="4"/>
  <c r="N16" i="4"/>
  <c r="N23" i="4"/>
  <c r="N27" i="4"/>
  <c r="N20" i="4"/>
  <c r="N17" i="4"/>
  <c r="N25" i="4"/>
  <c r="N37" i="4"/>
  <c r="N32" i="4"/>
  <c r="N21" i="4"/>
  <c r="N35" i="4"/>
  <c r="N33" i="4"/>
  <c r="N29" i="4"/>
  <c r="M81" i="4"/>
  <c r="O70" i="4"/>
  <c r="P68" i="4"/>
  <c r="K25" i="10" l="1"/>
  <c r="T12" i="9"/>
  <c r="S13" i="9"/>
  <c r="I18" i="6"/>
  <c r="E23" i="6"/>
  <c r="C24" i="6"/>
  <c r="D23" i="6"/>
  <c r="F23" i="6" s="1"/>
  <c r="B23" i="6"/>
  <c r="R8" i="5"/>
  <c r="Q11" i="5"/>
  <c r="Q13" i="5"/>
  <c r="Q9" i="5"/>
  <c r="P12" i="5"/>
  <c r="R10" i="4"/>
  <c r="P70" i="4"/>
  <c r="Q68" i="4"/>
  <c r="N81" i="4"/>
  <c r="P9" i="4"/>
  <c r="O8" i="4"/>
  <c r="O16" i="4"/>
  <c r="O23" i="4"/>
  <c r="O21" i="4"/>
  <c r="O32" i="4"/>
  <c r="O17" i="4"/>
  <c r="O25" i="4"/>
  <c r="O27" i="4"/>
  <c r="O20" i="4"/>
  <c r="O33" i="4"/>
  <c r="O35" i="4"/>
  <c r="O37" i="4"/>
  <c r="O29" i="4"/>
  <c r="U12" i="9" l="1"/>
  <c r="T13" i="9"/>
  <c r="E24" i="6"/>
  <c r="C25" i="6"/>
  <c r="B24" i="6"/>
  <c r="D24" i="6"/>
  <c r="F24" i="6" s="1"/>
  <c r="H18" i="6"/>
  <c r="J18" i="6" s="1"/>
  <c r="R11" i="5"/>
  <c r="R13" i="5"/>
  <c r="S8" i="5"/>
  <c r="R9" i="5"/>
  <c r="Q12" i="5"/>
  <c r="Q70" i="4"/>
  <c r="R68" i="4"/>
  <c r="O81" i="4"/>
  <c r="Q9" i="4"/>
  <c r="P17" i="4"/>
  <c r="P8" i="4"/>
  <c r="P21" i="4"/>
  <c r="P20" i="4"/>
  <c r="P16" i="4"/>
  <c r="P35" i="4"/>
  <c r="P27" i="4"/>
  <c r="P33" i="4"/>
  <c r="P37" i="4"/>
  <c r="P23" i="4"/>
  <c r="P32" i="4"/>
  <c r="P25" i="4"/>
  <c r="P29" i="4"/>
  <c r="S10" i="4"/>
  <c r="U13" i="9" l="1"/>
  <c r="V12" i="9"/>
  <c r="K18" i="6"/>
  <c r="L18" i="6" s="1"/>
  <c r="G19" i="6" s="1"/>
  <c r="E25" i="6"/>
  <c r="D25" i="6"/>
  <c r="C26" i="6"/>
  <c r="F25" i="6"/>
  <c r="B25" i="6"/>
  <c r="T8" i="5"/>
  <c r="S11" i="5"/>
  <c r="S13" i="5"/>
  <c r="S9" i="5"/>
  <c r="R12" i="5"/>
  <c r="P81" i="4"/>
  <c r="S68" i="4"/>
  <c r="R70" i="4"/>
  <c r="T10" i="4"/>
  <c r="R9" i="4"/>
  <c r="Q25" i="4"/>
  <c r="Q17" i="4"/>
  <c r="Q8" i="4"/>
  <c r="Q16" i="4"/>
  <c r="Q23" i="4"/>
  <c r="Q33" i="4"/>
  <c r="Q21" i="4"/>
  <c r="Q35" i="4"/>
  <c r="Q27" i="4"/>
  <c r="Q37" i="4"/>
  <c r="Q20" i="4"/>
  <c r="Q32" i="4"/>
  <c r="Q29" i="4"/>
  <c r="V13" i="9" l="1"/>
  <c r="W12" i="9"/>
  <c r="I19" i="6"/>
  <c r="E26" i="6"/>
  <c r="D26" i="6"/>
  <c r="B26" i="6"/>
  <c r="C27" i="6"/>
  <c r="F26" i="6"/>
  <c r="M18" i="6"/>
  <c r="U8" i="5"/>
  <c r="T11" i="5"/>
  <c r="T13" i="5"/>
  <c r="S12" i="5"/>
  <c r="T9" i="5"/>
  <c r="R20" i="4"/>
  <c r="S9" i="4"/>
  <c r="R25" i="4"/>
  <c r="R8" i="4"/>
  <c r="R16" i="4"/>
  <c r="R23" i="4"/>
  <c r="R27" i="4"/>
  <c r="R32" i="4"/>
  <c r="R33" i="4"/>
  <c r="R35" i="4"/>
  <c r="R37" i="4"/>
  <c r="R17" i="4"/>
  <c r="R21" i="4"/>
  <c r="R29" i="4"/>
  <c r="Q81" i="4"/>
  <c r="T68" i="4"/>
  <c r="S70" i="4"/>
  <c r="U10" i="4"/>
  <c r="W13" i="9" l="1"/>
  <c r="X12" i="9"/>
  <c r="E27" i="6"/>
  <c r="B27" i="6"/>
  <c r="C28" i="6"/>
  <c r="D27" i="6"/>
  <c r="F27" i="6" s="1"/>
  <c r="H19" i="6"/>
  <c r="J19" i="6" s="1"/>
  <c r="U13" i="5"/>
  <c r="V8" i="5"/>
  <c r="U11" i="5"/>
  <c r="T12" i="5"/>
  <c r="U9" i="5"/>
  <c r="U68" i="4"/>
  <c r="T70" i="4"/>
  <c r="S8" i="4"/>
  <c r="S27" i="4"/>
  <c r="S20" i="4"/>
  <c r="T9" i="4"/>
  <c r="S17" i="4"/>
  <c r="S16" i="4"/>
  <c r="S35" i="4"/>
  <c r="S33" i="4"/>
  <c r="S32" i="4"/>
  <c r="S23" i="4"/>
  <c r="S25" i="4"/>
  <c r="S21" i="4"/>
  <c r="S37" i="4"/>
  <c r="S29" i="4"/>
  <c r="R81" i="4"/>
  <c r="V10" i="4"/>
  <c r="Y12" i="9" l="1"/>
  <c r="X13" i="9"/>
  <c r="K19" i="6"/>
  <c r="M19" i="6" s="1"/>
  <c r="E28" i="6"/>
  <c r="B28" i="6"/>
  <c r="D28" i="6"/>
  <c r="F28" i="6"/>
  <c r="C29" i="6"/>
  <c r="V13" i="5"/>
  <c r="V11" i="5"/>
  <c r="W8" i="5"/>
  <c r="U12" i="5"/>
  <c r="V9" i="5"/>
  <c r="T8" i="4"/>
  <c r="T16" i="4"/>
  <c r="T21" i="4"/>
  <c r="T27" i="4"/>
  <c r="U9" i="4"/>
  <c r="T25" i="4"/>
  <c r="T17" i="4"/>
  <c r="T37" i="4"/>
  <c r="T20" i="4"/>
  <c r="T33" i="4"/>
  <c r="T32" i="4"/>
  <c r="T35" i="4"/>
  <c r="T23" i="4"/>
  <c r="T29" i="4"/>
  <c r="S81" i="4"/>
  <c r="W10" i="4"/>
  <c r="U70" i="4"/>
  <c r="V68" i="4"/>
  <c r="Z12" i="9" l="1"/>
  <c r="Y13" i="9"/>
  <c r="E29" i="6"/>
  <c r="D29" i="6"/>
  <c r="F29" i="6"/>
  <c r="B29" i="6"/>
  <c r="C30" i="6"/>
  <c r="L19" i="6"/>
  <c r="G20" i="6" s="1"/>
  <c r="W13" i="5"/>
  <c r="W11" i="5"/>
  <c r="X8" i="5"/>
  <c r="V12" i="5"/>
  <c r="W9" i="5"/>
  <c r="X10" i="4"/>
  <c r="U8" i="4"/>
  <c r="U21" i="4"/>
  <c r="U20" i="4"/>
  <c r="V9" i="4"/>
  <c r="U25" i="4"/>
  <c r="U17" i="4"/>
  <c r="U16" i="4"/>
  <c r="U35" i="4"/>
  <c r="U27" i="4"/>
  <c r="U33" i="4"/>
  <c r="U23" i="4"/>
  <c r="U32" i="4"/>
  <c r="U37" i="4"/>
  <c r="U29" i="4"/>
  <c r="T81" i="4"/>
  <c r="W68" i="4"/>
  <c r="V70" i="4"/>
  <c r="AA12" i="9" l="1"/>
  <c r="Z13" i="9"/>
  <c r="E30" i="6"/>
  <c r="D30" i="6"/>
  <c r="F30" i="6"/>
  <c r="C31" i="6"/>
  <c r="B30" i="6"/>
  <c r="I20" i="6"/>
  <c r="X13" i="5"/>
  <c r="X11" i="5"/>
  <c r="Y8" i="5"/>
  <c r="X9" i="5"/>
  <c r="W12" i="5"/>
  <c r="W9" i="4"/>
  <c r="V8" i="4"/>
  <c r="V16" i="4"/>
  <c r="V23" i="4"/>
  <c r="V27" i="4"/>
  <c r="V20" i="4"/>
  <c r="V17" i="4"/>
  <c r="V25" i="4"/>
  <c r="V37" i="4"/>
  <c r="V32" i="4"/>
  <c r="V33" i="4"/>
  <c r="V35" i="4"/>
  <c r="V21" i="4"/>
  <c r="V29" i="4"/>
  <c r="W70" i="4"/>
  <c r="X68" i="4"/>
  <c r="U81" i="4"/>
  <c r="Y10" i="4"/>
  <c r="AB12" i="9" l="1"/>
  <c r="AA13" i="9"/>
  <c r="E31" i="6"/>
  <c r="C32" i="6"/>
  <c r="B31" i="6"/>
  <c r="D31" i="6"/>
  <c r="F31" i="6" s="1"/>
  <c r="H20" i="6"/>
  <c r="J20" i="6" s="1"/>
  <c r="Y13" i="5"/>
  <c r="Y11" i="5"/>
  <c r="Z8" i="5"/>
  <c r="Y9" i="5"/>
  <c r="X12" i="5"/>
  <c r="Z10" i="4"/>
  <c r="V81" i="4"/>
  <c r="Y68" i="4"/>
  <c r="X70" i="4"/>
  <c r="X9" i="4"/>
  <c r="W8" i="4"/>
  <c r="W16" i="4"/>
  <c r="W23" i="4"/>
  <c r="W21" i="4"/>
  <c r="W20" i="4"/>
  <c r="W32" i="4"/>
  <c r="W27" i="4"/>
  <c r="W17" i="4"/>
  <c r="W35" i="4"/>
  <c r="W25" i="4"/>
  <c r="W33" i="4"/>
  <c r="W37" i="4"/>
  <c r="W29" i="4"/>
  <c r="AC12" i="9" l="1"/>
  <c r="AB13" i="9"/>
  <c r="K20" i="6"/>
  <c r="L20" i="6"/>
  <c r="G21" i="6" s="1"/>
  <c r="M20" i="6"/>
  <c r="E32" i="6"/>
  <c r="B32" i="6"/>
  <c r="D32" i="6"/>
  <c r="F32" i="6" s="1"/>
  <c r="C33" i="6"/>
  <c r="AA8" i="5"/>
  <c r="Z11" i="5"/>
  <c r="Z13" i="5"/>
  <c r="Z9" i="5"/>
  <c r="Y12" i="5"/>
  <c r="Y70" i="4"/>
  <c r="Z68" i="4"/>
  <c r="W81" i="4"/>
  <c r="AA10" i="4"/>
  <c r="Y9" i="4"/>
  <c r="X17" i="4"/>
  <c r="X8" i="4"/>
  <c r="X21" i="4"/>
  <c r="X23" i="4"/>
  <c r="X20" i="4"/>
  <c r="X16" i="4"/>
  <c r="X37" i="4"/>
  <c r="X32" i="4"/>
  <c r="X35" i="4"/>
  <c r="X25" i="4"/>
  <c r="X33" i="4"/>
  <c r="X27" i="4"/>
  <c r="X29" i="4"/>
  <c r="AC13" i="9" l="1"/>
  <c r="AD12" i="9"/>
  <c r="E33" i="6"/>
  <c r="D33" i="6"/>
  <c r="C34" i="6"/>
  <c r="F33" i="6"/>
  <c r="B33" i="6"/>
  <c r="I21" i="6"/>
  <c r="AA11" i="5"/>
  <c r="AB8" i="5"/>
  <c r="AA13" i="5"/>
  <c r="AA9" i="5"/>
  <c r="Z12" i="5"/>
  <c r="AB10" i="4"/>
  <c r="X81" i="4"/>
  <c r="Z9" i="4"/>
  <c r="Y25" i="4"/>
  <c r="Y17" i="4"/>
  <c r="Y8" i="4"/>
  <c r="Y16" i="4"/>
  <c r="Y23" i="4"/>
  <c r="Y21" i="4"/>
  <c r="Y33" i="4"/>
  <c r="Y20" i="4"/>
  <c r="Y37" i="4"/>
  <c r="Y32" i="4"/>
  <c r="Y35" i="4"/>
  <c r="Y27" i="4"/>
  <c r="Y29" i="4"/>
  <c r="Z70" i="4"/>
  <c r="AA68" i="4"/>
  <c r="AD13" i="9" l="1"/>
  <c r="AE12" i="9"/>
  <c r="H21" i="6"/>
  <c r="J21" i="6" s="1"/>
  <c r="E34" i="6"/>
  <c r="C35" i="6"/>
  <c r="B34" i="6"/>
  <c r="D34" i="6"/>
  <c r="F34" i="6" s="1"/>
  <c r="AB13" i="5"/>
  <c r="AC8" i="5"/>
  <c r="AB11" i="5"/>
  <c r="AA12" i="5"/>
  <c r="AB9" i="5"/>
  <c r="AA70" i="4"/>
  <c r="AB68" i="4"/>
  <c r="Z20" i="4"/>
  <c r="AA9" i="4"/>
  <c r="Z25" i="4"/>
  <c r="Z8" i="4"/>
  <c r="Z16" i="4"/>
  <c r="Z23" i="4"/>
  <c r="Z21" i="4"/>
  <c r="Z17" i="4"/>
  <c r="Z32" i="4"/>
  <c r="Z33" i="4"/>
  <c r="Z35" i="4"/>
  <c r="Z37" i="4"/>
  <c r="Z27" i="4"/>
  <c r="Z29" i="4"/>
  <c r="Y81" i="4"/>
  <c r="AC10" i="4"/>
  <c r="AF12" i="9" l="1"/>
  <c r="AE13" i="9"/>
  <c r="E35" i="6"/>
  <c r="B35" i="6"/>
  <c r="C36" i="6"/>
  <c r="D35" i="6"/>
  <c r="F35" i="6" s="1"/>
  <c r="K21" i="6"/>
  <c r="M21" i="6" s="1"/>
  <c r="AC13" i="5"/>
  <c r="AD8" i="5"/>
  <c r="AC11" i="5"/>
  <c r="AB12" i="5"/>
  <c r="AC9" i="5"/>
  <c r="Z81" i="4"/>
  <c r="AD10" i="4"/>
  <c r="AA8" i="4"/>
  <c r="AA27" i="4"/>
  <c r="AA20" i="4"/>
  <c r="AB9" i="4"/>
  <c r="AA17" i="4"/>
  <c r="AA25" i="4"/>
  <c r="AA35" i="4"/>
  <c r="AA32" i="4"/>
  <c r="AA23" i="4"/>
  <c r="AA21" i="4"/>
  <c r="AA33" i="4"/>
  <c r="AA16" i="4"/>
  <c r="AA37" i="4"/>
  <c r="AA29" i="4"/>
  <c r="AC68" i="4"/>
  <c r="AB70" i="4"/>
  <c r="AG12" i="9" l="1"/>
  <c r="AF13" i="9"/>
  <c r="L21" i="6"/>
  <c r="G22" i="6" s="1"/>
  <c r="E36" i="6"/>
  <c r="D36" i="6"/>
  <c r="C37" i="6"/>
  <c r="F36" i="6"/>
  <c r="B36" i="6"/>
  <c r="AD11" i="5"/>
  <c r="AD13" i="5"/>
  <c r="AE8" i="5"/>
  <c r="AC12" i="5"/>
  <c r="AD9" i="5"/>
  <c r="AA81" i="4"/>
  <c r="AB8" i="4"/>
  <c r="AB21" i="4"/>
  <c r="AB27" i="4"/>
  <c r="AC9" i="4"/>
  <c r="AB25" i="4"/>
  <c r="AB17" i="4"/>
  <c r="AB37" i="4"/>
  <c r="AB33" i="4"/>
  <c r="AB35" i="4"/>
  <c r="AB23" i="4"/>
  <c r="AB16" i="4"/>
  <c r="AB32" i="4"/>
  <c r="AB20" i="4"/>
  <c r="AB29" i="4"/>
  <c r="AC70" i="4"/>
  <c r="AD68" i="4"/>
  <c r="AE10" i="4"/>
  <c r="AH12" i="9" l="1"/>
  <c r="AG13" i="9"/>
  <c r="E37" i="6"/>
  <c r="B37" i="6"/>
  <c r="D37" i="6"/>
  <c r="F37" i="6" s="1"/>
  <c r="C38" i="6"/>
  <c r="I22" i="6"/>
  <c r="AE13" i="5"/>
  <c r="AE11" i="5"/>
  <c r="AF8" i="5"/>
  <c r="AD12" i="5"/>
  <c r="AE9" i="5"/>
  <c r="AC8" i="4"/>
  <c r="AC21" i="4"/>
  <c r="AC20" i="4"/>
  <c r="AD9" i="4"/>
  <c r="AC25" i="4"/>
  <c r="AC16" i="4"/>
  <c r="AC23" i="4"/>
  <c r="AC32" i="4"/>
  <c r="AC33" i="4"/>
  <c r="AC35" i="4"/>
  <c r="AC37" i="4"/>
  <c r="AC27" i="4"/>
  <c r="AC17" i="4"/>
  <c r="AC29" i="4"/>
  <c r="AF10" i="4"/>
  <c r="AE68" i="4"/>
  <c r="AD70" i="4"/>
  <c r="AB81" i="4"/>
  <c r="AI12" i="9" l="1"/>
  <c r="AH13" i="9"/>
  <c r="H22" i="6"/>
  <c r="J22" i="6" s="1"/>
  <c r="E38" i="6"/>
  <c r="C39" i="6"/>
  <c r="D38" i="6"/>
  <c r="F38" i="6" s="1"/>
  <c r="B38" i="6"/>
  <c r="AF11" i="5"/>
  <c r="AF13" i="5"/>
  <c r="AG8" i="5"/>
  <c r="AF9" i="5"/>
  <c r="AE12" i="5"/>
  <c r="AC81" i="4"/>
  <c r="AG10" i="4"/>
  <c r="AE9" i="4"/>
  <c r="AD8" i="4"/>
  <c r="AD16" i="4"/>
  <c r="AD23" i="4"/>
  <c r="AD27" i="4"/>
  <c r="AD20" i="4"/>
  <c r="AD35" i="4"/>
  <c r="AD21" i="4"/>
  <c r="AD17" i="4"/>
  <c r="AD25" i="4"/>
  <c r="AD32" i="4"/>
  <c r="AD33" i="4"/>
  <c r="AD37" i="4"/>
  <c r="AD29" i="4"/>
  <c r="AF68" i="4"/>
  <c r="AE70" i="4"/>
  <c r="AI13" i="9" l="1"/>
  <c r="AJ12" i="9"/>
  <c r="E39" i="6"/>
  <c r="C40" i="6"/>
  <c r="B39" i="6"/>
  <c r="D39" i="6"/>
  <c r="F39" i="6" s="1"/>
  <c r="K22" i="6"/>
  <c r="L22" i="6"/>
  <c r="G23" i="6" s="1"/>
  <c r="M22" i="6"/>
  <c r="AG13" i="5"/>
  <c r="AG11" i="5"/>
  <c r="AH8" i="5"/>
  <c r="AG9" i="5"/>
  <c r="AF12" i="5"/>
  <c r="AD81" i="4"/>
  <c r="AF9" i="4"/>
  <c r="AE8" i="4"/>
  <c r="AE16" i="4"/>
  <c r="AE23" i="4"/>
  <c r="AE21" i="4"/>
  <c r="AE32" i="4"/>
  <c r="AE37" i="4"/>
  <c r="AE17" i="4"/>
  <c r="AE25" i="4"/>
  <c r="AE33" i="4"/>
  <c r="AE27" i="4"/>
  <c r="AE35" i="4"/>
  <c r="AE20" i="4"/>
  <c r="AE29" i="4"/>
  <c r="AG68" i="4"/>
  <c r="AF70" i="4"/>
  <c r="AH10" i="4"/>
  <c r="AK12" i="9" l="1"/>
  <c r="AJ13" i="9"/>
  <c r="I23" i="6"/>
  <c r="E40" i="6"/>
  <c r="D40" i="6"/>
  <c r="F40" i="6" s="1"/>
  <c r="C41" i="6"/>
  <c r="B40" i="6"/>
  <c r="AI8" i="5"/>
  <c r="AH11" i="5"/>
  <c r="AH13" i="5"/>
  <c r="AH9" i="5"/>
  <c r="AG12" i="5"/>
  <c r="AG9" i="4"/>
  <c r="AF17" i="4"/>
  <c r="AF8" i="4"/>
  <c r="AF21" i="4"/>
  <c r="AF27" i="4"/>
  <c r="AF23" i="4"/>
  <c r="AF16" i="4"/>
  <c r="AF25" i="4"/>
  <c r="AF33" i="4"/>
  <c r="AF20" i="4"/>
  <c r="AF32" i="4"/>
  <c r="AF35" i="4"/>
  <c r="AF37" i="4"/>
  <c r="AF29" i="4"/>
  <c r="AG70" i="4"/>
  <c r="AH68" i="4"/>
  <c r="AE81" i="4"/>
  <c r="AI10" i="4"/>
  <c r="AK13" i="9" l="1"/>
  <c r="AL12" i="9"/>
  <c r="E41" i="6"/>
  <c r="D41" i="6"/>
  <c r="C42" i="6"/>
  <c r="B41" i="6"/>
  <c r="F41" i="6"/>
  <c r="H23" i="6"/>
  <c r="J23" i="6" s="1"/>
  <c r="AJ8" i="5"/>
  <c r="AI11" i="5"/>
  <c r="AI13" i="5"/>
  <c r="AI9" i="5"/>
  <c r="AH12" i="5"/>
  <c r="AF81" i="4"/>
  <c r="AJ10" i="4"/>
  <c r="AI68" i="4"/>
  <c r="AH70" i="4"/>
  <c r="AH9" i="4"/>
  <c r="AG25" i="4"/>
  <c r="AG17" i="4"/>
  <c r="AG8" i="4"/>
  <c r="AG16" i="4"/>
  <c r="AG23" i="4"/>
  <c r="AG33" i="4"/>
  <c r="AG21" i="4"/>
  <c r="AG20" i="4"/>
  <c r="AG27" i="4"/>
  <c r="AG37" i="4"/>
  <c r="AG32" i="4"/>
  <c r="AG35" i="4"/>
  <c r="AG29" i="4"/>
  <c r="AL13" i="9" l="1"/>
  <c r="AM12" i="9"/>
  <c r="K23" i="6"/>
  <c r="L23" i="6"/>
  <c r="G24" i="6" s="1"/>
  <c r="M23" i="6"/>
  <c r="E42" i="6"/>
  <c r="C43" i="6"/>
  <c r="D42" i="6"/>
  <c r="F42" i="6" s="1"/>
  <c r="B42" i="6"/>
  <c r="AK8" i="5"/>
  <c r="AJ11" i="5"/>
  <c r="AJ13" i="5"/>
  <c r="AI12" i="5"/>
  <c r="AJ9" i="5"/>
  <c r="AH20" i="4"/>
  <c r="AI9" i="4"/>
  <c r="AH25" i="4"/>
  <c r="AH8" i="4"/>
  <c r="AH16" i="4"/>
  <c r="AH23" i="4"/>
  <c r="AH17" i="4"/>
  <c r="AH32" i="4"/>
  <c r="AH21" i="4"/>
  <c r="AH37" i="4"/>
  <c r="AH27" i="4"/>
  <c r="AH33" i="4"/>
  <c r="AH35" i="4"/>
  <c r="AH29" i="4"/>
  <c r="AI70" i="4"/>
  <c r="AJ68" i="4"/>
  <c r="AG81" i="4"/>
  <c r="AK10" i="4"/>
  <c r="AM13" i="9" l="1"/>
  <c r="AN12" i="9"/>
  <c r="E43" i="6"/>
  <c r="B43" i="6"/>
  <c r="C44" i="6"/>
  <c r="D43" i="6"/>
  <c r="F43" i="6" s="1"/>
  <c r="I24" i="6"/>
  <c r="AK13" i="5"/>
  <c r="AK11" i="5"/>
  <c r="H11" i="5" s="1"/>
  <c r="AJ12" i="5"/>
  <c r="AK9" i="5"/>
  <c r="AK12" i="5" s="1"/>
  <c r="C12" i="5" s="1"/>
  <c r="AL10" i="4"/>
  <c r="AI8" i="4"/>
  <c r="AI27" i="4"/>
  <c r="AI20" i="4"/>
  <c r="AJ9" i="4"/>
  <c r="AI17" i="4"/>
  <c r="AI35" i="4"/>
  <c r="AI21" i="4"/>
  <c r="AI37" i="4"/>
  <c r="AI16" i="4"/>
  <c r="AI25" i="4"/>
  <c r="AI32" i="4"/>
  <c r="AI23" i="4"/>
  <c r="AI33" i="4"/>
  <c r="AI29" i="4"/>
  <c r="AJ70" i="4"/>
  <c r="AK68" i="4"/>
  <c r="AH81" i="4"/>
  <c r="AN13" i="9" l="1"/>
  <c r="AO12" i="9"/>
  <c r="H24" i="6"/>
  <c r="J24" i="6" s="1"/>
  <c r="E44" i="6"/>
  <c r="B44" i="6"/>
  <c r="D44" i="6"/>
  <c r="F44" i="6"/>
  <c r="C45" i="6"/>
  <c r="AJ8" i="4"/>
  <c r="AJ21" i="4"/>
  <c r="AJ27" i="4"/>
  <c r="AK9" i="4"/>
  <c r="AJ25" i="4"/>
  <c r="AJ17" i="4"/>
  <c r="AJ16" i="4"/>
  <c r="AJ37" i="4"/>
  <c r="AJ20" i="4"/>
  <c r="AJ32" i="4"/>
  <c r="AJ33" i="4"/>
  <c r="AJ23" i="4"/>
  <c r="AJ35" i="4"/>
  <c r="AJ29" i="4"/>
  <c r="AK70" i="4"/>
  <c r="AL68" i="4"/>
  <c r="AI81" i="4"/>
  <c r="AM10" i="4"/>
  <c r="AP12" i="9" l="1"/>
  <c r="AO13" i="9"/>
  <c r="E45" i="6"/>
  <c r="B45" i="6"/>
  <c r="D45" i="6"/>
  <c r="F45" i="6"/>
  <c r="C46" i="6"/>
  <c r="K24" i="6"/>
  <c r="M24" i="6" s="1"/>
  <c r="L24" i="6"/>
  <c r="G25" i="6" s="1"/>
  <c r="AJ81" i="4"/>
  <c r="AK8" i="4"/>
  <c r="AK21" i="4"/>
  <c r="AK20" i="4"/>
  <c r="AL9" i="4"/>
  <c r="AK25" i="4"/>
  <c r="AK17" i="4"/>
  <c r="AK16" i="4"/>
  <c r="AK27" i="4"/>
  <c r="AK33" i="4"/>
  <c r="AK37" i="4"/>
  <c r="AK35" i="4"/>
  <c r="AK23" i="4"/>
  <c r="AK32" i="4"/>
  <c r="AK29" i="4"/>
  <c r="AN10" i="4"/>
  <c r="AM68" i="4"/>
  <c r="AL70" i="4"/>
  <c r="AQ12" i="9" l="1"/>
  <c r="AP13" i="9"/>
  <c r="E46" i="6"/>
  <c r="B46" i="6"/>
  <c r="C47" i="6"/>
  <c r="D46" i="6"/>
  <c r="F46" i="6" s="1"/>
  <c r="I25" i="6"/>
  <c r="AM70" i="4"/>
  <c r="AN68" i="4"/>
  <c r="AM9" i="4"/>
  <c r="AL8" i="4"/>
  <c r="AL16" i="4"/>
  <c r="AL23" i="4"/>
  <c r="AL27" i="4"/>
  <c r="AL20" i="4"/>
  <c r="AL17" i="4"/>
  <c r="AL21" i="4"/>
  <c r="AL32" i="4"/>
  <c r="AL37" i="4"/>
  <c r="AL33" i="4"/>
  <c r="AL35" i="4"/>
  <c r="AL25" i="4"/>
  <c r="AL29" i="4"/>
  <c r="AO10" i="4"/>
  <c r="AK81" i="4"/>
  <c r="AR12" i="9" l="1"/>
  <c r="AQ13" i="9"/>
  <c r="H25" i="6"/>
  <c r="J25" i="6" s="1"/>
  <c r="E47" i="6"/>
  <c r="B47" i="6"/>
  <c r="D47" i="6"/>
  <c r="F47" i="6"/>
  <c r="C48" i="6"/>
  <c r="AL81" i="4"/>
  <c r="AN9" i="4"/>
  <c r="AM8" i="4"/>
  <c r="AM16" i="4"/>
  <c r="AM23" i="4"/>
  <c r="AM21" i="4"/>
  <c r="AM20" i="4"/>
  <c r="AM32" i="4"/>
  <c r="AM25" i="4"/>
  <c r="AM35" i="4"/>
  <c r="AM27" i="4"/>
  <c r="AM33" i="4"/>
  <c r="AM37" i="4"/>
  <c r="AM17" i="4"/>
  <c r="AM29" i="4"/>
  <c r="AP10" i="4"/>
  <c r="AN70" i="4"/>
  <c r="AO68" i="4"/>
  <c r="AS12" i="9" l="1"/>
  <c r="AR13" i="9"/>
  <c r="E48" i="6"/>
  <c r="B48" i="6"/>
  <c r="D48" i="6"/>
  <c r="F48" i="6" s="1"/>
  <c r="C49" i="6"/>
  <c r="K25" i="6"/>
  <c r="M25" i="6" s="1"/>
  <c r="L25" i="6"/>
  <c r="G26" i="6" s="1"/>
  <c r="AO70" i="4"/>
  <c r="AP68" i="4"/>
  <c r="AM81" i="4"/>
  <c r="AO9" i="4"/>
  <c r="AN17" i="4"/>
  <c r="AN8" i="4"/>
  <c r="AN21" i="4"/>
  <c r="AN23" i="4"/>
  <c r="AN20" i="4"/>
  <c r="AN16" i="4"/>
  <c r="AN37" i="4"/>
  <c r="AN32" i="4"/>
  <c r="AN35" i="4"/>
  <c r="AN27" i="4"/>
  <c r="AN33" i="4"/>
  <c r="AN25" i="4"/>
  <c r="AN29" i="4"/>
  <c r="AQ10" i="4"/>
  <c r="AS13" i="9" l="1"/>
  <c r="AT12" i="9"/>
  <c r="E49" i="6"/>
  <c r="D49" i="6"/>
  <c r="C50" i="6"/>
  <c r="B49" i="6"/>
  <c r="F49" i="6"/>
  <c r="I26" i="6"/>
  <c r="AP9" i="4"/>
  <c r="AO25" i="4"/>
  <c r="AO17" i="4"/>
  <c r="AO8" i="4"/>
  <c r="AO16" i="4"/>
  <c r="AO23" i="4"/>
  <c r="AO21" i="4"/>
  <c r="AO33" i="4"/>
  <c r="AO20" i="4"/>
  <c r="AO35" i="4"/>
  <c r="AO27" i="4"/>
  <c r="AO32" i="4"/>
  <c r="AO37" i="4"/>
  <c r="AO29" i="4"/>
  <c r="AR10" i="4"/>
  <c r="AN81" i="4"/>
  <c r="AQ68" i="4"/>
  <c r="AP70" i="4"/>
  <c r="AU12" i="9" l="1"/>
  <c r="AT13" i="9"/>
  <c r="H26" i="6"/>
  <c r="J26" i="6" s="1"/>
  <c r="E50" i="6"/>
  <c r="B50" i="6"/>
  <c r="C51" i="6"/>
  <c r="D50" i="6"/>
  <c r="F50" i="6" s="1"/>
  <c r="AS10" i="4"/>
  <c r="AO81" i="4"/>
  <c r="AR68" i="4"/>
  <c r="AQ70" i="4"/>
  <c r="AP20" i="4"/>
  <c r="AQ9" i="4"/>
  <c r="AP25" i="4"/>
  <c r="AP8" i="4"/>
  <c r="AP16" i="4"/>
  <c r="AP23" i="4"/>
  <c r="AP21" i="4"/>
  <c r="AP17" i="4"/>
  <c r="AP35" i="4"/>
  <c r="AP33" i="4"/>
  <c r="AP37" i="4"/>
  <c r="AP32" i="4"/>
  <c r="AP27" i="4"/>
  <c r="AP29" i="4"/>
  <c r="AU13" i="9" l="1"/>
  <c r="AV12" i="9"/>
  <c r="E51" i="6"/>
  <c r="B51" i="6"/>
  <c r="C52" i="6"/>
  <c r="D51" i="6"/>
  <c r="F51" i="6" s="1"/>
  <c r="K26" i="6"/>
  <c r="M26" i="6" s="1"/>
  <c r="L26" i="6"/>
  <c r="G27" i="6" s="1"/>
  <c r="AQ8" i="4"/>
  <c r="AQ27" i="4"/>
  <c r="AQ20" i="4"/>
  <c r="AR9" i="4"/>
  <c r="AQ17" i="4"/>
  <c r="AQ25" i="4"/>
  <c r="AQ35" i="4"/>
  <c r="AQ33" i="4"/>
  <c r="AQ21" i="4"/>
  <c r="AQ23" i="4"/>
  <c r="AQ16" i="4"/>
  <c r="AQ32" i="4"/>
  <c r="AQ37" i="4"/>
  <c r="AQ29" i="4"/>
  <c r="AR70" i="4"/>
  <c r="AS68" i="4"/>
  <c r="AP81" i="4"/>
  <c r="AT10" i="4"/>
  <c r="AW12" i="9" l="1"/>
  <c r="AV13" i="9"/>
  <c r="I27" i="6"/>
  <c r="E52" i="6"/>
  <c r="C53" i="6"/>
  <c r="B52" i="6"/>
  <c r="D52" i="6"/>
  <c r="F52" i="6" s="1"/>
  <c r="AU10" i="4"/>
  <c r="AR8" i="4"/>
  <c r="AR21" i="4"/>
  <c r="AR27" i="4"/>
  <c r="AS9" i="4"/>
  <c r="AR25" i="4"/>
  <c r="AR17" i="4"/>
  <c r="AR37" i="4"/>
  <c r="AR20" i="4"/>
  <c r="AR33" i="4"/>
  <c r="AR16" i="4"/>
  <c r="AR32" i="4"/>
  <c r="AR35" i="4"/>
  <c r="AR23" i="4"/>
  <c r="AR29" i="4"/>
  <c r="AQ81" i="4"/>
  <c r="AS70" i="4"/>
  <c r="AT68" i="4"/>
  <c r="AX12" i="9" l="1"/>
  <c r="AW13" i="9"/>
  <c r="E53" i="6"/>
  <c r="C54" i="6"/>
  <c r="B53" i="6"/>
  <c r="D53" i="6"/>
  <c r="F53" i="6" s="1"/>
  <c r="H27" i="6"/>
  <c r="J27" i="6" s="1"/>
  <c r="AR81" i="4"/>
  <c r="AV10" i="4"/>
  <c r="AS8" i="4"/>
  <c r="AS21" i="4"/>
  <c r="AS20" i="4"/>
  <c r="AT9" i="4"/>
  <c r="AS27" i="4"/>
  <c r="AS32" i="4"/>
  <c r="AS16" i="4"/>
  <c r="AS17" i="4"/>
  <c r="AS23" i="4"/>
  <c r="AS25" i="4"/>
  <c r="AS33" i="4"/>
  <c r="AS35" i="4"/>
  <c r="AS37" i="4"/>
  <c r="AS29" i="4"/>
  <c r="AU68" i="4"/>
  <c r="AT70" i="4"/>
  <c r="AY12" i="9" l="1"/>
  <c r="AX13" i="9"/>
  <c r="K27" i="6"/>
  <c r="L27" i="6"/>
  <c r="G28" i="6" s="1"/>
  <c r="M27" i="6"/>
  <c r="E54" i="6"/>
  <c r="C55" i="6"/>
  <c r="D54" i="6"/>
  <c r="F54" i="6" s="1"/>
  <c r="B54" i="6"/>
  <c r="AW10" i="4"/>
  <c r="AU9" i="4"/>
  <c r="AT8" i="4"/>
  <c r="AT16" i="4"/>
  <c r="AT23" i="4"/>
  <c r="AT27" i="4"/>
  <c r="AT20" i="4"/>
  <c r="AT33" i="4"/>
  <c r="AT32" i="4"/>
  <c r="AT21" i="4"/>
  <c r="AT17" i="4"/>
  <c r="AT35" i="4"/>
  <c r="AT25" i="4"/>
  <c r="AT37" i="4"/>
  <c r="AT29" i="4"/>
  <c r="AV68" i="4"/>
  <c r="AU70" i="4"/>
  <c r="AS81" i="4"/>
  <c r="AY13" i="9" l="1"/>
  <c r="AZ12" i="9"/>
  <c r="E55" i="6"/>
  <c r="C56" i="6"/>
  <c r="B55" i="6"/>
  <c r="D55" i="6"/>
  <c r="F55" i="6"/>
  <c r="I28" i="6"/>
  <c r="AV9" i="4"/>
  <c r="AU8" i="4"/>
  <c r="AU16" i="4"/>
  <c r="AU23" i="4"/>
  <c r="AU21" i="4"/>
  <c r="AU32" i="4"/>
  <c r="AU20" i="4"/>
  <c r="AU37" i="4"/>
  <c r="AU25" i="4"/>
  <c r="AU27" i="4"/>
  <c r="AU17" i="4"/>
  <c r="AU33" i="4"/>
  <c r="AU35" i="4"/>
  <c r="AU29" i="4"/>
  <c r="AV70" i="4"/>
  <c r="AW68" i="4"/>
  <c r="AX10" i="4"/>
  <c r="AT81" i="4"/>
  <c r="AZ13" i="9" l="1"/>
  <c r="BA12" i="9"/>
  <c r="H28" i="6"/>
  <c r="J28" i="6" s="1"/>
  <c r="E56" i="6"/>
  <c r="C57" i="6"/>
  <c r="B56" i="6"/>
  <c r="D56" i="6"/>
  <c r="F56" i="6" s="1"/>
  <c r="AU81" i="4"/>
  <c r="AW70" i="4"/>
  <c r="AX68" i="4"/>
  <c r="AW9" i="4"/>
  <c r="AV17" i="4"/>
  <c r="AV8" i="4"/>
  <c r="AV21" i="4"/>
  <c r="AV23" i="4"/>
  <c r="AV35" i="4"/>
  <c r="AV25" i="4"/>
  <c r="AV16" i="4"/>
  <c r="AV20" i="4"/>
  <c r="AV27" i="4"/>
  <c r="AV32" i="4"/>
  <c r="AV37" i="4"/>
  <c r="AV33" i="4"/>
  <c r="AV29" i="4"/>
  <c r="AY10" i="4"/>
  <c r="BA13" i="9" l="1"/>
  <c r="BB12" i="9"/>
  <c r="E57" i="6"/>
  <c r="D57" i="6"/>
  <c r="C58" i="6"/>
  <c r="F57" i="6"/>
  <c r="B57" i="6"/>
  <c r="K28" i="6"/>
  <c r="M28" i="6" s="1"/>
  <c r="AX9" i="4"/>
  <c r="AW25" i="4"/>
  <c r="AW17" i="4"/>
  <c r="AW8" i="4"/>
  <c r="AW16" i="4"/>
  <c r="AW23" i="4"/>
  <c r="AW33" i="4"/>
  <c r="AW37" i="4"/>
  <c r="AW27" i="4"/>
  <c r="AW21" i="4"/>
  <c r="AW20" i="4"/>
  <c r="AW32" i="4"/>
  <c r="AW35" i="4"/>
  <c r="AW29" i="4"/>
  <c r="AZ10" i="4"/>
  <c r="AV81" i="4"/>
  <c r="AX70" i="4"/>
  <c r="AY68" i="4"/>
  <c r="BC12" i="9" l="1"/>
  <c r="BB13" i="9"/>
  <c r="L28" i="6"/>
  <c r="G29" i="6" s="1"/>
  <c r="E58" i="6"/>
  <c r="D58" i="6"/>
  <c r="C59" i="6"/>
  <c r="B58" i="6"/>
  <c r="F58" i="6"/>
  <c r="AX20" i="4"/>
  <c r="AY9" i="4"/>
  <c r="AX25" i="4"/>
  <c r="AX8" i="4"/>
  <c r="AX16" i="4"/>
  <c r="AX23" i="4"/>
  <c r="AX27" i="4"/>
  <c r="AX32" i="4"/>
  <c r="AX33" i="4"/>
  <c r="AX35" i="4"/>
  <c r="AX37" i="4"/>
  <c r="AX17" i="4"/>
  <c r="AX21" i="4"/>
  <c r="AX29" i="4"/>
  <c r="BA10" i="4"/>
  <c r="AY70" i="4"/>
  <c r="AZ68" i="4"/>
  <c r="AW81" i="4"/>
  <c r="BD12" i="9" l="1"/>
  <c r="BC13" i="9"/>
  <c r="E59" i="6"/>
  <c r="B59" i="6"/>
  <c r="D59" i="6"/>
  <c r="F59" i="6"/>
  <c r="C60" i="6"/>
  <c r="I29" i="6"/>
  <c r="BB10" i="4"/>
  <c r="AZ70" i="4"/>
  <c r="BA68" i="4"/>
  <c r="AY8" i="4"/>
  <c r="AY27" i="4"/>
  <c r="AY20" i="4"/>
  <c r="AZ9" i="4"/>
  <c r="AY17" i="4"/>
  <c r="AY35" i="4"/>
  <c r="AY21" i="4"/>
  <c r="AY23" i="4"/>
  <c r="AY25" i="4"/>
  <c r="AY32" i="4"/>
  <c r="AY33" i="4"/>
  <c r="AY16" i="4"/>
  <c r="AY37" i="4"/>
  <c r="AY29" i="4"/>
  <c r="AX81" i="4"/>
  <c r="BD13" i="9" l="1"/>
  <c r="BE12" i="9"/>
  <c r="H29" i="6"/>
  <c r="J29" i="6" s="1"/>
  <c r="E60" i="6"/>
  <c r="D60" i="6"/>
  <c r="B60" i="6"/>
  <c r="C61" i="6"/>
  <c r="F60" i="6"/>
  <c r="AY81" i="4"/>
  <c r="AZ8" i="4"/>
  <c r="AZ21" i="4"/>
  <c r="AZ27" i="4"/>
  <c r="BA9" i="4"/>
  <c r="AZ25" i="4"/>
  <c r="AZ17" i="4"/>
  <c r="AZ16" i="4"/>
  <c r="AZ37" i="4"/>
  <c r="AZ23" i="4"/>
  <c r="AZ20" i="4"/>
  <c r="AZ33" i="4"/>
  <c r="AZ32" i="4"/>
  <c r="AZ35" i="4"/>
  <c r="AZ29" i="4"/>
  <c r="BA70" i="4"/>
  <c r="BB68" i="4"/>
  <c r="BC10" i="4"/>
  <c r="BF12" i="9" l="1"/>
  <c r="BE13" i="9"/>
  <c r="E61" i="6"/>
  <c r="D61" i="6"/>
  <c r="B61" i="6"/>
  <c r="C62" i="6"/>
  <c r="F61" i="6"/>
  <c r="K29" i="6"/>
  <c r="L29" i="6"/>
  <c r="G30" i="6" s="1"/>
  <c r="M29" i="6"/>
  <c r="BA8" i="4"/>
  <c r="BA21" i="4"/>
  <c r="BA20" i="4"/>
  <c r="BB9" i="4"/>
  <c r="BA17" i="4"/>
  <c r="BA16" i="4"/>
  <c r="BA25" i="4"/>
  <c r="BA35" i="4"/>
  <c r="BA23" i="4"/>
  <c r="BA32" i="4"/>
  <c r="BA33" i="4"/>
  <c r="BA27" i="4"/>
  <c r="BA37" i="4"/>
  <c r="BA29" i="4"/>
  <c r="BD10" i="4"/>
  <c r="BC68" i="4"/>
  <c r="BB70" i="4"/>
  <c r="AZ81" i="4"/>
  <c r="BG12" i="9" l="1"/>
  <c r="BF13" i="9"/>
  <c r="I30" i="6"/>
  <c r="E62" i="6"/>
  <c r="D62" i="6"/>
  <c r="B62" i="6"/>
  <c r="C63" i="6"/>
  <c r="F62" i="6"/>
  <c r="BC9" i="4"/>
  <c r="BB8" i="4"/>
  <c r="BB16" i="4"/>
  <c r="BB23" i="4"/>
  <c r="BB27" i="4"/>
  <c r="BB20" i="4"/>
  <c r="BB17" i="4"/>
  <c r="BB25" i="4"/>
  <c r="BB32" i="4"/>
  <c r="BB21" i="4"/>
  <c r="BB33" i="4"/>
  <c r="BB35" i="4"/>
  <c r="BB37" i="4"/>
  <c r="BB29" i="4"/>
  <c r="BA81" i="4"/>
  <c r="BD68" i="4"/>
  <c r="BC70" i="4"/>
  <c r="BE10" i="4"/>
  <c r="BH12" i="9" l="1"/>
  <c r="BG13" i="9"/>
  <c r="E63" i="6"/>
  <c r="D63" i="6"/>
  <c r="B63" i="6"/>
  <c r="F63" i="6"/>
  <c r="C64" i="6"/>
  <c r="H30" i="6"/>
  <c r="J30" i="6" s="1"/>
  <c r="BF10" i="4"/>
  <c r="BB81" i="4"/>
  <c r="BE68" i="4"/>
  <c r="BD70" i="4"/>
  <c r="BD9" i="4"/>
  <c r="BC8" i="4"/>
  <c r="BC16" i="4"/>
  <c r="BC23" i="4"/>
  <c r="BC21" i="4"/>
  <c r="BC20" i="4"/>
  <c r="BC25" i="4"/>
  <c r="BC32" i="4"/>
  <c r="BC33" i="4"/>
  <c r="BC27" i="4"/>
  <c r="BC17" i="4"/>
  <c r="BC35" i="4"/>
  <c r="BC37" i="4"/>
  <c r="BC29" i="4"/>
  <c r="BI12" i="9" l="1"/>
  <c r="BH13" i="9"/>
  <c r="E64" i="6"/>
  <c r="D64" i="6"/>
  <c r="F64" i="6" s="1"/>
  <c r="B64" i="6"/>
  <c r="C65" i="6"/>
  <c r="K30" i="6"/>
  <c r="M30" i="6" s="1"/>
  <c r="L30" i="6"/>
  <c r="G31" i="6" s="1"/>
  <c r="BE9" i="4"/>
  <c r="BD17" i="4"/>
  <c r="BD8" i="4"/>
  <c r="BD21" i="4"/>
  <c r="BD23" i="4"/>
  <c r="BD20" i="4"/>
  <c r="BD16" i="4"/>
  <c r="BD25" i="4"/>
  <c r="BD33" i="4"/>
  <c r="BD32" i="4"/>
  <c r="BD35" i="4"/>
  <c r="BD37" i="4"/>
  <c r="BD27" i="4"/>
  <c r="BD29" i="4"/>
  <c r="BE70" i="4"/>
  <c r="BF68" i="4"/>
  <c r="BC81" i="4"/>
  <c r="BG10" i="4"/>
  <c r="BI13" i="9" l="1"/>
  <c r="BJ12" i="9"/>
  <c r="I31" i="6"/>
  <c r="E65" i="6"/>
  <c r="D65" i="6"/>
  <c r="C66" i="6"/>
  <c r="F65" i="6"/>
  <c r="B65" i="6"/>
  <c r="BH10" i="4"/>
  <c r="BD81" i="4"/>
  <c r="BF70" i="4"/>
  <c r="BG68" i="4"/>
  <c r="BF9" i="4"/>
  <c r="BE25" i="4"/>
  <c r="BE17" i="4"/>
  <c r="BE8" i="4"/>
  <c r="BE16" i="4"/>
  <c r="BE23" i="4"/>
  <c r="BE21" i="4"/>
  <c r="BE27" i="4"/>
  <c r="BE33" i="4"/>
  <c r="BE35" i="4"/>
  <c r="BE20" i="4"/>
  <c r="BE37" i="4"/>
  <c r="BE32" i="4"/>
  <c r="BE29" i="4"/>
  <c r="BK12" i="9" l="1"/>
  <c r="BJ13" i="9"/>
  <c r="E66" i="6"/>
  <c r="B66" i="6"/>
  <c r="C67" i="6"/>
  <c r="D66" i="6"/>
  <c r="F66" i="6" s="1"/>
  <c r="H31" i="6"/>
  <c r="J31" i="6" s="1"/>
  <c r="BF20" i="4"/>
  <c r="BG9" i="4"/>
  <c r="BF25" i="4"/>
  <c r="BF8" i="4"/>
  <c r="BF16" i="4"/>
  <c r="BF23" i="4"/>
  <c r="BF21" i="4"/>
  <c r="BF17" i="4"/>
  <c r="BF37" i="4"/>
  <c r="BF32" i="4"/>
  <c r="BF27" i="4"/>
  <c r="BF33" i="4"/>
  <c r="BF35" i="4"/>
  <c r="BF29" i="4"/>
  <c r="BG70" i="4"/>
  <c r="BH68" i="4"/>
  <c r="BE81" i="4"/>
  <c r="BI10" i="4"/>
  <c r="BK13" i="9" l="1"/>
  <c r="BL12" i="9"/>
  <c r="E67" i="6"/>
  <c r="B67" i="6"/>
  <c r="C68" i="6"/>
  <c r="D67" i="6"/>
  <c r="F67" i="6" s="1"/>
  <c r="K31" i="6"/>
  <c r="M31" i="6" s="1"/>
  <c r="BG8" i="4"/>
  <c r="BG27" i="4"/>
  <c r="BG20" i="4"/>
  <c r="BH9" i="4"/>
  <c r="BG17" i="4"/>
  <c r="BG35" i="4"/>
  <c r="BG16" i="4"/>
  <c r="BG21" i="4"/>
  <c r="BG37" i="4"/>
  <c r="BG32" i="4"/>
  <c r="BG23" i="4"/>
  <c r="BG25" i="4"/>
  <c r="BG33" i="4"/>
  <c r="BG29" i="4"/>
  <c r="BH70" i="4"/>
  <c r="BI68" i="4"/>
  <c r="BF81" i="4"/>
  <c r="BJ10" i="4"/>
  <c r="BM12" i="9" l="1"/>
  <c r="BL13" i="9"/>
  <c r="L31" i="6"/>
  <c r="G32" i="6" s="1"/>
  <c r="E68" i="6"/>
  <c r="C69" i="6"/>
  <c r="D68" i="6"/>
  <c r="F68" i="6" s="1"/>
  <c r="B68" i="6"/>
  <c r="BG81" i="4"/>
  <c r="BK10" i="4"/>
  <c r="BH8" i="4"/>
  <c r="BH21" i="4"/>
  <c r="BH27" i="4"/>
  <c r="BI9" i="4"/>
  <c r="BH25" i="4"/>
  <c r="BH17" i="4"/>
  <c r="BH37" i="4"/>
  <c r="BH20" i="4"/>
  <c r="BH32" i="4"/>
  <c r="BH33" i="4"/>
  <c r="BH16" i="4"/>
  <c r="BH23" i="4"/>
  <c r="BH35" i="4"/>
  <c r="BH29" i="4"/>
  <c r="BI70" i="4"/>
  <c r="BJ68" i="4"/>
  <c r="BN12" i="9" l="1"/>
  <c r="BM13" i="9"/>
  <c r="E69" i="6"/>
  <c r="C70" i="6"/>
  <c r="D69" i="6"/>
  <c r="F69" i="6" s="1"/>
  <c r="B69" i="6"/>
  <c r="I32" i="6"/>
  <c r="BL10" i="4"/>
  <c r="BI8" i="4"/>
  <c r="BI21" i="4"/>
  <c r="BI20" i="4"/>
  <c r="BJ9" i="4"/>
  <c r="BI17" i="4"/>
  <c r="BI35" i="4"/>
  <c r="BI37" i="4"/>
  <c r="BI16" i="4"/>
  <c r="BI23" i="4"/>
  <c r="BI33" i="4"/>
  <c r="BI27" i="4"/>
  <c r="BI25" i="4"/>
  <c r="BI32" i="4"/>
  <c r="BI29" i="4"/>
  <c r="BH81" i="4"/>
  <c r="BK68" i="4"/>
  <c r="BJ70" i="4"/>
  <c r="BO12" i="9" l="1"/>
  <c r="BN13" i="9"/>
  <c r="H32" i="6"/>
  <c r="J32" i="6" s="1"/>
  <c r="E70" i="6"/>
  <c r="C71" i="6"/>
  <c r="B70" i="6"/>
  <c r="D70" i="6"/>
  <c r="F70" i="6" s="1"/>
  <c r="BK9" i="4"/>
  <c r="BJ8" i="4"/>
  <c r="BJ16" i="4"/>
  <c r="BJ23" i="4"/>
  <c r="BJ27" i="4"/>
  <c r="BJ20" i="4"/>
  <c r="BJ17" i="4"/>
  <c r="BJ37" i="4"/>
  <c r="BJ21" i="4"/>
  <c r="BJ33" i="4"/>
  <c r="BJ35" i="4"/>
  <c r="BJ25" i="4"/>
  <c r="BJ32" i="4"/>
  <c r="BJ29" i="4"/>
  <c r="BK70" i="4"/>
  <c r="BL68" i="4"/>
  <c r="BI81" i="4"/>
  <c r="BM10" i="4"/>
  <c r="BP12" i="9" l="1"/>
  <c r="BO13" i="9"/>
  <c r="E71" i="6"/>
  <c r="D71" i="6"/>
  <c r="C72" i="6"/>
  <c r="B71" i="6"/>
  <c r="F71" i="6"/>
  <c r="K32" i="6"/>
  <c r="M32" i="6" s="1"/>
  <c r="L32" i="6"/>
  <c r="G33" i="6" s="1"/>
  <c r="BL9" i="4"/>
  <c r="BK8" i="4"/>
  <c r="BK16" i="4"/>
  <c r="BK23" i="4"/>
  <c r="BK21" i="4"/>
  <c r="BK32" i="4"/>
  <c r="BK17" i="4"/>
  <c r="BK27" i="4"/>
  <c r="BK25" i="4"/>
  <c r="BK20" i="4"/>
  <c r="BK33" i="4"/>
  <c r="BK35" i="4"/>
  <c r="BK37" i="4"/>
  <c r="BK29" i="4"/>
  <c r="BL70" i="4"/>
  <c r="BM68" i="4"/>
  <c r="BN10" i="4"/>
  <c r="BJ81" i="4"/>
  <c r="BP13" i="9" l="1"/>
  <c r="BQ12" i="9"/>
  <c r="I33" i="6"/>
  <c r="E72" i="6"/>
  <c r="B72" i="6"/>
  <c r="C73" i="6"/>
  <c r="D72" i="6"/>
  <c r="F72" i="6" s="1"/>
  <c r="BN68" i="4"/>
  <c r="BM70" i="4"/>
  <c r="BM9" i="4"/>
  <c r="BL17" i="4"/>
  <c r="BL8" i="4"/>
  <c r="BL21" i="4"/>
  <c r="BL32" i="4"/>
  <c r="BL33" i="4"/>
  <c r="BL25" i="4"/>
  <c r="BL35" i="4"/>
  <c r="BL27" i="4"/>
  <c r="BL20" i="4"/>
  <c r="BL37" i="4"/>
  <c r="BL23" i="4"/>
  <c r="BL16" i="4"/>
  <c r="BL29" i="4"/>
  <c r="BK81" i="4"/>
  <c r="BO10" i="4"/>
  <c r="BQ13" i="9" l="1"/>
  <c r="BR12" i="9"/>
  <c r="C74" i="6"/>
  <c r="E73" i="6"/>
  <c r="B73" i="6"/>
  <c r="D73" i="6"/>
  <c r="F73" i="6" s="1"/>
  <c r="H33" i="6"/>
  <c r="J33" i="6" s="1"/>
  <c r="BN9" i="4"/>
  <c r="BM25" i="4"/>
  <c r="BM17" i="4"/>
  <c r="BM8" i="4"/>
  <c r="BM16" i="4"/>
  <c r="BM23" i="4"/>
  <c r="BM33" i="4"/>
  <c r="BM27" i="4"/>
  <c r="BM35" i="4"/>
  <c r="BM20" i="4"/>
  <c r="BM21" i="4"/>
  <c r="BM32" i="4"/>
  <c r="BM37" i="4"/>
  <c r="BM29" i="4"/>
  <c r="BO68" i="4"/>
  <c r="BN70" i="4"/>
  <c r="BL81" i="4"/>
  <c r="BP10" i="4"/>
  <c r="BS12" i="9" l="1"/>
  <c r="BR13" i="9"/>
  <c r="K33" i="6"/>
  <c r="M33" i="6" s="1"/>
  <c r="E74" i="6"/>
  <c r="B74" i="6"/>
  <c r="C75" i="6"/>
  <c r="D74" i="6"/>
  <c r="F74" i="6" s="1"/>
  <c r="BQ10" i="4"/>
  <c r="BP68" i="4"/>
  <c r="BO70" i="4"/>
  <c r="BM81" i="4"/>
  <c r="BN20" i="4"/>
  <c r="BO9" i="4"/>
  <c r="BN25" i="4"/>
  <c r="BN8" i="4"/>
  <c r="BN16" i="4"/>
  <c r="BN23" i="4"/>
  <c r="BN35" i="4"/>
  <c r="BN27" i="4"/>
  <c r="BN32" i="4"/>
  <c r="BN21" i="4"/>
  <c r="BN33" i="4"/>
  <c r="BN17" i="4"/>
  <c r="BN37" i="4"/>
  <c r="BN29" i="4"/>
  <c r="BT12" i="9" l="1"/>
  <c r="BS13" i="9"/>
  <c r="C76" i="6"/>
  <c r="D75" i="6"/>
  <c r="B75" i="6"/>
  <c r="F75" i="6"/>
  <c r="E75" i="6"/>
  <c r="L33" i="6"/>
  <c r="G34" i="6" s="1"/>
  <c r="BN81" i="4"/>
  <c r="BR10" i="4"/>
  <c r="BP70" i="4"/>
  <c r="BQ68" i="4"/>
  <c r="BO8" i="4"/>
  <c r="BO27" i="4"/>
  <c r="BO20" i="4"/>
  <c r="BP9" i="4"/>
  <c r="BO17" i="4"/>
  <c r="BO35" i="4"/>
  <c r="BO23" i="4"/>
  <c r="BO37" i="4"/>
  <c r="BO16" i="4"/>
  <c r="BO21" i="4"/>
  <c r="BO33" i="4"/>
  <c r="BO25" i="4"/>
  <c r="BO32" i="4"/>
  <c r="BO29" i="4"/>
  <c r="BU12" i="9" l="1"/>
  <c r="BT13" i="9"/>
  <c r="I34" i="6"/>
  <c r="D76" i="6"/>
  <c r="F76" i="6" s="1"/>
  <c r="C77" i="6"/>
  <c r="E76" i="6"/>
  <c r="B76" i="6"/>
  <c r="BO81" i="4"/>
  <c r="BQ70" i="4"/>
  <c r="BR68" i="4"/>
  <c r="BR70" i="4" s="1"/>
  <c r="BP8" i="4"/>
  <c r="BP21" i="4"/>
  <c r="BP27" i="4"/>
  <c r="BQ9" i="4"/>
  <c r="BP25" i="4"/>
  <c r="BP17" i="4"/>
  <c r="BP16" i="4"/>
  <c r="BP37" i="4"/>
  <c r="BP20" i="4"/>
  <c r="BP33" i="4"/>
  <c r="BP32" i="4"/>
  <c r="BP35" i="4"/>
  <c r="BP23" i="4"/>
  <c r="BP29" i="4"/>
  <c r="BV12" i="9" l="1"/>
  <c r="BU13" i="9"/>
  <c r="C78" i="6"/>
  <c r="E77" i="6"/>
  <c r="D77" i="6"/>
  <c r="F77" i="6" s="1"/>
  <c r="B77" i="6"/>
  <c r="H34" i="6"/>
  <c r="J34" i="6" s="1"/>
  <c r="BP81" i="4"/>
  <c r="BQ8" i="4"/>
  <c r="BQ21" i="4"/>
  <c r="BQ20" i="4"/>
  <c r="BR9" i="4"/>
  <c r="BQ17" i="4"/>
  <c r="BQ25" i="4"/>
  <c r="BQ16" i="4"/>
  <c r="BQ32" i="4"/>
  <c r="BQ27" i="4"/>
  <c r="BQ23" i="4"/>
  <c r="BQ33" i="4"/>
  <c r="BQ37" i="4"/>
  <c r="BQ35" i="4"/>
  <c r="BQ29" i="4"/>
  <c r="BW12" i="9" l="1"/>
  <c r="BV13" i="9"/>
  <c r="E78" i="6"/>
  <c r="B78" i="6"/>
  <c r="D78" i="6"/>
  <c r="C79" i="6"/>
  <c r="F78" i="6"/>
  <c r="K34" i="6"/>
  <c r="M34" i="6" s="1"/>
  <c r="L34" i="6"/>
  <c r="G35" i="6" s="1"/>
  <c r="BR8" i="4"/>
  <c r="BR16" i="4"/>
  <c r="BR23" i="4"/>
  <c r="BR27" i="4"/>
  <c r="I27" i="4" s="1"/>
  <c r="BR20" i="4"/>
  <c r="I20" i="4" s="1"/>
  <c r="BR17" i="4"/>
  <c r="I17" i="4" s="1"/>
  <c r="BR25" i="4"/>
  <c r="I25" i="4" s="1"/>
  <c r="BR32" i="4"/>
  <c r="I32" i="4" s="1"/>
  <c r="BR33" i="4"/>
  <c r="I33" i="4" s="1"/>
  <c r="BR21" i="4"/>
  <c r="I21" i="4" s="1"/>
  <c r="BR35" i="4"/>
  <c r="I35" i="4" s="1"/>
  <c r="BR37" i="4"/>
  <c r="I37" i="4" s="1"/>
  <c r="BR29" i="4"/>
  <c r="I29" i="4" s="1"/>
  <c r="BQ81" i="4"/>
  <c r="BW13" i="9" l="1"/>
  <c r="BX12" i="9"/>
  <c r="I35" i="6"/>
  <c r="C80" i="6"/>
  <c r="B79" i="6"/>
  <c r="D79" i="6"/>
  <c r="F79" i="6" s="1"/>
  <c r="E79" i="6"/>
  <c r="I23" i="4"/>
  <c r="C87" i="4"/>
  <c r="BR81" i="4"/>
  <c r="I16" i="4"/>
  <c r="BY12" i="9" l="1"/>
  <c r="BX13" i="9"/>
  <c r="F80" i="6"/>
  <c r="C81" i="6"/>
  <c r="D80" i="6"/>
  <c r="B80" i="6"/>
  <c r="E80" i="6"/>
  <c r="H35" i="6"/>
  <c r="J35" i="6" s="1"/>
  <c r="C82" i="4"/>
  <c r="C81" i="4"/>
  <c r="C83" i="4"/>
  <c r="BY13" i="9" l="1"/>
  <c r="BZ12" i="9"/>
  <c r="K35" i="6"/>
  <c r="M35" i="6" s="1"/>
  <c r="C82" i="6"/>
  <c r="E81" i="6"/>
  <c r="D81" i="6"/>
  <c r="B81" i="6"/>
  <c r="F81" i="6"/>
  <c r="BZ13" i="9" l="1"/>
  <c r="CA12" i="9"/>
  <c r="B82" i="6"/>
  <c r="E82" i="6"/>
  <c r="D82" i="6"/>
  <c r="F82" i="6" s="1"/>
  <c r="C83" i="6"/>
  <c r="L35" i="6"/>
  <c r="G36" i="6" s="1"/>
  <c r="CA13" i="9" l="1"/>
  <c r="CB12" i="9"/>
  <c r="I36" i="6"/>
  <c r="C84" i="6"/>
  <c r="D83" i="6"/>
  <c r="F83" i="6" s="1"/>
  <c r="B83" i="6"/>
  <c r="E83" i="6"/>
  <c r="CB13" i="9" l="1"/>
  <c r="CC12" i="9"/>
  <c r="H36" i="6"/>
  <c r="J36" i="6" s="1"/>
  <c r="C85" i="6"/>
  <c r="D84" i="6"/>
  <c r="F84" i="6" s="1"/>
  <c r="E84" i="6"/>
  <c r="B84" i="6"/>
  <c r="CD12" i="9" l="1"/>
  <c r="CC13" i="9"/>
  <c r="C86" i="6"/>
  <c r="E85" i="6"/>
  <c r="D85" i="6"/>
  <c r="F85" i="6"/>
  <c r="B85" i="6"/>
  <c r="K36" i="6"/>
  <c r="L36" i="6"/>
  <c r="G37" i="6" s="1"/>
  <c r="M36" i="6"/>
  <c r="CD13" i="9" l="1"/>
  <c r="CE12" i="9"/>
  <c r="C87" i="6"/>
  <c r="E86" i="6"/>
  <c r="B86" i="6"/>
  <c r="D86" i="6"/>
  <c r="F86" i="6" s="1"/>
  <c r="I37" i="6"/>
  <c r="CF12" i="9" l="1"/>
  <c r="CE13" i="9"/>
  <c r="H37" i="6"/>
  <c r="J37" i="6" s="1"/>
  <c r="E87" i="6"/>
  <c r="D87" i="6"/>
  <c r="C88" i="6"/>
  <c r="B87" i="6"/>
  <c r="F87" i="6"/>
  <c r="CF13" i="9" l="1"/>
  <c r="CG12" i="9"/>
  <c r="C89" i="6"/>
  <c r="E88" i="6"/>
  <c r="D88" i="6"/>
  <c r="F88" i="6" s="1"/>
  <c r="B88" i="6"/>
  <c r="K37" i="6"/>
  <c r="L37" i="6" s="1"/>
  <c r="G38" i="6" s="1"/>
  <c r="M37" i="6"/>
  <c r="CG13" i="9" l="1"/>
  <c r="CH12" i="9"/>
  <c r="I38" i="6"/>
  <c r="E89" i="6"/>
  <c r="D89" i="6"/>
  <c r="C90" i="6"/>
  <c r="F89" i="6"/>
  <c r="B89" i="6"/>
  <c r="CI12" i="9" l="1"/>
  <c r="CH13" i="9"/>
  <c r="C91" i="6"/>
  <c r="D90" i="6"/>
  <c r="F90" i="6"/>
  <c r="B90" i="6"/>
  <c r="E90" i="6"/>
  <c r="H38" i="6"/>
  <c r="J38" i="6" s="1"/>
  <c r="CJ12" i="9" l="1"/>
  <c r="CI13" i="9"/>
  <c r="K38" i="6"/>
  <c r="L38" i="6" s="1"/>
  <c r="G39" i="6" s="1"/>
  <c r="E91" i="6"/>
  <c r="B91" i="6"/>
  <c r="C92" i="6"/>
  <c r="D91" i="6"/>
  <c r="F91" i="6" s="1"/>
  <c r="M38" i="6"/>
  <c r="CJ13" i="9" l="1"/>
  <c r="CK12" i="9"/>
  <c r="C93" i="6"/>
  <c r="B92" i="6"/>
  <c r="E92" i="6"/>
  <c r="D92" i="6"/>
  <c r="F92" i="6" s="1"/>
  <c r="I39" i="6"/>
  <c r="CL12" i="9" l="1"/>
  <c r="CK13" i="9"/>
  <c r="H39" i="6"/>
  <c r="J39" i="6" s="1"/>
  <c r="E93" i="6"/>
  <c r="D93" i="6"/>
  <c r="F93" i="6" s="1"/>
  <c r="C94" i="6"/>
  <c r="B93" i="6"/>
  <c r="CL13" i="9" l="1"/>
  <c r="CM12" i="9"/>
  <c r="F94" i="6"/>
  <c r="C95" i="6"/>
  <c r="D94" i="6"/>
  <c r="E94" i="6"/>
  <c r="B94" i="6"/>
  <c r="K39" i="6"/>
  <c r="M39" i="6" s="1"/>
  <c r="L39" i="6"/>
  <c r="G40" i="6" s="1"/>
  <c r="CM13" i="9" l="1"/>
  <c r="CN12" i="9"/>
  <c r="I40" i="6"/>
  <c r="E95" i="6"/>
  <c r="D95" i="6"/>
  <c r="B95" i="6"/>
  <c r="C96" i="6"/>
  <c r="F95" i="6"/>
  <c r="CO12" i="9" l="1"/>
  <c r="CN13" i="9"/>
  <c r="B96" i="6"/>
  <c r="C97" i="6"/>
  <c r="E96" i="6"/>
  <c r="D96" i="6"/>
  <c r="F96" i="6"/>
  <c r="H40" i="6"/>
  <c r="J40" i="6" s="1"/>
  <c r="CO13" i="9" l="1"/>
  <c r="CP12" i="9"/>
  <c r="K40" i="6"/>
  <c r="L40" i="6"/>
  <c r="G41" i="6" s="1"/>
  <c r="M40" i="6"/>
  <c r="E97" i="6"/>
  <c r="C98" i="6"/>
  <c r="B97" i="6"/>
  <c r="D97" i="6"/>
  <c r="F97" i="6" s="1"/>
  <c r="CQ12" i="9" l="1"/>
  <c r="CP13" i="9"/>
  <c r="B98" i="6"/>
  <c r="C99" i="6"/>
  <c r="D98" i="6"/>
  <c r="F98" i="6" s="1"/>
  <c r="E98" i="6"/>
  <c r="I41" i="6"/>
  <c r="CQ13" i="9" l="1"/>
  <c r="CR12" i="9"/>
  <c r="H41" i="6"/>
  <c r="J41" i="6" s="1"/>
  <c r="E99" i="6"/>
  <c r="C100" i="6"/>
  <c r="B99" i="6"/>
  <c r="D99" i="6"/>
  <c r="F99" i="6" s="1"/>
  <c r="CS12" i="9" l="1"/>
  <c r="CR13" i="9"/>
  <c r="B100" i="6"/>
  <c r="C101" i="6"/>
  <c r="D100" i="6"/>
  <c r="E100" i="6"/>
  <c r="F100" i="6"/>
  <c r="K41" i="6"/>
  <c r="M41" i="6" s="1"/>
  <c r="L41" i="6"/>
  <c r="G42" i="6" s="1"/>
  <c r="CT12" i="9" l="1"/>
  <c r="CS13" i="9"/>
  <c r="I42" i="6"/>
  <c r="E101" i="6"/>
  <c r="B101" i="6"/>
  <c r="D101" i="6"/>
  <c r="F101" i="6" s="1"/>
  <c r="C102" i="6"/>
  <c r="CT13" i="9" l="1"/>
  <c r="CU12" i="9"/>
  <c r="B102" i="6"/>
  <c r="C103" i="6"/>
  <c r="D102" i="6"/>
  <c r="E102" i="6"/>
  <c r="F102" i="6"/>
  <c r="H42" i="6"/>
  <c r="J42" i="6" s="1"/>
  <c r="CV12" i="9" l="1"/>
  <c r="CU13" i="9"/>
  <c r="K42" i="6"/>
  <c r="L42" i="6" s="1"/>
  <c r="G43" i="6" s="1"/>
  <c r="M42" i="6"/>
  <c r="E103" i="6"/>
  <c r="D103" i="6"/>
  <c r="F103" i="6" s="1"/>
  <c r="C104" i="6"/>
  <c r="B103" i="6"/>
  <c r="CW12" i="9" l="1"/>
  <c r="CV13" i="9"/>
  <c r="I43" i="6"/>
  <c r="B104" i="6"/>
  <c r="C105" i="6"/>
  <c r="E104" i="6"/>
  <c r="D104" i="6"/>
  <c r="F104" i="6" s="1"/>
  <c r="CW13" i="9" l="1"/>
  <c r="CX12" i="9"/>
  <c r="E105" i="6"/>
  <c r="B105" i="6"/>
  <c r="D105" i="6"/>
  <c r="F105" i="6" s="1"/>
  <c r="C106" i="6"/>
  <c r="H43" i="6"/>
  <c r="J43" i="6" s="1"/>
  <c r="CX13" i="9" l="1"/>
  <c r="CY12" i="9"/>
  <c r="K43" i="6"/>
  <c r="L43" i="6" s="1"/>
  <c r="G44" i="6" s="1"/>
  <c r="M43" i="6"/>
  <c r="B106" i="6"/>
  <c r="C107" i="6"/>
  <c r="D106" i="6"/>
  <c r="F106" i="6" s="1"/>
  <c r="E106" i="6"/>
  <c r="CY13" i="9" l="1"/>
  <c r="CZ12" i="9"/>
  <c r="I44" i="6"/>
  <c r="E107" i="6"/>
  <c r="D107" i="6"/>
  <c r="F107" i="6" s="1"/>
  <c r="B107" i="6"/>
  <c r="C108" i="6"/>
  <c r="DA12" i="9" l="1"/>
  <c r="CZ13" i="9"/>
  <c r="B108" i="6"/>
  <c r="C109" i="6"/>
  <c r="E108" i="6"/>
  <c r="D108" i="6"/>
  <c r="F108" i="6"/>
  <c r="H44" i="6"/>
  <c r="J44" i="6" s="1"/>
  <c r="DB12" i="9" l="1"/>
  <c r="DA13" i="9"/>
  <c r="K44" i="6"/>
  <c r="M44" i="6" s="1"/>
  <c r="E109" i="6"/>
  <c r="C110" i="6"/>
  <c r="D109" i="6"/>
  <c r="F109" i="6" s="1"/>
  <c r="B109" i="6"/>
  <c r="DB13" i="9" l="1"/>
  <c r="DC12" i="9"/>
  <c r="B110" i="6"/>
  <c r="C111" i="6"/>
  <c r="E110" i="6"/>
  <c r="D110" i="6"/>
  <c r="F110" i="6" s="1"/>
  <c r="L44" i="6"/>
  <c r="G45" i="6" s="1"/>
  <c r="DD12" i="9" l="1"/>
  <c r="DC13" i="9"/>
  <c r="I45" i="6"/>
  <c r="E111" i="6"/>
  <c r="C112" i="6"/>
  <c r="B111" i="6"/>
  <c r="D111" i="6"/>
  <c r="F111" i="6" s="1"/>
  <c r="DE12" i="9" l="1"/>
  <c r="DD13" i="9"/>
  <c r="B112" i="6"/>
  <c r="C113" i="6"/>
  <c r="D112" i="6"/>
  <c r="E112" i="6"/>
  <c r="F112" i="6"/>
  <c r="H45" i="6"/>
  <c r="J45" i="6" s="1"/>
  <c r="DE13" i="9" l="1"/>
  <c r="DF12" i="9"/>
  <c r="K45" i="6"/>
  <c r="L45" i="6"/>
  <c r="G46" i="6" s="1"/>
  <c r="M45" i="6"/>
  <c r="E113" i="6"/>
  <c r="C114" i="6"/>
  <c r="D113" i="6"/>
  <c r="F113" i="6" s="1"/>
  <c r="B113" i="6"/>
  <c r="DG12" i="9" l="1"/>
  <c r="DF13" i="9"/>
  <c r="B114" i="6"/>
  <c r="C115" i="6"/>
  <c r="D114" i="6"/>
  <c r="E114" i="6"/>
  <c r="F114" i="6"/>
  <c r="I46" i="6"/>
  <c r="DG13" i="9" l="1"/>
  <c r="DH12" i="9"/>
  <c r="H46" i="6"/>
  <c r="J46" i="6" s="1"/>
  <c r="E115" i="6"/>
  <c r="C116" i="6"/>
  <c r="B115" i="6"/>
  <c r="D115" i="6"/>
  <c r="F115" i="6" s="1"/>
  <c r="DI12" i="9" l="1"/>
  <c r="DH13" i="9"/>
  <c r="B116" i="6"/>
  <c r="C117" i="6"/>
  <c r="D116" i="6"/>
  <c r="E116" i="6"/>
  <c r="F116" i="6"/>
  <c r="K46" i="6"/>
  <c r="M46" i="6" s="1"/>
  <c r="L46" i="6"/>
  <c r="G47" i="6" s="1"/>
  <c r="DJ12" i="9" l="1"/>
  <c r="DI13" i="9"/>
  <c r="I47" i="6"/>
  <c r="E117" i="6"/>
  <c r="B117" i="6"/>
  <c r="D117" i="6"/>
  <c r="F117" i="6" s="1"/>
  <c r="C118" i="6"/>
  <c r="DJ13" i="9" l="1"/>
  <c r="DK12" i="9"/>
  <c r="B118" i="6"/>
  <c r="C119" i="6"/>
  <c r="D118" i="6"/>
  <c r="E118" i="6"/>
  <c r="F118" i="6"/>
  <c r="H47" i="6"/>
  <c r="J47" i="6" s="1"/>
  <c r="DL12" i="9" l="1"/>
  <c r="DK13" i="9"/>
  <c r="K47" i="6"/>
  <c r="L47" i="6"/>
  <c r="G48" i="6" s="1"/>
  <c r="M47" i="6"/>
  <c r="E119" i="6"/>
  <c r="D119" i="6"/>
  <c r="F119" i="6" s="1"/>
  <c r="C120" i="6"/>
  <c r="B119" i="6"/>
  <c r="DM12" i="9" l="1"/>
  <c r="DL13" i="9"/>
  <c r="B120" i="6"/>
  <c r="C121" i="6"/>
  <c r="E120" i="6"/>
  <c r="D120" i="6"/>
  <c r="F120" i="6" s="1"/>
  <c r="I48" i="6"/>
  <c r="DM13" i="9" l="1"/>
  <c r="DN12" i="9"/>
  <c r="H48" i="6"/>
  <c r="J48" i="6" s="1"/>
  <c r="E121" i="6"/>
  <c r="B121" i="6"/>
  <c r="D121" i="6"/>
  <c r="F121" i="6" s="1"/>
  <c r="C122" i="6"/>
  <c r="DN13" i="9" l="1"/>
  <c r="DO12" i="9"/>
  <c r="B122" i="6"/>
  <c r="C123" i="6"/>
  <c r="D122" i="6"/>
  <c r="F122" i="6" s="1"/>
  <c r="E122" i="6"/>
  <c r="K48" i="6"/>
  <c r="L48" i="6" s="1"/>
  <c r="G49" i="6" s="1"/>
  <c r="M48" i="6"/>
  <c r="DP12" i="9" l="1"/>
  <c r="DO13" i="9"/>
  <c r="I49" i="6"/>
  <c r="E123" i="6"/>
  <c r="D123" i="6"/>
  <c r="F123" i="6" s="1"/>
  <c r="C124" i="6"/>
  <c r="B123" i="6"/>
  <c r="DP13" i="9" l="1"/>
  <c r="DQ12" i="9"/>
  <c r="B124" i="6"/>
  <c r="C125" i="6"/>
  <c r="E124" i="6"/>
  <c r="D124" i="6"/>
  <c r="F124" i="6"/>
  <c r="H49" i="6"/>
  <c r="J49" i="6" s="1"/>
  <c r="DR12" i="9" l="1"/>
  <c r="DQ13" i="9"/>
  <c r="K49" i="6"/>
  <c r="L49" i="6" s="1"/>
  <c r="G50" i="6" s="1"/>
  <c r="E125" i="6"/>
  <c r="C126" i="6"/>
  <c r="D125" i="6"/>
  <c r="F125" i="6" s="1"/>
  <c r="B125" i="6"/>
  <c r="DS12" i="9" l="1"/>
  <c r="DR13" i="9"/>
  <c r="I50" i="6"/>
  <c r="B126" i="6"/>
  <c r="C127" i="6"/>
  <c r="E126" i="6"/>
  <c r="D126" i="6"/>
  <c r="F126" i="6" s="1"/>
  <c r="M49" i="6"/>
  <c r="DT12" i="9" l="1"/>
  <c r="DS13" i="9"/>
  <c r="E16" i="9" s="1" a="1"/>
  <c r="E16" i="9" s="1"/>
  <c r="E127" i="6"/>
  <c r="B127" i="6"/>
  <c r="D127" i="6"/>
  <c r="F127" i="6" s="1"/>
  <c r="C128" i="6"/>
  <c r="H50" i="6"/>
  <c r="J50" i="6" s="1"/>
  <c r="DT13" i="9" l="1"/>
  <c r="DU12" i="9"/>
  <c r="K50" i="6"/>
  <c r="L50" i="6" s="1"/>
  <c r="G51" i="6" s="1"/>
  <c r="M50" i="6"/>
  <c r="B128" i="6"/>
  <c r="C129" i="6"/>
  <c r="E128" i="6"/>
  <c r="D128" i="6"/>
  <c r="F128" i="6" s="1"/>
  <c r="DU13" i="9" l="1"/>
  <c r="DV12" i="9"/>
  <c r="I51" i="6"/>
  <c r="E129" i="6"/>
  <c r="C130" i="6"/>
  <c r="D129" i="6"/>
  <c r="F129" i="6" s="1"/>
  <c r="B129" i="6"/>
  <c r="DV13" i="9" l="1"/>
  <c r="DW12" i="9"/>
  <c r="B130" i="6"/>
  <c r="C131" i="6"/>
  <c r="E130" i="6"/>
  <c r="D130" i="6"/>
  <c r="F130" i="6" s="1"/>
  <c r="H51" i="6"/>
  <c r="J51" i="6" s="1"/>
  <c r="DX12" i="9" l="1"/>
  <c r="DW13" i="9"/>
  <c r="K51" i="6"/>
  <c r="L51" i="6" s="1"/>
  <c r="G52" i="6" s="1"/>
  <c r="M51" i="6"/>
  <c r="E131" i="6"/>
  <c r="C132" i="6"/>
  <c r="B131" i="6"/>
  <c r="D131" i="6"/>
  <c r="F131" i="6" s="1"/>
  <c r="DY12" i="9" l="1"/>
  <c r="DX13" i="9"/>
  <c r="I52" i="6"/>
  <c r="B132" i="6"/>
  <c r="D132" i="6"/>
  <c r="E132" i="6"/>
  <c r="F132" i="6"/>
  <c r="C133" i="6"/>
  <c r="DZ12" i="9" l="1"/>
  <c r="DY13" i="9"/>
  <c r="E133" i="6"/>
  <c r="B133" i="6"/>
  <c r="C134" i="6"/>
  <c r="D133" i="6"/>
  <c r="F133" i="6" s="1"/>
  <c r="H52" i="6"/>
  <c r="J52" i="6" s="1"/>
  <c r="EA12" i="9" l="1"/>
  <c r="DZ13" i="9"/>
  <c r="K52" i="6"/>
  <c r="L52" i="6"/>
  <c r="G53" i="6" s="1"/>
  <c r="M52" i="6"/>
  <c r="B134" i="6"/>
  <c r="D134" i="6"/>
  <c r="E134" i="6"/>
  <c r="F134" i="6"/>
  <c r="C135" i="6"/>
  <c r="EB12" i="9" l="1"/>
  <c r="EA13" i="9"/>
  <c r="E135" i="6"/>
  <c r="D135" i="6"/>
  <c r="F135" i="6" s="1"/>
  <c r="B135" i="6"/>
  <c r="C136" i="6"/>
  <c r="I53" i="6"/>
  <c r="EC12" i="9" l="1"/>
  <c r="EB13" i="9"/>
  <c r="H53" i="6"/>
  <c r="J53" i="6" s="1"/>
  <c r="B136" i="6"/>
  <c r="E136" i="6"/>
  <c r="C137" i="6"/>
  <c r="D136" i="6"/>
  <c r="F136" i="6" s="1"/>
  <c r="EC13" i="9" l="1"/>
  <c r="ED12" i="9"/>
  <c r="E137" i="6"/>
  <c r="C138" i="6"/>
  <c r="B137" i="6"/>
  <c r="D137" i="6"/>
  <c r="F137" i="6" s="1"/>
  <c r="K53" i="6"/>
  <c r="M53" i="6" s="1"/>
  <c r="L53" i="6"/>
  <c r="G54" i="6" s="1"/>
  <c r="EE12" i="9" l="1"/>
  <c r="ED13" i="9"/>
  <c r="I54" i="6"/>
  <c r="B138" i="6"/>
  <c r="E138" i="6"/>
  <c r="C139" i="6"/>
  <c r="D138" i="6"/>
  <c r="F138" i="6" s="1"/>
  <c r="EF12" i="9" l="1"/>
  <c r="EE13" i="9"/>
  <c r="E139" i="6"/>
  <c r="C140" i="6"/>
  <c r="D139" i="6"/>
  <c r="F139" i="6" s="1"/>
  <c r="B139" i="6"/>
  <c r="H54" i="6"/>
  <c r="J54" i="6" s="1"/>
  <c r="EF13" i="9" l="1"/>
  <c r="EG12" i="9"/>
  <c r="K54" i="6"/>
  <c r="L54" i="6" s="1"/>
  <c r="G55" i="6" s="1"/>
  <c r="M54" i="6"/>
  <c r="B140" i="6"/>
  <c r="D140" i="6"/>
  <c r="C141" i="6"/>
  <c r="F140" i="6"/>
  <c r="E140" i="6"/>
  <c r="EH12" i="9" l="1"/>
  <c r="EG13" i="9"/>
  <c r="I55" i="6"/>
  <c r="E141" i="6"/>
  <c r="B141" i="6"/>
  <c r="D141" i="6"/>
  <c r="F141" i="6" s="1"/>
  <c r="C142" i="6"/>
  <c r="EI12" i="9" l="1"/>
  <c r="EH13" i="9"/>
  <c r="B142" i="6"/>
  <c r="D142" i="6"/>
  <c r="F142" i="6" s="1"/>
  <c r="C143" i="6"/>
  <c r="E142" i="6"/>
  <c r="H55" i="6"/>
  <c r="J55" i="6" s="1"/>
  <c r="EI13" i="9" l="1"/>
  <c r="EJ12" i="9"/>
  <c r="K55" i="6"/>
  <c r="M55" i="6" s="1"/>
  <c r="L55" i="6"/>
  <c r="G56" i="6" s="1"/>
  <c r="E143" i="6"/>
  <c r="C144" i="6"/>
  <c r="D143" i="6"/>
  <c r="F143" i="6" s="1"/>
  <c r="B143" i="6"/>
  <c r="EK12" i="9" l="1"/>
  <c r="EJ13" i="9"/>
  <c r="B144" i="6"/>
  <c r="E144" i="6"/>
  <c r="C145" i="6"/>
  <c r="D144" i="6"/>
  <c r="F144" i="6" s="1"/>
  <c r="I56" i="6"/>
  <c r="EK13" i="9" l="1"/>
  <c r="EL12" i="9"/>
  <c r="H56" i="6"/>
  <c r="J56" i="6" s="1"/>
  <c r="E145" i="6"/>
  <c r="C146" i="6"/>
  <c r="D145" i="6"/>
  <c r="F145" i="6" s="1"/>
  <c r="B145" i="6"/>
  <c r="EL13" i="9" l="1"/>
  <c r="EM12" i="9"/>
  <c r="B146" i="6"/>
  <c r="E146" i="6"/>
  <c r="C147" i="6"/>
  <c r="D146" i="6"/>
  <c r="F146" i="6" s="1"/>
  <c r="K56" i="6"/>
  <c r="M56" i="6" s="1"/>
  <c r="EN12" i="9" l="1"/>
  <c r="EM13" i="9"/>
  <c r="L56" i="6"/>
  <c r="G57" i="6" s="1"/>
  <c r="E147" i="6"/>
  <c r="C148" i="6"/>
  <c r="D147" i="6"/>
  <c r="F147" i="6" s="1"/>
  <c r="B147" i="6"/>
  <c r="EO12" i="9" l="1"/>
  <c r="EN13" i="9"/>
  <c r="I57" i="6"/>
  <c r="B148" i="6"/>
  <c r="D148" i="6"/>
  <c r="E148" i="6"/>
  <c r="F148" i="6"/>
  <c r="C149" i="6"/>
  <c r="EP12" i="9" l="1"/>
  <c r="EO13" i="9"/>
  <c r="E149" i="6"/>
  <c r="B149" i="6"/>
  <c r="D149" i="6"/>
  <c r="F149" i="6" s="1"/>
  <c r="C150" i="6"/>
  <c r="H57" i="6"/>
  <c r="J57" i="6" s="1"/>
  <c r="EQ12" i="9" l="1"/>
  <c r="EP13" i="9"/>
  <c r="K57" i="6"/>
  <c r="L57" i="6" s="1"/>
  <c r="G58" i="6" s="1"/>
  <c r="M57" i="6"/>
  <c r="B150" i="6"/>
  <c r="C151" i="6"/>
  <c r="D150" i="6"/>
  <c r="F150" i="6"/>
  <c r="E150" i="6"/>
  <c r="ER12" i="9" l="1"/>
  <c r="EQ13" i="9"/>
  <c r="I58" i="6"/>
  <c r="E151" i="6"/>
  <c r="B151" i="6"/>
  <c r="C152" i="6"/>
  <c r="D151" i="6"/>
  <c r="F151" i="6" s="1"/>
  <c r="ER13" i="9" l="1"/>
  <c r="ES12" i="9"/>
  <c r="B152" i="6"/>
  <c r="E152" i="6"/>
  <c r="C153" i="6"/>
  <c r="D152" i="6"/>
  <c r="F152" i="6" s="1"/>
  <c r="H58" i="6"/>
  <c r="J58" i="6" s="1"/>
  <c r="ES13" i="9" l="1"/>
  <c r="ET12" i="9"/>
  <c r="K58" i="6"/>
  <c r="L58" i="6" s="1"/>
  <c r="G59" i="6" s="1"/>
  <c r="M58" i="6"/>
  <c r="E153" i="6"/>
  <c r="C154" i="6"/>
  <c r="D153" i="6"/>
  <c r="F153" i="6" s="1"/>
  <c r="B153" i="6"/>
  <c r="ET13" i="9" l="1"/>
  <c r="EU12" i="9"/>
  <c r="I59" i="6"/>
  <c r="B154" i="6"/>
  <c r="E154" i="6"/>
  <c r="C155" i="6"/>
  <c r="D154" i="6"/>
  <c r="F154" i="6" s="1"/>
  <c r="EU13" i="9" l="1"/>
  <c r="EV12" i="9"/>
  <c r="E155" i="6"/>
  <c r="D155" i="6"/>
  <c r="F155" i="6"/>
  <c r="B155" i="6"/>
  <c r="C156" i="6"/>
  <c r="H59" i="6"/>
  <c r="J59" i="6" s="1"/>
  <c r="EV13" i="9" l="1"/>
  <c r="EW12" i="9"/>
  <c r="K59" i="6"/>
  <c r="L59" i="6" s="1"/>
  <c r="G60" i="6" s="1"/>
  <c r="M59" i="6"/>
  <c r="B156" i="6"/>
  <c r="D156" i="6"/>
  <c r="F156" i="6" s="1"/>
  <c r="E156" i="6"/>
  <c r="C157" i="6"/>
  <c r="EX12" i="9" l="1"/>
  <c r="EW13" i="9"/>
  <c r="I60" i="6"/>
  <c r="E157" i="6"/>
  <c r="D157" i="6"/>
  <c r="F157" i="6"/>
  <c r="B157" i="6"/>
  <c r="C158" i="6"/>
  <c r="EX13" i="9" l="1"/>
  <c r="EY12" i="9"/>
  <c r="D158" i="6"/>
  <c r="E158" i="6"/>
  <c r="B158" i="6"/>
  <c r="C159" i="6"/>
  <c r="F158" i="6"/>
  <c r="H60" i="6"/>
  <c r="J60" i="6" s="1"/>
  <c r="EY13" i="9" l="1"/>
  <c r="EZ12" i="9"/>
  <c r="E159" i="6"/>
  <c r="B159" i="6"/>
  <c r="C160" i="6"/>
  <c r="D159" i="6"/>
  <c r="F159" i="6"/>
  <c r="K60" i="6"/>
  <c r="M60" i="6" s="1"/>
  <c r="L60" i="6"/>
  <c r="G61" i="6" s="1"/>
  <c r="FA12" i="9" l="1"/>
  <c r="EZ13" i="9"/>
  <c r="I61" i="6"/>
  <c r="E160" i="6"/>
  <c r="D160" i="6"/>
  <c r="B160" i="6"/>
  <c r="F160" i="6"/>
  <c r="C161" i="6"/>
  <c r="FA13" i="9" l="1"/>
  <c r="FB12" i="9"/>
  <c r="E161" i="6"/>
  <c r="D161" i="6"/>
  <c r="F161" i="6"/>
  <c r="C162" i="6"/>
  <c r="B161" i="6"/>
  <c r="H61" i="6"/>
  <c r="J61" i="6" s="1"/>
  <c r="FC12" i="9" l="1"/>
  <c r="FB13" i="9"/>
  <c r="B162" i="6"/>
  <c r="E162" i="6"/>
  <c r="D162" i="6"/>
  <c r="F162" i="6" s="1"/>
  <c r="C163" i="6"/>
  <c r="K61" i="6"/>
  <c r="M61" i="6" s="1"/>
  <c r="FD12" i="9" l="1"/>
  <c r="FC13" i="9"/>
  <c r="E163" i="6"/>
  <c r="C164" i="6"/>
  <c r="B163" i="6"/>
  <c r="D163" i="6"/>
  <c r="F163" i="6" s="1"/>
  <c r="L61" i="6"/>
  <c r="G62" i="6" s="1"/>
  <c r="FE12" i="9" l="1"/>
  <c r="FD13" i="9"/>
  <c r="I62" i="6"/>
  <c r="E164" i="6"/>
  <c r="C165" i="6"/>
  <c r="B164" i="6"/>
  <c r="D164" i="6"/>
  <c r="F164" i="6" s="1"/>
  <c r="FF12" i="9" l="1"/>
  <c r="FE13" i="9"/>
  <c r="B165" i="6"/>
  <c r="D165" i="6"/>
  <c r="C166" i="6"/>
  <c r="E165" i="6"/>
  <c r="F165" i="6"/>
  <c r="H62" i="6"/>
  <c r="J62" i="6" s="1"/>
  <c r="FF13" i="9" l="1"/>
  <c r="FG12" i="9"/>
  <c r="K62" i="6"/>
  <c r="L62" i="6"/>
  <c r="G63" i="6" s="1"/>
  <c r="C167" i="6"/>
  <c r="D166" i="6"/>
  <c r="F166" i="6" s="1"/>
  <c r="B166" i="6"/>
  <c r="E166" i="6"/>
  <c r="M62" i="6"/>
  <c r="FG13" i="9" l="1"/>
  <c r="FH12" i="9"/>
  <c r="B167" i="6"/>
  <c r="D167" i="6"/>
  <c r="C168" i="6"/>
  <c r="E167" i="6"/>
  <c r="F167" i="6"/>
  <c r="I63" i="6"/>
  <c r="FH13" i="9" l="1"/>
  <c r="FI12" i="9"/>
  <c r="F168" i="6"/>
  <c r="C169" i="6"/>
  <c r="D168" i="6"/>
  <c r="E168" i="6"/>
  <c r="B168" i="6"/>
  <c r="H63" i="6"/>
  <c r="J63" i="6" s="1"/>
  <c r="FI13" i="9" l="1"/>
  <c r="FJ12" i="9"/>
  <c r="K63" i="6"/>
  <c r="L63" i="6" s="1"/>
  <c r="G64" i="6" s="1"/>
  <c r="M63" i="6"/>
  <c r="B169" i="6"/>
  <c r="E169" i="6"/>
  <c r="D169" i="6"/>
  <c r="F169" i="6" s="1"/>
  <c r="C170" i="6"/>
  <c r="FJ13" i="9" l="1"/>
  <c r="FK12" i="9"/>
  <c r="I64" i="6"/>
  <c r="C171" i="6"/>
  <c r="D170" i="6"/>
  <c r="F170" i="6" s="1"/>
  <c r="E170" i="6"/>
  <c r="B170" i="6"/>
  <c r="FK13" i="9" l="1"/>
  <c r="FL12" i="9"/>
  <c r="B171" i="6"/>
  <c r="D171" i="6"/>
  <c r="F171" i="6" s="1"/>
  <c r="C172" i="6"/>
  <c r="E171" i="6"/>
  <c r="H64" i="6"/>
  <c r="J64" i="6" s="1"/>
  <c r="FL13" i="9" l="1"/>
  <c r="FM12" i="9"/>
  <c r="K64" i="6"/>
  <c r="L64" i="6"/>
  <c r="G65" i="6" s="1"/>
  <c r="M64" i="6"/>
  <c r="C173" i="6"/>
  <c r="D172" i="6"/>
  <c r="F172" i="6" s="1"/>
  <c r="E172" i="6"/>
  <c r="B172" i="6"/>
  <c r="FN12" i="9" l="1"/>
  <c r="FM13" i="9"/>
  <c r="B173" i="6"/>
  <c r="E173" i="6"/>
  <c r="D173" i="6"/>
  <c r="C174" i="6"/>
  <c r="F173" i="6"/>
  <c r="I65" i="6"/>
  <c r="FO12" i="9" l="1"/>
  <c r="FN13" i="9"/>
  <c r="F174" i="6"/>
  <c r="C175" i="6"/>
  <c r="D174" i="6"/>
  <c r="E174" i="6"/>
  <c r="B174" i="6"/>
  <c r="H65" i="6"/>
  <c r="J65" i="6" s="1"/>
  <c r="FP12" i="9" l="1"/>
  <c r="FO13" i="9"/>
  <c r="K65" i="6"/>
  <c r="L65" i="6" s="1"/>
  <c r="G66" i="6" s="1"/>
  <c r="M65" i="6"/>
  <c r="B175" i="6"/>
  <c r="C176" i="6"/>
  <c r="E175" i="6"/>
  <c r="D175" i="6"/>
  <c r="F175" i="6" s="1"/>
  <c r="FQ12" i="9" l="1"/>
  <c r="FP13" i="9"/>
  <c r="I66" i="6"/>
  <c r="C177" i="6"/>
  <c r="D176" i="6"/>
  <c r="F176" i="6" s="1"/>
  <c r="E176" i="6"/>
  <c r="B176" i="6"/>
  <c r="FQ13" i="9" l="1"/>
  <c r="FR12" i="9"/>
  <c r="B177" i="6"/>
  <c r="C178" i="6"/>
  <c r="D177" i="6"/>
  <c r="F177" i="6"/>
  <c r="E177" i="6"/>
  <c r="H66" i="6"/>
  <c r="J66" i="6" s="1"/>
  <c r="FS12" i="9" l="1"/>
  <c r="FR13" i="9"/>
  <c r="K66" i="6"/>
  <c r="L66" i="6"/>
  <c r="G67" i="6" s="1"/>
  <c r="M66" i="6"/>
  <c r="C179" i="6"/>
  <c r="D178" i="6"/>
  <c r="F178" i="6" s="1"/>
  <c r="E178" i="6"/>
  <c r="B178" i="6"/>
  <c r="FS13" i="9" l="1"/>
  <c r="FT12" i="9"/>
  <c r="B179" i="6"/>
  <c r="C180" i="6"/>
  <c r="D179" i="6"/>
  <c r="F179" i="6" s="1"/>
  <c r="E179" i="6"/>
  <c r="I67" i="6"/>
  <c r="FU12" i="9" l="1"/>
  <c r="FT13" i="9"/>
  <c r="H67" i="6"/>
  <c r="J67" i="6" s="1"/>
  <c r="C181" i="6"/>
  <c r="D180" i="6"/>
  <c r="F180" i="6" s="1"/>
  <c r="B180" i="6"/>
  <c r="E180" i="6"/>
  <c r="FV12" i="9" l="1"/>
  <c r="FU13" i="9"/>
  <c r="B181" i="6"/>
  <c r="D181" i="6"/>
  <c r="C182" i="6"/>
  <c r="E181" i="6"/>
  <c r="F181" i="6"/>
  <c r="K67" i="6"/>
  <c r="M67" i="6" s="1"/>
  <c r="FW12" i="9" l="1"/>
  <c r="FV13" i="9"/>
  <c r="L67" i="6"/>
  <c r="G68" i="6" s="1"/>
  <c r="C183" i="6"/>
  <c r="D182" i="6"/>
  <c r="F182" i="6" s="1"/>
  <c r="B182" i="6"/>
  <c r="E182" i="6"/>
  <c r="FW13" i="9" l="1"/>
  <c r="FX12" i="9"/>
  <c r="I68" i="6"/>
  <c r="B183" i="6"/>
  <c r="D183" i="6"/>
  <c r="C184" i="6"/>
  <c r="E183" i="6"/>
  <c r="F183" i="6"/>
  <c r="FY12" i="9" l="1"/>
  <c r="FX13" i="9"/>
  <c r="C185" i="6"/>
  <c r="D184" i="6"/>
  <c r="F184" i="6" s="1"/>
  <c r="E184" i="6"/>
  <c r="B184" i="6"/>
  <c r="H68" i="6"/>
  <c r="J68" i="6" s="1"/>
  <c r="FY13" i="9" l="1"/>
  <c r="FZ12" i="9"/>
  <c r="K68" i="6"/>
  <c r="L68" i="6" s="1"/>
  <c r="G69" i="6" s="1"/>
  <c r="B185" i="6"/>
  <c r="E185" i="6"/>
  <c r="D185" i="6"/>
  <c r="F185" i="6" s="1"/>
  <c r="C186" i="6"/>
  <c r="FZ13" i="9" l="1"/>
  <c r="GA12" i="9"/>
  <c r="I69" i="6"/>
  <c r="C187" i="6"/>
  <c r="D186" i="6"/>
  <c r="F186" i="6" s="1"/>
  <c r="E186" i="6"/>
  <c r="B186" i="6"/>
  <c r="M68" i="6"/>
  <c r="GB12" i="9" l="1"/>
  <c r="GA13" i="9"/>
  <c r="B187" i="6"/>
  <c r="D187" i="6"/>
  <c r="F187" i="6" s="1"/>
  <c r="C188" i="6"/>
  <c r="E187" i="6"/>
  <c r="H69" i="6"/>
  <c r="J69" i="6" s="1"/>
  <c r="GB13" i="9" l="1"/>
  <c r="GC12" i="9"/>
  <c r="K69" i="6"/>
  <c r="L69" i="6"/>
  <c r="G70" i="6" s="1"/>
  <c r="M69" i="6"/>
  <c r="C189" i="6"/>
  <c r="D188" i="6"/>
  <c r="F188" i="6" s="1"/>
  <c r="E188" i="6"/>
  <c r="B188" i="6"/>
  <c r="GD12" i="9" l="1"/>
  <c r="GC13" i="9"/>
  <c r="B189" i="6"/>
  <c r="E189" i="6"/>
  <c r="C190" i="6"/>
  <c r="D189" i="6"/>
  <c r="F189" i="6" s="1"/>
  <c r="I70" i="6"/>
  <c r="GE12" i="9" l="1"/>
  <c r="GD13" i="9"/>
  <c r="H70" i="6"/>
  <c r="J70" i="6" s="1"/>
  <c r="C191" i="6"/>
  <c r="D190" i="6"/>
  <c r="F190" i="6" s="1"/>
  <c r="E190" i="6"/>
  <c r="B190" i="6"/>
  <c r="GE13" i="9" l="1"/>
  <c r="GF12" i="9"/>
  <c r="B191" i="6"/>
  <c r="E191" i="6"/>
  <c r="C192" i="6"/>
  <c r="D191" i="6"/>
  <c r="F191" i="6" s="1"/>
  <c r="K70" i="6"/>
  <c r="M70" i="6" s="1"/>
  <c r="L70" i="6"/>
  <c r="G71" i="6" s="1"/>
  <c r="GG12" i="9" l="1"/>
  <c r="GF13" i="9"/>
  <c r="I71" i="6"/>
  <c r="C193" i="6"/>
  <c r="D192" i="6"/>
  <c r="F192" i="6" s="1"/>
  <c r="B192" i="6"/>
  <c r="E192" i="6"/>
  <c r="GG13" i="9" l="1"/>
  <c r="GH12" i="9"/>
  <c r="B193" i="6"/>
  <c r="D193" i="6"/>
  <c r="F193" i="6" s="1"/>
  <c r="E193" i="6"/>
  <c r="C194" i="6"/>
  <c r="H71" i="6"/>
  <c r="J71" i="6" s="1"/>
  <c r="GH13" i="9" l="1"/>
  <c r="GI12" i="9"/>
  <c r="K71" i="6"/>
  <c r="L71" i="6" s="1"/>
  <c r="G72" i="6" s="1"/>
  <c r="M71" i="6"/>
  <c r="C195" i="6"/>
  <c r="D194" i="6"/>
  <c r="F194" i="6" s="1"/>
  <c r="E194" i="6"/>
  <c r="B194" i="6"/>
  <c r="GI13" i="9" l="1"/>
  <c r="GJ12" i="9"/>
  <c r="I72" i="6"/>
  <c r="B195" i="6"/>
  <c r="E195" i="6"/>
  <c r="D195" i="6"/>
  <c r="F195" i="6" s="1"/>
  <c r="C196" i="6"/>
  <c r="GK12" i="9" l="1"/>
  <c r="GJ13" i="9"/>
  <c r="C197" i="6"/>
  <c r="D196" i="6"/>
  <c r="F196" i="6" s="1"/>
  <c r="B196" i="6"/>
  <c r="E196" i="6"/>
  <c r="H72" i="6"/>
  <c r="J72" i="6" s="1"/>
  <c r="GL12" i="9" l="1"/>
  <c r="GK13" i="9"/>
  <c r="K72" i="6"/>
  <c r="L72" i="6" s="1"/>
  <c r="G73" i="6" s="1"/>
  <c r="M72" i="6"/>
  <c r="B197" i="6"/>
  <c r="D197" i="6"/>
  <c r="C198" i="6"/>
  <c r="E197" i="6"/>
  <c r="F197" i="6"/>
  <c r="GM12" i="9" l="1"/>
  <c r="GL13" i="9"/>
  <c r="I73" i="6"/>
  <c r="C199" i="6"/>
  <c r="D198" i="6"/>
  <c r="F198" i="6" s="1"/>
  <c r="B198" i="6"/>
  <c r="E198" i="6"/>
  <c r="GN12" i="9" l="1"/>
  <c r="GM13" i="9"/>
  <c r="B199" i="6"/>
  <c r="D199" i="6"/>
  <c r="C200" i="6"/>
  <c r="E199" i="6"/>
  <c r="F199" i="6"/>
  <c r="H73" i="6"/>
  <c r="J73" i="6" s="1"/>
  <c r="GO12" i="9" l="1"/>
  <c r="GN13" i="9"/>
  <c r="K73" i="6"/>
  <c r="L73" i="6" s="1"/>
  <c r="G74" i="6" s="1"/>
  <c r="C201" i="6"/>
  <c r="D200" i="6"/>
  <c r="F200" i="6" s="1"/>
  <c r="E200" i="6"/>
  <c r="B200" i="6"/>
  <c r="GO13" i="9" l="1"/>
  <c r="GP12" i="9"/>
  <c r="I74" i="6"/>
  <c r="M73" i="6"/>
  <c r="B201" i="6"/>
  <c r="E201" i="6"/>
  <c r="C202" i="6"/>
  <c r="D201" i="6"/>
  <c r="F201" i="6" s="1"/>
  <c r="GP13" i="9" l="1"/>
  <c r="GQ12" i="9"/>
  <c r="D202" i="6"/>
  <c r="F202" i="6" s="1"/>
  <c r="E202" i="6"/>
  <c r="C203" i="6"/>
  <c r="B202" i="6"/>
  <c r="H74" i="6"/>
  <c r="J74" i="6" s="1"/>
  <c r="GQ13" i="9" l="1"/>
  <c r="GR12" i="9"/>
  <c r="K74" i="6"/>
  <c r="L74" i="6"/>
  <c r="G75" i="6" s="1"/>
  <c r="B203" i="6"/>
  <c r="E203" i="6"/>
  <c r="D203" i="6"/>
  <c r="F203" i="6" s="1"/>
  <c r="C204" i="6"/>
  <c r="M74" i="6"/>
  <c r="GS12" i="9" l="1"/>
  <c r="GR13" i="9"/>
  <c r="C205" i="6"/>
  <c r="D204" i="6"/>
  <c r="F204" i="6" s="1"/>
  <c r="E204" i="6"/>
  <c r="B204" i="6"/>
  <c r="I75" i="6"/>
  <c r="GT12" i="9" l="1"/>
  <c r="GS13" i="9"/>
  <c r="H75" i="6"/>
  <c r="J75" i="6" s="1"/>
  <c r="B205" i="6"/>
  <c r="D205" i="6"/>
  <c r="F205" i="6" s="1"/>
  <c r="C206" i="6"/>
  <c r="E205" i="6"/>
  <c r="GU12" i="9" l="1"/>
  <c r="GT13" i="9"/>
  <c r="C207" i="6"/>
  <c r="D206" i="6"/>
  <c r="F206" i="6" s="1"/>
  <c r="E206" i="6"/>
  <c r="B206" i="6"/>
  <c r="K75" i="6"/>
  <c r="L75" i="6" s="1"/>
  <c r="G76" i="6" s="1"/>
  <c r="M75" i="6"/>
  <c r="GU13" i="9" l="1"/>
  <c r="GV12" i="9"/>
  <c r="I76" i="6"/>
  <c r="B207" i="6"/>
  <c r="E207" i="6"/>
  <c r="C208" i="6"/>
  <c r="D207" i="6"/>
  <c r="F207" i="6" s="1"/>
  <c r="GW12" i="9" l="1"/>
  <c r="GV13" i="9"/>
  <c r="C209" i="6"/>
  <c r="D208" i="6"/>
  <c r="F208" i="6" s="1"/>
  <c r="E208" i="6"/>
  <c r="B208" i="6"/>
  <c r="H76" i="6"/>
  <c r="J76" i="6" s="1"/>
  <c r="GW13" i="9" l="1"/>
  <c r="GX12" i="9"/>
  <c r="K76" i="6"/>
  <c r="M76" i="6" s="1"/>
  <c r="L76" i="6"/>
  <c r="G77" i="6" s="1"/>
  <c r="B209" i="6"/>
  <c r="C210" i="6"/>
  <c r="E209" i="6"/>
  <c r="D209" i="6"/>
  <c r="F209" i="6" s="1"/>
  <c r="GY12" i="9" l="1"/>
  <c r="GX13" i="9"/>
  <c r="C211" i="6"/>
  <c r="D210" i="6"/>
  <c r="F210" i="6" s="1"/>
  <c r="B210" i="6"/>
  <c r="E210" i="6"/>
  <c r="I77" i="6"/>
  <c r="GZ12" i="9" l="1"/>
  <c r="GY13" i="9"/>
  <c r="H77" i="6"/>
  <c r="J77" i="6" s="1"/>
  <c r="B211" i="6"/>
  <c r="D211" i="6"/>
  <c r="F211" i="6" s="1"/>
  <c r="E211" i="6"/>
  <c r="C212" i="6"/>
  <c r="HA12" i="9" l="1"/>
  <c r="GZ13" i="9"/>
  <c r="C213" i="6"/>
  <c r="D212" i="6"/>
  <c r="F212" i="6" s="1"/>
  <c r="B212" i="6"/>
  <c r="E212" i="6"/>
  <c r="K77" i="6"/>
  <c r="M77" i="6" s="1"/>
  <c r="L77" i="6"/>
  <c r="G78" i="6" s="1"/>
  <c r="HB12" i="9" l="1"/>
  <c r="HA13" i="9"/>
  <c r="I78" i="6"/>
  <c r="B213" i="6"/>
  <c r="E213" i="6"/>
  <c r="D213" i="6"/>
  <c r="F213" i="6" s="1"/>
  <c r="C214" i="6"/>
  <c r="HB13" i="9" l="1"/>
  <c r="HC12" i="9"/>
  <c r="C215" i="6"/>
  <c r="D214" i="6"/>
  <c r="F214" i="6" s="1"/>
  <c r="B214" i="6"/>
  <c r="E214" i="6"/>
  <c r="H78" i="6"/>
  <c r="J78" i="6" s="1"/>
  <c r="HD12" i="9" l="1"/>
  <c r="HC13" i="9"/>
  <c r="K78" i="6"/>
  <c r="L78" i="6"/>
  <c r="G79" i="6" s="1"/>
  <c r="M78" i="6"/>
  <c r="B215" i="6"/>
  <c r="D215" i="6"/>
  <c r="C216" i="6"/>
  <c r="F215" i="6"/>
  <c r="E215" i="6"/>
  <c r="HE12" i="9" l="1"/>
  <c r="HD13" i="9"/>
  <c r="F216" i="6"/>
  <c r="C217" i="6"/>
  <c r="D216" i="6"/>
  <c r="B216" i="6"/>
  <c r="E216" i="6"/>
  <c r="I79" i="6"/>
  <c r="HE13" i="9" l="1"/>
  <c r="HF12" i="9"/>
  <c r="H79" i="6"/>
  <c r="J79" i="6" s="1"/>
  <c r="B217" i="6"/>
  <c r="D217" i="6"/>
  <c r="C218" i="6"/>
  <c r="E217" i="6"/>
  <c r="F217" i="6"/>
  <c r="HF13" i="9" l="1"/>
  <c r="HG12" i="9"/>
  <c r="C219" i="6"/>
  <c r="D218" i="6"/>
  <c r="F218" i="6" s="1"/>
  <c r="E218" i="6"/>
  <c r="B218" i="6"/>
  <c r="K79" i="6"/>
  <c r="M79" i="6" s="1"/>
  <c r="L79" i="6"/>
  <c r="G80" i="6" s="1"/>
  <c r="HG13" i="9" l="1"/>
  <c r="HH12" i="9"/>
  <c r="I80" i="6"/>
  <c r="B219" i="6"/>
  <c r="E219" i="6"/>
  <c r="C220" i="6"/>
  <c r="D219" i="6"/>
  <c r="F219" i="6" s="1"/>
  <c r="HI12" i="9" l="1"/>
  <c r="HH13" i="9"/>
  <c r="H80" i="6"/>
  <c r="J80" i="6" s="1"/>
  <c r="C221" i="6"/>
  <c r="D220" i="6"/>
  <c r="F220" i="6" s="1"/>
  <c r="E220" i="6"/>
  <c r="B220" i="6"/>
  <c r="HJ12" i="9" l="1"/>
  <c r="HI13" i="9"/>
  <c r="B221" i="6"/>
  <c r="D221" i="6"/>
  <c r="F221" i="6" s="1"/>
  <c r="C222" i="6"/>
  <c r="E221" i="6"/>
  <c r="K80" i="6"/>
  <c r="L80" i="6" s="1"/>
  <c r="G81" i="6" s="1"/>
  <c r="M80" i="6"/>
  <c r="HK12" i="9" l="1"/>
  <c r="HJ13" i="9"/>
  <c r="I81" i="6"/>
  <c r="C223" i="6"/>
  <c r="D222" i="6"/>
  <c r="F222" i="6" s="1"/>
  <c r="B222" i="6"/>
  <c r="E222" i="6"/>
  <c r="HL12" i="9" l="1"/>
  <c r="HK13" i="9"/>
  <c r="B223" i="6"/>
  <c r="E223" i="6"/>
  <c r="D223" i="6"/>
  <c r="F223" i="6" s="1"/>
  <c r="C224" i="6"/>
  <c r="H81" i="6"/>
  <c r="J81" i="6" s="1"/>
  <c r="HM12" i="9" l="1"/>
  <c r="HL13" i="9"/>
  <c r="K81" i="6"/>
  <c r="M81" i="6" s="1"/>
  <c r="C225" i="6"/>
  <c r="D224" i="6"/>
  <c r="F224" i="6" s="1"/>
  <c r="E224" i="6"/>
  <c r="B224" i="6"/>
  <c r="HM13" i="9" l="1"/>
  <c r="HN12" i="9"/>
  <c r="B225" i="6"/>
  <c r="D225" i="6"/>
  <c r="F225" i="6" s="1"/>
  <c r="E225" i="6"/>
  <c r="C226" i="6"/>
  <c r="L81" i="6"/>
  <c r="G82" i="6" s="1"/>
  <c r="HN13" i="9" l="1"/>
  <c r="HO12" i="9"/>
  <c r="I82" i="6"/>
  <c r="C227" i="6"/>
  <c r="D226" i="6"/>
  <c r="F226" i="6" s="1"/>
  <c r="E226" i="6"/>
  <c r="B226" i="6"/>
  <c r="HO13" i="9" l="1"/>
  <c r="HP12" i="9"/>
  <c r="B227" i="6"/>
  <c r="E227" i="6"/>
  <c r="D227" i="6"/>
  <c r="C228" i="6"/>
  <c r="F227" i="6"/>
  <c r="H82" i="6"/>
  <c r="J82" i="6" s="1"/>
  <c r="HP13" i="9" l="1"/>
  <c r="HQ12" i="9"/>
  <c r="K82" i="6"/>
  <c r="L82" i="6" s="1"/>
  <c r="G83" i="6" s="1"/>
  <c r="M82" i="6"/>
  <c r="C229" i="6"/>
  <c r="D228" i="6"/>
  <c r="F228" i="6" s="1"/>
  <c r="E228" i="6"/>
  <c r="B228" i="6"/>
  <c r="HR12" i="9" l="1"/>
  <c r="HQ13" i="9"/>
  <c r="I83" i="6"/>
  <c r="B229" i="6"/>
  <c r="D229" i="6"/>
  <c r="C230" i="6"/>
  <c r="E229" i="6"/>
  <c r="F229" i="6"/>
  <c r="HR13" i="9" l="1"/>
  <c r="HS12" i="9"/>
  <c r="C231" i="6"/>
  <c r="D230" i="6"/>
  <c r="F230" i="6" s="1"/>
  <c r="B230" i="6"/>
  <c r="E230" i="6"/>
  <c r="H83" i="6"/>
  <c r="J83" i="6" s="1"/>
  <c r="HS13" i="9" l="1"/>
  <c r="HT12" i="9"/>
  <c r="K83" i="6"/>
  <c r="L83" i="6" s="1"/>
  <c r="G84" i="6" s="1"/>
  <c r="M83" i="6"/>
  <c r="B231" i="6"/>
  <c r="D231" i="6"/>
  <c r="C232" i="6"/>
  <c r="E231" i="6"/>
  <c r="F231" i="6"/>
  <c r="HU12" i="9" l="1"/>
  <c r="HT13" i="9"/>
  <c r="I84" i="6"/>
  <c r="C233" i="6"/>
  <c r="D232" i="6"/>
  <c r="F232" i="6" s="1"/>
  <c r="B232" i="6"/>
  <c r="E232" i="6"/>
  <c r="HU13" i="9" l="1"/>
  <c r="HV12" i="9"/>
  <c r="B233" i="6"/>
  <c r="D233" i="6"/>
  <c r="C234" i="6"/>
  <c r="E233" i="6"/>
  <c r="F233" i="6"/>
  <c r="H84" i="6"/>
  <c r="J84" i="6" s="1"/>
  <c r="HV13" i="9" l="1"/>
  <c r="HW12" i="9"/>
  <c r="K84" i="6"/>
  <c r="M84" i="6" s="1"/>
  <c r="L84" i="6"/>
  <c r="G85" i="6" s="1"/>
  <c r="C235" i="6"/>
  <c r="D234" i="6"/>
  <c r="F234" i="6" s="1"/>
  <c r="E234" i="6"/>
  <c r="B234" i="6"/>
  <c r="HW13" i="9" l="1"/>
  <c r="HX12" i="9"/>
  <c r="B235" i="6"/>
  <c r="E235" i="6"/>
  <c r="D235" i="6"/>
  <c r="F235" i="6" s="1"/>
  <c r="C236" i="6"/>
  <c r="I85" i="6"/>
  <c r="HY12" i="9" l="1"/>
  <c r="HX13" i="9"/>
  <c r="F236" i="6"/>
  <c r="C237" i="6"/>
  <c r="D236" i="6"/>
  <c r="E236" i="6"/>
  <c r="B236" i="6"/>
  <c r="H85" i="6"/>
  <c r="J85" i="6" s="1"/>
  <c r="HZ12" i="9" l="1"/>
  <c r="HY13" i="9"/>
  <c r="K85" i="6"/>
  <c r="L85" i="6"/>
  <c r="G86" i="6" s="1"/>
  <c r="M85" i="6"/>
  <c r="B237" i="6"/>
  <c r="D237" i="6"/>
  <c r="F237" i="6" s="1"/>
  <c r="C238" i="6"/>
  <c r="E237" i="6"/>
  <c r="HZ13" i="9" l="1"/>
  <c r="IA12" i="9"/>
  <c r="C239" i="6"/>
  <c r="D238" i="6"/>
  <c r="F238" i="6" s="1"/>
  <c r="E238" i="6"/>
  <c r="B238" i="6"/>
  <c r="I86" i="6"/>
  <c r="IA13" i="9" l="1"/>
  <c r="IB12" i="9"/>
  <c r="H86" i="6"/>
  <c r="J86" i="6" s="1"/>
  <c r="B239" i="6"/>
  <c r="E239" i="6"/>
  <c r="D239" i="6"/>
  <c r="C240" i="6"/>
  <c r="F239" i="6"/>
  <c r="IB13" i="9" l="1"/>
  <c r="IC12" i="9"/>
  <c r="C241" i="6"/>
  <c r="D240" i="6"/>
  <c r="F240" i="6" s="1"/>
  <c r="E240" i="6"/>
  <c r="B240" i="6"/>
  <c r="K86" i="6"/>
  <c r="M86" i="6" s="1"/>
  <c r="L86" i="6"/>
  <c r="G87" i="6" s="1"/>
  <c r="IC13" i="9" l="1"/>
  <c r="ID12" i="9"/>
  <c r="I87" i="6"/>
  <c r="B241" i="6"/>
  <c r="C242" i="6"/>
  <c r="D241" i="6"/>
  <c r="F241" i="6" s="1"/>
  <c r="E241" i="6"/>
  <c r="IE12" i="9" l="1"/>
  <c r="ID13" i="9"/>
  <c r="C243" i="6"/>
  <c r="D242" i="6"/>
  <c r="F242" i="6" s="1"/>
  <c r="E242" i="6"/>
  <c r="B242" i="6"/>
  <c r="H87" i="6"/>
  <c r="J87" i="6" s="1"/>
  <c r="IE13" i="9" l="1"/>
  <c r="IF12" i="9"/>
  <c r="K87" i="6"/>
  <c r="L87" i="6"/>
  <c r="G88" i="6" s="1"/>
  <c r="M87" i="6"/>
  <c r="B243" i="6"/>
  <c r="C244" i="6"/>
  <c r="E243" i="6"/>
  <c r="D243" i="6"/>
  <c r="F243" i="6" s="1"/>
  <c r="IF13" i="9" l="1"/>
  <c r="IG12" i="9"/>
  <c r="C245" i="6"/>
  <c r="D244" i="6"/>
  <c r="F244" i="6" s="1"/>
  <c r="B244" i="6"/>
  <c r="E244" i="6"/>
  <c r="I88" i="6"/>
  <c r="IH12" i="9" l="1"/>
  <c r="IG13" i="9"/>
  <c r="H88" i="6"/>
  <c r="J88" i="6" s="1"/>
  <c r="B245" i="6"/>
  <c r="E245" i="6"/>
  <c r="C246" i="6"/>
  <c r="D245" i="6"/>
  <c r="F245" i="6" s="1"/>
  <c r="IH13" i="9" l="1"/>
  <c r="II12" i="9"/>
  <c r="F246" i="6"/>
  <c r="C247" i="6"/>
  <c r="B246" i="6"/>
  <c r="D246" i="6"/>
  <c r="E246" i="6"/>
  <c r="K88" i="6"/>
  <c r="L88" i="6"/>
  <c r="G89" i="6" s="1"/>
  <c r="M88" i="6"/>
  <c r="II13" i="9" l="1"/>
  <c r="IJ12" i="9"/>
  <c r="I89" i="6"/>
  <c r="B247" i="6"/>
  <c r="D247" i="6"/>
  <c r="F247" i="6" s="1"/>
  <c r="E247" i="6"/>
  <c r="C248" i="6"/>
  <c r="IJ13" i="9" l="1"/>
  <c r="IK12" i="9"/>
  <c r="F248" i="6"/>
  <c r="C249" i="6"/>
  <c r="D248" i="6"/>
  <c r="E248" i="6"/>
  <c r="B248" i="6"/>
  <c r="H89" i="6"/>
  <c r="J89" i="6" s="1"/>
  <c r="IK13" i="9" l="1"/>
  <c r="IL12" i="9"/>
  <c r="K89" i="6"/>
  <c r="L89" i="6" s="1"/>
  <c r="G90" i="6" s="1"/>
  <c r="B249" i="6"/>
  <c r="D249" i="6"/>
  <c r="F249" i="6" s="1"/>
  <c r="C250" i="6"/>
  <c r="E249" i="6"/>
  <c r="IL13" i="9" l="1"/>
  <c r="IM12" i="9"/>
  <c r="I90" i="6"/>
  <c r="C251" i="6"/>
  <c r="D250" i="6"/>
  <c r="F250" i="6" s="1"/>
  <c r="E250" i="6"/>
  <c r="B250" i="6"/>
  <c r="M89" i="6"/>
  <c r="IN12" i="9" l="1"/>
  <c r="IM13" i="9"/>
  <c r="H90" i="6"/>
  <c r="J90" i="6" s="1"/>
  <c r="B251" i="6"/>
  <c r="D251" i="6"/>
  <c r="E251" i="6"/>
  <c r="C252" i="6"/>
  <c r="F251" i="6"/>
  <c r="IN13" i="9" l="1"/>
  <c r="IO12" i="9"/>
  <c r="C253" i="6"/>
  <c r="B252" i="6"/>
  <c r="E252" i="6"/>
  <c r="D252" i="6"/>
  <c r="F252" i="6" s="1"/>
  <c r="K90" i="6"/>
  <c r="M90" i="6" s="1"/>
  <c r="L90" i="6"/>
  <c r="G91" i="6" s="1"/>
  <c r="IP12" i="9" l="1"/>
  <c r="IO13" i="9"/>
  <c r="I91" i="6"/>
  <c r="B253" i="6"/>
  <c r="C254" i="6"/>
  <c r="D253" i="6"/>
  <c r="E253" i="6"/>
  <c r="F253" i="6"/>
  <c r="IQ12" i="9" l="1"/>
  <c r="IP13" i="9"/>
  <c r="C255" i="6"/>
  <c r="E254" i="6"/>
  <c r="D254" i="6"/>
  <c r="F254" i="6" s="1"/>
  <c r="B254" i="6"/>
  <c r="H91" i="6"/>
  <c r="J91" i="6" s="1"/>
  <c r="IR12" i="9" l="1"/>
  <c r="IQ13" i="9"/>
  <c r="K91" i="6"/>
  <c r="L91" i="6" s="1"/>
  <c r="G92" i="6" s="1"/>
  <c r="B255" i="6"/>
  <c r="D255" i="6"/>
  <c r="F255" i="6" s="1"/>
  <c r="E255" i="6"/>
  <c r="C256" i="6"/>
  <c r="IR13" i="9" l="1"/>
  <c r="IS12" i="9"/>
  <c r="I92" i="6"/>
  <c r="C257" i="6"/>
  <c r="D256" i="6"/>
  <c r="F256" i="6" s="1"/>
  <c r="B256" i="6"/>
  <c r="E256" i="6"/>
  <c r="M91" i="6"/>
  <c r="IS13" i="9" l="1"/>
  <c r="IT12" i="9"/>
  <c r="B257" i="6"/>
  <c r="D257" i="6"/>
  <c r="F257" i="6" s="1"/>
  <c r="E257" i="6"/>
  <c r="C258" i="6"/>
  <c r="H92" i="6"/>
  <c r="J92" i="6" s="1"/>
  <c r="IU12" i="9" l="1"/>
  <c r="IT13" i="9"/>
  <c r="K92" i="6"/>
  <c r="M92" i="6" s="1"/>
  <c r="C259" i="6"/>
  <c r="D258" i="6"/>
  <c r="F258" i="6" s="1"/>
  <c r="E258" i="6"/>
  <c r="B258" i="6"/>
  <c r="IV12" i="9" l="1"/>
  <c r="IU13" i="9"/>
  <c r="B259" i="6"/>
  <c r="D259" i="6"/>
  <c r="E259" i="6"/>
  <c r="C260" i="6"/>
  <c r="F259" i="6"/>
  <c r="L92" i="6"/>
  <c r="G93" i="6" s="1"/>
  <c r="IW12" i="9" l="1"/>
  <c r="IV13" i="9"/>
  <c r="I93" i="6"/>
  <c r="C261" i="6"/>
  <c r="B260" i="6"/>
  <c r="D260" i="6"/>
  <c r="F260" i="6" s="1"/>
  <c r="E260" i="6"/>
  <c r="IX12" i="9" l="1"/>
  <c r="IW13" i="9"/>
  <c r="H93" i="6"/>
  <c r="J93" i="6" s="1"/>
  <c r="B261" i="6"/>
  <c r="E261" i="6"/>
  <c r="D261" i="6"/>
  <c r="F261" i="6" s="1"/>
  <c r="C262" i="6"/>
  <c r="IX13" i="9" l="1"/>
  <c r="IY12" i="9"/>
  <c r="C263" i="6"/>
  <c r="D262" i="6"/>
  <c r="F262" i="6" s="1"/>
  <c r="E262" i="6"/>
  <c r="B262" i="6"/>
  <c r="K93" i="6"/>
  <c r="L93" i="6" s="1"/>
  <c r="G94" i="6" s="1"/>
  <c r="M93" i="6"/>
  <c r="IZ12" i="9" l="1"/>
  <c r="IY13" i="9"/>
  <c r="I94" i="6"/>
  <c r="B263" i="6"/>
  <c r="C264" i="6"/>
  <c r="D263" i="6"/>
  <c r="F263" i="6" s="1"/>
  <c r="E263" i="6"/>
  <c r="IZ13" i="9" l="1"/>
  <c r="JA12" i="9"/>
  <c r="C265" i="6"/>
  <c r="D264" i="6"/>
  <c r="F264" i="6" s="1"/>
  <c r="B264" i="6"/>
  <c r="E264" i="6"/>
  <c r="H94" i="6"/>
  <c r="J94" i="6" s="1"/>
  <c r="JA13" i="9" l="1"/>
  <c r="JB12" i="9"/>
  <c r="K94" i="6"/>
  <c r="L94" i="6" s="1"/>
  <c r="G95" i="6" s="1"/>
  <c r="M94" i="6"/>
  <c r="B265" i="6"/>
  <c r="D265" i="6"/>
  <c r="F265" i="6" s="1"/>
  <c r="E265" i="6"/>
  <c r="C266" i="6"/>
  <c r="JC12" i="9" l="1"/>
  <c r="JB13" i="9"/>
  <c r="I95" i="6"/>
  <c r="C267" i="6"/>
  <c r="D266" i="6"/>
  <c r="F266" i="6" s="1"/>
  <c r="E266" i="6"/>
  <c r="B266" i="6"/>
  <c r="JD12" i="9" l="1"/>
  <c r="JC13" i="9"/>
  <c r="B267" i="6"/>
  <c r="D267" i="6"/>
  <c r="E267" i="6"/>
  <c r="C268" i="6"/>
  <c r="F267" i="6"/>
  <c r="H95" i="6"/>
  <c r="J95" i="6" s="1"/>
  <c r="JD13" i="9" l="1"/>
  <c r="JE12" i="9"/>
  <c r="K95" i="6"/>
  <c r="L95" i="6" s="1"/>
  <c r="G96" i="6" s="1"/>
  <c r="M95" i="6"/>
  <c r="C269" i="6"/>
  <c r="B268" i="6"/>
  <c r="E268" i="6"/>
  <c r="D268" i="6"/>
  <c r="F268" i="6" s="1"/>
  <c r="JF12" i="9" l="1"/>
  <c r="JE13" i="9"/>
  <c r="I96" i="6"/>
  <c r="B269" i="6"/>
  <c r="C270" i="6"/>
  <c r="D269" i="6"/>
  <c r="F269" i="6" s="1"/>
  <c r="E269" i="6"/>
  <c r="JG12" i="9" l="1"/>
  <c r="JF13" i="9"/>
  <c r="F270" i="6"/>
  <c r="C271" i="6"/>
  <c r="B270" i="6"/>
  <c r="E270" i="6"/>
  <c r="D270" i="6"/>
  <c r="H96" i="6"/>
  <c r="J96" i="6" s="1"/>
  <c r="JG13" i="9" l="1"/>
  <c r="JH12" i="9"/>
  <c r="K96" i="6"/>
  <c r="M96" i="6" s="1"/>
  <c r="L96" i="6"/>
  <c r="G97" i="6" s="1"/>
  <c r="B271" i="6"/>
  <c r="D271" i="6"/>
  <c r="F271" i="6" s="1"/>
  <c r="E271" i="6"/>
  <c r="C272" i="6"/>
  <c r="JI12" i="9" l="1"/>
  <c r="JH13" i="9"/>
  <c r="C273" i="6"/>
  <c r="D272" i="6"/>
  <c r="F272" i="6" s="1"/>
  <c r="E272" i="6"/>
  <c r="B272" i="6"/>
  <c r="I97" i="6"/>
  <c r="JJ12" i="9" l="1"/>
  <c r="JI13" i="9"/>
  <c r="H97" i="6"/>
  <c r="J97" i="6" s="1"/>
  <c r="B273" i="6"/>
  <c r="D273" i="6"/>
  <c r="F273" i="6" s="1"/>
  <c r="C274" i="6"/>
  <c r="E273" i="6"/>
  <c r="JJ13" i="9" l="1"/>
  <c r="JK12" i="9"/>
  <c r="C275" i="6"/>
  <c r="D274" i="6"/>
  <c r="F274" i="6" s="1"/>
  <c r="E274" i="6"/>
  <c r="B274" i="6"/>
  <c r="K97" i="6"/>
  <c r="L97" i="6"/>
  <c r="G98" i="6" s="1"/>
  <c r="M97" i="6"/>
  <c r="JK13" i="9" l="1"/>
  <c r="JL12" i="9"/>
  <c r="I98" i="6"/>
  <c r="B275" i="6"/>
  <c r="D275" i="6"/>
  <c r="E275" i="6"/>
  <c r="C276" i="6"/>
  <c r="F275" i="6"/>
  <c r="JL13" i="9" l="1"/>
  <c r="JM12" i="9"/>
  <c r="F276" i="6"/>
  <c r="C277" i="6"/>
  <c r="B276" i="6"/>
  <c r="D276" i="6"/>
  <c r="E276" i="6"/>
  <c r="H98" i="6"/>
  <c r="J98" i="6" s="1"/>
  <c r="JN12" i="9" l="1"/>
  <c r="JM13" i="9"/>
  <c r="K98" i="6"/>
  <c r="L98" i="6"/>
  <c r="G99" i="6" s="1"/>
  <c r="M98" i="6"/>
  <c r="B277" i="6"/>
  <c r="E277" i="6"/>
  <c r="D277" i="6"/>
  <c r="C278" i="6"/>
  <c r="F277" i="6"/>
  <c r="JN13" i="9" l="1"/>
  <c r="JO12" i="9"/>
  <c r="C279" i="6"/>
  <c r="D278" i="6"/>
  <c r="F278" i="6" s="1"/>
  <c r="E278" i="6"/>
  <c r="B278" i="6"/>
  <c r="I99" i="6"/>
  <c r="JP12" i="9" l="1"/>
  <c r="JO13" i="9"/>
  <c r="H99" i="6"/>
  <c r="J99" i="6" s="1"/>
  <c r="B279" i="6"/>
  <c r="E279" i="6"/>
  <c r="D279" i="6"/>
  <c r="F279" i="6" s="1"/>
  <c r="C280" i="6"/>
  <c r="JQ12" i="9" l="1"/>
  <c r="JP13" i="9"/>
  <c r="D280" i="6"/>
  <c r="F280" i="6" s="1"/>
  <c r="B280" i="6"/>
  <c r="C281" i="6"/>
  <c r="E280" i="6"/>
  <c r="K99" i="6"/>
  <c r="L99" i="6"/>
  <c r="G100" i="6" s="1"/>
  <c r="M99" i="6"/>
  <c r="JR12" i="9" l="1"/>
  <c r="JQ13" i="9"/>
  <c r="I100" i="6"/>
  <c r="B281" i="6"/>
  <c r="D281" i="6"/>
  <c r="E281" i="6"/>
  <c r="F281" i="6"/>
  <c r="C282" i="6"/>
  <c r="JS12" i="9" l="1"/>
  <c r="JR13" i="9"/>
  <c r="B282" i="6"/>
  <c r="D282" i="6"/>
  <c r="F282" i="6" s="1"/>
  <c r="E282" i="6"/>
  <c r="C283" i="6"/>
  <c r="H100" i="6"/>
  <c r="J100" i="6" s="1"/>
  <c r="JT12" i="9" l="1"/>
  <c r="JS13" i="9"/>
  <c r="B283" i="6"/>
  <c r="E283" i="6"/>
  <c r="D283" i="6"/>
  <c r="F283" i="6" s="1"/>
  <c r="C284" i="6"/>
  <c r="K100" i="6"/>
  <c r="M100" i="6" s="1"/>
  <c r="L100" i="6"/>
  <c r="G101" i="6" s="1"/>
  <c r="JT13" i="9" l="1"/>
  <c r="JU12" i="9"/>
  <c r="I101" i="6"/>
  <c r="D284" i="6"/>
  <c r="E284" i="6"/>
  <c r="B284" i="6"/>
  <c r="F284" i="6"/>
  <c r="C285" i="6"/>
  <c r="JV12" i="9" l="1"/>
  <c r="JU13" i="9"/>
  <c r="F285" i="6"/>
  <c r="E285" i="6"/>
  <c r="B285" i="6"/>
  <c r="D285" i="6"/>
  <c r="C286" i="6"/>
  <c r="H101" i="6"/>
  <c r="J101" i="6" s="1"/>
  <c r="JV13" i="9" l="1"/>
  <c r="JW12" i="9"/>
  <c r="D286" i="6"/>
  <c r="E286" i="6"/>
  <c r="B286" i="6"/>
  <c r="F286" i="6"/>
  <c r="C287" i="6"/>
  <c r="K101" i="6"/>
  <c r="M101" i="6" s="1"/>
  <c r="L101" i="6"/>
  <c r="G102" i="6" s="1"/>
  <c r="JW13" i="9" l="1"/>
  <c r="JX12" i="9"/>
  <c r="B287" i="6"/>
  <c r="E287" i="6"/>
  <c r="C288" i="6"/>
  <c r="D287" i="6"/>
  <c r="F287" i="6" s="1"/>
  <c r="I102" i="6"/>
  <c r="JY12" i="9" l="1"/>
  <c r="JX13" i="9"/>
  <c r="H102" i="6"/>
  <c r="J102" i="6" s="1"/>
  <c r="D288" i="6"/>
  <c r="E288" i="6"/>
  <c r="B288" i="6"/>
  <c r="C289" i="6"/>
  <c r="F288" i="6"/>
  <c r="JZ12" i="9" l="1"/>
  <c r="JY13" i="9"/>
  <c r="C290" i="6"/>
  <c r="B289" i="6"/>
  <c r="D289" i="6"/>
  <c r="F289" i="6" s="1"/>
  <c r="E289" i="6"/>
  <c r="K102" i="6"/>
  <c r="M102" i="6" s="1"/>
  <c r="KA12" i="9" l="1"/>
  <c r="JZ13" i="9"/>
  <c r="L102" i="6"/>
  <c r="G103" i="6" s="1"/>
  <c r="D290" i="6"/>
  <c r="E290" i="6"/>
  <c r="B290" i="6"/>
  <c r="C291" i="6"/>
  <c r="F290" i="6"/>
  <c r="KA13" i="9" l="1"/>
  <c r="KB12" i="9"/>
  <c r="I103" i="6"/>
  <c r="B291" i="6"/>
  <c r="C292" i="6"/>
  <c r="D291" i="6"/>
  <c r="F291" i="6" s="1"/>
  <c r="E291" i="6"/>
  <c r="KC12" i="9" l="1"/>
  <c r="KB13" i="9"/>
  <c r="D292" i="6"/>
  <c r="E292" i="6"/>
  <c r="B292" i="6"/>
  <c r="C293" i="6"/>
  <c r="F292" i="6"/>
  <c r="H103" i="6"/>
  <c r="J103" i="6" s="1"/>
  <c r="KD12" i="9" l="1"/>
  <c r="KC13" i="9"/>
  <c r="K103" i="6"/>
  <c r="L103" i="6"/>
  <c r="G104" i="6" s="1"/>
  <c r="M103" i="6"/>
  <c r="C294" i="6"/>
  <c r="E293" i="6"/>
  <c r="D293" i="6"/>
  <c r="F293" i="6" s="1"/>
  <c r="B293" i="6"/>
  <c r="KD13" i="9" l="1"/>
  <c r="KE12" i="9"/>
  <c r="D294" i="6"/>
  <c r="E294" i="6"/>
  <c r="B294" i="6"/>
  <c r="F294" i="6"/>
  <c r="C295" i="6"/>
  <c r="I104" i="6"/>
  <c r="KE13" i="9" l="1"/>
  <c r="KF12" i="9"/>
  <c r="D295" i="6"/>
  <c r="F295" i="6" s="1"/>
  <c r="E295" i="6"/>
  <c r="B295" i="6"/>
  <c r="C296" i="6"/>
  <c r="H104" i="6"/>
  <c r="J104" i="6" s="1"/>
  <c r="KF13" i="9" l="1"/>
  <c r="KG12" i="9"/>
  <c r="K104" i="6"/>
  <c r="L104" i="6" s="1"/>
  <c r="G105" i="6" s="1"/>
  <c r="M104" i="6"/>
  <c r="D296" i="6"/>
  <c r="E296" i="6"/>
  <c r="B296" i="6"/>
  <c r="F296" i="6"/>
  <c r="C297" i="6"/>
  <c r="KH12" i="9" l="1"/>
  <c r="KG13" i="9"/>
  <c r="I105" i="6"/>
  <c r="E297" i="6"/>
  <c r="C298" i="6"/>
  <c r="D297" i="6"/>
  <c r="F297" i="6" s="1"/>
  <c r="B297" i="6"/>
  <c r="KI12" i="9" l="1"/>
  <c r="KH13" i="9"/>
  <c r="D298" i="6"/>
  <c r="F298" i="6" s="1"/>
  <c r="E298" i="6"/>
  <c r="B298" i="6"/>
  <c r="C299" i="6"/>
  <c r="H105" i="6"/>
  <c r="J105" i="6" s="1"/>
  <c r="KJ12" i="9" l="1"/>
  <c r="KI13" i="9"/>
  <c r="K105" i="6"/>
  <c r="L105" i="6"/>
  <c r="G106" i="6" s="1"/>
  <c r="M105" i="6"/>
  <c r="D299" i="6"/>
  <c r="F299" i="6" s="1"/>
  <c r="E299" i="6"/>
  <c r="B299" i="6"/>
  <c r="C300" i="6"/>
  <c r="KK12" i="9" l="1"/>
  <c r="KJ13" i="9"/>
  <c r="D300" i="6"/>
  <c r="E300" i="6"/>
  <c r="B300" i="6"/>
  <c r="F300" i="6"/>
  <c r="C301" i="6"/>
  <c r="I106" i="6"/>
  <c r="KL12" i="9" l="1"/>
  <c r="KK13" i="9"/>
  <c r="H106" i="6"/>
  <c r="J106" i="6" s="1"/>
  <c r="E301" i="6"/>
  <c r="B301" i="6"/>
  <c r="C302" i="6"/>
  <c r="D301" i="6"/>
  <c r="F301" i="6" s="1"/>
  <c r="KL13" i="9" l="1"/>
  <c r="KM12" i="9"/>
  <c r="D302" i="6"/>
  <c r="E302" i="6"/>
  <c r="B302" i="6"/>
  <c r="C303" i="6"/>
  <c r="F302" i="6"/>
  <c r="K106" i="6"/>
  <c r="L106" i="6"/>
  <c r="G107" i="6" s="1"/>
  <c r="M106" i="6"/>
  <c r="KM13" i="9" l="1"/>
  <c r="KN12" i="9"/>
  <c r="B303" i="6"/>
  <c r="D303" i="6"/>
  <c r="F303" i="6" s="1"/>
  <c r="E303" i="6"/>
  <c r="C304" i="6"/>
  <c r="I107" i="6"/>
  <c r="KN13" i="9" l="1"/>
  <c r="KO12" i="9"/>
  <c r="D304" i="6"/>
  <c r="E304" i="6"/>
  <c r="B304" i="6"/>
  <c r="C305" i="6"/>
  <c r="F304" i="6"/>
  <c r="H107" i="6"/>
  <c r="J107" i="6" s="1"/>
  <c r="KP12" i="9" l="1"/>
  <c r="KO13" i="9"/>
  <c r="K107" i="6"/>
  <c r="M107" i="6" s="1"/>
  <c r="C306" i="6"/>
  <c r="B305" i="6"/>
  <c r="E305" i="6"/>
  <c r="D305" i="6"/>
  <c r="F305" i="6" s="1"/>
  <c r="KQ12" i="9" l="1"/>
  <c r="KP13" i="9"/>
  <c r="D306" i="6"/>
  <c r="F306" i="6" s="1"/>
  <c r="E306" i="6"/>
  <c r="B306" i="6"/>
  <c r="C307" i="6"/>
  <c r="L107" i="6"/>
  <c r="G108" i="6" s="1"/>
  <c r="KR12" i="9" l="1"/>
  <c r="KQ13" i="9"/>
  <c r="I108" i="6"/>
  <c r="B307" i="6"/>
  <c r="D307" i="6"/>
  <c r="F307" i="6" s="1"/>
  <c r="C308" i="6"/>
  <c r="E307" i="6"/>
  <c r="KS12" i="9" l="1"/>
  <c r="KR13" i="9"/>
  <c r="D308" i="6"/>
  <c r="E308" i="6"/>
  <c r="B308" i="6"/>
  <c r="C309" i="6"/>
  <c r="F308" i="6"/>
  <c r="H108" i="6"/>
  <c r="J108" i="6" s="1"/>
  <c r="KT12" i="9" l="1"/>
  <c r="KS13" i="9"/>
  <c r="K108" i="6"/>
  <c r="L108" i="6" s="1"/>
  <c r="G109" i="6" s="1"/>
  <c r="M108" i="6"/>
  <c r="C310" i="6"/>
  <c r="D309" i="6"/>
  <c r="F309" i="6" s="1"/>
  <c r="E309" i="6"/>
  <c r="B309" i="6"/>
  <c r="KT13" i="9" l="1"/>
  <c r="KU12" i="9"/>
  <c r="I109" i="6"/>
  <c r="D310" i="6"/>
  <c r="E310" i="6"/>
  <c r="B310" i="6"/>
  <c r="F310" i="6"/>
  <c r="C311" i="6"/>
  <c r="KU13" i="9" l="1"/>
  <c r="KV12" i="9"/>
  <c r="D311" i="6"/>
  <c r="F311" i="6" s="1"/>
  <c r="E311" i="6"/>
  <c r="B311" i="6"/>
  <c r="C312" i="6"/>
  <c r="H109" i="6"/>
  <c r="J109" i="6" s="1"/>
  <c r="KV13" i="9" l="1"/>
  <c r="KW12" i="9"/>
  <c r="K109" i="6"/>
  <c r="L109" i="6"/>
  <c r="G110" i="6" s="1"/>
  <c r="M109" i="6"/>
  <c r="D312" i="6"/>
  <c r="E312" i="6"/>
  <c r="B312" i="6"/>
  <c r="F312" i="6"/>
  <c r="C313" i="6"/>
  <c r="KX12" i="9" l="1"/>
  <c r="KW13" i="9"/>
  <c r="E313" i="6"/>
  <c r="C314" i="6"/>
  <c r="D313" i="6"/>
  <c r="F313" i="6" s="1"/>
  <c r="B313" i="6"/>
  <c r="I110" i="6"/>
  <c r="KY12" i="9" l="1"/>
  <c r="KX13" i="9"/>
  <c r="H110" i="6"/>
  <c r="J110" i="6" s="1"/>
  <c r="D314" i="6"/>
  <c r="E314" i="6"/>
  <c r="B314" i="6"/>
  <c r="F314" i="6"/>
  <c r="C315" i="6"/>
  <c r="KZ12" i="9" l="1"/>
  <c r="KY13" i="9"/>
  <c r="K110" i="6"/>
  <c r="L110" i="6" s="1"/>
  <c r="G111" i="6" s="1"/>
  <c r="D315" i="6"/>
  <c r="F315" i="6" s="1"/>
  <c r="E315" i="6"/>
  <c r="C316" i="6"/>
  <c r="B315" i="6"/>
  <c r="M110" i="6"/>
  <c r="LA12" i="9" l="1"/>
  <c r="KZ13" i="9"/>
  <c r="I111" i="6"/>
  <c r="D316" i="6"/>
  <c r="E316" i="6"/>
  <c r="B316" i="6"/>
  <c r="F316" i="6"/>
  <c r="C317" i="6"/>
  <c r="LB12" i="9" l="1"/>
  <c r="LA13" i="9"/>
  <c r="E317" i="6"/>
  <c r="B317" i="6"/>
  <c r="C318" i="6"/>
  <c r="D317" i="6"/>
  <c r="F317" i="6" s="1"/>
  <c r="H111" i="6"/>
  <c r="J111" i="6" s="1"/>
  <c r="LB13" i="9" l="1"/>
  <c r="LC12" i="9"/>
  <c r="K111" i="6"/>
  <c r="L111" i="6"/>
  <c r="G112" i="6" s="1"/>
  <c r="M111" i="6"/>
  <c r="D318" i="6"/>
  <c r="E318" i="6"/>
  <c r="B318" i="6"/>
  <c r="C319" i="6"/>
  <c r="F318" i="6"/>
  <c r="LC13" i="9" l="1"/>
  <c r="LD12" i="9"/>
  <c r="B319" i="6"/>
  <c r="C320" i="6"/>
  <c r="D319" i="6"/>
  <c r="F319" i="6" s="1"/>
  <c r="E319" i="6"/>
  <c r="I112" i="6"/>
  <c r="LD13" i="9" l="1"/>
  <c r="LE12" i="9"/>
  <c r="D320" i="6"/>
  <c r="E320" i="6"/>
  <c r="B320" i="6"/>
  <c r="C321" i="6"/>
  <c r="F320" i="6"/>
  <c r="H112" i="6"/>
  <c r="J112" i="6" s="1"/>
  <c r="LE13" i="9" l="1"/>
  <c r="LF12" i="9"/>
  <c r="K112" i="6"/>
  <c r="L112" i="6"/>
  <c r="G113" i="6" s="1"/>
  <c r="M112" i="6"/>
  <c r="C322" i="6"/>
  <c r="B321" i="6"/>
  <c r="D321" i="6"/>
  <c r="F321" i="6" s="1"/>
  <c r="E321" i="6"/>
  <c r="LG12" i="9" l="1"/>
  <c r="LF13" i="9"/>
  <c r="D322" i="6"/>
  <c r="F322" i="6" s="1"/>
  <c r="E322" i="6"/>
  <c r="B322" i="6"/>
  <c r="C323" i="6"/>
  <c r="I113" i="6"/>
  <c r="LH12" i="9" l="1"/>
  <c r="LG13" i="9"/>
  <c r="B323" i="6"/>
  <c r="D323" i="6"/>
  <c r="F323" i="6" s="1"/>
  <c r="C324" i="6"/>
  <c r="E323" i="6"/>
  <c r="H113" i="6"/>
  <c r="J113" i="6" s="1"/>
  <c r="LI12" i="9" l="1"/>
  <c r="LH13" i="9"/>
  <c r="K113" i="6"/>
  <c r="M113" i="6" s="1"/>
  <c r="L113" i="6"/>
  <c r="G114" i="6" s="1"/>
  <c r="D324" i="6"/>
  <c r="E324" i="6"/>
  <c r="B324" i="6"/>
  <c r="C325" i="6"/>
  <c r="F324" i="6"/>
  <c r="LJ12" i="9" l="1"/>
  <c r="LI13" i="9"/>
  <c r="F325" i="6"/>
  <c r="C326" i="6"/>
  <c r="E325" i="6"/>
  <c r="D325" i="6"/>
  <c r="B325" i="6"/>
  <c r="I114" i="6"/>
  <c r="LJ13" i="9" l="1"/>
  <c r="LK12" i="9"/>
  <c r="H114" i="6"/>
  <c r="J114" i="6" s="1"/>
  <c r="D326" i="6"/>
  <c r="E326" i="6"/>
  <c r="B326" i="6"/>
  <c r="F326" i="6"/>
  <c r="C327" i="6"/>
  <c r="LK13" i="9" l="1"/>
  <c r="LL12" i="9"/>
  <c r="D327" i="6"/>
  <c r="F327" i="6" s="1"/>
  <c r="E327" i="6"/>
  <c r="B327" i="6"/>
  <c r="C328" i="6"/>
  <c r="K114" i="6"/>
  <c r="L114" i="6" s="1"/>
  <c r="G115" i="6" s="1"/>
  <c r="LL13" i="9" l="1"/>
  <c r="LM12" i="9"/>
  <c r="I115" i="6"/>
  <c r="M114" i="6"/>
  <c r="D328" i="6"/>
  <c r="E328" i="6"/>
  <c r="B328" i="6"/>
  <c r="F328" i="6"/>
  <c r="C329" i="6"/>
  <c r="LM13" i="9" l="1"/>
  <c r="LN12" i="9"/>
  <c r="H115" i="6"/>
  <c r="J115" i="6" s="1"/>
  <c r="E329" i="6"/>
  <c r="C330" i="6"/>
  <c r="D329" i="6"/>
  <c r="F329" i="6" s="1"/>
  <c r="B329" i="6"/>
  <c r="LN13" i="9" l="1"/>
  <c r="LO12" i="9"/>
  <c r="D330" i="6"/>
  <c r="F330" i="6" s="1"/>
  <c r="E330" i="6"/>
  <c r="B330" i="6"/>
  <c r="C331" i="6"/>
  <c r="K115" i="6"/>
  <c r="M115" i="6" s="1"/>
  <c r="L115" i="6"/>
  <c r="G116" i="6" s="1"/>
  <c r="LO13" i="9" l="1"/>
  <c r="LP12" i="9"/>
  <c r="I116" i="6"/>
  <c r="D331" i="6"/>
  <c r="F331" i="6" s="1"/>
  <c r="E331" i="6"/>
  <c r="B331" i="6"/>
  <c r="C332" i="6"/>
  <c r="LP13" i="9" l="1"/>
  <c r="LQ12" i="9"/>
  <c r="D332" i="6"/>
  <c r="F332" i="6" s="1"/>
  <c r="E332" i="6"/>
  <c r="B332" i="6"/>
  <c r="C333" i="6"/>
  <c r="H116" i="6"/>
  <c r="J116" i="6" s="1"/>
  <c r="LR12" i="9" l="1"/>
  <c r="LQ13" i="9"/>
  <c r="K116" i="6"/>
  <c r="L116" i="6" s="1"/>
  <c r="G117" i="6" s="1"/>
  <c r="E333" i="6"/>
  <c r="D333" i="6"/>
  <c r="F333" i="6" s="1"/>
  <c r="B333" i="6"/>
  <c r="C334" i="6"/>
  <c r="M116" i="6"/>
  <c r="LS12" i="9" l="1"/>
  <c r="LR13" i="9"/>
  <c r="I117" i="6"/>
  <c r="D334" i="6"/>
  <c r="E334" i="6"/>
  <c r="B334" i="6"/>
  <c r="C335" i="6"/>
  <c r="F334" i="6"/>
  <c r="LS13" i="9" l="1"/>
  <c r="LT12" i="9"/>
  <c r="B335" i="6"/>
  <c r="C336" i="6"/>
  <c r="D335" i="6"/>
  <c r="F335" i="6" s="1"/>
  <c r="E335" i="6"/>
  <c r="H117" i="6"/>
  <c r="J117" i="6" s="1"/>
  <c r="LU12" i="9" l="1"/>
  <c r="LT13" i="9"/>
  <c r="K117" i="6"/>
  <c r="M117" i="6" s="1"/>
  <c r="L117" i="6"/>
  <c r="G118" i="6" s="1"/>
  <c r="D336" i="6"/>
  <c r="E336" i="6"/>
  <c r="B336" i="6"/>
  <c r="C337" i="6"/>
  <c r="F336" i="6"/>
  <c r="LV12" i="9" l="1"/>
  <c r="LU13" i="9"/>
  <c r="B337" i="6"/>
  <c r="D337" i="6"/>
  <c r="F337" i="6" s="1"/>
  <c r="E337" i="6"/>
  <c r="C338" i="6"/>
  <c r="I118" i="6"/>
  <c r="LW12" i="9" l="1"/>
  <c r="LV13" i="9"/>
  <c r="H118" i="6"/>
  <c r="J118" i="6" s="1"/>
  <c r="D338" i="6"/>
  <c r="E338" i="6"/>
  <c r="B338" i="6"/>
  <c r="C339" i="6"/>
  <c r="F338" i="6"/>
  <c r="LX12" i="9" l="1"/>
  <c r="LW13" i="9"/>
  <c r="F339" i="6"/>
  <c r="B339" i="6"/>
  <c r="C340" i="6"/>
  <c r="D339" i="6"/>
  <c r="E339" i="6"/>
  <c r="K118" i="6"/>
  <c r="M118" i="6" s="1"/>
  <c r="LY12" i="9" l="1"/>
  <c r="LX13" i="9"/>
  <c r="L118" i="6"/>
  <c r="G119" i="6" s="1"/>
  <c r="D340" i="6"/>
  <c r="E340" i="6"/>
  <c r="B340" i="6"/>
  <c r="C341" i="6"/>
  <c r="F340" i="6"/>
  <c r="LZ12" i="9" l="1"/>
  <c r="LY13" i="9"/>
  <c r="F341" i="6"/>
  <c r="C342" i="6"/>
  <c r="D341" i="6"/>
  <c r="E341" i="6"/>
  <c r="B341" i="6"/>
  <c r="I119" i="6"/>
  <c r="LZ13" i="9" l="1"/>
  <c r="MA12" i="9"/>
  <c r="H119" i="6"/>
  <c r="J119" i="6" s="1"/>
  <c r="D342" i="6"/>
  <c r="E342" i="6"/>
  <c r="B342" i="6"/>
  <c r="F342" i="6"/>
  <c r="C343" i="6"/>
  <c r="MB12" i="9" l="1"/>
  <c r="MA13" i="9"/>
  <c r="K119" i="6"/>
  <c r="L119" i="6"/>
  <c r="G120" i="6" s="1"/>
  <c r="D343" i="6"/>
  <c r="F343" i="6" s="1"/>
  <c r="E343" i="6"/>
  <c r="B343" i="6"/>
  <c r="C344" i="6"/>
  <c r="M119" i="6"/>
  <c r="MC12" i="9" l="1"/>
  <c r="MB13" i="9"/>
  <c r="D344" i="6"/>
  <c r="F344" i="6" s="1"/>
  <c r="E344" i="6"/>
  <c r="B344" i="6"/>
  <c r="C345" i="6"/>
  <c r="I120" i="6"/>
  <c r="MD12" i="9" l="1"/>
  <c r="MC13" i="9"/>
  <c r="H120" i="6"/>
  <c r="J120" i="6" s="1"/>
  <c r="E345" i="6"/>
  <c r="C346" i="6"/>
  <c r="D345" i="6"/>
  <c r="F345" i="6" s="1"/>
  <c r="B345" i="6"/>
  <c r="ME12" i="9" l="1"/>
  <c r="MD13" i="9"/>
  <c r="D346" i="6"/>
  <c r="E346" i="6"/>
  <c r="B346" i="6"/>
  <c r="F346" i="6"/>
  <c r="C347" i="6"/>
  <c r="K120" i="6"/>
  <c r="L120" i="6"/>
  <c r="G121" i="6" s="1"/>
  <c r="M120" i="6"/>
  <c r="MF12" i="9" l="1"/>
  <c r="ME13" i="9"/>
  <c r="I121" i="6"/>
  <c r="D347" i="6"/>
  <c r="F347" i="6" s="1"/>
  <c r="E347" i="6"/>
  <c r="B347" i="6"/>
  <c r="C348" i="6"/>
  <c r="MF13" i="9" l="1"/>
  <c r="MG12" i="9"/>
  <c r="D348" i="6"/>
  <c r="E348" i="6"/>
  <c r="B348" i="6"/>
  <c r="F348" i="6"/>
  <c r="C349" i="6"/>
  <c r="H121" i="6"/>
  <c r="J121" i="6" s="1"/>
  <c r="MH12" i="9" l="1"/>
  <c r="MG13" i="9"/>
  <c r="E349" i="6"/>
  <c r="B349" i="6"/>
  <c r="C350" i="6"/>
  <c r="D349" i="6"/>
  <c r="F349" i="6" s="1"/>
  <c r="K121" i="6"/>
  <c r="M121" i="6" s="1"/>
  <c r="L121" i="6"/>
  <c r="G122" i="6" s="1"/>
  <c r="MH13" i="9" l="1"/>
  <c r="MI12" i="9"/>
  <c r="D350" i="6"/>
  <c r="E350" i="6"/>
  <c r="B350" i="6"/>
  <c r="F350" i="6"/>
  <c r="C351" i="6"/>
  <c r="I122" i="6"/>
  <c r="MI13" i="9" l="1"/>
  <c r="MJ12" i="9"/>
  <c r="H122" i="6"/>
  <c r="J122" i="6" s="1"/>
  <c r="B351" i="6"/>
  <c r="E351" i="6"/>
  <c r="C352" i="6"/>
  <c r="D351" i="6"/>
  <c r="F351" i="6" s="1"/>
  <c r="MK12" i="9" l="1"/>
  <c r="MJ13" i="9"/>
  <c r="D352" i="6"/>
  <c r="E352" i="6"/>
  <c r="B352" i="6"/>
  <c r="C353" i="6"/>
  <c r="F352" i="6"/>
  <c r="K122" i="6"/>
  <c r="M122" i="6" s="1"/>
  <c r="ML12" i="9" l="1"/>
  <c r="MK13" i="9"/>
  <c r="L122" i="6"/>
  <c r="G123" i="6" s="1"/>
  <c r="B353" i="6"/>
  <c r="C354" i="6"/>
  <c r="D353" i="6"/>
  <c r="F353" i="6" s="1"/>
  <c r="E353" i="6"/>
  <c r="MM12" i="9" l="1"/>
  <c r="ML13" i="9"/>
  <c r="D354" i="6"/>
  <c r="E354" i="6"/>
  <c r="B354" i="6"/>
  <c r="C355" i="6"/>
  <c r="F354" i="6"/>
  <c r="I123" i="6"/>
  <c r="MN12" i="9" l="1"/>
  <c r="MM13" i="9"/>
  <c r="H123" i="6"/>
  <c r="J123" i="6" s="1"/>
  <c r="B355" i="6"/>
  <c r="C356" i="6"/>
  <c r="D355" i="6"/>
  <c r="F355" i="6" s="1"/>
  <c r="E355" i="6"/>
  <c r="MO12" i="9" l="1"/>
  <c r="MN13" i="9"/>
  <c r="D356" i="6"/>
  <c r="E356" i="6"/>
  <c r="B356" i="6"/>
  <c r="C357" i="6"/>
  <c r="F356" i="6"/>
  <c r="K123" i="6"/>
  <c r="L123" i="6"/>
  <c r="G124" i="6" s="1"/>
  <c r="M123" i="6"/>
  <c r="MP12" i="9" l="1"/>
  <c r="MO13" i="9"/>
  <c r="I124" i="6"/>
  <c r="C358" i="6"/>
  <c r="D357" i="6"/>
  <c r="F357" i="6" s="1"/>
  <c r="E357" i="6"/>
  <c r="B357" i="6"/>
  <c r="MP13" i="9" l="1"/>
  <c r="MQ12" i="9"/>
  <c r="D358" i="6"/>
  <c r="F358" i="6" s="1"/>
  <c r="E358" i="6"/>
  <c r="B358" i="6"/>
  <c r="C359" i="6"/>
  <c r="H124" i="6"/>
  <c r="J124" i="6" s="1"/>
  <c r="MQ13" i="9" l="1"/>
  <c r="MR12" i="9"/>
  <c r="K124" i="6"/>
  <c r="M124" i="6" s="1"/>
  <c r="D359" i="6"/>
  <c r="F359" i="6" s="1"/>
  <c r="E359" i="6"/>
  <c r="B359" i="6"/>
  <c r="C360" i="6"/>
  <c r="MR13" i="9" l="1"/>
  <c r="MS12" i="9"/>
  <c r="D360" i="6"/>
  <c r="E360" i="6"/>
  <c r="B360" i="6"/>
  <c r="F360" i="6"/>
  <c r="C361" i="6"/>
  <c r="L124" i="6"/>
  <c r="G125" i="6" s="1"/>
  <c r="MT12" i="9" l="1"/>
  <c r="MS13" i="9"/>
  <c r="I125" i="6"/>
  <c r="E361" i="6"/>
  <c r="C362" i="6"/>
  <c r="D361" i="6"/>
  <c r="F361" i="6" s="1"/>
  <c r="B361" i="6"/>
  <c r="MU12" i="9" l="1"/>
  <c r="MT13" i="9"/>
  <c r="H125" i="6"/>
  <c r="J125" i="6" s="1"/>
  <c r="D362" i="6"/>
  <c r="E362" i="6"/>
  <c r="B362" i="6"/>
  <c r="F362" i="6"/>
  <c r="C363" i="6"/>
  <c r="MU13" i="9" l="1"/>
  <c r="MV12" i="9"/>
  <c r="D363" i="6"/>
  <c r="F363" i="6" s="1"/>
  <c r="E363" i="6"/>
  <c r="B363" i="6"/>
  <c r="C364" i="6"/>
  <c r="K125" i="6"/>
  <c r="M125" i="6" s="1"/>
  <c r="MV13" i="9" l="1"/>
  <c r="MW12" i="9"/>
  <c r="D364" i="6"/>
  <c r="E364" i="6"/>
  <c r="B364" i="6"/>
  <c r="F364" i="6"/>
  <c r="C365" i="6"/>
  <c r="L125" i="6"/>
  <c r="G126" i="6" s="1"/>
  <c r="MX12" i="9" l="1"/>
  <c r="MW13" i="9"/>
  <c r="E365" i="6"/>
  <c r="B365" i="6"/>
  <c r="D365" i="6"/>
  <c r="F365" i="6" s="1"/>
  <c r="C366" i="6"/>
  <c r="I126" i="6"/>
  <c r="MX13" i="9" l="1"/>
  <c r="MY12" i="9"/>
  <c r="H126" i="6"/>
  <c r="J126" i="6" s="1"/>
  <c r="D366" i="6"/>
  <c r="E366" i="6"/>
  <c r="B366" i="6"/>
  <c r="C367" i="6"/>
  <c r="F366" i="6"/>
  <c r="MY13" i="9" l="1"/>
  <c r="MZ12" i="9"/>
  <c r="B367" i="6"/>
  <c r="D367" i="6"/>
  <c r="F367" i="6" s="1"/>
  <c r="E367" i="6"/>
  <c r="C368" i="6"/>
  <c r="K126" i="6"/>
  <c r="M126" i="6" s="1"/>
  <c r="L126" i="6"/>
  <c r="G127" i="6" s="1"/>
  <c r="NA12" i="9" l="1"/>
  <c r="MZ13" i="9"/>
  <c r="I127" i="6"/>
  <c r="D368" i="6"/>
  <c r="E368" i="6"/>
  <c r="B368" i="6"/>
  <c r="C369" i="6"/>
  <c r="F368" i="6"/>
  <c r="NB12" i="9" l="1"/>
  <c r="NA13" i="9"/>
  <c r="F369" i="6"/>
  <c r="B369" i="6"/>
  <c r="C370" i="6"/>
  <c r="D369" i="6"/>
  <c r="E369" i="6"/>
  <c r="H127" i="6"/>
  <c r="J127" i="6" s="1"/>
  <c r="NC12" i="9" l="1"/>
  <c r="NB13" i="9"/>
  <c r="D370" i="6"/>
  <c r="E370" i="6"/>
  <c r="B370" i="6"/>
  <c r="C371" i="6"/>
  <c r="F370" i="6"/>
  <c r="K127" i="6"/>
  <c r="M127" i="6" s="1"/>
  <c r="L127" i="6"/>
  <c r="G128" i="6" s="1"/>
  <c r="ND12" i="9" l="1"/>
  <c r="NC13" i="9"/>
  <c r="I128" i="6"/>
  <c r="B371" i="6"/>
  <c r="D371" i="6"/>
  <c r="F371" i="6" s="1"/>
  <c r="C372" i="6"/>
  <c r="E371" i="6"/>
  <c r="NE12" i="9" l="1"/>
  <c r="ND13" i="9"/>
  <c r="D372" i="6"/>
  <c r="E372" i="6"/>
  <c r="B372" i="6"/>
  <c r="C373" i="6"/>
  <c r="F372" i="6"/>
  <c r="H128" i="6"/>
  <c r="J128" i="6" s="1"/>
  <c r="NF12" i="9" l="1"/>
  <c r="NE13" i="9"/>
  <c r="K128" i="6"/>
  <c r="L128" i="6"/>
  <c r="G129" i="6" s="1"/>
  <c r="M128" i="6"/>
  <c r="C374" i="6"/>
  <c r="D373" i="6"/>
  <c r="F373" i="6" s="1"/>
  <c r="E373" i="6"/>
  <c r="B373" i="6"/>
  <c r="NF13" i="9" l="1"/>
  <c r="NG12" i="9"/>
  <c r="D374" i="6"/>
  <c r="F374" i="6" s="1"/>
  <c r="E374" i="6"/>
  <c r="B374" i="6"/>
  <c r="C375" i="6"/>
  <c r="I129" i="6"/>
  <c r="NG13" i="9" l="1"/>
  <c r="NH12" i="9"/>
  <c r="H129" i="6"/>
  <c r="J129" i="6" s="1"/>
  <c r="D375" i="6"/>
  <c r="F375" i="6" s="1"/>
  <c r="E375" i="6"/>
  <c r="B375" i="6"/>
  <c r="NH13" i="9" l="1"/>
  <c r="NI12" i="9"/>
  <c r="K129" i="6"/>
  <c r="M129" i="6" s="1"/>
  <c r="NJ12" i="9" l="1"/>
  <c r="NI13" i="9"/>
  <c r="L129" i="6"/>
  <c r="G130" i="6" s="1"/>
  <c r="NK12" i="9" l="1"/>
  <c r="NJ13" i="9"/>
  <c r="I130" i="6"/>
  <c r="NL12" i="9" l="1"/>
  <c r="NK13" i="9"/>
  <c r="H130" i="6"/>
  <c r="J130" i="6" s="1"/>
  <c r="NM12" i="9" l="1"/>
  <c r="NL13" i="9"/>
  <c r="K130" i="6"/>
  <c r="M130" i="6" s="1"/>
  <c r="L130" i="6"/>
  <c r="G131" i="6" s="1"/>
  <c r="NN12" i="9" l="1"/>
  <c r="NM13" i="9"/>
  <c r="I131" i="6"/>
  <c r="NN13" i="9" l="1"/>
  <c r="NO12" i="9"/>
  <c r="H131" i="6"/>
  <c r="J131" i="6" s="1"/>
  <c r="NO13" i="9" l="1"/>
  <c r="NP12" i="9"/>
  <c r="K131" i="6"/>
  <c r="M131" i="6" s="1"/>
  <c r="L131" i="6"/>
  <c r="G132" i="6" s="1"/>
  <c r="NP13" i="9" l="1"/>
  <c r="NQ12" i="9"/>
  <c r="I132" i="6"/>
  <c r="NQ13" i="9" l="1"/>
  <c r="NR12" i="9"/>
  <c r="H132" i="6"/>
  <c r="J132" i="6" s="1"/>
  <c r="NS12" i="9" l="1"/>
  <c r="NR13" i="9"/>
  <c r="K132" i="6"/>
  <c r="L132" i="6" s="1"/>
  <c r="G133" i="6" s="1"/>
  <c r="M132" i="6"/>
  <c r="NS13" i="9" l="1"/>
  <c r="NT12" i="9"/>
  <c r="I133" i="6"/>
  <c r="NU12" i="9" l="1"/>
  <c r="NT13" i="9"/>
  <c r="H133" i="6"/>
  <c r="J133" i="6" s="1"/>
  <c r="NV12" i="9" l="1"/>
  <c r="NU13" i="9"/>
  <c r="K133" i="6"/>
  <c r="L133" i="6"/>
  <c r="G134" i="6" s="1"/>
  <c r="M133" i="6"/>
  <c r="NV13" i="9" l="1"/>
  <c r="NW12" i="9"/>
  <c r="I134" i="6"/>
  <c r="NW13" i="9" l="1"/>
  <c r="NX12" i="9"/>
  <c r="H134" i="6"/>
  <c r="J134" i="6" s="1"/>
  <c r="NX13" i="9" l="1"/>
  <c r="NY12" i="9"/>
  <c r="K134" i="6"/>
  <c r="L134" i="6" s="1"/>
  <c r="G135" i="6" s="1"/>
  <c r="M134" i="6"/>
  <c r="NY13" i="9" l="1"/>
  <c r="NZ12" i="9"/>
  <c r="I135" i="6"/>
  <c r="NZ13" i="9" l="1"/>
  <c r="OA12" i="9"/>
  <c r="H135" i="6"/>
  <c r="J135" i="6" s="1"/>
  <c r="OB12" i="9" l="1"/>
  <c r="OA13" i="9"/>
  <c r="K135" i="6"/>
  <c r="L135" i="6" s="1"/>
  <c r="G136" i="6" s="1"/>
  <c r="M135" i="6"/>
  <c r="OC12" i="9" l="1"/>
  <c r="OB13" i="9"/>
  <c r="I136" i="6"/>
  <c r="OD12" i="9" l="1"/>
  <c r="OC13" i="9"/>
  <c r="H136" i="6"/>
  <c r="J136" i="6" s="1"/>
  <c r="OE12" i="9" l="1"/>
  <c r="OD13" i="9"/>
  <c r="K136" i="6"/>
  <c r="M136" i="6" s="1"/>
  <c r="OE13" i="9" l="1"/>
  <c r="OF12" i="9"/>
  <c r="L136" i="6"/>
  <c r="G137" i="6" s="1"/>
  <c r="OF13" i="9" l="1"/>
  <c r="OG12" i="9"/>
  <c r="I137" i="6"/>
  <c r="OH12" i="9" l="1"/>
  <c r="OG13" i="9"/>
  <c r="H137" i="6"/>
  <c r="J137" i="6" s="1"/>
  <c r="OI12" i="9" l="1"/>
  <c r="OH13" i="9"/>
  <c r="K137" i="6"/>
  <c r="L137" i="6" s="1"/>
  <c r="G138" i="6" s="1"/>
  <c r="M137" i="6"/>
  <c r="OJ12" i="9" l="1"/>
  <c r="OI13" i="9"/>
  <c r="I138" i="6"/>
  <c r="OK12" i="9" l="1"/>
  <c r="OJ13" i="9"/>
  <c r="H138" i="6"/>
  <c r="J138" i="6" s="1"/>
  <c r="OL12" i="9" l="1"/>
  <c r="OK13" i="9"/>
  <c r="K138" i="6"/>
  <c r="L138" i="6"/>
  <c r="G139" i="6" s="1"/>
  <c r="M138" i="6"/>
  <c r="OL13" i="9" l="1"/>
  <c r="OM12" i="9"/>
  <c r="I139" i="6"/>
  <c r="ON12" i="9" l="1"/>
  <c r="OM13" i="9"/>
  <c r="H139" i="6"/>
  <c r="J139" i="6" s="1"/>
  <c r="OO12" i="9" l="1"/>
  <c r="ON13" i="9"/>
  <c r="L139" i="6"/>
  <c r="G140" i="6" s="1"/>
  <c r="K139" i="6"/>
  <c r="M139" i="6" s="1"/>
  <c r="OP12" i="9" l="1"/>
  <c r="OO13" i="9"/>
  <c r="I140" i="6"/>
  <c r="OQ12" i="9" l="1"/>
  <c r="OP13" i="9"/>
  <c r="H140" i="6"/>
  <c r="J140" i="6" s="1"/>
  <c r="OQ13" i="9" l="1"/>
  <c r="OR12" i="9"/>
  <c r="K140" i="6"/>
  <c r="M140" i="6" s="1"/>
  <c r="OR13" i="9" l="1"/>
  <c r="OS12" i="9"/>
  <c r="L140" i="6"/>
  <c r="G141" i="6" s="1"/>
  <c r="OT12" i="9" l="1"/>
  <c r="OS13" i="9"/>
  <c r="I141" i="6"/>
  <c r="OT13" i="9" l="1"/>
  <c r="OU12" i="9"/>
  <c r="H141" i="6"/>
  <c r="J141" i="6" s="1"/>
  <c r="OU13" i="9" l="1"/>
  <c r="OV12" i="9"/>
  <c r="K141" i="6"/>
  <c r="M141" i="6" s="1"/>
  <c r="L141" i="6"/>
  <c r="G142" i="6" s="1"/>
  <c r="OW12" i="9" l="1"/>
  <c r="OV13" i="9"/>
  <c r="I142" i="6"/>
  <c r="OX12" i="9" l="1"/>
  <c r="OW13" i="9"/>
  <c r="H142" i="6"/>
  <c r="J142" i="6" s="1"/>
  <c r="OY12" i="9" l="1"/>
  <c r="OX13" i="9"/>
  <c r="K142" i="6"/>
  <c r="M142" i="6" s="1"/>
  <c r="L142" i="6"/>
  <c r="G143" i="6" s="1"/>
  <c r="OZ12" i="9" l="1"/>
  <c r="OY13" i="9"/>
  <c r="I143" i="6"/>
  <c r="PA12" i="9" l="1"/>
  <c r="OZ13" i="9"/>
  <c r="H143" i="6"/>
  <c r="J143" i="6" s="1"/>
  <c r="PB12" i="9" l="1"/>
  <c r="PA13" i="9"/>
  <c r="K143" i="6"/>
  <c r="L143" i="6" s="1"/>
  <c r="G144" i="6" s="1"/>
  <c r="M143" i="6"/>
  <c r="PB13" i="9" l="1"/>
  <c r="PC12" i="9"/>
  <c r="I144" i="6"/>
  <c r="PC13" i="9" l="1"/>
  <c r="PD12" i="9"/>
  <c r="H144" i="6"/>
  <c r="J144" i="6" s="1"/>
  <c r="PD13" i="9" l="1"/>
  <c r="PE12" i="9"/>
  <c r="K144" i="6"/>
  <c r="M144" i="6" s="1"/>
  <c r="PF12" i="9" l="1"/>
  <c r="PE13" i="9"/>
  <c r="L144" i="6"/>
  <c r="G145" i="6" s="1"/>
  <c r="PG12" i="9" l="1"/>
  <c r="PG13" i="9" s="1"/>
  <c r="PF13" i="9"/>
  <c r="I145" i="6"/>
  <c r="H145" i="6" l="1"/>
  <c r="J145" i="6" s="1"/>
  <c r="K145" i="6" l="1"/>
  <c r="L145" i="6"/>
  <c r="G146" i="6" s="1"/>
  <c r="M145" i="6"/>
  <c r="I146" i="6" l="1"/>
  <c r="H146" i="6" l="1"/>
  <c r="J146" i="6" s="1"/>
  <c r="K146" i="6" l="1"/>
  <c r="L146" i="6"/>
  <c r="G147" i="6" s="1"/>
  <c r="M146" i="6"/>
  <c r="I147" i="6" l="1"/>
  <c r="H147" i="6" l="1"/>
  <c r="J147" i="6" s="1"/>
  <c r="K147" i="6" l="1"/>
  <c r="M147" i="6" s="1"/>
  <c r="L147" i="6"/>
  <c r="G148" i="6" s="1"/>
  <c r="I148" i="6" l="1"/>
  <c r="H148" i="6" l="1"/>
  <c r="J148" i="6" s="1"/>
  <c r="K148" i="6" l="1"/>
  <c r="M148" i="6" s="1"/>
  <c r="L148" i="6"/>
  <c r="G149" i="6" s="1"/>
  <c r="I149" i="6" l="1"/>
  <c r="H149" i="6" l="1"/>
  <c r="J149" i="6" s="1"/>
  <c r="K149" i="6" l="1"/>
  <c r="M149" i="6" s="1"/>
  <c r="L149" i="6"/>
  <c r="G150" i="6" s="1"/>
  <c r="I150" i="6" l="1"/>
  <c r="H150" i="6" l="1"/>
  <c r="J150" i="6" s="1"/>
  <c r="K150" i="6" l="1"/>
  <c r="L150" i="6"/>
  <c r="G151" i="6" s="1"/>
  <c r="M150" i="6"/>
  <c r="I151" i="6" l="1"/>
  <c r="H151" i="6" l="1"/>
  <c r="J151" i="6" s="1"/>
  <c r="K151" i="6" l="1"/>
  <c r="M151" i="6" s="1"/>
  <c r="L151" i="6"/>
  <c r="G152" i="6" s="1"/>
  <c r="I152" i="6" l="1"/>
  <c r="H152" i="6" l="1"/>
  <c r="J152" i="6" s="1"/>
  <c r="K152" i="6" l="1"/>
  <c r="M152" i="6" s="1"/>
  <c r="L152" i="6" l="1"/>
  <c r="G153" i="6" s="1"/>
  <c r="I153" i="6" l="1"/>
  <c r="H153" i="6" l="1"/>
  <c r="J153" i="6" s="1"/>
  <c r="K153" i="6" l="1"/>
  <c r="L153" i="6" s="1"/>
  <c r="G154" i="6" s="1"/>
  <c r="M153" i="6"/>
  <c r="I154" i="6" l="1"/>
  <c r="H154" i="6" l="1"/>
  <c r="J154" i="6" s="1"/>
  <c r="K154" i="6" l="1"/>
  <c r="M154" i="6" s="1"/>
  <c r="L154" i="6"/>
  <c r="G155" i="6" s="1"/>
  <c r="I155" i="6" l="1"/>
  <c r="H155" i="6" l="1"/>
  <c r="J155" i="6" s="1"/>
  <c r="K155" i="6" l="1"/>
  <c r="M155" i="6" s="1"/>
  <c r="L155" i="6" l="1"/>
  <c r="G156" i="6" s="1"/>
  <c r="I156" i="6" l="1"/>
  <c r="H156" i="6" l="1"/>
  <c r="J156" i="6" s="1"/>
  <c r="K156" i="6" l="1"/>
  <c r="L156" i="6"/>
  <c r="G157" i="6" s="1"/>
  <c r="M156" i="6"/>
  <c r="I157" i="6" l="1"/>
  <c r="H157" i="6" l="1"/>
  <c r="J157" i="6" s="1"/>
  <c r="K157" i="6" l="1"/>
  <c r="L157" i="6"/>
  <c r="G158" i="6" s="1"/>
  <c r="M157" i="6"/>
  <c r="I158" i="6" l="1"/>
  <c r="H158" i="6" l="1"/>
  <c r="J158" i="6" s="1"/>
  <c r="K158" i="6" l="1"/>
  <c r="L158" i="6"/>
  <c r="G159" i="6" s="1"/>
  <c r="M158" i="6"/>
  <c r="I159" i="6" l="1"/>
  <c r="H159" i="6" l="1"/>
  <c r="J159" i="6" s="1"/>
  <c r="K159" i="6" l="1"/>
  <c r="L159" i="6"/>
  <c r="G160" i="6" s="1"/>
  <c r="M159" i="6"/>
  <c r="I160" i="6" l="1"/>
  <c r="H160" i="6" l="1"/>
  <c r="J160" i="6" s="1"/>
  <c r="K160" i="6" l="1"/>
  <c r="L160" i="6" s="1"/>
  <c r="G161" i="6" s="1"/>
  <c r="M160" i="6"/>
  <c r="I161" i="6" l="1"/>
  <c r="H161" i="6" l="1"/>
  <c r="J161" i="6" s="1"/>
  <c r="K161" i="6" l="1"/>
  <c r="L161" i="6"/>
  <c r="G162" i="6" s="1"/>
  <c r="M161" i="6"/>
  <c r="I162" i="6" l="1"/>
  <c r="H162" i="6" l="1"/>
  <c r="J162" i="6" s="1"/>
  <c r="K162" i="6" l="1"/>
  <c r="M162" i="6" s="1"/>
  <c r="L162" i="6" l="1"/>
  <c r="G163" i="6" s="1"/>
  <c r="I163" i="6" l="1"/>
  <c r="H163" i="6" l="1"/>
  <c r="J163" i="6" s="1"/>
  <c r="K163" i="6" l="1"/>
  <c r="L163" i="6"/>
  <c r="G164" i="6" s="1"/>
  <c r="M163" i="6"/>
  <c r="I164" i="6" l="1"/>
  <c r="H164" i="6" l="1"/>
  <c r="J164" i="6" s="1"/>
  <c r="K164" i="6" l="1"/>
  <c r="M164" i="6" s="1"/>
  <c r="L164" i="6" l="1"/>
  <c r="G165" i="6" s="1"/>
  <c r="I165" i="6" l="1"/>
  <c r="H165" i="6" l="1"/>
  <c r="J165" i="6" s="1"/>
  <c r="K165" i="6" l="1"/>
  <c r="L165" i="6" s="1"/>
  <c r="G166" i="6" s="1"/>
  <c r="M165" i="6"/>
  <c r="I166" i="6" l="1"/>
  <c r="H166" i="6" l="1"/>
  <c r="J166" i="6" s="1"/>
  <c r="K166" i="6" l="1"/>
  <c r="L166" i="6" s="1"/>
  <c r="G167" i="6" s="1"/>
  <c r="M166" i="6"/>
  <c r="I167" i="6" l="1"/>
  <c r="H167" i="6" l="1"/>
  <c r="J167" i="6" s="1"/>
  <c r="K167" i="6" l="1"/>
  <c r="M167" i="6" s="1"/>
  <c r="L167" i="6"/>
  <c r="G168" i="6" s="1"/>
  <c r="I168" i="6" l="1"/>
  <c r="H168" i="6" l="1"/>
  <c r="J168" i="6" s="1"/>
  <c r="K168" i="6" l="1"/>
  <c r="M168" i="6" s="1"/>
  <c r="L168" i="6"/>
  <c r="G169" i="6" s="1"/>
  <c r="I169" i="6" l="1"/>
  <c r="H169" i="6" l="1"/>
  <c r="J169" i="6" s="1"/>
  <c r="K169" i="6" l="1"/>
  <c r="M169" i="6" s="1"/>
  <c r="L169" i="6"/>
  <c r="G170" i="6" s="1"/>
  <c r="I170" i="6" l="1"/>
  <c r="H170" i="6" l="1"/>
  <c r="J170" i="6" s="1"/>
  <c r="K170" i="6" l="1"/>
  <c r="L170" i="6" s="1"/>
  <c r="G171" i="6" s="1"/>
  <c r="M170" i="6"/>
  <c r="I171" i="6" l="1"/>
  <c r="H171" i="6" l="1"/>
  <c r="J171" i="6" s="1"/>
  <c r="K171" i="6" l="1"/>
  <c r="L171" i="6" s="1"/>
  <c r="G172" i="6" s="1"/>
  <c r="M171" i="6"/>
  <c r="I172" i="6" l="1"/>
  <c r="H172" i="6" l="1"/>
  <c r="J172" i="6" s="1"/>
  <c r="K172" i="6" l="1"/>
  <c r="M172" i="6" s="1"/>
  <c r="L172" i="6" l="1"/>
  <c r="G173" i="6" s="1"/>
  <c r="I173" i="6" l="1"/>
  <c r="H173" i="6" l="1"/>
  <c r="J173" i="6" s="1"/>
  <c r="K173" i="6" l="1"/>
  <c r="M173" i="6" s="1"/>
  <c r="L173" i="6"/>
  <c r="G174" i="6" s="1"/>
  <c r="I174" i="6" l="1"/>
  <c r="H174" i="6" l="1"/>
  <c r="J174" i="6" s="1"/>
  <c r="K174" i="6" l="1"/>
  <c r="M174" i="6" s="1"/>
  <c r="L174" i="6" l="1"/>
  <c r="G175" i="6" s="1"/>
  <c r="I175" i="6" l="1"/>
  <c r="H175" i="6" l="1"/>
  <c r="J175" i="6" s="1"/>
  <c r="K175" i="6" l="1"/>
  <c r="L175" i="6"/>
  <c r="G176" i="6" s="1"/>
  <c r="M175" i="6"/>
  <c r="I176" i="6" l="1"/>
  <c r="H176" i="6" l="1"/>
  <c r="J176" i="6" s="1"/>
  <c r="K176" i="6" l="1"/>
  <c r="M176" i="6" s="1"/>
  <c r="L176" i="6" l="1"/>
  <c r="G177" i="6" s="1"/>
  <c r="I177" i="6" l="1"/>
  <c r="H177" i="6" l="1"/>
  <c r="J177" i="6" s="1"/>
  <c r="K177" i="6" l="1"/>
  <c r="M177" i="6" s="1"/>
  <c r="L177" i="6"/>
  <c r="G178" i="6" s="1"/>
  <c r="I178" i="6" l="1"/>
  <c r="H178" i="6" l="1"/>
  <c r="J178" i="6" s="1"/>
  <c r="K178" i="6" l="1"/>
  <c r="M178" i="6" s="1"/>
  <c r="L178" i="6"/>
  <c r="G179" i="6" s="1"/>
  <c r="I179" i="6" l="1"/>
  <c r="H179" i="6" l="1"/>
  <c r="J179" i="6" s="1"/>
  <c r="K179" i="6" l="1"/>
  <c r="M179" i="6" s="1"/>
  <c r="L179" i="6"/>
  <c r="G180" i="6" s="1"/>
  <c r="I180" i="6" l="1"/>
  <c r="H180" i="6" l="1"/>
  <c r="J180" i="6" s="1"/>
  <c r="K180" i="6" l="1"/>
  <c r="L180" i="6" s="1"/>
  <c r="G181" i="6" s="1"/>
  <c r="M180" i="6"/>
  <c r="I181" i="6" l="1"/>
  <c r="H181" i="6" l="1"/>
  <c r="J181" i="6" s="1"/>
  <c r="K181" i="6" l="1"/>
  <c r="L181" i="6"/>
  <c r="G182" i="6" s="1"/>
  <c r="M181" i="6"/>
  <c r="I182" i="6" l="1"/>
  <c r="H182" i="6" l="1"/>
  <c r="J182" i="6" s="1"/>
  <c r="K182" i="6" l="1"/>
  <c r="L182" i="6" s="1"/>
  <c r="G183" i="6" s="1"/>
  <c r="M182" i="6"/>
  <c r="I183" i="6" l="1"/>
  <c r="H183" i="6" l="1"/>
  <c r="J183" i="6" s="1"/>
  <c r="K183" i="6" l="1"/>
  <c r="L183" i="6" s="1"/>
  <c r="G184" i="6" s="1"/>
  <c r="M183" i="6"/>
  <c r="I184" i="6" l="1"/>
  <c r="H184" i="6" l="1"/>
  <c r="J184" i="6" s="1"/>
  <c r="K184" i="6" l="1"/>
  <c r="L184" i="6" s="1"/>
  <c r="G185" i="6" s="1"/>
  <c r="M184" i="6"/>
  <c r="I185" i="6" l="1"/>
  <c r="H185" i="6" l="1"/>
  <c r="J185" i="6" s="1"/>
  <c r="K185" i="6" l="1"/>
  <c r="M185" i="6" s="1"/>
  <c r="L185" i="6"/>
  <c r="G186" i="6" s="1"/>
  <c r="I186" i="6" l="1"/>
  <c r="H186" i="6" l="1"/>
  <c r="J186" i="6" s="1"/>
  <c r="K186" i="6" l="1"/>
  <c r="L186" i="6" s="1"/>
  <c r="G187" i="6" s="1"/>
  <c r="M186" i="6"/>
  <c r="I187" i="6" l="1"/>
  <c r="H187" i="6" l="1"/>
  <c r="J187" i="6" s="1"/>
  <c r="K187" i="6" l="1"/>
  <c r="M187" i="6" s="1"/>
  <c r="L187" i="6" l="1"/>
  <c r="G188" i="6" s="1"/>
  <c r="I188" i="6" l="1"/>
  <c r="H188" i="6" l="1"/>
  <c r="J188" i="6" s="1"/>
  <c r="K188" i="6" l="1"/>
  <c r="L188" i="6" s="1"/>
  <c r="G189" i="6" s="1"/>
  <c r="M188" i="6"/>
  <c r="I189" i="6" l="1"/>
  <c r="H189" i="6" l="1"/>
  <c r="J189" i="6" s="1"/>
  <c r="K189" i="6" l="1"/>
  <c r="M189" i="6" s="1"/>
  <c r="L189" i="6"/>
  <c r="G190" i="6" s="1"/>
  <c r="I190" i="6" l="1"/>
  <c r="H190" i="6" l="1"/>
  <c r="J190" i="6" s="1"/>
  <c r="K190" i="6" l="1"/>
  <c r="L190" i="6" s="1"/>
  <c r="G191" i="6" s="1"/>
  <c r="M190" i="6"/>
  <c r="I191" i="6" l="1"/>
  <c r="H191" i="6" l="1"/>
  <c r="J191" i="6" s="1"/>
  <c r="K191" i="6" l="1"/>
  <c r="M191" i="6" s="1"/>
  <c r="L191" i="6"/>
  <c r="G192" i="6" s="1"/>
  <c r="I192" i="6" l="1"/>
  <c r="H192" i="6" l="1"/>
  <c r="J192" i="6" s="1"/>
  <c r="K192" i="6" l="1"/>
  <c r="M192" i="6" s="1"/>
  <c r="L192" i="6" l="1"/>
  <c r="G193" i="6" s="1"/>
  <c r="I193" i="6" l="1"/>
  <c r="H193" i="6" l="1"/>
  <c r="J193" i="6" s="1"/>
  <c r="K193" i="6" l="1"/>
  <c r="M193" i="6" s="1"/>
  <c r="L193" i="6" l="1"/>
  <c r="G194" i="6" s="1"/>
  <c r="I194" i="6" l="1"/>
  <c r="H194" i="6" l="1"/>
  <c r="J194" i="6" s="1"/>
  <c r="K194" i="6" l="1"/>
  <c r="M194" i="6" s="1"/>
  <c r="L194" i="6"/>
  <c r="G195" i="6" s="1"/>
  <c r="I195" i="6" l="1"/>
  <c r="H195" i="6" l="1"/>
  <c r="J195" i="6" s="1"/>
  <c r="K195" i="6" l="1"/>
  <c r="L195" i="6" s="1"/>
  <c r="G196" i="6" s="1"/>
  <c r="M195" i="6"/>
  <c r="I196" i="6" l="1"/>
  <c r="H196" i="6" l="1"/>
  <c r="J196" i="6" s="1"/>
  <c r="K196" i="6" l="1"/>
  <c r="L196" i="6" s="1"/>
  <c r="G197" i="6" s="1"/>
  <c r="M196" i="6"/>
  <c r="I197" i="6" l="1"/>
  <c r="H197" i="6" l="1"/>
  <c r="J197" i="6" s="1"/>
  <c r="K197" i="6" l="1"/>
  <c r="M197" i="6" s="1"/>
  <c r="L197" i="6"/>
  <c r="G198" i="6" s="1"/>
  <c r="I198" i="6" l="1"/>
  <c r="H198" i="6" l="1"/>
  <c r="J198" i="6" s="1"/>
  <c r="K198" i="6" l="1"/>
  <c r="L198" i="6" s="1"/>
  <c r="G199" i="6" s="1"/>
  <c r="M198" i="6"/>
  <c r="I199" i="6" l="1"/>
  <c r="H199" i="6" l="1"/>
  <c r="J199" i="6" s="1"/>
  <c r="K199" i="6" l="1"/>
  <c r="M199" i="6" s="1"/>
  <c r="L199" i="6"/>
  <c r="G200" i="6" s="1"/>
  <c r="I200" i="6" l="1"/>
  <c r="H200" i="6" l="1"/>
  <c r="J200" i="6" s="1"/>
  <c r="K200" i="6" l="1"/>
  <c r="L200" i="6" s="1"/>
  <c r="G201" i="6" s="1"/>
  <c r="M200" i="6"/>
  <c r="I201" i="6" l="1"/>
  <c r="H201" i="6" l="1"/>
  <c r="J201" i="6" s="1"/>
  <c r="K201" i="6" l="1"/>
  <c r="L201" i="6" s="1"/>
  <c r="G202" i="6" s="1"/>
  <c r="M201" i="6"/>
  <c r="I202" i="6" l="1"/>
  <c r="H202" i="6" l="1"/>
  <c r="J202" i="6" s="1"/>
  <c r="K202" i="6" l="1"/>
  <c r="L202" i="6"/>
  <c r="G203" i="6" s="1"/>
  <c r="M202" i="6"/>
  <c r="I203" i="6" l="1"/>
  <c r="H203" i="6" l="1"/>
  <c r="J203" i="6" s="1"/>
  <c r="K203" i="6" l="1"/>
  <c r="M203" i="6" s="1"/>
  <c r="L203" i="6" l="1"/>
  <c r="G204" i="6" s="1"/>
  <c r="I204" i="6" l="1"/>
  <c r="H204" i="6" l="1"/>
  <c r="J204" i="6" s="1"/>
  <c r="K204" i="6" l="1"/>
  <c r="L204" i="6" s="1"/>
  <c r="G205" i="6" s="1"/>
  <c r="M204" i="6"/>
  <c r="I205" i="6" l="1"/>
  <c r="H205" i="6" l="1"/>
  <c r="J205" i="6" s="1"/>
  <c r="K205" i="6" l="1"/>
  <c r="L205" i="6" s="1"/>
  <c r="G206" i="6" s="1"/>
  <c r="M205" i="6"/>
  <c r="I206" i="6" l="1"/>
  <c r="H206" i="6" l="1"/>
  <c r="J206" i="6" s="1"/>
  <c r="K206" i="6" l="1"/>
  <c r="L206" i="6"/>
  <c r="G207" i="6" s="1"/>
  <c r="M206" i="6"/>
  <c r="I207" i="6" l="1"/>
  <c r="H207" i="6" l="1"/>
  <c r="J207" i="6" s="1"/>
  <c r="K207" i="6" l="1"/>
  <c r="L207" i="6"/>
  <c r="G208" i="6" s="1"/>
  <c r="M207" i="6"/>
  <c r="I208" i="6" l="1"/>
  <c r="H208" i="6" l="1"/>
  <c r="J208" i="6" s="1"/>
  <c r="K208" i="6" l="1"/>
  <c r="M208" i="6" s="1"/>
  <c r="L208" i="6" l="1"/>
  <c r="G209" i="6" s="1"/>
  <c r="I209" i="6" l="1"/>
  <c r="H209" i="6" l="1"/>
  <c r="J209" i="6" s="1"/>
  <c r="K209" i="6" l="1"/>
  <c r="L209" i="6" s="1"/>
  <c r="G210" i="6" s="1"/>
  <c r="M209" i="6"/>
  <c r="I210" i="6" l="1"/>
  <c r="H210" i="6" l="1"/>
  <c r="J210" i="6" s="1"/>
  <c r="K210" i="6" l="1"/>
  <c r="M210" i="6" s="1"/>
  <c r="L210" i="6" l="1"/>
  <c r="G211" i="6" s="1"/>
  <c r="I211" i="6" l="1"/>
  <c r="H211" i="6" l="1"/>
  <c r="J211" i="6" s="1"/>
  <c r="K211" i="6" l="1"/>
  <c r="L211" i="6" s="1"/>
  <c r="G212" i="6" s="1"/>
  <c r="M211" i="6"/>
  <c r="I212" i="6" l="1"/>
  <c r="H212" i="6" l="1"/>
  <c r="J212" i="6" s="1"/>
  <c r="K212" i="6" l="1"/>
  <c r="M212" i="6" s="1"/>
  <c r="L212" i="6" l="1"/>
  <c r="G213" i="6" s="1"/>
  <c r="I213" i="6" l="1"/>
  <c r="H213" i="6" l="1"/>
  <c r="J213" i="6" s="1"/>
  <c r="K213" i="6" l="1"/>
  <c r="M213" i="6" s="1"/>
  <c r="L213" i="6" l="1"/>
  <c r="G214" i="6" s="1"/>
  <c r="I214" i="6" l="1"/>
  <c r="H214" i="6" l="1"/>
  <c r="J214" i="6" s="1"/>
  <c r="K214" i="6" l="1"/>
  <c r="M214" i="6" s="1"/>
  <c r="L214" i="6" l="1"/>
  <c r="G215" i="6" s="1"/>
  <c r="I215" i="6" l="1"/>
  <c r="H215" i="6" l="1"/>
  <c r="J215" i="6" s="1"/>
  <c r="K215" i="6" l="1"/>
  <c r="L215" i="6"/>
  <c r="G216" i="6" s="1"/>
  <c r="M215" i="6"/>
  <c r="I216" i="6" l="1"/>
  <c r="H216" i="6" l="1"/>
  <c r="J216" i="6" s="1"/>
  <c r="K216" i="6" l="1"/>
  <c r="M216" i="6" s="1"/>
  <c r="L216" i="6" l="1"/>
  <c r="G217" i="6" s="1"/>
  <c r="I217" i="6" l="1"/>
  <c r="H217" i="6" l="1"/>
  <c r="J217" i="6" s="1"/>
  <c r="K217" i="6" l="1"/>
  <c r="L217" i="6"/>
  <c r="G218" i="6" s="1"/>
  <c r="M217" i="6"/>
  <c r="I218" i="6" l="1"/>
  <c r="H218" i="6" l="1"/>
  <c r="J218" i="6" s="1"/>
  <c r="K218" i="6" l="1"/>
  <c r="L218" i="6" s="1"/>
  <c r="G219" i="6" s="1"/>
  <c r="M218" i="6"/>
  <c r="I219" i="6" l="1"/>
  <c r="H219" i="6" l="1"/>
  <c r="J219" i="6" s="1"/>
  <c r="K219" i="6" l="1"/>
  <c r="M219" i="6" s="1"/>
  <c r="L219" i="6"/>
  <c r="G220" i="6" s="1"/>
  <c r="I220" i="6" l="1"/>
  <c r="H220" i="6" l="1"/>
  <c r="J220" i="6" s="1"/>
  <c r="K220" i="6" l="1"/>
  <c r="L220" i="6"/>
  <c r="G221" i="6" s="1"/>
  <c r="M220" i="6"/>
  <c r="I221" i="6" l="1"/>
  <c r="H221" i="6" l="1"/>
  <c r="J221" i="6" s="1"/>
  <c r="K221" i="6" l="1"/>
  <c r="M221" i="6" s="1"/>
  <c r="L221" i="6" l="1"/>
  <c r="G222" i="6" s="1"/>
  <c r="I222" i="6" l="1"/>
  <c r="H222" i="6" l="1"/>
  <c r="J222" i="6" s="1"/>
  <c r="K222" i="6" l="1"/>
  <c r="M222" i="6" s="1"/>
  <c r="L222" i="6" l="1"/>
  <c r="G223" i="6" s="1"/>
  <c r="I223" i="6" l="1"/>
  <c r="H223" i="6" l="1"/>
  <c r="J223" i="6" s="1"/>
  <c r="L223" i="6" l="1"/>
  <c r="G224" i="6" s="1"/>
  <c r="K223" i="6"/>
  <c r="M223" i="6" s="1"/>
  <c r="I224" i="6" l="1"/>
  <c r="H224" i="6" l="1"/>
  <c r="J224" i="6" s="1"/>
  <c r="K224" i="6" l="1"/>
  <c r="L224" i="6" s="1"/>
  <c r="G225" i="6" s="1"/>
  <c r="M224" i="6"/>
  <c r="I225" i="6" l="1"/>
  <c r="H225" i="6" l="1"/>
  <c r="J225" i="6" s="1"/>
  <c r="K225" i="6" l="1"/>
  <c r="M225" i="6" s="1"/>
  <c r="L225" i="6"/>
  <c r="G226" i="6" s="1"/>
  <c r="I226" i="6" l="1"/>
  <c r="H226" i="6" l="1"/>
  <c r="J226" i="6" s="1"/>
  <c r="K226" i="6" l="1"/>
  <c r="M226" i="6" s="1"/>
  <c r="L226" i="6" l="1"/>
  <c r="G227" i="6" s="1"/>
  <c r="I227" i="6" l="1"/>
  <c r="H227" i="6" l="1"/>
  <c r="J227" i="6" s="1"/>
  <c r="K227" i="6" l="1"/>
  <c r="M227" i="6" s="1"/>
  <c r="L227" i="6"/>
  <c r="G228" i="6" s="1"/>
  <c r="I228" i="6" l="1"/>
  <c r="H228" i="6" l="1"/>
  <c r="J228" i="6" s="1"/>
  <c r="K228" i="6" l="1"/>
  <c r="M228" i="6" s="1"/>
  <c r="L228" i="6"/>
  <c r="G229" i="6" s="1"/>
  <c r="I229" i="6" l="1"/>
  <c r="H229" i="6" l="1"/>
  <c r="J229" i="6" s="1"/>
  <c r="K229" i="6" l="1"/>
  <c r="L229" i="6" s="1"/>
  <c r="G230" i="6" s="1"/>
  <c r="M229" i="6"/>
  <c r="I230" i="6" l="1"/>
  <c r="H230" i="6" l="1"/>
  <c r="J230" i="6" s="1"/>
  <c r="K230" i="6" l="1"/>
  <c r="L230" i="6" s="1"/>
  <c r="G231" i="6" s="1"/>
  <c r="I231" i="6" l="1"/>
  <c r="M230" i="6"/>
  <c r="H231" i="6" l="1"/>
  <c r="J231" i="6" s="1"/>
  <c r="K231" i="6" l="1"/>
  <c r="M231" i="6" s="1"/>
  <c r="L231" i="6"/>
  <c r="G232" i="6" s="1"/>
  <c r="I232" i="6" l="1"/>
  <c r="H232" i="6" l="1"/>
  <c r="J232" i="6" s="1"/>
  <c r="L232" i="6" l="1"/>
  <c r="G233" i="6" s="1"/>
  <c r="K232" i="6"/>
  <c r="M232" i="6"/>
  <c r="I233" i="6" l="1"/>
  <c r="H233" i="6" l="1"/>
  <c r="J233" i="6" s="1"/>
  <c r="K233" i="6" l="1"/>
  <c r="M233" i="6" s="1"/>
  <c r="L233" i="6" l="1"/>
  <c r="G234" i="6" s="1"/>
  <c r="I234" i="6" l="1"/>
  <c r="H234" i="6" l="1"/>
  <c r="J234" i="6" s="1"/>
  <c r="K234" i="6" l="1"/>
  <c r="L234" i="6" s="1"/>
  <c r="G235" i="6" s="1"/>
  <c r="M234" i="6"/>
  <c r="I235" i="6" l="1"/>
  <c r="H235" i="6" l="1"/>
  <c r="J235" i="6" s="1"/>
  <c r="K235" i="6" l="1"/>
  <c r="M235" i="6" s="1"/>
  <c r="L235" i="6"/>
  <c r="G236" i="6" s="1"/>
  <c r="I236" i="6" l="1"/>
  <c r="H236" i="6" l="1"/>
  <c r="J236" i="6" s="1"/>
  <c r="K236" i="6" l="1"/>
  <c r="L236" i="6"/>
  <c r="G237" i="6" s="1"/>
  <c r="M236" i="6"/>
  <c r="I237" i="6" l="1"/>
  <c r="H237" i="6" l="1"/>
  <c r="J237" i="6" s="1"/>
  <c r="K237" i="6" l="1"/>
  <c r="L237" i="6" s="1"/>
  <c r="G238" i="6" s="1"/>
  <c r="M237" i="6"/>
  <c r="I238" i="6" l="1"/>
  <c r="H238" i="6" l="1"/>
  <c r="J238" i="6" s="1"/>
  <c r="K238" i="6" l="1"/>
  <c r="M238" i="6" s="1"/>
  <c r="L238" i="6"/>
  <c r="G239" i="6" s="1"/>
  <c r="I239" i="6" l="1"/>
  <c r="H239" i="6" l="1"/>
  <c r="J239" i="6" s="1"/>
  <c r="K239" i="6" l="1"/>
  <c r="L239" i="6" s="1"/>
  <c r="G240" i="6" s="1"/>
  <c r="I240" i="6" l="1"/>
  <c r="M239" i="6"/>
  <c r="H240" i="6" l="1"/>
  <c r="J240" i="6" s="1"/>
  <c r="K240" i="6" l="1"/>
  <c r="M240" i="6" s="1"/>
  <c r="L240" i="6" l="1"/>
  <c r="G241" i="6" s="1"/>
  <c r="I241" i="6" l="1"/>
  <c r="H241" i="6" l="1"/>
  <c r="J241" i="6" s="1"/>
  <c r="K241" i="6" l="1"/>
  <c r="M241" i="6" s="1"/>
  <c r="L241" i="6" l="1"/>
  <c r="G242" i="6" s="1"/>
  <c r="I242" i="6" l="1"/>
  <c r="H242" i="6" l="1"/>
  <c r="J242" i="6" s="1"/>
  <c r="K242" i="6" l="1"/>
  <c r="L242" i="6"/>
  <c r="G243" i="6" s="1"/>
  <c r="M242" i="6"/>
  <c r="I243" i="6" l="1"/>
  <c r="H243" i="6" l="1"/>
  <c r="J243" i="6" s="1"/>
  <c r="K243" i="6" l="1"/>
  <c r="M243" i="6" s="1"/>
  <c r="L243" i="6" l="1"/>
  <c r="G244" i="6" s="1"/>
  <c r="I244" i="6" l="1"/>
  <c r="H244" i="6" l="1"/>
  <c r="J244" i="6" s="1"/>
  <c r="K244" i="6" l="1"/>
  <c r="L244" i="6" s="1"/>
  <c r="G245" i="6" s="1"/>
  <c r="M244" i="6"/>
  <c r="I245" i="6" l="1"/>
  <c r="H245" i="6" l="1"/>
  <c r="J245" i="6" s="1"/>
  <c r="K245" i="6" l="1"/>
  <c r="M245" i="6" s="1"/>
  <c r="L245" i="6"/>
  <c r="G246" i="6" s="1"/>
  <c r="I246" i="6" l="1"/>
  <c r="H246" i="6" l="1"/>
  <c r="J246" i="6" s="1"/>
  <c r="K246" i="6" l="1"/>
  <c r="M246" i="6" s="1"/>
  <c r="L246" i="6" l="1"/>
  <c r="G247" i="6" s="1"/>
  <c r="I247" i="6" l="1"/>
  <c r="H247" i="6" l="1"/>
  <c r="J247" i="6" s="1"/>
  <c r="K247" i="6" l="1"/>
  <c r="M247" i="6" s="1"/>
  <c r="L247" i="6"/>
  <c r="G248" i="6" s="1"/>
  <c r="I248" i="6" l="1"/>
  <c r="H248" i="6" l="1"/>
  <c r="J248" i="6" s="1"/>
  <c r="K248" i="6" l="1"/>
  <c r="M248" i="6" s="1"/>
  <c r="L248" i="6" l="1"/>
  <c r="G249" i="6" s="1"/>
  <c r="I249" i="6" l="1"/>
  <c r="H249" i="6" l="1"/>
  <c r="J249" i="6" s="1"/>
  <c r="K249" i="6" l="1"/>
  <c r="M249" i="6" s="1"/>
  <c r="L249" i="6"/>
  <c r="G250" i="6" s="1"/>
  <c r="I250" i="6" l="1"/>
  <c r="H250" i="6" l="1"/>
  <c r="J250" i="6" s="1"/>
  <c r="K250" i="6" l="1"/>
  <c r="L250" i="6" s="1"/>
  <c r="G251" i="6" s="1"/>
  <c r="M250" i="6"/>
  <c r="I251" i="6" l="1"/>
  <c r="H251" i="6" l="1"/>
  <c r="J251" i="6" s="1"/>
  <c r="K251" i="6" l="1"/>
  <c r="M251" i="6" s="1"/>
  <c r="L251" i="6"/>
  <c r="G252" i="6" s="1"/>
  <c r="I252" i="6" l="1"/>
  <c r="H252" i="6" l="1"/>
  <c r="J252" i="6" s="1"/>
  <c r="K252" i="6" l="1"/>
  <c r="L252" i="6" s="1"/>
  <c r="G253" i="6" s="1"/>
  <c r="M252" i="6"/>
  <c r="I253" i="6" l="1"/>
  <c r="H253" i="6" l="1"/>
  <c r="J253" i="6" s="1"/>
  <c r="K253" i="6" l="1"/>
  <c r="L253" i="6"/>
  <c r="G254" i="6" s="1"/>
  <c r="M253" i="6"/>
  <c r="I254" i="6" l="1"/>
  <c r="H254" i="6" l="1"/>
  <c r="J254" i="6" s="1"/>
  <c r="K254" i="6" l="1"/>
  <c r="M254" i="6" s="1"/>
  <c r="L254" i="6" l="1"/>
  <c r="G255" i="6" s="1"/>
  <c r="I255" i="6" l="1"/>
  <c r="H255" i="6" l="1"/>
  <c r="J255" i="6" s="1"/>
  <c r="K255" i="6" l="1"/>
  <c r="M255" i="6" s="1"/>
  <c r="L255" i="6"/>
  <c r="G256" i="6" s="1"/>
  <c r="I256" i="6" l="1"/>
  <c r="H256" i="6" l="1"/>
  <c r="J256" i="6" s="1"/>
  <c r="K256" i="6" l="1"/>
  <c r="L256" i="6" s="1"/>
  <c r="G257" i="6" s="1"/>
  <c r="M256" i="6"/>
  <c r="I257" i="6" l="1"/>
  <c r="H257" i="6" l="1"/>
  <c r="J257" i="6" s="1"/>
  <c r="K257" i="6" l="1"/>
  <c r="L257" i="6"/>
  <c r="G258" i="6" s="1"/>
  <c r="M257" i="6"/>
  <c r="I258" i="6" l="1"/>
  <c r="H258" i="6" l="1"/>
  <c r="J258" i="6" s="1"/>
  <c r="K258" i="6" l="1"/>
  <c r="M258" i="6" s="1"/>
  <c r="L258" i="6" l="1"/>
  <c r="G259" i="6" s="1"/>
  <c r="I259" i="6" l="1"/>
  <c r="H259" i="6" l="1"/>
  <c r="J259" i="6" s="1"/>
  <c r="K259" i="6" l="1"/>
  <c r="L259" i="6"/>
  <c r="G260" i="6" s="1"/>
  <c r="M259" i="6"/>
  <c r="I260" i="6" l="1"/>
  <c r="H260" i="6" l="1"/>
  <c r="J260" i="6" s="1"/>
  <c r="K260" i="6" l="1"/>
  <c r="M260" i="6" s="1"/>
  <c r="L260" i="6" l="1"/>
  <c r="G261" i="6" s="1"/>
  <c r="I261" i="6" l="1"/>
  <c r="H261" i="6" l="1"/>
  <c r="J261" i="6" s="1"/>
  <c r="K261" i="6" l="1"/>
  <c r="L261" i="6"/>
  <c r="G262" i="6" s="1"/>
  <c r="M261" i="6"/>
  <c r="I262" i="6" l="1"/>
  <c r="H262" i="6" l="1"/>
  <c r="J262" i="6" s="1"/>
  <c r="K262" i="6" l="1"/>
  <c r="L262" i="6" s="1"/>
  <c r="G263" i="6" s="1"/>
  <c r="M262" i="6"/>
  <c r="I263" i="6" l="1"/>
  <c r="H263" i="6" l="1"/>
  <c r="J263" i="6" s="1"/>
  <c r="K263" i="6" l="1"/>
  <c r="L263" i="6" s="1"/>
  <c r="G264" i="6" s="1"/>
  <c r="M263" i="6"/>
  <c r="I264" i="6" l="1"/>
  <c r="H264" i="6" l="1"/>
  <c r="J264" i="6" s="1"/>
  <c r="K264" i="6" l="1"/>
  <c r="M264" i="6" s="1"/>
  <c r="L264" i="6"/>
  <c r="G265" i="6" s="1"/>
  <c r="I265" i="6" l="1"/>
  <c r="H265" i="6" l="1"/>
  <c r="J265" i="6" s="1"/>
  <c r="K265" i="6" l="1"/>
  <c r="M265" i="6" s="1"/>
  <c r="L265" i="6"/>
  <c r="G266" i="6" s="1"/>
  <c r="I266" i="6" l="1"/>
  <c r="H266" i="6" l="1"/>
  <c r="J266" i="6" s="1"/>
  <c r="K266" i="6" l="1"/>
  <c r="M266" i="6" s="1"/>
  <c r="L266" i="6" l="1"/>
  <c r="G267" i="6" s="1"/>
  <c r="I267" i="6" l="1"/>
  <c r="H267" i="6" l="1"/>
  <c r="J267" i="6" s="1"/>
  <c r="K267" i="6" l="1"/>
  <c r="L267" i="6"/>
  <c r="G268" i="6" s="1"/>
  <c r="M267" i="6"/>
  <c r="I268" i="6" l="1"/>
  <c r="H268" i="6" l="1"/>
  <c r="J268" i="6" s="1"/>
  <c r="K268" i="6" l="1"/>
  <c r="L268" i="6" s="1"/>
  <c r="G269" i="6" s="1"/>
  <c r="M268" i="6"/>
  <c r="I269" i="6" l="1"/>
  <c r="H269" i="6" l="1"/>
  <c r="J269" i="6" s="1"/>
  <c r="K269" i="6" l="1"/>
  <c r="M269" i="6" s="1"/>
  <c r="L269" i="6"/>
  <c r="G270" i="6" s="1"/>
  <c r="I270" i="6" l="1"/>
  <c r="H270" i="6" l="1"/>
  <c r="J270" i="6" s="1"/>
  <c r="K270" i="6" l="1"/>
  <c r="L270" i="6" s="1"/>
  <c r="G271" i="6" s="1"/>
  <c r="M270" i="6"/>
  <c r="I271" i="6" l="1"/>
  <c r="H271" i="6" l="1"/>
  <c r="J271" i="6" s="1"/>
  <c r="K271" i="6" l="1"/>
  <c r="L271" i="6" s="1"/>
  <c r="G272" i="6" s="1"/>
  <c r="M271" i="6"/>
  <c r="I272" i="6" l="1"/>
  <c r="H272" i="6" l="1"/>
  <c r="J272" i="6" s="1"/>
  <c r="K272" i="6" l="1"/>
  <c r="L272" i="6"/>
  <c r="G273" i="6" s="1"/>
  <c r="M272" i="6"/>
  <c r="I273" i="6" l="1"/>
  <c r="H273" i="6" l="1"/>
  <c r="J273" i="6" s="1"/>
  <c r="K273" i="6" l="1"/>
  <c r="L273" i="6"/>
  <c r="G274" i="6" s="1"/>
  <c r="M273" i="6"/>
  <c r="I274" i="6" l="1"/>
  <c r="H274" i="6" l="1"/>
  <c r="J274" i="6" s="1"/>
  <c r="K274" i="6" l="1"/>
  <c r="M274" i="6" s="1"/>
  <c r="L274" i="6"/>
  <c r="G275" i="6" s="1"/>
  <c r="I275" i="6" l="1"/>
  <c r="H275" i="6" l="1"/>
  <c r="J275" i="6" s="1"/>
  <c r="K275" i="6" l="1"/>
  <c r="M275" i="6" s="1"/>
  <c r="L275" i="6"/>
  <c r="G276" i="6" s="1"/>
  <c r="I276" i="6" l="1"/>
  <c r="H276" i="6" l="1"/>
  <c r="J276" i="6" s="1"/>
  <c r="K276" i="6" l="1"/>
  <c r="M276" i="6" s="1"/>
  <c r="L276" i="6"/>
  <c r="G277" i="6" s="1"/>
  <c r="I277" i="6" l="1"/>
  <c r="H277" i="6" l="1"/>
  <c r="J277" i="6" s="1"/>
  <c r="K277" i="6" l="1"/>
  <c r="M277" i="6" s="1"/>
  <c r="L277" i="6"/>
  <c r="G278" i="6" s="1"/>
  <c r="I278" i="6" l="1"/>
  <c r="H278" i="6" l="1"/>
  <c r="J278" i="6" s="1"/>
  <c r="K278" i="6" l="1"/>
  <c r="M278" i="6" s="1"/>
  <c r="L278" i="6" l="1"/>
  <c r="G279" i="6" s="1"/>
  <c r="I279" i="6" l="1"/>
  <c r="H279" i="6" l="1"/>
  <c r="J279" i="6" s="1"/>
  <c r="K279" i="6" l="1"/>
  <c r="L279" i="6" s="1"/>
  <c r="G280" i="6" s="1"/>
  <c r="M279" i="6"/>
  <c r="I280" i="6" l="1"/>
  <c r="H280" i="6" l="1"/>
  <c r="J280" i="6" s="1"/>
  <c r="K280" i="6" l="1"/>
  <c r="M280" i="6" s="1"/>
  <c r="L280" i="6"/>
  <c r="G281" i="6" s="1"/>
  <c r="I281" i="6" l="1"/>
  <c r="H281" i="6" l="1"/>
  <c r="J281" i="6" s="1"/>
  <c r="K281" i="6" l="1"/>
  <c r="M281" i="6" s="1"/>
  <c r="L281" i="6" l="1"/>
  <c r="G282" i="6" s="1"/>
  <c r="I282" i="6" l="1"/>
  <c r="H282" i="6" l="1"/>
  <c r="J282" i="6" s="1"/>
  <c r="K282" i="6" l="1"/>
  <c r="M282" i="6" s="1"/>
  <c r="L282" i="6"/>
  <c r="G283" i="6" s="1"/>
  <c r="I283" i="6" l="1"/>
  <c r="H283" i="6" l="1"/>
  <c r="J283" i="6" s="1"/>
  <c r="K283" i="6" l="1"/>
  <c r="M283" i="6" s="1"/>
  <c r="L283" i="6"/>
  <c r="G284" i="6" s="1"/>
  <c r="I284" i="6" l="1"/>
  <c r="H284" i="6" l="1"/>
  <c r="J284" i="6" s="1"/>
  <c r="K284" i="6" l="1"/>
  <c r="L284" i="6"/>
  <c r="G285" i="6" s="1"/>
  <c r="M284" i="6"/>
  <c r="I285" i="6" l="1"/>
  <c r="H285" i="6" l="1"/>
  <c r="J285" i="6" s="1"/>
  <c r="K285" i="6" l="1"/>
  <c r="M285" i="6" s="1"/>
  <c r="L285" i="6" l="1"/>
  <c r="G286" i="6" s="1"/>
  <c r="I286" i="6" l="1"/>
  <c r="H286" i="6" l="1"/>
  <c r="J286" i="6" s="1"/>
  <c r="K286" i="6" l="1"/>
  <c r="L286" i="6" s="1"/>
  <c r="G287" i="6" s="1"/>
  <c r="I287" i="6" l="1"/>
  <c r="M286" i="6"/>
  <c r="H287" i="6" l="1"/>
  <c r="J287" i="6" s="1"/>
  <c r="K287" i="6" l="1"/>
  <c r="M287" i="6" s="1"/>
  <c r="L287" i="6" l="1"/>
  <c r="G288" i="6" s="1"/>
  <c r="I288" i="6" l="1"/>
  <c r="H288" i="6" l="1"/>
  <c r="J288" i="6" s="1"/>
  <c r="K288" i="6" l="1"/>
  <c r="M288" i="6" s="1"/>
  <c r="L288" i="6" l="1"/>
  <c r="G289" i="6" s="1"/>
  <c r="I289" i="6" l="1"/>
  <c r="H289" i="6" l="1"/>
  <c r="J289" i="6" s="1"/>
  <c r="K289" i="6" l="1"/>
  <c r="M289" i="6" s="1"/>
  <c r="L289" i="6"/>
  <c r="G290" i="6" s="1"/>
  <c r="I290" i="6" l="1"/>
  <c r="H290" i="6" l="1"/>
  <c r="J290" i="6" s="1"/>
  <c r="K290" i="6" l="1"/>
  <c r="L290" i="6" s="1"/>
  <c r="G291" i="6" s="1"/>
  <c r="M290" i="6"/>
  <c r="I291" i="6" l="1"/>
  <c r="H291" i="6" l="1"/>
  <c r="J291" i="6" s="1"/>
  <c r="K291" i="6" l="1"/>
  <c r="M291" i="6" s="1"/>
  <c r="L291" i="6"/>
  <c r="G292" i="6" s="1"/>
  <c r="I292" i="6" l="1"/>
  <c r="H292" i="6" l="1"/>
  <c r="J292" i="6" s="1"/>
  <c r="K292" i="6" l="1"/>
  <c r="L292" i="6" s="1"/>
  <c r="G293" i="6" s="1"/>
  <c r="M292" i="6"/>
  <c r="I293" i="6" l="1"/>
  <c r="H293" i="6" l="1"/>
  <c r="J293" i="6" s="1"/>
  <c r="K293" i="6" l="1"/>
  <c r="L293" i="6"/>
  <c r="G294" i="6" s="1"/>
  <c r="M293" i="6"/>
  <c r="I294" i="6" l="1"/>
  <c r="H294" i="6" l="1"/>
  <c r="J294" i="6" s="1"/>
  <c r="K294" i="6" l="1"/>
  <c r="L294" i="6"/>
  <c r="G295" i="6" s="1"/>
  <c r="M294" i="6"/>
  <c r="I295" i="6" l="1"/>
  <c r="H295" i="6" l="1"/>
  <c r="J295" i="6" s="1"/>
  <c r="L295" i="6" l="1"/>
  <c r="G296" i="6" s="1"/>
  <c r="K295" i="6"/>
  <c r="M295" i="6" s="1"/>
  <c r="I296" i="6" l="1"/>
  <c r="H296" i="6" l="1"/>
  <c r="J296" i="6" s="1"/>
  <c r="K296" i="6" l="1"/>
  <c r="L296" i="6" s="1"/>
  <c r="G297" i="6" s="1"/>
  <c r="M296" i="6"/>
  <c r="I297" i="6" l="1"/>
  <c r="H297" i="6" l="1"/>
  <c r="J297" i="6" s="1"/>
  <c r="K297" i="6" l="1"/>
  <c r="M297" i="6" s="1"/>
  <c r="L297" i="6" l="1"/>
  <c r="G298" i="6" s="1"/>
  <c r="I298" i="6" l="1"/>
  <c r="H298" i="6" l="1"/>
  <c r="J298" i="6" s="1"/>
  <c r="K298" i="6" l="1"/>
  <c r="L298" i="6" s="1"/>
  <c r="G299" i="6" s="1"/>
  <c r="I299" i="6" l="1"/>
  <c r="M298" i="6"/>
  <c r="H299" i="6" l="1"/>
  <c r="J299" i="6" s="1"/>
  <c r="K299" i="6" l="1"/>
  <c r="M299" i="6" s="1"/>
  <c r="L299" i="6"/>
  <c r="G300" i="6" s="1"/>
  <c r="I300" i="6" l="1"/>
  <c r="H300" i="6" l="1"/>
  <c r="J300" i="6" s="1"/>
  <c r="K300" i="6" l="1"/>
  <c r="L300" i="6" s="1"/>
  <c r="G301" i="6" s="1"/>
  <c r="M300" i="6"/>
  <c r="I301" i="6" l="1"/>
  <c r="H301" i="6" l="1"/>
  <c r="J301" i="6" s="1"/>
  <c r="K301" i="6" l="1"/>
  <c r="L301" i="6"/>
  <c r="G302" i="6" s="1"/>
  <c r="M301" i="6"/>
  <c r="I302" i="6" l="1"/>
  <c r="H302" i="6" l="1"/>
  <c r="J302" i="6" s="1"/>
  <c r="K302" i="6" l="1"/>
  <c r="L302" i="6" s="1"/>
  <c r="G303" i="6" s="1"/>
  <c r="M302" i="6"/>
  <c r="I303" i="6" l="1"/>
  <c r="H303" i="6" l="1"/>
  <c r="J303" i="6" s="1"/>
  <c r="K303" i="6" l="1"/>
  <c r="L303" i="6"/>
  <c r="G304" i="6" s="1"/>
  <c r="M303" i="6"/>
  <c r="I304" i="6" l="1"/>
  <c r="H304" i="6" l="1"/>
  <c r="J304" i="6" s="1"/>
  <c r="K304" i="6" l="1"/>
  <c r="L304" i="6" s="1"/>
  <c r="G305" i="6" s="1"/>
  <c r="I305" i="6" l="1"/>
  <c r="M304" i="6"/>
  <c r="H305" i="6" l="1"/>
  <c r="J305" i="6" s="1"/>
  <c r="K305" i="6" l="1"/>
  <c r="M305" i="6" s="1"/>
  <c r="L305" i="6" l="1"/>
  <c r="G306" i="6" s="1"/>
  <c r="I306" i="6" l="1"/>
  <c r="H306" i="6" l="1"/>
  <c r="J306" i="6" s="1"/>
  <c r="K306" i="6" l="1"/>
  <c r="L306" i="6" s="1"/>
  <c r="G307" i="6" s="1"/>
  <c r="M306" i="6"/>
  <c r="I307" i="6" l="1"/>
  <c r="H307" i="6" l="1"/>
  <c r="J307" i="6" s="1"/>
  <c r="K307" i="6" l="1"/>
  <c r="M307" i="6" s="1"/>
  <c r="L307" i="6"/>
  <c r="G308" i="6" s="1"/>
  <c r="I308" i="6" l="1"/>
  <c r="H308" i="6" l="1"/>
  <c r="J308" i="6" s="1"/>
  <c r="K308" i="6" l="1"/>
  <c r="L308" i="6" s="1"/>
  <c r="G309" i="6" s="1"/>
  <c r="M308" i="6"/>
  <c r="I309" i="6" l="1"/>
  <c r="H309" i="6" l="1"/>
  <c r="J309" i="6" s="1"/>
  <c r="K309" i="6" l="1"/>
  <c r="M309" i="6" s="1"/>
  <c r="L309" i="6"/>
  <c r="G310" i="6" s="1"/>
  <c r="I310" i="6" l="1"/>
  <c r="H310" i="6" l="1"/>
  <c r="J310" i="6" s="1"/>
  <c r="K310" i="6" l="1"/>
  <c r="L310" i="6"/>
  <c r="G311" i="6" s="1"/>
  <c r="M310" i="6"/>
  <c r="I311" i="6" l="1"/>
  <c r="H311" i="6" l="1"/>
  <c r="J311" i="6" s="1"/>
  <c r="K311" i="6" l="1"/>
  <c r="M311" i="6" s="1"/>
  <c r="L311" i="6"/>
  <c r="G312" i="6" s="1"/>
  <c r="I312" i="6" l="1"/>
  <c r="H312" i="6" l="1"/>
  <c r="J312" i="6" s="1"/>
  <c r="K312" i="6" l="1"/>
  <c r="M312" i="6" s="1"/>
  <c r="L312" i="6" l="1"/>
  <c r="G313" i="6" s="1"/>
  <c r="I313" i="6" l="1"/>
  <c r="H313" i="6" l="1"/>
  <c r="J313" i="6" s="1"/>
  <c r="K313" i="6" l="1"/>
  <c r="M313" i="6" s="1"/>
  <c r="L313" i="6"/>
  <c r="G314" i="6" s="1"/>
  <c r="I314" i="6" l="1"/>
  <c r="H314" i="6" l="1"/>
  <c r="J314" i="6" s="1"/>
  <c r="K314" i="6" l="1"/>
  <c r="L314" i="6" s="1"/>
  <c r="G315" i="6" s="1"/>
  <c r="M314" i="6"/>
  <c r="I315" i="6" l="1"/>
  <c r="H315" i="6" l="1"/>
  <c r="J315" i="6" s="1"/>
  <c r="K315" i="6" l="1"/>
  <c r="L315" i="6" s="1"/>
  <c r="G316" i="6" s="1"/>
  <c r="M315" i="6"/>
  <c r="I316" i="6" l="1"/>
  <c r="H316" i="6" l="1"/>
  <c r="J316" i="6" s="1"/>
  <c r="K316" i="6" l="1"/>
  <c r="M316" i="6" s="1"/>
  <c r="L316" i="6"/>
  <c r="G317" i="6" s="1"/>
  <c r="I317" i="6" l="1"/>
  <c r="H317" i="6" l="1"/>
  <c r="J317" i="6" s="1"/>
  <c r="K317" i="6" l="1"/>
  <c r="M317" i="6" s="1"/>
  <c r="L317" i="6" l="1"/>
  <c r="G318" i="6" s="1"/>
  <c r="I318" i="6" l="1"/>
  <c r="H318" i="6" l="1"/>
  <c r="J318" i="6" s="1"/>
  <c r="K318" i="6" l="1"/>
  <c r="M318" i="6" s="1"/>
  <c r="L318" i="6" l="1"/>
  <c r="G319" i="6" s="1"/>
  <c r="I319" i="6" l="1"/>
  <c r="H319" i="6" l="1"/>
  <c r="J319" i="6" s="1"/>
  <c r="K319" i="6" l="1"/>
  <c r="L319" i="6"/>
  <c r="G320" i="6" s="1"/>
  <c r="M319" i="6"/>
  <c r="I320" i="6" l="1"/>
  <c r="H320" i="6" l="1"/>
  <c r="J320" i="6" s="1"/>
  <c r="K320" i="6" l="1"/>
  <c r="M320" i="6" s="1"/>
  <c r="L320" i="6" l="1"/>
  <c r="G321" i="6" s="1"/>
  <c r="I321" i="6" l="1"/>
  <c r="H321" i="6" l="1"/>
  <c r="J321" i="6" s="1"/>
  <c r="K321" i="6" l="1"/>
  <c r="M321" i="6" s="1"/>
  <c r="L321" i="6"/>
  <c r="G322" i="6" s="1"/>
  <c r="I322" i="6" l="1"/>
  <c r="H322" i="6" l="1"/>
  <c r="J322" i="6" s="1"/>
  <c r="K322" i="6" l="1"/>
  <c r="L322" i="6" s="1"/>
  <c r="G323" i="6" s="1"/>
  <c r="M322" i="6"/>
  <c r="I323" i="6" l="1"/>
  <c r="H323" i="6" l="1"/>
  <c r="J323" i="6" s="1"/>
  <c r="K323" i="6" l="1"/>
  <c r="M323" i="6" s="1"/>
  <c r="L323" i="6" l="1"/>
  <c r="G324" i="6" s="1"/>
  <c r="I324" i="6" l="1"/>
  <c r="H324" i="6" l="1"/>
  <c r="J324" i="6" s="1"/>
  <c r="K324" i="6" l="1"/>
  <c r="L324" i="6" s="1"/>
  <c r="G325" i="6" s="1"/>
  <c r="I325" i="6" l="1"/>
  <c r="M324" i="6"/>
  <c r="H325" i="6" l="1"/>
  <c r="J325" i="6" s="1"/>
  <c r="K325" i="6" l="1"/>
  <c r="M325" i="6" s="1"/>
  <c r="L325" i="6" l="1"/>
  <c r="G326" i="6" s="1"/>
  <c r="I326" i="6" l="1"/>
  <c r="H326" i="6" l="1"/>
  <c r="J326" i="6" s="1"/>
  <c r="K326" i="6" l="1"/>
  <c r="M326" i="6" s="1"/>
  <c r="L326" i="6"/>
  <c r="G327" i="6" s="1"/>
  <c r="I327" i="6" l="1"/>
  <c r="H327" i="6" l="1"/>
  <c r="J327" i="6" s="1"/>
  <c r="K327" i="6" l="1"/>
  <c r="L327" i="6" s="1"/>
  <c r="G328" i="6" s="1"/>
  <c r="M327" i="6"/>
  <c r="I328" i="6" l="1"/>
  <c r="H328" i="6" l="1"/>
  <c r="J328" i="6" s="1"/>
  <c r="K328" i="6" l="1"/>
  <c r="M328" i="6" s="1"/>
  <c r="L328" i="6" l="1"/>
  <c r="G329" i="6" s="1"/>
  <c r="I329" i="6" l="1"/>
  <c r="H329" i="6" l="1"/>
  <c r="J329" i="6" s="1"/>
  <c r="K329" i="6" l="1"/>
  <c r="L329" i="6" s="1"/>
  <c r="G330" i="6" s="1"/>
  <c r="M329" i="6"/>
  <c r="I330" i="6" l="1"/>
  <c r="H330" i="6" l="1"/>
  <c r="J330" i="6" s="1"/>
  <c r="K330" i="6" l="1"/>
  <c r="L330" i="6" s="1"/>
  <c r="G331" i="6" s="1"/>
  <c r="M330" i="6"/>
  <c r="I331" i="6" l="1"/>
  <c r="H331" i="6" l="1"/>
  <c r="J331" i="6" s="1"/>
  <c r="K331" i="6" l="1"/>
  <c r="M331" i="6" s="1"/>
  <c r="L331" i="6"/>
  <c r="G332" i="6" s="1"/>
  <c r="I332" i="6" l="1"/>
  <c r="H332" i="6" l="1"/>
  <c r="J332" i="6" s="1"/>
  <c r="K332" i="6" l="1"/>
  <c r="L332" i="6" s="1"/>
  <c r="G333" i="6" s="1"/>
  <c r="M332" i="6"/>
  <c r="I333" i="6" l="1"/>
  <c r="H333" i="6" l="1"/>
  <c r="J333" i="6" s="1"/>
  <c r="K333" i="6" l="1"/>
  <c r="M333" i="6" s="1"/>
  <c r="L333" i="6"/>
  <c r="G334" i="6" s="1"/>
  <c r="I334" i="6" l="1"/>
  <c r="H334" i="6" l="1"/>
  <c r="J334" i="6" s="1"/>
  <c r="K334" i="6" l="1"/>
  <c r="M334" i="6" s="1"/>
  <c r="L334" i="6" l="1"/>
  <c r="G335" i="6" s="1"/>
  <c r="I335" i="6" l="1"/>
  <c r="H335" i="6" l="1"/>
  <c r="J335" i="6" s="1"/>
  <c r="K335" i="6" l="1"/>
  <c r="M335" i="6" s="1"/>
  <c r="L335" i="6" l="1"/>
  <c r="G336" i="6" s="1"/>
  <c r="I336" i="6" l="1"/>
  <c r="H336" i="6" l="1"/>
  <c r="J336" i="6" s="1"/>
  <c r="K336" i="6" l="1"/>
  <c r="M336" i="6" s="1"/>
  <c r="L336" i="6" l="1"/>
  <c r="G337" i="6" s="1"/>
  <c r="I337" i="6" l="1"/>
  <c r="H337" i="6" l="1"/>
  <c r="J337" i="6" s="1"/>
  <c r="K337" i="6" l="1"/>
  <c r="L337" i="6" s="1"/>
  <c r="G338" i="6" s="1"/>
  <c r="M337" i="6"/>
  <c r="I338" i="6" l="1"/>
  <c r="H338" i="6" l="1"/>
  <c r="J338" i="6" s="1"/>
  <c r="K338" i="6" l="1"/>
  <c r="L338" i="6" s="1"/>
  <c r="G339" i="6" s="1"/>
  <c r="M338" i="6"/>
  <c r="I339" i="6" l="1"/>
  <c r="H339" i="6" l="1"/>
  <c r="J339" i="6" s="1"/>
  <c r="K339" i="6" l="1"/>
  <c r="L339" i="6"/>
  <c r="G340" i="6" s="1"/>
  <c r="M339" i="6"/>
  <c r="I340" i="6" l="1"/>
  <c r="H340" i="6" l="1"/>
  <c r="J340" i="6" s="1"/>
  <c r="K340" i="6" l="1"/>
  <c r="L340" i="6"/>
  <c r="G341" i="6" s="1"/>
  <c r="M340" i="6"/>
  <c r="I341" i="6" l="1"/>
  <c r="H341" i="6" l="1"/>
  <c r="J341" i="6" s="1"/>
  <c r="K341" i="6" l="1"/>
  <c r="M341" i="6" s="1"/>
  <c r="L341" i="6" l="1"/>
  <c r="G342" i="6" s="1"/>
  <c r="I342" i="6" l="1"/>
  <c r="H342" i="6" l="1"/>
  <c r="J342" i="6" s="1"/>
  <c r="K342" i="6" l="1"/>
  <c r="L342" i="6"/>
  <c r="G343" i="6" s="1"/>
  <c r="M342" i="6"/>
  <c r="I343" i="6" l="1"/>
  <c r="H343" i="6" l="1"/>
  <c r="J343" i="6" s="1"/>
  <c r="K343" i="6" l="1"/>
  <c r="M343" i="6" s="1"/>
  <c r="L343" i="6" l="1"/>
  <c r="G344" i="6" s="1"/>
  <c r="I344" i="6" l="1"/>
  <c r="H344" i="6" l="1"/>
  <c r="J344" i="6" s="1"/>
  <c r="K344" i="6" l="1"/>
  <c r="L344" i="6" s="1"/>
  <c r="G345" i="6" s="1"/>
  <c r="M344" i="6"/>
  <c r="I345" i="6" l="1"/>
  <c r="H345" i="6" l="1"/>
  <c r="J345" i="6" s="1"/>
  <c r="K345" i="6" l="1"/>
  <c r="M345" i="6" s="1"/>
  <c r="L345" i="6"/>
  <c r="G346" i="6" s="1"/>
  <c r="I346" i="6" l="1"/>
  <c r="H346" i="6" l="1"/>
  <c r="J346" i="6" s="1"/>
  <c r="K346" i="6" l="1"/>
  <c r="L346" i="6" s="1"/>
  <c r="G347" i="6" s="1"/>
  <c r="M346" i="6"/>
  <c r="I347" i="6" l="1"/>
  <c r="H347" i="6" l="1"/>
  <c r="J347" i="6" s="1"/>
  <c r="K347" i="6" l="1"/>
  <c r="L347" i="6" s="1"/>
  <c r="G348" i="6" s="1"/>
  <c r="M347" i="6"/>
  <c r="I348" i="6" l="1"/>
  <c r="H348" i="6" l="1"/>
  <c r="J348" i="6" s="1"/>
  <c r="K348" i="6" l="1"/>
  <c r="L348" i="6" s="1"/>
  <c r="G349" i="6" s="1"/>
  <c r="M348" i="6"/>
  <c r="I349" i="6" l="1"/>
  <c r="H349" i="6" l="1"/>
  <c r="J349" i="6" s="1"/>
  <c r="K349" i="6" l="1"/>
  <c r="M349" i="6" s="1"/>
  <c r="L349" i="6"/>
  <c r="G350" i="6" s="1"/>
  <c r="I350" i="6" l="1"/>
  <c r="H350" i="6" l="1"/>
  <c r="J350" i="6" s="1"/>
  <c r="K350" i="6" l="1"/>
  <c r="L350" i="6" s="1"/>
  <c r="G351" i="6" s="1"/>
  <c r="M350" i="6"/>
  <c r="I351" i="6" l="1"/>
  <c r="H351" i="6" l="1"/>
  <c r="J351" i="6" s="1"/>
  <c r="K351" i="6" l="1"/>
  <c r="M351" i="6" s="1"/>
  <c r="L351" i="6" l="1"/>
  <c r="G352" i="6" s="1"/>
  <c r="I352" i="6" l="1"/>
  <c r="H352" i="6" l="1"/>
  <c r="J352" i="6" s="1"/>
  <c r="K352" i="6" l="1"/>
  <c r="L352" i="6"/>
  <c r="G353" i="6" s="1"/>
  <c r="M352" i="6"/>
  <c r="I353" i="6" l="1"/>
  <c r="H353" i="6" l="1"/>
  <c r="J353" i="6" s="1"/>
  <c r="K353" i="6" l="1"/>
  <c r="L353" i="6" s="1"/>
  <c r="G354" i="6" s="1"/>
  <c r="M353" i="6"/>
  <c r="I354" i="6" l="1"/>
  <c r="H354" i="6" l="1"/>
  <c r="J354" i="6" s="1"/>
  <c r="K354" i="6" l="1"/>
  <c r="L354" i="6" s="1"/>
  <c r="G355" i="6" s="1"/>
  <c r="M354" i="6"/>
  <c r="I355" i="6" l="1"/>
  <c r="H355" i="6" l="1"/>
  <c r="J355" i="6" s="1"/>
  <c r="K355" i="6" l="1"/>
  <c r="L355" i="6"/>
  <c r="G356" i="6" s="1"/>
  <c r="M355" i="6"/>
  <c r="I356" i="6" l="1"/>
  <c r="H356" i="6" l="1"/>
  <c r="J356" i="6" s="1"/>
  <c r="K356" i="6" l="1"/>
  <c r="L356" i="6" s="1"/>
  <c r="G357" i="6" s="1"/>
  <c r="M356" i="6"/>
  <c r="I357" i="6" l="1"/>
  <c r="H357" i="6" l="1"/>
  <c r="J357" i="6" s="1"/>
  <c r="K357" i="6" l="1"/>
  <c r="M357" i="6" s="1"/>
  <c r="L357" i="6" l="1"/>
  <c r="G358" i="6" s="1"/>
  <c r="I358" i="6" l="1"/>
  <c r="H358" i="6" l="1"/>
  <c r="J358" i="6" s="1"/>
  <c r="L358" i="6" l="1"/>
  <c r="G359" i="6" s="1"/>
  <c r="K358" i="6"/>
  <c r="M358" i="6"/>
  <c r="I359" i="6" l="1"/>
  <c r="H359" i="6" l="1"/>
  <c r="J359" i="6" s="1"/>
  <c r="K359" i="6" l="1"/>
  <c r="L359" i="6"/>
  <c r="G360" i="6" s="1"/>
  <c r="M359" i="6"/>
  <c r="I360" i="6" l="1"/>
  <c r="H360" i="6" l="1"/>
  <c r="J360" i="6" s="1"/>
  <c r="K360" i="6" l="1"/>
  <c r="L360" i="6" s="1"/>
  <c r="G361" i="6" s="1"/>
  <c r="I361" i="6" l="1"/>
  <c r="M360" i="6"/>
  <c r="H361" i="6" l="1"/>
  <c r="J361" i="6" s="1"/>
  <c r="K361" i="6" l="1"/>
  <c r="L361" i="6"/>
  <c r="G362" i="6" s="1"/>
  <c r="M361" i="6"/>
  <c r="I362" i="6" l="1"/>
  <c r="H362" i="6" l="1"/>
  <c r="J362" i="6" s="1"/>
  <c r="K362" i="6" l="1"/>
  <c r="M362" i="6" s="1"/>
  <c r="L362" i="6" l="1"/>
  <c r="G363" i="6" s="1"/>
  <c r="I363" i="6" l="1"/>
  <c r="H363" i="6" l="1"/>
  <c r="J363" i="6" s="1"/>
  <c r="K363" i="6" l="1"/>
  <c r="L363" i="6" s="1"/>
  <c r="G364" i="6" s="1"/>
  <c r="M363" i="6"/>
  <c r="I364" i="6" l="1"/>
  <c r="H364" i="6" l="1"/>
  <c r="J364" i="6" s="1"/>
  <c r="K364" i="6" l="1"/>
  <c r="M364" i="6" s="1"/>
  <c r="L364" i="6" l="1"/>
  <c r="G365" i="6" s="1"/>
  <c r="I365" i="6" l="1"/>
  <c r="H365" i="6" l="1"/>
  <c r="J365" i="6" s="1"/>
  <c r="K365" i="6" l="1"/>
  <c r="L365" i="6" s="1"/>
  <c r="G366" i="6" s="1"/>
  <c r="M365" i="6"/>
  <c r="I366" i="6" l="1"/>
  <c r="H366" i="6" l="1"/>
  <c r="J366" i="6" s="1"/>
  <c r="K366" i="6" l="1"/>
  <c r="M366" i="6" s="1"/>
  <c r="L366" i="6" l="1"/>
  <c r="G367" i="6" s="1"/>
  <c r="I367" i="6" l="1"/>
  <c r="H367" i="6" l="1"/>
  <c r="J367" i="6" s="1"/>
  <c r="K367" i="6" l="1"/>
  <c r="M367" i="6" s="1"/>
  <c r="L367" i="6" l="1"/>
  <c r="G368" i="6" s="1"/>
  <c r="I368" i="6" l="1"/>
  <c r="H368" i="6" l="1"/>
  <c r="J368" i="6" s="1"/>
  <c r="K368" i="6" l="1"/>
  <c r="L368" i="6" s="1"/>
  <c r="G369" i="6" s="1"/>
  <c r="M368" i="6"/>
  <c r="I369" i="6" l="1"/>
  <c r="H369" i="6" l="1"/>
  <c r="J369" i="6" s="1"/>
  <c r="K369" i="6" l="1"/>
  <c r="M369" i="6" s="1"/>
  <c r="L369" i="6" l="1"/>
  <c r="G370" i="6" s="1"/>
  <c r="I370" i="6" l="1"/>
  <c r="H370" i="6" l="1"/>
  <c r="J370" i="6" s="1"/>
  <c r="K370" i="6" l="1"/>
  <c r="M370" i="6" s="1"/>
  <c r="L370" i="6" l="1"/>
  <c r="G371" i="6" s="1"/>
  <c r="I371" i="6" l="1"/>
  <c r="H371" i="6" l="1"/>
  <c r="J371" i="6" s="1"/>
  <c r="K371" i="6" l="1"/>
  <c r="M371" i="6" s="1"/>
  <c r="L371" i="6"/>
  <c r="G372" i="6" s="1"/>
  <c r="I372" i="6" l="1"/>
  <c r="H372" i="6" l="1"/>
  <c r="J372" i="6" s="1"/>
  <c r="K372" i="6" l="1"/>
  <c r="L372" i="6" s="1"/>
  <c r="G373" i="6" s="1"/>
  <c r="M372" i="6"/>
  <c r="I373" i="6" l="1"/>
  <c r="H373" i="6" l="1"/>
  <c r="J373" i="6" s="1"/>
  <c r="K373" i="6" l="1"/>
  <c r="M373" i="6" s="1"/>
  <c r="L373" i="6" l="1"/>
  <c r="G374" i="6" s="1"/>
  <c r="I374" i="6" l="1"/>
  <c r="H374" i="6" l="1"/>
  <c r="J374" i="6" s="1"/>
  <c r="K374" i="6" l="1"/>
  <c r="M374" i="6" s="1"/>
  <c r="L374" i="6"/>
  <c r="G375" i="6" s="1"/>
  <c r="I375" i="6" l="1"/>
  <c r="M6" i="6" l="1"/>
  <c r="H375" i="6"/>
  <c r="J375" i="6" s="1"/>
  <c r="L375" i="6" s="1"/>
  <c r="M375" i="6" l="1"/>
  <c r="M7" i="6" s="1"/>
  <c r="AI63" i="4"/>
  <c r="AI39" i="4"/>
  <c r="AI38" i="4"/>
  <c r="AI71" i="4"/>
  <c r="BB63" i="4"/>
  <c r="BB39" i="4"/>
  <c r="BB38" i="4"/>
  <c r="BB71" i="4"/>
  <c r="T58" i="4"/>
  <c r="V63" i="4"/>
  <c r="V39" i="4"/>
  <c r="V38" i="4"/>
  <c r="V71" i="4"/>
  <c r="O72" i="4"/>
  <c r="N66" i="4"/>
  <c r="O65" i="4"/>
  <c r="BM63" i="4"/>
  <c r="BM39" i="4"/>
  <c r="BM38" i="4"/>
  <c r="BM71" i="4"/>
  <c r="AW71" i="4"/>
  <c r="AW38" i="4"/>
  <c r="AW39" i="4"/>
  <c r="AW63" i="4"/>
  <c r="L58" i="4"/>
  <c r="BG58" i="4"/>
  <c r="AI58" i="4"/>
  <c r="BR63" i="4"/>
  <c r="BR39" i="4"/>
  <c r="BR38" i="4"/>
  <c r="BR71" i="4"/>
  <c r="AV65" i="4"/>
  <c r="AU66" i="4"/>
  <c r="AV72" i="4"/>
  <c r="AS58" i="4"/>
  <c r="BK58" i="4"/>
  <c r="AM63" i="4"/>
  <c r="AM39" i="4"/>
  <c r="AM38" i="4"/>
  <c r="AM71" i="4"/>
  <c r="S58" i="4"/>
  <c r="AS63" i="4"/>
  <c r="AS39" i="4"/>
  <c r="AS38" i="4"/>
  <c r="AS71" i="4"/>
  <c r="AK58" i="4"/>
  <c r="W58" i="4"/>
  <c r="AM58" i="4"/>
  <c r="AG65" i="4"/>
  <c r="AF66" i="4"/>
  <c r="AG72" i="4"/>
  <c r="W63" i="4"/>
  <c r="W39" i="4"/>
  <c r="W38" i="4"/>
  <c r="W71" i="4"/>
  <c r="AB58" i="4"/>
  <c r="U71" i="4"/>
  <c r="U38" i="4"/>
  <c r="U39" i="4"/>
  <c r="U63" i="4"/>
  <c r="BE71" i="4"/>
  <c r="BE38" i="4"/>
  <c r="BE39" i="4"/>
  <c r="BE63" i="4"/>
  <c r="AJ71" i="4"/>
  <c r="AJ38" i="4"/>
  <c r="AJ39" i="4"/>
  <c r="AJ63" i="4"/>
  <c r="BN58" i="4"/>
  <c r="AT63" i="4"/>
  <c r="AT71" i="4"/>
  <c r="AT38" i="4"/>
  <c r="AT39" i="4"/>
  <c r="Y65" i="4"/>
  <c r="X66" i="4"/>
  <c r="Y72" i="4"/>
  <c r="AE63" i="4"/>
  <c r="AE39" i="4"/>
  <c r="AE38" i="4"/>
  <c r="AE71" i="4"/>
  <c r="BQ63" i="4"/>
  <c r="BQ71" i="4"/>
  <c r="BQ38" i="4"/>
  <c r="BQ39" i="4"/>
  <c r="BN63" i="4"/>
  <c r="BN39" i="4"/>
  <c r="BN38" i="4"/>
  <c r="BN71" i="4"/>
  <c r="BC63" i="4"/>
  <c r="BC71" i="4"/>
  <c r="BC38" i="4"/>
  <c r="BC39" i="4"/>
  <c r="AL72" i="4"/>
  <c r="AK66" i="4"/>
  <c r="AL65" i="4"/>
  <c r="BC58" i="4"/>
  <c r="Y58" i="4"/>
  <c r="BG72" i="4"/>
  <c r="BF66" i="4"/>
  <c r="BG65" i="4"/>
  <c r="AF71" i="4"/>
  <c r="AF38" i="4"/>
  <c r="AF39" i="4"/>
  <c r="AF63" i="4"/>
  <c r="BM58" i="4"/>
  <c r="BR58" i="4"/>
  <c r="BQ59" i="4"/>
  <c r="BR57" i="4"/>
  <c r="BR59" i="4"/>
  <c r="AY65" i="4"/>
  <c r="AX66" i="4"/>
  <c r="AY72" i="4"/>
  <c r="C38" i="4"/>
  <c r="BP65" i="4"/>
  <c r="BO66" i="4"/>
  <c r="BP72" i="4"/>
  <c r="AP58" i="4"/>
  <c r="AL58" i="4"/>
  <c r="AH58" i="4"/>
  <c r="AD58" i="4"/>
  <c r="Z58" i="4"/>
  <c r="AS72" i="4"/>
  <c r="AR66" i="4"/>
  <c r="AS65" i="4"/>
  <c r="K65" i="4"/>
  <c r="J66" i="4"/>
  <c r="K72" i="4"/>
  <c r="AC72" i="4"/>
  <c r="AB66" i="4"/>
  <c r="AC65" i="4"/>
  <c r="AN58" i="4"/>
  <c r="AJ72" i="4"/>
  <c r="AI66" i="4"/>
  <c r="AJ65" i="4"/>
  <c r="AX58" i="4"/>
  <c r="AE58" i="4"/>
  <c r="C52" i="4"/>
  <c r="BO71" i="4"/>
  <c r="BO38" i="4"/>
  <c r="BO39" i="4"/>
  <c r="BO63" i="4"/>
  <c r="BL63" i="4"/>
  <c r="BL39" i="4"/>
  <c r="BL38" i="4"/>
  <c r="BL71" i="4"/>
  <c r="AQ71" i="4"/>
  <c r="AQ38" i="4"/>
  <c r="AQ39" i="4"/>
  <c r="AQ63" i="4"/>
  <c r="AW58" i="4"/>
  <c r="X71" i="4"/>
  <c r="X38" i="4"/>
  <c r="X39" i="4"/>
  <c r="X63" i="4"/>
  <c r="AQ58" i="4"/>
  <c r="AC71" i="4"/>
  <c r="AC38" i="4"/>
  <c r="AC39" i="4"/>
  <c r="AC63" i="4"/>
  <c r="BF65" i="4"/>
  <c r="BE66" i="4"/>
  <c r="BF72" i="4"/>
  <c r="BL72" i="4"/>
  <c r="BK66" i="4"/>
  <c r="BL65" i="4"/>
  <c r="BP58" i="4"/>
  <c r="BD58" i="4"/>
  <c r="AE72" i="4"/>
  <c r="AD66" i="4"/>
  <c r="AE65" i="4"/>
  <c r="BF71" i="4"/>
  <c r="BF38" i="4"/>
  <c r="BF39" i="4"/>
  <c r="BF63" i="4"/>
  <c r="S65" i="4"/>
  <c r="R66" i="4"/>
  <c r="S72" i="4"/>
  <c r="BB58" i="4"/>
  <c r="BI65" i="4"/>
  <c r="BH66" i="4"/>
  <c r="BI72" i="4"/>
  <c r="U58" i="4"/>
  <c r="AZ63" i="4"/>
  <c r="AZ39" i="4"/>
  <c r="AZ38" i="4"/>
  <c r="AZ71" i="4"/>
  <c r="AR71" i="4"/>
  <c r="AR38" i="4"/>
  <c r="AR39" i="4"/>
  <c r="AR63" i="4"/>
  <c r="AT58" i="4"/>
  <c r="AO58" i="4"/>
  <c r="AU58" i="4"/>
  <c r="W65" i="4"/>
  <c r="V66" i="4"/>
  <c r="W72" i="4"/>
  <c r="BF58" i="4"/>
  <c r="Q63" i="4"/>
  <c r="Q71" i="4"/>
  <c r="Q38" i="4"/>
  <c r="Q39" i="4"/>
  <c r="N72" i="4"/>
  <c r="M66" i="4"/>
  <c r="N65" i="4"/>
  <c r="L63" i="4"/>
  <c r="L71" i="4"/>
  <c r="L38" i="4"/>
  <c r="L39" i="4"/>
  <c r="R58" i="4"/>
  <c r="BJ65" i="4"/>
  <c r="BI66" i="4"/>
  <c r="BJ72" i="4"/>
  <c r="R65" i="4"/>
  <c r="Q66" i="4"/>
  <c r="R72" i="4"/>
  <c r="AF58" i="4"/>
  <c r="AB65" i="4"/>
  <c r="AA66" i="4"/>
  <c r="AB72" i="4"/>
  <c r="M58" i="4"/>
  <c r="V72" i="4"/>
  <c r="U66" i="4"/>
  <c r="V65" i="4"/>
  <c r="AN63" i="4"/>
  <c r="AN71" i="4"/>
  <c r="AN38" i="4"/>
  <c r="AN39" i="4"/>
  <c r="AY58" i="4"/>
  <c r="BL58" i="4"/>
  <c r="X72" i="4"/>
  <c r="W66" i="4"/>
  <c r="X65" i="4"/>
  <c r="N58" i="4"/>
  <c r="BO59" i="4"/>
  <c r="BP57" i="4"/>
  <c r="BP59" i="4"/>
  <c r="BQ57" i="4"/>
  <c r="BQ58" i="4"/>
  <c r="BM72" i="4"/>
  <c r="BL66" i="4"/>
  <c r="BM65" i="4"/>
  <c r="AL71" i="4"/>
  <c r="AL38" i="4"/>
  <c r="AL39" i="4"/>
  <c r="AL63" i="4"/>
  <c r="Z71" i="4"/>
  <c r="Z38" i="4"/>
  <c r="Z39" i="4"/>
  <c r="Z63" i="4"/>
  <c r="AG71" i="4"/>
  <c r="AG38" i="4"/>
  <c r="AG39" i="4"/>
  <c r="AG63" i="4"/>
  <c r="M71" i="4"/>
  <c r="M38" i="4"/>
  <c r="M39" i="4"/>
  <c r="M63" i="4"/>
  <c r="BA65" i="4"/>
  <c r="AZ66" i="4"/>
  <c r="BA72" i="4"/>
  <c r="BK71" i="4"/>
  <c r="BK38" i="4"/>
  <c r="BK39" i="4"/>
  <c r="BK63" i="4"/>
  <c r="V58" i="4"/>
  <c r="BQ65" i="4"/>
  <c r="BP66" i="4"/>
  <c r="BQ72" i="4"/>
  <c r="AK40" i="4"/>
  <c r="AL40" i="4"/>
  <c r="AT40" i="4"/>
  <c r="AQ40" i="4"/>
  <c r="R40" i="4"/>
  <c r="AF40" i="4"/>
  <c r="I39" i="4"/>
  <c r="BN40" i="4"/>
  <c r="AP40" i="4"/>
  <c r="X40" i="4"/>
  <c r="L40" i="4"/>
  <c r="AR40" i="4"/>
  <c r="BH40" i="4"/>
  <c r="AA40" i="4"/>
  <c r="AC40" i="4"/>
  <c r="BD40" i="4"/>
  <c r="O40" i="4"/>
  <c r="AB40" i="4"/>
  <c r="BQ40" i="4"/>
  <c r="AZ40" i="4"/>
  <c r="U40" i="4"/>
  <c r="BO40" i="4"/>
  <c r="BK40" i="4"/>
  <c r="BI40" i="4"/>
  <c r="AH40" i="4"/>
  <c r="T40" i="4"/>
  <c r="W40" i="4"/>
  <c r="AS40" i="4"/>
  <c r="AV40" i="4"/>
  <c r="AG40" i="4"/>
  <c r="BM40" i="4"/>
  <c r="P40" i="4"/>
  <c r="AW40" i="4"/>
  <c r="AE40" i="4"/>
  <c r="Q40" i="4"/>
  <c r="K63" i="4"/>
  <c r="AN40" i="4"/>
  <c r="K40" i="4"/>
  <c r="BB40" i="4"/>
  <c r="AI40" i="4"/>
  <c r="AM40" i="4"/>
  <c r="BC40" i="4"/>
  <c r="AO40" i="4"/>
  <c r="BE40" i="4"/>
  <c r="AU40" i="4"/>
  <c r="M40" i="4"/>
  <c r="AY40" i="4"/>
  <c r="V40" i="4"/>
  <c r="AX40" i="4"/>
  <c r="S40" i="4"/>
  <c r="BR40" i="4"/>
  <c r="BL40" i="4"/>
  <c r="Z40" i="4"/>
  <c r="AD40" i="4"/>
  <c r="BJ40" i="4"/>
  <c r="Y40" i="4"/>
  <c r="BG40" i="4"/>
  <c r="BP40" i="4"/>
  <c r="AJ40" i="4"/>
  <c r="N40" i="4"/>
  <c r="BA40" i="4"/>
  <c r="BF40" i="4"/>
  <c r="BJ59" i="4"/>
  <c r="BK57" i="4"/>
  <c r="BK59" i="4"/>
  <c r="BL57" i="4"/>
  <c r="BL59" i="4"/>
  <c r="BM57" i="4"/>
  <c r="BM59" i="4"/>
  <c r="BN57" i="4"/>
  <c r="BN59" i="4"/>
  <c r="BO57" i="4"/>
  <c r="BO58" i="4"/>
  <c r="BI59" i="4"/>
  <c r="BJ57" i="4"/>
  <c r="BJ58" i="4"/>
  <c r="AZ58" i="4"/>
  <c r="C45" i="4"/>
  <c r="J62" i="4"/>
  <c r="J64" i="4"/>
  <c r="K62" i="4"/>
  <c r="K64" i="4"/>
  <c r="L62" i="4"/>
  <c r="L64" i="4"/>
  <c r="M62" i="4"/>
  <c r="M64" i="4"/>
  <c r="N62" i="4"/>
  <c r="N64" i="4"/>
  <c r="O62" i="4"/>
  <c r="O64" i="4"/>
  <c r="P62" i="4"/>
  <c r="P64" i="4"/>
  <c r="Q62" i="4"/>
  <c r="Q64" i="4"/>
  <c r="R62" i="4"/>
  <c r="R64" i="4"/>
  <c r="S62" i="4"/>
  <c r="S64" i="4"/>
  <c r="T62" i="4"/>
  <c r="T64" i="4"/>
  <c r="U62" i="4"/>
  <c r="U64" i="4"/>
  <c r="V62" i="4"/>
  <c r="V64" i="4"/>
  <c r="W62" i="4"/>
  <c r="W64" i="4"/>
  <c r="X62" i="4"/>
  <c r="X64" i="4"/>
  <c r="Y62" i="4"/>
  <c r="Y64" i="4"/>
  <c r="Z62" i="4"/>
  <c r="Z64" i="4"/>
  <c r="AA62" i="4"/>
  <c r="AA64" i="4"/>
  <c r="AB62" i="4"/>
  <c r="AB64" i="4"/>
  <c r="AC62" i="4"/>
  <c r="AC64" i="4"/>
  <c r="AD62" i="4"/>
  <c r="AD64" i="4"/>
  <c r="AE62" i="4"/>
  <c r="AE64" i="4"/>
  <c r="AF62" i="4"/>
  <c r="AF64" i="4"/>
  <c r="AG62" i="4"/>
  <c r="AG64" i="4"/>
  <c r="AH62" i="4"/>
  <c r="AH64" i="4"/>
  <c r="AI62" i="4"/>
  <c r="AI64" i="4"/>
  <c r="AJ62" i="4"/>
  <c r="AJ64" i="4"/>
  <c r="AK62" i="4"/>
  <c r="AK64" i="4"/>
  <c r="AL62" i="4"/>
  <c r="AL64" i="4"/>
  <c r="AM62" i="4"/>
  <c r="AM64" i="4"/>
  <c r="AN62" i="4"/>
  <c r="AN64" i="4"/>
  <c r="AO62" i="4"/>
  <c r="AO64" i="4"/>
  <c r="AP62" i="4"/>
  <c r="AP64" i="4"/>
  <c r="AQ62" i="4"/>
  <c r="AQ64" i="4"/>
  <c r="AR62" i="4"/>
  <c r="AR64" i="4"/>
  <c r="AS62" i="4"/>
  <c r="AS64" i="4"/>
  <c r="AT62" i="4"/>
  <c r="AT64" i="4"/>
  <c r="AU62" i="4"/>
  <c r="AU64" i="4"/>
  <c r="AV62" i="4"/>
  <c r="AV64" i="4"/>
  <c r="AW62" i="4"/>
  <c r="AW64" i="4"/>
  <c r="AX62" i="4"/>
  <c r="AX64" i="4"/>
  <c r="AY62" i="4"/>
  <c r="AY64" i="4"/>
  <c r="AZ62" i="4"/>
  <c r="AZ64" i="4"/>
  <c r="BA62" i="4"/>
  <c r="BA64" i="4"/>
  <c r="BB62" i="4"/>
  <c r="BB64" i="4"/>
  <c r="BC62" i="4"/>
  <c r="BC64" i="4"/>
  <c r="BD62" i="4"/>
  <c r="BD64" i="4"/>
  <c r="BE62" i="4"/>
  <c r="BE64" i="4"/>
  <c r="BF62" i="4"/>
  <c r="BF64" i="4"/>
  <c r="BG62" i="4"/>
  <c r="BG64" i="4"/>
  <c r="BH62" i="4"/>
  <c r="BH64" i="4"/>
  <c r="BI62" i="4"/>
  <c r="BI64" i="4"/>
  <c r="BJ62" i="4"/>
  <c r="BJ64" i="4"/>
  <c r="BK62" i="4"/>
  <c r="BK64" i="4"/>
  <c r="BL62" i="4"/>
  <c r="BL64" i="4"/>
  <c r="BM62" i="4"/>
  <c r="BM64" i="4"/>
  <c r="BN62" i="4"/>
  <c r="BN64" i="4"/>
  <c r="BO62" i="4"/>
  <c r="BO64" i="4"/>
  <c r="BP62" i="4"/>
  <c r="BP64" i="4"/>
  <c r="BQ62" i="4"/>
  <c r="BQ64" i="4"/>
  <c r="BR62" i="4"/>
  <c r="BR64" i="4"/>
  <c r="Q65" i="4"/>
  <c r="P66" i="4"/>
  <c r="Q72" i="4"/>
  <c r="AW72" i="4"/>
  <c r="AV66" i="4"/>
  <c r="AW65" i="4"/>
  <c r="P63" i="4"/>
  <c r="P71" i="4"/>
  <c r="P38" i="4"/>
  <c r="P39" i="4"/>
  <c r="AB71" i="4"/>
  <c r="AB38" i="4"/>
  <c r="AB39" i="4"/>
  <c r="AB63" i="4"/>
  <c r="AI72" i="4"/>
  <c r="AH66" i="4"/>
  <c r="AI65" i="4"/>
  <c r="U72" i="4"/>
  <c r="T66" i="4"/>
  <c r="U65" i="4"/>
  <c r="X58" i="4"/>
  <c r="BE58" i="4"/>
  <c r="AN72" i="4"/>
  <c r="AM66" i="4"/>
  <c r="AN65" i="4"/>
  <c r="P58" i="4"/>
  <c r="BD71" i="4"/>
  <c r="BD38" i="4"/>
  <c r="BD39" i="4"/>
  <c r="BD63" i="4"/>
  <c r="BA58" i="4"/>
  <c r="O58" i="4"/>
  <c r="BE72" i="4"/>
  <c r="BD66" i="4"/>
  <c r="BE65" i="4"/>
  <c r="AH71" i="4"/>
  <c r="AH38" i="4"/>
  <c r="AH39" i="4"/>
  <c r="AH63" i="4"/>
  <c r="Y71" i="4"/>
  <c r="Y38" i="4"/>
  <c r="Y39" i="4"/>
  <c r="Y63" i="4"/>
  <c r="AR58" i="4"/>
  <c r="AX71" i="4"/>
  <c r="AX38" i="4"/>
  <c r="AX39" i="4"/>
  <c r="AX63" i="4"/>
  <c r="O71" i="4"/>
  <c r="O38" i="4"/>
  <c r="O39" i="4"/>
  <c r="O63" i="4"/>
  <c r="BH63" i="4"/>
  <c r="BH39" i="4"/>
  <c r="BH38" i="4"/>
  <c r="BH71" i="4"/>
  <c r="L72" i="4"/>
  <c r="K66" i="4"/>
  <c r="L65" i="4"/>
  <c r="AG58" i="4"/>
  <c r="BD72" i="4"/>
  <c r="BC66" i="4"/>
  <c r="BD65" i="4"/>
  <c r="BK65" i="4"/>
  <c r="BJ66" i="4"/>
  <c r="BK72" i="4"/>
  <c r="BO65" i="4"/>
  <c r="BN66" i="4"/>
  <c r="BO72" i="4"/>
  <c r="BJ71" i="4"/>
  <c r="BJ38" i="4"/>
  <c r="BJ39" i="4"/>
  <c r="BJ63" i="4"/>
  <c r="AZ72" i="4"/>
  <c r="AY66" i="4"/>
  <c r="AZ65" i="4"/>
  <c r="BP71" i="4"/>
  <c r="BP38" i="4"/>
  <c r="BP39" i="4"/>
  <c r="BP63" i="4"/>
  <c r="BG71" i="4"/>
  <c r="BG38" i="4"/>
  <c r="BG39" i="4"/>
  <c r="BG63" i="4"/>
  <c r="T65" i="4"/>
  <c r="S66" i="4"/>
  <c r="T72" i="4"/>
  <c r="BR65" i="4"/>
  <c r="BQ66" i="4"/>
  <c r="BR72" i="4"/>
  <c r="Z72" i="4"/>
  <c r="Y66" i="4"/>
  <c r="Z65" i="4"/>
  <c r="BH59" i="4"/>
  <c r="BI57" i="4"/>
  <c r="BI58" i="4"/>
  <c r="AJ58" i="4"/>
  <c r="AA58" i="4"/>
  <c r="AV71" i="4"/>
  <c r="AV38" i="4"/>
  <c r="AV39" i="4"/>
  <c r="AV63" i="4"/>
  <c r="AK65" i="4"/>
  <c r="AJ66" i="4"/>
  <c r="AK72" i="4"/>
  <c r="AU72" i="4"/>
  <c r="AT66" i="4"/>
  <c r="AU65" i="4"/>
  <c r="N71" i="4"/>
  <c r="N38" i="4"/>
  <c r="N39" i="4"/>
  <c r="N63" i="4"/>
  <c r="AA71" i="4"/>
  <c r="AA38" i="4"/>
  <c r="AA39" i="4"/>
  <c r="AA63" i="4"/>
  <c r="AD72" i="4"/>
  <c r="AC66" i="4"/>
  <c r="AD65" i="4"/>
  <c r="K58" i="4"/>
  <c r="AA65" i="4"/>
  <c r="Z66" i="4"/>
  <c r="AA72" i="4"/>
  <c r="BA71" i="4"/>
  <c r="BA38" i="4"/>
  <c r="BA39" i="4"/>
  <c r="BA63" i="4"/>
  <c r="BB72" i="4"/>
  <c r="BA66" i="4"/>
  <c r="BB65" i="4"/>
  <c r="S71" i="4"/>
  <c r="S38" i="4"/>
  <c r="S39" i="4"/>
  <c r="S63" i="4"/>
  <c r="AQ65" i="4"/>
  <c r="AP66" i="4"/>
  <c r="AQ72" i="4"/>
  <c r="AO65" i="4"/>
  <c r="AN66" i="4"/>
  <c r="AO72" i="4"/>
  <c r="BI71" i="4"/>
  <c r="BI38" i="4"/>
  <c r="BI39" i="4"/>
  <c r="BI63" i="4"/>
  <c r="AK71" i="4"/>
  <c r="AK38" i="4"/>
  <c r="AK39" i="4"/>
  <c r="AK63" i="4"/>
  <c r="AX72" i="4"/>
  <c r="AW66" i="4"/>
  <c r="AX65" i="4"/>
  <c r="BH72" i="4"/>
  <c r="BG66" i="4"/>
  <c r="BH65" i="4"/>
  <c r="AM72" i="4"/>
  <c r="AL66" i="4"/>
  <c r="AM65" i="4"/>
  <c r="AP72" i="4"/>
  <c r="AO66" i="4"/>
  <c r="AP65" i="4"/>
  <c r="AR65" i="4"/>
  <c r="AQ66" i="4"/>
  <c r="AR72" i="4"/>
  <c r="AV58" i="4"/>
  <c r="AP71" i="4"/>
  <c r="AP38" i="4"/>
  <c r="AP39" i="4"/>
  <c r="AP63" i="4"/>
  <c r="AH72" i="4"/>
  <c r="AG66" i="4"/>
  <c r="AH65" i="4"/>
  <c r="AD71" i="4"/>
  <c r="AD38" i="4"/>
  <c r="AD39" i="4"/>
  <c r="AD63" i="4"/>
  <c r="AU71" i="4"/>
  <c r="AU38" i="4"/>
  <c r="AU39" i="4"/>
  <c r="AU63" i="4"/>
  <c r="T71" i="4"/>
  <c r="T38" i="4"/>
  <c r="T39" i="4"/>
  <c r="T63" i="4"/>
  <c r="AY71" i="4"/>
  <c r="AY38" i="4"/>
  <c r="AY39" i="4"/>
  <c r="AY63" i="4"/>
  <c r="BN65" i="4"/>
  <c r="BM66" i="4"/>
  <c r="BN72" i="4"/>
  <c r="BA60" i="4"/>
  <c r="AY60" i="4"/>
  <c r="U60" i="4"/>
  <c r="BO60" i="4"/>
  <c r="AB60" i="4"/>
  <c r="AQ60" i="4"/>
  <c r="S60" i="4"/>
  <c r="AN60" i="4"/>
  <c r="K60" i="4"/>
  <c r="BI60" i="4"/>
  <c r="Z60" i="4"/>
  <c r="BH60" i="4"/>
  <c r="BF60" i="4"/>
  <c r="R60" i="4"/>
  <c r="AP60" i="4"/>
  <c r="T60" i="4"/>
  <c r="AW60" i="4"/>
  <c r="BB60" i="4"/>
  <c r="AT60" i="4"/>
  <c r="O60" i="4"/>
  <c r="AF60" i="4"/>
  <c r="AC60" i="4"/>
  <c r="N60" i="4"/>
  <c r="BK60" i="4"/>
  <c r="BJ60" i="4"/>
  <c r="AA60" i="4"/>
  <c r="BL60" i="4"/>
  <c r="Y60" i="4"/>
  <c r="M60" i="4"/>
  <c r="AD60" i="4"/>
  <c r="BE60" i="4"/>
  <c r="AJ60" i="4"/>
  <c r="AM60" i="4"/>
  <c r="AU60" i="4"/>
  <c r="AX60" i="4"/>
  <c r="BN60" i="4"/>
  <c r="AR60" i="4"/>
  <c r="AL60" i="4"/>
  <c r="BR60" i="4"/>
  <c r="BD60" i="4"/>
  <c r="Q60" i="4"/>
  <c r="X60" i="4"/>
  <c r="BG60" i="4"/>
  <c r="P60" i="4"/>
  <c r="L60" i="4"/>
  <c r="W60" i="4"/>
  <c r="V60" i="4"/>
  <c r="AZ60" i="4"/>
  <c r="AG60" i="4"/>
  <c r="BQ60" i="4"/>
  <c r="J60" i="4"/>
  <c r="BM60" i="4"/>
  <c r="AK60" i="4"/>
  <c r="BP60" i="4"/>
  <c r="AO60" i="4"/>
  <c r="AS60" i="4"/>
  <c r="AH60" i="4"/>
  <c r="AI60" i="4"/>
  <c r="BC60" i="4"/>
  <c r="AV60" i="4"/>
  <c r="AE60" i="4"/>
  <c r="AC58" i="4"/>
  <c r="AF65" i="4"/>
  <c r="AE66" i="4"/>
  <c r="AF72" i="4"/>
  <c r="AT65" i="4"/>
  <c r="AS66" i="4"/>
  <c r="AT72" i="4"/>
  <c r="Q59" i="4"/>
  <c r="R57" i="4"/>
  <c r="R59" i="4"/>
  <c r="S57" i="4"/>
  <c r="S59" i="4"/>
  <c r="T57" i="4"/>
  <c r="T59" i="4"/>
  <c r="U57" i="4"/>
  <c r="U59" i="4"/>
  <c r="V57" i="4"/>
  <c r="V59" i="4"/>
  <c r="W57" i="4"/>
  <c r="W59" i="4"/>
  <c r="X57" i="4"/>
  <c r="X59" i="4"/>
  <c r="Y57" i="4"/>
  <c r="Y59" i="4"/>
  <c r="Z57" i="4"/>
  <c r="Z59" i="4"/>
  <c r="AA57" i="4"/>
  <c r="AA59" i="4"/>
  <c r="AB57" i="4"/>
  <c r="AB59" i="4"/>
  <c r="AC57" i="4"/>
  <c r="AC59" i="4"/>
  <c r="AD57" i="4"/>
  <c r="AD59" i="4"/>
  <c r="AE57" i="4"/>
  <c r="AE59" i="4"/>
  <c r="AF57" i="4"/>
  <c r="AF59" i="4"/>
  <c r="AG57" i="4"/>
  <c r="AG59" i="4"/>
  <c r="AH57" i="4"/>
  <c r="AH59" i="4"/>
  <c r="AI57" i="4"/>
  <c r="AI59" i="4"/>
  <c r="AJ57" i="4"/>
  <c r="AJ59" i="4"/>
  <c r="AK57" i="4"/>
  <c r="AK59" i="4"/>
  <c r="AL57" i="4"/>
  <c r="AL59" i="4"/>
  <c r="AM57" i="4"/>
  <c r="AM59" i="4"/>
  <c r="AN57" i="4"/>
  <c r="AN59" i="4"/>
  <c r="AO57" i="4"/>
  <c r="AO59" i="4"/>
  <c r="AP57" i="4"/>
  <c r="AP59" i="4"/>
  <c r="AQ57" i="4"/>
  <c r="AQ59" i="4"/>
  <c r="AR57" i="4"/>
  <c r="AR59" i="4"/>
  <c r="AS57" i="4"/>
  <c r="AS59" i="4"/>
  <c r="AT57" i="4"/>
  <c r="AT59" i="4"/>
  <c r="AU57" i="4"/>
  <c r="AU59" i="4"/>
  <c r="AV57" i="4"/>
  <c r="AV59" i="4"/>
  <c r="AW57" i="4"/>
  <c r="AW59" i="4"/>
  <c r="AX57" i="4"/>
  <c r="AX59" i="4"/>
  <c r="AY57" i="4"/>
  <c r="AY59" i="4"/>
  <c r="AZ57" i="4"/>
  <c r="AZ59" i="4"/>
  <c r="BA57" i="4"/>
  <c r="BA59" i="4"/>
  <c r="BB57" i="4"/>
  <c r="BB59" i="4"/>
  <c r="BC57" i="4"/>
  <c r="BC59" i="4"/>
  <c r="BD57" i="4"/>
  <c r="BD59" i="4"/>
  <c r="BE57" i="4"/>
  <c r="BE59" i="4"/>
  <c r="BF57" i="4"/>
  <c r="BF59" i="4"/>
  <c r="BG57" i="4"/>
  <c r="BG59" i="4"/>
  <c r="BH57" i="4"/>
  <c r="BH58" i="4"/>
  <c r="R71" i="4"/>
  <c r="R38" i="4"/>
  <c r="R39" i="4"/>
  <c r="R63" i="4"/>
  <c r="M72" i="4"/>
  <c r="L66" i="4"/>
  <c r="M65" i="4"/>
  <c r="BC72" i="4"/>
  <c r="BB66" i="4"/>
  <c r="BC65" i="4"/>
  <c r="AO71" i="4"/>
  <c r="AO38" i="4"/>
  <c r="AO39" i="4"/>
  <c r="AO63" i="4"/>
  <c r="J59" i="4"/>
  <c r="K57" i="4"/>
  <c r="K59" i="4"/>
  <c r="L57" i="4"/>
  <c r="L59" i="4"/>
  <c r="M57" i="4"/>
  <c r="M59" i="4"/>
  <c r="N57" i="4"/>
  <c r="N59" i="4"/>
  <c r="O57" i="4"/>
  <c r="O59" i="4"/>
  <c r="P57" i="4"/>
  <c r="P59" i="4"/>
  <c r="Q57" i="4"/>
  <c r="Q58" i="4"/>
  <c r="P65" i="4"/>
  <c r="O66" i="4"/>
  <c r="P72" i="4"/>
  <c r="J71" i="4"/>
  <c r="BR66" i="4"/>
  <c r="K71" i="4"/>
  <c r="K38" i="4"/>
  <c r="K39" i="4"/>
  <c r="C39" i="4"/>
  <c r="C43" i="4"/>
  <c r="C46" i="4"/>
  <c r="J57" i="4"/>
  <c r="J58" i="4"/>
  <c r="J63" i="4"/>
  <c r="J6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</author>
  </authors>
  <commentList>
    <comment ref="H9" authorId="0" shapeId="0" xr:uid="{5CB4A7EA-13FB-4F0B-B868-ED8E9987E1B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The lower the number, the stronger the curve. For a sraight line, go above 100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<sst xmlns="http://schemas.openxmlformats.org/spreadsheetml/2006/main" count="258" uniqueCount="166">
  <si>
    <t>Period</t>
  </si>
  <si>
    <t>A.CRE ACCELERATOR</t>
  </si>
  <si>
    <t>AMORTIZATION SCHEDULE EXERCISE</t>
  </si>
  <si>
    <t>ASSUMPTIONS</t>
  </si>
  <si>
    <t>Loan Amount</t>
  </si>
  <si>
    <t>Loan Fees</t>
  </si>
  <si>
    <t>Fixed Interest Rate</t>
  </si>
  <si>
    <t>Amortization (Months)</t>
  </si>
  <si>
    <t>Loan Term (Months)</t>
  </si>
  <si>
    <t>Interest-Only Period (Months)</t>
  </si>
  <si>
    <t>Amortizing Payment</t>
  </si>
  <si>
    <t>Interest-Only Payment</t>
  </si>
  <si>
    <t>RESULTS</t>
  </si>
  <si>
    <t>Loan Payoff at Maturity</t>
  </si>
  <si>
    <t>Lender Yield</t>
  </si>
  <si>
    <t>Interest + Fees Paid</t>
  </si>
  <si>
    <t>Year</t>
  </si>
  <si>
    <t>Payment</t>
  </si>
  <si>
    <t>Interest</t>
  </si>
  <si>
    <t>Principal</t>
  </si>
  <si>
    <t>Lender CF</t>
  </si>
  <si>
    <t>End. Bal.</t>
  </si>
  <si>
    <t>Start. Bal.</t>
  </si>
  <si>
    <t>Payoff</t>
  </si>
  <si>
    <t>Equity Multiple</t>
  </si>
  <si>
    <t>IRR</t>
  </si>
  <si>
    <t>Profit</t>
  </si>
  <si>
    <t>Levered Cash Flow</t>
  </si>
  <si>
    <t>Unlevered Cash Flow</t>
  </si>
  <si>
    <t>Net Proceeds</t>
  </si>
  <si>
    <t>Cost of Sale</t>
  </si>
  <si>
    <t>Sale Price</t>
  </si>
  <si>
    <t>NOI</t>
  </si>
  <si>
    <t>NOI and Sale Proceeds</t>
  </si>
  <si>
    <t>Interest Payments</t>
  </si>
  <si>
    <t>Actual Interest Rate</t>
  </si>
  <si>
    <t>Floor</t>
  </si>
  <si>
    <t>Rate</t>
  </si>
  <si>
    <t>Ceiling</t>
  </si>
  <si>
    <t>Interest Rate Details</t>
  </si>
  <si>
    <t>Cumulative Balance</t>
  </si>
  <si>
    <t>Loan Repayment</t>
  </si>
  <si>
    <t>Ending Balance</t>
  </si>
  <si>
    <t>Debt Funded</t>
  </si>
  <si>
    <t>Beginning Balance</t>
  </si>
  <si>
    <t xml:space="preserve">Debt </t>
  </si>
  <si>
    <t>Cumulative Costs</t>
  </si>
  <si>
    <t>Equity Required</t>
  </si>
  <si>
    <t>Equity</t>
  </si>
  <si>
    <t>Draw Schedule</t>
  </si>
  <si>
    <t>Off</t>
  </si>
  <si>
    <t>Circuit Breaker</t>
  </si>
  <si>
    <t>Loan Fee Amount</t>
  </si>
  <si>
    <t>On</t>
  </si>
  <si>
    <t>Loan Fee</t>
  </si>
  <si>
    <t>Monthly Int. Rate Growth</t>
  </si>
  <si>
    <t>Interest Rate</t>
  </si>
  <si>
    <t>Debt</t>
  </si>
  <si>
    <t>LTC</t>
  </si>
  <si>
    <t>Total Project Costs</t>
  </si>
  <si>
    <t>Loan Inputs</t>
  </si>
  <si>
    <t xml:space="preserve">Total Development Costs </t>
  </si>
  <si>
    <t>Interest and Fees</t>
  </si>
  <si>
    <t>Steady Growth Formula</t>
  </si>
  <si>
    <t>Contingency</t>
  </si>
  <si>
    <t>Straight Line</t>
  </si>
  <si>
    <t>Development Fee</t>
  </si>
  <si>
    <t>Marketing</t>
  </si>
  <si>
    <t>Start of Lease</t>
  </si>
  <si>
    <t>Leasing Commissions</t>
  </si>
  <si>
    <t>Leasing and Marketing</t>
  </si>
  <si>
    <t>Every January multiply (land plus construction costs paid up until the previous month (December)) times the 1.6% Mill Rate</t>
  </si>
  <si>
    <t>Custom</t>
  </si>
  <si>
    <t>Taxes</t>
  </si>
  <si>
    <t>Permits &amp; City Fees</t>
  </si>
  <si>
    <t>Tenant Improvements</t>
  </si>
  <si>
    <t>S-Curve - SD of 4</t>
  </si>
  <si>
    <t>Construction</t>
  </si>
  <si>
    <t>Construction Monitoring</t>
  </si>
  <si>
    <t>S-Curve - SD of 5</t>
  </si>
  <si>
    <t>Design</t>
  </si>
  <si>
    <t>A&amp;E</t>
  </si>
  <si>
    <t>Legal Fees</t>
  </si>
  <si>
    <t>Application Fees</t>
  </si>
  <si>
    <t>Entitlement Costs</t>
  </si>
  <si>
    <t>Land</t>
  </si>
  <si>
    <t>Line Items</t>
  </si>
  <si>
    <t>Check</t>
  </si>
  <si>
    <t>Duration</t>
  </si>
  <si>
    <t>End Month</t>
  </si>
  <si>
    <t>Start Month</t>
  </si>
  <si>
    <t>Growth Projection Method</t>
  </si>
  <si>
    <t>Budget</t>
  </si>
  <si>
    <t>Date</t>
  </si>
  <si>
    <t>Standard Deviation</t>
  </si>
  <si>
    <t>Fiscal Month</t>
  </si>
  <si>
    <t>Fiscal Year</t>
  </si>
  <si>
    <t>Calculating the Interest Reserve With Circular Reference</t>
  </si>
  <si>
    <t xml:space="preserve"> </t>
  </si>
  <si>
    <t>Total</t>
  </si>
  <si>
    <t>Input End Period</t>
  </si>
  <si>
    <t>Input Start Period</t>
  </si>
  <si>
    <t>Custom Formula Examples</t>
  </si>
  <si>
    <t>Days in Mo</t>
  </si>
  <si>
    <t>Days in Yr</t>
  </si>
  <si>
    <t xml:space="preserve">  </t>
  </si>
  <si>
    <t>Days in Month</t>
  </si>
  <si>
    <t>Days in Year</t>
  </si>
  <si>
    <t>Actual/360</t>
  </si>
  <si>
    <t>Method</t>
  </si>
  <si>
    <t>Interest Calculation</t>
  </si>
  <si>
    <t>Legal - Entitlements</t>
  </si>
  <si>
    <t>Template</t>
  </si>
  <si>
    <t>Watch Me Build</t>
  </si>
  <si>
    <t>Dynamic Steady Growth Formula</t>
  </si>
  <si>
    <t xml:space="preserve">Budget </t>
  </si>
  <si>
    <t>Time Periods</t>
  </si>
  <si>
    <t xml:space="preserve">Mean </t>
  </si>
  <si>
    <t>The Entire Formula In One</t>
  </si>
  <si>
    <t>Completed Formula</t>
  </si>
  <si>
    <r>
      <t>=</t>
    </r>
    <r>
      <rPr>
        <sz val="11"/>
        <color rgb="FF0000FF"/>
        <rFont val="Calibri"/>
        <family val="2"/>
        <scheme val="minor"/>
      </rPr>
      <t>1-2*</t>
    </r>
    <r>
      <rPr>
        <sz val="11"/>
        <color theme="1"/>
        <rFont val="Calibri"/>
        <family val="2"/>
        <scheme val="minor"/>
      </rPr>
      <t>NORM.DIST(</t>
    </r>
    <r>
      <rPr>
        <sz val="12.1"/>
        <color rgb="FF0000FF"/>
        <rFont val="Calibri"/>
        <family val="2"/>
      </rPr>
      <t>0</t>
    </r>
    <r>
      <rPr>
        <sz val="11"/>
        <color theme="1"/>
        <rFont val="Calibri"/>
        <family val="2"/>
        <scheme val="minor"/>
      </rPr>
      <t>,Mean (average),Standard Deviation,TRUE)</t>
    </r>
  </si>
  <si>
    <t>Norm.Dist #3</t>
  </si>
  <si>
    <t>Formula Breakdown</t>
  </si>
  <si>
    <t>Now, add Norm.Dist #3 to the formula.</t>
  </si>
  <si>
    <t>Multiply The Bell Curve Formula By the Dollar Amount</t>
  </si>
  <si>
    <t>Combined Formula</t>
  </si>
  <si>
    <r>
      <t>=NORM.DIST(</t>
    </r>
    <r>
      <rPr>
        <sz val="12.1"/>
        <color rgb="FF00B050"/>
        <rFont val="Calibri"/>
        <family val="2"/>
      </rPr>
      <t>Previous Period</t>
    </r>
    <r>
      <rPr>
        <sz val="11"/>
        <color theme="1"/>
        <rFont val="Calibri"/>
        <family val="2"/>
        <scheme val="minor"/>
      </rPr>
      <t>,Mean (average),Standard Deviation,TRUE)</t>
    </r>
  </si>
  <si>
    <t>Norm.Dist #2</t>
  </si>
  <si>
    <r>
      <t>=NORM.DIST(</t>
    </r>
    <r>
      <rPr>
        <sz val="12.1"/>
        <color rgb="FFFF0000"/>
        <rFont val="Calibri"/>
        <family val="2"/>
      </rPr>
      <t>Current Period</t>
    </r>
    <r>
      <rPr>
        <sz val="11"/>
        <color theme="1"/>
        <rFont val="Calibri"/>
        <family val="2"/>
        <scheme val="minor"/>
      </rPr>
      <t>,Mean (average),Standard Deviation,TRUE)</t>
    </r>
  </si>
  <si>
    <t>Norm.Dist #1</t>
  </si>
  <si>
    <t>Making the Summation of the Bell Curve Formulas Over Any Duration Always Equal 1</t>
  </si>
  <si>
    <t>Loan Payoff Check</t>
  </si>
  <si>
    <t>Ending Loan Balance</t>
  </si>
  <si>
    <t>Interest-Only (Months)</t>
  </si>
  <si>
    <t>Annual Interest Rate</t>
  </si>
  <si>
    <t>Initial Loan Balance</t>
  </si>
  <si>
    <t>LOAN PAYOFF CALCULATION AND ERROR CHECK</t>
  </si>
  <si>
    <t>Sale</t>
  </si>
  <si>
    <t>CFO</t>
  </si>
  <si>
    <t>PV</t>
  </si>
  <si>
    <t>Equity Multiple Partition</t>
  </si>
  <si>
    <t>IRR Partition</t>
  </si>
  <si>
    <t>Unlevered CF</t>
  </si>
  <si>
    <t>Reversion CF</t>
  </si>
  <si>
    <t>Investment CF</t>
  </si>
  <si>
    <t>PARTITIONING IRR AND EQUITY MULTIPLE</t>
  </si>
  <si>
    <t>GP Distribution % = Promote % + (Pro Rata Share x 1 - Promote %)</t>
  </si>
  <si>
    <t>Above a 12% IRR</t>
  </si>
  <si>
    <t>Tier 2</t>
  </si>
  <si>
    <t>Up to a 12% IRR</t>
  </si>
  <si>
    <t>GP</t>
  </si>
  <si>
    <t>LP</t>
  </si>
  <si>
    <t>Promote %</t>
  </si>
  <si>
    <t>Tier 1</t>
  </si>
  <si>
    <t>Distribution %</t>
  </si>
  <si>
    <t>Partnership</t>
  </si>
  <si>
    <t>Limited Partner</t>
  </si>
  <si>
    <t>General Partner</t>
  </si>
  <si>
    <t>Ownership Share</t>
  </si>
  <si>
    <t>CALCULATING DISTRIBUTION %</t>
  </si>
  <si>
    <t>Straight Line Using Additional Formula</t>
  </si>
  <si>
    <t>Straight Line Formula</t>
  </si>
  <si>
    <t>Straight Line Using Bell Curve Formula</t>
  </si>
  <si>
    <t>Copying the Bell Curve Formula From Another Line Item</t>
  </si>
  <si>
    <t xml:space="preserve">Construction </t>
  </si>
  <si>
    <t>Straight Line Formula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</si>
</sst>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5" formatCode="&quot;$&quot;#,##0_);\(&quot;$&quot;#,##0\)"/>
    <numFmt numFmtId="41" formatCode="_(* #,##0_);_(* \(#,##0\);_(* &quot;-&quot;_);_(@_)"/>
    <numFmt numFmtId="43" formatCode="_(* #,##0.00_);_(* \(#,##0.00\);_(* &quot;-&quot;??_);_(@_)"/>
    <numFmt numFmtId="164" formatCode="0\ &quot;Months&quot;"/>
    <numFmt numFmtId="165" formatCode="0.0\ &quot;Years&quot;"/>
    <numFmt numFmtId="166" formatCode="&quot;Month&quot;\ 0"/>
    <numFmt numFmtId="167" formatCode="&quot;Year&quot;\ 0"/>
    <numFmt numFmtId="168" formatCode="#.#0\x"/>
    <numFmt numFmtId="169" formatCode="m/yyyy"/>
    <numFmt numFmtId="170" formatCode="_(* #,##0_);_(* \(#,##0\);_(* &quot;-&quot;??_);_(@_)"/>
    <numFmt numFmtId="171" formatCode="0.0%"/>
    <numFmt numFmtId="172" formatCode="0.000"/>
    <numFmt numFmtId="173" formatCode="0.0%\ &quot;Mill Rate&quot;"/>
    <numFmt numFmtId="174" formatCode="mmm"/>
    <numFmt numFmtId="175" formatCode="mmm\ yyyy"/>
    <numFmt numFmtId="176" formatCode="0.00&quot;X&quot;"/>
  </numFmts>
  <fonts count="34" x14ac:knownFonts="1">
    <font>
      <sz val="11"/>
      <color theme="1"/>
      <name val="Calibri"/>
      <family val="2"/>
      <scheme val="minor"/>
    </font>
    <font>
      <sz val="11"/>
      <color theme="0"/>
      <name val="Roboto Bold"/>
    </font>
    <font>
      <sz val="11"/>
      <color theme="1"/>
      <name val="Roboto Bold"/>
    </font>
    <font>
      <sz val="10"/>
      <color theme="1"/>
      <name val="Calibri"/>
      <family val="2"/>
      <scheme val="minor"/>
    </font>
    <font>
      <sz val="10"/>
      <color indexed="12"/>
      <name val="Calibri"/>
      <family val="2"/>
      <scheme val="minor"/>
    </font>
    <font>
      <sz val="11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B05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sz val="14"/>
      <color rgb="FF0000FF"/>
      <name val="Calibri"/>
      <family val="2"/>
      <scheme val="minor"/>
    </font>
    <font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.1"/>
      <color rgb="FF0000FF"/>
      <name val="Calibri"/>
      <family val="2"/>
    </font>
    <font>
      <sz val="12.1"/>
      <color rgb="FF00B050"/>
      <name val="Calibri"/>
      <family val="2"/>
    </font>
    <font>
      <sz val="12.1"/>
      <color rgb="FFFF0000"/>
      <name val="Calibri"/>
      <family val="2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53">
    <xf numFmtId="0" fontId="0" fillId="0" borderId="0" xfId="0"/>
    <xf numFmtId="0" fontId="0" fillId="0" borderId="0" xfId="0" applyAlignment="1">
      <alignment horizontal="right"/>
    </xf>
    <xf numFmtId="0" fontId="1" fillId="2" borderId="0" xfId="0" applyFont="1" applyFill="1"/>
    <xf numFmtId="0" fontId="2" fillId="2" borderId="0" xfId="0" applyFont="1" applyFill="1" applyAlignment="1">
      <alignment horizontal="right"/>
    </xf>
    <xf numFmtId="0" fontId="2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right"/>
    </xf>
    <xf numFmtId="3" fontId="6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10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166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41" fontId="5" fillId="0" borderId="0" xfId="0" applyNumberFormat="1" applyFont="1" applyAlignment="1">
      <alignment horizontal="right"/>
    </xf>
    <xf numFmtId="41" fontId="0" fillId="0" borderId="0" xfId="0" applyNumberFormat="1" applyAlignment="1">
      <alignment horizontal="right"/>
    </xf>
    <xf numFmtId="0" fontId="0" fillId="5" borderId="0" xfId="0" applyFill="1"/>
    <xf numFmtId="0" fontId="9" fillId="5" borderId="1" xfId="0" applyFont="1" applyFill="1" applyBorder="1"/>
    <xf numFmtId="0" fontId="9" fillId="5" borderId="2" xfId="0" applyFont="1" applyFill="1" applyBorder="1"/>
    <xf numFmtId="168" fontId="9" fillId="5" borderId="2" xfId="0" applyNumberFormat="1" applyFont="1" applyFill="1" applyBorder="1"/>
    <xf numFmtId="0" fontId="9" fillId="5" borderId="3" xfId="0" applyFont="1" applyFill="1" applyBorder="1"/>
    <xf numFmtId="0" fontId="9" fillId="5" borderId="4" xfId="0" applyFont="1" applyFill="1" applyBorder="1"/>
    <xf numFmtId="0" fontId="9" fillId="5" borderId="0" xfId="0" applyFont="1" applyFill="1"/>
    <xf numFmtId="10" fontId="9" fillId="5" borderId="0" xfId="1" applyNumberFormat="1" applyFont="1" applyFill="1"/>
    <xf numFmtId="0" fontId="9" fillId="5" borderId="5" xfId="0" applyFont="1" applyFill="1" applyBorder="1"/>
    <xf numFmtId="41" fontId="9" fillId="5" borderId="4" xfId="0" applyNumberFormat="1" applyFont="1" applyFill="1" applyBorder="1"/>
    <xf numFmtId="41" fontId="9" fillId="5" borderId="0" xfId="0" applyNumberFormat="1" applyFont="1" applyFill="1"/>
    <xf numFmtId="41" fontId="9" fillId="5" borderId="6" xfId="0" applyNumberFormat="1" applyFont="1" applyFill="1" applyBorder="1" applyAlignment="1">
      <alignment horizontal="center"/>
    </xf>
    <xf numFmtId="41" fontId="9" fillId="5" borderId="7" xfId="0" applyNumberFormat="1" applyFont="1" applyFill="1" applyBorder="1" applyAlignment="1">
      <alignment horizontal="center"/>
    </xf>
    <xf numFmtId="41" fontId="9" fillId="5" borderId="7" xfId="0" applyNumberFormat="1" applyFont="1" applyFill="1" applyBorder="1"/>
    <xf numFmtId="2" fontId="9" fillId="5" borderId="7" xfId="0" applyNumberFormat="1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169" fontId="9" fillId="5" borderId="7" xfId="0" applyNumberFormat="1" applyFont="1" applyFill="1" applyBorder="1" applyAlignment="1">
      <alignment horizontal="center"/>
    </xf>
    <xf numFmtId="41" fontId="10" fillId="5" borderId="8" xfId="0" applyNumberFormat="1" applyFont="1" applyFill="1" applyBorder="1"/>
    <xf numFmtId="0" fontId="0" fillId="4" borderId="1" xfId="0" applyFill="1" applyBorder="1"/>
    <xf numFmtId="0" fontId="0" fillId="4" borderId="2" xfId="0" applyFill="1" applyBorder="1"/>
    <xf numFmtId="168" fontId="0" fillId="4" borderId="2" xfId="0" applyNumberFormat="1" applyFill="1" applyBorder="1"/>
    <xf numFmtId="168" fontId="0" fillId="6" borderId="2" xfId="0" applyNumberFormat="1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/>
    <xf numFmtId="10" fontId="0" fillId="4" borderId="0" xfId="1" applyNumberFormat="1" applyFont="1" applyFill="1"/>
    <xf numFmtId="10" fontId="0" fillId="6" borderId="0" xfId="1" applyNumberFormat="1" applyFont="1" applyFill="1"/>
    <xf numFmtId="0" fontId="0" fillId="4" borderId="5" xfId="0" applyFill="1" applyBorder="1"/>
    <xf numFmtId="41" fontId="0" fillId="4" borderId="4" xfId="0" applyNumberFormat="1" applyFill="1" applyBorder="1"/>
    <xf numFmtId="41" fontId="0" fillId="4" borderId="0" xfId="0" applyNumberFormat="1" applyFill="1"/>
    <xf numFmtId="41" fontId="0" fillId="6" borderId="0" xfId="0" applyNumberFormat="1" applyFill="1"/>
    <xf numFmtId="41" fontId="11" fillId="7" borderId="6" xfId="0" applyNumberFormat="1" applyFont="1" applyFill="1" applyBorder="1" applyAlignment="1">
      <alignment horizontal="center"/>
    </xf>
    <xf numFmtId="41" fontId="11" fillId="7" borderId="7" xfId="0" applyNumberFormat="1" applyFont="1" applyFill="1" applyBorder="1" applyAlignment="1">
      <alignment horizontal="center"/>
    </xf>
    <xf numFmtId="41" fontId="11" fillId="7" borderId="7" xfId="0" applyNumberFormat="1" applyFont="1" applyFill="1" applyBorder="1"/>
    <xf numFmtId="2" fontId="11" fillId="7" borderId="7" xfId="0" applyNumberFormat="1" applyFont="1" applyFill="1" applyBorder="1" applyAlignment="1">
      <alignment horizontal="center"/>
    </xf>
    <xf numFmtId="0" fontId="11" fillId="7" borderId="7" xfId="0" applyFont="1" applyFill="1" applyBorder="1" applyAlignment="1">
      <alignment horizontal="center"/>
    </xf>
    <xf numFmtId="169" fontId="11" fillId="7" borderId="7" xfId="0" applyNumberFormat="1" applyFont="1" applyFill="1" applyBorder="1" applyAlignment="1">
      <alignment horizontal="center"/>
    </xf>
    <xf numFmtId="41" fontId="12" fillId="7" borderId="8" xfId="0" applyNumberFormat="1" applyFont="1" applyFill="1" applyBorder="1"/>
    <xf numFmtId="41" fontId="13" fillId="4" borderId="9" xfId="0" applyNumberFormat="1" applyFont="1" applyFill="1" applyBorder="1"/>
    <xf numFmtId="41" fontId="13" fillId="4" borderId="10" xfId="0" applyNumberFormat="1" applyFont="1" applyFill="1" applyBorder="1"/>
    <xf numFmtId="0" fontId="13" fillId="4" borderId="10" xfId="0" applyFont="1" applyFill="1" applyBorder="1"/>
    <xf numFmtId="0" fontId="13" fillId="4" borderId="11" xfId="0" applyFont="1" applyFill="1" applyBorder="1"/>
    <xf numFmtId="0" fontId="0" fillId="4" borderId="5" xfId="0" applyFill="1" applyBorder="1" applyAlignment="1">
      <alignment horizontal="left" indent="1"/>
    </xf>
    <xf numFmtId="41" fontId="0" fillId="4" borderId="6" xfId="0" applyNumberFormat="1" applyFill="1" applyBorder="1"/>
    <xf numFmtId="41" fontId="0" fillId="4" borderId="7" xfId="0" applyNumberFormat="1" applyFill="1" applyBorder="1"/>
    <xf numFmtId="0" fontId="0" fillId="4" borderId="7" xfId="0" applyFill="1" applyBorder="1"/>
    <xf numFmtId="0" fontId="0" fillId="4" borderId="8" xfId="0" applyFill="1" applyBorder="1" applyAlignment="1">
      <alignment horizontal="left" indent="1"/>
    </xf>
    <xf numFmtId="41" fontId="5" fillId="4" borderId="1" xfId="0" applyNumberFormat="1" applyFont="1" applyFill="1" applyBorder="1"/>
    <xf numFmtId="41" fontId="5" fillId="4" borderId="2" xfId="0" applyNumberFormat="1" applyFont="1" applyFill="1" applyBorder="1"/>
    <xf numFmtId="2" fontId="5" fillId="4" borderId="2" xfId="0" applyNumberFormat="1" applyFont="1" applyFill="1" applyBorder="1"/>
    <xf numFmtId="10" fontId="5" fillId="4" borderId="2" xfId="1" applyNumberFormat="1" applyFont="1" applyFill="1" applyBorder="1" applyAlignment="1">
      <alignment horizontal="center"/>
    </xf>
    <xf numFmtId="0" fontId="5" fillId="4" borderId="3" xfId="0" applyFont="1" applyFill="1" applyBorder="1"/>
    <xf numFmtId="41" fontId="5" fillId="4" borderId="6" xfId="0" applyNumberFormat="1" applyFont="1" applyFill="1" applyBorder="1"/>
    <xf numFmtId="41" fontId="5" fillId="4" borderId="7" xfId="0" applyNumberFormat="1" applyFont="1" applyFill="1" applyBorder="1"/>
    <xf numFmtId="2" fontId="5" fillId="4" borderId="7" xfId="0" applyNumberFormat="1" applyFont="1" applyFill="1" applyBorder="1"/>
    <xf numFmtId="10" fontId="5" fillId="4" borderId="7" xfId="1" applyNumberFormat="1" applyFont="1" applyFill="1" applyBorder="1" applyAlignment="1">
      <alignment horizontal="center"/>
    </xf>
    <xf numFmtId="5" fontId="5" fillId="4" borderId="7" xfId="0" applyNumberFormat="1" applyFont="1" applyFill="1" applyBorder="1"/>
    <xf numFmtId="0" fontId="5" fillId="4" borderId="8" xfId="0" applyFont="1" applyFill="1" applyBorder="1"/>
    <xf numFmtId="10" fontId="14" fillId="4" borderId="1" xfId="1" applyNumberFormat="1" applyFont="1" applyFill="1" applyBorder="1" applyAlignment="1">
      <alignment horizontal="center"/>
    </xf>
    <xf numFmtId="10" fontId="14" fillId="4" borderId="2" xfId="1" applyNumberFormat="1" applyFont="1" applyFill="1" applyBorder="1" applyAlignment="1">
      <alignment horizontal="center"/>
    </xf>
    <xf numFmtId="10" fontId="14" fillId="4" borderId="2" xfId="1" applyNumberFormat="1" applyFont="1" applyFill="1" applyBorder="1"/>
    <xf numFmtId="2" fontId="14" fillId="4" borderId="2" xfId="0" applyNumberFormat="1" applyFont="1" applyFill="1" applyBorder="1"/>
    <xf numFmtId="14" fontId="5" fillId="4" borderId="2" xfId="0" applyNumberFormat="1" applyFont="1" applyFill="1" applyBorder="1" applyAlignment="1">
      <alignment horizontal="center"/>
    </xf>
    <xf numFmtId="5" fontId="5" fillId="4" borderId="2" xfId="0" applyNumberFormat="1" applyFont="1" applyFill="1" applyBorder="1"/>
    <xf numFmtId="10" fontId="5" fillId="4" borderId="1" xfId="0" applyNumberFormat="1" applyFont="1" applyFill="1" applyBorder="1"/>
    <xf numFmtId="10" fontId="5" fillId="4" borderId="2" xfId="0" applyNumberFormat="1" applyFont="1" applyFill="1" applyBorder="1"/>
    <xf numFmtId="10" fontId="5" fillId="4" borderId="4" xfId="0" applyNumberFormat="1" applyFont="1" applyFill="1" applyBorder="1"/>
    <xf numFmtId="10" fontId="5" fillId="4" borderId="0" xfId="0" applyNumberFormat="1" applyFont="1" applyFill="1"/>
    <xf numFmtId="2" fontId="5" fillId="4" borderId="0" xfId="0" applyNumberFormat="1" applyFont="1" applyFill="1"/>
    <xf numFmtId="14" fontId="5" fillId="4" borderId="0" xfId="0" applyNumberFormat="1" applyFont="1" applyFill="1" applyAlignment="1">
      <alignment horizontal="center"/>
    </xf>
    <xf numFmtId="5" fontId="5" fillId="4" borderId="0" xfId="0" applyNumberFormat="1" applyFont="1" applyFill="1"/>
    <xf numFmtId="0" fontId="14" fillId="4" borderId="5" xfId="0" applyFont="1" applyFill="1" applyBorder="1"/>
    <xf numFmtId="10" fontId="5" fillId="4" borderId="6" xfId="0" applyNumberFormat="1" applyFont="1" applyFill="1" applyBorder="1"/>
    <xf numFmtId="10" fontId="5" fillId="4" borderId="7" xfId="0" applyNumberFormat="1" applyFont="1" applyFill="1" applyBorder="1"/>
    <xf numFmtId="14" fontId="5" fillId="4" borderId="7" xfId="0" applyNumberFormat="1" applyFont="1" applyFill="1" applyBorder="1" applyAlignment="1">
      <alignment horizontal="center"/>
    </xf>
    <xf numFmtId="41" fontId="5" fillId="4" borderId="4" xfId="0" applyNumberFormat="1" applyFont="1" applyFill="1" applyBorder="1" applyAlignment="1">
      <alignment horizontal="center"/>
    </xf>
    <xf numFmtId="41" fontId="5" fillId="4" borderId="0" xfId="0" applyNumberFormat="1" applyFont="1" applyFill="1" applyAlignment="1">
      <alignment horizontal="center"/>
    </xf>
    <xf numFmtId="41" fontId="5" fillId="4" borderId="0" xfId="0" applyNumberFormat="1" applyFont="1" applyFill="1"/>
    <xf numFmtId="0" fontId="5" fillId="4" borderId="0" xfId="0" applyFont="1" applyFill="1"/>
    <xf numFmtId="0" fontId="5" fillId="4" borderId="5" xfId="0" applyFont="1" applyFill="1" applyBorder="1"/>
    <xf numFmtId="43" fontId="5" fillId="4" borderId="0" xfId="0" applyNumberFormat="1" applyFont="1" applyFill="1" applyAlignment="1">
      <alignment horizontal="center"/>
    </xf>
    <xf numFmtId="10" fontId="5" fillId="4" borderId="0" xfId="1" applyNumberFormat="1" applyFont="1" applyFill="1" applyAlignment="1">
      <alignment horizontal="center"/>
    </xf>
    <xf numFmtId="41" fontId="5" fillId="4" borderId="6" xfId="0" applyNumberFormat="1" applyFont="1" applyFill="1" applyBorder="1" applyAlignment="1">
      <alignment horizontal="center"/>
    </xf>
    <xf numFmtId="41" fontId="5" fillId="4" borderId="7" xfId="0" applyNumberFormat="1" applyFont="1" applyFill="1" applyBorder="1" applyAlignment="1">
      <alignment horizontal="center"/>
    </xf>
    <xf numFmtId="3" fontId="5" fillId="4" borderId="7" xfId="0" applyNumberFormat="1" applyFont="1" applyFill="1" applyBorder="1"/>
    <xf numFmtId="2" fontId="5" fillId="4" borderId="4" xfId="0" applyNumberFormat="1" applyFont="1" applyFill="1" applyBorder="1" applyAlignment="1">
      <alignment horizontal="center"/>
    </xf>
    <xf numFmtId="2" fontId="5" fillId="4" borderId="0" xfId="0" applyNumberFormat="1" applyFont="1" applyFill="1" applyAlignment="1">
      <alignment horizontal="center"/>
    </xf>
    <xf numFmtId="41" fontId="0" fillId="4" borderId="1" xfId="0" applyNumberFormat="1" applyFill="1" applyBorder="1" applyAlignment="1">
      <alignment horizontal="center"/>
    </xf>
    <xf numFmtId="41" fontId="0" fillId="4" borderId="2" xfId="0" applyNumberFormat="1" applyFill="1" applyBorder="1" applyAlignment="1">
      <alignment horizontal="center"/>
    </xf>
    <xf numFmtId="41" fontId="0" fillId="4" borderId="2" xfId="0" applyNumberFormat="1" applyFill="1" applyBorder="1"/>
    <xf numFmtId="14" fontId="0" fillId="4" borderId="2" xfId="0" applyNumberFormat="1" applyFill="1" applyBorder="1" applyAlignment="1">
      <alignment horizontal="center"/>
    </xf>
    <xf numFmtId="5" fontId="0" fillId="4" borderId="2" xfId="0" applyNumberFormat="1" applyFill="1" applyBorder="1"/>
    <xf numFmtId="41" fontId="0" fillId="4" borderId="4" xfId="0" applyNumberFormat="1" applyFill="1" applyBorder="1" applyAlignment="1">
      <alignment horizontal="center"/>
    </xf>
    <xf numFmtId="41" fontId="0" fillId="4" borderId="0" xfId="0" applyNumberFormat="1" applyFill="1" applyAlignment="1">
      <alignment horizontal="center"/>
    </xf>
    <xf numFmtId="14" fontId="0" fillId="4" borderId="0" xfId="0" applyNumberFormat="1" applyFill="1" applyAlignment="1">
      <alignment horizontal="center"/>
    </xf>
    <xf numFmtId="5" fontId="0" fillId="4" borderId="0" xfId="0" applyNumberFormat="1" applyFill="1"/>
    <xf numFmtId="10" fontId="7" fillId="4" borderId="0" xfId="1" applyNumberFormat="1" applyFill="1" applyAlignment="1">
      <alignment horizontal="center"/>
    </xf>
    <xf numFmtId="41" fontId="0" fillId="4" borderId="6" xfId="0" applyNumberFormat="1" applyFill="1" applyBorder="1" applyAlignment="1">
      <alignment horizontal="center"/>
    </xf>
    <xf numFmtId="41" fontId="0" fillId="4" borderId="7" xfId="0" applyNumberFormat="1" applyFill="1" applyBorder="1" applyAlignment="1">
      <alignment horizontal="center"/>
    </xf>
    <xf numFmtId="10" fontId="7" fillId="4" borderId="7" xfId="1" applyNumberFormat="1" applyFill="1" applyBorder="1" applyAlignment="1">
      <alignment horizontal="center"/>
    </xf>
    <xf numFmtId="5" fontId="0" fillId="4" borderId="7" xfId="0" applyNumberFormat="1" applyFill="1" applyBorder="1"/>
    <xf numFmtId="0" fontId="0" fillId="4" borderId="8" xfId="0" applyFill="1" applyBorder="1"/>
    <xf numFmtId="2" fontId="0" fillId="4" borderId="4" xfId="0" applyNumberFormat="1" applyFill="1" applyBorder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4" borderId="0" xfId="0" applyNumberFormat="1" applyFill="1"/>
    <xf numFmtId="0" fontId="13" fillId="4" borderId="5" xfId="0" applyFont="1" applyFill="1" applyBorder="1"/>
    <xf numFmtId="0" fontId="0" fillId="4" borderId="12" xfId="0" applyFill="1" applyBorder="1" applyAlignment="1">
      <alignment horizontal="right"/>
    </xf>
    <xf numFmtId="0" fontId="0" fillId="4" borderId="13" xfId="0" applyFill="1" applyBorder="1"/>
    <xf numFmtId="3" fontId="5" fillId="4" borderId="4" xfId="0" applyNumberFormat="1" applyFont="1" applyFill="1" applyBorder="1"/>
    <xf numFmtId="10" fontId="15" fillId="4" borderId="4" xfId="0" applyNumberFormat="1" applyFont="1" applyFill="1" applyBorder="1"/>
    <xf numFmtId="10" fontId="15" fillId="4" borderId="4" xfId="1" applyNumberFormat="1" applyFont="1" applyFill="1" applyBorder="1"/>
    <xf numFmtId="0" fontId="15" fillId="4" borderId="4" xfId="1" applyNumberFormat="1" applyFont="1" applyFill="1" applyBorder="1"/>
    <xf numFmtId="9" fontId="15" fillId="4" borderId="4" xfId="0" applyNumberFormat="1" applyFont="1" applyFill="1" applyBorder="1"/>
    <xf numFmtId="41" fontId="0" fillId="5" borderId="0" xfId="0" applyNumberFormat="1" applyFill="1"/>
    <xf numFmtId="5" fontId="0" fillId="5" borderId="0" xfId="0" applyNumberFormat="1" applyFill="1"/>
    <xf numFmtId="0" fontId="11" fillId="7" borderId="6" xfId="0" applyFont="1" applyFill="1" applyBorder="1"/>
    <xf numFmtId="0" fontId="11" fillId="7" borderId="8" xfId="0" applyFont="1" applyFill="1" applyBorder="1"/>
    <xf numFmtId="170" fontId="0" fillId="4" borderId="12" xfId="0" applyNumberFormat="1" applyFill="1" applyBorder="1"/>
    <xf numFmtId="170" fontId="0" fillId="4" borderId="14" xfId="0" applyNumberFormat="1" applyFill="1" applyBorder="1"/>
    <xf numFmtId="41" fontId="0" fillId="4" borderId="14" xfId="0" applyNumberFormat="1" applyFill="1" applyBorder="1"/>
    <xf numFmtId="0" fontId="0" fillId="4" borderId="14" xfId="0" applyFill="1" applyBorder="1"/>
    <xf numFmtId="37" fontId="0" fillId="4" borderId="14" xfId="0" applyNumberFormat="1" applyFill="1" applyBorder="1"/>
    <xf numFmtId="0" fontId="5" fillId="4" borderId="13" xfId="0" applyFont="1" applyFill="1" applyBorder="1"/>
    <xf numFmtId="0" fontId="0" fillId="4" borderId="7" xfId="0" applyFill="1" applyBorder="1" applyAlignment="1">
      <alignment horizontal="center"/>
    </xf>
    <xf numFmtId="0" fontId="0" fillId="5" borderId="7" xfId="0" applyFill="1" applyBorder="1"/>
    <xf numFmtId="3" fontId="0" fillId="5" borderId="7" xfId="0" applyNumberFormat="1" applyFill="1" applyBorder="1" applyAlignment="1">
      <alignment horizontal="right"/>
    </xf>
    <xf numFmtId="3" fontId="0" fillId="4" borderId="7" xfId="0" applyNumberFormat="1" applyFill="1" applyBorder="1" applyAlignment="1">
      <alignment horizontal="right"/>
    </xf>
    <xf numFmtId="0" fontId="13" fillId="4" borderId="8" xfId="0" applyFont="1" applyFill="1" applyBorder="1"/>
    <xf numFmtId="41" fontId="0" fillId="6" borderId="1" xfId="0" applyNumberFormat="1" applyFill="1" applyBorder="1"/>
    <xf numFmtId="41" fontId="0" fillId="6" borderId="2" xfId="0" applyNumberFormat="1" applyFill="1" applyBorder="1"/>
    <xf numFmtId="0" fontId="0" fillId="4" borderId="0" xfId="0" applyFill="1" applyAlignment="1">
      <alignment horizontal="center"/>
    </xf>
    <xf numFmtId="0" fontId="15" fillId="5" borderId="2" xfId="0" applyFont="1" applyFill="1" applyBorder="1"/>
    <xf numFmtId="0" fontId="0" fillId="5" borderId="2" xfId="0" applyFill="1" applyBorder="1" applyAlignment="1">
      <alignment horizontal="center"/>
    </xf>
    <xf numFmtId="37" fontId="0" fillId="5" borderId="2" xfId="0" applyNumberFormat="1" applyFill="1" applyBorder="1" applyAlignment="1">
      <alignment horizontal="center"/>
    </xf>
    <xf numFmtId="37" fontId="0" fillId="6" borderId="0" xfId="0" applyNumberFormat="1" applyFill="1" applyAlignment="1">
      <alignment horizontal="right"/>
    </xf>
    <xf numFmtId="41" fontId="0" fillId="6" borderId="4" xfId="0" applyNumberFormat="1" applyFill="1" applyBorder="1"/>
    <xf numFmtId="0" fontId="15" fillId="5" borderId="0" xfId="0" applyFont="1" applyFill="1"/>
    <xf numFmtId="0" fontId="0" fillId="5" borderId="0" xfId="0" applyFill="1" applyAlignment="1">
      <alignment horizontal="center"/>
    </xf>
    <xf numFmtId="37" fontId="0" fillId="5" borderId="0" xfId="0" applyNumberFormat="1" applyFill="1" applyAlignment="1">
      <alignment horizontal="center"/>
    </xf>
    <xf numFmtId="37" fontId="0" fillId="5" borderId="0" xfId="0" applyNumberFormat="1" applyFill="1" applyAlignment="1">
      <alignment horizontal="right"/>
    </xf>
    <xf numFmtId="37" fontId="0" fillId="4" borderId="0" xfId="0" applyNumberFormat="1" applyFill="1" applyAlignment="1">
      <alignment horizontal="right"/>
    </xf>
    <xf numFmtId="0" fontId="15" fillId="5" borderId="0" xfId="0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0" fillId="5" borderId="6" xfId="0" applyFill="1" applyBorder="1"/>
    <xf numFmtId="171" fontId="16" fillId="5" borderId="8" xfId="1" applyNumberFormat="1" applyFont="1" applyFill="1" applyBorder="1" applyAlignment="1">
      <alignment horizontal="center"/>
    </xf>
    <xf numFmtId="9" fontId="5" fillId="5" borderId="4" xfId="0" applyNumberFormat="1" applyFont="1" applyFill="1" applyBorder="1" applyAlignment="1">
      <alignment horizontal="center"/>
    </xf>
    <xf numFmtId="9" fontId="15" fillId="5" borderId="5" xfId="0" applyNumberFormat="1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0" fontId="16" fillId="5" borderId="8" xfId="0" applyFont="1" applyFill="1" applyBorder="1" applyAlignment="1">
      <alignment horizontal="center"/>
    </xf>
    <xf numFmtId="0" fontId="0" fillId="5" borderId="0" xfId="0" applyFill="1" applyAlignment="1">
      <alignment horizontal="right"/>
    </xf>
    <xf numFmtId="0" fontId="0" fillId="4" borderId="9" xfId="0" applyFill="1" applyBorder="1"/>
    <xf numFmtId="0" fontId="0" fillId="4" borderId="10" xfId="0" applyFill="1" applyBorder="1"/>
    <xf numFmtId="0" fontId="0" fillId="5" borderId="10" xfId="0" applyFill="1" applyBorder="1"/>
    <xf numFmtId="0" fontId="0" fillId="5" borderId="10" xfId="0" applyFill="1" applyBorder="1" applyAlignment="1">
      <alignment horizontal="right"/>
    </xf>
    <xf numFmtId="0" fontId="0" fillId="4" borderId="10" xfId="0" applyFill="1" applyBorder="1" applyAlignment="1">
      <alignment horizontal="right"/>
    </xf>
    <xf numFmtId="0" fontId="5" fillId="4" borderId="11" xfId="0" applyFont="1" applyFill="1" applyBorder="1"/>
    <xf numFmtId="14" fontId="11" fillId="7" borderId="1" xfId="0" applyNumberFormat="1" applyFont="1" applyFill="1" applyBorder="1" applyAlignment="1">
      <alignment horizontal="center"/>
    </xf>
    <xf numFmtId="14" fontId="11" fillId="7" borderId="2" xfId="0" applyNumberFormat="1" applyFont="1" applyFill="1" applyBorder="1" applyAlignment="1">
      <alignment horizontal="center"/>
    </xf>
    <xf numFmtId="0" fontId="11" fillId="8" borderId="2" xfId="0" applyFont="1" applyFill="1" applyBorder="1" applyAlignment="1">
      <alignment horizontal="center" wrapText="1"/>
    </xf>
    <xf numFmtId="0" fontId="11" fillId="8" borderId="2" xfId="0" applyFont="1" applyFill="1" applyBorder="1" applyAlignment="1">
      <alignment horizontal="center"/>
    </xf>
    <xf numFmtId="14" fontId="11" fillId="8" borderId="2" xfId="0" applyNumberFormat="1" applyFont="1" applyFill="1" applyBorder="1" applyAlignment="1">
      <alignment horizontal="right"/>
    </xf>
    <xf numFmtId="14" fontId="11" fillId="7" borderId="2" xfId="0" applyNumberFormat="1" applyFont="1" applyFill="1" applyBorder="1" applyAlignment="1">
      <alignment horizontal="right"/>
    </xf>
    <xf numFmtId="0" fontId="11" fillId="7" borderId="3" xfId="0" applyFont="1" applyFill="1" applyBorder="1"/>
    <xf numFmtId="0" fontId="11" fillId="7" borderId="4" xfId="0" applyFont="1" applyFill="1" applyBorder="1" applyAlignment="1">
      <alignment horizontal="center"/>
    </xf>
    <xf numFmtId="0" fontId="11" fillId="7" borderId="0" xfId="0" applyFont="1" applyFill="1" applyAlignment="1">
      <alignment horizontal="center"/>
    </xf>
    <xf numFmtId="0" fontId="11" fillId="8" borderId="0" xfId="0" applyFont="1" applyFill="1" applyAlignment="1">
      <alignment horizontal="center" wrapText="1"/>
    </xf>
    <xf numFmtId="0" fontId="11" fillId="8" borderId="0" xfId="0" applyFont="1" applyFill="1"/>
    <xf numFmtId="0" fontId="11" fillId="8" borderId="0" xfId="0" applyFont="1" applyFill="1" applyAlignment="1">
      <alignment horizontal="center"/>
    </xf>
    <xf numFmtId="0" fontId="11" fillId="7" borderId="5" xfId="0" applyFont="1" applyFill="1" applyBorder="1"/>
    <xf numFmtId="0" fontId="11" fillId="7" borderId="6" xfId="0" applyFont="1" applyFill="1" applyBorder="1" applyAlignment="1">
      <alignment horizontal="center"/>
    </xf>
    <xf numFmtId="0" fontId="11" fillId="8" borderId="7" xfId="0" applyFont="1" applyFill="1" applyBorder="1"/>
    <xf numFmtId="0" fontId="11" fillId="8" borderId="7" xfId="0" applyFont="1" applyFill="1" applyBorder="1" applyAlignment="1">
      <alignment horizontal="center"/>
    </xf>
    <xf numFmtId="0" fontId="17" fillId="5" borderId="0" xfId="0" applyFont="1" applyFill="1"/>
    <xf numFmtId="172" fontId="0" fillId="5" borderId="0" xfId="0" applyNumberFormat="1" applyFill="1"/>
    <xf numFmtId="43" fontId="0" fillId="5" borderId="0" xfId="0" applyNumberFormat="1" applyFill="1"/>
    <xf numFmtId="41" fontId="20" fillId="5" borderId="1" xfId="0" applyNumberFormat="1" applyFont="1" applyFill="1" applyBorder="1" applyAlignment="1">
      <alignment vertical="center"/>
    </xf>
    <xf numFmtId="41" fontId="20" fillId="5" borderId="2" xfId="0" applyNumberFormat="1" applyFont="1" applyFill="1" applyBorder="1" applyAlignment="1">
      <alignment vertical="center"/>
    </xf>
    <xf numFmtId="0" fontId="20" fillId="5" borderId="2" xfId="0" applyFont="1" applyFill="1" applyBorder="1" applyAlignment="1">
      <alignment horizontal="center" vertical="center"/>
    </xf>
    <xf numFmtId="41" fontId="20" fillId="4" borderId="1" xfId="0" applyNumberFormat="1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9" fontId="21" fillId="6" borderId="2" xfId="0" applyNumberFormat="1" applyFont="1" applyFill="1" applyBorder="1" applyAlignment="1">
      <alignment horizontal="center" vertical="center"/>
    </xf>
    <xf numFmtId="3" fontId="20" fillId="4" borderId="2" xfId="0" applyNumberFormat="1" applyFont="1" applyFill="1" applyBorder="1" applyAlignment="1">
      <alignment vertical="center"/>
    </xf>
    <xf numFmtId="0" fontId="22" fillId="4" borderId="3" xfId="0" applyFont="1" applyFill="1" applyBorder="1" applyAlignment="1">
      <alignment wrapText="1"/>
    </xf>
    <xf numFmtId="41" fontId="21" fillId="6" borderId="6" xfId="0" applyNumberFormat="1" applyFont="1" applyFill="1" applyBorder="1" applyAlignment="1">
      <alignment vertical="center"/>
    </xf>
    <xf numFmtId="41" fontId="21" fillId="6" borderId="7" xfId="0" applyNumberFormat="1" applyFont="1" applyFill="1" applyBorder="1" applyAlignment="1">
      <alignment vertical="center"/>
    </xf>
    <xf numFmtId="0" fontId="20" fillId="4" borderId="7" xfId="0" applyFont="1" applyFill="1" applyBorder="1" applyAlignment="1">
      <alignment horizontal="center" vertical="center"/>
    </xf>
    <xf numFmtId="41" fontId="20" fillId="4" borderId="6" xfId="0" applyNumberFormat="1" applyFont="1" applyFill="1" applyBorder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1" fillId="6" borderId="7" xfId="0" applyFont="1" applyFill="1" applyBorder="1" applyAlignment="1">
      <alignment horizontal="center" vertical="center"/>
    </xf>
    <xf numFmtId="3" fontId="20" fillId="4" borderId="7" xfId="0" applyNumberFormat="1" applyFont="1" applyFill="1" applyBorder="1" applyAlignment="1">
      <alignment vertical="center"/>
    </xf>
    <xf numFmtId="0" fontId="22" fillId="4" borderId="8" xfId="0" applyFont="1" applyFill="1" applyBorder="1" applyAlignment="1">
      <alignment wrapText="1"/>
    </xf>
    <xf numFmtId="41" fontId="21" fillId="6" borderId="9" xfId="0" applyNumberFormat="1" applyFont="1" applyFill="1" applyBorder="1" applyAlignment="1">
      <alignment vertical="center"/>
    </xf>
    <xf numFmtId="41" fontId="21" fillId="6" borderId="10" xfId="0" applyNumberFormat="1" applyFont="1" applyFill="1" applyBorder="1" applyAlignment="1">
      <alignment vertical="center"/>
    </xf>
    <xf numFmtId="0" fontId="20" fillId="4" borderId="11" xfId="0" applyFont="1" applyFill="1" applyBorder="1" applyAlignment="1">
      <alignment horizontal="center" vertical="center"/>
    </xf>
    <xf numFmtId="41" fontId="20" fillId="4" borderId="9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173" fontId="21" fillId="6" borderId="10" xfId="1" applyNumberFormat="1" applyFont="1" applyFill="1" applyBorder="1" applyAlignment="1">
      <alignment horizontal="center" vertical="center"/>
    </xf>
    <xf numFmtId="174" fontId="21" fillId="6" borderId="10" xfId="0" applyNumberFormat="1" applyFont="1" applyFill="1" applyBorder="1" applyAlignment="1">
      <alignment horizontal="center" vertical="center"/>
    </xf>
    <xf numFmtId="3" fontId="21" fillId="6" borderId="10" xfId="0" applyNumberFormat="1" applyFont="1" applyFill="1" applyBorder="1" applyAlignment="1">
      <alignment vertical="center"/>
    </xf>
    <xf numFmtId="0" fontId="22" fillId="4" borderId="11" xfId="0" applyFont="1" applyFill="1" applyBorder="1" applyAlignment="1">
      <alignment wrapText="1"/>
    </xf>
    <xf numFmtId="41" fontId="20" fillId="4" borderId="4" xfId="0" applyNumberFormat="1" applyFont="1" applyFill="1" applyBorder="1" applyAlignment="1">
      <alignment vertical="center"/>
    </xf>
    <xf numFmtId="41" fontId="20" fillId="4" borderId="0" xfId="0" applyNumberFormat="1" applyFont="1" applyFill="1" applyAlignment="1">
      <alignment vertical="center"/>
    </xf>
    <xf numFmtId="0" fontId="20" fillId="4" borderId="5" xfId="0" applyFont="1" applyFill="1" applyBorder="1" applyAlignment="1">
      <alignment horizontal="center" vertical="center"/>
    </xf>
    <xf numFmtId="41" fontId="20" fillId="4" borderId="4" xfId="0" applyNumberFormat="1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3" fontId="20" fillId="4" borderId="0" xfId="0" applyNumberFormat="1" applyFont="1" applyFill="1" applyAlignment="1">
      <alignment vertical="center"/>
    </xf>
    <xf numFmtId="0" fontId="22" fillId="4" borderId="5" xfId="0" applyFont="1" applyFill="1" applyBorder="1" applyAlignment="1">
      <alignment wrapText="1"/>
    </xf>
    <xf numFmtId="41" fontId="20" fillId="4" borderId="6" xfId="0" applyNumberFormat="1" applyFont="1" applyFill="1" applyBorder="1" applyAlignment="1">
      <alignment vertical="center"/>
    </xf>
    <xf numFmtId="41" fontId="20" fillId="4" borderId="7" xfId="0" applyNumberFormat="1" applyFont="1" applyFill="1" applyBorder="1" applyAlignment="1">
      <alignment vertical="center"/>
    </xf>
    <xf numFmtId="0" fontId="20" fillId="4" borderId="8" xfId="0" applyFont="1" applyFill="1" applyBorder="1" applyAlignment="1">
      <alignment horizontal="center" vertical="center"/>
    </xf>
    <xf numFmtId="175" fontId="11" fillId="7" borderId="1" xfId="0" applyNumberFormat="1" applyFont="1" applyFill="1" applyBorder="1" applyAlignment="1">
      <alignment horizontal="center"/>
    </xf>
    <xf numFmtId="175" fontId="11" fillId="7" borderId="2" xfId="0" applyNumberFormat="1" applyFont="1" applyFill="1" applyBorder="1" applyAlignment="1">
      <alignment horizontal="center"/>
    </xf>
    <xf numFmtId="0" fontId="11" fillId="7" borderId="2" xfId="0" applyFont="1" applyFill="1" applyBorder="1"/>
    <xf numFmtId="0" fontId="11" fillId="7" borderId="2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 wrapText="1"/>
    </xf>
    <xf numFmtId="0" fontId="11" fillId="7" borderId="7" xfId="0" applyFont="1" applyFill="1" applyBorder="1"/>
    <xf numFmtId="0" fontId="11" fillId="7" borderId="7" xfId="0" applyFont="1" applyFill="1" applyBorder="1" applyAlignment="1">
      <alignment horizontal="center" wrapText="1"/>
    </xf>
    <xf numFmtId="0" fontId="0" fillId="5" borderId="0" xfId="0" applyFill="1" applyAlignment="1">
      <alignment horizontal="centerContinuous"/>
    </xf>
    <xf numFmtId="0" fontId="23" fillId="5" borderId="0" xfId="0" applyFont="1" applyFill="1" applyAlignment="1">
      <alignment horizontal="left"/>
    </xf>
    <xf numFmtId="166" fontId="0" fillId="0" borderId="0" xfId="0" applyNumberFormat="1" applyAlignment="1">
      <alignment horizontal="right"/>
    </xf>
    <xf numFmtId="15" fontId="0" fillId="0" borderId="0" xfId="0" applyNumberFormat="1" applyAlignment="1">
      <alignment horizontal="right"/>
    </xf>
    <xf numFmtId="15" fontId="15" fillId="0" borderId="0" xfId="0" applyNumberFormat="1" applyFont="1" applyAlignment="1">
      <alignment horizontal="right"/>
    </xf>
    <xf numFmtId="0" fontId="24" fillId="0" borderId="0" xfId="0" applyFont="1" applyAlignment="1">
      <alignment horizontal="left" indent="1"/>
    </xf>
    <xf numFmtId="10" fontId="0" fillId="0" borderId="0" xfId="0" applyNumberFormat="1" applyAlignment="1">
      <alignment horizontal="right"/>
    </xf>
    <xf numFmtId="41" fontId="21" fillId="6" borderId="2" xfId="0" applyNumberFormat="1" applyFont="1" applyFill="1" applyBorder="1" applyAlignment="1">
      <alignment vertical="center"/>
    </xf>
    <xf numFmtId="41" fontId="20" fillId="4" borderId="2" xfId="0" applyNumberFormat="1" applyFont="1" applyFill="1" applyBorder="1" applyAlignment="1">
      <alignment vertical="center"/>
    </xf>
    <xf numFmtId="41" fontId="21" fillId="6" borderId="15" xfId="0" applyNumberFormat="1" applyFont="1" applyFill="1" applyBorder="1" applyAlignment="1">
      <alignment vertical="center"/>
    </xf>
    <xf numFmtId="41" fontId="21" fillId="6" borderId="16" xfId="0" applyNumberFormat="1" applyFont="1" applyFill="1" applyBorder="1" applyAlignment="1">
      <alignment vertical="center"/>
    </xf>
    <xf numFmtId="41" fontId="20" fillId="4" borderId="16" xfId="0" applyNumberFormat="1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21" fillId="4" borderId="16" xfId="0" applyFont="1" applyFill="1" applyBorder="1" applyAlignment="1">
      <alignment horizontal="center" vertical="center"/>
    </xf>
    <xf numFmtId="3" fontId="20" fillId="4" borderId="16" xfId="0" applyNumberFormat="1" applyFont="1" applyFill="1" applyBorder="1" applyAlignment="1">
      <alignment vertical="center"/>
    </xf>
    <xf numFmtId="0" fontId="22" fillId="4" borderId="17" xfId="0" applyFont="1" applyFill="1" applyBorder="1" applyAlignment="1">
      <alignment wrapText="1"/>
    </xf>
    <xf numFmtId="0" fontId="11" fillId="7" borderId="9" xfId="0" applyFont="1" applyFill="1" applyBorder="1" applyAlignment="1">
      <alignment horizontal="center"/>
    </xf>
    <xf numFmtId="0" fontId="11" fillId="7" borderId="10" xfId="0" applyFont="1" applyFill="1" applyBorder="1" applyAlignment="1">
      <alignment horizontal="center"/>
    </xf>
    <xf numFmtId="0" fontId="11" fillId="7" borderId="10" xfId="0" applyFont="1" applyFill="1" applyBorder="1"/>
    <xf numFmtId="0" fontId="11" fillId="7" borderId="10" xfId="0" applyFont="1" applyFill="1" applyBorder="1" applyAlignment="1">
      <alignment horizontal="center" wrapText="1"/>
    </xf>
    <xf numFmtId="0" fontId="11" fillId="7" borderId="11" xfId="0" applyFont="1" applyFill="1" applyBorder="1"/>
    <xf numFmtId="0" fontId="25" fillId="5" borderId="0" xfId="0" applyFont="1" applyFill="1"/>
    <xf numFmtId="41" fontId="20" fillId="4" borderId="1" xfId="0" applyNumberFormat="1" applyFont="1" applyFill="1" applyBorder="1" applyAlignment="1">
      <alignment vertical="center"/>
    </xf>
    <xf numFmtId="0" fontId="20" fillId="4" borderId="2" xfId="0" applyFont="1" applyFill="1" applyBorder="1" applyAlignment="1">
      <alignment horizontal="center" vertical="center"/>
    </xf>
    <xf numFmtId="41" fontId="20" fillId="4" borderId="15" xfId="0" applyNumberFormat="1" applyFont="1" applyFill="1" applyBorder="1" applyAlignment="1">
      <alignment vertical="center"/>
    </xf>
    <xf numFmtId="41" fontId="20" fillId="4" borderId="16" xfId="0" applyNumberFormat="1" applyFont="1" applyFill="1" applyBorder="1" applyAlignment="1">
      <alignment vertical="center"/>
    </xf>
    <xf numFmtId="0" fontId="20" fillId="4" borderId="16" xfId="0" applyFont="1" applyFill="1" applyBorder="1" applyAlignment="1">
      <alignment horizontal="center" vertical="center"/>
    </xf>
    <xf numFmtId="41" fontId="20" fillId="4" borderId="15" xfId="0" applyNumberFormat="1" applyFont="1" applyFill="1" applyBorder="1" applyAlignment="1">
      <alignment horizontal="center" vertical="center"/>
    </xf>
    <xf numFmtId="0" fontId="23" fillId="5" borderId="0" xfId="0" applyFont="1" applyFill="1" applyAlignment="1">
      <alignment horizontal="centerContinuous"/>
    </xf>
    <xf numFmtId="41" fontId="15" fillId="6" borderId="9" xfId="0" applyNumberFormat="1" applyFont="1" applyFill="1" applyBorder="1" applyAlignment="1">
      <alignment horizontal="center"/>
    </xf>
    <xf numFmtId="41" fontId="15" fillId="6" borderId="10" xfId="0" applyNumberFormat="1" applyFont="1" applyFill="1" applyBorder="1" applyAlignment="1">
      <alignment horizontal="center"/>
    </xf>
    <xf numFmtId="170" fontId="15" fillId="6" borderId="10" xfId="0" applyNumberFormat="1" applyFont="1" applyFill="1" applyBorder="1" applyAlignment="1">
      <alignment horizontal="center"/>
    </xf>
    <xf numFmtId="41" fontId="0" fillId="4" borderId="10" xfId="0" applyNumberFormat="1" applyFill="1" applyBorder="1" applyAlignment="1">
      <alignment horizontal="center"/>
    </xf>
    <xf numFmtId="0" fontId="0" fillId="4" borderId="11" xfId="0" applyFill="1" applyBorder="1"/>
    <xf numFmtId="0" fontId="11" fillId="7" borderId="4" xfId="0" applyFont="1" applyFill="1" applyBorder="1"/>
    <xf numFmtId="0" fontId="11" fillId="7" borderId="0" xfId="0" applyFont="1" applyFill="1"/>
    <xf numFmtId="0" fontId="15" fillId="6" borderId="1" xfId="0" applyFont="1" applyFill="1" applyBorder="1"/>
    <xf numFmtId="0" fontId="15" fillId="6" borderId="6" xfId="0" applyFont="1" applyFill="1" applyBorder="1"/>
    <xf numFmtId="0" fontId="11" fillId="7" borderId="9" xfId="0" applyFont="1" applyFill="1" applyBorder="1"/>
    <xf numFmtId="171" fontId="15" fillId="6" borderId="10" xfId="1" applyNumberFormat="1" applyFont="1" applyFill="1" applyBorder="1" applyAlignment="1">
      <alignment horizontal="center"/>
    </xf>
    <xf numFmtId="171" fontId="0" fillId="4" borderId="10" xfId="1" applyNumberFormat="1" applyFont="1" applyFill="1" applyBorder="1" applyAlignment="1">
      <alignment horizontal="center"/>
    </xf>
    <xf numFmtId="0" fontId="0" fillId="4" borderId="9" xfId="0" applyFill="1" applyBorder="1" applyAlignment="1">
      <alignment horizontal="centerContinuous"/>
    </xf>
    <xf numFmtId="0" fontId="0" fillId="4" borderId="10" xfId="0" applyFill="1" applyBorder="1" applyAlignment="1">
      <alignment horizontal="centerContinuous"/>
    </xf>
    <xf numFmtId="0" fontId="0" fillId="4" borderId="10" xfId="0" quotePrefix="1" applyFill="1" applyBorder="1" applyAlignment="1">
      <alignment horizontal="centerContinuous"/>
    </xf>
    <xf numFmtId="0" fontId="13" fillId="5" borderId="0" xfId="0" applyFont="1" applyFill="1"/>
    <xf numFmtId="0" fontId="0" fillId="4" borderId="6" xfId="0" applyFill="1" applyBorder="1"/>
    <xf numFmtId="171" fontId="15" fillId="6" borderId="1" xfId="1" applyNumberFormat="1" applyFont="1" applyFill="1" applyBorder="1"/>
    <xf numFmtId="171" fontId="15" fillId="6" borderId="2" xfId="1" applyNumberFormat="1" applyFont="1" applyFill="1" applyBorder="1"/>
    <xf numFmtId="171" fontId="15" fillId="6" borderId="2" xfId="1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Continuous"/>
    </xf>
    <xf numFmtId="0" fontId="0" fillId="4" borderId="2" xfId="0" applyFill="1" applyBorder="1" applyAlignment="1">
      <alignment horizontal="centerContinuous"/>
    </xf>
    <xf numFmtId="0" fontId="0" fillId="4" borderId="2" xfId="0" quotePrefix="1" applyFill="1" applyBorder="1" applyAlignment="1">
      <alignment horizontal="centerContinuous"/>
    </xf>
    <xf numFmtId="0" fontId="0" fillId="4" borderId="6" xfId="0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0" fillId="4" borderId="7" xfId="0" quotePrefix="1" applyFill="1" applyBorder="1" applyAlignment="1">
      <alignment horizontal="centerContinuous"/>
    </xf>
    <xf numFmtId="0" fontId="13" fillId="5" borderId="0" xfId="0" applyFont="1" applyFill="1" applyAlignment="1">
      <alignment horizontal="centerContinuous"/>
    </xf>
    <xf numFmtId="0" fontId="25" fillId="5" borderId="0" xfId="0" applyFont="1" applyFill="1" applyAlignment="1">
      <alignment horizontal="centerContinuous"/>
    </xf>
    <xf numFmtId="3" fontId="0" fillId="0" borderId="0" xfId="0" applyNumberFormat="1"/>
    <xf numFmtId="0" fontId="29" fillId="0" borderId="0" xfId="0" applyFont="1" applyAlignment="1">
      <alignment horizontal="left" indent="1"/>
    </xf>
    <xf numFmtId="3" fontId="5" fillId="0" borderId="0" xfId="0" applyNumberFormat="1" applyFont="1"/>
    <xf numFmtId="3" fontId="6" fillId="0" borderId="0" xfId="0" applyNumberFormat="1" applyFont="1"/>
    <xf numFmtId="10" fontId="6" fillId="0" borderId="0" xfId="0" applyNumberFormat="1" applyFont="1"/>
    <xf numFmtId="0" fontId="13" fillId="0" borderId="0" xfId="0" applyFont="1"/>
    <xf numFmtId="0" fontId="13" fillId="9" borderId="0" xfId="0" applyFont="1" applyFill="1"/>
    <xf numFmtId="0" fontId="12" fillId="9" borderId="0" xfId="0" applyFont="1" applyFill="1"/>
    <xf numFmtId="171" fontId="0" fillId="0" borderId="4" xfId="0" applyNumberFormat="1" applyBorder="1" applyAlignment="1">
      <alignment horizontal="right"/>
    </xf>
    <xf numFmtId="0" fontId="0" fillId="0" borderId="5" xfId="0" applyBorder="1" applyAlignment="1">
      <alignment horizontal="right"/>
    </xf>
    <xf numFmtId="171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41" fontId="0" fillId="0" borderId="5" xfId="0" applyNumberFormat="1" applyBorder="1" applyAlignment="1">
      <alignment horizontal="right"/>
    </xf>
    <xf numFmtId="41" fontId="0" fillId="0" borderId="4" xfId="0" applyNumberFormat="1" applyBorder="1" applyAlignment="1">
      <alignment horizontal="right"/>
    </xf>
    <xf numFmtId="41" fontId="0" fillId="0" borderId="3" xfId="0" applyNumberFormat="1" applyBorder="1" applyAlignment="1">
      <alignment horizontal="right"/>
    </xf>
    <xf numFmtId="41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41" fontId="0" fillId="0" borderId="1" xfId="0" applyNumberFormat="1" applyBorder="1" applyAlignment="1">
      <alignment horizontal="right"/>
    </xf>
    <xf numFmtId="0" fontId="30" fillId="0" borderId="5" xfId="0" applyFont="1" applyBorder="1" applyAlignment="1">
      <alignment horizontal="right"/>
    </xf>
    <xf numFmtId="0" fontId="30" fillId="0" borderId="0" xfId="0" applyFont="1" applyAlignment="1">
      <alignment horizontal="right"/>
    </xf>
    <xf numFmtId="0" fontId="30" fillId="0" borderId="4" xfId="0" applyFont="1" applyBorder="1" applyAlignment="1">
      <alignment horizontal="right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0" fillId="0" borderId="18" xfId="0" applyBorder="1" applyAlignment="1">
      <alignment horizontal="right"/>
    </xf>
    <xf numFmtId="0" fontId="0" fillId="0" borderId="18" xfId="0" applyBorder="1"/>
    <xf numFmtId="176" fontId="0" fillId="0" borderId="0" xfId="0" applyNumberFormat="1" applyAlignment="1">
      <alignment horizontal="right"/>
    </xf>
    <xf numFmtId="0" fontId="11" fillId="10" borderId="0" xfId="0" applyFont="1" applyFill="1" applyAlignment="1">
      <alignment horizontal="right"/>
    </xf>
    <xf numFmtId="0" fontId="11" fillId="10" borderId="0" xfId="0" applyFont="1" applyFill="1"/>
    <xf numFmtId="0" fontId="31" fillId="0" borderId="0" xfId="0" quotePrefix="1" applyFont="1"/>
    <xf numFmtId="171" fontId="5" fillId="0" borderId="0" xfId="0" applyNumberFormat="1" applyFont="1" applyAlignment="1">
      <alignment horizontal="right"/>
    </xf>
    <xf numFmtId="10" fontId="5" fillId="0" borderId="0" xfId="0" applyNumberFormat="1" applyFont="1" applyAlignment="1">
      <alignment horizontal="right"/>
    </xf>
    <xf numFmtId="171" fontId="6" fillId="0" borderId="0" xfId="0" applyNumberFormat="1" applyFont="1" applyAlignment="1">
      <alignment horizontal="right"/>
    </xf>
    <xf numFmtId="0" fontId="32" fillId="0" borderId="0" xfId="0" applyFont="1" applyAlignment="1">
      <alignment horizontal="right"/>
    </xf>
    <xf numFmtId="0" fontId="0" fillId="11" borderId="0" xfId="0" applyFill="1" applyAlignment="1">
      <alignment horizontal="right"/>
    </xf>
    <xf numFmtId="0" fontId="0" fillId="11" borderId="0" xfId="0" applyFill="1"/>
    <xf numFmtId="0" fontId="13" fillId="11" borderId="0" xfId="0" applyFont="1" applyFill="1"/>
    <xf numFmtId="9" fontId="33" fillId="0" borderId="0" xfId="0" applyNumberFormat="1" applyFont="1" applyAlignment="1">
      <alignment horizontal="right"/>
    </xf>
    <xf numFmtId="0" fontId="0" fillId="0" borderId="0" xfId="0" applyAlignment="1">
      <alignment horizontal="left" indent="1"/>
    </xf>
    <xf numFmtId="9" fontId="6" fillId="0" borderId="0" xfId="0" applyNumberFormat="1" applyFont="1" applyAlignment="1">
      <alignment horizontal="right"/>
    </xf>
    <xf numFmtId="171" fontId="6" fillId="11" borderId="0" xfId="0" applyNumberFormat="1" applyFont="1" applyFill="1" applyAlignment="1">
      <alignment horizontal="right"/>
    </xf>
    <xf numFmtId="0" fontId="8" fillId="12" borderId="0" xfId="0" applyFont="1" applyFill="1" applyAlignment="1">
      <alignment horizontal="right"/>
    </xf>
    <xf numFmtId="0" fontId="8" fillId="12" borderId="0" xfId="0" applyFont="1" applyFill="1"/>
    <xf numFmtId="41" fontId="20" fillId="4" borderId="10" xfId="0" applyNumberFormat="1" applyFont="1" applyFill="1" applyBorder="1" applyAlignment="1">
      <alignment vertical="center"/>
    </xf>
    <xf numFmtId="0" fontId="20" fillId="4" borderId="10" xfId="0" applyFont="1" applyFill="1" applyBorder="1" applyAlignment="1">
      <alignment horizontal="center" vertical="center"/>
    </xf>
    <xf numFmtId="0" fontId="22" fillId="4" borderId="10" xfId="0" applyFont="1" applyFill="1" applyBorder="1" applyAlignment="1">
      <alignment horizontal="center" vertical="center"/>
    </xf>
    <xf numFmtId="3" fontId="20" fillId="4" borderId="10" xfId="0" applyNumberFormat="1" applyFont="1" applyFill="1" applyBorder="1" applyAlignment="1">
      <alignment vertical="center"/>
    </xf>
    <xf numFmtId="0" fontId="23" fillId="5" borderId="0" xfId="0" applyFont="1" applyFill="1"/>
    <xf numFmtId="41" fontId="20" fillId="4" borderId="9" xfId="0" applyNumberFormat="1" applyFont="1" applyFill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'Bell-Curve Calculator'!$B$19</c:f>
              <c:strCache>
                <c:ptCount val="1"/>
                <c:pt idx="0">
                  <c:v>Combined Formula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'Bell-Curve Calculator'!$E$18:$N$18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'Bell-Curve Calculator'!$E$19:$N$19</c:f>
              <c:numCache>
                <c:formatCode>0.0%</c:formatCode>
                <c:ptCount val="10"/>
                <c:pt idx="0">
                  <c:v>1.6540466622403056E-2</c:v>
                </c:pt>
                <c:pt idx="1">
                  <c:v>4.4057069320678863E-2</c:v>
                </c:pt>
                <c:pt idx="2">
                  <c:v>9.1848052662598934E-2</c:v>
                </c:pt>
                <c:pt idx="3">
                  <c:v>0.14988228479452989</c:v>
                </c:pt>
                <c:pt idx="4">
                  <c:v>0.19146246127401312</c:v>
                </c:pt>
                <c:pt idx="5">
                  <c:v>0.19146246127401312</c:v>
                </c:pt>
                <c:pt idx="6">
                  <c:v>0.14988228479452992</c:v>
                </c:pt>
                <c:pt idx="7">
                  <c:v>9.1848052662598878E-2</c:v>
                </c:pt>
                <c:pt idx="8">
                  <c:v>4.4057069320678877E-2</c:v>
                </c:pt>
                <c:pt idx="9">
                  <c:v>1.6540466622403049E-2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E2-004C-9715-13B00FBF2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585904"/>
        <c:axId val="980101616"/>
      </c:scatterChart>
      <c:valAx>
        <c:axId val="124558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101616"/>
        <c:crosses val="autoZero"/>
        <c:crossBetween val="midCat"/>
      </c:valAx>
      <c:valAx>
        <c:axId val="98010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585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111125</xdr:colOff>
      <xdr:row>0</xdr:row>
      <xdr:rowOff>142875</xdr:rowOff>
    </xdr:from>
    <xdr:ext cx="1889125" cy="490355"/>
    <xdr:pic>
      <xdr:nvPicPr>
        <xdr:cNvPr id="2" name="Picture 1" descr="A.CRE Academy">
          <a:extLst>
            <a:ext uri="{FF2B5EF4-FFF2-40B4-BE49-F238E27FC236}">
              <a16:creationId xmlns:a16="http://schemas.microsoft.com/office/drawing/2014/main" id="{4EB31A7B-B8A2-6A47-B55C-E467B82E4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" y="142875"/>
          <a:ext cx="1889125" cy="490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1</xdr:row>
      <xdr:rowOff>19050</xdr:rowOff>
    </xdr:from>
    <xdr:ext cx="1889125" cy="490355"/>
    <xdr:pic>
      <xdr:nvPicPr>
        <xdr:cNvPr id="2" name="Picture 1" descr="A.CRE Academy">
          <a:extLst>
            <a:ext uri="{FF2B5EF4-FFF2-40B4-BE49-F238E27FC236}">
              <a16:creationId xmlns:a16="http://schemas.microsoft.com/office/drawing/2014/main" id="{615174FD-B751-874C-84EC-09F6688D4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09550"/>
          <a:ext cx="1889125" cy="490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1</xdr:row>
      <xdr:rowOff>19050</xdr:rowOff>
    </xdr:from>
    <xdr:ext cx="1889125" cy="490355"/>
    <xdr:pic>
      <xdr:nvPicPr>
        <xdr:cNvPr id="2" name="Picture 1" descr="A.CRE Academy">
          <a:extLst>
            <a:ext uri="{FF2B5EF4-FFF2-40B4-BE49-F238E27FC236}">
              <a16:creationId xmlns:a16="http://schemas.microsoft.com/office/drawing/2014/main" id="{1329A6A7-5CD2-AF49-81EF-2ADF6463A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09550"/>
          <a:ext cx="1889125" cy="490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1</xdr:row>
      <xdr:rowOff>19050</xdr:rowOff>
    </xdr:from>
    <xdr:ext cx="1889125" cy="490355"/>
    <xdr:pic>
      <xdr:nvPicPr>
        <xdr:cNvPr id="2" name="Picture 1" descr="A.CRE Academy">
          <a:extLst>
            <a:ext uri="{FF2B5EF4-FFF2-40B4-BE49-F238E27FC236}">
              <a16:creationId xmlns:a16="http://schemas.microsoft.com/office/drawing/2014/main" id="{4A05A2C9-2FC1-B649-AFED-C1F5C41EB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09550"/>
          <a:ext cx="1889125" cy="490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238124</xdr:colOff>
      <xdr:row>19</xdr:row>
      <xdr:rowOff>187037</xdr:rowOff>
    </xdr:from>
    <xdr:to>
      <xdr:col>11</xdr:col>
      <xdr:colOff>428624</xdr:colOff>
      <xdr:row>34</xdr:row>
      <xdr:rowOff>72737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BB40B4-1A97-6941-B710-23BB7209C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1</xdr:row>
      <xdr:rowOff>19050</xdr:rowOff>
    </xdr:from>
    <xdr:ext cx="1889125" cy="490355"/>
    <xdr:pic>
      <xdr:nvPicPr>
        <xdr:cNvPr id="2" name="Picture 1" descr="A.CRE Academy">
          <a:extLst>
            <a:ext uri="{FF2B5EF4-FFF2-40B4-BE49-F238E27FC236}">
              <a16:creationId xmlns:a16="http://schemas.microsoft.com/office/drawing/2014/main" id="{C446F65C-A6E5-7D49-BB2C-A9313FF1B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09550"/>
          <a:ext cx="1889125" cy="490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C535D-CBB8-304C-9116-BDAABAC9C01A}">
  <dimension ref="A1:Q376"/>
  <sheetViews>
    <sheetView showGridLines="0" zoomScale="120" zoomScaleNormal="120" workbookViewId="0">
      <selection activeCell="L375" sqref="L375"/>
    </sheetView>
  </sheetViews>
  <sheetFormatPr baseColWidth="10" defaultColWidth="0" defaultRowHeight="15" zeroHeight="1" x14ac:dyDescent="0.2"/>
  <cols>
    <col min="1" max="1" width="3.5" customWidth="1"/>
    <col min="2" max="3" width="11.33203125" style="9" customWidth="1"/>
    <col min="4" max="4" width="9.83203125" style="1" bestFit="1" customWidth="1"/>
    <col min="5" max="5" width="9.1640625" style="1" bestFit="1" customWidth="1"/>
    <col min="6" max="6" width="10.33203125" style="1" bestFit="1" customWidth="1"/>
    <col min="7" max="11" width="11.33203125" style="1" customWidth="1"/>
    <col min="12" max="13" width="12.33203125" style="1" bestFit="1" customWidth="1"/>
    <col min="14" max="14" width="3.83203125" customWidth="1"/>
    <col min="15" max="15" width="11.33203125" hidden="1" customWidth="1"/>
    <col min="16" max="16" width="9.1640625" hidden="1" customWidth="1"/>
    <col min="17" max="17" width="14.5" hidden="1" customWidth="1"/>
    <col min="18" max="16384" width="9.1640625" hidden="1"/>
  </cols>
  <sheetData>
    <row r="1" spans="2:14" x14ac:dyDescent="0.2">
      <c r="G1"/>
    </row>
    <row r="2" spans="2:14" s="6" customFormat="1" ht="14" x14ac:dyDescent="0.2">
      <c r="B2" s="19" t="s">
        <v>2</v>
      </c>
      <c r="C2" s="19"/>
      <c r="D2" s="5"/>
      <c r="E2" s="5"/>
      <c r="F2" s="5"/>
      <c r="G2" s="2"/>
      <c r="H2" s="3"/>
      <c r="I2" s="3"/>
      <c r="J2" s="3"/>
      <c r="K2" s="3"/>
      <c r="L2" s="4"/>
      <c r="M2" s="5" t="s">
        <v>1</v>
      </c>
    </row>
    <row r="3" spans="2:14" s="7" customFormat="1" ht="14" x14ac:dyDescent="0.2">
      <c r="B3" s="10"/>
      <c r="C3" s="10"/>
      <c r="D3" s="8"/>
      <c r="E3" s="8"/>
      <c r="F3" s="8"/>
      <c r="H3" s="8"/>
      <c r="I3" s="8"/>
      <c r="J3" s="8"/>
      <c r="K3" s="8"/>
      <c r="L3" s="8"/>
      <c r="M3" s="8"/>
    </row>
    <row r="4" spans="2:14" x14ac:dyDescent="0.2">
      <c r="B4" s="20" t="s">
        <v>3</v>
      </c>
      <c r="C4" s="20"/>
      <c r="D4" s="12"/>
      <c r="E4" s="12"/>
      <c r="F4" s="12"/>
      <c r="G4" s="11"/>
      <c r="H4" s="12"/>
      <c r="I4" s="12"/>
      <c r="K4" s="11" t="s">
        <v>12</v>
      </c>
      <c r="L4" s="11"/>
      <c r="M4" s="12"/>
    </row>
    <row r="5" spans="2:14" x14ac:dyDescent="0.2">
      <c r="B5" s="9" t="s">
        <v>4</v>
      </c>
      <c r="G5"/>
      <c r="I5" s="13">
        <v>25000000</v>
      </c>
      <c r="K5" t="s">
        <v>13</v>
      </c>
      <c r="M5" s="24">
        <f>PV(I7/12,I8-I9+I10,-I11)</f>
        <v>0</v>
      </c>
    </row>
    <row r="6" spans="2:14" x14ac:dyDescent="0.2">
      <c r="B6" s="9" t="s">
        <v>5</v>
      </c>
      <c r="G6"/>
      <c r="H6" s="18">
        <v>0.01</v>
      </c>
      <c r="I6" s="14">
        <f>I5*H6</f>
        <v>250000</v>
      </c>
      <c r="K6" t="s">
        <v>15</v>
      </c>
      <c r="M6" s="24">
        <f>SUM(I15:I375,I6)</f>
        <v>23961270.453786559</v>
      </c>
    </row>
    <row r="7" spans="2:14" x14ac:dyDescent="0.2">
      <c r="B7" s="9" t="s">
        <v>6</v>
      </c>
      <c r="G7"/>
      <c r="I7" s="15">
        <v>0.05</v>
      </c>
      <c r="K7" t="s">
        <v>14</v>
      </c>
      <c r="M7" s="254">
        <f>IRR(M15:M375)*12</f>
        <v>5.1607382056331197E-2</v>
      </c>
    </row>
    <row r="8" spans="2:14" x14ac:dyDescent="0.2">
      <c r="B8" s="9" t="s">
        <v>7</v>
      </c>
      <c r="G8"/>
      <c r="H8" s="17">
        <f>+I8/12</f>
        <v>30</v>
      </c>
      <c r="I8" s="16">
        <v>360</v>
      </c>
    </row>
    <row r="9" spans="2:14" x14ac:dyDescent="0.2">
      <c r="B9" s="9" t="s">
        <v>8</v>
      </c>
      <c r="G9"/>
      <c r="H9" s="17">
        <f>+I9/12</f>
        <v>30</v>
      </c>
      <c r="I9" s="16">
        <v>360</v>
      </c>
      <c r="K9" s="11" t="s">
        <v>110</v>
      </c>
      <c r="L9" s="11"/>
      <c r="M9" s="12"/>
    </row>
    <row r="10" spans="2:14" x14ac:dyDescent="0.2">
      <c r="B10" s="9" t="s">
        <v>9</v>
      </c>
      <c r="G10"/>
      <c r="H10" s="17">
        <f>+I10/12</f>
        <v>0</v>
      </c>
      <c r="I10" s="16">
        <v>0</v>
      </c>
      <c r="K10" t="s">
        <v>109</v>
      </c>
      <c r="M10" s="1" t="s">
        <v>108</v>
      </c>
      <c r="N10" s="24"/>
    </row>
    <row r="11" spans="2:14" x14ac:dyDescent="0.2">
      <c r="B11" s="9" t="s">
        <v>10</v>
      </c>
      <c r="G11"/>
      <c r="I11" s="14">
        <f>PMT(I7/12,I8,-I5)</f>
        <v>134205.40575303478</v>
      </c>
      <c r="K11" s="253" t="s">
        <v>107</v>
      </c>
      <c r="M11" s="1" t="str">
        <f>RIGHT(M10,3)</f>
        <v>360</v>
      </c>
    </row>
    <row r="12" spans="2:14" x14ac:dyDescent="0.2">
      <c r="B12" s="9" t="s">
        <v>11</v>
      </c>
      <c r="G12"/>
      <c r="I12" s="14">
        <f>I5*I7/12</f>
        <v>104166.66666666667</v>
      </c>
      <c r="K12" s="253" t="s">
        <v>106</v>
      </c>
      <c r="M12" s="1" t="str">
        <f>IF(M10="30/360",30,"Actual")</f>
        <v>Actual</v>
      </c>
    </row>
    <row r="13" spans="2:14" x14ac:dyDescent="0.2">
      <c r="G13"/>
      <c r="M13" s="1" t="s">
        <v>105</v>
      </c>
    </row>
    <row r="14" spans="2:14" x14ac:dyDescent="0.2">
      <c r="B14" s="20" t="s">
        <v>16</v>
      </c>
      <c r="C14" s="20" t="s">
        <v>0</v>
      </c>
      <c r="D14" s="12" t="s">
        <v>93</v>
      </c>
      <c r="E14" s="12" t="s">
        <v>104</v>
      </c>
      <c r="F14" s="12" t="s">
        <v>103</v>
      </c>
      <c r="G14" s="12" t="s">
        <v>22</v>
      </c>
      <c r="H14" s="12" t="s">
        <v>17</v>
      </c>
      <c r="I14" s="12" t="s">
        <v>18</v>
      </c>
      <c r="J14" s="12" t="s">
        <v>19</v>
      </c>
      <c r="K14" s="12" t="s">
        <v>23</v>
      </c>
      <c r="L14" s="12" t="s">
        <v>21</v>
      </c>
      <c r="M14" s="12" t="s">
        <v>20</v>
      </c>
    </row>
    <row r="15" spans="2:14" x14ac:dyDescent="0.2">
      <c r="B15" s="22">
        <f>IF(C15="","",ROUNDUP(C15/12,0))</f>
        <v>0</v>
      </c>
      <c r="C15" s="21">
        <v>0</v>
      </c>
      <c r="D15" s="252">
        <v>43861</v>
      </c>
      <c r="E15" s="250"/>
      <c r="F15" s="250"/>
      <c r="G15" s="23">
        <v>0</v>
      </c>
      <c r="H15" s="24"/>
      <c r="I15" s="24"/>
      <c r="J15" s="24"/>
      <c r="K15" s="24"/>
      <c r="L15" s="24">
        <f>I5</f>
        <v>25000000</v>
      </c>
      <c r="M15" s="24">
        <f>-I5+I6</f>
        <v>-24750000</v>
      </c>
    </row>
    <row r="16" spans="2:14" x14ac:dyDescent="0.2">
      <c r="B16" s="22">
        <f>IF(C16="","",ROUNDUP(C16/12,0))</f>
        <v>1</v>
      </c>
      <c r="C16" s="21">
        <f>IF(OR(C15="",C15&gt;=$I$9),"",C15+1)</f>
        <v>1</v>
      </c>
      <c r="D16" s="251">
        <f>IF(C16="","",EOMONTH(D15,1))</f>
        <v>43890</v>
      </c>
      <c r="E16" s="250" t="str">
        <f>IF(C16="","",$M$11)</f>
        <v>360</v>
      </c>
      <c r="F16" s="14">
        <f>IF(C16="","",IF($M$12="Actual",D16-D15,30))</f>
        <v>29</v>
      </c>
      <c r="G16" s="24">
        <f>IF(B16="","",L15)</f>
        <v>25000000</v>
      </c>
      <c r="H16" s="24">
        <f>IF(B16="","",(C16&lt;=$I$10)*I16+(C16&gt;$I$10)*PMT($I$7/(E16/F16),$I$8+$I$10-C15,-G16))</f>
        <v>131670.5164662498</v>
      </c>
      <c r="I16" s="24">
        <f>IF(B16="","",G16*$I$7/E16*F16)</f>
        <v>100694.44444444444</v>
      </c>
      <c r="J16" s="24">
        <f>IF(B16="","",H16-I16)</f>
        <v>30976.072021805361</v>
      </c>
      <c r="K16" s="24">
        <f>IF(B16="","",(C16=$I$9)*(G16-J16))</f>
        <v>0</v>
      </c>
      <c r="L16" s="24">
        <f>IF(B16="","",G16-J16-K16)</f>
        <v>24969023.927978195</v>
      </c>
      <c r="M16" s="24">
        <f>IF(B16="","",I16+J16+K16)</f>
        <v>131670.5164662498</v>
      </c>
    </row>
    <row r="17" spans="2:13" x14ac:dyDescent="0.2">
      <c r="B17" s="22">
        <f>IF(C17="","",ROUNDUP(C17/12,0))</f>
        <v>1</v>
      </c>
      <c r="C17" s="21">
        <f>IF(OR(C16="",C16&gt;=$I$9),"",C16+1)</f>
        <v>2</v>
      </c>
      <c r="D17" s="251">
        <f>IF(C17="","",EOMONTH(D16,1))</f>
        <v>43921</v>
      </c>
      <c r="E17" s="250" t="str">
        <f>IF(C17="","",$M$11)</f>
        <v>360</v>
      </c>
      <c r="F17" s="14">
        <f>IF(C17="","",IF($M$12="Actual",D17-D16,30))</f>
        <v>31</v>
      </c>
      <c r="G17" s="24">
        <f>IF(B17="","",L16)</f>
        <v>24969023.927978195</v>
      </c>
      <c r="H17" s="24">
        <f>IF(B17="","",(C17&lt;=$I$10)*I17+(C17&gt;$I$10)*PMT($I$7/(E17/F17),$I$8+$I$10-C16,-G17))</f>
        <v>136753.24271775363</v>
      </c>
      <c r="I17" s="24">
        <f>IF(B17="","",G17*$I$7/E17*F17)</f>
        <v>107505.51968990614</v>
      </c>
      <c r="J17" s="24">
        <f>IF(B17="","",H17-I17)</f>
        <v>29247.723027847489</v>
      </c>
      <c r="K17" s="24">
        <f>IF(B17="","",(C17=$I$9)*(G17-J17))</f>
        <v>0</v>
      </c>
      <c r="L17" s="24">
        <f>IF(B17="","",G17-J17-K17)</f>
        <v>24939776.204950348</v>
      </c>
      <c r="M17" s="24">
        <f>IF(B17="","",I17+J17+K17)</f>
        <v>136753.24271775363</v>
      </c>
    </row>
    <row r="18" spans="2:13" x14ac:dyDescent="0.2">
      <c r="B18" s="22">
        <f>IF(C18="","",ROUNDUP(C18/12,0))</f>
        <v>1</v>
      </c>
      <c r="C18" s="21">
        <f>IF(OR(C17="",C17&gt;=$I$9),"",C17+1)</f>
        <v>3</v>
      </c>
      <c r="D18" s="251">
        <f>IF(C18="","",EOMONTH(D17,1))</f>
        <v>43951</v>
      </c>
      <c r="E18" s="250" t="str">
        <f>IF(C18="","",$M$11)</f>
        <v>360</v>
      </c>
      <c r="F18" s="14">
        <f>IF(C18="","",IF($M$12="Actual",D18-D17,30))</f>
        <v>30</v>
      </c>
      <c r="G18" s="24">
        <f>IF(B18="","",L17)</f>
        <v>24939776.204950348</v>
      </c>
      <c r="H18" s="24">
        <f>IF(B18="","",(C18&lt;=$I$10)*I18+(C18&gt;$I$10)*PMT($I$7/(E18/F18),$I$8+$I$10-C17,-G18))</f>
        <v>134205.29191178753</v>
      </c>
      <c r="I18" s="24">
        <f>IF(B18="","",G18*$I$7/E18*F18)</f>
        <v>103915.73418729311</v>
      </c>
      <c r="J18" s="24">
        <f>IF(B18="","",H18-I18)</f>
        <v>30289.557724494414</v>
      </c>
      <c r="K18" s="24">
        <f>IF(B18="","",(C18=$I$9)*(G18-J18))</f>
        <v>0</v>
      </c>
      <c r="L18" s="24">
        <f>IF(B18="","",G18-J18-K18)</f>
        <v>24909486.647225853</v>
      </c>
      <c r="M18" s="24">
        <f>IF(B18="","",I18+J18+K18)</f>
        <v>134205.29191178753</v>
      </c>
    </row>
    <row r="19" spans="2:13" x14ac:dyDescent="0.2">
      <c r="B19" s="22">
        <f>IF(C19="","",ROUNDUP(C19/12,0))</f>
        <v>1</v>
      </c>
      <c r="C19" s="21">
        <f>IF(OR(C18="",C18&gt;=$I$9),"",C18+1)</f>
        <v>4</v>
      </c>
      <c r="D19" s="251">
        <f>IF(C19="","",EOMONTH(D18,1))</f>
        <v>43982</v>
      </c>
      <c r="E19" s="250" t="str">
        <f>IF(C19="","",$M$11)</f>
        <v>360</v>
      </c>
      <c r="F19" s="14">
        <f>IF(C19="","",IF($M$12="Actual",D19-D18,30))</f>
        <v>31</v>
      </c>
      <c r="G19" s="24">
        <f>IF(B19="","",L18)</f>
        <v>24909486.647225853</v>
      </c>
      <c r="H19" s="24">
        <f>IF(B19="","",(C19&lt;=$I$10)*I19+(C19&gt;$I$10)*PMT($I$7/(E19/F19),$I$8+$I$10-C18,-G19))</f>
        <v>136748.21456728343</v>
      </c>
      <c r="I19" s="24">
        <f>IF(B19="","",G19*$I$7/E19*F19)</f>
        <v>107249.17862000021</v>
      </c>
      <c r="J19" s="24">
        <f>IF(B19="","",H19-I19)</f>
        <v>29499.035947283221</v>
      </c>
      <c r="K19" s="24">
        <f>IF(B19="","",(C19=$I$9)*(G19-J19))</f>
        <v>0</v>
      </c>
      <c r="L19" s="24">
        <f>IF(B19="","",G19-J19-K19)</f>
        <v>24879987.611278571</v>
      </c>
      <c r="M19" s="24">
        <f>IF(B19="","",I19+J19+K19)</f>
        <v>136748.21456728343</v>
      </c>
    </row>
    <row r="20" spans="2:13" x14ac:dyDescent="0.2">
      <c r="B20" s="22">
        <f>IF(C20="","",ROUNDUP(C20/12,0))</f>
        <v>1</v>
      </c>
      <c r="C20" s="21">
        <f>IF(OR(C19="",C19&gt;=$I$9),"",C19+1)</f>
        <v>5</v>
      </c>
      <c r="D20" s="251">
        <f>IF(C20="","",EOMONTH(D19,1))</f>
        <v>44012</v>
      </c>
      <c r="E20" s="250" t="str">
        <f>IF(C20="","",$M$11)</f>
        <v>360</v>
      </c>
      <c r="F20" s="14">
        <f>IF(C20="","",IF($M$12="Actual",D20-D19,30))</f>
        <v>30</v>
      </c>
      <c r="G20" s="24">
        <f>IF(B20="","",L19)</f>
        <v>24879987.611278571</v>
      </c>
      <c r="H20" s="24">
        <f>IF(B20="","",(C20&lt;=$I$10)*I20+(C20&gt;$I$10)*PMT($I$7/(E20/F20),$I$8+$I$10-C19,-G20))</f>
        <v>134210.23702349819</v>
      </c>
      <c r="I20" s="24">
        <f>IF(B20="","",G20*$I$7/E20*F20)</f>
        <v>103666.61504699405</v>
      </c>
      <c r="J20" s="24">
        <f>IF(B20="","",H20-I20)</f>
        <v>30543.621976504146</v>
      </c>
      <c r="K20" s="24">
        <f>IF(B20="","",(C20=$I$9)*(G20-J20))</f>
        <v>0</v>
      </c>
      <c r="L20" s="24">
        <f>IF(B20="","",G20-J20-K20)</f>
        <v>24849443.989302065</v>
      </c>
      <c r="M20" s="24">
        <f>IF(B20="","",I20+J20+K20)</f>
        <v>134210.23702349819</v>
      </c>
    </row>
    <row r="21" spans="2:13" x14ac:dyDescent="0.2">
      <c r="B21" s="22">
        <f>IF(C21="","",ROUNDUP(C21/12,0))</f>
        <v>1</v>
      </c>
      <c r="C21" s="21">
        <f>IF(OR(C20="",C20&gt;=$I$9),"",C20+1)</f>
        <v>6</v>
      </c>
      <c r="D21" s="251">
        <f>IF(C21="","",EOMONTH(D20,1))</f>
        <v>44043</v>
      </c>
      <c r="E21" s="250" t="str">
        <f>IF(C21="","",$M$11)</f>
        <v>360</v>
      </c>
      <c r="F21" s="14">
        <f>IF(C21="","",IF($M$12="Actual",D21-D20,30))</f>
        <v>31</v>
      </c>
      <c r="G21" s="24">
        <f>IF(B21="","",L20)</f>
        <v>24849443.989302065</v>
      </c>
      <c r="H21" s="24">
        <f>IF(B21="","",(C21&lt;=$I$10)*I21+(C21&gt;$I$10)*PMT($I$7/(E21/F21),$I$8+$I$10-C20,-G21))</f>
        <v>136743.16526773068</v>
      </c>
      <c r="I21" s="24">
        <f>IF(B21="","",G21*$I$7/E21*F21)</f>
        <v>106990.66162060612</v>
      </c>
      <c r="J21" s="24">
        <f>IF(B21="","",H21-I21)</f>
        <v>29752.503647124569</v>
      </c>
      <c r="K21" s="24">
        <f>IF(B21="","",(C21=$I$9)*(G21-J21))</f>
        <v>0</v>
      </c>
      <c r="L21" s="24">
        <f>IF(B21="","",G21-J21-K21)</f>
        <v>24819691.485654939</v>
      </c>
      <c r="M21" s="24">
        <f>IF(B21="","",I21+J21+K21)</f>
        <v>136743.16526773068</v>
      </c>
    </row>
    <row r="22" spans="2:13" x14ac:dyDescent="0.2">
      <c r="B22" s="22">
        <f>IF(C22="","",ROUNDUP(C22/12,0))</f>
        <v>1</v>
      </c>
      <c r="C22" s="21">
        <f>IF(OR(C21="",C21&gt;=$I$9),"",C21+1)</f>
        <v>7</v>
      </c>
      <c r="D22" s="251">
        <f>IF(C22="","",EOMONTH(D21,1))</f>
        <v>44074</v>
      </c>
      <c r="E22" s="250" t="str">
        <f>IF(C22="","",$M$11)</f>
        <v>360</v>
      </c>
      <c r="F22" s="14">
        <f>IF(C22="","",IF($M$12="Actual",D22-D21,30))</f>
        <v>31</v>
      </c>
      <c r="G22" s="24">
        <f>IF(B22="","",L21)</f>
        <v>24819691.485654939</v>
      </c>
      <c r="H22" s="24">
        <f>IF(B22="","",(C22&lt;=$I$10)*I22+(C22&gt;$I$10)*PMT($I$7/(E22/F22),$I$8+$I$10-C21,-G22))</f>
        <v>136743.16526773066</v>
      </c>
      <c r="I22" s="24">
        <f>IF(B22="","",G22*$I$7/E22*F22)</f>
        <v>106862.56056323655</v>
      </c>
      <c r="J22" s="24">
        <f>IF(B22="","",H22-I22)</f>
        <v>29880.604704494108</v>
      </c>
      <c r="K22" s="24">
        <f>IF(B22="","",(C22=$I$9)*(G22-J22))</f>
        <v>0</v>
      </c>
      <c r="L22" s="24">
        <f>IF(B22="","",G22-J22-K22)</f>
        <v>24789810.880950443</v>
      </c>
      <c r="M22" s="24">
        <f>IF(B22="","",I22+J22+K22)</f>
        <v>136743.16526773066</v>
      </c>
    </row>
    <row r="23" spans="2:13" x14ac:dyDescent="0.2">
      <c r="B23" s="22">
        <f>IF(C23="","",ROUNDUP(C23/12,0))</f>
        <v>1</v>
      </c>
      <c r="C23" s="21">
        <f>IF(OR(C22="",C22&gt;=$I$9),"",C22+1)</f>
        <v>8</v>
      </c>
      <c r="D23" s="251">
        <f>IF(C23="","",EOMONTH(D22,1))</f>
        <v>44104</v>
      </c>
      <c r="E23" s="250" t="str">
        <f>IF(C23="","",$M$11)</f>
        <v>360</v>
      </c>
      <c r="F23" s="14">
        <f>IF(C23="","",IF($M$12="Actual",D23-D22,30))</f>
        <v>30</v>
      </c>
      <c r="G23" s="24">
        <f>IF(B23="","",L22)</f>
        <v>24789810.880950443</v>
      </c>
      <c r="H23" s="24">
        <f>IF(B23="","",(C23&lt;=$I$10)*I23+(C23&gt;$I$10)*PMT($I$7/(E23/F23),$I$8+$I$10-C22,-G23))</f>
        <v>134220.18022747646</v>
      </c>
      <c r="I23" s="24">
        <f>IF(B23="","",G23*$I$7/E23*F23)</f>
        <v>103290.87867062684</v>
      </c>
      <c r="J23" s="24">
        <f>IF(B23="","",H23-I23)</f>
        <v>30929.301556849619</v>
      </c>
      <c r="K23" s="24">
        <f>IF(B23="","",(C23=$I$9)*(G23-J23))</f>
        <v>0</v>
      </c>
      <c r="L23" s="24">
        <f>IF(B23="","",G23-J23-K23)</f>
        <v>24758881.579393595</v>
      </c>
      <c r="M23" s="24">
        <f>IF(B23="","",I23+J23+K23)</f>
        <v>134220.18022747646</v>
      </c>
    </row>
    <row r="24" spans="2:13" x14ac:dyDescent="0.2">
      <c r="B24" s="22">
        <f>IF(C24="","",ROUNDUP(C24/12,0))</f>
        <v>1</v>
      </c>
      <c r="C24" s="21">
        <f>IF(OR(C23="",C23&gt;=$I$9),"",C23+1)</f>
        <v>9</v>
      </c>
      <c r="D24" s="251">
        <f>IF(C24="","",EOMONTH(D23,1))</f>
        <v>44135</v>
      </c>
      <c r="E24" s="250" t="str">
        <f>IF(C24="","",$M$11)</f>
        <v>360</v>
      </c>
      <c r="F24" s="14">
        <f>IF(C24="","",IF($M$12="Actual",D24-D23,30))</f>
        <v>31</v>
      </c>
      <c r="G24" s="24">
        <f>IF(B24="","",L23)</f>
        <v>24758881.579393595</v>
      </c>
      <c r="H24" s="24">
        <f>IF(B24="","",(C24&lt;=$I$10)*I24+(C24&gt;$I$10)*PMT($I$7/(E24/F24),$I$8+$I$10-C23,-G24))</f>
        <v>136738.08405728015</v>
      </c>
      <c r="I24" s="24">
        <f>IF(B24="","",G24*$I$7/E24*F24)</f>
        <v>106600.74013350021</v>
      </c>
      <c r="J24" s="24">
        <f>IF(B24="","",H24-I24)</f>
        <v>30137.343923779947</v>
      </c>
      <c r="K24" s="24">
        <f>IF(B24="","",(C24=$I$9)*(G24-J24))</f>
        <v>0</v>
      </c>
      <c r="L24" s="24">
        <f>IF(B24="","",G24-J24-K24)</f>
        <v>24728744.235469814</v>
      </c>
      <c r="M24" s="24">
        <f>IF(B24="","",I24+J24+K24)</f>
        <v>136738.08405728015</v>
      </c>
    </row>
    <row r="25" spans="2:13" x14ac:dyDescent="0.2">
      <c r="B25" s="22">
        <f>IF(C25="","",ROUNDUP(C25/12,0))</f>
        <v>1</v>
      </c>
      <c r="C25" s="21">
        <f>IF(OR(C24="",C24&gt;=$I$9),"",C24+1)</f>
        <v>10</v>
      </c>
      <c r="D25" s="251">
        <f>IF(C25="","",EOMONTH(D24,1))</f>
        <v>44165</v>
      </c>
      <c r="E25" s="250" t="str">
        <f>IF(C25="","",$M$11)</f>
        <v>360</v>
      </c>
      <c r="F25" s="14">
        <f>IF(C25="","",IF($M$12="Actual",D25-D24,30))</f>
        <v>30</v>
      </c>
      <c r="G25" s="24">
        <f>IF(B25="","",L24)</f>
        <v>24728744.235469814</v>
      </c>
      <c r="H25" s="24">
        <f>IF(B25="","",(C25&lt;=$I$10)*I25+(C25&gt;$I$10)*PMT($I$7/(E25/F25),$I$8+$I$10-C24,-G25))</f>
        <v>134225.1784001558</v>
      </c>
      <c r="I25" s="24">
        <f>IF(B25="","",G25*$I$7/E25*F25)</f>
        <v>103036.43431445757</v>
      </c>
      <c r="J25" s="24">
        <f>IF(B25="","",H25-I25)</f>
        <v>31188.744085698228</v>
      </c>
      <c r="K25" s="24">
        <f>IF(B25="","",(C25=$I$9)*(G25-J25))</f>
        <v>0</v>
      </c>
      <c r="L25" s="24">
        <f>IF(B25="","",G25-J25-K25)</f>
        <v>24697555.491384115</v>
      </c>
      <c r="M25" s="24">
        <f>IF(B25="","",I25+J25+K25)</f>
        <v>134225.1784001558</v>
      </c>
    </row>
    <row r="26" spans="2:13" x14ac:dyDescent="0.2">
      <c r="B26" s="22">
        <f>IF(C26="","",ROUNDUP(C26/12,0))</f>
        <v>1</v>
      </c>
      <c r="C26" s="21">
        <f>IF(OR(C25="",C25&gt;=$I$9),"",C25+1)</f>
        <v>11</v>
      </c>
      <c r="D26" s="251">
        <f>IF(C26="","",EOMONTH(D25,1))</f>
        <v>44196</v>
      </c>
      <c r="E26" s="250" t="str">
        <f>IF(C26="","",$M$11)</f>
        <v>360</v>
      </c>
      <c r="F26" s="14">
        <f>IF(C26="","",IF($M$12="Actual",D26-D25,30))</f>
        <v>31</v>
      </c>
      <c r="G26" s="24">
        <f>IF(B26="","",L25)</f>
        <v>24697555.491384115</v>
      </c>
      <c r="H26" s="24">
        <f>IF(B26="","",(C26&lt;=$I$10)*I26+(C26&gt;$I$10)*PMT($I$7/(E26/F26),$I$8+$I$10-C25,-G26))</f>
        <v>136732.98157336764</v>
      </c>
      <c r="I26" s="24">
        <f>IF(B26="","",G26*$I$7/E26*F26)</f>
        <v>106336.69725457049</v>
      </c>
      <c r="J26" s="24">
        <f>IF(B26="","",H26-I26)</f>
        <v>30396.284318797145</v>
      </c>
      <c r="K26" s="24">
        <f>IF(B26="","",(C26=$I$9)*(G26-J26))</f>
        <v>0</v>
      </c>
      <c r="L26" s="24">
        <f>IF(B26="","",G26-J26-K26)</f>
        <v>24667159.207065318</v>
      </c>
      <c r="M26" s="24">
        <f>IF(B26="","",I26+J26+K26)</f>
        <v>136732.98157336764</v>
      </c>
    </row>
    <row r="27" spans="2:13" x14ac:dyDescent="0.2">
      <c r="B27" s="22">
        <f>IF(C27="","",ROUNDUP(C27/12,0))</f>
        <v>1</v>
      </c>
      <c r="C27" s="21">
        <f>IF(OR(C26="",C26&gt;=$I$9),"",C26+1)</f>
        <v>12</v>
      </c>
      <c r="D27" s="251">
        <f>IF(C27="","",EOMONTH(D26,1))</f>
        <v>44227</v>
      </c>
      <c r="E27" s="250" t="str">
        <f>IF(C27="","",$M$11)</f>
        <v>360</v>
      </c>
      <c r="F27" s="14">
        <f>IF(C27="","",IF($M$12="Actual",D27-D26,30))</f>
        <v>31</v>
      </c>
      <c r="G27" s="24">
        <f>IF(B27="","",L26)</f>
        <v>24667159.207065318</v>
      </c>
      <c r="H27" s="24">
        <f>IF(B27="","",(C27&lt;=$I$10)*I27+(C27&gt;$I$10)*PMT($I$7/(E27/F27),$I$8+$I$10-C26,-G27))</f>
        <v>136732.98157336764</v>
      </c>
      <c r="I27" s="24">
        <f>IF(B27="","",G27*$I$7/E27*F27)</f>
        <v>106205.82436375346</v>
      </c>
      <c r="J27" s="24">
        <f>IF(B27="","",H27-I27)</f>
        <v>30527.157209614175</v>
      </c>
      <c r="K27" s="24">
        <f>IF(B27="","",(C27=$I$9)*(G27-J27))</f>
        <v>0</v>
      </c>
      <c r="L27" s="24">
        <f>IF(B27="","",G27-J27-K27)</f>
        <v>24636632.049855705</v>
      </c>
      <c r="M27" s="24">
        <f>IF(B27="","",I27+J27+K27)</f>
        <v>136732.98157336764</v>
      </c>
    </row>
    <row r="28" spans="2:13" x14ac:dyDescent="0.2">
      <c r="B28" s="22">
        <f>IF(C28="","",ROUNDUP(C28/12,0))</f>
        <v>2</v>
      </c>
      <c r="C28" s="21">
        <f>IF(OR(C27="",C27&gt;=$I$9),"",C27+1)</f>
        <v>13</v>
      </c>
      <c r="D28" s="251">
        <f>IF(C28="","",EOMONTH(D27,1))</f>
        <v>44255</v>
      </c>
      <c r="E28" s="250" t="str">
        <f>IF(C28="","",$M$11)</f>
        <v>360</v>
      </c>
      <c r="F28" s="14">
        <f>IF(C28="","",IF($M$12="Actual",D28-D27,30))</f>
        <v>28</v>
      </c>
      <c r="G28" s="24">
        <f>IF(B28="","",L27)</f>
        <v>24636632.049855705</v>
      </c>
      <c r="H28" s="24">
        <f>IF(B28="","",(C28&lt;=$I$10)*I28+(C28&gt;$I$10)*PMT($I$7/(E28/F28),$I$8+$I$10-C27,-G28))</f>
        <v>129306.94361542328</v>
      </c>
      <c r="I28" s="24">
        <f>IF(B28="","",G28*$I$7/E28*F28)</f>
        <v>95809.124638327747</v>
      </c>
      <c r="J28" s="24">
        <f>IF(B28="","",H28-I28)</f>
        <v>33497.818977095536</v>
      </c>
      <c r="K28" s="24">
        <f>IF(B28="","",(C28=$I$9)*(G28-J28))</f>
        <v>0</v>
      </c>
      <c r="L28" s="24">
        <f>IF(B28="","",G28-J28-K28)</f>
        <v>24603134.23087861</v>
      </c>
      <c r="M28" s="24">
        <f>IF(B28="","",I28+J28+K28)</f>
        <v>129306.94361542328</v>
      </c>
    </row>
    <row r="29" spans="2:13" x14ac:dyDescent="0.2">
      <c r="B29" s="22">
        <f>IF(C29="","",ROUNDUP(C29/12,0))</f>
        <v>2</v>
      </c>
      <c r="C29" s="21">
        <f>IF(OR(C28="",C28&gt;=$I$9),"",C28+1)</f>
        <v>14</v>
      </c>
      <c r="D29" s="251">
        <f>IF(C29="","",EOMONTH(D28,1))</f>
        <v>44286</v>
      </c>
      <c r="E29" s="250" t="str">
        <f>IF(C29="","",$M$11)</f>
        <v>360</v>
      </c>
      <c r="F29" s="14">
        <f>IF(C29="","",IF($M$12="Actual",D29-D28,30))</f>
        <v>31</v>
      </c>
      <c r="G29" s="24">
        <f>IF(B29="","",L28)</f>
        <v>24603134.23087861</v>
      </c>
      <c r="H29" s="24">
        <f>IF(B29="","",(C29&lt;=$I$10)*I29+(C29&gt;$I$10)*PMT($I$7/(E29/F29),$I$8+$I$10-C28,-G29))</f>
        <v>136717.20427626272</v>
      </c>
      <c r="I29" s="24">
        <f>IF(B29="","",G29*$I$7/E29*F29)</f>
        <v>105930.16127183846</v>
      </c>
      <c r="J29" s="24">
        <f>IF(B29="","",H29-I29)</f>
        <v>30787.043004424268</v>
      </c>
      <c r="K29" s="24">
        <f>IF(B29="","",(C29=$I$9)*(G29-J29))</f>
        <v>0</v>
      </c>
      <c r="L29" s="24">
        <f>IF(B29="","",G29-J29-K29)</f>
        <v>24572347.187874187</v>
      </c>
      <c r="M29" s="24">
        <f>IF(B29="","",I29+J29+K29)</f>
        <v>136717.20427626272</v>
      </c>
    </row>
    <row r="30" spans="2:13" x14ac:dyDescent="0.2">
      <c r="B30" s="22">
        <f>IF(C30="","",ROUNDUP(C30/12,0))</f>
        <v>2</v>
      </c>
      <c r="C30" s="21">
        <f>IF(OR(C29="",C29&gt;=$I$9),"",C29+1)</f>
        <v>15</v>
      </c>
      <c r="D30" s="251">
        <f>IF(C30="","",EOMONTH(D29,1))</f>
        <v>44316</v>
      </c>
      <c r="E30" s="250" t="str">
        <f>IF(C30="","",$M$11)</f>
        <v>360</v>
      </c>
      <c r="F30" s="14">
        <f>IF(C30="","",IF($M$12="Actual",D30-D29,30))</f>
        <v>30</v>
      </c>
      <c r="G30" s="24">
        <f>IF(B30="","",L29)</f>
        <v>24572347.187874187</v>
      </c>
      <c r="H30" s="24">
        <f>IF(B30="","",(C30&lt;=$I$10)*I30+(C30&gt;$I$10)*PMT($I$7/(E30/F30),$I$8+$I$10-C29,-G30))</f>
        <v>134229.83054543528</v>
      </c>
      <c r="I30" s="24">
        <f>IF(B30="","",G30*$I$7/E30*F30)</f>
        <v>102384.77994947578</v>
      </c>
      <c r="J30" s="24">
        <f>IF(B30="","",H30-I30)</f>
        <v>31845.050595959503</v>
      </c>
      <c r="K30" s="24">
        <f>IF(B30="","",(C30=$I$9)*(G30-J30))</f>
        <v>0</v>
      </c>
      <c r="L30" s="24">
        <f>IF(B30="","",G30-J30-K30)</f>
        <v>24540502.137278229</v>
      </c>
      <c r="M30" s="24">
        <f>IF(B30="","",I30+J30+K30)</f>
        <v>134229.83054543528</v>
      </c>
    </row>
    <row r="31" spans="2:13" x14ac:dyDescent="0.2">
      <c r="B31" s="22">
        <f>IF(C31="","",ROUNDUP(C31/12,0))</f>
        <v>2</v>
      </c>
      <c r="C31" s="21">
        <f>IF(OR(C30="",C30&gt;=$I$9),"",C30+1)</f>
        <v>16</v>
      </c>
      <c r="D31" s="251">
        <f>IF(C31="","",EOMONTH(D30,1))</f>
        <v>44347</v>
      </c>
      <c r="E31" s="250" t="str">
        <f>IF(C31="","",$M$11)</f>
        <v>360</v>
      </c>
      <c r="F31" s="14">
        <f>IF(C31="","",IF($M$12="Actual",D31-D30,30))</f>
        <v>31</v>
      </c>
      <c r="G31" s="24">
        <f>IF(B31="","",L30)</f>
        <v>24540502.137278229</v>
      </c>
      <c r="H31" s="24">
        <f>IF(B31="","",(C31&lt;=$I$10)*I31+(C31&gt;$I$10)*PMT($I$7/(E31/F31),$I$8+$I$10-C30,-G31))</f>
        <v>136712.04869815952</v>
      </c>
      <c r="I31" s="24">
        <f>IF(B31="","",G31*$I$7/E31*F31)</f>
        <v>105660.49531328127</v>
      </c>
      <c r="J31" s="24">
        <f>IF(B31="","",H31-I31)</f>
        <v>31051.553384878251</v>
      </c>
      <c r="K31" s="24">
        <f>IF(B31="","",(C31=$I$9)*(G31-J31))</f>
        <v>0</v>
      </c>
      <c r="L31" s="24">
        <f>IF(B31="","",G31-J31-K31)</f>
        <v>24509450.583893351</v>
      </c>
      <c r="M31" s="24">
        <f>IF(B31="","",I31+J31+K31)</f>
        <v>136712.04869815952</v>
      </c>
    </row>
    <row r="32" spans="2:13" x14ac:dyDescent="0.2">
      <c r="B32" s="22">
        <f>IF(C32="","",ROUNDUP(C32/12,0))</f>
        <v>2</v>
      </c>
      <c r="C32" s="21">
        <f>IF(OR(C31="",C31&gt;=$I$9),"",C31+1)</f>
        <v>17</v>
      </c>
      <c r="D32" s="251">
        <f>IF(C32="","",EOMONTH(D31,1))</f>
        <v>44377</v>
      </c>
      <c r="E32" s="250" t="str">
        <f>IF(C32="","",$M$11)</f>
        <v>360</v>
      </c>
      <c r="F32" s="14">
        <f>IF(C32="","",IF($M$12="Actual",D32-D31,30))</f>
        <v>30</v>
      </c>
      <c r="G32" s="24">
        <f>IF(B32="","",L31)</f>
        <v>24509450.583893351</v>
      </c>
      <c r="H32" s="24">
        <f>IF(B32="","",(C32&lt;=$I$10)*I32+(C32&gt;$I$10)*PMT($I$7/(E32/F32),$I$8+$I$10-C31,-G32))</f>
        <v>134234.90313336824</v>
      </c>
      <c r="I32" s="24">
        <f>IF(B32="","",G32*$I$7/E32*F32)</f>
        <v>102122.71076622231</v>
      </c>
      <c r="J32" s="24">
        <f>IF(B32="","",H32-I32)</f>
        <v>32112.192367145923</v>
      </c>
      <c r="K32" s="24">
        <f>IF(B32="","",(C32=$I$9)*(G32-J32))</f>
        <v>0</v>
      </c>
      <c r="L32" s="24">
        <f>IF(B32="","",G32-J32-K32)</f>
        <v>24477338.391526204</v>
      </c>
      <c r="M32" s="24">
        <f>IF(B32="","",I32+J32+K32)</f>
        <v>134234.90313336824</v>
      </c>
    </row>
    <row r="33" spans="2:13" x14ac:dyDescent="0.2">
      <c r="B33" s="22">
        <f>IF(C33="","",ROUNDUP(C33/12,0))</f>
        <v>2</v>
      </c>
      <c r="C33" s="21">
        <f>IF(OR(C32="",C32&gt;=$I$9),"",C32+1)</f>
        <v>18</v>
      </c>
      <c r="D33" s="251">
        <f>IF(C33="","",EOMONTH(D32,1))</f>
        <v>44408</v>
      </c>
      <c r="E33" s="250" t="str">
        <f>IF(C33="","",$M$11)</f>
        <v>360</v>
      </c>
      <c r="F33" s="14">
        <f>IF(C33="","",IF($M$12="Actual",D33-D32,30))</f>
        <v>31</v>
      </c>
      <c r="G33" s="24">
        <f>IF(B33="","",L32)</f>
        <v>24477338.391526204</v>
      </c>
      <c r="H33" s="24">
        <f>IF(B33="","",(C33&lt;=$I$10)*I33+(C33&gt;$I$10)*PMT($I$7/(E33/F33),$I$8+$I$10-C32,-G33))</f>
        <v>136706.87167600993</v>
      </c>
      <c r="I33" s="24">
        <f>IF(B33="","",G33*$I$7/E33*F33)</f>
        <v>105388.54029684894</v>
      </c>
      <c r="J33" s="24">
        <f>IF(B33="","",H33-I33)</f>
        <v>31318.331379160998</v>
      </c>
      <c r="K33" s="24">
        <f>IF(B33="","",(C33=$I$9)*(G33-J33))</f>
        <v>0</v>
      </c>
      <c r="L33" s="24">
        <f>IF(B33="","",G33-J33-K33)</f>
        <v>24446020.060147043</v>
      </c>
      <c r="M33" s="24">
        <f>IF(B33="","",I33+J33+K33)</f>
        <v>136706.87167600993</v>
      </c>
    </row>
    <row r="34" spans="2:13" x14ac:dyDescent="0.2">
      <c r="B34" s="22">
        <f>IF(C34="","",ROUNDUP(C34/12,0))</f>
        <v>2</v>
      </c>
      <c r="C34" s="21">
        <f>IF(OR(C33="",C33&gt;=$I$9),"",C33+1)</f>
        <v>19</v>
      </c>
      <c r="D34" s="251">
        <f>IF(C34="","",EOMONTH(D33,1))</f>
        <v>44439</v>
      </c>
      <c r="E34" s="250" t="str">
        <f>IF(C34="","",$M$11)</f>
        <v>360</v>
      </c>
      <c r="F34" s="14">
        <f>IF(C34="","",IF($M$12="Actual",D34-D33,30))</f>
        <v>31</v>
      </c>
      <c r="G34" s="24">
        <f>IF(B34="","",L33)</f>
        <v>24446020.060147043</v>
      </c>
      <c r="H34" s="24">
        <f>IF(B34="","",(C34&lt;=$I$10)*I34+(C34&gt;$I$10)*PMT($I$7/(E34/F34),$I$8+$I$10-C33,-G34))</f>
        <v>136706.87167600996</v>
      </c>
      <c r="I34" s="24">
        <f>IF(B34="","",G34*$I$7/E34*F34)</f>
        <v>105253.69748118865</v>
      </c>
      <c r="J34" s="24">
        <f>IF(B34="","",H34-I34)</f>
        <v>31453.174194821317</v>
      </c>
      <c r="K34" s="24">
        <f>IF(B34="","",(C34=$I$9)*(G34-J34))</f>
        <v>0</v>
      </c>
      <c r="L34" s="24">
        <f>IF(B34="","",G34-J34-K34)</f>
        <v>24414566.885952223</v>
      </c>
      <c r="M34" s="24">
        <f>IF(B34="","",I34+J34+K34)</f>
        <v>136706.87167600996</v>
      </c>
    </row>
    <row r="35" spans="2:13" x14ac:dyDescent="0.2">
      <c r="B35" s="22">
        <f>IF(C35="","",ROUNDUP(C35/12,0))</f>
        <v>2</v>
      </c>
      <c r="C35" s="21">
        <f>IF(OR(C34="",C34&gt;=$I$9),"",C34+1)</f>
        <v>20</v>
      </c>
      <c r="D35" s="251">
        <f>IF(C35="","",EOMONTH(D34,1))</f>
        <v>44469</v>
      </c>
      <c r="E35" s="250" t="str">
        <f>IF(C35="","",$M$11)</f>
        <v>360</v>
      </c>
      <c r="F35" s="14">
        <f>IF(C35="","",IF($M$12="Actual",D35-D34,30))</f>
        <v>30</v>
      </c>
      <c r="G35" s="24">
        <f>IF(B35="","",L34)</f>
        <v>24414566.885952223</v>
      </c>
      <c r="H35" s="24">
        <f>IF(B35="","",(C35&lt;=$I$10)*I35+(C35&gt;$I$10)*PMT($I$7/(E35/F35),$I$8+$I$10-C34,-G35))</f>
        <v>134245.10208800196</v>
      </c>
      <c r="I35" s="24">
        <f>IF(B35="","",G35*$I$7/E35*F35)</f>
        <v>101727.36202480092</v>
      </c>
      <c r="J35" s="24">
        <f>IF(B35="","",H35-I35)</f>
        <v>32517.740063201039</v>
      </c>
      <c r="K35" s="24">
        <f>IF(B35="","",(C35=$I$9)*(G35-J35))</f>
        <v>0</v>
      </c>
      <c r="L35" s="24">
        <f>IF(B35="","",G35-J35-K35)</f>
        <v>24382049.145889021</v>
      </c>
      <c r="M35" s="24">
        <f>IF(B35="","",I35+J35+K35)</f>
        <v>134245.10208800196</v>
      </c>
    </row>
    <row r="36" spans="2:13" x14ac:dyDescent="0.2">
      <c r="B36" s="22">
        <f>IF(C36="","",ROUNDUP(C36/12,0))</f>
        <v>2</v>
      </c>
      <c r="C36" s="21">
        <f>IF(OR(C35="",C35&gt;=$I$9),"",C35+1)</f>
        <v>21</v>
      </c>
      <c r="D36" s="251">
        <f>IF(C36="","",EOMONTH(D35,1))</f>
        <v>44500</v>
      </c>
      <c r="E36" s="250" t="str">
        <f>IF(C36="","",$M$11)</f>
        <v>360</v>
      </c>
      <c r="F36" s="14">
        <f>IF(C36="","",IF($M$12="Actual",D36-D35,30))</f>
        <v>31</v>
      </c>
      <c r="G36" s="24">
        <f>IF(B36="","",L35)</f>
        <v>24382049.145889021</v>
      </c>
      <c r="H36" s="24">
        <f>IF(B36="","",(C36&lt;=$I$10)*I36+(C36&gt;$I$10)*PMT($I$7/(E36/F36),$I$8+$I$10-C35,-G36))</f>
        <v>136701.66229755711</v>
      </c>
      <c r="I36" s="24">
        <f>IF(B36="","",G36*$I$7/E36*F36)</f>
        <v>104978.26715591106</v>
      </c>
      <c r="J36" s="24">
        <f>IF(B36="","",H36-I36)</f>
        <v>31723.395141646048</v>
      </c>
      <c r="K36" s="24">
        <f>IF(B36="","",(C36=$I$9)*(G36-J36))</f>
        <v>0</v>
      </c>
      <c r="L36" s="24">
        <f>IF(B36="","",G36-J36-K36)</f>
        <v>24350325.750747375</v>
      </c>
      <c r="M36" s="24">
        <f>IF(B36="","",I36+J36+K36)</f>
        <v>136701.66229755711</v>
      </c>
    </row>
    <row r="37" spans="2:13" x14ac:dyDescent="0.2">
      <c r="B37" s="22">
        <f>IF(C37="","",ROUNDUP(C37/12,0))</f>
        <v>2</v>
      </c>
      <c r="C37" s="21">
        <f>IF(OR(C36="",C36&gt;=$I$9),"",C36+1)</f>
        <v>22</v>
      </c>
      <c r="D37" s="251">
        <f>IF(C37="","",EOMONTH(D36,1))</f>
        <v>44530</v>
      </c>
      <c r="E37" s="250" t="str">
        <f>IF(C37="","",$M$11)</f>
        <v>360</v>
      </c>
      <c r="F37" s="14">
        <f>IF(C37="","",IF($M$12="Actual",D37-D36,30))</f>
        <v>30</v>
      </c>
      <c r="G37" s="24">
        <f>IF(B37="","",L36)</f>
        <v>24350325.750747375</v>
      </c>
      <c r="H37" s="24">
        <f>IF(B37="","",(C37&lt;=$I$10)*I37+(C37&gt;$I$10)*PMT($I$7/(E37/F37),$I$8+$I$10-C36,-G37))</f>
        <v>134250.22853396181</v>
      </c>
      <c r="I37" s="24">
        <f>IF(B37="","",G37*$I$7/E37*F37)</f>
        <v>101459.69062811405</v>
      </c>
      <c r="J37" s="24">
        <f>IF(B37="","",H37-I37)</f>
        <v>32790.537905847756</v>
      </c>
      <c r="K37" s="24">
        <f>IF(B37="","",(C37=$I$9)*(G37-J37))</f>
        <v>0</v>
      </c>
      <c r="L37" s="24">
        <f>IF(B37="","",G37-J37-K37)</f>
        <v>24317535.212841526</v>
      </c>
      <c r="M37" s="24">
        <f>IF(B37="","",I37+J37+K37)</f>
        <v>134250.22853396181</v>
      </c>
    </row>
    <row r="38" spans="2:13" x14ac:dyDescent="0.2">
      <c r="B38" s="22">
        <f>IF(C38="","",ROUNDUP(C38/12,0))</f>
        <v>2</v>
      </c>
      <c r="C38" s="21">
        <f>IF(OR(C37="",C37&gt;=$I$9),"",C37+1)</f>
        <v>23</v>
      </c>
      <c r="D38" s="251">
        <f>IF(C38="","",EOMONTH(D37,1))</f>
        <v>44561</v>
      </c>
      <c r="E38" s="250" t="str">
        <f>IF(C38="","",$M$11)</f>
        <v>360</v>
      </c>
      <c r="F38" s="14">
        <f>IF(C38="","",IF($M$12="Actual",D38-D37,30))</f>
        <v>31</v>
      </c>
      <c r="G38" s="24">
        <f>IF(B38="","",L37)</f>
        <v>24317535.212841526</v>
      </c>
      <c r="H38" s="24">
        <f>IF(B38="","",(C38&lt;=$I$10)*I38+(C38&gt;$I$10)*PMT($I$7/(E38/F38),$I$8+$I$10-C37,-G38))</f>
        <v>136696.4313531841</v>
      </c>
      <c r="I38" s="24">
        <f>IF(B38="","",G38*$I$7/E38*F38)</f>
        <v>104700.49883306769</v>
      </c>
      <c r="J38" s="24">
        <f>IF(B38="","",H38-I38)</f>
        <v>31995.932520116417</v>
      </c>
      <c r="K38" s="24">
        <f>IF(B38="","",(C38=$I$9)*(G38-J38))</f>
        <v>0</v>
      </c>
      <c r="L38" s="24">
        <f>IF(B38="","",G38-J38-K38)</f>
        <v>24285539.280321408</v>
      </c>
      <c r="M38" s="24">
        <f>IF(B38="","",I38+J38+K38)</f>
        <v>136696.4313531841</v>
      </c>
    </row>
    <row r="39" spans="2:13" x14ac:dyDescent="0.2">
      <c r="B39" s="22">
        <f>IF(C39="","",ROUNDUP(C39/12,0))</f>
        <v>2</v>
      </c>
      <c r="C39" s="21">
        <f>IF(OR(C38="",C38&gt;=$I$9),"",C38+1)</f>
        <v>24</v>
      </c>
      <c r="D39" s="251">
        <f>IF(C39="","",EOMONTH(D38,1))</f>
        <v>44592</v>
      </c>
      <c r="E39" s="250" t="str">
        <f>IF(C39="","",$M$11)</f>
        <v>360</v>
      </c>
      <c r="F39" s="14">
        <f>IF(C39="","",IF($M$12="Actual",D39-D38,30))</f>
        <v>31</v>
      </c>
      <c r="G39" s="24">
        <f>IF(B39="","",L38)</f>
        <v>24285539.280321408</v>
      </c>
      <c r="H39" s="24">
        <f>IF(B39="","",(C39&lt;=$I$10)*I39+(C39&gt;$I$10)*PMT($I$7/(E39/F39),$I$8+$I$10-C38,-G39))</f>
        <v>136696.4313531841</v>
      </c>
      <c r="I39" s="24">
        <f>IF(B39="","",G39*$I$7/E39*F39)</f>
        <v>104562.7385680505</v>
      </c>
      <c r="J39" s="24">
        <f>IF(B39="","",H39-I39)</f>
        <v>32133.692785133608</v>
      </c>
      <c r="K39" s="24">
        <f>IF(B39="","",(C39=$I$9)*(G39-J39))</f>
        <v>0</v>
      </c>
      <c r="L39" s="24">
        <f>IF(B39="","",G39-J39-K39)</f>
        <v>24253405.587536275</v>
      </c>
      <c r="M39" s="24">
        <f>IF(B39="","",I39+J39+K39)</f>
        <v>136696.4313531841</v>
      </c>
    </row>
    <row r="40" spans="2:13" x14ac:dyDescent="0.2">
      <c r="B40" s="22">
        <f>IF(C40="","",ROUNDUP(C40/12,0))</f>
        <v>3</v>
      </c>
      <c r="C40" s="21">
        <f>IF(OR(C39="",C39&gt;=$I$9),"",C39+1)</f>
        <v>25</v>
      </c>
      <c r="D40" s="251">
        <f>IF(C40="","",EOMONTH(D39,1))</f>
        <v>44620</v>
      </c>
      <c r="E40" s="250" t="str">
        <f>IF(C40="","",$M$11)</f>
        <v>360</v>
      </c>
      <c r="F40" s="14">
        <f>IF(C40="","",IF($M$12="Actual",D40-D39,30))</f>
        <v>28</v>
      </c>
      <c r="G40" s="24">
        <f>IF(B40="","",L39)</f>
        <v>24253405.587536275</v>
      </c>
      <c r="H40" s="24">
        <f>IF(B40="","",(C40&lt;=$I$10)*I40+(C40&gt;$I$10)*PMT($I$7/(E40/F40),$I$8+$I$10-C39,-G40))</f>
        <v>129453.49948290283</v>
      </c>
      <c r="I40" s="24">
        <f>IF(B40="","",G40*$I$7/E40*F40)</f>
        <v>94318.799507085525</v>
      </c>
      <c r="J40" s="24">
        <f>IF(B40="","",H40-I40)</f>
        <v>35134.699975817304</v>
      </c>
      <c r="K40" s="24">
        <f>IF(B40="","",(C40=$I$9)*(G40-J40))</f>
        <v>0</v>
      </c>
      <c r="L40" s="24">
        <f>IF(B40="","",G40-J40-K40)</f>
        <v>24218270.887560457</v>
      </c>
      <c r="M40" s="24">
        <f>IF(B40="","",I40+J40+K40)</f>
        <v>129453.49948290283</v>
      </c>
    </row>
    <row r="41" spans="2:13" x14ac:dyDescent="0.2">
      <c r="B41" s="22">
        <f>IF(C41="","",ROUNDUP(C41/12,0))</f>
        <v>3</v>
      </c>
      <c r="C41" s="21">
        <f>IF(OR(C40="",C40&gt;=$I$9),"",C40+1)</f>
        <v>26</v>
      </c>
      <c r="D41" s="251">
        <f>IF(C41="","",EOMONTH(D40,1))</f>
        <v>44651</v>
      </c>
      <c r="E41" s="250" t="str">
        <f>IF(C41="","",$M$11)</f>
        <v>360</v>
      </c>
      <c r="F41" s="14">
        <f>IF(C41="","",IF($M$12="Actual",D41-D40,30))</f>
        <v>31</v>
      </c>
      <c r="G41" s="24">
        <f>IF(B41="","",L40)</f>
        <v>24218270.887560457</v>
      </c>
      <c r="H41" s="24">
        <f>IF(B41="","",(C41&lt;=$I$10)*I41+(C41&gt;$I$10)*PMT($I$7/(E41/F41),$I$8+$I$10-C40,-G41))</f>
        <v>136680.27543889597</v>
      </c>
      <c r="I41" s="24">
        <f>IF(B41="","",G41*$I$7/E41*F41)</f>
        <v>104273.1107658853</v>
      </c>
      <c r="J41" s="24">
        <f>IF(B41="","",H41-I41)</f>
        <v>32407.164673010673</v>
      </c>
      <c r="K41" s="24">
        <f>IF(B41="","",(C41=$I$9)*(G41-J41))</f>
        <v>0</v>
      </c>
      <c r="L41" s="24">
        <f>IF(B41="","",G41-J41-K41)</f>
        <v>24185863.722887445</v>
      </c>
      <c r="M41" s="24">
        <f>IF(B41="","",I41+J41+K41)</f>
        <v>136680.27543889597</v>
      </c>
    </row>
    <row r="42" spans="2:13" x14ac:dyDescent="0.2">
      <c r="B42" s="22">
        <f>IF(C42="","",ROUNDUP(C42/12,0))</f>
        <v>3</v>
      </c>
      <c r="C42" s="21">
        <f>IF(OR(C41="",C41&gt;=$I$9),"",C41+1)</f>
        <v>27</v>
      </c>
      <c r="D42" s="251">
        <f>IF(C42="","",EOMONTH(D41,1))</f>
        <v>44681</v>
      </c>
      <c r="E42" s="250" t="str">
        <f>IF(C42="","",$M$11)</f>
        <v>360</v>
      </c>
      <c r="F42" s="14">
        <f>IF(C42="","",IF($M$12="Actual",D42-D41,30))</f>
        <v>30</v>
      </c>
      <c r="G42" s="24">
        <f>IF(B42="","",L41)</f>
        <v>24185863.722887445</v>
      </c>
      <c r="H42" s="24">
        <f>IF(B42="","",(C42&lt;=$I$10)*I42+(C42&gt;$I$10)*PMT($I$7/(E42/F42),$I$8+$I$10-C41,-G42))</f>
        <v>134255.01701627026</v>
      </c>
      <c r="I42" s="24">
        <f>IF(B42="","",G42*$I$7/E42*F42)</f>
        <v>100774.43217869768</v>
      </c>
      <c r="J42" s="24">
        <f>IF(B42="","",H42-I42)</f>
        <v>33480.584837572576</v>
      </c>
      <c r="K42" s="24">
        <f>IF(B42="","",(C42=$I$9)*(G42-J42))</f>
        <v>0</v>
      </c>
      <c r="L42" s="24">
        <f>IF(B42="","",G42-J42-K42)</f>
        <v>24152383.138049874</v>
      </c>
      <c r="M42" s="24">
        <f>IF(B42="","",I42+J42+K42)</f>
        <v>134255.01701627026</v>
      </c>
    </row>
    <row r="43" spans="2:13" x14ac:dyDescent="0.2">
      <c r="B43" s="22">
        <f>IF(C43="","",ROUNDUP(C43/12,0))</f>
        <v>3</v>
      </c>
      <c r="C43" s="21">
        <f>IF(OR(C42="",C42&gt;=$I$9),"",C42+1)</f>
        <v>28</v>
      </c>
      <c r="D43" s="251">
        <f>IF(C43="","",EOMONTH(D42,1))</f>
        <v>44712</v>
      </c>
      <c r="E43" s="250" t="str">
        <f>IF(C43="","",$M$11)</f>
        <v>360</v>
      </c>
      <c r="F43" s="14">
        <f>IF(C43="","",IF($M$12="Actual",D43-D42,30))</f>
        <v>31</v>
      </c>
      <c r="G43" s="24">
        <f>IF(B43="","",L42)</f>
        <v>24152383.138049874</v>
      </c>
      <c r="H43" s="24">
        <f>IF(B43="","",(C43&lt;=$I$10)*I43+(C43&gt;$I$10)*PMT($I$7/(E43/F43),$I$8+$I$10-C42,-G43))</f>
        <v>136674.99068861149</v>
      </c>
      <c r="I43" s="24">
        <f>IF(B43="","",G43*$I$7/E43*F43)</f>
        <v>103989.42739993696</v>
      </c>
      <c r="J43" s="24">
        <f>IF(B43="","",H43-I43)</f>
        <v>32685.56328867453</v>
      </c>
      <c r="K43" s="24">
        <f>IF(B43="","",(C43=$I$9)*(G43-J43))</f>
        <v>0</v>
      </c>
      <c r="L43" s="24">
        <f>IF(B43="","",G43-J43-K43)</f>
        <v>24119697.574761201</v>
      </c>
      <c r="M43" s="24">
        <f>IF(B43="","",I43+J43+K43)</f>
        <v>136674.99068861149</v>
      </c>
    </row>
    <row r="44" spans="2:13" x14ac:dyDescent="0.2">
      <c r="B44" s="22">
        <f>IF(C44="","",ROUNDUP(C44/12,0))</f>
        <v>3</v>
      </c>
      <c r="C44" s="21">
        <f>IF(OR(C43="",C43&gt;=$I$9),"",C43+1)</f>
        <v>29</v>
      </c>
      <c r="D44" s="251">
        <f>IF(C44="","",EOMONTH(D43,1))</f>
        <v>44742</v>
      </c>
      <c r="E44" s="250" t="str">
        <f>IF(C44="","",$M$11)</f>
        <v>360</v>
      </c>
      <c r="F44" s="14">
        <f>IF(C44="","",IF($M$12="Actual",D44-D43,30))</f>
        <v>30</v>
      </c>
      <c r="G44" s="24">
        <f>IF(B44="","",L43)</f>
        <v>24119697.574761201</v>
      </c>
      <c r="H44" s="24">
        <f>IF(B44="","",(C44&lt;=$I$10)*I44+(C44&gt;$I$10)*PMT($I$7/(E44/F44),$I$8+$I$10-C43,-G44))</f>
        <v>134260.21896354013</v>
      </c>
      <c r="I44" s="24">
        <f>IF(B44="","",G44*$I$7/E44*F44)</f>
        <v>100498.73989483835</v>
      </c>
      <c r="J44" s="24">
        <f>IF(B44="","",H44-I44)</f>
        <v>33761.479068701781</v>
      </c>
      <c r="K44" s="24">
        <f>IF(B44="","",(C44=$I$9)*(G44-J44))</f>
        <v>0</v>
      </c>
      <c r="L44" s="24">
        <f>IF(B44="","",G44-J44-K44)</f>
        <v>24085936.0956925</v>
      </c>
      <c r="M44" s="24">
        <f>IF(B44="","",I44+J44+K44)</f>
        <v>134260.21896354013</v>
      </c>
    </row>
    <row r="45" spans="2:13" x14ac:dyDescent="0.2">
      <c r="B45" s="22">
        <f>IF(C45="","",ROUNDUP(C45/12,0))</f>
        <v>3</v>
      </c>
      <c r="C45" s="21">
        <f>IF(OR(C44="",C44&gt;=$I$9),"",C44+1)</f>
        <v>30</v>
      </c>
      <c r="D45" s="251">
        <f>IF(C45="","",EOMONTH(D44,1))</f>
        <v>44773</v>
      </c>
      <c r="E45" s="250" t="str">
        <f>IF(C45="","",$M$11)</f>
        <v>360</v>
      </c>
      <c r="F45" s="14">
        <f>IF(C45="","",IF($M$12="Actual",D45-D44,30))</f>
        <v>31</v>
      </c>
      <c r="G45" s="24">
        <f>IF(B45="","",L44)</f>
        <v>24085936.0956925</v>
      </c>
      <c r="H45" s="24">
        <f>IF(B45="","",(C45&lt;=$I$10)*I45+(C45&gt;$I$10)*PMT($I$7/(E45/F45),$I$8+$I$10-C44,-G45))</f>
        <v>136669.68420553021</v>
      </c>
      <c r="I45" s="24">
        <f>IF(B45="","",G45*$I$7/E45*F45)</f>
        <v>103703.33596756494</v>
      </c>
      <c r="J45" s="24">
        <f>IF(B45="","",H45-I45)</f>
        <v>32966.348237965271</v>
      </c>
      <c r="K45" s="24">
        <f>IF(B45="","",(C45=$I$9)*(G45-J45))</f>
        <v>0</v>
      </c>
      <c r="L45" s="24">
        <f>IF(B45="","",G45-J45-K45)</f>
        <v>24052969.747454535</v>
      </c>
      <c r="M45" s="24">
        <f>IF(B45="","",I45+J45+K45)</f>
        <v>136669.68420553021</v>
      </c>
    </row>
    <row r="46" spans="2:13" x14ac:dyDescent="0.2">
      <c r="B46" s="22">
        <f>IF(C46="","",ROUNDUP(C46/12,0))</f>
        <v>3</v>
      </c>
      <c r="C46" s="21">
        <f>IF(OR(C45="",C45&gt;=$I$9),"",C45+1)</f>
        <v>31</v>
      </c>
      <c r="D46" s="251">
        <f>IF(C46="","",EOMONTH(D45,1))</f>
        <v>44804</v>
      </c>
      <c r="E46" s="250" t="str">
        <f>IF(C46="","",$M$11)</f>
        <v>360</v>
      </c>
      <c r="F46" s="14">
        <f>IF(C46="","",IF($M$12="Actual",D46-D45,30))</f>
        <v>31</v>
      </c>
      <c r="G46" s="24">
        <f>IF(B46="","",L45)</f>
        <v>24052969.747454535</v>
      </c>
      <c r="H46" s="24">
        <f>IF(B46="","",(C46&lt;=$I$10)*I46+(C46&gt;$I$10)*PMT($I$7/(E46/F46),$I$8+$I$10-C45,-G46))</f>
        <v>136669.68420553024</v>
      </c>
      <c r="I46" s="24">
        <f>IF(B46="","",G46*$I$7/E46*F46)</f>
        <v>103561.39752376259</v>
      </c>
      <c r="J46" s="24">
        <f>IF(B46="","",H46-I46)</f>
        <v>33108.286681767655</v>
      </c>
      <c r="K46" s="24">
        <f>IF(B46="","",(C46=$I$9)*(G46-J46))</f>
        <v>0</v>
      </c>
      <c r="L46" s="24">
        <f>IF(B46="","",G46-J46-K46)</f>
        <v>24019861.460772768</v>
      </c>
      <c r="M46" s="24">
        <f>IF(B46="","",I46+J46+K46)</f>
        <v>136669.68420553024</v>
      </c>
    </row>
    <row r="47" spans="2:13" x14ac:dyDescent="0.2">
      <c r="B47" s="22">
        <f>IF(C47="","",ROUNDUP(C47/12,0))</f>
        <v>3</v>
      </c>
      <c r="C47" s="21">
        <f>IF(OR(C46="",C46&gt;=$I$9),"",C46+1)</f>
        <v>32</v>
      </c>
      <c r="D47" s="251">
        <f>IF(C47="","",EOMONTH(D46,1))</f>
        <v>44834</v>
      </c>
      <c r="E47" s="250" t="str">
        <f>IF(C47="","",$M$11)</f>
        <v>360</v>
      </c>
      <c r="F47" s="14">
        <f>IF(C47="","",IF($M$12="Actual",D47-D46,30))</f>
        <v>30</v>
      </c>
      <c r="G47" s="24">
        <f>IF(B47="","",L46)</f>
        <v>24019861.460772768</v>
      </c>
      <c r="H47" s="24">
        <f>IF(B47="","",(C47&lt;=$I$10)*I47+(C47&gt;$I$10)*PMT($I$7/(E47/F47),$I$8+$I$10-C46,-G47))</f>
        <v>134270.67742306436</v>
      </c>
      <c r="I47" s="24">
        <f>IF(B47="","",G47*$I$7/E47*F47)</f>
        <v>100082.75608655319</v>
      </c>
      <c r="J47" s="24">
        <f>IF(B47="","",H47-I47)</f>
        <v>34187.921336511179</v>
      </c>
      <c r="K47" s="24">
        <f>IF(B47="","",(C47=$I$9)*(G47-J47))</f>
        <v>0</v>
      </c>
      <c r="L47" s="24">
        <f>IF(B47="","",G47-J47-K47)</f>
        <v>23985673.539436255</v>
      </c>
      <c r="M47" s="24">
        <f>IF(B47="","",I47+J47+K47)</f>
        <v>134270.67742306436</v>
      </c>
    </row>
    <row r="48" spans="2:13" x14ac:dyDescent="0.2">
      <c r="B48" s="22">
        <f>IF(C48="","",ROUNDUP(C48/12,0))</f>
        <v>3</v>
      </c>
      <c r="C48" s="21">
        <f>IF(OR(C47="",C47&gt;=$I$9),"",C47+1)</f>
        <v>33</v>
      </c>
      <c r="D48" s="251">
        <f>IF(C48="","",EOMONTH(D47,1))</f>
        <v>44865</v>
      </c>
      <c r="E48" s="250" t="str">
        <f>IF(C48="","",$M$11)</f>
        <v>360</v>
      </c>
      <c r="F48" s="14">
        <f>IF(C48="","",IF($M$12="Actual",D48-D47,30))</f>
        <v>31</v>
      </c>
      <c r="G48" s="24">
        <f>IF(B48="","",L47)</f>
        <v>23985673.539436255</v>
      </c>
      <c r="H48" s="24">
        <f>IF(B48="","",(C48&lt;=$I$10)*I48+(C48&gt;$I$10)*PMT($I$7/(E48/F48),$I$8+$I$10-C47,-G48))</f>
        <v>136664.3449300098</v>
      </c>
      <c r="I48" s="24">
        <f>IF(B48="","",G48*$I$7/E48*F48)</f>
        <v>103271.64996146165</v>
      </c>
      <c r="J48" s="24">
        <f>IF(B48="","",H48-I48)</f>
        <v>33392.694968548152</v>
      </c>
      <c r="K48" s="24">
        <f>IF(B48="","",(C48=$I$9)*(G48-J48))</f>
        <v>0</v>
      </c>
      <c r="L48" s="24">
        <f>IF(B48="","",G48-J48-K48)</f>
        <v>23952280.844467707</v>
      </c>
      <c r="M48" s="24">
        <f>IF(B48="","",I48+J48+K48)</f>
        <v>136664.3449300098</v>
      </c>
    </row>
    <row r="49" spans="2:13" x14ac:dyDescent="0.2">
      <c r="B49" s="22">
        <f>IF(C49="","",ROUNDUP(C49/12,0))</f>
        <v>3</v>
      </c>
      <c r="C49" s="21">
        <f>IF(OR(C48="",C48&gt;=$I$9),"",C48+1)</f>
        <v>34</v>
      </c>
      <c r="D49" s="251">
        <f>IF(C49="","",EOMONTH(D48,1))</f>
        <v>44895</v>
      </c>
      <c r="E49" s="250" t="str">
        <f>IF(C49="","",$M$11)</f>
        <v>360</v>
      </c>
      <c r="F49" s="14">
        <f>IF(C49="","",IF($M$12="Actual",D49-D48,30))</f>
        <v>30</v>
      </c>
      <c r="G49" s="24">
        <f>IF(B49="","",L48)</f>
        <v>23952280.844467707</v>
      </c>
      <c r="H49" s="24">
        <f>IF(B49="","",(C49&lt;=$I$10)*I49+(C49&gt;$I$10)*PMT($I$7/(E49/F49),$I$8+$I$10-C48,-G49))</f>
        <v>134275.93401332054</v>
      </c>
      <c r="I49" s="24">
        <f>IF(B49="","",G49*$I$7/E49*F49)</f>
        <v>99801.170185282113</v>
      </c>
      <c r="J49" s="24">
        <f>IF(B49="","",H49-I49)</f>
        <v>34474.763828038427</v>
      </c>
      <c r="K49" s="24">
        <f>IF(B49="","",(C49=$I$9)*(G49-J49))</f>
        <v>0</v>
      </c>
      <c r="L49" s="24">
        <f>IF(B49="","",G49-J49-K49)</f>
        <v>23917806.080639668</v>
      </c>
      <c r="M49" s="24">
        <f>IF(B49="","",I49+J49+K49)</f>
        <v>134275.93401332054</v>
      </c>
    </row>
    <row r="50" spans="2:13" x14ac:dyDescent="0.2">
      <c r="B50" s="22">
        <f>IF(C50="","",ROUNDUP(C50/12,0))</f>
        <v>3</v>
      </c>
      <c r="C50" s="21">
        <f>IF(OR(C49="",C49&gt;=$I$9),"",C49+1)</f>
        <v>35</v>
      </c>
      <c r="D50" s="251">
        <f>IF(C50="","",EOMONTH(D49,1))</f>
        <v>44926</v>
      </c>
      <c r="E50" s="250" t="str">
        <f>IF(C50="","",$M$11)</f>
        <v>360</v>
      </c>
      <c r="F50" s="14">
        <f>IF(C50="","",IF($M$12="Actual",D50-D49,30))</f>
        <v>31</v>
      </c>
      <c r="G50" s="24">
        <f>IF(B50="","",L49)</f>
        <v>23917806.080639668</v>
      </c>
      <c r="H50" s="24">
        <f>IF(B50="","",(C50&lt;=$I$10)*I50+(C50&gt;$I$10)*PMT($I$7/(E50/F50),$I$8+$I$10-C49,-G50))</f>
        <v>136658.98380251127</v>
      </c>
      <c r="I50" s="24">
        <f>IF(B50="","",G50*$I$7/E50*F50)</f>
        <v>102979.44284719859</v>
      </c>
      <c r="J50" s="24">
        <f>IF(B50="","",H50-I50)</f>
        <v>33679.540955312681</v>
      </c>
      <c r="K50" s="24">
        <f>IF(B50="","",(C50=$I$9)*(G50-J50))</f>
        <v>0</v>
      </c>
      <c r="L50" s="24">
        <f>IF(B50="","",G50-J50-K50)</f>
        <v>23884126.539684355</v>
      </c>
      <c r="M50" s="24">
        <f>IF(B50="","",I50+J50+K50)</f>
        <v>136658.98380251127</v>
      </c>
    </row>
    <row r="51" spans="2:13" x14ac:dyDescent="0.2">
      <c r="B51" s="22">
        <f>IF(C51="","",ROUNDUP(C51/12,0))</f>
        <v>3</v>
      </c>
      <c r="C51" s="21">
        <f>IF(OR(C50="",C50&gt;=$I$9),"",C50+1)</f>
        <v>36</v>
      </c>
      <c r="D51" s="251">
        <f>IF(C51="","",EOMONTH(D50,1))</f>
        <v>44957</v>
      </c>
      <c r="E51" s="250" t="str">
        <f>IF(C51="","",$M$11)</f>
        <v>360</v>
      </c>
      <c r="F51" s="14">
        <f>IF(C51="","",IF($M$12="Actual",D51-D50,30))</f>
        <v>31</v>
      </c>
      <c r="G51" s="24">
        <f>IF(B51="","",L50)</f>
        <v>23884126.539684355</v>
      </c>
      <c r="H51" s="24">
        <f>IF(B51="","",(C51&lt;=$I$10)*I51+(C51&gt;$I$10)*PMT($I$7/(E51/F51),$I$8+$I$10-C50,-G51))</f>
        <v>136658.98380251127</v>
      </c>
      <c r="I51" s="24">
        <f>IF(B51="","",G51*$I$7/E51*F51)</f>
        <v>102834.43371252988</v>
      </c>
      <c r="J51" s="24">
        <f>IF(B51="","",H51-I51)</f>
        <v>33824.550089981392</v>
      </c>
      <c r="K51" s="24">
        <f>IF(B51="","",(C51=$I$9)*(G51-J51))</f>
        <v>0</v>
      </c>
      <c r="L51" s="24">
        <f>IF(B51="","",G51-J51-K51)</f>
        <v>23850301.989594374</v>
      </c>
      <c r="M51" s="24">
        <f>IF(B51="","",I51+J51+K51)</f>
        <v>136658.98380251127</v>
      </c>
    </row>
    <row r="52" spans="2:13" x14ac:dyDescent="0.2">
      <c r="B52" s="22">
        <f>IF(C52="","",ROUNDUP(C52/12,0))</f>
        <v>4</v>
      </c>
      <c r="C52" s="21">
        <f>IF(OR(C51="",C51&gt;=$I$9),"",C51+1)</f>
        <v>37</v>
      </c>
      <c r="D52" s="251">
        <f>IF(C52="","",EOMONTH(D51,1))</f>
        <v>44985</v>
      </c>
      <c r="E52" s="250" t="str">
        <f>IF(C52="","",$M$11)</f>
        <v>360</v>
      </c>
      <c r="F52" s="14">
        <f>IF(C52="","",IF($M$12="Actual",D52-D51,30))</f>
        <v>28</v>
      </c>
      <c r="G52" s="24">
        <f>IF(B52="","",L51)</f>
        <v>23850301.989594374</v>
      </c>
      <c r="H52" s="24">
        <f>IF(B52="","",(C52&lt;=$I$10)*I52+(C52&gt;$I$10)*PMT($I$7/(E52/F52),$I$8+$I$10-C51,-G52))</f>
        <v>129603.74356574976</v>
      </c>
      <c r="I52" s="24">
        <f>IF(B52="","",G52*$I$7/E52*F52)</f>
        <v>92751.174403978133</v>
      </c>
      <c r="J52" s="24">
        <f>IF(B52="","",H52-I52)</f>
        <v>36852.569161771622</v>
      </c>
      <c r="K52" s="24">
        <f>IF(B52="","",(C52=$I$9)*(G52-J52))</f>
        <v>0</v>
      </c>
      <c r="L52" s="24">
        <f>IF(B52="","",G52-J52-K52)</f>
        <v>23813449.420432601</v>
      </c>
      <c r="M52" s="24">
        <f>IF(B52="","",I52+J52+K52)</f>
        <v>129603.74356574976</v>
      </c>
    </row>
    <row r="53" spans="2:13" x14ac:dyDescent="0.2">
      <c r="B53" s="22">
        <f>IF(C53="","",ROUNDUP(C53/12,0))</f>
        <v>4</v>
      </c>
      <c r="C53" s="21">
        <f>IF(OR(C52="",C52&gt;=$I$9),"",C52+1)</f>
        <v>38</v>
      </c>
      <c r="D53" s="251">
        <f>IF(C53="","",EOMONTH(D52,1))</f>
        <v>45016</v>
      </c>
      <c r="E53" s="250" t="str">
        <f>IF(C53="","",$M$11)</f>
        <v>360</v>
      </c>
      <c r="F53" s="14">
        <f>IF(C53="","",IF($M$12="Actual",D53-D52,30))</f>
        <v>31</v>
      </c>
      <c r="G53" s="24">
        <f>IF(B53="","",L52)</f>
        <v>23813449.420432601</v>
      </c>
      <c r="H53" s="24">
        <f>IF(B53="","",(C53&lt;=$I$10)*I53+(C53&gt;$I$10)*PMT($I$7/(E53/F53),$I$8+$I$10-C52,-G53))</f>
        <v>136642.44456846084</v>
      </c>
      <c r="I53" s="24">
        <f>IF(B53="","",G53*$I$7/E53*F53)</f>
        <v>102530.12944908482</v>
      </c>
      <c r="J53" s="24">
        <f>IF(B53="","",H53-I53)</f>
        <v>34112.315119376013</v>
      </c>
      <c r="K53" s="24">
        <f>IF(B53="","",(C53=$I$9)*(G53-J53))</f>
        <v>0</v>
      </c>
      <c r="L53" s="24">
        <f>IF(B53="","",G53-J53-K53)</f>
        <v>23779337.105313227</v>
      </c>
      <c r="M53" s="24">
        <f>IF(B53="","",I53+J53+K53)</f>
        <v>136642.44456846084</v>
      </c>
    </row>
    <row r="54" spans="2:13" x14ac:dyDescent="0.2">
      <c r="B54" s="22">
        <f>IF(C54="","",ROUNDUP(C54/12,0))</f>
        <v>4</v>
      </c>
      <c r="C54" s="21">
        <f>IF(OR(C53="",C53&gt;=$I$9),"",C53+1)</f>
        <v>39</v>
      </c>
      <c r="D54" s="251">
        <f>IF(C54="","",EOMONTH(D53,1))</f>
        <v>45046</v>
      </c>
      <c r="E54" s="250" t="str">
        <f>IF(C54="","",$M$11)</f>
        <v>360</v>
      </c>
      <c r="F54" s="14">
        <f>IF(C54="","",IF($M$12="Actual",D54-D53,30))</f>
        <v>30</v>
      </c>
      <c r="G54" s="24">
        <f>IF(B54="","",L53)</f>
        <v>23779337.105313227</v>
      </c>
      <c r="H54" s="24">
        <f>IF(B54="","",(C54&lt;=$I$10)*I54+(C54&gt;$I$10)*PMT($I$7/(E54/F54),$I$8+$I$10-C53,-G54))</f>
        <v>134280.86112981776</v>
      </c>
      <c r="I54" s="24">
        <f>IF(B54="","",G54*$I$7/E54*F54)</f>
        <v>99080.571272138448</v>
      </c>
      <c r="J54" s="24">
        <f>IF(B54="","",H54-I54)</f>
        <v>35200.289857679309</v>
      </c>
      <c r="K54" s="24">
        <f>IF(B54="","",(C54=$I$9)*(G54-J54))</f>
        <v>0</v>
      </c>
      <c r="L54" s="24">
        <f>IF(B54="","",G54-J54-K54)</f>
        <v>23744136.815455548</v>
      </c>
      <c r="M54" s="24">
        <f>IF(B54="","",I54+J54+K54)</f>
        <v>134280.86112981776</v>
      </c>
    </row>
    <row r="55" spans="2:13" x14ac:dyDescent="0.2">
      <c r="B55" s="22">
        <f>IF(C55="","",ROUNDUP(C55/12,0))</f>
        <v>4</v>
      </c>
      <c r="C55" s="21">
        <f>IF(OR(C54="",C54&gt;=$I$9),"",C54+1)</f>
        <v>40</v>
      </c>
      <c r="D55" s="251">
        <f>IF(C55="","",EOMONTH(D54,1))</f>
        <v>45077</v>
      </c>
      <c r="E55" s="250" t="str">
        <f>IF(C55="","",$M$11)</f>
        <v>360</v>
      </c>
      <c r="F55" s="14">
        <f>IF(C55="","",IF($M$12="Actual",D55-D54,30))</f>
        <v>31</v>
      </c>
      <c r="G55" s="24">
        <f>IF(B55="","",L54)</f>
        <v>23744136.815455548</v>
      </c>
      <c r="H55" s="24">
        <f>IF(B55="","",(C55&lt;=$I$10)*I55+(C55&gt;$I$10)*PMT($I$7/(E55/F55),$I$8+$I$10-C54,-G55))</f>
        <v>136637.02894020875</v>
      </c>
      <c r="I55" s="24">
        <f>IF(B55="","",G55*$I$7/E55*F55)</f>
        <v>102231.70017765585</v>
      </c>
      <c r="J55" s="24">
        <f>IF(B55="","",H55-I55)</f>
        <v>34405.328762552905</v>
      </c>
      <c r="K55" s="24">
        <f>IF(B55="","",(C55=$I$9)*(G55-J55))</f>
        <v>0</v>
      </c>
      <c r="L55" s="24">
        <f>IF(B55="","",G55-J55-K55)</f>
        <v>23709731.486692995</v>
      </c>
      <c r="M55" s="24">
        <f>IF(B55="","",I55+J55+K55)</f>
        <v>136637.02894020875</v>
      </c>
    </row>
    <row r="56" spans="2:13" x14ac:dyDescent="0.2">
      <c r="B56" s="22">
        <f>IF(C56="","",ROUNDUP(C56/12,0))</f>
        <v>4</v>
      </c>
      <c r="C56" s="21">
        <f>IF(OR(C55="",C55&gt;=$I$9),"",C55+1)</f>
        <v>41</v>
      </c>
      <c r="D56" s="251">
        <f>IF(C56="","",EOMONTH(D55,1))</f>
        <v>45107</v>
      </c>
      <c r="E56" s="250" t="str">
        <f>IF(C56="","",$M$11)</f>
        <v>360</v>
      </c>
      <c r="F56" s="14">
        <f>IF(C56="","",IF($M$12="Actual",D56-D55,30))</f>
        <v>30</v>
      </c>
      <c r="G56" s="24">
        <f>IF(B56="","",L55)</f>
        <v>23709731.486692995</v>
      </c>
      <c r="H56" s="24">
        <f>IF(B56="","",(C56&lt;=$I$10)*I56+(C56&gt;$I$10)*PMT($I$7/(E56/F56),$I$8+$I$10-C55,-G56))</f>
        <v>134286.19428893944</v>
      </c>
      <c r="I56" s="24">
        <f>IF(B56="","",G56*$I$7/E56*F56)</f>
        <v>98790.547861220824</v>
      </c>
      <c r="J56" s="24">
        <f>IF(B56="","",H56-I56)</f>
        <v>35495.646427718617</v>
      </c>
      <c r="K56" s="24">
        <f>IF(B56="","",(C56=$I$9)*(G56-J56))</f>
        <v>0</v>
      </c>
      <c r="L56" s="24">
        <f>IF(B56="","",G56-J56-K56)</f>
        <v>23674235.840265278</v>
      </c>
      <c r="M56" s="24">
        <f>IF(B56="","",I56+J56+K56)</f>
        <v>134286.19428893944</v>
      </c>
    </row>
    <row r="57" spans="2:13" x14ac:dyDescent="0.2">
      <c r="B57" s="22">
        <f>IF(C57="","",ROUNDUP(C57/12,0))</f>
        <v>4</v>
      </c>
      <c r="C57" s="21">
        <f>IF(OR(C56="",C56&gt;=$I$9),"",C56+1)</f>
        <v>42</v>
      </c>
      <c r="D57" s="251">
        <f>IF(C57="","",EOMONTH(D56,1))</f>
        <v>45138</v>
      </c>
      <c r="E57" s="250" t="str">
        <f>IF(C57="","",$M$11)</f>
        <v>360</v>
      </c>
      <c r="F57" s="14">
        <f>IF(C57="","",IF($M$12="Actual",D57-D56,30))</f>
        <v>31</v>
      </c>
      <c r="G57" s="24">
        <f>IF(B57="","",L56)</f>
        <v>23674235.840265278</v>
      </c>
      <c r="H57" s="24">
        <f>IF(B57="","",(C57&lt;=$I$10)*I57+(C57&gt;$I$10)*PMT($I$7/(E57/F57),$I$8+$I$10-C56,-G57))</f>
        <v>136631.59129707201</v>
      </c>
      <c r="I57" s="24">
        <f>IF(B57="","",G57*$I$7/E57*F57)</f>
        <v>101930.73764558663</v>
      </c>
      <c r="J57" s="24">
        <f>IF(B57="","",H57-I57)</f>
        <v>34700.853651485377</v>
      </c>
      <c r="K57" s="24">
        <f>IF(B57="","",(C57=$I$9)*(G57-J57))</f>
        <v>0</v>
      </c>
      <c r="L57" s="24">
        <f>IF(B57="","",G57-J57-K57)</f>
        <v>23639534.986613791</v>
      </c>
      <c r="M57" s="24">
        <f>IF(B57="","",I57+J57+K57)</f>
        <v>136631.59129707201</v>
      </c>
    </row>
    <row r="58" spans="2:13" x14ac:dyDescent="0.2">
      <c r="B58" s="22">
        <f>IF(C58="","",ROUNDUP(C58/12,0))</f>
        <v>4</v>
      </c>
      <c r="C58" s="21">
        <f>IF(OR(C57="",C57&gt;=$I$9),"",C57+1)</f>
        <v>43</v>
      </c>
      <c r="D58" s="251">
        <f>IF(C58="","",EOMONTH(D57,1))</f>
        <v>45169</v>
      </c>
      <c r="E58" s="250" t="str">
        <f>IF(C58="","",$M$11)</f>
        <v>360</v>
      </c>
      <c r="F58" s="14">
        <f>IF(C58="","",IF($M$12="Actual",D58-D57,30))</f>
        <v>31</v>
      </c>
      <c r="G58" s="24">
        <f>IF(B58="","",L57)</f>
        <v>23639534.986613791</v>
      </c>
      <c r="H58" s="24">
        <f>IF(B58="","",(C58&lt;=$I$10)*I58+(C58&gt;$I$10)*PMT($I$7/(E58/F58),$I$8+$I$10-C57,-G58))</f>
        <v>136631.59129707201</v>
      </c>
      <c r="I58" s="24">
        <f>IF(B58="","",G58*$I$7/E58*F58)</f>
        <v>101781.33119236495</v>
      </c>
      <c r="J58" s="24">
        <f>IF(B58="","",H58-I58)</f>
        <v>34850.260104707064</v>
      </c>
      <c r="K58" s="24">
        <f>IF(B58="","",(C58=$I$9)*(G58-J58))</f>
        <v>0</v>
      </c>
      <c r="L58" s="24">
        <f>IF(B58="","",G58-J58-K58)</f>
        <v>23604684.726509083</v>
      </c>
      <c r="M58" s="24">
        <f>IF(B58="","",I58+J58+K58)</f>
        <v>136631.59129707201</v>
      </c>
    </row>
    <row r="59" spans="2:13" x14ac:dyDescent="0.2">
      <c r="B59" s="22">
        <f>IF(C59="","",ROUNDUP(C59/12,0))</f>
        <v>4</v>
      </c>
      <c r="C59" s="21">
        <f>IF(OR(C58="",C58&gt;=$I$9),"",C58+1)</f>
        <v>44</v>
      </c>
      <c r="D59" s="251">
        <f>IF(C59="","",EOMONTH(D58,1))</f>
        <v>45199</v>
      </c>
      <c r="E59" s="250" t="str">
        <f>IF(C59="","",$M$11)</f>
        <v>360</v>
      </c>
      <c r="F59" s="14">
        <f>IF(C59="","",IF($M$12="Actual",D59-D58,30))</f>
        <v>30</v>
      </c>
      <c r="G59" s="24">
        <f>IF(B59="","",L58)</f>
        <v>23604684.726509083</v>
      </c>
      <c r="H59" s="24">
        <f>IF(B59="","",(C59&lt;=$I$10)*I59+(C59&gt;$I$10)*PMT($I$7/(E59/F59),$I$8+$I$10-C58,-G59))</f>
        <v>134296.9159453428</v>
      </c>
      <c r="I59" s="24">
        <f>IF(B59="","",G59*$I$7/E59*F59)</f>
        <v>98352.853027121178</v>
      </c>
      <c r="J59" s="24">
        <f>IF(B59="","",H59-I59)</f>
        <v>35944.062918221622</v>
      </c>
      <c r="K59" s="24">
        <f>IF(B59="","",(C59=$I$9)*(G59-J59))</f>
        <v>0</v>
      </c>
      <c r="L59" s="24">
        <f>IF(B59="","",G59-J59-K59)</f>
        <v>23568740.66359086</v>
      </c>
      <c r="M59" s="24">
        <f>IF(B59="","",I59+J59+K59)</f>
        <v>134296.9159453428</v>
      </c>
    </row>
    <row r="60" spans="2:13" x14ac:dyDescent="0.2">
      <c r="B60" s="22">
        <f>IF(C60="","",ROUNDUP(C60/12,0))</f>
        <v>4</v>
      </c>
      <c r="C60" s="21">
        <f>IF(OR(C59="",C59&gt;=$I$9),"",C59+1)</f>
        <v>45</v>
      </c>
      <c r="D60" s="251">
        <f>IF(C60="","",EOMONTH(D59,1))</f>
        <v>45230</v>
      </c>
      <c r="E60" s="250" t="str">
        <f>IF(C60="","",$M$11)</f>
        <v>360</v>
      </c>
      <c r="F60" s="14">
        <f>IF(C60="","",IF($M$12="Actual",D60-D59,30))</f>
        <v>31</v>
      </c>
      <c r="G60" s="24">
        <f>IF(B60="","",L59)</f>
        <v>23568740.66359086</v>
      </c>
      <c r="H60" s="24">
        <f>IF(B60="","",(C60&lt;=$I$10)*I60+(C60&gt;$I$10)*PMT($I$7/(E60/F60),$I$8+$I$10-C59,-G60))</f>
        <v>136626.12043529993</v>
      </c>
      <c r="I60" s="24">
        <f>IF(B60="","",G60*$I$7/E60*F60)</f>
        <v>101476.52230157176</v>
      </c>
      <c r="J60" s="24">
        <f>IF(B60="","",H60-I60)</f>
        <v>35149.59813372817</v>
      </c>
      <c r="K60" s="24">
        <f>IF(B60="","",(C60=$I$9)*(G60-J60))</f>
        <v>0</v>
      </c>
      <c r="L60" s="24">
        <f>IF(B60="","",G60-J60-K60)</f>
        <v>23533591.065457132</v>
      </c>
      <c r="M60" s="24">
        <f>IF(B60="","",I60+J60+K60)</f>
        <v>136626.12043529993</v>
      </c>
    </row>
    <row r="61" spans="2:13" x14ac:dyDescent="0.2">
      <c r="B61" s="22">
        <f>IF(C61="","",ROUNDUP(C61/12,0))</f>
        <v>4</v>
      </c>
      <c r="C61" s="21">
        <f>IF(OR(C60="",C60&gt;=$I$9),"",C60+1)</f>
        <v>46</v>
      </c>
      <c r="D61" s="251">
        <f>IF(C61="","",EOMONTH(D60,1))</f>
        <v>45260</v>
      </c>
      <c r="E61" s="250" t="str">
        <f>IF(C61="","",$M$11)</f>
        <v>360</v>
      </c>
      <c r="F61" s="14">
        <f>IF(C61="","",IF($M$12="Actual",D61-D60,30))</f>
        <v>30</v>
      </c>
      <c r="G61" s="24">
        <f>IF(B61="","",L60)</f>
        <v>23533591.065457132</v>
      </c>
      <c r="H61" s="24">
        <f>IF(B61="","",(C61&lt;=$I$10)*I61+(C61&gt;$I$10)*PMT($I$7/(E61/F61),$I$8+$I$10-C60,-G61))</f>
        <v>134302.30451926443</v>
      </c>
      <c r="I61" s="24">
        <f>IF(B61="","",G61*$I$7/E61*F61)</f>
        <v>98056.629439404715</v>
      </c>
      <c r="J61" s="24">
        <f>IF(B61="","",H61-I61)</f>
        <v>36245.67507985972</v>
      </c>
      <c r="K61" s="24">
        <f>IF(B61="","",(C61=$I$9)*(G61-J61))</f>
        <v>0</v>
      </c>
      <c r="L61" s="24">
        <f>IF(B61="","",G61-J61-K61)</f>
        <v>23497345.390377272</v>
      </c>
      <c r="M61" s="24">
        <f>IF(B61="","",I61+J61+K61)</f>
        <v>134302.30451926443</v>
      </c>
    </row>
    <row r="62" spans="2:13" x14ac:dyDescent="0.2">
      <c r="B62" s="22">
        <f>IF(C62="","",ROUNDUP(C62/12,0))</f>
        <v>4</v>
      </c>
      <c r="C62" s="21">
        <f>IF(OR(C61="",C61&gt;=$I$9),"",C61+1)</f>
        <v>47</v>
      </c>
      <c r="D62" s="251">
        <f>IF(C62="","",EOMONTH(D61,1))</f>
        <v>45291</v>
      </c>
      <c r="E62" s="250" t="str">
        <f>IF(C62="","",$M$11)</f>
        <v>360</v>
      </c>
      <c r="F62" s="14">
        <f>IF(C62="","",IF($M$12="Actual",D62-D61,30))</f>
        <v>31</v>
      </c>
      <c r="G62" s="24">
        <f>IF(B62="","",L61)</f>
        <v>23497345.390377272</v>
      </c>
      <c r="H62" s="24">
        <f>IF(B62="","",(C62&lt;=$I$10)*I62+(C62&gt;$I$10)*PMT($I$7/(E62/F62),$I$8+$I$10-C61,-G62))</f>
        <v>136620.62744234086</v>
      </c>
      <c r="I62" s="24">
        <f>IF(B62="","",G62*$I$7/E62*F62)</f>
        <v>101169.1259863466</v>
      </c>
      <c r="J62" s="24">
        <f>IF(B62="","",H62-I62)</f>
        <v>35451.501455994265</v>
      </c>
      <c r="K62" s="24">
        <f>IF(B62="","",(C62=$I$9)*(G62-J62))</f>
        <v>0</v>
      </c>
      <c r="L62" s="24">
        <f>IF(B62="","",G62-J62-K62)</f>
        <v>23461893.888921279</v>
      </c>
      <c r="M62" s="24">
        <f>IF(B62="","",I62+J62+K62)</f>
        <v>136620.62744234086</v>
      </c>
    </row>
    <row r="63" spans="2:13" x14ac:dyDescent="0.2">
      <c r="B63" s="22">
        <f>IF(C63="","",ROUNDUP(C63/12,0))</f>
        <v>4</v>
      </c>
      <c r="C63" s="21">
        <f>IF(OR(C62="",C62&gt;=$I$9),"",C62+1)</f>
        <v>48</v>
      </c>
      <c r="D63" s="251">
        <f>IF(C63="","",EOMONTH(D62,1))</f>
        <v>45322</v>
      </c>
      <c r="E63" s="250" t="str">
        <f>IF(C63="","",$M$11)</f>
        <v>360</v>
      </c>
      <c r="F63" s="14">
        <f>IF(C63="","",IF($M$12="Actual",D63-D62,30))</f>
        <v>31</v>
      </c>
      <c r="G63" s="24">
        <f>IF(B63="","",L62)</f>
        <v>23461893.888921279</v>
      </c>
      <c r="H63" s="24">
        <f>IF(B63="","",(C63&lt;=$I$10)*I63+(C63&gt;$I$10)*PMT($I$7/(E63/F63),$I$8+$I$10-C62,-G63))</f>
        <v>136620.62744234086</v>
      </c>
      <c r="I63" s="24">
        <f>IF(B63="","",G63*$I$7/E63*F63)</f>
        <v>101016.48757729997</v>
      </c>
      <c r="J63" s="24">
        <f>IF(B63="","",H63-I63)</f>
        <v>35604.139865040896</v>
      </c>
      <c r="K63" s="24">
        <f>IF(B63="","",(C63=$I$9)*(G63-J63))</f>
        <v>0</v>
      </c>
      <c r="L63" s="24">
        <f>IF(B63="","",G63-J63-K63)</f>
        <v>23426289.749056239</v>
      </c>
      <c r="M63" s="24">
        <f>IF(B63="","",I63+J63+K63)</f>
        <v>136620.62744234086</v>
      </c>
    </row>
    <row r="64" spans="2:13" x14ac:dyDescent="0.2">
      <c r="B64" s="22">
        <f>IF(C64="","",ROUNDUP(C64/12,0))</f>
        <v>5</v>
      </c>
      <c r="C64" s="21">
        <f>IF(OR(C63="",C63&gt;=$I$9),"",C63+1)</f>
        <v>49</v>
      </c>
      <c r="D64" s="251">
        <f>IF(C64="","",EOMONTH(D63,1))</f>
        <v>45351</v>
      </c>
      <c r="E64" s="250" t="str">
        <f>IF(C64="","",$M$11)</f>
        <v>360</v>
      </c>
      <c r="F64" s="14">
        <f>IF(C64="","",IF($M$12="Actual",D64-D63,30))</f>
        <v>29</v>
      </c>
      <c r="G64" s="24">
        <f>IF(B64="","",L63)</f>
        <v>23426289.749056239</v>
      </c>
      <c r="H64" s="24">
        <f>IF(B64="","",(C64&lt;=$I$10)*I64+(C64&gt;$I$10)*PMT($I$7/(E64/F64),$I$8+$I$10-C63,-G64))</f>
        <v>132025.43374066317</v>
      </c>
      <c r="I64" s="24">
        <f>IF(B64="","",G64*$I$7/E64*F64)</f>
        <v>94355.889267032078</v>
      </c>
      <c r="J64" s="24">
        <f>IF(B64="","",H64-I64)</f>
        <v>37669.544473631089</v>
      </c>
      <c r="K64" s="24">
        <f>IF(B64="","",(C64=$I$9)*(G64-J64))</f>
        <v>0</v>
      </c>
      <c r="L64" s="24">
        <f>IF(B64="","",G64-J64-K64)</f>
        <v>23388620.204582609</v>
      </c>
      <c r="M64" s="24">
        <f>IF(B64="","",I64+J64+K64)</f>
        <v>132025.43374066317</v>
      </c>
    </row>
    <row r="65" spans="2:13" x14ac:dyDescent="0.2">
      <c r="B65" s="22">
        <f>IF(C65="","",ROUNDUP(C65/12,0))</f>
        <v>5</v>
      </c>
      <c r="C65" s="21">
        <f>IF(OR(C64="",C64&gt;=$I$9),"",C64+1)</f>
        <v>50</v>
      </c>
      <c r="D65" s="251">
        <f>IF(C65="","",EOMONTH(D64,1))</f>
        <v>45382</v>
      </c>
      <c r="E65" s="250" t="str">
        <f>IF(C65="","",$M$11)</f>
        <v>360</v>
      </c>
      <c r="F65" s="14">
        <f>IF(C65="","",IF($M$12="Actual",D65-D64,30))</f>
        <v>31</v>
      </c>
      <c r="G65" s="24">
        <f>IF(B65="","",L64)</f>
        <v>23388620.204582609</v>
      </c>
      <c r="H65" s="24">
        <f>IF(B65="","",(C65&lt;=$I$10)*I65+(C65&gt;$I$10)*PMT($I$7/(E65/F65),$I$8+$I$10-C64,-G65))</f>
        <v>136609.45909744431</v>
      </c>
      <c r="I65" s="24">
        <f>IF(B65="","",G65*$I$7/E65*F65)</f>
        <v>100701.00365861956</v>
      </c>
      <c r="J65" s="24">
        <f>IF(B65="","",H65-I65)</f>
        <v>35908.455438824749</v>
      </c>
      <c r="K65" s="24">
        <f>IF(B65="","",(C65=$I$9)*(G65-J65))</f>
        <v>0</v>
      </c>
      <c r="L65" s="24">
        <f>IF(B65="","",G65-J65-K65)</f>
        <v>23352711.749143783</v>
      </c>
      <c r="M65" s="24">
        <f>IF(B65="","",I65+J65+K65)</f>
        <v>136609.45909744431</v>
      </c>
    </row>
    <row r="66" spans="2:13" x14ac:dyDescent="0.2">
      <c r="B66" s="22">
        <f>IF(C66="","",ROUNDUP(C66/12,0))</f>
        <v>5</v>
      </c>
      <c r="C66" s="21">
        <f>IF(OR(C65="",C65&gt;=$I$9),"",C65+1)</f>
        <v>51</v>
      </c>
      <c r="D66" s="251">
        <f>IF(C66="","",EOMONTH(D65,1))</f>
        <v>45412</v>
      </c>
      <c r="E66" s="250" t="str">
        <f>IF(C66="","",$M$11)</f>
        <v>360</v>
      </c>
      <c r="F66" s="14">
        <f>IF(C66="","",IF($M$12="Actual",D66-D65,30))</f>
        <v>30</v>
      </c>
      <c r="G66" s="24">
        <f>IF(B66="","",L65)</f>
        <v>23352711.749143783</v>
      </c>
      <c r="H66" s="24">
        <f>IF(B66="","",(C66&lt;=$I$10)*I66+(C66&gt;$I$10)*PMT($I$7/(E66/F66),$I$8+$I$10-C65,-G66))</f>
        <v>134313.03451829852</v>
      </c>
      <c r="I66" s="24">
        <f>IF(B66="","",G66*$I$7/E66*F66)</f>
        <v>97302.96562143242</v>
      </c>
      <c r="J66" s="24">
        <f>IF(B66="","",H66-I66)</f>
        <v>37010.068896866098</v>
      </c>
      <c r="K66" s="24">
        <f>IF(B66="","",(C66=$I$9)*(G66-J66))</f>
        <v>0</v>
      </c>
      <c r="L66" s="24">
        <f>IF(B66="","",G66-J66-K66)</f>
        <v>23315701.680246916</v>
      </c>
      <c r="M66" s="24">
        <f>IF(B66="","",I66+J66+K66)</f>
        <v>134313.03451829852</v>
      </c>
    </row>
    <row r="67" spans="2:13" x14ac:dyDescent="0.2">
      <c r="B67" s="22">
        <f>IF(C67="","",ROUNDUP(C67/12,0))</f>
        <v>5</v>
      </c>
      <c r="C67" s="21">
        <f>IF(OR(C66="",C66&gt;=$I$9),"",C66+1)</f>
        <v>52</v>
      </c>
      <c r="D67" s="251">
        <f>IF(C67="","",EOMONTH(D66,1))</f>
        <v>45443</v>
      </c>
      <c r="E67" s="250" t="str">
        <f>IF(C67="","",$M$11)</f>
        <v>360</v>
      </c>
      <c r="F67" s="14">
        <f>IF(C67="","",IF($M$12="Actual",D67-D66,30))</f>
        <v>31</v>
      </c>
      <c r="G67" s="24">
        <f>IF(B67="","",L66)</f>
        <v>23315701.680246916</v>
      </c>
      <c r="H67" s="24">
        <f>IF(B67="","",(C67&lt;=$I$10)*I67+(C67&gt;$I$10)*PMT($I$7/(E67/F67),$I$8+$I$10-C66,-G67))</f>
        <v>136603.91069300359</v>
      </c>
      <c r="I67" s="24">
        <f>IF(B67="","",G67*$I$7/E67*F67)</f>
        <v>100387.04890106311</v>
      </c>
      <c r="J67" s="24">
        <f>IF(B67="","",H67-I67)</f>
        <v>36216.861791940479</v>
      </c>
      <c r="K67" s="24">
        <f>IF(B67="","",(C67=$I$9)*(G67-J67))</f>
        <v>0</v>
      </c>
      <c r="L67" s="24">
        <f>IF(B67="","",G67-J67-K67)</f>
        <v>23279484.818454973</v>
      </c>
      <c r="M67" s="24">
        <f>IF(B67="","",I67+J67+K67)</f>
        <v>136603.91069300359</v>
      </c>
    </row>
    <row r="68" spans="2:13" x14ac:dyDescent="0.2">
      <c r="B68" s="22">
        <f>IF(C68="","",ROUNDUP(C68/12,0))</f>
        <v>5</v>
      </c>
      <c r="C68" s="21">
        <f>IF(OR(C67="",C67&gt;=$I$9),"",C67+1)</f>
        <v>53</v>
      </c>
      <c r="D68" s="251">
        <f>IF(C68="","",EOMONTH(D67,1))</f>
        <v>45473</v>
      </c>
      <c r="E68" s="250" t="str">
        <f>IF(C68="","",$M$11)</f>
        <v>360</v>
      </c>
      <c r="F68" s="14">
        <f>IF(C68="","",IF($M$12="Actual",D68-D67,30))</f>
        <v>30</v>
      </c>
      <c r="G68" s="24">
        <f>IF(B68="","",L67)</f>
        <v>23279484.818454973</v>
      </c>
      <c r="H68" s="24">
        <f>IF(B68="","",(C68&lt;=$I$10)*I68+(C68&gt;$I$10)*PMT($I$7/(E68/F68),$I$8+$I$10-C67,-G68))</f>
        <v>134318.50093909708</v>
      </c>
      <c r="I68" s="24">
        <f>IF(B68="","",G68*$I$7/E68*F68)</f>
        <v>96997.853410229072</v>
      </c>
      <c r="J68" s="24">
        <f>IF(B68="","",H68-I68)</f>
        <v>37320.647528868009</v>
      </c>
      <c r="K68" s="24">
        <f>IF(B68="","",(C68=$I$9)*(G68-J68))</f>
        <v>0</v>
      </c>
      <c r="L68" s="24">
        <f>IF(B68="","",G68-J68-K68)</f>
        <v>23242164.170926105</v>
      </c>
      <c r="M68" s="24">
        <f>IF(B68="","",I68+J68+K68)</f>
        <v>134318.50093909708</v>
      </c>
    </row>
    <row r="69" spans="2:13" x14ac:dyDescent="0.2">
      <c r="B69" s="22">
        <f>IF(C69="","",ROUNDUP(C69/12,0))</f>
        <v>5</v>
      </c>
      <c r="C69" s="21">
        <f>IF(OR(C68="",C68&gt;=$I$9),"",C68+1)</f>
        <v>54</v>
      </c>
      <c r="D69" s="251">
        <f>IF(C69="","",EOMONTH(D68,1))</f>
        <v>45504</v>
      </c>
      <c r="E69" s="250" t="str">
        <f>IF(C69="","",$M$11)</f>
        <v>360</v>
      </c>
      <c r="F69" s="14">
        <f>IF(C69="","",IF($M$12="Actual",D69-D68,30))</f>
        <v>31</v>
      </c>
      <c r="G69" s="24">
        <f>IF(B69="","",L68)</f>
        <v>23242164.170926105</v>
      </c>
      <c r="H69" s="24">
        <f>IF(B69="","",(C69&lt;=$I$10)*I69+(C69&gt;$I$10)*PMT($I$7/(E69/F69),$I$8+$I$10-C68,-G69))</f>
        <v>136598.33999776101</v>
      </c>
      <c r="I69" s="24">
        <f>IF(B69="","",G69*$I$7/E69*F69)</f>
        <v>100070.42906926518</v>
      </c>
      <c r="J69" s="24">
        <f>IF(B69="","",H69-I69)</f>
        <v>36527.910928495825</v>
      </c>
      <c r="K69" s="24">
        <f>IF(B69="","",(C69=$I$9)*(G69-J69))</f>
        <v>0</v>
      </c>
      <c r="L69" s="24">
        <f>IF(B69="","",G69-J69-K69)</f>
        <v>23205636.25999761</v>
      </c>
      <c r="M69" s="24">
        <f>IF(B69="","",I69+J69+K69)</f>
        <v>136598.33999776101</v>
      </c>
    </row>
    <row r="70" spans="2:13" x14ac:dyDescent="0.2">
      <c r="B70" s="22">
        <f>IF(C70="","",ROUNDUP(C70/12,0))</f>
        <v>5</v>
      </c>
      <c r="C70" s="21">
        <f>IF(OR(C69="",C69&gt;=$I$9),"",C69+1)</f>
        <v>55</v>
      </c>
      <c r="D70" s="251">
        <f>IF(C70="","",EOMONTH(D69,1))</f>
        <v>45535</v>
      </c>
      <c r="E70" s="250" t="str">
        <f>IF(C70="","",$M$11)</f>
        <v>360</v>
      </c>
      <c r="F70" s="14">
        <f>IF(C70="","",IF($M$12="Actual",D70-D69,30))</f>
        <v>31</v>
      </c>
      <c r="G70" s="24">
        <f>IF(B70="","",L69)</f>
        <v>23205636.25999761</v>
      </c>
      <c r="H70" s="24">
        <f>IF(B70="","",(C70&lt;=$I$10)*I70+(C70&gt;$I$10)*PMT($I$7/(E70/F70),$I$8+$I$10-C69,-G70))</f>
        <v>136598.33999776101</v>
      </c>
      <c r="I70" s="24">
        <f>IF(B70="","",G70*$I$7/E70*F70)</f>
        <v>99913.156119434163</v>
      </c>
      <c r="J70" s="24">
        <f>IF(B70="","",H70-I70)</f>
        <v>36685.183878326847</v>
      </c>
      <c r="K70" s="24">
        <f>IF(B70="","",(C70=$I$9)*(G70-J70))</f>
        <v>0</v>
      </c>
      <c r="L70" s="24">
        <f>IF(B70="","",G70-J70-K70)</f>
        <v>23168951.076119281</v>
      </c>
      <c r="M70" s="24">
        <f>IF(B70="","",I70+J70+K70)</f>
        <v>136598.33999776101</v>
      </c>
    </row>
    <row r="71" spans="2:13" x14ac:dyDescent="0.2">
      <c r="B71" s="22">
        <f>IF(C71="","",ROUNDUP(C71/12,0))</f>
        <v>5</v>
      </c>
      <c r="C71" s="21">
        <f>IF(OR(C70="",C70&gt;=$I$9),"",C70+1)</f>
        <v>56</v>
      </c>
      <c r="D71" s="251">
        <f>IF(C71="","",EOMONTH(D70,1))</f>
        <v>45565</v>
      </c>
      <c r="E71" s="250" t="str">
        <f>IF(C71="","",$M$11)</f>
        <v>360</v>
      </c>
      <c r="F71" s="14">
        <f>IF(C71="","",IF($M$12="Actual",D71-D70,30))</f>
        <v>30</v>
      </c>
      <c r="G71" s="24">
        <f>IF(B71="","",L70)</f>
        <v>23168951.076119281</v>
      </c>
      <c r="H71" s="24">
        <f>IF(B71="","",(C71&lt;=$I$10)*I71+(C71&gt;$I$10)*PMT($I$7/(E71/F71),$I$8+$I$10-C70,-G71))</f>
        <v>134329.48988030758</v>
      </c>
      <c r="I71" s="24">
        <f>IF(B71="","",G71*$I$7/E71*F71)</f>
        <v>96537.296150497015</v>
      </c>
      <c r="J71" s="24">
        <f>IF(B71="","",H71-I71)</f>
        <v>37792.193729810562</v>
      </c>
      <c r="K71" s="24">
        <f>IF(B71="","",(C71=$I$9)*(G71-J71))</f>
        <v>0</v>
      </c>
      <c r="L71" s="24">
        <f>IF(B71="","",G71-J71-K71)</f>
        <v>23131158.882389471</v>
      </c>
      <c r="M71" s="24">
        <f>IF(B71="","",I71+J71+K71)</f>
        <v>134329.48988030758</v>
      </c>
    </row>
    <row r="72" spans="2:13" x14ac:dyDescent="0.2">
      <c r="B72" s="22">
        <f>IF(C72="","",ROUNDUP(C72/12,0))</f>
        <v>5</v>
      </c>
      <c r="C72" s="21">
        <f>IF(OR(C71="",C71&gt;=$I$9),"",C71+1)</f>
        <v>57</v>
      </c>
      <c r="D72" s="251">
        <f>IF(C72="","",EOMONTH(D71,1))</f>
        <v>45596</v>
      </c>
      <c r="E72" s="250" t="str">
        <f>IF(C72="","",$M$11)</f>
        <v>360</v>
      </c>
      <c r="F72" s="14">
        <f>IF(C72="","",IF($M$12="Actual",D72-D71,30))</f>
        <v>31</v>
      </c>
      <c r="G72" s="24">
        <f>IF(B72="","",L71)</f>
        <v>23131158.882389471</v>
      </c>
      <c r="H72" s="24">
        <f>IF(B72="","",(C72&lt;=$I$10)*I72+(C72&gt;$I$10)*PMT($I$7/(E72/F72),$I$8+$I$10-C71,-G72))</f>
        <v>136592.73566687552</v>
      </c>
      <c r="I72" s="24">
        <f>IF(B72="","",G72*$I$7/E72*F72)</f>
        <v>99592.489632510231</v>
      </c>
      <c r="J72" s="24">
        <f>IF(B72="","",H72-I72)</f>
        <v>37000.246034365293</v>
      </c>
      <c r="K72" s="24">
        <f>IF(B72="","",(C72=$I$9)*(G72-J72))</f>
        <v>0</v>
      </c>
      <c r="L72" s="24">
        <f>IF(B72="","",G72-J72-K72)</f>
        <v>23094158.636355106</v>
      </c>
      <c r="M72" s="24">
        <f>IF(B72="","",I72+J72+K72)</f>
        <v>136592.73566687552</v>
      </c>
    </row>
    <row r="73" spans="2:13" x14ac:dyDescent="0.2">
      <c r="B73" s="22">
        <f>IF(C73="","",ROUNDUP(C73/12,0))</f>
        <v>5</v>
      </c>
      <c r="C73" s="21">
        <f>IF(OR(C72="",C72&gt;=$I$9),"",C72+1)</f>
        <v>58</v>
      </c>
      <c r="D73" s="251">
        <f>IF(C73="","",EOMONTH(D72,1))</f>
        <v>45626</v>
      </c>
      <c r="E73" s="250" t="str">
        <f>IF(C73="","",$M$11)</f>
        <v>360</v>
      </c>
      <c r="F73" s="14">
        <f>IF(C73="","",IF($M$12="Actual",D73-D72,30))</f>
        <v>30</v>
      </c>
      <c r="G73" s="24">
        <f>IF(B73="","",L72)</f>
        <v>23094158.636355106</v>
      </c>
      <c r="H73" s="24">
        <f>IF(B73="","",(C73&lt;=$I$10)*I73+(C73&gt;$I$10)*PMT($I$7/(E73/F73),$I$8+$I$10-C72,-G73))</f>
        <v>134335.01247589654</v>
      </c>
      <c r="I73" s="24">
        <f>IF(B73="","",G73*$I$7/E73*F73)</f>
        <v>96225.660984812945</v>
      </c>
      <c r="J73" s="24">
        <f>IF(B73="","",H73-I73)</f>
        <v>38109.351491083595</v>
      </c>
      <c r="K73" s="24">
        <f>IF(B73="","",(C73=$I$9)*(G73-J73))</f>
        <v>0</v>
      </c>
      <c r="L73" s="24">
        <f>IF(B73="","",G73-J73-K73)</f>
        <v>23056049.284864023</v>
      </c>
      <c r="M73" s="24">
        <f>IF(B73="","",I73+J73+K73)</f>
        <v>134335.01247589654</v>
      </c>
    </row>
    <row r="74" spans="2:13" x14ac:dyDescent="0.2">
      <c r="B74" s="22">
        <f>IF(C74="","",ROUNDUP(C74/12,0))</f>
        <v>5</v>
      </c>
      <c r="C74" s="21">
        <f>IF(OR(C73="",C73&gt;=$I$9),"",C73+1)</f>
        <v>59</v>
      </c>
      <c r="D74" s="251">
        <f>IF(C74="","",EOMONTH(D73,1))</f>
        <v>45657</v>
      </c>
      <c r="E74" s="250" t="str">
        <f>IF(C74="","",$M$11)</f>
        <v>360</v>
      </c>
      <c r="F74" s="14">
        <f>IF(C74="","",IF($M$12="Actual",D74-D73,30))</f>
        <v>31</v>
      </c>
      <c r="G74" s="24">
        <f>IF(B74="","",L73)</f>
        <v>23056049.284864023</v>
      </c>
      <c r="H74" s="24">
        <f>IF(B74="","",(C74&lt;=$I$10)*I74+(C74&gt;$I$10)*PMT($I$7/(E74/F74),$I$8+$I$10-C73,-G74))</f>
        <v>136587.10893194482</v>
      </c>
      <c r="I74" s="24">
        <f>IF(B74="","",G74*$I$7/E74*F74)</f>
        <v>99269.101087609</v>
      </c>
      <c r="J74" s="24">
        <f>IF(B74="","",H74-I74)</f>
        <v>37318.007844335822</v>
      </c>
      <c r="K74" s="24">
        <f>IF(B74="","",(C74=$I$9)*(G74-J74))</f>
        <v>0</v>
      </c>
      <c r="L74" s="24">
        <f>IF(B74="","",G74-J74-K74)</f>
        <v>23018731.277019687</v>
      </c>
      <c r="M74" s="24">
        <f>IF(B74="","",I74+J74+K74)</f>
        <v>136587.10893194482</v>
      </c>
    </row>
    <row r="75" spans="2:13" x14ac:dyDescent="0.2">
      <c r="B75" s="22">
        <f>IF(C75="","",ROUNDUP(C75/12,0))</f>
        <v>5</v>
      </c>
      <c r="C75" s="21">
        <f>IF(OR(C74="",C74&gt;=$I$9),"",C74+1)</f>
        <v>60</v>
      </c>
      <c r="D75" s="251">
        <f>IF(C75="","",EOMONTH(D74,1))</f>
        <v>45688</v>
      </c>
      <c r="E75" s="250" t="str">
        <f>IF(C75="","",$M$11)</f>
        <v>360</v>
      </c>
      <c r="F75" s="14">
        <f>IF(C75="","",IF($M$12="Actual",D75-D74,30))</f>
        <v>31</v>
      </c>
      <c r="G75" s="24">
        <f>IF(B75="","",L74)</f>
        <v>23018731.277019687</v>
      </c>
      <c r="H75" s="24">
        <f>IF(B75="","",(C75&lt;=$I$10)*I75+(C75&gt;$I$10)*PMT($I$7/(E75/F75),$I$8+$I$10-C74,-G75))</f>
        <v>136587.10893194482</v>
      </c>
      <c r="I75" s="24">
        <f>IF(B75="","",G75*$I$7/E75*F75)</f>
        <v>99108.426331612558</v>
      </c>
      <c r="J75" s="24">
        <f>IF(B75="","",H75-I75)</f>
        <v>37478.682600332264</v>
      </c>
      <c r="K75" s="24">
        <f>IF(B75="","",(C75=$I$9)*(G75-J75))</f>
        <v>0</v>
      </c>
      <c r="L75" s="24">
        <f>IF(B75="","",G75-J75-K75)</f>
        <v>22981252.594419356</v>
      </c>
      <c r="M75" s="24">
        <f>IF(B75="","",I75+J75+K75)</f>
        <v>136587.10893194482</v>
      </c>
    </row>
    <row r="76" spans="2:13" x14ac:dyDescent="0.2">
      <c r="B76" s="22">
        <f>IF(C76="","",ROUNDUP(C76/12,0))</f>
        <v>6</v>
      </c>
      <c r="C76" s="21">
        <f>IF(OR(C75="",C75&gt;=$I$9),"",C75+1)</f>
        <v>61</v>
      </c>
      <c r="D76" s="251">
        <f>IF(C76="","",EOMONTH(D75,1))</f>
        <v>45716</v>
      </c>
      <c r="E76" s="250" t="str">
        <f>IF(C76="","",$M$11)</f>
        <v>360</v>
      </c>
      <c r="F76" s="14">
        <f>IF(C76="","",IF($M$12="Actual",D76-D75,30))</f>
        <v>28</v>
      </c>
      <c r="G76" s="24">
        <f>IF(B76="","",L75)</f>
        <v>22981252.594419356</v>
      </c>
      <c r="H76" s="24">
        <f>IF(B76="","",(C76&lt;=$I$10)*I76+(C76&gt;$I$10)*PMT($I$7/(E76/F76),$I$8+$I$10-C75,-G76))</f>
        <v>129921.00264429527</v>
      </c>
      <c r="I76" s="24">
        <f>IF(B76="","",G76*$I$7/E76*F76)</f>
        <v>89371.537867186387</v>
      </c>
      <c r="J76" s="24">
        <f>IF(B76="","",H76-I76)</f>
        <v>40549.464777108878</v>
      </c>
      <c r="K76" s="24">
        <f>IF(B76="","",(C76=$I$9)*(G76-J76))</f>
        <v>0</v>
      </c>
      <c r="L76" s="24">
        <f>IF(B76="","",G76-J76-K76)</f>
        <v>22940703.129642248</v>
      </c>
      <c r="M76" s="24">
        <f>IF(B76="","",I76+J76+K76)</f>
        <v>129921.00264429527</v>
      </c>
    </row>
    <row r="77" spans="2:13" x14ac:dyDescent="0.2">
      <c r="B77" s="22">
        <f>IF(C77="","",ROUNDUP(C77/12,0))</f>
        <v>6</v>
      </c>
      <c r="C77" s="21">
        <f>IF(OR(C76="",C76&gt;=$I$9),"",C76+1)</f>
        <v>62</v>
      </c>
      <c r="D77" s="251">
        <f>IF(C77="","",EOMONTH(D76,1))</f>
        <v>45747</v>
      </c>
      <c r="E77" s="250" t="str">
        <f>IF(C77="","",$M$11)</f>
        <v>360</v>
      </c>
      <c r="F77" s="14">
        <f>IF(C77="","",IF($M$12="Actual",D77-D76,30))</f>
        <v>31</v>
      </c>
      <c r="G77" s="24">
        <f>IF(B77="","",L76)</f>
        <v>22940703.129642248</v>
      </c>
      <c r="H77" s="24">
        <f>IF(B77="","",(C77&lt;=$I$10)*I77+(C77&gt;$I$10)*PMT($I$7/(E77/F77),$I$8+$I$10-C76,-G77))</f>
        <v>136569.78870095036</v>
      </c>
      <c r="I77" s="24">
        <f>IF(B77="","",G77*$I$7/E77*F77)</f>
        <v>98772.471808181901</v>
      </c>
      <c r="J77" s="24">
        <f>IF(B77="","",H77-I77)</f>
        <v>37797.31689276846</v>
      </c>
      <c r="K77" s="24">
        <f>IF(B77="","",(C77=$I$9)*(G77-J77))</f>
        <v>0</v>
      </c>
      <c r="L77" s="24">
        <f>IF(B77="","",G77-J77-K77)</f>
        <v>22902905.812749479</v>
      </c>
      <c r="M77" s="24">
        <f>IF(B77="","",I77+J77+K77)</f>
        <v>136569.78870095036</v>
      </c>
    </row>
    <row r="78" spans="2:13" x14ac:dyDescent="0.2">
      <c r="B78" s="22">
        <f>IF(C78="","",ROUNDUP(C78/12,0))</f>
        <v>6</v>
      </c>
      <c r="C78" s="21">
        <f>IF(OR(C77="",C77&gt;=$I$9),"",C77+1)</f>
        <v>63</v>
      </c>
      <c r="D78" s="251">
        <f>IF(C78="","",EOMONTH(D77,1))</f>
        <v>45777</v>
      </c>
      <c r="E78" s="250" t="str">
        <f>IF(C78="","",$M$11)</f>
        <v>360</v>
      </c>
      <c r="F78" s="14">
        <f>IF(C78="","",IF($M$12="Actual",D78-D77,30))</f>
        <v>30</v>
      </c>
      <c r="G78" s="24">
        <f>IF(B78="","",L77)</f>
        <v>22902905.812749479</v>
      </c>
      <c r="H78" s="24">
        <f>IF(B78="","",(C78&lt;=$I$10)*I78+(C78&gt;$I$10)*PMT($I$7/(E78/F78),$I$8+$I$10-C77,-G78))</f>
        <v>134340.22382517549</v>
      </c>
      <c r="I78" s="24">
        <f>IF(B78="","",G78*$I$7/E78*F78)</f>
        <v>95428.774219789499</v>
      </c>
      <c r="J78" s="24">
        <f>IF(B78="","",H78-I78)</f>
        <v>38911.449605385991</v>
      </c>
      <c r="K78" s="24">
        <f>IF(B78="","",(C78=$I$9)*(G78-J78))</f>
        <v>0</v>
      </c>
      <c r="L78" s="24">
        <f>IF(B78="","",G78-J78-K78)</f>
        <v>22863994.363144092</v>
      </c>
      <c r="M78" s="24">
        <f>IF(B78="","",I78+J78+K78)</f>
        <v>134340.22382517549</v>
      </c>
    </row>
    <row r="79" spans="2:13" x14ac:dyDescent="0.2">
      <c r="B79" s="22">
        <f>IF(C79="","",ROUNDUP(C79/12,0))</f>
        <v>6</v>
      </c>
      <c r="C79" s="21">
        <f>IF(OR(C78="",C78&gt;=$I$9),"",C78+1)</f>
        <v>64</v>
      </c>
      <c r="D79" s="251">
        <f>IF(C79="","",EOMONTH(D78,1))</f>
        <v>45808</v>
      </c>
      <c r="E79" s="250" t="str">
        <f>IF(C79="","",$M$11)</f>
        <v>360</v>
      </c>
      <c r="F79" s="14">
        <f>IF(C79="","",IF($M$12="Actual",D79-D78,30))</f>
        <v>31</v>
      </c>
      <c r="G79" s="24">
        <f>IF(B79="","",L78)</f>
        <v>22863994.363144092</v>
      </c>
      <c r="H79" s="24">
        <f>IF(B79="","",(C79&lt;=$I$10)*I79+(C79&gt;$I$10)*PMT($I$7/(E79/F79),$I$8+$I$10-C78,-G79))</f>
        <v>136564.10612837379</v>
      </c>
      <c r="I79" s="24">
        <f>IF(B79="","",G79*$I$7/E79*F79)</f>
        <v>98442.197952425951</v>
      </c>
      <c r="J79" s="24">
        <f>IF(B79="","",H79-I79)</f>
        <v>38121.908175947843</v>
      </c>
      <c r="K79" s="24">
        <f>IF(B79="","",(C79=$I$9)*(G79-J79))</f>
        <v>0</v>
      </c>
      <c r="L79" s="24">
        <f>IF(B79="","",G79-J79-K79)</f>
        <v>22825872.454968143</v>
      </c>
      <c r="M79" s="24">
        <f>IF(B79="","",I79+J79+K79)</f>
        <v>136564.10612837379</v>
      </c>
    </row>
    <row r="80" spans="2:13" x14ac:dyDescent="0.2">
      <c r="B80" s="22">
        <f>IF(C80="","",ROUNDUP(C80/12,0))</f>
        <v>6</v>
      </c>
      <c r="C80" s="21">
        <f>IF(OR(C79="",C79&gt;=$I$9),"",C79+1)</f>
        <v>65</v>
      </c>
      <c r="D80" s="251">
        <f>IF(C80="","",EOMONTH(D79,1))</f>
        <v>45838</v>
      </c>
      <c r="E80" s="250" t="str">
        <f>IF(C80="","",$M$11)</f>
        <v>360</v>
      </c>
      <c r="F80" s="14">
        <f>IF(C80="","",IF($M$12="Actual",D80-D79,30))</f>
        <v>30</v>
      </c>
      <c r="G80" s="24">
        <f>IF(B80="","",L79)</f>
        <v>22825872.454968143</v>
      </c>
      <c r="H80" s="24">
        <f>IF(B80="","",(C80&lt;=$I$10)*I80+(C80&gt;$I$10)*PMT($I$7/(E80/F80),$I$8+$I$10-C79,-G80))</f>
        <v>134345.82506663317</v>
      </c>
      <c r="I80" s="24">
        <f>IF(B80="","",G80*$I$7/E80*F80)</f>
        <v>95107.801895700613</v>
      </c>
      <c r="J80" s="24">
        <f>IF(B80="","",H80-I80)</f>
        <v>39238.02317093256</v>
      </c>
      <c r="K80" s="24">
        <f>IF(B80="","",(C80=$I$9)*(G80-J80))</f>
        <v>0</v>
      </c>
      <c r="L80" s="24">
        <f>IF(B80="","",G80-J80-K80)</f>
        <v>22786634.43179721</v>
      </c>
      <c r="M80" s="24">
        <f>IF(B80="","",I80+J80+K80)</f>
        <v>134345.82506663317</v>
      </c>
    </row>
    <row r="81" spans="2:13" x14ac:dyDescent="0.2">
      <c r="B81" s="22">
        <f>IF(C81="","",ROUNDUP(C81/12,0))</f>
        <v>6</v>
      </c>
      <c r="C81" s="21">
        <f>IF(OR(C80="",C80&gt;=$I$9),"",C80+1)</f>
        <v>66</v>
      </c>
      <c r="D81" s="251">
        <f>IF(C81="","",EOMONTH(D80,1))</f>
        <v>45869</v>
      </c>
      <c r="E81" s="250" t="str">
        <f>IF(C81="","",$M$11)</f>
        <v>360</v>
      </c>
      <c r="F81" s="14">
        <f>IF(C81="","",IF($M$12="Actual",D81-D80,30))</f>
        <v>31</v>
      </c>
      <c r="G81" s="24">
        <f>IF(B81="","",L80)</f>
        <v>22786634.43179721</v>
      </c>
      <c r="H81" s="24">
        <f>IF(B81="","",(C81&lt;=$I$10)*I81+(C81&gt;$I$10)*PMT($I$7/(E81/F81),$I$8+$I$10-C80,-G81))</f>
        <v>136558.40099756079</v>
      </c>
      <c r="I81" s="24">
        <f>IF(B81="","",G81*$I$7/E81*F81)</f>
        <v>98109.120470237991</v>
      </c>
      <c r="J81" s="24">
        <f>IF(B81="","",H81-I81)</f>
        <v>38449.2805273228</v>
      </c>
      <c r="K81" s="24">
        <f>IF(B81="","",(C81=$I$9)*(G81-J81))</f>
        <v>0</v>
      </c>
      <c r="L81" s="24">
        <f>IF(B81="","",G81-J81-K81)</f>
        <v>22748185.151269887</v>
      </c>
      <c r="M81" s="24">
        <f>IF(B81="","",I81+J81+K81)</f>
        <v>136558.40099756079</v>
      </c>
    </row>
    <row r="82" spans="2:13" x14ac:dyDescent="0.2">
      <c r="B82" s="22">
        <f>IF(C82="","",ROUNDUP(C82/12,0))</f>
        <v>6</v>
      </c>
      <c r="C82" s="21">
        <f>IF(OR(C81="",C81&gt;=$I$9),"",C81+1)</f>
        <v>67</v>
      </c>
      <c r="D82" s="251">
        <f>IF(C82="","",EOMONTH(D81,1))</f>
        <v>45900</v>
      </c>
      <c r="E82" s="250" t="str">
        <f>IF(C82="","",$M$11)</f>
        <v>360</v>
      </c>
      <c r="F82" s="14">
        <f>IF(C82="","",IF($M$12="Actual",D82-D81,30))</f>
        <v>31</v>
      </c>
      <c r="G82" s="24">
        <f>IF(B82="","",L81)</f>
        <v>22748185.151269887</v>
      </c>
      <c r="H82" s="24">
        <f>IF(B82="","",(C82&lt;=$I$10)*I82+(C82&gt;$I$10)*PMT($I$7/(E82/F82),$I$8+$I$10-C81,-G82))</f>
        <v>136558.40099756079</v>
      </c>
      <c r="I82" s="24">
        <f>IF(B82="","",G82*$I$7/E82*F82)</f>
        <v>97943.57495685645</v>
      </c>
      <c r="J82" s="24">
        <f>IF(B82="","",H82-I82)</f>
        <v>38614.826040704342</v>
      </c>
      <c r="K82" s="24">
        <f>IF(B82="","",(C82=$I$9)*(G82-J82))</f>
        <v>0</v>
      </c>
      <c r="L82" s="24">
        <f>IF(B82="","",G82-J82-K82)</f>
        <v>22709570.325229183</v>
      </c>
      <c r="M82" s="24">
        <f>IF(B82="","",I82+J82+K82)</f>
        <v>136558.40099756079</v>
      </c>
    </row>
    <row r="83" spans="2:13" x14ac:dyDescent="0.2">
      <c r="B83" s="22">
        <f>IF(C83="","",ROUNDUP(C83/12,0))</f>
        <v>6</v>
      </c>
      <c r="C83" s="21">
        <f>IF(OR(C82="",C82&gt;=$I$9),"",C82+1)</f>
        <v>68</v>
      </c>
      <c r="D83" s="251">
        <f>IF(C83="","",EOMONTH(D82,1))</f>
        <v>45930</v>
      </c>
      <c r="E83" s="250" t="str">
        <f>IF(C83="","",$M$11)</f>
        <v>360</v>
      </c>
      <c r="F83" s="14">
        <f>IF(C83="","",IF($M$12="Actual",D83-D82,30))</f>
        <v>30</v>
      </c>
      <c r="G83" s="24">
        <f>IF(B83="","",L82)</f>
        <v>22709570.325229183</v>
      </c>
      <c r="H83" s="24">
        <f>IF(B83="","",(C83&lt;=$I$10)*I83+(C83&gt;$I$10)*PMT($I$7/(E83/F83),$I$8+$I$10-C82,-G83))</f>
        <v>134357.08439315169</v>
      </c>
      <c r="I83" s="24">
        <f>IF(B83="","",G83*$I$7/E83*F83)</f>
        <v>94623.209688454925</v>
      </c>
      <c r="J83" s="24">
        <f>IF(B83="","",H83-I83)</f>
        <v>39733.874704696762</v>
      </c>
      <c r="K83" s="24">
        <f>IF(B83="","",(C83=$I$9)*(G83-J83))</f>
        <v>0</v>
      </c>
      <c r="L83" s="24">
        <f>IF(B83="","",G83-J83-K83)</f>
        <v>22669836.450524487</v>
      </c>
      <c r="M83" s="24">
        <f>IF(B83="","",I83+J83+K83)</f>
        <v>134357.08439315169</v>
      </c>
    </row>
    <row r="84" spans="2:13" x14ac:dyDescent="0.2">
      <c r="B84" s="22">
        <f>IF(C84="","",ROUNDUP(C84/12,0))</f>
        <v>6</v>
      </c>
      <c r="C84" s="21">
        <f>IF(OR(C83="",C83&gt;=$I$9),"",C83+1)</f>
        <v>69</v>
      </c>
      <c r="D84" s="251">
        <f>IF(C84="","",EOMONTH(D83,1))</f>
        <v>45961</v>
      </c>
      <c r="E84" s="250" t="str">
        <f>IF(C84="","",$M$11)</f>
        <v>360</v>
      </c>
      <c r="F84" s="14">
        <f>IF(C84="","",IF($M$12="Actual",D84-D83,30))</f>
        <v>31</v>
      </c>
      <c r="G84" s="24">
        <f>IF(B84="","",L83)</f>
        <v>22669836.450524487</v>
      </c>
      <c r="H84" s="24">
        <f>IF(B84="","",(C84&lt;=$I$10)*I84+(C84&gt;$I$10)*PMT($I$7/(E84/F84),$I$8+$I$10-C83,-G84))</f>
        <v>136552.66182676671</v>
      </c>
      <c r="I84" s="24">
        <f>IF(B84="","",G84*$I$7/E84*F84)</f>
        <v>97606.240273091549</v>
      </c>
      <c r="J84" s="24">
        <f>IF(B84="","",H84-I84)</f>
        <v>38946.421553675158</v>
      </c>
      <c r="K84" s="24">
        <f>IF(B84="","",(C84=$I$9)*(G84-J84))</f>
        <v>0</v>
      </c>
      <c r="L84" s="24">
        <f>IF(B84="","",G84-J84-K84)</f>
        <v>22630890.028970812</v>
      </c>
      <c r="M84" s="24">
        <f>IF(B84="","",I84+J84+K84)</f>
        <v>136552.66182676671</v>
      </c>
    </row>
    <row r="85" spans="2:13" x14ac:dyDescent="0.2">
      <c r="B85" s="22">
        <f>IF(C85="","",ROUNDUP(C85/12,0))</f>
        <v>6</v>
      </c>
      <c r="C85" s="21">
        <f>IF(OR(C84="",C84&gt;=$I$9),"",C84+1)</f>
        <v>70</v>
      </c>
      <c r="D85" s="251">
        <f>IF(C85="","",EOMONTH(D84,1))</f>
        <v>45991</v>
      </c>
      <c r="E85" s="250" t="str">
        <f>IF(C85="","",$M$11)</f>
        <v>360</v>
      </c>
      <c r="F85" s="14">
        <f>IF(C85="","",IF($M$12="Actual",D85-D84,30))</f>
        <v>30</v>
      </c>
      <c r="G85" s="24">
        <f>IF(B85="","",L84)</f>
        <v>22630890.028970812</v>
      </c>
      <c r="H85" s="24">
        <f>IF(B85="","",(C85&lt;=$I$10)*I85+(C85&gt;$I$10)*PMT($I$7/(E85/F85),$I$8+$I$10-C84,-G85))</f>
        <v>134362.74255181939</v>
      </c>
      <c r="I85" s="24">
        <f>IF(B85="","",G85*$I$7/E85*F85)</f>
        <v>94295.375120711731</v>
      </c>
      <c r="J85" s="24">
        <f>IF(B85="","",H85-I85)</f>
        <v>40067.367431107661</v>
      </c>
      <c r="K85" s="24">
        <f>IF(B85="","",(C85=$I$9)*(G85-J85))</f>
        <v>0</v>
      </c>
      <c r="L85" s="24">
        <f>IF(B85="","",G85-J85-K85)</f>
        <v>22590822.661539704</v>
      </c>
      <c r="M85" s="24">
        <f>IF(B85="","",I85+J85+K85)</f>
        <v>134362.74255181939</v>
      </c>
    </row>
    <row r="86" spans="2:13" x14ac:dyDescent="0.2">
      <c r="B86" s="22">
        <f>IF(C86="","",ROUNDUP(C86/12,0))</f>
        <v>6</v>
      </c>
      <c r="C86" s="21">
        <f>IF(OR(C85="",C85&gt;=$I$9),"",C85+1)</f>
        <v>71</v>
      </c>
      <c r="D86" s="251">
        <f>IF(C86="","",EOMONTH(D85,1))</f>
        <v>46022</v>
      </c>
      <c r="E86" s="250" t="str">
        <f>IF(C86="","",$M$11)</f>
        <v>360</v>
      </c>
      <c r="F86" s="14">
        <f>IF(C86="","",IF($M$12="Actual",D86-D85,30))</f>
        <v>31</v>
      </c>
      <c r="G86" s="24">
        <f>IF(B86="","",L85)</f>
        <v>22590822.661539704</v>
      </c>
      <c r="H86" s="24">
        <f>IF(B86="","",(C86&lt;=$I$10)*I86+(C86&gt;$I$10)*PMT($I$7/(E86/F86),$I$8+$I$10-C85,-G86))</f>
        <v>136546.89998774047</v>
      </c>
      <c r="I86" s="24">
        <f>IF(B86="","",G86*$I$7/E86*F86)</f>
        <v>97266.042014962601</v>
      </c>
      <c r="J86" s="24">
        <f>IF(B86="","",H86-I86)</f>
        <v>39280.857972777871</v>
      </c>
      <c r="K86" s="24">
        <f>IF(B86="","",(C86=$I$9)*(G86-J86))</f>
        <v>0</v>
      </c>
      <c r="L86" s="24">
        <f>IF(B86="","",G86-J86-K86)</f>
        <v>22551541.803566925</v>
      </c>
      <c r="M86" s="24">
        <f>IF(B86="","",I86+J86+K86)</f>
        <v>136546.89998774047</v>
      </c>
    </row>
    <row r="87" spans="2:13" x14ac:dyDescent="0.2">
      <c r="B87" s="22">
        <f>IF(C87="","",ROUNDUP(C87/12,0))</f>
        <v>6</v>
      </c>
      <c r="C87" s="21">
        <f>IF(OR(C86="",C86&gt;=$I$9),"",C86+1)</f>
        <v>72</v>
      </c>
      <c r="D87" s="251">
        <f>IF(C87="","",EOMONTH(D86,1))</f>
        <v>46053</v>
      </c>
      <c r="E87" s="250" t="str">
        <f>IF(C87="","",$M$11)</f>
        <v>360</v>
      </c>
      <c r="F87" s="14">
        <f>IF(C87="","",IF($M$12="Actual",D87-D86,30))</f>
        <v>31</v>
      </c>
      <c r="G87" s="24">
        <f>IF(B87="","",L86)</f>
        <v>22551541.803566925</v>
      </c>
      <c r="H87" s="24">
        <f>IF(B87="","",(C87&lt;=$I$10)*I87+(C87&gt;$I$10)*PMT($I$7/(E87/F87),$I$8+$I$10-C86,-G87))</f>
        <v>136546.89998774047</v>
      </c>
      <c r="I87" s="24">
        <f>IF(B87="","",G87*$I$7/E87*F87)</f>
        <v>97096.916098690926</v>
      </c>
      <c r="J87" s="24">
        <f>IF(B87="","",H87-I87)</f>
        <v>39449.983889049545</v>
      </c>
      <c r="K87" s="24">
        <f>IF(B87="","",(C87=$I$9)*(G87-J87))</f>
        <v>0</v>
      </c>
      <c r="L87" s="24">
        <f>IF(B87="","",G87-J87-K87)</f>
        <v>22512091.819677874</v>
      </c>
      <c r="M87" s="24">
        <f>IF(B87="","",I87+J87+K87)</f>
        <v>136546.89998774047</v>
      </c>
    </row>
    <row r="88" spans="2:13" x14ac:dyDescent="0.2">
      <c r="B88" s="22">
        <f>IF(C88="","",ROUNDUP(C88/12,0))</f>
        <v>7</v>
      </c>
      <c r="C88" s="21">
        <f>IF(OR(C87="",C87&gt;=$I$9),"",C87+1)</f>
        <v>73</v>
      </c>
      <c r="D88" s="251">
        <f>IF(C88="","",EOMONTH(D87,1))</f>
        <v>46081</v>
      </c>
      <c r="E88" s="250" t="str">
        <f>IF(C88="","",$M$11)</f>
        <v>360</v>
      </c>
      <c r="F88" s="14">
        <f>IF(C88="","",IF($M$12="Actual",D88-D87,30))</f>
        <v>28</v>
      </c>
      <c r="G88" s="24">
        <f>IF(B88="","",L87)</f>
        <v>22512091.819677874</v>
      </c>
      <c r="H88" s="24">
        <f>IF(B88="","",(C88&lt;=$I$10)*I88+(C88&gt;$I$10)*PMT($I$7/(E88/F88),$I$8+$I$10-C87,-G88))</f>
        <v>130082.66113151578</v>
      </c>
      <c r="I88" s="24">
        <f>IF(B88="","",G88*$I$7/E88*F88)</f>
        <v>87547.023743191734</v>
      </c>
      <c r="J88" s="24">
        <f>IF(B88="","",H88-I88)</f>
        <v>42535.637388324045</v>
      </c>
      <c r="K88" s="24">
        <f>IF(B88="","",(C88=$I$9)*(G88-J88))</f>
        <v>0</v>
      </c>
      <c r="L88" s="24">
        <f>IF(B88="","",G88-J88-K88)</f>
        <v>22469556.182289552</v>
      </c>
      <c r="M88" s="24">
        <f>IF(B88="","",I88+J88+K88)</f>
        <v>130082.66113151578</v>
      </c>
    </row>
    <row r="89" spans="2:13" x14ac:dyDescent="0.2">
      <c r="B89" s="22">
        <f>IF(C89="","",ROUNDUP(C89/12,0))</f>
        <v>7</v>
      </c>
      <c r="C89" s="21">
        <f>IF(OR(C88="",C88&gt;=$I$9),"",C88+1)</f>
        <v>74</v>
      </c>
      <c r="D89" s="251">
        <f>IF(C89="","",EOMONTH(D88,1))</f>
        <v>46112</v>
      </c>
      <c r="E89" s="250" t="str">
        <f>IF(C89="","",$M$11)</f>
        <v>360</v>
      </c>
      <c r="F89" s="14">
        <f>IF(C89="","",IF($M$12="Actual",D89-D88,30))</f>
        <v>31</v>
      </c>
      <c r="G89" s="24">
        <f>IF(B89="","",L88)</f>
        <v>22469556.182289552</v>
      </c>
      <c r="H89" s="24">
        <f>IF(B89="","",(C89&lt;=$I$10)*I89+(C89&gt;$I$10)*PMT($I$7/(E89/F89),$I$8+$I$10-C88,-G89))</f>
        <v>136529.18305078533</v>
      </c>
      <c r="I89" s="24">
        <f>IF(B89="","",G89*$I$7/E89*F89)</f>
        <v>96743.922451524457</v>
      </c>
      <c r="J89" s="24">
        <f>IF(B89="","",H89-I89)</f>
        <v>39785.260599260873</v>
      </c>
      <c r="K89" s="24">
        <f>IF(B89="","",(C89=$I$9)*(G89-J89))</f>
        <v>0</v>
      </c>
      <c r="L89" s="24">
        <f>IF(B89="","",G89-J89-K89)</f>
        <v>22429770.921690293</v>
      </c>
      <c r="M89" s="24">
        <f>IF(B89="","",I89+J89+K89)</f>
        <v>136529.18305078533</v>
      </c>
    </row>
    <row r="90" spans="2:13" x14ac:dyDescent="0.2">
      <c r="B90" s="22">
        <f>IF(C90="","",ROUNDUP(C90/12,0))</f>
        <v>7</v>
      </c>
      <c r="C90" s="21">
        <f>IF(OR(C89="",C89&gt;=$I$9),"",C89+1)</f>
        <v>75</v>
      </c>
      <c r="D90" s="251">
        <f>IF(C90="","",EOMONTH(D89,1))</f>
        <v>46142</v>
      </c>
      <c r="E90" s="250" t="str">
        <f>IF(C90="","",$M$11)</f>
        <v>360</v>
      </c>
      <c r="F90" s="14">
        <f>IF(C90="","",IF($M$12="Actual",D90-D89,30))</f>
        <v>30</v>
      </c>
      <c r="G90" s="24">
        <f>IF(B90="","",L89)</f>
        <v>22429770.921690293</v>
      </c>
      <c r="H90" s="24">
        <f>IF(B90="","",(C90&lt;=$I$10)*I90+(C90&gt;$I$10)*PMT($I$7/(E90/F90),$I$8+$I$10-C89,-G90))</f>
        <v>134368.0992040541</v>
      </c>
      <c r="I90" s="24">
        <f>IF(B90="","",G90*$I$7/E90*F90)</f>
        <v>93457.378840376216</v>
      </c>
      <c r="J90" s="24">
        <f>IF(B90="","",H90-I90)</f>
        <v>40910.720363677887</v>
      </c>
      <c r="K90" s="24">
        <f>IF(B90="","",(C90=$I$9)*(G90-J90))</f>
        <v>0</v>
      </c>
      <c r="L90" s="24">
        <f>IF(B90="","",G90-J90-K90)</f>
        <v>22388860.201326616</v>
      </c>
      <c r="M90" s="24">
        <f>IF(B90="","",I90+J90+K90)</f>
        <v>134368.0992040541</v>
      </c>
    </row>
    <row r="91" spans="2:13" x14ac:dyDescent="0.2">
      <c r="B91" s="22">
        <f>IF(C91="","",ROUNDUP(C91/12,0))</f>
        <v>7</v>
      </c>
      <c r="C91" s="21">
        <f>IF(OR(C90="",C90&gt;=$I$9),"",C90+1)</f>
        <v>76</v>
      </c>
      <c r="D91" s="251">
        <f>IF(C91="","",EOMONTH(D90,1))</f>
        <v>46173</v>
      </c>
      <c r="E91" s="250" t="str">
        <f>IF(C91="","",$M$11)</f>
        <v>360</v>
      </c>
      <c r="F91" s="14">
        <f>IF(C91="","",IF($M$12="Actual",D91-D90,30))</f>
        <v>31</v>
      </c>
      <c r="G91" s="24">
        <f>IF(B91="","",L90)</f>
        <v>22388860.201326616</v>
      </c>
      <c r="H91" s="24">
        <f>IF(B91="","",(C91&lt;=$I$10)*I91+(C91&gt;$I$10)*PMT($I$7/(E91/F91),$I$8+$I$10-C90,-G91))</f>
        <v>136523.36473662287</v>
      </c>
      <c r="I91" s="24">
        <f>IF(B91="","",G91*$I$7/E91*F91)</f>
        <v>96396.481422378492</v>
      </c>
      <c r="J91" s="24">
        <f>IF(B91="","",H91-I91)</f>
        <v>40126.883314244376</v>
      </c>
      <c r="K91" s="24">
        <f>IF(B91="","",(C91=$I$9)*(G91-J91))</f>
        <v>0</v>
      </c>
      <c r="L91" s="24">
        <f>IF(B91="","",G91-J91-K91)</f>
        <v>22348733.318012372</v>
      </c>
      <c r="M91" s="24">
        <f>IF(B91="","",I91+J91+K91)</f>
        <v>136523.36473662287</v>
      </c>
    </row>
    <row r="92" spans="2:13" x14ac:dyDescent="0.2">
      <c r="B92" s="22">
        <f>IF(C92="","",ROUNDUP(C92/12,0))</f>
        <v>7</v>
      </c>
      <c r="C92" s="21">
        <f>IF(OR(C91="",C91&gt;=$I$9),"",C91+1)</f>
        <v>77</v>
      </c>
      <c r="D92" s="251">
        <f>IF(C92="","",EOMONTH(D91,1))</f>
        <v>46203</v>
      </c>
      <c r="E92" s="250" t="str">
        <f>IF(C92="","",$M$11)</f>
        <v>360</v>
      </c>
      <c r="F92" s="14">
        <f>IF(C92="","",IF($M$12="Actual",D92-D91,30))</f>
        <v>30</v>
      </c>
      <c r="G92" s="24">
        <f>IF(B92="","",L91)</f>
        <v>22348733.318012372</v>
      </c>
      <c r="H92" s="24">
        <f>IF(B92="","",(C92&lt;=$I$10)*I92+(C92&gt;$I$10)*PMT($I$7/(E92/F92),$I$8+$I$10-C91,-G92))</f>
        <v>134373.83701181822</v>
      </c>
      <c r="I92" s="24">
        <f>IF(B92="","",G92*$I$7/E92*F92)</f>
        <v>93119.722158384873</v>
      </c>
      <c r="J92" s="24">
        <f>IF(B92="","",H92-I92)</f>
        <v>41254.114853433348</v>
      </c>
      <c r="K92" s="24">
        <f>IF(B92="","",(C92=$I$9)*(G92-J92))</f>
        <v>0</v>
      </c>
      <c r="L92" s="24">
        <f>IF(B92="","",G92-J92-K92)</f>
        <v>22307479.203158937</v>
      </c>
      <c r="M92" s="24">
        <f>IF(B92="","",I92+J92+K92)</f>
        <v>134373.83701181822</v>
      </c>
    </row>
    <row r="93" spans="2:13" x14ac:dyDescent="0.2">
      <c r="B93" s="22">
        <f>IF(C93="","",ROUNDUP(C93/12,0))</f>
        <v>7</v>
      </c>
      <c r="C93" s="21">
        <f>IF(OR(C92="",C92&gt;=$I$9),"",C92+1)</f>
        <v>78</v>
      </c>
      <c r="D93" s="251">
        <f>IF(C93="","",EOMONTH(D92,1))</f>
        <v>46234</v>
      </c>
      <c r="E93" s="250" t="str">
        <f>IF(C93="","",$M$11)</f>
        <v>360</v>
      </c>
      <c r="F93" s="14">
        <f>IF(C93="","",IF($M$12="Actual",D93-D92,30))</f>
        <v>31</v>
      </c>
      <c r="G93" s="24">
        <f>IF(B93="","",L92)</f>
        <v>22307479.203158937</v>
      </c>
      <c r="H93" s="24">
        <f>IF(B93="","",(C93&lt;=$I$10)*I93+(C93&gt;$I$10)*PMT($I$7/(E93/F93),$I$8+$I$10-C92,-G93))</f>
        <v>136517.52360478404</v>
      </c>
      <c r="I93" s="24">
        <f>IF(B93="","",G93*$I$7/E93*F93)</f>
        <v>96046.091013600992</v>
      </c>
      <c r="J93" s="24">
        <f>IF(B93="","",H93-I93)</f>
        <v>40471.432591183053</v>
      </c>
      <c r="K93" s="24">
        <f>IF(B93="","",(C93=$I$9)*(G93-J93))</f>
        <v>0</v>
      </c>
      <c r="L93" s="24">
        <f>IF(B93="","",G93-J93-K93)</f>
        <v>22267007.770567756</v>
      </c>
      <c r="M93" s="24">
        <f>IF(B93="","",I93+J93+K93)</f>
        <v>136517.52360478404</v>
      </c>
    </row>
    <row r="94" spans="2:13" x14ac:dyDescent="0.2">
      <c r="B94" s="22">
        <f>IF(C94="","",ROUNDUP(C94/12,0))</f>
        <v>7</v>
      </c>
      <c r="C94" s="21">
        <f>IF(OR(C93="",C93&gt;=$I$9),"",C93+1)</f>
        <v>79</v>
      </c>
      <c r="D94" s="251">
        <f>IF(C94="","",EOMONTH(D93,1))</f>
        <v>46265</v>
      </c>
      <c r="E94" s="250" t="str">
        <f>IF(C94="","",$M$11)</f>
        <v>360</v>
      </c>
      <c r="F94" s="14">
        <f>IF(C94="","",IF($M$12="Actual",D94-D93,30))</f>
        <v>31</v>
      </c>
      <c r="G94" s="24">
        <f>IF(B94="","",L93)</f>
        <v>22267007.770567756</v>
      </c>
      <c r="H94" s="24">
        <f>IF(B94="","",(C94&lt;=$I$10)*I94+(C94&gt;$I$10)*PMT($I$7/(E94/F94),$I$8+$I$10-C93,-G94))</f>
        <v>136517.52360478404</v>
      </c>
      <c r="I94" s="24">
        <f>IF(B94="","",G94*$I$7/E94*F94)</f>
        <v>95871.839012166733</v>
      </c>
      <c r="J94" s="24">
        <f>IF(B94="","",H94-I94)</f>
        <v>40645.684592617312</v>
      </c>
      <c r="K94" s="24">
        <f>IF(B94="","",(C94=$I$9)*(G94-J94))</f>
        <v>0</v>
      </c>
      <c r="L94" s="24">
        <f>IF(B94="","",G94-J94-K94)</f>
        <v>22226362.08597514</v>
      </c>
      <c r="M94" s="24">
        <f>IF(B94="","",I94+J94+K94)</f>
        <v>136517.52360478404</v>
      </c>
    </row>
    <row r="95" spans="2:13" x14ac:dyDescent="0.2">
      <c r="B95" s="22">
        <f>IF(C95="","",ROUNDUP(C95/12,0))</f>
        <v>7</v>
      </c>
      <c r="C95" s="21">
        <f>IF(OR(C94="",C94&gt;=$I$9),"",C94+1)</f>
        <v>80</v>
      </c>
      <c r="D95" s="251">
        <f>IF(C95="","",EOMONTH(D94,1))</f>
        <v>46295</v>
      </c>
      <c r="E95" s="250" t="str">
        <f>IF(C95="","",$M$11)</f>
        <v>360</v>
      </c>
      <c r="F95" s="14">
        <f>IF(C95="","",IF($M$12="Actual",D95-D94,30))</f>
        <v>30</v>
      </c>
      <c r="G95" s="24">
        <f>IF(B95="","",L94)</f>
        <v>22226362.08597514</v>
      </c>
      <c r="H95" s="24">
        <f>IF(B95="","",(C95&lt;=$I$10)*I95+(C95&gt;$I$10)*PMT($I$7/(E95/F95),$I$8+$I$10-C94,-G95))</f>
        <v>134385.37019877174</v>
      </c>
      <c r="I95" s="24">
        <f>IF(B95="","",G95*$I$7/E95*F95)</f>
        <v>92609.842024896425</v>
      </c>
      <c r="J95" s="24">
        <f>IF(B95="","",H95-I95)</f>
        <v>41775.528173875311</v>
      </c>
      <c r="K95" s="24">
        <f>IF(B95="","",(C95=$I$9)*(G95-J95))</f>
        <v>0</v>
      </c>
      <c r="L95" s="24">
        <f>IF(B95="","",G95-J95-K95)</f>
        <v>22184586.557801265</v>
      </c>
      <c r="M95" s="24">
        <f>IF(B95="","",I95+J95+K95)</f>
        <v>134385.37019877174</v>
      </c>
    </row>
    <row r="96" spans="2:13" x14ac:dyDescent="0.2">
      <c r="B96" s="22">
        <f>IF(C96="","",ROUNDUP(C96/12,0))</f>
        <v>7</v>
      </c>
      <c r="C96" s="21">
        <f>IF(OR(C95="",C95&gt;=$I$9),"",C95+1)</f>
        <v>81</v>
      </c>
      <c r="D96" s="251">
        <f>IF(C96="","",EOMONTH(D95,1))</f>
        <v>46326</v>
      </c>
      <c r="E96" s="250" t="str">
        <f>IF(C96="","",$M$11)</f>
        <v>360</v>
      </c>
      <c r="F96" s="14">
        <f>IF(C96="","",IF($M$12="Actual",D96-D95,30))</f>
        <v>31</v>
      </c>
      <c r="G96" s="24">
        <f>IF(B96="","",L95)</f>
        <v>22184586.557801265</v>
      </c>
      <c r="H96" s="24">
        <f>IF(B96="","",(C96&lt;=$I$10)*I96+(C96&gt;$I$10)*PMT($I$7/(E96/F96),$I$8+$I$10-C95,-G96))</f>
        <v>136511.64804055015</v>
      </c>
      <c r="I96" s="24">
        <f>IF(B96="","",G96*$I$7/E96*F96)</f>
        <v>95516.969901644348</v>
      </c>
      <c r="J96" s="24">
        <f>IF(B96="","",H96-I96)</f>
        <v>40994.678138905801</v>
      </c>
      <c r="K96" s="24">
        <f>IF(B96="","",(C96=$I$9)*(G96-J96))</f>
        <v>0</v>
      </c>
      <c r="L96" s="24">
        <f>IF(B96="","",G96-J96-K96)</f>
        <v>22143591.879662361</v>
      </c>
      <c r="M96" s="24">
        <f>IF(B96="","",I96+J96+K96)</f>
        <v>136511.64804055015</v>
      </c>
    </row>
    <row r="97" spans="2:13" x14ac:dyDescent="0.2">
      <c r="B97" s="22">
        <f>IF(C97="","",ROUNDUP(C97/12,0))</f>
        <v>7</v>
      </c>
      <c r="C97" s="21">
        <f>IF(OR(C96="",C96&gt;=$I$9),"",C96+1)</f>
        <v>82</v>
      </c>
      <c r="D97" s="251">
        <f>IF(C97="","",EOMONTH(D96,1))</f>
        <v>46356</v>
      </c>
      <c r="E97" s="250" t="str">
        <f>IF(C97="","",$M$11)</f>
        <v>360</v>
      </c>
      <c r="F97" s="14">
        <f>IF(C97="","",IF($M$12="Actual",D97-D96,30))</f>
        <v>30</v>
      </c>
      <c r="G97" s="24">
        <f>IF(B97="","",L96)</f>
        <v>22143591.879662361</v>
      </c>
      <c r="H97" s="24">
        <f>IF(B97="","",(C97&lt;=$I$10)*I97+(C97&gt;$I$10)*PMT($I$7/(E97/F97),$I$8+$I$10-C96,-G97))</f>
        <v>134391.16564989474</v>
      </c>
      <c r="I97" s="24">
        <f>IF(B97="","",G97*$I$7/E97*F97)</f>
        <v>92264.966165259859</v>
      </c>
      <c r="J97" s="24">
        <f>IF(B97="","",H97-I97)</f>
        <v>42126.199484634883</v>
      </c>
      <c r="K97" s="24">
        <f>IF(B97="","",(C97=$I$9)*(G97-J97))</f>
        <v>0</v>
      </c>
      <c r="L97" s="24">
        <f>IF(B97="","",G97-J97-K97)</f>
        <v>22101465.680177726</v>
      </c>
      <c r="M97" s="24">
        <f>IF(B97="","",I97+J97+K97)</f>
        <v>134391.16564989474</v>
      </c>
    </row>
    <row r="98" spans="2:13" x14ac:dyDescent="0.2">
      <c r="B98" s="22">
        <f>IF(C98="","",ROUNDUP(C98/12,0))</f>
        <v>7</v>
      </c>
      <c r="C98" s="21">
        <f>IF(OR(C97="",C97&gt;=$I$9),"",C97+1)</f>
        <v>83</v>
      </c>
      <c r="D98" s="251">
        <f>IF(C98="","",EOMONTH(D97,1))</f>
        <v>46387</v>
      </c>
      <c r="E98" s="250" t="str">
        <f>IF(C98="","",$M$11)</f>
        <v>360</v>
      </c>
      <c r="F98" s="14">
        <f>IF(C98="","",IF($M$12="Actual",D98-D97,30))</f>
        <v>31</v>
      </c>
      <c r="G98" s="24">
        <f>IF(B98="","",L97)</f>
        <v>22101465.680177726</v>
      </c>
      <c r="H98" s="24">
        <f>IF(B98="","",(C98&lt;=$I$10)*I98+(C98&gt;$I$10)*PMT($I$7/(E98/F98),$I$8+$I$10-C97,-G98))</f>
        <v>136505.7495520729</v>
      </c>
      <c r="I98" s="24">
        <f>IF(B98="","",G98*$I$7/E98*F98)</f>
        <v>95159.08834520966</v>
      </c>
      <c r="J98" s="24">
        <f>IF(B98="","",H98-I98)</f>
        <v>41346.661206863238</v>
      </c>
      <c r="K98" s="24">
        <f>IF(B98="","",(C98=$I$9)*(G98-J98))</f>
        <v>0</v>
      </c>
      <c r="L98" s="24">
        <f>IF(B98="","",G98-J98-K98)</f>
        <v>22060119.018970862</v>
      </c>
      <c r="M98" s="24">
        <f>IF(B98="","",I98+J98+K98)</f>
        <v>136505.7495520729</v>
      </c>
    </row>
    <row r="99" spans="2:13" x14ac:dyDescent="0.2">
      <c r="B99" s="22">
        <f>IF(C99="","",ROUNDUP(C99/12,0))</f>
        <v>7</v>
      </c>
      <c r="C99" s="21">
        <f>IF(OR(C98="",C98&gt;=$I$9),"",C98+1)</f>
        <v>84</v>
      </c>
      <c r="D99" s="251">
        <f>IF(C99="","",EOMONTH(D98,1))</f>
        <v>46418</v>
      </c>
      <c r="E99" s="250" t="str">
        <f>IF(C99="","",$M$11)</f>
        <v>360</v>
      </c>
      <c r="F99" s="14">
        <f>IF(C99="","",IF($M$12="Actual",D99-D98,30))</f>
        <v>31</v>
      </c>
      <c r="G99" s="24">
        <f>IF(B99="","",L98)</f>
        <v>22060119.018970862</v>
      </c>
      <c r="H99" s="24">
        <f>IF(B99="","",(C99&lt;=$I$10)*I99+(C99&gt;$I$10)*PMT($I$7/(E99/F99),$I$8+$I$10-C98,-G99))</f>
        <v>136505.7495520729</v>
      </c>
      <c r="I99" s="24">
        <f>IF(B99="","",G99*$I$7/E99*F99)</f>
        <v>94981.067998346771</v>
      </c>
      <c r="J99" s="24">
        <f>IF(B99="","",H99-I99)</f>
        <v>41524.681553726128</v>
      </c>
      <c r="K99" s="24">
        <f>IF(B99="","",(C99=$I$9)*(G99-J99))</f>
        <v>0</v>
      </c>
      <c r="L99" s="24">
        <f>IF(B99="","",G99-J99-K99)</f>
        <v>22018594.337417137</v>
      </c>
      <c r="M99" s="24">
        <f>IF(B99="","",I99+J99+K99)</f>
        <v>136505.7495520729</v>
      </c>
    </row>
    <row r="100" spans="2:13" x14ac:dyDescent="0.2">
      <c r="B100" s="22">
        <f>IF(C100="","",ROUNDUP(C100/12,0))</f>
        <v>8</v>
      </c>
      <c r="C100" s="21">
        <f>IF(OR(C99="",C99&gt;=$I$9),"",C99+1)</f>
        <v>85</v>
      </c>
      <c r="D100" s="251">
        <f>IF(C100="","",EOMONTH(D99,1))</f>
        <v>46446</v>
      </c>
      <c r="E100" s="250" t="str">
        <f>IF(C100="","",$M$11)</f>
        <v>360</v>
      </c>
      <c r="F100" s="14">
        <f>IF(C100="","",IF($M$12="Actual",D100-D99,30))</f>
        <v>28</v>
      </c>
      <c r="G100" s="24">
        <f>IF(B100="","",L99)</f>
        <v>22018594.337417137</v>
      </c>
      <c r="H100" s="24">
        <f>IF(B100="","",(C100&lt;=$I$10)*I100+(C100&gt;$I$10)*PMT($I$7/(E100/F100),$I$8+$I$10-C99,-G100))</f>
        <v>130248.23492671353</v>
      </c>
      <c r="I100" s="24">
        <f>IF(B100="","",G100*$I$7/E100*F100)</f>
        <v>85627.866867733304</v>
      </c>
      <c r="J100" s="24">
        <f>IF(B100="","",H100-I100)</f>
        <v>44620.368058980224</v>
      </c>
      <c r="K100" s="24">
        <f>IF(B100="","",(C100=$I$9)*(G100-J100))</f>
        <v>0</v>
      </c>
      <c r="L100" s="24">
        <f>IF(B100="","",G100-J100-K100)</f>
        <v>21973973.969358157</v>
      </c>
      <c r="M100" s="24">
        <f>IF(B100="","",I100+J100+K100)</f>
        <v>130248.23492671353</v>
      </c>
    </row>
    <row r="101" spans="2:13" x14ac:dyDescent="0.2">
      <c r="B101" s="22">
        <f>IF(C101="","",ROUNDUP(C101/12,0))</f>
        <v>8</v>
      </c>
      <c r="C101" s="21">
        <f>IF(OR(C100="",C100&gt;=$I$9),"",C100+1)</f>
        <v>86</v>
      </c>
      <c r="D101" s="251">
        <f>IF(C101="","",EOMONTH(D100,1))</f>
        <v>46477</v>
      </c>
      <c r="E101" s="250" t="str">
        <f>IF(C101="","",$M$11)</f>
        <v>360</v>
      </c>
      <c r="F101" s="14">
        <f>IF(C101="","",IF($M$12="Actual",D101-D100,30))</f>
        <v>31</v>
      </c>
      <c r="G101" s="24">
        <f>IF(B101="","",L100)</f>
        <v>21973973.969358157</v>
      </c>
      <c r="H101" s="24">
        <f>IF(B101="","",(C101&lt;=$I$10)*I101+(C101&gt;$I$10)*PMT($I$7/(E101/F101),$I$8+$I$10-C100,-G101))</f>
        <v>136487.63172185668</v>
      </c>
      <c r="I101" s="24">
        <f>IF(B101="","",G101*$I$7/E101*F101)</f>
        <v>94610.165701403195</v>
      </c>
      <c r="J101" s="24">
        <f>IF(B101="","",H101-I101)</f>
        <v>41877.466020453488</v>
      </c>
      <c r="K101" s="24">
        <f>IF(B101="","",(C101=$I$9)*(G101-J101))</f>
        <v>0</v>
      </c>
      <c r="L101" s="24">
        <f>IF(B101="","",G101-J101-K101)</f>
        <v>21932096.503337704</v>
      </c>
      <c r="M101" s="24">
        <f>IF(B101="","",I101+J101+K101)</f>
        <v>136487.63172185668</v>
      </c>
    </row>
    <row r="102" spans="2:13" x14ac:dyDescent="0.2">
      <c r="B102" s="22">
        <f>IF(C102="","",ROUNDUP(C102/12,0))</f>
        <v>8</v>
      </c>
      <c r="C102" s="21">
        <f>IF(OR(C101="",C101&gt;=$I$9),"",C101+1)</f>
        <v>87</v>
      </c>
      <c r="D102" s="251">
        <f>IF(C102="","",EOMONTH(D101,1))</f>
        <v>46507</v>
      </c>
      <c r="E102" s="250" t="str">
        <f>IF(C102="","",$M$11)</f>
        <v>360</v>
      </c>
      <c r="F102" s="14">
        <f>IF(C102="","",IF($M$12="Actual",D102-D101,30))</f>
        <v>30</v>
      </c>
      <c r="G102" s="24">
        <f>IF(B102="","",L101)</f>
        <v>21932096.503337704</v>
      </c>
      <c r="H102" s="24">
        <f>IF(B102="","",(C102&lt;=$I$10)*I102+(C102&gt;$I$10)*PMT($I$7/(E102/F102),$I$8+$I$10-C101,-G102))</f>
        <v>134396.66973818972</v>
      </c>
      <c r="I102" s="24">
        <f>IF(B102="","",G102*$I$7/E102*F102)</f>
        <v>91383.735430573783</v>
      </c>
      <c r="J102" s="24">
        <f>IF(B102="","",H102-I102)</f>
        <v>43012.934307615942</v>
      </c>
      <c r="K102" s="24">
        <f>IF(B102="","",(C102=$I$9)*(G102-J102))</f>
        <v>0</v>
      </c>
      <c r="L102" s="24">
        <f>IF(B102="","",G102-J102-K102)</f>
        <v>21889083.569030087</v>
      </c>
      <c r="M102" s="24">
        <f>IF(B102="","",I102+J102+K102)</f>
        <v>134396.66973818972</v>
      </c>
    </row>
    <row r="103" spans="2:13" x14ac:dyDescent="0.2">
      <c r="B103" s="22">
        <f>IF(C103="","",ROUNDUP(C103/12,0))</f>
        <v>8</v>
      </c>
      <c r="C103" s="21">
        <f>IF(OR(C102="",C102&gt;=$I$9),"",C102+1)</f>
        <v>88</v>
      </c>
      <c r="D103" s="251">
        <f>IF(C103="","",EOMONTH(D102,1))</f>
        <v>46538</v>
      </c>
      <c r="E103" s="250" t="str">
        <f>IF(C103="","",$M$11)</f>
        <v>360</v>
      </c>
      <c r="F103" s="14">
        <f>IF(C103="","",IF($M$12="Actual",D103-D102,30))</f>
        <v>31</v>
      </c>
      <c r="G103" s="24">
        <f>IF(B103="","",L102)</f>
        <v>21889083.569030087</v>
      </c>
      <c r="H103" s="24">
        <f>IF(B103="","",(C103&lt;=$I$10)*I103+(C103&gt;$I$10)*PMT($I$7/(E103/F103),$I$8+$I$10-C102,-G103))</f>
        <v>136481.67614209178</v>
      </c>
      <c r="I103" s="24">
        <f>IF(B103="","",G103*$I$7/E103*F103)</f>
        <v>94244.665366657326</v>
      </c>
      <c r="J103" s="24">
        <f>IF(B103="","",H103-I103)</f>
        <v>42237.01077543445</v>
      </c>
      <c r="K103" s="24">
        <f>IF(B103="","",(C103=$I$9)*(G103-J103))</f>
        <v>0</v>
      </c>
      <c r="L103" s="24">
        <f>IF(B103="","",G103-J103-K103)</f>
        <v>21846846.558254652</v>
      </c>
      <c r="M103" s="24">
        <f>IF(B103="","",I103+J103+K103)</f>
        <v>136481.67614209178</v>
      </c>
    </row>
    <row r="104" spans="2:13" x14ac:dyDescent="0.2">
      <c r="B104" s="22">
        <f>IF(C104="","",ROUNDUP(C104/12,0))</f>
        <v>8</v>
      </c>
      <c r="C104" s="21">
        <f>IF(OR(C103="",C103&gt;=$I$9),"",C103+1)</f>
        <v>89</v>
      </c>
      <c r="D104" s="251">
        <f>IF(C104="","",EOMONTH(D103,1))</f>
        <v>46568</v>
      </c>
      <c r="E104" s="250" t="str">
        <f>IF(C104="","",$M$11)</f>
        <v>360</v>
      </c>
      <c r="F104" s="14">
        <f>IF(C104="","",IF($M$12="Actual",D104-D103,30))</f>
        <v>30</v>
      </c>
      <c r="G104" s="24">
        <f>IF(B104="","",L103)</f>
        <v>21846846.558254652</v>
      </c>
      <c r="H104" s="24">
        <f>IF(B104="","",(C104&lt;=$I$10)*I104+(C104&gt;$I$10)*PMT($I$7/(E104/F104),$I$8+$I$10-C103,-G104))</f>
        <v>134402.54581724841</v>
      </c>
      <c r="I104" s="24">
        <f>IF(B104="","",G104*$I$7/E104*F104)</f>
        <v>91028.52732606107</v>
      </c>
      <c r="J104" s="24">
        <f>IF(B104="","",H104-I104)</f>
        <v>43374.018491187337</v>
      </c>
      <c r="K104" s="24">
        <f>IF(B104="","",(C104=$I$9)*(G104-J104))</f>
        <v>0</v>
      </c>
      <c r="L104" s="24">
        <f>IF(B104="","",G104-J104-K104)</f>
        <v>21803472.539763466</v>
      </c>
      <c r="M104" s="24">
        <f>IF(B104="","",I104+J104+K104)</f>
        <v>134402.54581724841</v>
      </c>
    </row>
    <row r="105" spans="2:13" x14ac:dyDescent="0.2">
      <c r="B105" s="22">
        <f>IF(C105="","",ROUNDUP(C105/12,0))</f>
        <v>8</v>
      </c>
      <c r="C105" s="21">
        <f>IF(OR(C104="",C104&gt;=$I$9),"",C104+1)</f>
        <v>90</v>
      </c>
      <c r="D105" s="251">
        <f>IF(C105="","",EOMONTH(D104,1))</f>
        <v>46599</v>
      </c>
      <c r="E105" s="250" t="str">
        <f>IF(C105="","",$M$11)</f>
        <v>360</v>
      </c>
      <c r="F105" s="14">
        <f>IF(C105="","",IF($M$12="Actual",D105-D104,30))</f>
        <v>31</v>
      </c>
      <c r="G105" s="24">
        <f>IF(B105="","",L104)</f>
        <v>21803472.539763466</v>
      </c>
      <c r="H105" s="24">
        <f>IF(B105="","",(C105&lt;=$I$10)*I105+(C105&gt;$I$10)*PMT($I$7/(E105/F105),$I$8+$I$10-C104,-G105))</f>
        <v>136475.69749363934</v>
      </c>
      <c r="I105" s="24">
        <f>IF(B105="","",G105*$I$7/E105*F105)</f>
        <v>93876.062323981576</v>
      </c>
      <c r="J105" s="24">
        <f>IF(B105="","",H105-I105)</f>
        <v>42599.635169657762</v>
      </c>
      <c r="K105" s="24">
        <f>IF(B105="","",(C105=$I$9)*(G105-J105))</f>
        <v>0</v>
      </c>
      <c r="L105" s="24">
        <f>IF(B105="","",G105-J105-K105)</f>
        <v>21760872.904593807</v>
      </c>
      <c r="M105" s="24">
        <f>IF(B105="","",I105+J105+K105)</f>
        <v>136475.69749363934</v>
      </c>
    </row>
    <row r="106" spans="2:13" x14ac:dyDescent="0.2">
      <c r="B106" s="22">
        <f>IF(C106="","",ROUNDUP(C106/12,0))</f>
        <v>8</v>
      </c>
      <c r="C106" s="21">
        <f>IF(OR(C105="",C105&gt;=$I$9),"",C105+1)</f>
        <v>91</v>
      </c>
      <c r="D106" s="251">
        <f>IF(C106="","",EOMONTH(D105,1))</f>
        <v>46630</v>
      </c>
      <c r="E106" s="250" t="str">
        <f>IF(C106="","",$M$11)</f>
        <v>360</v>
      </c>
      <c r="F106" s="14">
        <f>IF(C106="","",IF($M$12="Actual",D106-D105,30))</f>
        <v>31</v>
      </c>
      <c r="G106" s="24">
        <f>IF(B106="","",L105)</f>
        <v>21760872.904593807</v>
      </c>
      <c r="H106" s="24">
        <f>IF(B106="","",(C106&lt;=$I$10)*I106+(C106&gt;$I$10)*PMT($I$7/(E106/F106),$I$8+$I$10-C105,-G106))</f>
        <v>136475.69749363931</v>
      </c>
      <c r="I106" s="24">
        <f>IF(B106="","",G106*$I$7/E106*F106)</f>
        <v>93692.647228112241</v>
      </c>
      <c r="J106" s="24">
        <f>IF(B106="","",H106-I106)</f>
        <v>42783.050265527068</v>
      </c>
      <c r="K106" s="24">
        <f>IF(B106="","",(C106=$I$9)*(G106-J106))</f>
        <v>0</v>
      </c>
      <c r="L106" s="24">
        <f>IF(B106="","",G106-J106-K106)</f>
        <v>21718089.854328278</v>
      </c>
      <c r="M106" s="24">
        <f>IF(B106="","",I106+J106+K106)</f>
        <v>136475.69749363931</v>
      </c>
    </row>
    <row r="107" spans="2:13" x14ac:dyDescent="0.2">
      <c r="B107" s="22">
        <f>IF(C107="","",ROUNDUP(C107/12,0))</f>
        <v>8</v>
      </c>
      <c r="C107" s="21">
        <f>IF(OR(C106="",C106&gt;=$I$9),"",C106+1)</f>
        <v>92</v>
      </c>
      <c r="D107" s="251">
        <f>IF(C107="","",EOMONTH(D106,1))</f>
        <v>46660</v>
      </c>
      <c r="E107" s="250" t="str">
        <f>IF(C107="","",$M$11)</f>
        <v>360</v>
      </c>
      <c r="F107" s="14">
        <f>IF(C107="","",IF($M$12="Actual",D107-D106,30))</f>
        <v>30</v>
      </c>
      <c r="G107" s="24">
        <f>IF(B107="","",L106)</f>
        <v>21718089.854328278</v>
      </c>
      <c r="H107" s="24">
        <f>IF(B107="","",(C107&lt;=$I$10)*I107+(C107&gt;$I$10)*PMT($I$7/(E107/F107),$I$8+$I$10-C106,-G107))</f>
        <v>134414.3562574173</v>
      </c>
      <c r="I107" s="24">
        <f>IF(B107="","",G107*$I$7/E107*F107)</f>
        <v>90492.041059701165</v>
      </c>
      <c r="J107" s="24">
        <f>IF(B107="","",H107-I107)</f>
        <v>43922.315197716132</v>
      </c>
      <c r="K107" s="24">
        <f>IF(B107="","",(C107=$I$9)*(G107-J107))</f>
        <v>0</v>
      </c>
      <c r="L107" s="24">
        <f>IF(B107="","",G107-J107-K107)</f>
        <v>21674167.539130561</v>
      </c>
      <c r="M107" s="24">
        <f>IF(B107="","",I107+J107+K107)</f>
        <v>134414.3562574173</v>
      </c>
    </row>
    <row r="108" spans="2:13" x14ac:dyDescent="0.2">
      <c r="B108" s="22">
        <f>IF(C108="","",ROUNDUP(C108/12,0))</f>
        <v>8</v>
      </c>
      <c r="C108" s="21">
        <f>IF(OR(C107="",C107&gt;=$I$9),"",C107+1)</f>
        <v>93</v>
      </c>
      <c r="D108" s="251">
        <f>IF(C108="","",EOMONTH(D107,1))</f>
        <v>46691</v>
      </c>
      <c r="E108" s="250" t="str">
        <f>IF(C108="","",$M$11)</f>
        <v>360</v>
      </c>
      <c r="F108" s="14">
        <f>IF(C108="","",IF($M$12="Actual",D108-D107,30))</f>
        <v>31</v>
      </c>
      <c r="G108" s="24">
        <f>IF(B108="","",L107)</f>
        <v>21674167.539130561</v>
      </c>
      <c r="H108" s="24">
        <f>IF(B108="","",(C108&lt;=$I$10)*I108+(C108&gt;$I$10)*PMT($I$7/(E108/F108),$I$8+$I$10-C107,-G108))</f>
        <v>136469.68403294834</v>
      </c>
      <c r="I108" s="24">
        <f>IF(B108="","",G108*$I$7/E108*F108)</f>
        <v>93319.332460145466</v>
      </c>
      <c r="J108" s="24">
        <f>IF(B108="","",H108-I108)</f>
        <v>43150.351572802872</v>
      </c>
      <c r="K108" s="24">
        <f>IF(B108="","",(C108=$I$9)*(G108-J108))</f>
        <v>0</v>
      </c>
      <c r="L108" s="24">
        <f>IF(B108="","",G108-J108-K108)</f>
        <v>21631017.187557757</v>
      </c>
      <c r="M108" s="24">
        <f>IF(B108="","",I108+J108+K108)</f>
        <v>136469.68403294834</v>
      </c>
    </row>
    <row r="109" spans="2:13" x14ac:dyDescent="0.2">
      <c r="B109" s="22">
        <f>IF(C109="","",ROUNDUP(C109/12,0))</f>
        <v>8</v>
      </c>
      <c r="C109" s="21">
        <f>IF(OR(C108="",C108&gt;=$I$9),"",C108+1)</f>
        <v>94</v>
      </c>
      <c r="D109" s="251">
        <f>IF(C109="","",EOMONTH(D108,1))</f>
        <v>46721</v>
      </c>
      <c r="E109" s="250" t="str">
        <f>IF(C109="","",$M$11)</f>
        <v>360</v>
      </c>
      <c r="F109" s="14">
        <f>IF(C109="","",IF($M$12="Actual",D109-D108,30))</f>
        <v>30</v>
      </c>
      <c r="G109" s="24">
        <f>IF(B109="","",L108)</f>
        <v>21631017.187557757</v>
      </c>
      <c r="H109" s="24">
        <f>IF(B109="","",(C109&lt;=$I$10)*I109+(C109&gt;$I$10)*PMT($I$7/(E109/F109),$I$8+$I$10-C108,-G109))</f>
        <v>134420.29068868567</v>
      </c>
      <c r="I109" s="24">
        <f>IF(B109="","",G109*$I$7/E109*F109)</f>
        <v>90129.238281490645</v>
      </c>
      <c r="J109" s="24">
        <f>IF(B109="","",H109-I109)</f>
        <v>44291.05240719502</v>
      </c>
      <c r="K109" s="24">
        <f>IF(B109="","",(C109=$I$9)*(G109-J109))</f>
        <v>0</v>
      </c>
      <c r="L109" s="24">
        <f>IF(B109="","",G109-J109-K109)</f>
        <v>21586726.135150563</v>
      </c>
      <c r="M109" s="24">
        <f>IF(B109="","",I109+J109+K109)</f>
        <v>134420.29068868567</v>
      </c>
    </row>
    <row r="110" spans="2:13" x14ac:dyDescent="0.2">
      <c r="B110" s="22">
        <f>IF(C110="","",ROUNDUP(C110/12,0))</f>
        <v>8</v>
      </c>
      <c r="C110" s="21">
        <f>IF(OR(C109="",C109&gt;=$I$9),"",C109+1)</f>
        <v>95</v>
      </c>
      <c r="D110" s="251">
        <f>IF(C110="","",EOMONTH(D109,1))</f>
        <v>46752</v>
      </c>
      <c r="E110" s="250" t="str">
        <f>IF(C110="","",$M$11)</f>
        <v>360</v>
      </c>
      <c r="F110" s="14">
        <f>IF(C110="","",IF($M$12="Actual",D110-D109,30))</f>
        <v>31</v>
      </c>
      <c r="G110" s="24">
        <f>IF(B110="","",L109)</f>
        <v>21586726.135150563</v>
      </c>
      <c r="H110" s="24">
        <f>IF(B110="","",(C110&lt;=$I$10)*I110+(C110&gt;$I$10)*PMT($I$7/(E110/F110),$I$8+$I$10-C109,-G110))</f>
        <v>136463.64740061024</v>
      </c>
      <c r="I110" s="24">
        <f>IF(B110="","",G110*$I$7/E110*F110)</f>
        <v>92942.848637453804</v>
      </c>
      <c r="J110" s="24">
        <f>IF(B110="","",H110-I110)</f>
        <v>43520.798763156432</v>
      </c>
      <c r="K110" s="24">
        <f>IF(B110="","",(C110=$I$9)*(G110-J110))</f>
        <v>0</v>
      </c>
      <c r="L110" s="24">
        <f>IF(B110="","",G110-J110-K110)</f>
        <v>21543205.336387407</v>
      </c>
      <c r="M110" s="24">
        <f>IF(B110="","",I110+J110+K110)</f>
        <v>136463.64740061024</v>
      </c>
    </row>
    <row r="111" spans="2:13" x14ac:dyDescent="0.2">
      <c r="B111" s="22">
        <f>IF(C111="","",ROUNDUP(C111/12,0))</f>
        <v>8</v>
      </c>
      <c r="C111" s="21">
        <f>IF(OR(C110="",C110&gt;=$I$9),"",C110+1)</f>
        <v>96</v>
      </c>
      <c r="D111" s="251">
        <f>IF(C111="","",EOMONTH(D110,1))</f>
        <v>46783</v>
      </c>
      <c r="E111" s="250" t="str">
        <f>IF(C111="","",$M$11)</f>
        <v>360</v>
      </c>
      <c r="F111" s="14">
        <f>IF(C111="","",IF($M$12="Actual",D111-D110,30))</f>
        <v>31</v>
      </c>
      <c r="G111" s="24">
        <f>IF(B111="","",L110)</f>
        <v>21543205.336387407</v>
      </c>
      <c r="H111" s="24">
        <f>IF(B111="","",(C111&lt;=$I$10)*I111+(C111&gt;$I$10)*PMT($I$7/(E111/F111),$I$8+$I$10-C110,-G111))</f>
        <v>136463.64740061027</v>
      </c>
      <c r="I111" s="24">
        <f>IF(B111="","",G111*$I$7/E111*F111)</f>
        <v>92755.467420556903</v>
      </c>
      <c r="J111" s="24">
        <f>IF(B111="","",H111-I111)</f>
        <v>43708.179980053363</v>
      </c>
      <c r="K111" s="24">
        <f>IF(B111="","",(C111=$I$9)*(G111-J111))</f>
        <v>0</v>
      </c>
      <c r="L111" s="24">
        <f>IF(B111="","",G111-J111-K111)</f>
        <v>21499497.156407353</v>
      </c>
      <c r="M111" s="24">
        <f>IF(B111="","",I111+J111+K111)</f>
        <v>136463.64740061027</v>
      </c>
    </row>
    <row r="112" spans="2:13" x14ac:dyDescent="0.2">
      <c r="B112" s="22">
        <f>IF(C112="","",ROUNDUP(C112/12,0))</f>
        <v>9</v>
      </c>
      <c r="C112" s="21">
        <f>IF(OR(C111="",C111&gt;=$I$9),"",C111+1)</f>
        <v>97</v>
      </c>
      <c r="D112" s="251">
        <f>IF(C112="","",EOMONTH(D111,1))</f>
        <v>46812</v>
      </c>
      <c r="E112" s="250" t="str">
        <f>IF(C112="","",$M$11)</f>
        <v>360</v>
      </c>
      <c r="F112" s="14">
        <f>IF(C112="","",IF($M$12="Actual",D112-D111,30))</f>
        <v>29</v>
      </c>
      <c r="G112" s="24">
        <f>IF(B112="","",L111)</f>
        <v>21499497.156407353</v>
      </c>
      <c r="H112" s="24">
        <f>IF(B112="","",(C112&lt;=$I$10)*I112+(C112&gt;$I$10)*PMT($I$7/(E112/F112),$I$8+$I$10-C111,-G112))</f>
        <v>132416.88610884553</v>
      </c>
      <c r="I112" s="24">
        <f>IF(B112="","",G112*$I$7/E112*F112)</f>
        <v>86595.196879974057</v>
      </c>
      <c r="J112" s="24">
        <f>IF(B112="","",H112-I112)</f>
        <v>45821.689228871473</v>
      </c>
      <c r="K112" s="24">
        <f>IF(B112="","",(C112=$I$9)*(G112-J112))</f>
        <v>0</v>
      </c>
      <c r="L112" s="24">
        <f>IF(B112="","",G112-J112-K112)</f>
        <v>21453675.467178483</v>
      </c>
      <c r="M112" s="24">
        <f>IF(B112="","",I112+J112+K112)</f>
        <v>132416.88610884553</v>
      </c>
    </row>
    <row r="113" spans="2:13" x14ac:dyDescent="0.2">
      <c r="B113" s="22">
        <f>IF(C113="","",ROUNDUP(C113/12,0))</f>
        <v>9</v>
      </c>
      <c r="C113" s="21">
        <f>IF(OR(C112="",C112&gt;=$I$9),"",C112+1)</f>
        <v>98</v>
      </c>
      <c r="D113" s="251">
        <f>IF(C113="","",EOMONTH(D112,1))</f>
        <v>46843</v>
      </c>
      <c r="E113" s="250" t="str">
        <f>IF(C113="","",$M$11)</f>
        <v>360</v>
      </c>
      <c r="F113" s="14">
        <f>IF(C113="","",IF($M$12="Actual",D113-D112,30))</f>
        <v>31</v>
      </c>
      <c r="G113" s="24">
        <f>IF(B113="","",L112)</f>
        <v>21453675.467178483</v>
      </c>
      <c r="H113" s="24">
        <f>IF(B113="","",(C113&lt;=$I$10)*I113+(C113&gt;$I$10)*PMT($I$7/(E113/F113),$I$8+$I$10-C112,-G113))</f>
        <v>136451.40181667096</v>
      </c>
      <c r="I113" s="24">
        <f>IF(B113="","",G113*$I$7/E113*F113)</f>
        <v>92369.991594796244</v>
      </c>
      <c r="J113" s="24">
        <f>IF(B113="","",H113-I113)</f>
        <v>44081.410221874714</v>
      </c>
      <c r="K113" s="24">
        <f>IF(B113="","",(C113=$I$9)*(G113-J113))</f>
        <v>0</v>
      </c>
      <c r="L113" s="24">
        <f>IF(B113="","",G113-J113-K113)</f>
        <v>21409594.056956608</v>
      </c>
      <c r="M113" s="24">
        <f>IF(B113="","",I113+J113+K113)</f>
        <v>136451.40181667096</v>
      </c>
    </row>
    <row r="114" spans="2:13" x14ac:dyDescent="0.2">
      <c r="B114" s="22">
        <f>IF(C114="","",ROUNDUP(C114/12,0))</f>
        <v>9</v>
      </c>
      <c r="C114" s="21">
        <f>IF(OR(C113="",C113&gt;=$I$9),"",C113+1)</f>
        <v>99</v>
      </c>
      <c r="D114" s="251">
        <f>IF(C114="","",EOMONTH(D113,1))</f>
        <v>46873</v>
      </c>
      <c r="E114" s="250" t="str">
        <f>IF(C114="","",$M$11)</f>
        <v>360</v>
      </c>
      <c r="F114" s="14">
        <f>IF(C114="","",IF($M$12="Actual",D114-D113,30))</f>
        <v>30</v>
      </c>
      <c r="G114" s="24">
        <f>IF(B114="","",L113)</f>
        <v>21409594.056956608</v>
      </c>
      <c r="H114" s="24">
        <f>IF(B114="","",(C114&lt;=$I$10)*I114+(C114&gt;$I$10)*PMT($I$7/(E114/F114),$I$8+$I$10-C113,-G114))</f>
        <v>134432.12858445817</v>
      </c>
      <c r="I114" s="24">
        <f>IF(B114="","",G114*$I$7/E114*F114)</f>
        <v>89206.641903985874</v>
      </c>
      <c r="J114" s="24">
        <f>IF(B114="","",H114-I114)</f>
        <v>45225.486680472299</v>
      </c>
      <c r="K114" s="24">
        <f>IF(B114="","",(C114=$I$9)*(G114-J114))</f>
        <v>0</v>
      </c>
      <c r="L114" s="24">
        <f>IF(B114="","",G114-J114-K114)</f>
        <v>21364368.570276134</v>
      </c>
      <c r="M114" s="24">
        <f>IF(B114="","",I114+J114+K114)</f>
        <v>134432.12858445817</v>
      </c>
    </row>
    <row r="115" spans="2:13" x14ac:dyDescent="0.2">
      <c r="B115" s="22">
        <f>IF(C115="","",ROUNDUP(C115/12,0))</f>
        <v>9</v>
      </c>
      <c r="C115" s="21">
        <f>IF(OR(C114="",C114&gt;=$I$9),"",C114+1)</f>
        <v>100</v>
      </c>
      <c r="D115" s="251">
        <f>IF(C115="","",EOMONTH(D114,1))</f>
        <v>46904</v>
      </c>
      <c r="E115" s="250" t="str">
        <f>IF(C115="","",$M$11)</f>
        <v>360</v>
      </c>
      <c r="F115" s="14">
        <f>IF(C115="","",IF($M$12="Actual",D115-D114,30))</f>
        <v>31</v>
      </c>
      <c r="G115" s="24">
        <f>IF(B115="","",L114)</f>
        <v>21364368.570276134</v>
      </c>
      <c r="H115" s="24">
        <f>IF(B115="","",(C115&lt;=$I$10)*I115+(C115&gt;$I$10)*PMT($I$7/(E115/F115),$I$8+$I$10-C114,-G115))</f>
        <v>136445.30721894256</v>
      </c>
      <c r="I115" s="24">
        <f>IF(B115="","",G115*$I$7/E115*F115)</f>
        <v>91985.475788688913</v>
      </c>
      <c r="J115" s="24">
        <f>IF(B115="","",H115-I115)</f>
        <v>44459.831430253646</v>
      </c>
      <c r="K115" s="24">
        <f>IF(B115="","",(C115=$I$9)*(G115-J115))</f>
        <v>0</v>
      </c>
      <c r="L115" s="24">
        <f>IF(B115="","",G115-J115-K115)</f>
        <v>21319908.738845881</v>
      </c>
      <c r="M115" s="24">
        <f>IF(B115="","",I115+J115+K115)</f>
        <v>136445.30721894256</v>
      </c>
    </row>
    <row r="116" spans="2:13" x14ac:dyDescent="0.2">
      <c r="B116" s="22">
        <f>IF(C116="","",ROUNDUP(C116/12,0))</f>
        <v>9</v>
      </c>
      <c r="C116" s="21">
        <f>IF(OR(C115="",C115&gt;=$I$9),"",C115+1)</f>
        <v>101</v>
      </c>
      <c r="D116" s="251">
        <f>IF(C116="","",EOMONTH(D115,1))</f>
        <v>46934</v>
      </c>
      <c r="E116" s="250" t="str">
        <f>IF(C116="","",$M$11)</f>
        <v>360</v>
      </c>
      <c r="F116" s="14">
        <f>IF(C116="","",IF($M$12="Actual",D116-D115,30))</f>
        <v>30</v>
      </c>
      <c r="G116" s="24">
        <f>IF(B116="","",L115)</f>
        <v>21319908.738845881</v>
      </c>
      <c r="H116" s="24">
        <f>IF(B116="","",(C116&lt;=$I$10)*I116+(C116&gt;$I$10)*PMT($I$7/(E116/F116),$I$8+$I$10-C115,-G116))</f>
        <v>134438.14487343794</v>
      </c>
      <c r="I116" s="24">
        <f>IF(B116="","",G116*$I$7/E116*F116)</f>
        <v>88832.953078524501</v>
      </c>
      <c r="J116" s="24">
        <f>IF(B116="","",H116-I116)</f>
        <v>45605.191794913437</v>
      </c>
      <c r="K116" s="24">
        <f>IF(B116="","",(C116=$I$9)*(G116-J116))</f>
        <v>0</v>
      </c>
      <c r="L116" s="24">
        <f>IF(B116="","",G116-J116-K116)</f>
        <v>21274303.547050968</v>
      </c>
      <c r="M116" s="24">
        <f>IF(B116="","",I116+J116+K116)</f>
        <v>134438.14487343794</v>
      </c>
    </row>
    <row r="117" spans="2:13" x14ac:dyDescent="0.2">
      <c r="B117" s="22">
        <f>IF(C117="","",ROUNDUP(C117/12,0))</f>
        <v>9</v>
      </c>
      <c r="C117" s="21">
        <f>IF(OR(C116="",C116&gt;=$I$9),"",C116+1)</f>
        <v>102</v>
      </c>
      <c r="D117" s="251">
        <f>IF(C117="","",EOMONTH(D116,1))</f>
        <v>46965</v>
      </c>
      <c r="E117" s="250" t="str">
        <f>IF(C117="","",$M$11)</f>
        <v>360</v>
      </c>
      <c r="F117" s="14">
        <f>IF(C117="","",IF($M$12="Actual",D117-D116,30))</f>
        <v>31</v>
      </c>
      <c r="G117" s="24">
        <f>IF(B117="","",L116)</f>
        <v>21274303.547050968</v>
      </c>
      <c r="H117" s="24">
        <f>IF(B117="","",(C117&lt;=$I$10)*I117+(C117&gt;$I$10)*PMT($I$7/(E117/F117),$I$8+$I$10-C116,-G117))</f>
        <v>136439.18930929888</v>
      </c>
      <c r="I117" s="24">
        <f>IF(B117="","",G117*$I$7/E117*F117)</f>
        <v>91597.695827580552</v>
      </c>
      <c r="J117" s="24">
        <f>IF(B117="","",H117-I117)</f>
        <v>44841.493481718324</v>
      </c>
      <c r="K117" s="24">
        <f>IF(B117="","",(C117=$I$9)*(G117-J117))</f>
        <v>0</v>
      </c>
      <c r="L117" s="24">
        <f>IF(B117="","",G117-J117-K117)</f>
        <v>21229462.05356925</v>
      </c>
      <c r="M117" s="24">
        <f>IF(B117="","",I117+J117+K117)</f>
        <v>136439.18930929888</v>
      </c>
    </row>
    <row r="118" spans="2:13" x14ac:dyDescent="0.2">
      <c r="B118" s="22">
        <f>IF(C118="","",ROUNDUP(C118/12,0))</f>
        <v>9</v>
      </c>
      <c r="C118" s="21">
        <f>IF(OR(C117="",C117&gt;=$I$9),"",C117+1)</f>
        <v>103</v>
      </c>
      <c r="D118" s="251">
        <f>IF(C118="","",EOMONTH(D117,1))</f>
        <v>46996</v>
      </c>
      <c r="E118" s="250" t="str">
        <f>IF(C118="","",$M$11)</f>
        <v>360</v>
      </c>
      <c r="F118" s="14">
        <f>IF(C118="","",IF($M$12="Actual",D118-D117,30))</f>
        <v>31</v>
      </c>
      <c r="G118" s="24">
        <f>IF(B118="","",L117)</f>
        <v>21229462.05356925</v>
      </c>
      <c r="H118" s="24">
        <f>IF(B118="","",(C118&lt;=$I$10)*I118+(C118&gt;$I$10)*PMT($I$7/(E118/F118),$I$8+$I$10-C117,-G118))</f>
        <v>136439.18930929888</v>
      </c>
      <c r="I118" s="24">
        <f>IF(B118="","",G118*$I$7/E118*F118)</f>
        <v>91404.628286200954</v>
      </c>
      <c r="J118" s="24">
        <f>IF(B118="","",H118-I118)</f>
        <v>45034.561023097922</v>
      </c>
      <c r="K118" s="24">
        <f>IF(B118="","",(C118=$I$9)*(G118-J118))</f>
        <v>0</v>
      </c>
      <c r="L118" s="24">
        <f>IF(B118="","",G118-J118-K118)</f>
        <v>21184427.492546152</v>
      </c>
      <c r="M118" s="24">
        <f>IF(B118="","",I118+J118+K118)</f>
        <v>136439.18930929888</v>
      </c>
    </row>
    <row r="119" spans="2:13" x14ac:dyDescent="0.2">
      <c r="B119" s="22">
        <f>IF(C119="","",ROUNDUP(C119/12,0))</f>
        <v>9</v>
      </c>
      <c r="C119" s="21">
        <f>IF(OR(C118="",C118&gt;=$I$9),"",C118+1)</f>
        <v>104</v>
      </c>
      <c r="D119" s="251">
        <f>IF(C119="","",EOMONTH(D118,1))</f>
        <v>47026</v>
      </c>
      <c r="E119" s="250" t="str">
        <f>IF(C119="","",$M$11)</f>
        <v>360</v>
      </c>
      <c r="F119" s="14">
        <f>IF(C119="","",IF($M$12="Actual",D119-D118,30))</f>
        <v>30</v>
      </c>
      <c r="G119" s="24">
        <f>IF(B119="","",L118)</f>
        <v>21184427.492546152</v>
      </c>
      <c r="H119" s="24">
        <f>IF(B119="","",(C119&lt;=$I$10)*I119+(C119&gt;$I$10)*PMT($I$7/(E119/F119),$I$8+$I$10-C118,-G119))</f>
        <v>134450.23642857542</v>
      </c>
      <c r="I119" s="24">
        <f>IF(B119="","",G119*$I$7/E119*F119)</f>
        <v>88268.447885608985</v>
      </c>
      <c r="J119" s="24">
        <f>IF(B119="","",H119-I119)</f>
        <v>46181.788542966431</v>
      </c>
      <c r="K119" s="24">
        <f>IF(B119="","",(C119=$I$9)*(G119-J119))</f>
        <v>0</v>
      </c>
      <c r="L119" s="24">
        <f>IF(B119="","",G119-J119-K119)</f>
        <v>21138245.704003185</v>
      </c>
      <c r="M119" s="24">
        <f>IF(B119="","",I119+J119+K119)</f>
        <v>134450.23642857542</v>
      </c>
    </row>
    <row r="120" spans="2:13" x14ac:dyDescent="0.2">
      <c r="B120" s="22">
        <f>IF(C120="","",ROUNDUP(C120/12,0))</f>
        <v>9</v>
      </c>
      <c r="C120" s="21">
        <f>IF(OR(C119="",C119&gt;=$I$9),"",C119+1)</f>
        <v>105</v>
      </c>
      <c r="D120" s="251">
        <f>IF(C120="","",EOMONTH(D119,1))</f>
        <v>47057</v>
      </c>
      <c r="E120" s="250" t="str">
        <f>IF(C120="","",$M$11)</f>
        <v>360</v>
      </c>
      <c r="F120" s="14">
        <f>IF(C120="","",IF($M$12="Actual",D120-D119,30))</f>
        <v>31</v>
      </c>
      <c r="G120" s="24">
        <f>IF(B120="","",L119)</f>
        <v>21138245.704003185</v>
      </c>
      <c r="H120" s="24">
        <f>IF(B120="","",(C120&lt;=$I$10)*I120+(C120&gt;$I$10)*PMT($I$7/(E120/F120),$I$8+$I$10-C119,-G120))</f>
        <v>136433.03621916138</v>
      </c>
      <c r="I120" s="24">
        <f>IF(B120="","",G120*$I$7/E120*F120)</f>
        <v>91011.89122556927</v>
      </c>
      <c r="J120" s="24">
        <f>IF(B120="","",H120-I120)</f>
        <v>45421.144993592112</v>
      </c>
      <c r="K120" s="24">
        <f>IF(B120="","",(C120=$I$9)*(G120-J120))</f>
        <v>0</v>
      </c>
      <c r="L120" s="24">
        <f>IF(B120="","",G120-J120-K120)</f>
        <v>21092824.559009593</v>
      </c>
      <c r="M120" s="24">
        <f>IF(B120="","",I120+J120+K120)</f>
        <v>136433.03621916138</v>
      </c>
    </row>
    <row r="121" spans="2:13" x14ac:dyDescent="0.2">
      <c r="B121" s="22">
        <f>IF(C121="","",ROUNDUP(C121/12,0))</f>
        <v>9</v>
      </c>
      <c r="C121" s="21">
        <f>IF(OR(C120="",C120&gt;=$I$9),"",C120+1)</f>
        <v>106</v>
      </c>
      <c r="D121" s="251">
        <f>IF(C121="","",EOMONTH(D120,1))</f>
        <v>47087</v>
      </c>
      <c r="E121" s="250" t="str">
        <f>IF(C121="","",$M$11)</f>
        <v>360</v>
      </c>
      <c r="F121" s="14">
        <f>IF(C121="","",IF($M$12="Actual",D121-D120,30))</f>
        <v>30</v>
      </c>
      <c r="G121" s="24">
        <f>IF(B121="","",L120)</f>
        <v>21092824.559009593</v>
      </c>
      <c r="H121" s="24">
        <f>IF(B121="","",(C121&lt;=$I$10)*I121+(C121&gt;$I$10)*PMT($I$7/(E121/F121),$I$8+$I$10-C120,-G121))</f>
        <v>134456.31176301831</v>
      </c>
      <c r="I121" s="24">
        <f>IF(B121="","",G121*$I$7/E121*F121)</f>
        <v>87886.768995873295</v>
      </c>
      <c r="J121" s="24">
        <f>IF(B121="","",H121-I121)</f>
        <v>46569.542767145016</v>
      </c>
      <c r="K121" s="24">
        <f>IF(B121="","",(C121=$I$9)*(G121-J121))</f>
        <v>0</v>
      </c>
      <c r="L121" s="24">
        <f>IF(B121="","",G121-J121-K121)</f>
        <v>21046255.016242448</v>
      </c>
      <c r="M121" s="24">
        <f>IF(B121="","",I121+J121+K121)</f>
        <v>134456.31176301831</v>
      </c>
    </row>
    <row r="122" spans="2:13" x14ac:dyDescent="0.2">
      <c r="B122" s="22">
        <f>IF(C122="","",ROUNDUP(C122/12,0))</f>
        <v>9</v>
      </c>
      <c r="C122" s="21">
        <f>IF(OR(C121="",C121&gt;=$I$9),"",C121+1)</f>
        <v>107</v>
      </c>
      <c r="D122" s="251">
        <f>IF(C122="","",EOMONTH(D121,1))</f>
        <v>47118</v>
      </c>
      <c r="E122" s="250" t="str">
        <f>IF(C122="","",$M$11)</f>
        <v>360</v>
      </c>
      <c r="F122" s="14">
        <f>IF(C122="","",IF($M$12="Actual",D122-D121,30))</f>
        <v>31</v>
      </c>
      <c r="G122" s="24">
        <f>IF(B122="","",L121)</f>
        <v>21046255.016242448</v>
      </c>
      <c r="H122" s="24">
        <f>IF(B122="","",(C122&lt;=$I$10)*I122+(C122&gt;$I$10)*PMT($I$7/(E122/F122),$I$8+$I$10-C121,-G122))</f>
        <v>136426.85971792717</v>
      </c>
      <c r="I122" s="24">
        <f>IF(B122="","",G122*$I$7/E122*F122)</f>
        <v>90615.820208821635</v>
      </c>
      <c r="J122" s="24">
        <f>IF(B122="","",H122-I122)</f>
        <v>45811.03950910554</v>
      </c>
      <c r="K122" s="24">
        <f>IF(B122="","",(C122=$I$9)*(G122-J122))</f>
        <v>0</v>
      </c>
      <c r="L122" s="24">
        <f>IF(B122="","",G122-J122-K122)</f>
        <v>21000443.976733342</v>
      </c>
      <c r="M122" s="24">
        <f>IF(B122="","",I122+J122+K122)</f>
        <v>136426.85971792717</v>
      </c>
    </row>
    <row r="123" spans="2:13" x14ac:dyDescent="0.2">
      <c r="B123" s="22">
        <f>IF(C123="","",ROUNDUP(C123/12,0))</f>
        <v>9</v>
      </c>
      <c r="C123" s="21">
        <f>IF(OR(C122="",C122&gt;=$I$9),"",C122+1)</f>
        <v>108</v>
      </c>
      <c r="D123" s="251">
        <f>IF(C123="","",EOMONTH(D122,1))</f>
        <v>47149</v>
      </c>
      <c r="E123" s="250" t="str">
        <f>IF(C123="","",$M$11)</f>
        <v>360</v>
      </c>
      <c r="F123" s="14">
        <f>IF(C123="","",IF($M$12="Actual",D123-D122,30))</f>
        <v>31</v>
      </c>
      <c r="G123" s="24">
        <f>IF(B123="","",L122)</f>
        <v>21000443.976733342</v>
      </c>
      <c r="H123" s="24">
        <f>IF(B123="","",(C123&lt;=$I$10)*I123+(C123&gt;$I$10)*PMT($I$7/(E123/F123),$I$8+$I$10-C122,-G123))</f>
        <v>136426.85971792717</v>
      </c>
      <c r="I123" s="24">
        <f>IF(B123="","",G123*$I$7/E123*F123)</f>
        <v>90418.578233157459</v>
      </c>
      <c r="J123" s="24">
        <f>IF(B123="","",H123-I123)</f>
        <v>46008.281484769715</v>
      </c>
      <c r="K123" s="24">
        <f>IF(B123="","",(C123=$I$9)*(G123-J123))</f>
        <v>0</v>
      </c>
      <c r="L123" s="24">
        <f>IF(B123="","",G123-J123-K123)</f>
        <v>20954435.69524857</v>
      </c>
      <c r="M123" s="24">
        <f>IF(B123="","",I123+J123+K123)</f>
        <v>136426.85971792717</v>
      </c>
    </row>
    <row r="124" spans="2:13" x14ac:dyDescent="0.2">
      <c r="B124" s="22">
        <f>IF(C124="","",ROUNDUP(C124/12,0))</f>
        <v>10</v>
      </c>
      <c r="C124" s="21">
        <f>IF(OR(C123="",C123&gt;=$I$9),"",C123+1)</f>
        <v>109</v>
      </c>
      <c r="D124" s="251">
        <f>IF(C124="","",EOMONTH(D123,1))</f>
        <v>47177</v>
      </c>
      <c r="E124" s="250" t="str">
        <f>IF(C124="","",$M$11)</f>
        <v>360</v>
      </c>
      <c r="F124" s="14">
        <f>IF(C124="","",IF($M$12="Actual",D124-D123,30))</f>
        <v>28</v>
      </c>
      <c r="G124" s="24">
        <f>IF(B124="","",L123)</f>
        <v>20954435.69524857</v>
      </c>
      <c r="H124" s="24">
        <f>IF(B124="","",(C124&lt;=$I$10)*I124+(C124&gt;$I$10)*PMT($I$7/(E124/F124),$I$8+$I$10-C123,-G124))</f>
        <v>130597.3569481805</v>
      </c>
      <c r="I124" s="24">
        <f>IF(B124="","",G124*$I$7/E124*F124)</f>
        <v>81489.472148188899</v>
      </c>
      <c r="J124" s="24">
        <f>IF(B124="","",H124-I124)</f>
        <v>49107.884799991603</v>
      </c>
      <c r="K124" s="24">
        <f>IF(B124="","",(C124=$I$9)*(G124-J124))</f>
        <v>0</v>
      </c>
      <c r="L124" s="24">
        <f>IF(B124="","",G124-J124-K124)</f>
        <v>20905327.810448579</v>
      </c>
      <c r="M124" s="24">
        <f>IF(B124="","",I124+J124+K124)</f>
        <v>130597.3569481805</v>
      </c>
    </row>
    <row r="125" spans="2:13" x14ac:dyDescent="0.2">
      <c r="B125" s="22">
        <f>IF(C125="","",ROUNDUP(C125/12,0))</f>
        <v>10</v>
      </c>
      <c r="C125" s="21">
        <f>IF(OR(C124="",C124&gt;=$I$9),"",C124+1)</f>
        <v>110</v>
      </c>
      <c r="D125" s="251">
        <f>IF(C125="","",EOMONTH(D124,1))</f>
        <v>47208</v>
      </c>
      <c r="E125" s="250" t="str">
        <f>IF(C125="","",$M$11)</f>
        <v>360</v>
      </c>
      <c r="F125" s="14">
        <f>IF(C125="","",IF($M$12="Actual",D125-D124,30))</f>
        <v>31</v>
      </c>
      <c r="G125" s="24">
        <f>IF(B125="","",L124)</f>
        <v>20905327.810448579</v>
      </c>
      <c r="H125" s="24">
        <f>IF(B125="","",(C125&lt;=$I$10)*I125+(C125&gt;$I$10)*PMT($I$7/(E125/F125),$I$8+$I$10-C124,-G125))</f>
        <v>136407.92725939248</v>
      </c>
      <c r="I125" s="24">
        <f>IF(B125="","",G125*$I$7/E125*F125)</f>
        <v>90009.050294986941</v>
      </c>
      <c r="J125" s="24">
        <f>IF(B125="","",H125-I125)</f>
        <v>46398.876964405543</v>
      </c>
      <c r="K125" s="24">
        <f>IF(B125="","",(C125=$I$9)*(G125-J125))</f>
        <v>0</v>
      </c>
      <c r="L125" s="24">
        <f>IF(B125="","",G125-J125-K125)</f>
        <v>20858928.933484174</v>
      </c>
      <c r="M125" s="24">
        <f>IF(B125="","",I125+J125+K125)</f>
        <v>136407.92725939248</v>
      </c>
    </row>
    <row r="126" spans="2:13" x14ac:dyDescent="0.2">
      <c r="B126" s="22">
        <f>IF(C126="","",ROUNDUP(C126/12,0))</f>
        <v>10</v>
      </c>
      <c r="C126" s="21">
        <f>IF(OR(C125="",C125&gt;=$I$9),"",C125+1)</f>
        <v>111</v>
      </c>
      <c r="D126" s="251">
        <f>IF(C126="","",EOMONTH(D125,1))</f>
        <v>47238</v>
      </c>
      <c r="E126" s="250" t="str">
        <f>IF(C126="","",$M$11)</f>
        <v>360</v>
      </c>
      <c r="F126" s="14">
        <f>IF(C126="","",IF($M$12="Actual",D126-D125,30))</f>
        <v>30</v>
      </c>
      <c r="G126" s="24">
        <f>IF(B126="","",L125)</f>
        <v>20858928.933484174</v>
      </c>
      <c r="H126" s="24">
        <f>IF(B126="","",(C126&lt;=$I$10)*I126+(C126&gt;$I$10)*PMT($I$7/(E126/F126),$I$8+$I$10-C125,-G126))</f>
        <v>134462.11718759764</v>
      </c>
      <c r="I126" s="24">
        <f>IF(B126="","",G126*$I$7/E126*F126)</f>
        <v>86912.20388951739</v>
      </c>
      <c r="J126" s="24">
        <f>IF(B126="","",H126-I126)</f>
        <v>47549.913298080253</v>
      </c>
      <c r="K126" s="24">
        <f>IF(B126="","",(C126=$I$9)*(G126-J126))</f>
        <v>0</v>
      </c>
      <c r="L126" s="24">
        <f>IF(B126="","",G126-J126-K126)</f>
        <v>20811379.020186093</v>
      </c>
      <c r="M126" s="24">
        <f>IF(B126="","",I126+J126+K126)</f>
        <v>134462.11718759764</v>
      </c>
    </row>
    <row r="127" spans="2:13" x14ac:dyDescent="0.2">
      <c r="B127" s="22">
        <f>IF(C127="","",ROUNDUP(C127/12,0))</f>
        <v>10</v>
      </c>
      <c r="C127" s="21">
        <f>IF(OR(C126="",C126&gt;=$I$9),"",C126+1)</f>
        <v>112</v>
      </c>
      <c r="D127" s="251">
        <f>IF(C127="","",EOMONTH(D126,1))</f>
        <v>47269</v>
      </c>
      <c r="E127" s="250" t="str">
        <f>IF(C127="","",$M$11)</f>
        <v>360</v>
      </c>
      <c r="F127" s="14">
        <f>IF(C127="","",IF($M$12="Actual",D127-D126,30))</f>
        <v>31</v>
      </c>
      <c r="G127" s="24">
        <f>IF(B127="","",L126)</f>
        <v>20811379.020186093</v>
      </c>
      <c r="H127" s="24">
        <f>IF(B127="","",(C127&lt;=$I$10)*I127+(C127&gt;$I$10)*PMT($I$7/(E127/F127),$I$8+$I$10-C126,-G127))</f>
        <v>136401.69250020394</v>
      </c>
      <c r="I127" s="24">
        <f>IF(B127="","",G127*$I$7/E127*F127)</f>
        <v>89604.548559134564</v>
      </c>
      <c r="J127" s="24">
        <f>IF(B127="","",H127-I127)</f>
        <v>46797.143941069371</v>
      </c>
      <c r="K127" s="24">
        <f>IF(B127="","",(C127=$I$9)*(G127-J127))</f>
        <v>0</v>
      </c>
      <c r="L127" s="24">
        <f>IF(B127="","",G127-J127-K127)</f>
        <v>20764581.876245022</v>
      </c>
      <c r="M127" s="24">
        <f>IF(B127="","",I127+J127+K127)</f>
        <v>136401.69250020394</v>
      </c>
    </row>
    <row r="128" spans="2:13" x14ac:dyDescent="0.2">
      <c r="B128" s="22">
        <f>IF(C128="","",ROUNDUP(C128/12,0))</f>
        <v>10</v>
      </c>
      <c r="C128" s="21">
        <f>IF(OR(C127="",C127&gt;=$I$9),"",C127+1)</f>
        <v>113</v>
      </c>
      <c r="D128" s="251">
        <f>IF(C128="","",EOMONTH(D127,1))</f>
        <v>47299</v>
      </c>
      <c r="E128" s="250" t="str">
        <f>IF(C128="","",$M$11)</f>
        <v>360</v>
      </c>
      <c r="F128" s="14">
        <f>IF(C128="","",IF($M$12="Actual",D128-D127,30))</f>
        <v>30</v>
      </c>
      <c r="G128" s="24">
        <f>IF(B128="","",L127)</f>
        <v>20764581.876245022</v>
      </c>
      <c r="H128" s="24">
        <f>IF(B128="","",(C128&lt;=$I$10)*I128+(C128&gt;$I$10)*PMT($I$7/(E128/F128),$I$8+$I$10-C127,-G128))</f>
        <v>134468.27503253327</v>
      </c>
      <c r="I128" s="24">
        <f>IF(B128="","",G128*$I$7/E128*F128)</f>
        <v>86519.091151020926</v>
      </c>
      <c r="J128" s="24">
        <f>IF(B128="","",H128-I128)</f>
        <v>47949.183881512348</v>
      </c>
      <c r="K128" s="24">
        <f>IF(B128="","",(C128=$I$9)*(G128-J128))</f>
        <v>0</v>
      </c>
      <c r="L128" s="24">
        <f>IF(B128="","",G128-J128-K128)</f>
        <v>20716632.692363508</v>
      </c>
      <c r="M128" s="24">
        <f>IF(B128="","",I128+J128+K128)</f>
        <v>134468.27503253327</v>
      </c>
    </row>
    <row r="129" spans="2:13" x14ac:dyDescent="0.2">
      <c r="B129" s="22">
        <f>IF(C129="","",ROUNDUP(C129/12,0))</f>
        <v>10</v>
      </c>
      <c r="C129" s="21">
        <f>IF(OR(C128="",C128&gt;=$I$9),"",C128+1)</f>
        <v>114</v>
      </c>
      <c r="D129" s="251">
        <f>IF(C129="","",EOMONTH(D128,1))</f>
        <v>47330</v>
      </c>
      <c r="E129" s="250" t="str">
        <f>IF(C129="","",$M$11)</f>
        <v>360</v>
      </c>
      <c r="F129" s="14">
        <f>IF(C129="","",IF($M$12="Actual",D129-D128,30))</f>
        <v>31</v>
      </c>
      <c r="G129" s="24">
        <f>IF(B129="","",L128)</f>
        <v>20716632.692363508</v>
      </c>
      <c r="H129" s="24">
        <f>IF(B129="","",(C129&lt;=$I$10)*I129+(C129&gt;$I$10)*PMT($I$7/(E129/F129),$I$8+$I$10-C128,-G129))</f>
        <v>136395.43419620895</v>
      </c>
      <c r="I129" s="24">
        <f>IF(B129="","",G129*$I$7/E129*F129)</f>
        <v>89196.612981009544</v>
      </c>
      <c r="J129" s="24">
        <f>IF(B129="","",H129-I129)</f>
        <v>47198.821215199408</v>
      </c>
      <c r="K129" s="24">
        <f>IF(B129="","",(C129=$I$9)*(G129-J129))</f>
        <v>0</v>
      </c>
      <c r="L129" s="24">
        <f>IF(B129="","",G129-J129-K129)</f>
        <v>20669433.871148307</v>
      </c>
      <c r="M129" s="24">
        <f>IF(B129="","",I129+J129+K129)</f>
        <v>136395.43419620895</v>
      </c>
    </row>
    <row r="130" spans="2:13" x14ac:dyDescent="0.2">
      <c r="B130" s="22">
        <f>IF(C130="","",ROUNDUP(C130/12,0))</f>
        <v>10</v>
      </c>
      <c r="C130" s="21">
        <f>IF(OR(C129="",C129&gt;=$I$9),"",C129+1)</f>
        <v>115</v>
      </c>
      <c r="D130" s="251">
        <f>IF(C130="","",EOMONTH(D129,1))</f>
        <v>47361</v>
      </c>
      <c r="E130" s="250" t="str">
        <f>IF(C130="","",$M$11)</f>
        <v>360</v>
      </c>
      <c r="F130" s="14">
        <f>IF(C130="","",IF($M$12="Actual",D130-D129,30))</f>
        <v>31</v>
      </c>
      <c r="G130" s="24">
        <f>IF(B130="","",L129)</f>
        <v>20669433.871148307</v>
      </c>
      <c r="H130" s="24">
        <f>IF(B130="","",(C130&lt;=$I$10)*I130+(C130&gt;$I$10)*PMT($I$7/(E130/F130),$I$8+$I$10-C129,-G130))</f>
        <v>136395.43419620892</v>
      </c>
      <c r="I130" s="24">
        <f>IF(B130="","",G130*$I$7/E130*F130)</f>
        <v>88993.395834110765</v>
      </c>
      <c r="J130" s="24">
        <f>IF(B130="","",H130-I130)</f>
        <v>47402.038362098159</v>
      </c>
      <c r="K130" s="24">
        <f>IF(B130="","",(C130=$I$9)*(G130-J130))</f>
        <v>0</v>
      </c>
      <c r="L130" s="24">
        <f>IF(B130="","",G130-J130-K130)</f>
        <v>20622031.83278621</v>
      </c>
      <c r="M130" s="24">
        <f>IF(B130="","",I130+J130+K130)</f>
        <v>136395.43419620892</v>
      </c>
    </row>
    <row r="131" spans="2:13" x14ac:dyDescent="0.2">
      <c r="B131" s="22">
        <f>IF(C131="","",ROUNDUP(C131/12,0))</f>
        <v>10</v>
      </c>
      <c r="C131" s="21">
        <f>IF(OR(C130="",C130&gt;=$I$9),"",C130+1)</f>
        <v>116</v>
      </c>
      <c r="D131" s="251">
        <f>IF(C131="","",EOMONTH(D130,1))</f>
        <v>47391</v>
      </c>
      <c r="E131" s="250" t="str">
        <f>IF(C131="","",$M$11)</f>
        <v>360</v>
      </c>
      <c r="F131" s="14">
        <f>IF(C131="","",IF($M$12="Actual",D131-D130,30))</f>
        <v>30</v>
      </c>
      <c r="G131" s="24">
        <f>IF(B131="","",L130)</f>
        <v>20622031.83278621</v>
      </c>
      <c r="H131" s="24">
        <f>IF(B131="","",(C131&lt;=$I$10)*I131+(C131&gt;$I$10)*PMT($I$7/(E131/F131),$I$8+$I$10-C130,-G131))</f>
        <v>134480.65037281165</v>
      </c>
      <c r="I131" s="24">
        <f>IF(B131="","",G131*$I$7/E131*F131)</f>
        <v>85925.132636609225</v>
      </c>
      <c r="J131" s="24">
        <f>IF(B131="","",H131-I131)</f>
        <v>48555.517736202426</v>
      </c>
      <c r="K131" s="24">
        <f>IF(B131="","",(C131=$I$9)*(G131-J131))</f>
        <v>0</v>
      </c>
      <c r="L131" s="24">
        <f>IF(B131="","",G131-J131-K131)</f>
        <v>20573476.315050006</v>
      </c>
      <c r="M131" s="24">
        <f>IF(B131="","",I131+J131+K131)</f>
        <v>134480.65037281165</v>
      </c>
    </row>
    <row r="132" spans="2:13" x14ac:dyDescent="0.2">
      <c r="B132" s="22">
        <f>IF(C132="","",ROUNDUP(C132/12,0))</f>
        <v>10</v>
      </c>
      <c r="C132" s="21">
        <f>IF(OR(C131="",C131&gt;=$I$9),"",C131+1)</f>
        <v>117</v>
      </c>
      <c r="D132" s="251">
        <f>IF(C132="","",EOMONTH(D131,1))</f>
        <v>47422</v>
      </c>
      <c r="E132" s="250" t="str">
        <f>IF(C132="","",$M$11)</f>
        <v>360</v>
      </c>
      <c r="F132" s="14">
        <f>IF(C132="","",IF($M$12="Actual",D132-D131,30))</f>
        <v>31</v>
      </c>
      <c r="G132" s="24">
        <f>IF(B132="","",L131)</f>
        <v>20573476.315050006</v>
      </c>
      <c r="H132" s="24">
        <f>IF(B132="","",(C132&lt;=$I$10)*I132+(C132&gt;$I$10)*PMT($I$7/(E132/F132),$I$8+$I$10-C131,-G132))</f>
        <v>136389.14035889681</v>
      </c>
      <c r="I132" s="24">
        <f>IF(B132="","",G132*$I$7/E132*F132)</f>
        <v>88580.245245354192</v>
      </c>
      <c r="J132" s="24">
        <f>IF(B132="","",H132-I132)</f>
        <v>47808.895113542618</v>
      </c>
      <c r="K132" s="24">
        <f>IF(B132="","",(C132=$I$9)*(G132-J132))</f>
        <v>0</v>
      </c>
      <c r="L132" s="24">
        <f>IF(B132="","",G132-J132-K132)</f>
        <v>20525667.419936463</v>
      </c>
      <c r="M132" s="24">
        <f>IF(B132="","",I132+J132+K132)</f>
        <v>136389.14035889681</v>
      </c>
    </row>
    <row r="133" spans="2:13" x14ac:dyDescent="0.2">
      <c r="B133" s="22">
        <f>IF(C133="","",ROUNDUP(C133/12,0))</f>
        <v>10</v>
      </c>
      <c r="C133" s="21">
        <f>IF(OR(C132="",C132&gt;=$I$9),"",C132+1)</f>
        <v>118</v>
      </c>
      <c r="D133" s="251">
        <f>IF(C133="","",EOMONTH(D132,1))</f>
        <v>47452</v>
      </c>
      <c r="E133" s="250" t="str">
        <f>IF(C133="","",$M$11)</f>
        <v>360</v>
      </c>
      <c r="F133" s="14">
        <f>IF(C133="","",IF($M$12="Actual",D133-D132,30))</f>
        <v>30</v>
      </c>
      <c r="G133" s="24">
        <f>IF(B133="","",L132)</f>
        <v>20525667.419936463</v>
      </c>
      <c r="H133" s="24">
        <f>IF(B133="","",(C133&lt;=$I$10)*I133+(C133&gt;$I$10)*PMT($I$7/(E133/F133),$I$8+$I$10-C132,-G133))</f>
        <v>134486.86793446401</v>
      </c>
      <c r="I133" s="24">
        <f>IF(B133="","",G133*$I$7/E133*F133)</f>
        <v>85523.61424973527</v>
      </c>
      <c r="J133" s="24">
        <f>IF(B133="","",H133-I133)</f>
        <v>48963.253684728741</v>
      </c>
      <c r="K133" s="24">
        <f>IF(B133="","",(C133=$I$9)*(G133-J133))</f>
        <v>0</v>
      </c>
      <c r="L133" s="24">
        <f>IF(B133="","",G133-J133-K133)</f>
        <v>20476704.166251734</v>
      </c>
      <c r="M133" s="24">
        <f>IF(B133="","",I133+J133+K133)</f>
        <v>134486.86793446401</v>
      </c>
    </row>
    <row r="134" spans="2:13" x14ac:dyDescent="0.2">
      <c r="B134" s="22">
        <f>IF(C134="","",ROUNDUP(C134/12,0))</f>
        <v>10</v>
      </c>
      <c r="C134" s="21">
        <f>IF(OR(C133="",C133&gt;=$I$9),"",C133+1)</f>
        <v>119</v>
      </c>
      <c r="D134" s="251">
        <f>IF(C134="","",EOMONTH(D133,1))</f>
        <v>47483</v>
      </c>
      <c r="E134" s="250" t="str">
        <f>IF(C134="","",$M$11)</f>
        <v>360</v>
      </c>
      <c r="F134" s="14">
        <f>IF(C134="","",IF($M$12="Actual",D134-D133,30))</f>
        <v>31</v>
      </c>
      <c r="G134" s="24">
        <f>IF(B134="","",L133)</f>
        <v>20476704.166251734</v>
      </c>
      <c r="H134" s="24">
        <f>IF(B134="","",(C134&lt;=$I$10)*I134+(C134&gt;$I$10)*PMT($I$7/(E134/F134),$I$8+$I$10-C133,-G134))</f>
        <v>136382.82288155137</v>
      </c>
      <c r="I134" s="24">
        <f>IF(B134="","",G134*$I$7/E134*F134)</f>
        <v>88163.587382472746</v>
      </c>
      <c r="J134" s="24">
        <f>IF(B134="","",H134-I134)</f>
        <v>48219.235499078626</v>
      </c>
      <c r="K134" s="24">
        <f>IF(B134="","",(C134=$I$9)*(G134-J134))</f>
        <v>0</v>
      </c>
      <c r="L134" s="24">
        <f>IF(B134="","",G134-J134-K134)</f>
        <v>20428484.930752654</v>
      </c>
      <c r="M134" s="24">
        <f>IF(B134="","",I134+J134+K134)</f>
        <v>136382.82288155137</v>
      </c>
    </row>
    <row r="135" spans="2:13" x14ac:dyDescent="0.2">
      <c r="B135" s="22">
        <f>IF(C135="","",ROUNDUP(C135/12,0))</f>
        <v>10</v>
      </c>
      <c r="C135" s="21">
        <f>IF(OR(C134="",C134&gt;=$I$9),"",C134+1)</f>
        <v>120</v>
      </c>
      <c r="D135" s="251">
        <f>IF(C135="","",EOMONTH(D134,1))</f>
        <v>47514</v>
      </c>
      <c r="E135" s="250" t="str">
        <f>IF(C135="","",$M$11)</f>
        <v>360</v>
      </c>
      <c r="F135" s="14">
        <f>IF(C135="","",IF($M$12="Actual",D135-D134,30))</f>
        <v>31</v>
      </c>
      <c r="G135" s="24">
        <f>IF(B135="","",L134)</f>
        <v>20428484.930752654</v>
      </c>
      <c r="H135" s="24">
        <f>IF(B135="","",(C135&lt;=$I$10)*I135+(C135&gt;$I$10)*PMT($I$7/(E135/F135),$I$8+$I$10-C134,-G135))</f>
        <v>136382.82288155134</v>
      </c>
      <c r="I135" s="24">
        <f>IF(B135="","",G135*$I$7/E135*F135)</f>
        <v>87955.976785185034</v>
      </c>
      <c r="J135" s="24">
        <f>IF(B135="","",H135-I135)</f>
        <v>48426.846096366309</v>
      </c>
      <c r="K135" s="24">
        <f>IF(B135="","",(C135=$I$9)*(G135-J135))</f>
        <v>0</v>
      </c>
      <c r="L135" s="24">
        <f>IF(B135="","",G135-J135-K135)</f>
        <v>20380058.084656287</v>
      </c>
      <c r="M135" s="24">
        <f>IF(B135="","",I135+J135+K135)</f>
        <v>136382.82288155134</v>
      </c>
    </row>
    <row r="136" spans="2:13" x14ac:dyDescent="0.2">
      <c r="B136" s="22">
        <f>IF(C136="","",ROUNDUP(C136/12,0))</f>
        <v>11</v>
      </c>
      <c r="C136" s="21">
        <f>IF(OR(C135="",C135&gt;=$I$9),"",C135+1)</f>
        <v>121</v>
      </c>
      <c r="D136" s="251">
        <f>IF(C136="","",EOMONTH(D135,1))</f>
        <v>47542</v>
      </c>
      <c r="E136" s="250" t="str">
        <f>IF(C136="","",$M$11)</f>
        <v>360</v>
      </c>
      <c r="F136" s="14">
        <f>IF(C136="","",IF($M$12="Actual",D136-D135,30))</f>
        <v>28</v>
      </c>
      <c r="G136" s="24">
        <f>IF(B136="","",L135)</f>
        <v>20380058.084656287</v>
      </c>
      <c r="H136" s="24">
        <f>IF(B136="","",(C136&lt;=$I$10)*I136+(C136&gt;$I$10)*PMT($I$7/(E136/F136),$I$8+$I$10-C135,-G136))</f>
        <v>130775.0140579225</v>
      </c>
      <c r="I136" s="24">
        <f>IF(B136="","",G136*$I$7/E136*F136)</f>
        <v>79255.781440330014</v>
      </c>
      <c r="J136" s="24">
        <f>IF(B136="","",H136-I136)</f>
        <v>51519.232617592483</v>
      </c>
      <c r="K136" s="24">
        <f>IF(B136="","",(C136=$I$9)*(G136-J136))</f>
        <v>0</v>
      </c>
      <c r="L136" s="24">
        <f>IF(B136="","",G136-J136-K136)</f>
        <v>20328538.852038693</v>
      </c>
      <c r="M136" s="24">
        <f>IF(B136="","",I136+J136+K136)</f>
        <v>130775.0140579225</v>
      </c>
    </row>
    <row r="137" spans="2:13" x14ac:dyDescent="0.2">
      <c r="B137" s="22">
        <f>IF(C137="","",ROUNDUP(C137/12,0))</f>
        <v>11</v>
      </c>
      <c r="C137" s="21">
        <f>IF(OR(C136="",C136&gt;=$I$9),"",C136+1)</f>
        <v>122</v>
      </c>
      <c r="D137" s="251">
        <f>IF(C137="","",EOMONTH(D136,1))</f>
        <v>47573</v>
      </c>
      <c r="E137" s="250" t="str">
        <f>IF(C137="","",$M$11)</f>
        <v>360</v>
      </c>
      <c r="F137" s="14">
        <f>IF(C137="","",IF($M$12="Actual",D137-D136,30))</f>
        <v>31</v>
      </c>
      <c r="G137" s="24">
        <f>IF(B137="","",L136)</f>
        <v>20328538.852038693</v>
      </c>
      <c r="H137" s="24">
        <f>IF(B137="","",(C137&lt;=$I$10)*I137+(C137&gt;$I$10)*PMT($I$7/(E137/F137),$I$8+$I$10-C136,-G137))</f>
        <v>136363.47785197344</v>
      </c>
      <c r="I137" s="24">
        <f>IF(B137="","",G137*$I$7/E137*F137)</f>
        <v>87525.653390722146</v>
      </c>
      <c r="J137" s="24">
        <f>IF(B137="","",H137-I137)</f>
        <v>48837.824461251294</v>
      </c>
      <c r="K137" s="24">
        <f>IF(B137="","",(C137=$I$9)*(G137-J137))</f>
        <v>0</v>
      </c>
      <c r="L137" s="24">
        <f>IF(B137="","",G137-J137-K137)</f>
        <v>20279701.027577441</v>
      </c>
      <c r="M137" s="24">
        <f>IF(B137="","",I137+J137+K137)</f>
        <v>136363.47785197344</v>
      </c>
    </row>
    <row r="138" spans="2:13" x14ac:dyDescent="0.2">
      <c r="B138" s="22">
        <f>IF(C138="","",ROUNDUP(C138/12,0))</f>
        <v>11</v>
      </c>
      <c r="C138" s="21">
        <f>IF(OR(C137="",C137&gt;=$I$9),"",C137+1)</f>
        <v>123</v>
      </c>
      <c r="D138" s="251">
        <f>IF(C138="","",EOMONTH(D137,1))</f>
        <v>47603</v>
      </c>
      <c r="E138" s="250" t="str">
        <f>IF(C138="","",$M$11)</f>
        <v>360</v>
      </c>
      <c r="F138" s="14">
        <f>IF(C138="","",IF($M$12="Actual",D138-D137,30))</f>
        <v>30</v>
      </c>
      <c r="G138" s="24">
        <f>IF(B138="","",L137)</f>
        <v>20279701.027577441</v>
      </c>
      <c r="H138" s="24">
        <f>IF(B138="","",(C138&lt;=$I$10)*I138+(C138&gt;$I$10)*PMT($I$7/(E138/F138),$I$8+$I$10-C137,-G138))</f>
        <v>134492.82688964554</v>
      </c>
      <c r="I138" s="24">
        <f>IF(B138="","",G138*$I$7/E138*F138)</f>
        <v>84498.754281572677</v>
      </c>
      <c r="J138" s="24">
        <f>IF(B138="","",H138-I138)</f>
        <v>49994.072608072864</v>
      </c>
      <c r="K138" s="24">
        <f>IF(B138="","",(C138=$I$9)*(G138-J138))</f>
        <v>0</v>
      </c>
      <c r="L138" s="24">
        <f>IF(B138="","",G138-J138-K138)</f>
        <v>20229706.954969369</v>
      </c>
      <c r="M138" s="24">
        <f>IF(B138="","",I138+J138+K138)</f>
        <v>134492.82688964554</v>
      </c>
    </row>
    <row r="139" spans="2:13" x14ac:dyDescent="0.2">
      <c r="B139" s="22">
        <f>IF(C139="","",ROUNDUP(C139/12,0))</f>
        <v>11</v>
      </c>
      <c r="C139" s="21">
        <f>IF(OR(C138="",C138&gt;=$I$9),"",C138+1)</f>
        <v>124</v>
      </c>
      <c r="D139" s="251">
        <f>IF(C139="","",EOMONTH(D138,1))</f>
        <v>47634</v>
      </c>
      <c r="E139" s="250" t="str">
        <f>IF(C139="","",$M$11)</f>
        <v>360</v>
      </c>
      <c r="F139" s="14">
        <f>IF(C139="","",IF($M$12="Actual",D139-D138,30))</f>
        <v>31</v>
      </c>
      <c r="G139" s="24">
        <f>IF(B139="","",L138)</f>
        <v>20229706.954969369</v>
      </c>
      <c r="H139" s="24">
        <f>IF(B139="","",(C139&lt;=$I$10)*I139+(C139&gt;$I$10)*PMT($I$7/(E139/F139),$I$8+$I$10-C138,-G139))</f>
        <v>136357.10157090885</v>
      </c>
      <c r="I139" s="24">
        <f>IF(B139="","",G139*$I$7/E139*F139)</f>
        <v>87100.127167229235</v>
      </c>
      <c r="J139" s="24">
        <f>IF(B139="","",H139-I139)</f>
        <v>49256.974403679618</v>
      </c>
      <c r="K139" s="24">
        <f>IF(B139="","",(C139=$I$9)*(G139-J139))</f>
        <v>0</v>
      </c>
      <c r="L139" s="24">
        <f>IF(B139="","",G139-J139-K139)</f>
        <v>20180449.98056569</v>
      </c>
      <c r="M139" s="24">
        <f>IF(B139="","",I139+J139+K139)</f>
        <v>136357.10157090885</v>
      </c>
    </row>
    <row r="140" spans="2:13" x14ac:dyDescent="0.2">
      <c r="B140" s="22">
        <f>IF(C140="","",ROUNDUP(C140/12,0))</f>
        <v>11</v>
      </c>
      <c r="C140" s="21">
        <f>IF(OR(C139="",C139&gt;=$I$9),"",C139+1)</f>
        <v>125</v>
      </c>
      <c r="D140" s="251">
        <f>IF(C140="","",EOMONTH(D139,1))</f>
        <v>47664</v>
      </c>
      <c r="E140" s="250" t="str">
        <f>IF(C140="","",$M$11)</f>
        <v>360</v>
      </c>
      <c r="F140" s="14">
        <f>IF(C140="","",IF($M$12="Actual",D140-D139,30))</f>
        <v>30</v>
      </c>
      <c r="G140" s="24">
        <f>IF(B140="","",L139)</f>
        <v>20180449.98056569</v>
      </c>
      <c r="H140" s="24">
        <f>IF(B140="","",(C140&lt;=$I$10)*I140+(C140&gt;$I$10)*PMT($I$7/(E140/F140),$I$8+$I$10-C139,-G140))</f>
        <v>134499.12785893065</v>
      </c>
      <c r="I140" s="24">
        <f>IF(B140="","",G140*$I$7/E140*F140)</f>
        <v>84085.208252357043</v>
      </c>
      <c r="J140" s="24">
        <f>IF(B140="","",H140-I140)</f>
        <v>50413.919606573603</v>
      </c>
      <c r="K140" s="24">
        <f>IF(B140="","",(C140=$I$9)*(G140-J140))</f>
        <v>0</v>
      </c>
      <c r="L140" s="24">
        <f>IF(B140="","",G140-J140-K140)</f>
        <v>20130036.060959116</v>
      </c>
      <c r="M140" s="24">
        <f>IF(B140="","",I140+J140+K140)</f>
        <v>134499.12785893065</v>
      </c>
    </row>
    <row r="141" spans="2:13" x14ac:dyDescent="0.2">
      <c r="B141" s="22">
        <f>IF(C141="","",ROUNDUP(C141/12,0))</f>
        <v>11</v>
      </c>
      <c r="C141" s="21">
        <f>IF(OR(C140="",C140&gt;=$I$9),"",C140+1)</f>
        <v>126</v>
      </c>
      <c r="D141" s="251">
        <f>IF(C141="","",EOMONTH(D140,1))</f>
        <v>47695</v>
      </c>
      <c r="E141" s="250" t="str">
        <f>IF(C141="","",$M$11)</f>
        <v>360</v>
      </c>
      <c r="F141" s="14">
        <f>IF(C141="","",IF($M$12="Actual",D141-D140,30))</f>
        <v>31</v>
      </c>
      <c r="G141" s="24">
        <f>IF(B141="","",L140)</f>
        <v>20130036.060959116</v>
      </c>
      <c r="H141" s="24">
        <f>IF(B141="","",(C141&lt;=$I$10)*I141+(C141&gt;$I$10)*PMT($I$7/(E141/F141),$I$8+$I$10-C140,-G141))</f>
        <v>136350.7015218313</v>
      </c>
      <c r="I141" s="24">
        <f>IF(B141="","",G141*$I$7/E141*F141)</f>
        <v>86670.988595796196</v>
      </c>
      <c r="J141" s="24">
        <f>IF(B141="","",H141-I141)</f>
        <v>49679.712926035107</v>
      </c>
      <c r="K141" s="24">
        <f>IF(B141="","",(C141=$I$9)*(G141-J141))</f>
        <v>0</v>
      </c>
      <c r="L141" s="24">
        <f>IF(B141="","",G141-J141-K141)</f>
        <v>20080356.348033082</v>
      </c>
      <c r="M141" s="24">
        <f>IF(B141="","",I141+J141+K141)</f>
        <v>136350.7015218313</v>
      </c>
    </row>
    <row r="142" spans="2:13" x14ac:dyDescent="0.2">
      <c r="B142" s="22">
        <f>IF(C142="","",ROUNDUP(C142/12,0))</f>
        <v>11</v>
      </c>
      <c r="C142" s="21">
        <f>IF(OR(C141="",C141&gt;=$I$9),"",C141+1)</f>
        <v>127</v>
      </c>
      <c r="D142" s="251">
        <f>IF(C142="","",EOMONTH(D141,1))</f>
        <v>47726</v>
      </c>
      <c r="E142" s="250" t="str">
        <f>IF(C142="","",$M$11)</f>
        <v>360</v>
      </c>
      <c r="F142" s="14">
        <f>IF(C142="","",IF($M$12="Actual",D142-D141,30))</f>
        <v>31</v>
      </c>
      <c r="G142" s="24">
        <f>IF(B142="","",L141)</f>
        <v>20080356.348033082</v>
      </c>
      <c r="H142" s="24">
        <f>IF(B142="","",(C142&lt;=$I$10)*I142+(C142&gt;$I$10)*PMT($I$7/(E142/F142),$I$8+$I$10-C141,-G142))</f>
        <v>136350.7015218313</v>
      </c>
      <c r="I142" s="24">
        <f>IF(B142="","",G142*$I$7/E142*F142)</f>
        <v>86457.089831809091</v>
      </c>
      <c r="J142" s="24">
        <f>IF(B142="","",H142-I142)</f>
        <v>49893.611690022211</v>
      </c>
      <c r="K142" s="24">
        <f>IF(B142="","",(C142=$I$9)*(G142-J142))</f>
        <v>0</v>
      </c>
      <c r="L142" s="24">
        <f>IF(B142="","",G142-J142-K142)</f>
        <v>20030462.73634306</v>
      </c>
      <c r="M142" s="24">
        <f>IF(B142="","",I142+J142+K142)</f>
        <v>136350.7015218313</v>
      </c>
    </row>
    <row r="143" spans="2:13" x14ac:dyDescent="0.2">
      <c r="B143" s="22">
        <f>IF(C143="","",ROUNDUP(C143/12,0))</f>
        <v>11</v>
      </c>
      <c r="C143" s="21">
        <f>IF(OR(C142="",C142&gt;=$I$9),"",C142+1)</f>
        <v>128</v>
      </c>
      <c r="D143" s="251">
        <f>IF(C143="","",EOMONTH(D142,1))</f>
        <v>47756</v>
      </c>
      <c r="E143" s="250" t="str">
        <f>IF(C143="","",$M$11)</f>
        <v>360</v>
      </c>
      <c r="F143" s="14">
        <f>IF(C143="","",IF($M$12="Actual",D143-D142,30))</f>
        <v>30</v>
      </c>
      <c r="G143" s="24">
        <f>IF(B143="","",L142)</f>
        <v>20030462.73634306</v>
      </c>
      <c r="H143" s="24">
        <f>IF(B143="","",(C143&lt;=$I$10)*I143+(C143&gt;$I$10)*PMT($I$7/(E143/F143),$I$8+$I$10-C142,-G143))</f>
        <v>134511.79010093558</v>
      </c>
      <c r="I143" s="24">
        <f>IF(B143="","",G143*$I$7/E143*F143)</f>
        <v>83460.261401429423</v>
      </c>
      <c r="J143" s="24">
        <f>IF(B143="","",H143-I143)</f>
        <v>51051.528699506162</v>
      </c>
      <c r="K143" s="24">
        <f>IF(B143="","",(C143=$I$9)*(G143-J143))</f>
        <v>0</v>
      </c>
      <c r="L143" s="24">
        <f>IF(B143="","",G143-J143-K143)</f>
        <v>19979411.207643554</v>
      </c>
      <c r="M143" s="24">
        <f>IF(B143="","",I143+J143+K143)</f>
        <v>134511.79010093558</v>
      </c>
    </row>
    <row r="144" spans="2:13" x14ac:dyDescent="0.2">
      <c r="B144" s="22">
        <f>IF(C144="","",ROUNDUP(C144/12,0))</f>
        <v>11</v>
      </c>
      <c r="C144" s="21">
        <f>IF(OR(C143="",C143&gt;=$I$9),"",C143+1)</f>
        <v>129</v>
      </c>
      <c r="D144" s="251">
        <f>IF(C144="","",EOMONTH(D143,1))</f>
        <v>47787</v>
      </c>
      <c r="E144" s="250" t="str">
        <f>IF(C144="","",$M$11)</f>
        <v>360</v>
      </c>
      <c r="F144" s="14">
        <f>IF(C144="","",IF($M$12="Actual",D144-D143,30))</f>
        <v>31</v>
      </c>
      <c r="G144" s="24">
        <f>IF(B144="","",L143)</f>
        <v>19979411.207643554</v>
      </c>
      <c r="H144" s="24">
        <f>IF(B144="","",(C144&lt;=$I$10)*I144+(C144&gt;$I$10)*PMT($I$7/(E144/F144),$I$8+$I$10-C143,-G144))</f>
        <v>136344.26560105279</v>
      </c>
      <c r="I144" s="24">
        <f>IF(B144="","",G144*$I$7/E144*F144)</f>
        <v>86022.464921798644</v>
      </c>
      <c r="J144" s="24">
        <f>IF(B144="","",H144-I144)</f>
        <v>50321.800679254142</v>
      </c>
      <c r="K144" s="24">
        <f>IF(B144="","",(C144=$I$9)*(G144-J144))</f>
        <v>0</v>
      </c>
      <c r="L144" s="24">
        <f>IF(B144="","",G144-J144-K144)</f>
        <v>19929089.406964298</v>
      </c>
      <c r="M144" s="24">
        <f>IF(B144="","",I144+J144+K144)</f>
        <v>136344.26560105279</v>
      </c>
    </row>
    <row r="145" spans="2:13" x14ac:dyDescent="0.2">
      <c r="B145" s="22">
        <f>IF(C145="","",ROUNDUP(C145/12,0))</f>
        <v>11</v>
      </c>
      <c r="C145" s="21">
        <f>IF(OR(C144="",C144&gt;=$I$9),"",C144+1)</f>
        <v>130</v>
      </c>
      <c r="D145" s="251">
        <f>IF(C145="","",EOMONTH(D144,1))</f>
        <v>47817</v>
      </c>
      <c r="E145" s="250" t="str">
        <f>IF(C145="","",$M$11)</f>
        <v>360</v>
      </c>
      <c r="F145" s="14">
        <f>IF(C145="","",IF($M$12="Actual",D145-D144,30))</f>
        <v>30</v>
      </c>
      <c r="G145" s="24">
        <f>IF(B145="","",L144)</f>
        <v>19929089.406964298</v>
      </c>
      <c r="H145" s="24">
        <f>IF(B145="","",(C145&lt;=$I$10)*I145+(C145&gt;$I$10)*PMT($I$7/(E145/F145),$I$8+$I$10-C144,-G145))</f>
        <v>134518.1514378922</v>
      </c>
      <c r="I145" s="24">
        <f>IF(B145="","",G145*$I$7/E145*F145)</f>
        <v>83037.872529017914</v>
      </c>
      <c r="J145" s="24">
        <f>IF(B145="","",H145-I145)</f>
        <v>51480.278908874287</v>
      </c>
      <c r="K145" s="24">
        <f>IF(B145="","",(C145=$I$9)*(G145-J145))</f>
        <v>0</v>
      </c>
      <c r="L145" s="24">
        <f>IF(B145="","",G145-J145-K145)</f>
        <v>19877609.128055423</v>
      </c>
      <c r="M145" s="24">
        <f>IF(B145="","",I145+J145+K145)</f>
        <v>134518.1514378922</v>
      </c>
    </row>
    <row r="146" spans="2:13" x14ac:dyDescent="0.2">
      <c r="B146" s="22">
        <f>IF(C146="","",ROUNDUP(C146/12,0))</f>
        <v>11</v>
      </c>
      <c r="C146" s="21">
        <f>IF(OR(C145="",C145&gt;=$I$9),"",C145+1)</f>
        <v>131</v>
      </c>
      <c r="D146" s="251">
        <f>IF(C146="","",EOMONTH(D145,1))</f>
        <v>47848</v>
      </c>
      <c r="E146" s="250" t="str">
        <f>IF(C146="","",$M$11)</f>
        <v>360</v>
      </c>
      <c r="F146" s="14">
        <f>IF(C146="","",IF($M$12="Actual",D146-D145,30))</f>
        <v>31</v>
      </c>
      <c r="G146" s="24">
        <f>IF(B146="","",L145)</f>
        <v>19877609.128055423</v>
      </c>
      <c r="H146" s="24">
        <f>IF(B146="","",(C146&lt;=$I$10)*I146+(C146&gt;$I$10)*PMT($I$7/(E146/F146),$I$8+$I$10-C145,-G146))</f>
        <v>136337.80582115616</v>
      </c>
      <c r="I146" s="24">
        <f>IF(B146="","",G146*$I$7/E146*F146)</f>
        <v>85584.150412460862</v>
      </c>
      <c r="J146" s="24">
        <f>IF(B146="","",H146-I146)</f>
        <v>50753.655408695297</v>
      </c>
      <c r="K146" s="24">
        <f>IF(B146="","",(C146=$I$9)*(G146-J146))</f>
        <v>0</v>
      </c>
      <c r="L146" s="24">
        <f>IF(B146="","",G146-J146-K146)</f>
        <v>19826855.472646728</v>
      </c>
      <c r="M146" s="24">
        <f>IF(B146="","",I146+J146+K146)</f>
        <v>136337.80582115616</v>
      </c>
    </row>
    <row r="147" spans="2:13" x14ac:dyDescent="0.2">
      <c r="B147" s="22">
        <f>IF(C147="","",ROUNDUP(C147/12,0))</f>
        <v>11</v>
      </c>
      <c r="C147" s="21">
        <f>IF(OR(C146="",C146&gt;=$I$9),"",C146+1)</f>
        <v>132</v>
      </c>
      <c r="D147" s="251">
        <f>IF(C147="","",EOMONTH(D146,1))</f>
        <v>47879</v>
      </c>
      <c r="E147" s="250" t="str">
        <f>IF(C147="","",$M$11)</f>
        <v>360</v>
      </c>
      <c r="F147" s="14">
        <f>IF(C147="","",IF($M$12="Actual",D147-D146,30))</f>
        <v>31</v>
      </c>
      <c r="G147" s="24">
        <f>IF(B147="","",L146)</f>
        <v>19826855.472646728</v>
      </c>
      <c r="H147" s="24">
        <f>IF(B147="","",(C147&lt;=$I$10)*I147+(C147&gt;$I$10)*PMT($I$7/(E147/F147),$I$8+$I$10-C146,-G147))</f>
        <v>136337.80582115616</v>
      </c>
      <c r="I147" s="24">
        <f>IF(B147="","",G147*$I$7/E147*F147)</f>
        <v>85365.627729451182</v>
      </c>
      <c r="J147" s="24">
        <f>IF(B147="","",H147-I147)</f>
        <v>50972.178091704976</v>
      </c>
      <c r="K147" s="24">
        <f>IF(B147="","",(C147=$I$9)*(G147-J147))</f>
        <v>0</v>
      </c>
      <c r="L147" s="24">
        <f>IF(B147="","",G147-J147-K147)</f>
        <v>19775883.294555023</v>
      </c>
      <c r="M147" s="24">
        <f>IF(B147="","",I147+J147+K147)</f>
        <v>136337.80582115616</v>
      </c>
    </row>
    <row r="148" spans="2:13" x14ac:dyDescent="0.2">
      <c r="B148" s="22">
        <f>IF(C148="","",ROUNDUP(C148/12,0))</f>
        <v>12</v>
      </c>
      <c r="C148" s="21">
        <f>IF(OR(C147="",C147&gt;=$I$9),"",C147+1)</f>
        <v>133</v>
      </c>
      <c r="D148" s="251">
        <f>IF(C148="","",EOMONTH(D147,1))</f>
        <v>47907</v>
      </c>
      <c r="E148" s="250" t="str">
        <f>IF(C148="","",$M$11)</f>
        <v>360</v>
      </c>
      <c r="F148" s="14">
        <f>IF(C148="","",IF($M$12="Actual",D148-D147,30))</f>
        <v>28</v>
      </c>
      <c r="G148" s="24">
        <f>IF(B148="","",L147)</f>
        <v>19775883.294555023</v>
      </c>
      <c r="H148" s="24">
        <f>IF(B148="","",(C148&lt;=$I$10)*I148+(C148&gt;$I$10)*PMT($I$7/(E148/F148),$I$8+$I$10-C147,-G148))</f>
        <v>130956.80373569265</v>
      </c>
      <c r="I148" s="24">
        <f>IF(B148="","",G148*$I$7/E148*F148)</f>
        <v>76906.212812158425</v>
      </c>
      <c r="J148" s="24">
        <f>IF(B148="","",H148-I148)</f>
        <v>54050.590923534226</v>
      </c>
      <c r="K148" s="24">
        <f>IF(B148="","",(C148=$I$9)*(G148-J148))</f>
        <v>0</v>
      </c>
      <c r="L148" s="24">
        <f>IF(B148="","",G148-J148-K148)</f>
        <v>19721832.70363149</v>
      </c>
      <c r="M148" s="24">
        <f>IF(B148="","",I148+J148+K148)</f>
        <v>130956.80373569265</v>
      </c>
    </row>
    <row r="149" spans="2:13" x14ac:dyDescent="0.2">
      <c r="B149" s="22">
        <f>IF(C149="","",ROUNDUP(C149/12,0))</f>
        <v>12</v>
      </c>
      <c r="C149" s="21">
        <f>IF(OR(C148="",C148&gt;=$I$9),"",C148+1)</f>
        <v>134</v>
      </c>
      <c r="D149" s="251">
        <f>IF(C149="","",EOMONTH(D148,1))</f>
        <v>47938</v>
      </c>
      <c r="E149" s="250" t="str">
        <f>IF(C149="","",$M$11)</f>
        <v>360</v>
      </c>
      <c r="F149" s="14">
        <f>IF(C149="","",IF($M$12="Actual",D149-D148,30))</f>
        <v>31</v>
      </c>
      <c r="G149" s="24">
        <f>IF(B149="","",L148)</f>
        <v>19721832.70363149</v>
      </c>
      <c r="H149" s="24">
        <f>IF(B149="","",(C149&lt;=$I$10)*I149+(C149&gt;$I$10)*PMT($I$7/(E149/F149),$I$8+$I$10-C148,-G149))</f>
        <v>136318.04465684298</v>
      </c>
      <c r="I149" s="24">
        <f>IF(B149="","",G149*$I$7/E149*F149)</f>
        <v>84913.446362857809</v>
      </c>
      <c r="J149" s="24">
        <f>IF(B149="","",H149-I149)</f>
        <v>51404.598293985167</v>
      </c>
      <c r="K149" s="24">
        <f>IF(B149="","",(C149=$I$9)*(G149-J149))</f>
        <v>0</v>
      </c>
      <c r="L149" s="24">
        <f>IF(B149="","",G149-J149-K149)</f>
        <v>19670428.105337504</v>
      </c>
      <c r="M149" s="24">
        <f>IF(B149="","",I149+J149+K149)</f>
        <v>136318.04465684298</v>
      </c>
    </row>
    <row r="150" spans="2:13" x14ac:dyDescent="0.2">
      <c r="B150" s="22">
        <f>IF(C150="","",ROUNDUP(C150/12,0))</f>
        <v>12</v>
      </c>
      <c r="C150" s="21">
        <f>IF(OR(C149="",C149&gt;=$I$9),"",C149+1)</f>
        <v>135</v>
      </c>
      <c r="D150" s="251">
        <f>IF(C150="","",EOMONTH(D149,1))</f>
        <v>47968</v>
      </c>
      <c r="E150" s="250" t="str">
        <f>IF(C150="","",$M$11)</f>
        <v>360</v>
      </c>
      <c r="F150" s="14">
        <f>IF(C150="","",IF($M$12="Actual",D150-D149,30))</f>
        <v>30</v>
      </c>
      <c r="G150" s="24">
        <f>IF(B150="","",L149)</f>
        <v>19670428.105337504</v>
      </c>
      <c r="H150" s="24">
        <f>IF(B150="","",(C150&lt;=$I$10)*I150+(C150&gt;$I$10)*PMT($I$7/(E150/F150),$I$8+$I$10-C149,-G150))</f>
        <v>134524.26583772528</v>
      </c>
      <c r="I150" s="24">
        <f>IF(B150="","",G150*$I$7/E150*F150)</f>
        <v>81960.117105572936</v>
      </c>
      <c r="J150" s="24">
        <f>IF(B150="","",H150-I150)</f>
        <v>52564.148732152345</v>
      </c>
      <c r="K150" s="24">
        <f>IF(B150="","",(C150=$I$9)*(G150-J150))</f>
        <v>0</v>
      </c>
      <c r="L150" s="24">
        <f>IF(B150="","",G150-J150-K150)</f>
        <v>19617863.956605352</v>
      </c>
      <c r="M150" s="24">
        <f>IF(B150="","",I150+J150+K150)</f>
        <v>134524.26583772528</v>
      </c>
    </row>
    <row r="151" spans="2:13" x14ac:dyDescent="0.2">
      <c r="B151" s="22">
        <f>IF(C151="","",ROUNDUP(C151/12,0))</f>
        <v>12</v>
      </c>
      <c r="C151" s="21">
        <f>IF(OR(C150="",C150&gt;=$I$9),"",C150+1)</f>
        <v>136</v>
      </c>
      <c r="D151" s="251">
        <f>IF(C151="","",EOMONTH(D150,1))</f>
        <v>47999</v>
      </c>
      <c r="E151" s="250" t="str">
        <f>IF(C151="","",$M$11)</f>
        <v>360</v>
      </c>
      <c r="F151" s="14">
        <f>IF(C151="","",IF($M$12="Actual",D151-D150,30))</f>
        <v>31</v>
      </c>
      <c r="G151" s="24">
        <f>IF(B151="","",L150)</f>
        <v>19617863.956605352</v>
      </c>
      <c r="H151" s="24">
        <f>IF(B151="","",(C151&lt;=$I$10)*I151+(C151&gt;$I$10)*PMT($I$7/(E151/F151),$I$8+$I$10-C150,-G151))</f>
        <v>136311.52555298698</v>
      </c>
      <c r="I151" s="24">
        <f>IF(B151="","",G151*$I$7/E151*F151)</f>
        <v>84465.80314649528</v>
      </c>
      <c r="J151" s="24">
        <f>IF(B151="","",H151-I151)</f>
        <v>51845.722406491695</v>
      </c>
      <c r="K151" s="24">
        <f>IF(B151="","",(C151=$I$9)*(G151-J151))</f>
        <v>0</v>
      </c>
      <c r="L151" s="24">
        <f>IF(B151="","",G151-J151-K151)</f>
        <v>19566018.234198861</v>
      </c>
      <c r="M151" s="24">
        <f>IF(B151="","",I151+J151+K151)</f>
        <v>136311.52555298698</v>
      </c>
    </row>
    <row r="152" spans="2:13" x14ac:dyDescent="0.2">
      <c r="B152" s="22">
        <f>IF(C152="","",ROUNDUP(C152/12,0))</f>
        <v>12</v>
      </c>
      <c r="C152" s="21">
        <f>IF(OR(C151="",C151&gt;=$I$9),"",C151+1)</f>
        <v>137</v>
      </c>
      <c r="D152" s="251">
        <f>IF(C152="","",EOMONTH(D151,1))</f>
        <v>48029</v>
      </c>
      <c r="E152" s="250" t="str">
        <f>IF(C152="","",$M$11)</f>
        <v>360</v>
      </c>
      <c r="F152" s="14">
        <f>IF(C152="","",IF($M$12="Actual",D152-D151,30))</f>
        <v>30</v>
      </c>
      <c r="G152" s="24">
        <f>IF(B152="","",L151)</f>
        <v>19566018.234198861</v>
      </c>
      <c r="H152" s="24">
        <f>IF(B152="","",(C152&lt;=$I$10)*I152+(C152&gt;$I$10)*PMT($I$7/(E152/F152),$I$8+$I$10-C151,-G152))</f>
        <v>134530.71144942625</v>
      </c>
      <c r="I152" s="24">
        <f>IF(B152="","",G152*$I$7/E152*F152)</f>
        <v>81525.075975828586</v>
      </c>
      <c r="J152" s="24">
        <f>IF(B152="","",H152-I152)</f>
        <v>53005.635473597664</v>
      </c>
      <c r="K152" s="24">
        <f>IF(B152="","",(C152=$I$9)*(G152-J152))</f>
        <v>0</v>
      </c>
      <c r="L152" s="24">
        <f>IF(B152="","",G152-J152-K152)</f>
        <v>19513012.598725263</v>
      </c>
      <c r="M152" s="24">
        <f>IF(B152="","",I152+J152+K152)</f>
        <v>134530.71144942625</v>
      </c>
    </row>
    <row r="153" spans="2:13" x14ac:dyDescent="0.2">
      <c r="B153" s="22">
        <f>IF(C153="","",ROUNDUP(C153/12,0))</f>
        <v>12</v>
      </c>
      <c r="C153" s="21">
        <f>IF(OR(C152="",C152&gt;=$I$9),"",C152+1)</f>
        <v>138</v>
      </c>
      <c r="D153" s="251">
        <f>IF(C153="","",EOMONTH(D152,1))</f>
        <v>48060</v>
      </c>
      <c r="E153" s="250" t="str">
        <f>IF(C153="","",$M$11)</f>
        <v>360</v>
      </c>
      <c r="F153" s="14">
        <f>IF(C153="","",IF($M$12="Actual",D153-D152,30))</f>
        <v>31</v>
      </c>
      <c r="G153" s="24">
        <f>IF(B153="","",L152)</f>
        <v>19513012.598725263</v>
      </c>
      <c r="H153" s="24">
        <f>IF(B153="","",(C153&lt;=$I$10)*I153+(C153&gt;$I$10)*PMT($I$7/(E153/F153),$I$8+$I$10-C152,-G153))</f>
        <v>136304.98246799471</v>
      </c>
      <c r="I153" s="24">
        <f>IF(B153="","",G153*$I$7/E153*F153)</f>
        <v>84014.359800067105</v>
      </c>
      <c r="J153" s="24">
        <f>IF(B153="","",H153-I153)</f>
        <v>52290.622667927601</v>
      </c>
      <c r="K153" s="24">
        <f>IF(B153="","",(C153=$I$9)*(G153-J153))</f>
        <v>0</v>
      </c>
      <c r="L153" s="24">
        <f>IF(B153="","",G153-J153-K153)</f>
        <v>19460721.976057336</v>
      </c>
      <c r="M153" s="24">
        <f>IF(B153="","",I153+J153+K153)</f>
        <v>136304.98246799471</v>
      </c>
    </row>
    <row r="154" spans="2:13" x14ac:dyDescent="0.2">
      <c r="B154" s="22">
        <f>IF(C154="","",ROUNDUP(C154/12,0))</f>
        <v>12</v>
      </c>
      <c r="C154" s="21">
        <f>IF(OR(C153="",C153&gt;=$I$9),"",C153+1)</f>
        <v>139</v>
      </c>
      <c r="D154" s="251">
        <f>IF(C154="","",EOMONTH(D153,1))</f>
        <v>48091</v>
      </c>
      <c r="E154" s="250" t="str">
        <f>IF(C154="","",$M$11)</f>
        <v>360</v>
      </c>
      <c r="F154" s="14">
        <f>IF(C154="","",IF($M$12="Actual",D154-D153,30))</f>
        <v>31</v>
      </c>
      <c r="G154" s="24">
        <f>IF(B154="","",L153)</f>
        <v>19460721.976057336</v>
      </c>
      <c r="H154" s="24">
        <f>IF(B154="","",(C154&lt;=$I$10)*I154+(C154&gt;$I$10)*PMT($I$7/(E154/F154),$I$8+$I$10-C153,-G154))</f>
        <v>136304.98246799471</v>
      </c>
      <c r="I154" s="24">
        <f>IF(B154="","",G154*$I$7/E154*F154)</f>
        <v>83789.219619135765</v>
      </c>
      <c r="J154" s="24">
        <f>IF(B154="","",H154-I154)</f>
        <v>52515.76284885894</v>
      </c>
      <c r="K154" s="24">
        <f>IF(B154="","",(C154=$I$9)*(G154-J154))</f>
        <v>0</v>
      </c>
      <c r="L154" s="24">
        <f>IF(B154="","",G154-J154-K154)</f>
        <v>19408206.213208478</v>
      </c>
      <c r="M154" s="24">
        <f>IF(B154="","",I154+J154+K154)</f>
        <v>136304.98246799471</v>
      </c>
    </row>
    <row r="155" spans="2:13" x14ac:dyDescent="0.2">
      <c r="B155" s="22">
        <f>IF(C155="","",ROUNDUP(C155/12,0))</f>
        <v>12</v>
      </c>
      <c r="C155" s="21">
        <f>IF(OR(C154="",C154&gt;=$I$9),"",C154+1)</f>
        <v>140</v>
      </c>
      <c r="D155" s="251">
        <f>IF(C155="","",EOMONTH(D154,1))</f>
        <v>48121</v>
      </c>
      <c r="E155" s="250" t="str">
        <f>IF(C155="","",$M$11)</f>
        <v>360</v>
      </c>
      <c r="F155" s="14">
        <f>IF(C155="","",IF($M$12="Actual",D155-D154,30))</f>
        <v>30</v>
      </c>
      <c r="G155" s="24">
        <f>IF(B155="","",L154)</f>
        <v>19408206.213208478</v>
      </c>
      <c r="H155" s="24">
        <f>IF(B155="","",(C155&lt;=$I$10)*I155+(C155&gt;$I$10)*PMT($I$7/(E155/F155),$I$8+$I$10-C154,-G155))</f>
        <v>134543.66360812401</v>
      </c>
      <c r="I155" s="24">
        <f>IF(B155="","",G155*$I$7/E155*F155)</f>
        <v>80867.525888368662</v>
      </c>
      <c r="J155" s="24">
        <f>IF(B155="","",H155-I155)</f>
        <v>53676.137719755352</v>
      </c>
      <c r="K155" s="24">
        <f>IF(B155="","",(C155=$I$9)*(G155-J155))</f>
        <v>0</v>
      </c>
      <c r="L155" s="24">
        <f>IF(B155="","",G155-J155-K155)</f>
        <v>19354530.075488724</v>
      </c>
      <c r="M155" s="24">
        <f>IF(B155="","",I155+J155+K155)</f>
        <v>134543.66360812401</v>
      </c>
    </row>
    <row r="156" spans="2:13" x14ac:dyDescent="0.2">
      <c r="B156" s="22">
        <f>IF(C156="","",ROUNDUP(C156/12,0))</f>
        <v>12</v>
      </c>
      <c r="C156" s="21">
        <f>IF(OR(C155="",C155&gt;=$I$9),"",C155+1)</f>
        <v>141</v>
      </c>
      <c r="D156" s="251">
        <f>IF(C156="","",EOMONTH(D155,1))</f>
        <v>48152</v>
      </c>
      <c r="E156" s="250" t="str">
        <f>IF(C156="","",$M$11)</f>
        <v>360</v>
      </c>
      <c r="F156" s="14">
        <f>IF(C156="","",IF($M$12="Actual",D156-D155,30))</f>
        <v>31</v>
      </c>
      <c r="G156" s="24">
        <f>IF(B156="","",L155)</f>
        <v>19354530.075488724</v>
      </c>
      <c r="H156" s="24">
        <f>IF(B156="","",(C156&lt;=$I$10)*I156+(C156&gt;$I$10)*PMT($I$7/(E156/F156),$I$8+$I$10-C155,-G156))</f>
        <v>136298.40318794971</v>
      </c>
      <c r="I156" s="24">
        <f>IF(B156="","",G156*$I$7/E156*F156)</f>
        <v>83332.004491687549</v>
      </c>
      <c r="J156" s="24">
        <f>IF(B156="","",H156-I156)</f>
        <v>52966.398696262157</v>
      </c>
      <c r="K156" s="24">
        <f>IF(B156="","",(C156=$I$9)*(G156-J156))</f>
        <v>0</v>
      </c>
      <c r="L156" s="24">
        <f>IF(B156="","",G156-J156-K156)</f>
        <v>19301563.676792461</v>
      </c>
      <c r="M156" s="24">
        <f>IF(B156="","",I156+J156+K156)</f>
        <v>136298.40318794971</v>
      </c>
    </row>
    <row r="157" spans="2:13" x14ac:dyDescent="0.2">
      <c r="B157" s="22">
        <f>IF(C157="","",ROUNDUP(C157/12,0))</f>
        <v>12</v>
      </c>
      <c r="C157" s="21">
        <f>IF(OR(C156="",C156&gt;=$I$9),"",C156+1)</f>
        <v>142</v>
      </c>
      <c r="D157" s="251">
        <f>IF(C157="","",EOMONTH(D156,1))</f>
        <v>48182</v>
      </c>
      <c r="E157" s="250" t="str">
        <f>IF(C157="","",$M$11)</f>
        <v>360</v>
      </c>
      <c r="F157" s="14">
        <f>IF(C157="","",IF($M$12="Actual",D157-D156,30))</f>
        <v>30</v>
      </c>
      <c r="G157" s="24">
        <f>IF(B157="","",L156)</f>
        <v>19301563.676792461</v>
      </c>
      <c r="H157" s="24">
        <f>IF(B157="","",(C157&lt;=$I$10)*I157+(C157&gt;$I$10)*PMT($I$7/(E157/F157),$I$8+$I$10-C156,-G157))</f>
        <v>134550.17021718959</v>
      </c>
      <c r="I157" s="24">
        <f>IF(B157="","",G157*$I$7/E157*F157)</f>
        <v>80423.18198663526</v>
      </c>
      <c r="J157" s="24">
        <f>IF(B157="","",H157-I157)</f>
        <v>54126.988230554329</v>
      </c>
      <c r="K157" s="24">
        <f>IF(B157="","",(C157=$I$9)*(G157-J157))</f>
        <v>0</v>
      </c>
      <c r="L157" s="24">
        <f>IF(B157="","",G157-J157-K157)</f>
        <v>19247436.688561909</v>
      </c>
      <c r="M157" s="24">
        <f>IF(B157="","",I157+J157+K157)</f>
        <v>134550.17021718959</v>
      </c>
    </row>
    <row r="158" spans="2:13" x14ac:dyDescent="0.2">
      <c r="B158" s="22">
        <f>IF(C158="","",ROUNDUP(C158/12,0))</f>
        <v>12</v>
      </c>
      <c r="C158" s="21">
        <f>IF(OR(C157="",C157&gt;=$I$9),"",C157+1)</f>
        <v>143</v>
      </c>
      <c r="D158" s="251">
        <f>IF(C158="","",EOMONTH(D157,1))</f>
        <v>48213</v>
      </c>
      <c r="E158" s="250" t="str">
        <f>IF(C158="","",$M$11)</f>
        <v>360</v>
      </c>
      <c r="F158" s="14">
        <f>IF(C158="","",IF($M$12="Actual",D158-D157,30))</f>
        <v>31</v>
      </c>
      <c r="G158" s="24">
        <f>IF(B158="","",L157)</f>
        <v>19247436.688561909</v>
      </c>
      <c r="H158" s="24">
        <f>IF(B158="","",(C158&lt;=$I$10)*I158+(C158&gt;$I$10)*PMT($I$7/(E158/F158),$I$8+$I$10-C157,-G158))</f>
        <v>136291.79983994761</v>
      </c>
      <c r="I158" s="24">
        <f>IF(B158="","",G158*$I$7/E158*F158)</f>
        <v>82870.907964641548</v>
      </c>
      <c r="J158" s="24">
        <f>IF(B158="","",H158-I158)</f>
        <v>53420.891875306057</v>
      </c>
      <c r="K158" s="24">
        <f>IF(B158="","",(C158=$I$9)*(G158-J158))</f>
        <v>0</v>
      </c>
      <c r="L158" s="24">
        <f>IF(B158="","",G158-J158-K158)</f>
        <v>19194015.796686605</v>
      </c>
      <c r="M158" s="24">
        <f>IF(B158="","",I158+J158+K158)</f>
        <v>136291.79983994761</v>
      </c>
    </row>
    <row r="159" spans="2:13" x14ac:dyDescent="0.2">
      <c r="B159" s="22">
        <f>IF(C159="","",ROUNDUP(C159/12,0))</f>
        <v>12</v>
      </c>
      <c r="C159" s="21">
        <f>IF(OR(C158="",C158&gt;=$I$9),"",C158+1)</f>
        <v>144</v>
      </c>
      <c r="D159" s="251">
        <f>IF(C159="","",EOMONTH(D158,1))</f>
        <v>48244</v>
      </c>
      <c r="E159" s="250" t="str">
        <f>IF(C159="","",$M$11)</f>
        <v>360</v>
      </c>
      <c r="F159" s="14">
        <f>IF(C159="","",IF($M$12="Actual",D159-D158,30))</f>
        <v>31</v>
      </c>
      <c r="G159" s="24">
        <f>IF(B159="","",L158)</f>
        <v>19194015.796686605</v>
      </c>
      <c r="H159" s="24">
        <f>IF(B159="","",(C159&lt;=$I$10)*I159+(C159&gt;$I$10)*PMT($I$7/(E159/F159),$I$8+$I$10-C158,-G159))</f>
        <v>136291.79983994766</v>
      </c>
      <c r="I159" s="24">
        <f>IF(B159="","",G159*$I$7/E159*F159)</f>
        <v>82640.901346845116</v>
      </c>
      <c r="J159" s="24">
        <f>IF(B159="","",H159-I159)</f>
        <v>53650.898493102548</v>
      </c>
      <c r="K159" s="24">
        <f>IF(B159="","",(C159=$I$9)*(G159-J159))</f>
        <v>0</v>
      </c>
      <c r="L159" s="24">
        <f>IF(B159="","",G159-J159-K159)</f>
        <v>19140364.898193501</v>
      </c>
      <c r="M159" s="24">
        <f>IF(B159="","",I159+J159+K159)</f>
        <v>136291.79983994766</v>
      </c>
    </row>
    <row r="160" spans="2:13" x14ac:dyDescent="0.2">
      <c r="B160" s="22">
        <f>IF(C160="","",ROUNDUP(C160/12,0))</f>
        <v>13</v>
      </c>
      <c r="C160" s="21">
        <f>IF(OR(C159="",C159&gt;=$I$9),"",C159+1)</f>
        <v>145</v>
      </c>
      <c r="D160" s="251">
        <f>IF(C160="","",EOMONTH(D159,1))</f>
        <v>48273</v>
      </c>
      <c r="E160" s="250" t="str">
        <f>IF(C160="","",$M$11)</f>
        <v>360</v>
      </c>
      <c r="F160" s="14">
        <f>IF(C160="","",IF($M$12="Actual",D160-D159,30))</f>
        <v>29</v>
      </c>
      <c r="G160" s="24">
        <f>IF(B160="","",L159)</f>
        <v>19140364.898193501</v>
      </c>
      <c r="H160" s="24">
        <f>IF(B160="","",(C160&lt;=$I$10)*I160+(C160&gt;$I$10)*PMT($I$7/(E160/F160),$I$8+$I$10-C159,-G160))</f>
        <v>132846.88208344864</v>
      </c>
      <c r="I160" s="24">
        <f>IF(B160="","",G160*$I$7/E160*F160)</f>
        <v>77093.136395501599</v>
      </c>
      <c r="J160" s="24">
        <f>IF(B160="","",H160-I160)</f>
        <v>55753.745687947041</v>
      </c>
      <c r="K160" s="24">
        <f>IF(B160="","",(C160=$I$9)*(G160-J160))</f>
        <v>0</v>
      </c>
      <c r="L160" s="24">
        <f>IF(B160="","",G160-J160-K160)</f>
        <v>19084611.152505554</v>
      </c>
      <c r="M160" s="24">
        <f>IF(B160="","",I160+J160+K160)</f>
        <v>132846.88208344864</v>
      </c>
    </row>
    <row r="161" spans="2:13" x14ac:dyDescent="0.2">
      <c r="B161" s="22">
        <f>IF(C161="","",ROUNDUP(C161/12,0))</f>
        <v>13</v>
      </c>
      <c r="C161" s="21">
        <f>IF(OR(C160="",C160&gt;=$I$9),"",C160+1)</f>
        <v>146</v>
      </c>
      <c r="D161" s="251">
        <f>IF(C161="","",EOMONTH(D160,1))</f>
        <v>48304</v>
      </c>
      <c r="E161" s="250" t="str">
        <f>IF(C161="","",$M$11)</f>
        <v>360</v>
      </c>
      <c r="F161" s="14">
        <f>IF(C161="","",IF($M$12="Actual",D161-D160,30))</f>
        <v>31</v>
      </c>
      <c r="G161" s="24">
        <f>IF(B161="","",L160)</f>
        <v>19084611.152505554</v>
      </c>
      <c r="H161" s="24">
        <f>IF(B161="","",(C161&lt;=$I$10)*I161+(C161&gt;$I$10)*PMT($I$7/(E161/F161),$I$8+$I$10-C160,-G161))</f>
        <v>136278.43342548577</v>
      </c>
      <c r="I161" s="24">
        <f>IF(B161="","",G161*$I$7/E161*F161)</f>
        <v>82169.853573287808</v>
      </c>
      <c r="J161" s="24">
        <f>IF(B161="","",H161-I161)</f>
        <v>54108.57985219796</v>
      </c>
      <c r="K161" s="24">
        <f>IF(B161="","",(C161=$I$9)*(G161-J161))</f>
        <v>0</v>
      </c>
      <c r="L161" s="24">
        <f>IF(B161="","",G161-J161-K161)</f>
        <v>19030502.572653357</v>
      </c>
      <c r="M161" s="24">
        <f>IF(B161="","",I161+J161+K161)</f>
        <v>136278.43342548577</v>
      </c>
    </row>
    <row r="162" spans="2:13" x14ac:dyDescent="0.2">
      <c r="B162" s="22">
        <f>IF(C162="","",ROUNDUP(C162/12,0))</f>
        <v>13</v>
      </c>
      <c r="C162" s="21">
        <f>IF(OR(C161="",C161&gt;=$I$9),"",C161+1)</f>
        <v>147</v>
      </c>
      <c r="D162" s="251">
        <f>IF(C162="","",EOMONTH(D161,1))</f>
        <v>48334</v>
      </c>
      <c r="E162" s="250" t="str">
        <f>IF(C162="","",$M$11)</f>
        <v>360</v>
      </c>
      <c r="F162" s="14">
        <f>IF(C162="","",IF($M$12="Actual",D162-D161,30))</f>
        <v>30</v>
      </c>
      <c r="G162" s="24">
        <f>IF(B162="","",L161)</f>
        <v>19030502.572653357</v>
      </c>
      <c r="H162" s="24">
        <f>IF(B162="","",(C162&lt;=$I$10)*I162+(C162&gt;$I$10)*PMT($I$7/(E162/F162),$I$8+$I$10-C161,-G162))</f>
        <v>134563.17042148492</v>
      </c>
      <c r="I162" s="24">
        <f>IF(B162="","",G162*$I$7/E162*F162)</f>
        <v>79293.760719389</v>
      </c>
      <c r="J162" s="24">
        <f>IF(B162="","",H162-I162)</f>
        <v>55269.409702095916</v>
      </c>
      <c r="K162" s="24">
        <f>IF(B162="","",(C162=$I$9)*(G162-J162))</f>
        <v>0</v>
      </c>
      <c r="L162" s="24">
        <f>IF(B162="","",G162-J162-K162)</f>
        <v>18975233.162951261</v>
      </c>
      <c r="M162" s="24">
        <f>IF(B162="","",I162+J162+K162)</f>
        <v>134563.17042148492</v>
      </c>
    </row>
    <row r="163" spans="2:13" x14ac:dyDescent="0.2">
      <c r="B163" s="22">
        <f>IF(C163="","",ROUNDUP(C163/12,0))</f>
        <v>13</v>
      </c>
      <c r="C163" s="21">
        <f>IF(OR(C162="",C162&gt;=$I$9),"",C162+1)</f>
        <v>148</v>
      </c>
      <c r="D163" s="251">
        <f>IF(C163="","",EOMONTH(D162,1))</f>
        <v>48365</v>
      </c>
      <c r="E163" s="250" t="str">
        <f>IF(C163="","",$M$11)</f>
        <v>360</v>
      </c>
      <c r="F163" s="14">
        <f>IF(C163="","",IF($M$12="Actual",D163-D162,30))</f>
        <v>31</v>
      </c>
      <c r="G163" s="24">
        <f>IF(B163="","",L162)</f>
        <v>18975233.162951261</v>
      </c>
      <c r="H163" s="24">
        <f>IF(B163="","",(C163&lt;=$I$10)*I163+(C163&gt;$I$10)*PMT($I$7/(E163/F163),$I$8+$I$10-C162,-G163))</f>
        <v>136271.76992659492</v>
      </c>
      <c r="I163" s="24">
        <f>IF(B163="","",G163*$I$7/E163*F163)</f>
        <v>81698.92056270683</v>
      </c>
      <c r="J163" s="24">
        <f>IF(B163="","",H163-I163)</f>
        <v>54572.84936388809</v>
      </c>
      <c r="K163" s="24">
        <f>IF(B163="","",(C163=$I$9)*(G163-J163))</f>
        <v>0</v>
      </c>
      <c r="L163" s="24">
        <f>IF(B163="","",G163-J163-K163)</f>
        <v>18920660.313587371</v>
      </c>
      <c r="M163" s="24">
        <f>IF(B163="","",I163+J163+K163)</f>
        <v>136271.76992659492</v>
      </c>
    </row>
    <row r="164" spans="2:13" x14ac:dyDescent="0.2">
      <c r="B164" s="22">
        <f>IF(C164="","",ROUNDUP(C164/12,0))</f>
        <v>13</v>
      </c>
      <c r="C164" s="21">
        <f>IF(OR(C163="",C163&gt;=$I$9),"",C163+1)</f>
        <v>149</v>
      </c>
      <c r="D164" s="251">
        <f>IF(C164="","",EOMONTH(D163,1))</f>
        <v>48395</v>
      </c>
      <c r="E164" s="250" t="str">
        <f>IF(C164="","",$M$11)</f>
        <v>360</v>
      </c>
      <c r="F164" s="14">
        <f>IF(C164="","",IF($M$12="Actual",D164-D163,30))</f>
        <v>30</v>
      </c>
      <c r="G164" s="24">
        <f>IF(B164="","",L163)</f>
        <v>18920660.313587371</v>
      </c>
      <c r="H164" s="24">
        <f>IF(B164="","",(C164&lt;=$I$10)*I164+(C164&gt;$I$10)*PMT($I$7/(E164/F164),$I$8+$I$10-C163,-G164))</f>
        <v>134569.76247065706</v>
      </c>
      <c r="I164" s="24">
        <f>IF(B164="","",G164*$I$7/E164*F164)</f>
        <v>78836.084639947396</v>
      </c>
      <c r="J164" s="24">
        <f>IF(B164="","",H164-I164)</f>
        <v>55733.677830709668</v>
      </c>
      <c r="K164" s="24">
        <f>IF(B164="","",(C164=$I$9)*(G164-J164))</f>
        <v>0</v>
      </c>
      <c r="L164" s="24">
        <f>IF(B164="","",G164-J164-K164)</f>
        <v>18864926.63575666</v>
      </c>
      <c r="M164" s="24">
        <f>IF(B164="","",I164+J164+K164)</f>
        <v>134569.76247065706</v>
      </c>
    </row>
    <row r="165" spans="2:13" x14ac:dyDescent="0.2">
      <c r="B165" s="22">
        <f>IF(C165="","",ROUNDUP(C165/12,0))</f>
        <v>13</v>
      </c>
      <c r="C165" s="21">
        <f>IF(OR(C164="",C164&gt;=$I$9),"",C164+1)</f>
        <v>150</v>
      </c>
      <c r="D165" s="251">
        <f>IF(C165="","",EOMONTH(D164,1))</f>
        <v>48426</v>
      </c>
      <c r="E165" s="250" t="str">
        <f>IF(C165="","",$M$11)</f>
        <v>360</v>
      </c>
      <c r="F165" s="14">
        <f>IF(C165="","",IF($M$12="Actual",D165-D164,30))</f>
        <v>31</v>
      </c>
      <c r="G165" s="24">
        <f>IF(B165="","",L164)</f>
        <v>18864926.63575666</v>
      </c>
      <c r="H165" s="24">
        <f>IF(B165="","",(C165&lt;=$I$10)*I165+(C165&gt;$I$10)*PMT($I$7/(E165/F165),$I$8+$I$10-C164,-G165))</f>
        <v>136265.08224270516</v>
      </c>
      <c r="I165" s="24">
        <f>IF(B165="","",G165*$I$7/E165*F165)</f>
        <v>81223.989681730061</v>
      </c>
      <c r="J165" s="24">
        <f>IF(B165="","",H165-I165)</f>
        <v>55041.092560975099</v>
      </c>
      <c r="K165" s="24">
        <f>IF(B165="","",(C165=$I$9)*(G165-J165))</f>
        <v>0</v>
      </c>
      <c r="L165" s="24">
        <f>IF(B165="","",G165-J165-K165)</f>
        <v>18809885.543195684</v>
      </c>
      <c r="M165" s="24">
        <f>IF(B165="","",I165+J165+K165)</f>
        <v>136265.08224270516</v>
      </c>
    </row>
    <row r="166" spans="2:13" x14ac:dyDescent="0.2">
      <c r="B166" s="22">
        <f>IF(C166="","",ROUNDUP(C166/12,0))</f>
        <v>13</v>
      </c>
      <c r="C166" s="21">
        <f>IF(OR(C165="",C165&gt;=$I$9),"",C165+1)</f>
        <v>151</v>
      </c>
      <c r="D166" s="251">
        <f>IF(C166="","",EOMONTH(D165,1))</f>
        <v>48457</v>
      </c>
      <c r="E166" s="250" t="str">
        <f>IF(C166="","",$M$11)</f>
        <v>360</v>
      </c>
      <c r="F166" s="14">
        <f>IF(C166="","",IF($M$12="Actual",D166-D165,30))</f>
        <v>31</v>
      </c>
      <c r="G166" s="24">
        <f>IF(B166="","",L165)</f>
        <v>18809885.543195684</v>
      </c>
      <c r="H166" s="24">
        <f>IF(B166="","",(C166&lt;=$I$10)*I166+(C166&gt;$I$10)*PMT($I$7/(E166/F166),$I$8+$I$10-C165,-G166))</f>
        <v>136265.08224270507</v>
      </c>
      <c r="I166" s="24">
        <f>IF(B166="","",G166*$I$7/E166*F166)</f>
        <v>80987.007199870306</v>
      </c>
      <c r="J166" s="24">
        <f>IF(B166="","",H166-I166)</f>
        <v>55278.075042834767</v>
      </c>
      <c r="K166" s="24">
        <f>IF(B166="","",(C166=$I$9)*(G166-J166))</f>
        <v>0</v>
      </c>
      <c r="L166" s="24">
        <f>IF(B166="","",G166-J166-K166)</f>
        <v>18754607.468152847</v>
      </c>
      <c r="M166" s="24">
        <f>IF(B166="","",I166+J166+K166)</f>
        <v>136265.08224270507</v>
      </c>
    </row>
    <row r="167" spans="2:13" x14ac:dyDescent="0.2">
      <c r="B167" s="22">
        <f>IF(C167="","",ROUNDUP(C167/12,0))</f>
        <v>13</v>
      </c>
      <c r="C167" s="21">
        <f>IF(OR(C166="",C166&gt;=$I$9),"",C166+1)</f>
        <v>152</v>
      </c>
      <c r="D167" s="251">
        <f>IF(C167="","",EOMONTH(D166,1))</f>
        <v>48487</v>
      </c>
      <c r="E167" s="250" t="str">
        <f>IF(C167="","",$M$11)</f>
        <v>360</v>
      </c>
      <c r="F167" s="14">
        <f>IF(C167="","",IF($M$12="Actual",D167-D166,30))</f>
        <v>30</v>
      </c>
      <c r="G167" s="24">
        <f>IF(B167="","",L166)</f>
        <v>18754607.468152847</v>
      </c>
      <c r="H167" s="24">
        <f>IF(B167="","",(C167&lt;=$I$10)*I167+(C167&gt;$I$10)*PMT($I$7/(E167/F167),$I$8+$I$10-C166,-G167))</f>
        <v>134583.00811712682</v>
      </c>
      <c r="I167" s="24">
        <f>IF(B167="","",G167*$I$7/E167*F167)</f>
        <v>78144.197783970187</v>
      </c>
      <c r="J167" s="24">
        <f>IF(B167="","",H167-I167)</f>
        <v>56438.810333156638</v>
      </c>
      <c r="K167" s="24">
        <f>IF(B167="","",(C167=$I$9)*(G167-J167))</f>
        <v>0</v>
      </c>
      <c r="L167" s="24">
        <f>IF(B167="","",G167-J167-K167)</f>
        <v>18698168.657819692</v>
      </c>
      <c r="M167" s="24">
        <f>IF(B167="","",I167+J167+K167)</f>
        <v>134583.00811712682</v>
      </c>
    </row>
    <row r="168" spans="2:13" x14ac:dyDescent="0.2">
      <c r="B168" s="22">
        <f>IF(C168="","",ROUNDUP(C168/12,0))</f>
        <v>13</v>
      </c>
      <c r="C168" s="21">
        <f>IF(OR(C167="",C167&gt;=$I$9),"",C167+1)</f>
        <v>153</v>
      </c>
      <c r="D168" s="251">
        <f>IF(C168="","",EOMONTH(D167,1))</f>
        <v>48518</v>
      </c>
      <c r="E168" s="250" t="str">
        <f>IF(C168="","",$M$11)</f>
        <v>360</v>
      </c>
      <c r="F168" s="14">
        <f>IF(C168="","",IF($M$12="Actual",D168-D167,30))</f>
        <v>31</v>
      </c>
      <c r="G168" s="24">
        <f>IF(B168="","",L167)</f>
        <v>18698168.657819692</v>
      </c>
      <c r="H168" s="24">
        <f>IF(B168="","",(C168&lt;=$I$10)*I168+(C168&gt;$I$10)*PMT($I$7/(E168/F168),$I$8+$I$10-C167,-G168))</f>
        <v>136258.35805419189</v>
      </c>
      <c r="I168" s="24">
        <f>IF(B168="","",G168*$I$7/E168*F168)</f>
        <v>80506.003943390358</v>
      </c>
      <c r="J168" s="24">
        <f>IF(B168="","",H168-I168)</f>
        <v>55752.354110801534</v>
      </c>
      <c r="K168" s="24">
        <f>IF(B168="","",(C168=$I$9)*(G168-J168))</f>
        <v>0</v>
      </c>
      <c r="L168" s="24">
        <f>IF(B168="","",G168-J168-K168)</f>
        <v>18642416.303708892</v>
      </c>
      <c r="M168" s="24">
        <f>IF(B168="","",I168+J168+K168)</f>
        <v>136258.35805419189</v>
      </c>
    </row>
    <row r="169" spans="2:13" x14ac:dyDescent="0.2">
      <c r="B169" s="22">
        <f>IF(C169="","",ROUNDUP(C169/12,0))</f>
        <v>13</v>
      </c>
      <c r="C169" s="21">
        <f>IF(OR(C168="",C168&gt;=$I$9),"",C168+1)</f>
        <v>154</v>
      </c>
      <c r="D169" s="251">
        <f>IF(C169="","",EOMONTH(D168,1))</f>
        <v>48548</v>
      </c>
      <c r="E169" s="250" t="str">
        <f>IF(C169="","",$M$11)</f>
        <v>360</v>
      </c>
      <c r="F169" s="14">
        <f>IF(C169="","",IF($M$12="Actual",D169-D168,30))</f>
        <v>30</v>
      </c>
      <c r="G169" s="24">
        <f>IF(B169="","",L168)</f>
        <v>18642416.303708892</v>
      </c>
      <c r="H169" s="24">
        <f>IF(B169="","",(C169&lt;=$I$10)*I169+(C169&gt;$I$10)*PMT($I$7/(E169/F169),$I$8+$I$10-C168,-G169))</f>
        <v>134589.66177423557</v>
      </c>
      <c r="I169" s="24">
        <f>IF(B169="","",G169*$I$7/E169*F169)</f>
        <v>77676.734598787065</v>
      </c>
      <c r="J169" s="24">
        <f>IF(B169="","",H169-I169)</f>
        <v>56912.927175448509</v>
      </c>
      <c r="K169" s="24">
        <f>IF(B169="","",(C169=$I$9)*(G169-J169))</f>
        <v>0</v>
      </c>
      <c r="L169" s="24">
        <f>IF(B169="","",G169-J169-K169)</f>
        <v>18585503.376533445</v>
      </c>
      <c r="M169" s="24">
        <f>IF(B169="","",I169+J169+K169)</f>
        <v>134589.66177423557</v>
      </c>
    </row>
    <row r="170" spans="2:13" x14ac:dyDescent="0.2">
      <c r="B170" s="22">
        <f>IF(C170="","",ROUNDUP(C170/12,0))</f>
        <v>13</v>
      </c>
      <c r="C170" s="21">
        <f>IF(OR(C169="",C169&gt;=$I$9),"",C169+1)</f>
        <v>155</v>
      </c>
      <c r="D170" s="251">
        <f>IF(C170="","",EOMONTH(D169,1))</f>
        <v>48579</v>
      </c>
      <c r="E170" s="250" t="str">
        <f>IF(C170="","",$M$11)</f>
        <v>360</v>
      </c>
      <c r="F170" s="14">
        <f>IF(C170="","",IF($M$12="Actual",D170-D169,30))</f>
        <v>31</v>
      </c>
      <c r="G170" s="24">
        <f>IF(B170="","",L169)</f>
        <v>18585503.376533445</v>
      </c>
      <c r="H170" s="24">
        <f>IF(B170="","",(C170&lt;=$I$10)*I170+(C170&gt;$I$10)*PMT($I$7/(E170/F170),$I$8+$I$10-C169,-G170))</f>
        <v>136251.60959829603</v>
      </c>
      <c r="I170" s="24">
        <f>IF(B170="","",G170*$I$7/E170*F170)</f>
        <v>80020.917315630111</v>
      </c>
      <c r="J170" s="24">
        <f>IF(B170="","",H170-I170)</f>
        <v>56230.692282665914</v>
      </c>
      <c r="K170" s="24">
        <f>IF(B170="","",(C170=$I$9)*(G170-J170))</f>
        <v>0</v>
      </c>
      <c r="L170" s="24">
        <f>IF(B170="","",G170-J170-K170)</f>
        <v>18529272.684250779</v>
      </c>
      <c r="M170" s="24">
        <f>IF(B170="","",I170+J170+K170)</f>
        <v>136251.60959829603</v>
      </c>
    </row>
    <row r="171" spans="2:13" x14ac:dyDescent="0.2">
      <c r="B171" s="22">
        <f>IF(C171="","",ROUNDUP(C171/12,0))</f>
        <v>13</v>
      </c>
      <c r="C171" s="21">
        <f>IF(OR(C170="",C170&gt;=$I$9),"",C170+1)</f>
        <v>156</v>
      </c>
      <c r="D171" s="251">
        <f>IF(C171="","",EOMONTH(D170,1))</f>
        <v>48610</v>
      </c>
      <c r="E171" s="250" t="str">
        <f>IF(C171="","",$M$11)</f>
        <v>360</v>
      </c>
      <c r="F171" s="14">
        <f>IF(C171="","",IF($M$12="Actual",D171-D170,30))</f>
        <v>31</v>
      </c>
      <c r="G171" s="24">
        <f>IF(B171="","",L170)</f>
        <v>18529272.684250779</v>
      </c>
      <c r="H171" s="24">
        <f>IF(B171="","",(C171&lt;=$I$10)*I171+(C171&gt;$I$10)*PMT($I$7/(E171/F171),$I$8+$I$10-C170,-G171))</f>
        <v>136251.60959829603</v>
      </c>
      <c r="I171" s="24">
        <f>IF(B171="","",G171*$I$7/E171*F171)</f>
        <v>79778.81294607975</v>
      </c>
      <c r="J171" s="24">
        <f>IF(B171="","",H171-I171)</f>
        <v>56472.796652216275</v>
      </c>
      <c r="K171" s="24">
        <f>IF(B171="","",(C171=$I$9)*(G171-J171))</f>
        <v>0</v>
      </c>
      <c r="L171" s="24">
        <f>IF(B171="","",G171-J171-K171)</f>
        <v>18472799.887598563</v>
      </c>
      <c r="M171" s="24">
        <f>IF(B171="","",I171+J171+K171)</f>
        <v>136251.60959829603</v>
      </c>
    </row>
    <row r="172" spans="2:13" x14ac:dyDescent="0.2">
      <c r="B172" s="22">
        <f>IF(C172="","",ROUNDUP(C172/12,0))</f>
        <v>14</v>
      </c>
      <c r="C172" s="21">
        <f>IF(OR(C171="",C171&gt;=$I$9),"",C171+1)</f>
        <v>157</v>
      </c>
      <c r="D172" s="251">
        <f>IF(C172="","",EOMONTH(D171,1))</f>
        <v>48638</v>
      </c>
      <c r="E172" s="250" t="str">
        <f>IF(C172="","",$M$11)</f>
        <v>360</v>
      </c>
      <c r="F172" s="14">
        <f>IF(C172="","",IF($M$12="Actual",D172-D171,30))</f>
        <v>28</v>
      </c>
      <c r="G172" s="24">
        <f>IF(B172="","",L171)</f>
        <v>18472799.887598563</v>
      </c>
      <c r="H172" s="24">
        <f>IF(B172="","",(C172&lt;=$I$10)*I172+(C172&gt;$I$10)*PMT($I$7/(E172/F172),$I$8+$I$10-C171,-G172))</f>
        <v>131339.55656857512</v>
      </c>
      <c r="I172" s="24">
        <f>IF(B172="","",G172*$I$7/E172*F172)</f>
        <v>71838.66622954997</v>
      </c>
      <c r="J172" s="24">
        <f>IF(B172="","",H172-I172)</f>
        <v>59500.890339025151</v>
      </c>
      <c r="K172" s="24">
        <f>IF(B172="","",(C172=$I$9)*(G172-J172))</f>
        <v>0</v>
      </c>
      <c r="L172" s="24">
        <f>IF(B172="","",G172-J172-K172)</f>
        <v>18413298.997259539</v>
      </c>
      <c r="M172" s="24">
        <f>IF(B172="","",I172+J172+K172)</f>
        <v>131339.55656857512</v>
      </c>
    </row>
    <row r="173" spans="2:13" x14ac:dyDescent="0.2">
      <c r="B173" s="22">
        <f>IF(C173="","",ROUNDUP(C173/12,0))</f>
        <v>14</v>
      </c>
      <c r="C173" s="21">
        <f>IF(OR(C172="",C172&gt;=$I$9),"",C172+1)</f>
        <v>158</v>
      </c>
      <c r="D173" s="251">
        <f>IF(C173="","",EOMONTH(D172,1))</f>
        <v>48669</v>
      </c>
      <c r="E173" s="250" t="str">
        <f>IF(C173="","",$M$11)</f>
        <v>360</v>
      </c>
      <c r="F173" s="14">
        <f>IF(C173="","",IF($M$12="Actual",D173-D172,30))</f>
        <v>31</v>
      </c>
      <c r="G173" s="24">
        <f>IF(B173="","",L172)</f>
        <v>18413298.997259539</v>
      </c>
      <c r="H173" s="24">
        <f>IF(B173="","",(C173&lt;=$I$10)*I173+(C173&gt;$I$10)*PMT($I$7/(E173/F173),$I$8+$I$10-C172,-G173))</f>
        <v>136231.00513634231</v>
      </c>
      <c r="I173" s="24">
        <f>IF(B173="","",G173*$I$7/E173*F173)</f>
        <v>79279.481793756349</v>
      </c>
      <c r="J173" s="24">
        <f>IF(B173="","",H173-I173)</f>
        <v>56951.523342585962</v>
      </c>
      <c r="K173" s="24">
        <f>IF(B173="","",(C173=$I$9)*(G173-J173))</f>
        <v>0</v>
      </c>
      <c r="L173" s="24">
        <f>IF(B173="","",G173-J173-K173)</f>
        <v>18356347.473916952</v>
      </c>
      <c r="M173" s="24">
        <f>IF(B173="","",I173+J173+K173)</f>
        <v>136231.00513634231</v>
      </c>
    </row>
    <row r="174" spans="2:13" x14ac:dyDescent="0.2">
      <c r="B174" s="22">
        <f>IF(C174="","",ROUNDUP(C174/12,0))</f>
        <v>14</v>
      </c>
      <c r="C174" s="21">
        <f>IF(OR(C173="",C173&gt;=$I$9),"",C173+1)</f>
        <v>159</v>
      </c>
      <c r="D174" s="251">
        <f>IF(C174="","",EOMONTH(D173,1))</f>
        <v>48699</v>
      </c>
      <c r="E174" s="250" t="str">
        <f>IF(C174="","",$M$11)</f>
        <v>360</v>
      </c>
      <c r="F174" s="14">
        <f>IF(C174="","",IF($M$12="Actual",D174-D173,30))</f>
        <v>30</v>
      </c>
      <c r="G174" s="24">
        <f>IF(B174="","",L173)</f>
        <v>18356347.473916952</v>
      </c>
      <c r="H174" s="24">
        <f>IF(B174="","",(C174&lt;=$I$10)*I174+(C174&gt;$I$10)*PMT($I$7/(E174/F174),$I$8+$I$10-C173,-G174))</f>
        <v>134596.09287151319</v>
      </c>
      <c r="I174" s="24">
        <f>IF(B174="","",G174*$I$7/E174*F174)</f>
        <v>76484.781141320622</v>
      </c>
      <c r="J174" s="24">
        <f>IF(B174="","",H174-I174)</f>
        <v>58111.311730192567</v>
      </c>
      <c r="K174" s="24">
        <f>IF(B174="","",(C174=$I$9)*(G174-J174))</f>
        <v>0</v>
      </c>
      <c r="L174" s="24">
        <f>IF(B174="","",G174-J174-K174)</f>
        <v>18298236.16218676</v>
      </c>
      <c r="M174" s="24">
        <f>IF(B174="","",I174+J174+K174)</f>
        <v>134596.09287151319</v>
      </c>
    </row>
    <row r="175" spans="2:13" x14ac:dyDescent="0.2">
      <c r="B175" s="22">
        <f>IF(C175="","",ROUNDUP(C175/12,0))</f>
        <v>14</v>
      </c>
      <c r="C175" s="21">
        <f>IF(OR(C174="",C174&gt;=$I$9),"",C174+1)</f>
        <v>160</v>
      </c>
      <c r="D175" s="251">
        <f>IF(C175="","",EOMONTH(D174,1))</f>
        <v>48730</v>
      </c>
      <c r="E175" s="250" t="str">
        <f>IF(C175="","",$M$11)</f>
        <v>360</v>
      </c>
      <c r="F175" s="14">
        <f>IF(C175="","",IF($M$12="Actual",D175-D174,30))</f>
        <v>31</v>
      </c>
      <c r="G175" s="24">
        <f>IF(B175="","",L174)</f>
        <v>18298236.16218676</v>
      </c>
      <c r="H175" s="24">
        <f>IF(B175="","",(C175&lt;=$I$10)*I175+(C175&gt;$I$10)*PMT($I$7/(E175/F175),$I$8+$I$10-C174,-G175))</f>
        <v>136224.19639344726</v>
      </c>
      <c r="I175" s="24">
        <f>IF(B175="","",G175*$I$7/E175*F175)</f>
        <v>78784.07236497078</v>
      </c>
      <c r="J175" s="24">
        <f>IF(B175="","",H175-I175)</f>
        <v>57440.124028476479</v>
      </c>
      <c r="K175" s="24">
        <f>IF(B175="","",(C175=$I$9)*(G175-J175))</f>
        <v>0</v>
      </c>
      <c r="L175" s="24">
        <f>IF(B175="","",G175-J175-K175)</f>
        <v>18240796.038158283</v>
      </c>
      <c r="M175" s="24">
        <f>IF(B175="","",I175+J175+K175)</f>
        <v>136224.19639344726</v>
      </c>
    </row>
    <row r="176" spans="2:13" x14ac:dyDescent="0.2">
      <c r="B176" s="22">
        <f>IF(C176="","",ROUNDUP(C176/12,0))</f>
        <v>14</v>
      </c>
      <c r="C176" s="21">
        <f>IF(OR(C175="",C175&gt;=$I$9),"",C175+1)</f>
        <v>161</v>
      </c>
      <c r="D176" s="251">
        <f>IF(C176="","",EOMONTH(D175,1))</f>
        <v>48760</v>
      </c>
      <c r="E176" s="250" t="str">
        <f>IF(C176="","",$M$11)</f>
        <v>360</v>
      </c>
      <c r="F176" s="14">
        <f>IF(C176="","",IF($M$12="Actual",D176-D175,30))</f>
        <v>30</v>
      </c>
      <c r="G176" s="24">
        <f>IF(B176="","",L175)</f>
        <v>18240796.038158283</v>
      </c>
      <c r="H176" s="24">
        <f>IF(B176="","",(C176&lt;=$I$10)*I176+(C176&gt;$I$10)*PMT($I$7/(E176/F176),$I$8+$I$10-C175,-G176))</f>
        <v>134602.83244647362</v>
      </c>
      <c r="I176" s="24">
        <f>IF(B176="","",G176*$I$7/E176*F176)</f>
        <v>76003.316825659524</v>
      </c>
      <c r="J176" s="24">
        <f>IF(B176="","",H176-I176)</f>
        <v>58599.515620814098</v>
      </c>
      <c r="K176" s="24">
        <f>IF(B176="","",(C176=$I$9)*(G176-J176))</f>
        <v>0</v>
      </c>
      <c r="L176" s="24">
        <f>IF(B176="","",G176-J176-K176)</f>
        <v>18182196.52253747</v>
      </c>
      <c r="M176" s="24">
        <f>IF(B176="","",I176+J176+K176)</f>
        <v>134602.83244647362</v>
      </c>
    </row>
    <row r="177" spans="2:13" x14ac:dyDescent="0.2">
      <c r="B177" s="22">
        <f>IF(C177="","",ROUNDUP(C177/12,0))</f>
        <v>14</v>
      </c>
      <c r="C177" s="21">
        <f>IF(OR(C176="",C176&gt;=$I$9),"",C176+1)</f>
        <v>162</v>
      </c>
      <c r="D177" s="251">
        <f>IF(C177="","",EOMONTH(D176,1))</f>
        <v>48791</v>
      </c>
      <c r="E177" s="250" t="str">
        <f>IF(C177="","",$M$11)</f>
        <v>360</v>
      </c>
      <c r="F177" s="14">
        <f>IF(C177="","",IF($M$12="Actual",D177-D176,30))</f>
        <v>31</v>
      </c>
      <c r="G177" s="24">
        <f>IF(B177="","",L176)</f>
        <v>18182196.52253747</v>
      </c>
      <c r="H177" s="24">
        <f>IF(B177="","",(C177&lt;=$I$10)*I177+(C177&gt;$I$10)*PMT($I$7/(E177/F177),$I$8+$I$10-C176,-G177))</f>
        <v>136217.36327373315</v>
      </c>
      <c r="I177" s="24">
        <f>IF(B177="","",G177*$I$7/E177*F177)</f>
        <v>78284.457249814106</v>
      </c>
      <c r="J177" s="24">
        <f>IF(B177="","",H177-I177)</f>
        <v>57932.906023919044</v>
      </c>
      <c r="K177" s="24">
        <f>IF(B177="","",(C177=$I$9)*(G177-J177))</f>
        <v>0</v>
      </c>
      <c r="L177" s="24">
        <f>IF(B177="","",G177-J177-K177)</f>
        <v>18124263.61651355</v>
      </c>
      <c r="M177" s="24">
        <f>IF(B177="","",I177+J177+K177)</f>
        <v>136217.36327373315</v>
      </c>
    </row>
    <row r="178" spans="2:13" x14ac:dyDescent="0.2">
      <c r="B178" s="22">
        <f>IF(C178="","",ROUNDUP(C178/12,0))</f>
        <v>14</v>
      </c>
      <c r="C178" s="21">
        <f>IF(OR(C177="",C177&gt;=$I$9),"",C177+1)</f>
        <v>163</v>
      </c>
      <c r="D178" s="251">
        <f>IF(C178="","",EOMONTH(D177,1))</f>
        <v>48822</v>
      </c>
      <c r="E178" s="250" t="str">
        <f>IF(C178="","",$M$11)</f>
        <v>360</v>
      </c>
      <c r="F178" s="14">
        <f>IF(C178="","",IF($M$12="Actual",D178-D177,30))</f>
        <v>31</v>
      </c>
      <c r="G178" s="24">
        <f>IF(B178="","",L177)</f>
        <v>18124263.61651355</v>
      </c>
      <c r="H178" s="24">
        <f>IF(B178="","",(C178&lt;=$I$10)*I178+(C178&gt;$I$10)*PMT($I$7/(E178/F178),$I$8+$I$10-C177,-G178))</f>
        <v>136217.36327373315</v>
      </c>
      <c r="I178" s="24">
        <f>IF(B178="","",G178*$I$7/E178*F178)</f>
        <v>78035.023904433343</v>
      </c>
      <c r="J178" s="24">
        <f>IF(B178="","",H178-I178)</f>
        <v>58182.339369299807</v>
      </c>
      <c r="K178" s="24">
        <f>IF(B178="","",(C178=$I$9)*(G178-J178))</f>
        <v>0</v>
      </c>
      <c r="L178" s="24">
        <f>IF(B178="","",G178-J178-K178)</f>
        <v>18066081.27714425</v>
      </c>
      <c r="M178" s="24">
        <f>IF(B178="","",I178+J178+K178)</f>
        <v>136217.36327373315</v>
      </c>
    </row>
    <row r="179" spans="2:13" x14ac:dyDescent="0.2">
      <c r="B179" s="22">
        <f>IF(C179="","",ROUNDUP(C179/12,0))</f>
        <v>14</v>
      </c>
      <c r="C179" s="21">
        <f>IF(OR(C178="",C178&gt;=$I$9),"",C178+1)</f>
        <v>164</v>
      </c>
      <c r="D179" s="251">
        <f>IF(C179="","",EOMONTH(D178,1))</f>
        <v>48852</v>
      </c>
      <c r="E179" s="250" t="str">
        <f>IF(C179="","",$M$11)</f>
        <v>360</v>
      </c>
      <c r="F179" s="14">
        <f>IF(C179="","",IF($M$12="Actual",D179-D178,30))</f>
        <v>30</v>
      </c>
      <c r="G179" s="24">
        <f>IF(B179="","",L178)</f>
        <v>18066081.27714425</v>
      </c>
      <c r="H179" s="24">
        <f>IF(B179="","",(C179&lt;=$I$10)*I179+(C179&gt;$I$10)*PMT($I$7/(E179/F179),$I$8+$I$10-C178,-G179))</f>
        <v>134616.37373127602</v>
      </c>
      <c r="I179" s="24">
        <f>IF(B179="","",G179*$I$7/E179*F179)</f>
        <v>75275.338654767722</v>
      </c>
      <c r="J179" s="24">
        <f>IF(B179="","",H179-I179)</f>
        <v>59341.035076508299</v>
      </c>
      <c r="K179" s="24">
        <f>IF(B179="","",(C179=$I$9)*(G179-J179))</f>
        <v>0</v>
      </c>
      <c r="L179" s="24">
        <f>IF(B179="","",G179-J179-K179)</f>
        <v>18006740.242067739</v>
      </c>
      <c r="M179" s="24">
        <f>IF(B179="","",I179+J179+K179)</f>
        <v>134616.37373127602</v>
      </c>
    </row>
    <row r="180" spans="2:13" x14ac:dyDescent="0.2">
      <c r="B180" s="22">
        <f>IF(C180="","",ROUNDUP(C180/12,0))</f>
        <v>14</v>
      </c>
      <c r="C180" s="21">
        <f>IF(OR(C179="",C179&gt;=$I$9),"",C179+1)</f>
        <v>165</v>
      </c>
      <c r="D180" s="251">
        <f>IF(C180="","",EOMONTH(D179,1))</f>
        <v>48883</v>
      </c>
      <c r="E180" s="250" t="str">
        <f>IF(C180="","",$M$11)</f>
        <v>360</v>
      </c>
      <c r="F180" s="14">
        <f>IF(C180="","",IF($M$12="Actual",D180-D179,30))</f>
        <v>31</v>
      </c>
      <c r="G180" s="24">
        <f>IF(B180="","",L179)</f>
        <v>18006740.242067739</v>
      </c>
      <c r="H180" s="24">
        <f>IF(B180="","",(C180&lt;=$I$10)*I180+(C180&gt;$I$10)*PMT($I$7/(E180/F180),$I$8+$I$10-C179,-G180))</f>
        <v>136210.49335779648</v>
      </c>
      <c r="I180" s="24">
        <f>IF(B180="","",G180*$I$7/E180*F180)</f>
        <v>77529.020486680543</v>
      </c>
      <c r="J180" s="24">
        <f>IF(B180="","",H180-I180)</f>
        <v>58681.472871115941</v>
      </c>
      <c r="K180" s="24">
        <f>IF(B180="","",(C180=$I$9)*(G180-J180))</f>
        <v>0</v>
      </c>
      <c r="L180" s="24">
        <f>IF(B180="","",G180-J180-K180)</f>
        <v>17948058.769196622</v>
      </c>
      <c r="M180" s="24">
        <f>IF(B180="","",I180+J180+K180)</f>
        <v>136210.49335779648</v>
      </c>
    </row>
    <row r="181" spans="2:13" x14ac:dyDescent="0.2">
      <c r="B181" s="22">
        <f>IF(C181="","",ROUNDUP(C181/12,0))</f>
        <v>14</v>
      </c>
      <c r="C181" s="21">
        <f>IF(OR(C180="",C180&gt;=$I$9),"",C180+1)</f>
        <v>166</v>
      </c>
      <c r="D181" s="251">
        <f>IF(C181="","",EOMONTH(D180,1))</f>
        <v>48913</v>
      </c>
      <c r="E181" s="250" t="str">
        <f>IF(C181="","",$M$11)</f>
        <v>360</v>
      </c>
      <c r="F181" s="14">
        <f>IF(C181="","",IF($M$12="Actual",D181-D180,30))</f>
        <v>30</v>
      </c>
      <c r="G181" s="24">
        <f>IF(B181="","",L180)</f>
        <v>17948058.769196622</v>
      </c>
      <c r="H181" s="24">
        <f>IF(B181="","",(C181&lt;=$I$10)*I181+(C181&gt;$I$10)*PMT($I$7/(E181/F181),$I$8+$I$10-C180,-G181))</f>
        <v>134623.17549857832</v>
      </c>
      <c r="I181" s="24">
        <f>IF(B181="","",G181*$I$7/E181*F181)</f>
        <v>74783.578204985926</v>
      </c>
      <c r="J181" s="24">
        <f>IF(B181="","",H181-I181)</f>
        <v>59839.597293592393</v>
      </c>
      <c r="K181" s="24">
        <f>IF(B181="","",(C181=$I$9)*(G181-J181))</f>
        <v>0</v>
      </c>
      <c r="L181" s="24">
        <f>IF(B181="","",G181-J181-K181)</f>
        <v>17888219.171903029</v>
      </c>
      <c r="M181" s="24">
        <f>IF(B181="","",I181+J181+K181)</f>
        <v>134623.17549857832</v>
      </c>
    </row>
    <row r="182" spans="2:13" x14ac:dyDescent="0.2">
      <c r="B182" s="22">
        <f>IF(C182="","",ROUNDUP(C182/12,0))</f>
        <v>14</v>
      </c>
      <c r="C182" s="21">
        <f>IF(OR(C181="",C181&gt;=$I$9),"",C181+1)</f>
        <v>167</v>
      </c>
      <c r="D182" s="251">
        <f>IF(C182="","",EOMONTH(D181,1))</f>
        <v>48944</v>
      </c>
      <c r="E182" s="250" t="str">
        <f>IF(C182="","",$M$11)</f>
        <v>360</v>
      </c>
      <c r="F182" s="14">
        <f>IF(C182="","",IF($M$12="Actual",D182-D181,30))</f>
        <v>31</v>
      </c>
      <c r="G182" s="24">
        <f>IF(B182="","",L181)</f>
        <v>17888219.171903029</v>
      </c>
      <c r="H182" s="24">
        <f>IF(B182="","",(C182&lt;=$I$10)*I182+(C182&gt;$I$10)*PMT($I$7/(E182/F182),$I$8+$I$10-C181,-G182))</f>
        <v>136203.59898724972</v>
      </c>
      <c r="I182" s="24">
        <f>IF(B182="","",G182*$I$7/E182*F182)</f>
        <v>77018.721434582505</v>
      </c>
      <c r="J182" s="24">
        <f>IF(B182="","",H182-I182)</f>
        <v>59184.877552667211</v>
      </c>
      <c r="K182" s="24">
        <f>IF(B182="","",(C182=$I$9)*(G182-J182))</f>
        <v>0</v>
      </c>
      <c r="L182" s="24">
        <f>IF(B182="","",G182-J182-K182)</f>
        <v>17829034.294350363</v>
      </c>
      <c r="M182" s="24">
        <f>IF(B182="","",I182+J182+K182)</f>
        <v>136203.59898724972</v>
      </c>
    </row>
    <row r="183" spans="2:13" x14ac:dyDescent="0.2">
      <c r="B183" s="22">
        <f>IF(C183="","",ROUNDUP(C183/12,0))</f>
        <v>14</v>
      </c>
      <c r="C183" s="21">
        <f>IF(OR(C182="",C182&gt;=$I$9),"",C182+1)</f>
        <v>168</v>
      </c>
      <c r="D183" s="251">
        <f>IF(C183="","",EOMONTH(D182,1))</f>
        <v>48975</v>
      </c>
      <c r="E183" s="250" t="str">
        <f>IF(C183="","",$M$11)</f>
        <v>360</v>
      </c>
      <c r="F183" s="14">
        <f>IF(C183="","",IF($M$12="Actual",D183-D182,30))</f>
        <v>31</v>
      </c>
      <c r="G183" s="24">
        <f>IF(B183="","",L182)</f>
        <v>17829034.294350363</v>
      </c>
      <c r="H183" s="24">
        <f>IF(B183="","",(C183&lt;=$I$10)*I183+(C183&gt;$I$10)*PMT($I$7/(E183/F183),$I$8+$I$10-C182,-G183))</f>
        <v>136203.59898724972</v>
      </c>
      <c r="I183" s="24">
        <f>IF(B183="","",G183*$I$7/E183*F183)</f>
        <v>76763.897656230736</v>
      </c>
      <c r="J183" s="24">
        <f>IF(B183="","",H183-I183)</f>
        <v>59439.70133101898</v>
      </c>
      <c r="K183" s="24">
        <f>IF(B183="","",(C183=$I$9)*(G183-J183))</f>
        <v>0</v>
      </c>
      <c r="L183" s="24">
        <f>IF(B183="","",G183-J183-K183)</f>
        <v>17769594.593019344</v>
      </c>
      <c r="M183" s="24">
        <f>IF(B183="","",I183+J183+K183)</f>
        <v>136203.59898724972</v>
      </c>
    </row>
    <row r="184" spans="2:13" x14ac:dyDescent="0.2">
      <c r="B184" s="22">
        <f>IF(C184="","",ROUNDUP(C184/12,0))</f>
        <v>15</v>
      </c>
      <c r="C184" s="21">
        <f>IF(OR(C183="",C183&gt;=$I$9),"",C183+1)</f>
        <v>169</v>
      </c>
      <c r="D184" s="251">
        <f>IF(C184="","",EOMONTH(D183,1))</f>
        <v>49003</v>
      </c>
      <c r="E184" s="250" t="str">
        <f>IF(C184="","",$M$11)</f>
        <v>360</v>
      </c>
      <c r="F184" s="14">
        <f>IF(C184="","",IF($M$12="Actual",D184-D183,30))</f>
        <v>28</v>
      </c>
      <c r="G184" s="24">
        <f>IF(B184="","",L183)</f>
        <v>17769594.593019344</v>
      </c>
      <c r="H184" s="24">
        <f>IF(B184="","",(C184&lt;=$I$10)*I184+(C184&gt;$I$10)*PMT($I$7/(E184/F184),$I$8+$I$10-C183,-G184))</f>
        <v>131534.0641110111</v>
      </c>
      <c r="I184" s="24">
        <f>IF(B184="","",G184*$I$7/E184*F184)</f>
        <v>69103.978972853016</v>
      </c>
      <c r="J184" s="24">
        <f>IF(B184="","",H184-I184)</f>
        <v>62430.085138158087</v>
      </c>
      <c r="K184" s="24">
        <f>IF(B184="","",(C184=$I$9)*(G184-J184))</f>
        <v>0</v>
      </c>
      <c r="L184" s="24">
        <f>IF(B184="","",G184-J184-K184)</f>
        <v>17707164.507881187</v>
      </c>
      <c r="M184" s="24">
        <f>IF(B184="","",I184+J184+K184)</f>
        <v>131534.0641110111</v>
      </c>
    </row>
    <row r="185" spans="2:13" x14ac:dyDescent="0.2">
      <c r="B185" s="22">
        <f>IF(C185="","",ROUNDUP(C185/12,0))</f>
        <v>15</v>
      </c>
      <c r="C185" s="21">
        <f>IF(OR(C184="",C184&gt;=$I$9),"",C184+1)</f>
        <v>170</v>
      </c>
      <c r="D185" s="251">
        <f>IF(C185="","",EOMONTH(D184,1))</f>
        <v>49034</v>
      </c>
      <c r="E185" s="250" t="str">
        <f>IF(C185="","",$M$11)</f>
        <v>360</v>
      </c>
      <c r="F185" s="14">
        <f>IF(C185="","",IF($M$12="Actual",D185-D184,30))</f>
        <v>31</v>
      </c>
      <c r="G185" s="24">
        <f>IF(B185="","",L184)</f>
        <v>17707164.507881187</v>
      </c>
      <c r="H185" s="24">
        <f>IF(B185="","",(C185&lt;=$I$10)*I185+(C185&gt;$I$10)*PMT($I$7/(E185/F185),$I$8+$I$10-C184,-G185))</f>
        <v>136182.56873264906</v>
      </c>
      <c r="I185" s="24">
        <f>IF(B185="","",G185*$I$7/E185*F185)</f>
        <v>76239.180520043999</v>
      </c>
      <c r="J185" s="24">
        <f>IF(B185="","",H185-I185)</f>
        <v>59943.388212605059</v>
      </c>
      <c r="K185" s="24">
        <f>IF(B185="","",(C185=$I$9)*(G185-J185))</f>
        <v>0</v>
      </c>
      <c r="L185" s="24">
        <f>IF(B185="","",G185-J185-K185)</f>
        <v>17647221.119668581</v>
      </c>
      <c r="M185" s="24">
        <f>IF(B185="","",I185+J185+K185)</f>
        <v>136182.56873264906</v>
      </c>
    </row>
    <row r="186" spans="2:13" x14ac:dyDescent="0.2">
      <c r="B186" s="22">
        <f>IF(C186="","",ROUNDUP(C186/12,0))</f>
        <v>15</v>
      </c>
      <c r="C186" s="21">
        <f>IF(OR(C185="",C185&gt;=$I$9),"",C185+1)</f>
        <v>171</v>
      </c>
      <c r="D186" s="251">
        <f>IF(C186="","",EOMONTH(D185,1))</f>
        <v>49064</v>
      </c>
      <c r="E186" s="250" t="str">
        <f>IF(C186="","",$M$11)</f>
        <v>360</v>
      </c>
      <c r="F186" s="14">
        <f>IF(C186="","",IF($M$12="Actual",D186-D185,30))</f>
        <v>30</v>
      </c>
      <c r="G186" s="24">
        <f>IF(B186="","",L185)</f>
        <v>17647221.119668581</v>
      </c>
      <c r="H186" s="24">
        <f>IF(B186="","",(C186&lt;=$I$10)*I186+(C186&gt;$I$10)*PMT($I$7/(E186/F186),$I$8+$I$10-C185,-G186))</f>
        <v>134629.7673994264</v>
      </c>
      <c r="I186" s="24">
        <f>IF(B186="","",G186*$I$7/E186*F186)</f>
        <v>73530.087998619085</v>
      </c>
      <c r="J186" s="24">
        <f>IF(B186="","",H186-I186)</f>
        <v>61099.679400807319</v>
      </c>
      <c r="K186" s="24">
        <f>IF(B186="","",(C186=$I$9)*(G186-J186))</f>
        <v>0</v>
      </c>
      <c r="L186" s="24">
        <f>IF(B186="","",G186-J186-K186)</f>
        <v>17586121.440267771</v>
      </c>
      <c r="M186" s="24">
        <f>IF(B186="","",I186+J186+K186)</f>
        <v>134629.7673994264</v>
      </c>
    </row>
    <row r="187" spans="2:13" x14ac:dyDescent="0.2">
      <c r="B187" s="22">
        <f>IF(C187="","",ROUNDUP(C187/12,0))</f>
        <v>15</v>
      </c>
      <c r="C187" s="21">
        <f>IF(OR(C186="",C186&gt;=$I$9),"",C186+1)</f>
        <v>172</v>
      </c>
      <c r="D187" s="251">
        <f>IF(C187="","",EOMONTH(D186,1))</f>
        <v>49095</v>
      </c>
      <c r="E187" s="250" t="str">
        <f>IF(C187="","",$M$11)</f>
        <v>360</v>
      </c>
      <c r="F187" s="14">
        <f>IF(C187="","",IF($M$12="Actual",D187-D186,30))</f>
        <v>31</v>
      </c>
      <c r="G187" s="24">
        <f>IF(B187="","",L186)</f>
        <v>17586121.440267771</v>
      </c>
      <c r="H187" s="24">
        <f>IF(B187="","",(C187&lt;=$I$10)*I187+(C187&gt;$I$10)*PMT($I$7/(E187/F187),$I$8+$I$10-C186,-G187))</f>
        <v>136175.61363715088</v>
      </c>
      <c r="I187" s="24">
        <f>IF(B187="","",G187*$I$7/E187*F187)</f>
        <v>75718.022867819585</v>
      </c>
      <c r="J187" s="24">
        <f>IF(B187="","",H187-I187)</f>
        <v>60457.590769331291</v>
      </c>
      <c r="K187" s="24">
        <f>IF(B187="","",(C187=$I$9)*(G187-J187))</f>
        <v>0</v>
      </c>
      <c r="L187" s="24">
        <f>IF(B187="","",G187-J187-K187)</f>
        <v>17525663.84949844</v>
      </c>
      <c r="M187" s="24">
        <f>IF(B187="","",I187+J187+K187)</f>
        <v>136175.61363715088</v>
      </c>
    </row>
    <row r="188" spans="2:13" x14ac:dyDescent="0.2">
      <c r="B188" s="22">
        <f>IF(C188="","",ROUNDUP(C188/12,0))</f>
        <v>15</v>
      </c>
      <c r="C188" s="21">
        <f>IF(OR(C187="",C187&gt;=$I$9),"",C187+1)</f>
        <v>173</v>
      </c>
      <c r="D188" s="251">
        <f>IF(C188="","",EOMONTH(D187,1))</f>
        <v>49125</v>
      </c>
      <c r="E188" s="250" t="str">
        <f>IF(C188="","",$M$11)</f>
        <v>360</v>
      </c>
      <c r="F188" s="14">
        <f>IF(C188="","",IF($M$12="Actual",D188-D187,30))</f>
        <v>30</v>
      </c>
      <c r="G188" s="24">
        <f>IF(B188="","",L187)</f>
        <v>17525663.84949844</v>
      </c>
      <c r="H188" s="24">
        <f>IF(B188="","",(C188&lt;=$I$10)*I188+(C188&gt;$I$10)*PMT($I$7/(E188/F188),$I$8+$I$10-C187,-G188))</f>
        <v>134636.65585374826</v>
      </c>
      <c r="I188" s="24">
        <f>IF(B188="","",G188*$I$7/E188*F188)</f>
        <v>73023.599372910176</v>
      </c>
      <c r="J188" s="24">
        <f>IF(B188="","",H188-I188)</f>
        <v>61613.056480838088</v>
      </c>
      <c r="K188" s="24">
        <f>IF(B188="","",(C188=$I$9)*(G188-J188))</f>
        <v>0</v>
      </c>
      <c r="L188" s="24">
        <f>IF(B188="","",G188-J188-K188)</f>
        <v>17464050.7930176</v>
      </c>
      <c r="M188" s="24">
        <f>IF(B188="","",I188+J188+K188)</f>
        <v>134636.65585374826</v>
      </c>
    </row>
    <row r="189" spans="2:13" x14ac:dyDescent="0.2">
      <c r="B189" s="22">
        <f>IF(C189="","",ROUNDUP(C189/12,0))</f>
        <v>15</v>
      </c>
      <c r="C189" s="21">
        <f>IF(OR(C188="",C188&gt;=$I$9),"",C188+1)</f>
        <v>174</v>
      </c>
      <c r="D189" s="251">
        <f>IF(C189="","",EOMONTH(D188,1))</f>
        <v>49156</v>
      </c>
      <c r="E189" s="250" t="str">
        <f>IF(C189="","",$M$11)</f>
        <v>360</v>
      </c>
      <c r="F189" s="14">
        <f>IF(C189="","",IF($M$12="Actual",D189-D188,30))</f>
        <v>31</v>
      </c>
      <c r="G189" s="24">
        <f>IF(B189="","",L188)</f>
        <v>17464050.7930176</v>
      </c>
      <c r="H189" s="24">
        <f>IF(B189="","",(C189&lt;=$I$10)*I189+(C189&gt;$I$10)*PMT($I$7/(E189/F189),$I$8+$I$10-C188,-G189))</f>
        <v>136168.63398421544</v>
      </c>
      <c r="I189" s="24">
        <f>IF(B189="","",G189*$I$7/E189*F189)</f>
        <v>75192.440914381339</v>
      </c>
      <c r="J189" s="24">
        <f>IF(B189="","",H189-I189)</f>
        <v>60976.193069834102</v>
      </c>
      <c r="K189" s="24">
        <f>IF(B189="","",(C189=$I$9)*(G189-J189))</f>
        <v>0</v>
      </c>
      <c r="L189" s="24">
        <f>IF(B189="","",G189-J189-K189)</f>
        <v>17403074.599947765</v>
      </c>
      <c r="M189" s="24">
        <f>IF(B189="","",I189+J189+K189)</f>
        <v>136168.63398421544</v>
      </c>
    </row>
    <row r="190" spans="2:13" x14ac:dyDescent="0.2">
      <c r="B190" s="22">
        <f>IF(C190="","",ROUNDUP(C190/12,0))</f>
        <v>15</v>
      </c>
      <c r="C190" s="21">
        <f>IF(OR(C189="",C189&gt;=$I$9),"",C189+1)</f>
        <v>175</v>
      </c>
      <c r="D190" s="251">
        <f>IF(C190="","",EOMONTH(D189,1))</f>
        <v>49187</v>
      </c>
      <c r="E190" s="250" t="str">
        <f>IF(C190="","",$M$11)</f>
        <v>360</v>
      </c>
      <c r="F190" s="14">
        <f>IF(C190="","",IF($M$12="Actual",D190-D189,30))</f>
        <v>31</v>
      </c>
      <c r="G190" s="24">
        <f>IF(B190="","",L189)</f>
        <v>17403074.599947765</v>
      </c>
      <c r="H190" s="24">
        <f>IF(B190="","",(C190&lt;=$I$10)*I190+(C190&gt;$I$10)*PMT($I$7/(E190/F190),$I$8+$I$10-C189,-G190))</f>
        <v>136168.63398421544</v>
      </c>
      <c r="I190" s="24">
        <f>IF(B190="","",G190*$I$7/E190*F190)</f>
        <v>74929.904527552877</v>
      </c>
      <c r="J190" s="24">
        <f>IF(B190="","",H190-I190)</f>
        <v>61238.729456662564</v>
      </c>
      <c r="K190" s="24">
        <f>IF(B190="","",(C190=$I$9)*(G190-J190))</f>
        <v>0</v>
      </c>
      <c r="L190" s="24">
        <f>IF(B190="","",G190-J190-K190)</f>
        <v>17341835.870491102</v>
      </c>
      <c r="M190" s="24">
        <f>IF(B190="","",I190+J190+K190)</f>
        <v>136168.63398421544</v>
      </c>
    </row>
    <row r="191" spans="2:13" x14ac:dyDescent="0.2">
      <c r="B191" s="22">
        <f>IF(C191="","",ROUNDUP(C191/12,0))</f>
        <v>15</v>
      </c>
      <c r="C191" s="21">
        <f>IF(OR(C190="",C190&gt;=$I$9),"",C190+1)</f>
        <v>176</v>
      </c>
      <c r="D191" s="251">
        <f>IF(C191="","",EOMONTH(D190,1))</f>
        <v>49217</v>
      </c>
      <c r="E191" s="250" t="str">
        <f>IF(C191="","",$M$11)</f>
        <v>360</v>
      </c>
      <c r="F191" s="14">
        <f>IF(C191="","",IF($M$12="Actual",D191-D190,30))</f>
        <v>30</v>
      </c>
      <c r="G191" s="24">
        <f>IF(B191="","",L190)</f>
        <v>17341835.870491102</v>
      </c>
      <c r="H191" s="24">
        <f>IF(B191="","",(C191&lt;=$I$10)*I191+(C191&gt;$I$10)*PMT($I$7/(E191/F191),$I$8+$I$10-C190,-G191))</f>
        <v>134650.49546011488</v>
      </c>
      <c r="I191" s="24">
        <f>IF(B191="","",G191*$I$7/E191*F191)</f>
        <v>72257.649460379602</v>
      </c>
      <c r="J191" s="24">
        <f>IF(B191="","",H191-I191)</f>
        <v>62392.845999735277</v>
      </c>
      <c r="K191" s="24">
        <f>IF(B191="","",(C191=$I$9)*(G191-J191))</f>
        <v>0</v>
      </c>
      <c r="L191" s="24">
        <f>IF(B191="","",G191-J191-K191)</f>
        <v>17279443.024491366</v>
      </c>
      <c r="M191" s="24">
        <f>IF(B191="","",I191+J191+K191)</f>
        <v>134650.49546011488</v>
      </c>
    </row>
    <row r="192" spans="2:13" x14ac:dyDescent="0.2">
      <c r="B192" s="22">
        <f>IF(C192="","",ROUNDUP(C192/12,0))</f>
        <v>15</v>
      </c>
      <c r="C192" s="21">
        <f>IF(OR(C191="",C191&gt;=$I$9),"",C191+1)</f>
        <v>177</v>
      </c>
      <c r="D192" s="251">
        <f>IF(C192="","",EOMONTH(D191,1))</f>
        <v>49248</v>
      </c>
      <c r="E192" s="250" t="str">
        <f>IF(C192="","",$M$11)</f>
        <v>360</v>
      </c>
      <c r="F192" s="14">
        <f>IF(C192="","",IF($M$12="Actual",D192-D191,30))</f>
        <v>31</v>
      </c>
      <c r="G192" s="24">
        <f>IF(B192="","",L191)</f>
        <v>17279443.024491366</v>
      </c>
      <c r="H192" s="24">
        <f>IF(B192="","",(C192&lt;=$I$10)*I192+(C192&gt;$I$10)*PMT($I$7/(E192/F192),$I$8+$I$10-C191,-G192))</f>
        <v>136161.61726015244</v>
      </c>
      <c r="I192" s="24">
        <f>IF(B192="","",G192*$I$7/E192*F192)</f>
        <v>74397.601911004502</v>
      </c>
      <c r="J192" s="24">
        <f>IF(B192="","",H192-I192)</f>
        <v>61764.015349147943</v>
      </c>
      <c r="K192" s="24">
        <f>IF(B192="","",(C192=$I$9)*(G192-J192))</f>
        <v>0</v>
      </c>
      <c r="L192" s="24">
        <f>IF(B192="","",G192-J192-K192)</f>
        <v>17217679.009142216</v>
      </c>
      <c r="M192" s="24">
        <f>IF(B192="","",I192+J192+K192)</f>
        <v>136161.61726015244</v>
      </c>
    </row>
    <row r="193" spans="2:13" x14ac:dyDescent="0.2">
      <c r="B193" s="22">
        <f>IF(C193="","",ROUNDUP(C193/12,0))</f>
        <v>15</v>
      </c>
      <c r="C193" s="21">
        <f>IF(OR(C192="",C192&gt;=$I$9),"",C192+1)</f>
        <v>178</v>
      </c>
      <c r="D193" s="251">
        <f>IF(C193="","",EOMONTH(D192,1))</f>
        <v>49278</v>
      </c>
      <c r="E193" s="250" t="str">
        <f>IF(C193="","",$M$11)</f>
        <v>360</v>
      </c>
      <c r="F193" s="14">
        <f>IF(C193="","",IF($M$12="Actual",D193-D192,30))</f>
        <v>30</v>
      </c>
      <c r="G193" s="24">
        <f>IF(B193="","",L192)</f>
        <v>17217679.009142216</v>
      </c>
      <c r="H193" s="24">
        <f>IF(B193="","",(C193&lt;=$I$10)*I193+(C193&gt;$I$10)*PMT($I$7/(E193/F193),$I$8+$I$10-C192,-G193))</f>
        <v>134657.44666718229</v>
      </c>
      <c r="I193" s="24">
        <f>IF(B193="","",G193*$I$7/E193*F193)</f>
        <v>71740.32920475924</v>
      </c>
      <c r="J193" s="24">
        <f>IF(B193="","",H193-I193)</f>
        <v>62917.117462423048</v>
      </c>
      <c r="K193" s="24">
        <f>IF(B193="","",(C193=$I$9)*(G193-J193))</f>
        <v>0</v>
      </c>
      <c r="L193" s="24">
        <f>IF(B193="","",G193-J193-K193)</f>
        <v>17154761.891679794</v>
      </c>
      <c r="M193" s="24">
        <f>IF(B193="","",I193+J193+K193)</f>
        <v>134657.44666718229</v>
      </c>
    </row>
    <row r="194" spans="2:13" x14ac:dyDescent="0.2">
      <c r="B194" s="22">
        <f>IF(C194="","",ROUNDUP(C194/12,0))</f>
        <v>15</v>
      </c>
      <c r="C194" s="21">
        <f>IF(OR(C193="",C193&gt;=$I$9),"",C193+1)</f>
        <v>179</v>
      </c>
      <c r="D194" s="251">
        <f>IF(C194="","",EOMONTH(D193,1))</f>
        <v>49309</v>
      </c>
      <c r="E194" s="250" t="str">
        <f>IF(C194="","",$M$11)</f>
        <v>360</v>
      </c>
      <c r="F194" s="14">
        <f>IF(C194="","",IF($M$12="Actual",D194-D193,30))</f>
        <v>31</v>
      </c>
      <c r="G194" s="24">
        <f>IF(B194="","",L193)</f>
        <v>17154761.891679794</v>
      </c>
      <c r="H194" s="24">
        <f>IF(B194="","",(C194&lt;=$I$10)*I194+(C194&gt;$I$10)*PMT($I$7/(E194/F194),$I$8+$I$10-C193,-G194))</f>
        <v>136154.57590559867</v>
      </c>
      <c r="I194" s="24">
        <f>IF(B194="","",G194*$I$7/E194*F194)</f>
        <v>73860.780366954656</v>
      </c>
      <c r="J194" s="24">
        <f>IF(B194="","",H194-I194)</f>
        <v>62293.795538644015</v>
      </c>
      <c r="K194" s="24">
        <f>IF(B194="","",(C194=$I$9)*(G194-J194))</f>
        <v>0</v>
      </c>
      <c r="L194" s="24">
        <f>IF(B194="","",G194-J194-K194)</f>
        <v>17092468.096141148</v>
      </c>
      <c r="M194" s="24">
        <f>IF(B194="","",I194+J194+K194)</f>
        <v>136154.57590559867</v>
      </c>
    </row>
    <row r="195" spans="2:13" x14ac:dyDescent="0.2">
      <c r="B195" s="22">
        <f>IF(C195="","",ROUNDUP(C195/12,0))</f>
        <v>15</v>
      </c>
      <c r="C195" s="21">
        <f>IF(OR(C194="",C194&gt;=$I$9),"",C194+1)</f>
        <v>180</v>
      </c>
      <c r="D195" s="251">
        <f>IF(C195="","",EOMONTH(D194,1))</f>
        <v>49340</v>
      </c>
      <c r="E195" s="250" t="str">
        <f>IF(C195="","",$M$11)</f>
        <v>360</v>
      </c>
      <c r="F195" s="14">
        <f>IF(C195="","",IF($M$12="Actual",D195-D194,30))</f>
        <v>31</v>
      </c>
      <c r="G195" s="24">
        <f>IF(B195="","",L194)</f>
        <v>17092468.096141148</v>
      </c>
      <c r="H195" s="24">
        <f>IF(B195="","",(C195&lt;=$I$10)*I195+(C195&gt;$I$10)*PMT($I$7/(E195/F195),$I$8+$I$10-C194,-G195))</f>
        <v>136154.57590559867</v>
      </c>
      <c r="I195" s="24">
        <f>IF(B195="","",G195*$I$7/E195*F195)</f>
        <v>73592.570969496606</v>
      </c>
      <c r="J195" s="24">
        <f>IF(B195="","",H195-I195)</f>
        <v>62562.004936102065</v>
      </c>
      <c r="K195" s="24">
        <f>IF(B195="","",(C195=$I$9)*(G195-J195))</f>
        <v>0</v>
      </c>
      <c r="L195" s="24">
        <f>IF(B195="","",G195-J195-K195)</f>
        <v>17029906.091205046</v>
      </c>
      <c r="M195" s="24">
        <f>IF(B195="","",I195+J195+K195)</f>
        <v>136154.57590559867</v>
      </c>
    </row>
    <row r="196" spans="2:13" x14ac:dyDescent="0.2">
      <c r="B196" s="22">
        <f>IF(C196="","",ROUNDUP(C196/12,0))</f>
        <v>16</v>
      </c>
      <c r="C196" s="21">
        <f>IF(OR(C195="",C195&gt;=$I$9),"",C195+1)</f>
        <v>181</v>
      </c>
      <c r="D196" s="251">
        <f>IF(C196="","",EOMONTH(D195,1))</f>
        <v>49368</v>
      </c>
      <c r="E196" s="250" t="str">
        <f>IF(C196="","",$M$11)</f>
        <v>360</v>
      </c>
      <c r="F196" s="14">
        <f>IF(C196="","",IF($M$12="Actual",D196-D195,30))</f>
        <v>28</v>
      </c>
      <c r="G196" s="24">
        <f>IF(B196="","",L195)</f>
        <v>17029906.091205046</v>
      </c>
      <c r="H196" s="24">
        <f>IF(B196="","",(C196&lt;=$I$10)*I196+(C196&gt;$I$10)*PMT($I$7/(E196/F196),$I$8+$I$10-C195,-G196))</f>
        <v>131732.9083009075</v>
      </c>
      <c r="I196" s="24">
        <f>IF(B196="","",G196*$I$7/E196*F196)</f>
        <v>66227.412576908508</v>
      </c>
      <c r="J196" s="24">
        <f>IF(B196="","",H196-I196)</f>
        <v>65505.495723998989</v>
      </c>
      <c r="K196" s="24">
        <f>IF(B196="","",(C196=$I$9)*(G196-J196))</f>
        <v>0</v>
      </c>
      <c r="L196" s="24">
        <f>IF(B196="","",G196-J196-K196)</f>
        <v>16964400.595481046</v>
      </c>
      <c r="M196" s="24">
        <f>IF(B196="","",I196+J196+K196)</f>
        <v>131732.9083009075</v>
      </c>
    </row>
    <row r="197" spans="2:13" x14ac:dyDescent="0.2">
      <c r="B197" s="22">
        <f>IF(C197="","",ROUNDUP(C197/12,0))</f>
        <v>16</v>
      </c>
      <c r="C197" s="21">
        <f>IF(OR(C196="",C196&gt;=$I$9),"",C196+1)</f>
        <v>182</v>
      </c>
      <c r="D197" s="251">
        <f>IF(C197="","",EOMONTH(D196,1))</f>
        <v>49399</v>
      </c>
      <c r="E197" s="250" t="str">
        <f>IF(C197="","",$M$11)</f>
        <v>360</v>
      </c>
      <c r="F197" s="14">
        <f>IF(C197="","",IF($M$12="Actual",D197-D196,30))</f>
        <v>31</v>
      </c>
      <c r="G197" s="24">
        <f>IF(B197="","",L196)</f>
        <v>16964400.595481046</v>
      </c>
      <c r="H197" s="24">
        <f>IF(B197="","",(C197&lt;=$I$10)*I197+(C197&gt;$I$10)*PMT($I$7/(E197/F197),$I$8+$I$10-C196,-G197))</f>
        <v>136133.11701659736</v>
      </c>
      <c r="I197" s="24">
        <f>IF(B197="","",G197*$I$7/E197*F197)</f>
        <v>73041.169230543397</v>
      </c>
      <c r="J197" s="24">
        <f>IF(B197="","",H197-I197)</f>
        <v>63091.947786053963</v>
      </c>
      <c r="K197" s="24">
        <f>IF(B197="","",(C197=$I$9)*(G197-J197))</f>
        <v>0</v>
      </c>
      <c r="L197" s="24">
        <f>IF(B197="","",G197-J197-K197)</f>
        <v>16901308.64769499</v>
      </c>
      <c r="M197" s="24">
        <f>IF(B197="","",I197+J197+K197)</f>
        <v>136133.11701659736</v>
      </c>
    </row>
    <row r="198" spans="2:13" x14ac:dyDescent="0.2">
      <c r="B198" s="22">
        <f>IF(C198="","",ROUNDUP(C198/12,0))</f>
        <v>16</v>
      </c>
      <c r="C198" s="21">
        <f>IF(OR(C197="",C197&gt;=$I$9),"",C197+1)</f>
        <v>183</v>
      </c>
      <c r="D198" s="251">
        <f>IF(C198="","",EOMONTH(D197,1))</f>
        <v>49429</v>
      </c>
      <c r="E198" s="250" t="str">
        <f>IF(C198="","",$M$11)</f>
        <v>360</v>
      </c>
      <c r="F198" s="14">
        <f>IF(C198="","",IF($M$12="Actual",D198-D197,30))</f>
        <v>30</v>
      </c>
      <c r="G198" s="24">
        <f>IF(B198="","",L197)</f>
        <v>16901308.64769499</v>
      </c>
      <c r="H198" s="24">
        <f>IF(B198="","",(C198&lt;=$I$10)*I198+(C198&gt;$I$10)*PMT($I$7/(E198/F198),$I$8+$I$10-C197,-G198))</f>
        <v>134664.20101452558</v>
      </c>
      <c r="I198" s="24">
        <f>IF(B198="","",G198*$I$7/E198*F198)</f>
        <v>70422.119365395803</v>
      </c>
      <c r="J198" s="24">
        <f>IF(B198="","",H198-I198)</f>
        <v>64242.081649129774</v>
      </c>
      <c r="K198" s="24">
        <f>IF(B198="","",(C198=$I$9)*(G198-J198))</f>
        <v>0</v>
      </c>
      <c r="L198" s="24">
        <f>IF(B198="","",G198-J198-K198)</f>
        <v>16837066.566045862</v>
      </c>
      <c r="M198" s="24">
        <f>IF(B198="","",I198+J198+K198)</f>
        <v>134664.20101452558</v>
      </c>
    </row>
    <row r="199" spans="2:13" x14ac:dyDescent="0.2">
      <c r="B199" s="22">
        <f>IF(C199="","",ROUNDUP(C199/12,0))</f>
        <v>16</v>
      </c>
      <c r="C199" s="21">
        <f>IF(OR(C198="",C198&gt;=$I$9),"",C198+1)</f>
        <v>184</v>
      </c>
      <c r="D199" s="251">
        <f>IF(C199="","",EOMONTH(D198,1))</f>
        <v>49460</v>
      </c>
      <c r="E199" s="250" t="str">
        <f>IF(C199="","",$M$11)</f>
        <v>360</v>
      </c>
      <c r="F199" s="14">
        <f>IF(C199="","",IF($M$12="Actual",D199-D198,30))</f>
        <v>31</v>
      </c>
      <c r="G199" s="24">
        <f>IF(B199="","",L198)</f>
        <v>16837066.566045862</v>
      </c>
      <c r="H199" s="24">
        <f>IF(B199="","",(C199&lt;=$I$10)*I199+(C199&gt;$I$10)*PMT($I$7/(E199/F199),$I$8+$I$10-C198,-G199))</f>
        <v>136126.01452836875</v>
      </c>
      <c r="I199" s="24">
        <f>IF(B199="","",G199*$I$7/E199*F199)</f>
        <v>72492.925492697468</v>
      </c>
      <c r="J199" s="24">
        <f>IF(B199="","",H199-I199)</f>
        <v>63633.089035671277</v>
      </c>
      <c r="K199" s="24">
        <f>IF(B199="","",(C199=$I$9)*(G199-J199))</f>
        <v>0</v>
      </c>
      <c r="L199" s="24">
        <f>IF(B199="","",G199-J199-K199)</f>
        <v>16773433.47701019</v>
      </c>
      <c r="M199" s="24">
        <f>IF(B199="","",I199+J199+K199)</f>
        <v>136126.01452836875</v>
      </c>
    </row>
    <row r="200" spans="2:13" x14ac:dyDescent="0.2">
      <c r="B200" s="22">
        <f>IF(C200="","",ROUNDUP(C200/12,0))</f>
        <v>16</v>
      </c>
      <c r="C200" s="21">
        <f>IF(OR(C199="",C199&gt;=$I$9),"",C199+1)</f>
        <v>185</v>
      </c>
      <c r="D200" s="251">
        <f>IF(C200="","",EOMONTH(D199,1))</f>
        <v>49490</v>
      </c>
      <c r="E200" s="250" t="str">
        <f>IF(C200="","",$M$11)</f>
        <v>360</v>
      </c>
      <c r="F200" s="14">
        <f>IF(C200="","",IF($M$12="Actual",D200-D199,30))</f>
        <v>30</v>
      </c>
      <c r="G200" s="24">
        <f>IF(B200="","",L199)</f>
        <v>16773433.47701019</v>
      </c>
      <c r="H200" s="24">
        <f>IF(B200="","",(C200&lt;=$I$10)*I200+(C200&gt;$I$10)*PMT($I$7/(E200/F200),$I$8+$I$10-C199,-G200))</f>
        <v>134671.23964261785</v>
      </c>
      <c r="I200" s="24">
        <f>IF(B200="","",G200*$I$7/E200*F200)</f>
        <v>69889.306154209131</v>
      </c>
      <c r="J200" s="24">
        <f>IF(B200="","",H200-I200)</f>
        <v>64781.933488408715</v>
      </c>
      <c r="K200" s="24">
        <f>IF(B200="","",(C200=$I$9)*(G200-J200))</f>
        <v>0</v>
      </c>
      <c r="L200" s="24">
        <f>IF(B200="","",G200-J200-K200)</f>
        <v>16708651.543521782</v>
      </c>
      <c r="M200" s="24">
        <f>IF(B200="","",I200+J200+K200)</f>
        <v>134671.23964261785</v>
      </c>
    </row>
    <row r="201" spans="2:13" x14ac:dyDescent="0.2">
      <c r="B201" s="22">
        <f>IF(C201="","",ROUNDUP(C201/12,0))</f>
        <v>16</v>
      </c>
      <c r="C201" s="21">
        <f>IF(OR(C200="",C200&gt;=$I$9),"",C200+1)</f>
        <v>186</v>
      </c>
      <c r="D201" s="251">
        <f>IF(C201="","",EOMONTH(D200,1))</f>
        <v>49521</v>
      </c>
      <c r="E201" s="250" t="str">
        <f>IF(C201="","",$M$11)</f>
        <v>360</v>
      </c>
      <c r="F201" s="14">
        <f>IF(C201="","",IF($M$12="Actual",D201-D200,30))</f>
        <v>31</v>
      </c>
      <c r="G201" s="24">
        <f>IF(B201="","",L200)</f>
        <v>16708651.543521782</v>
      </c>
      <c r="H201" s="24">
        <f>IF(B201="","",(C201&lt;=$I$10)*I201+(C201&gt;$I$10)*PMT($I$7/(E201/F201),$I$8+$I$10-C200,-G201))</f>
        <v>136118.8873136295</v>
      </c>
      <c r="I201" s="24">
        <f>IF(B201="","",G201*$I$7/E201*F201)</f>
        <v>71940.027479052122</v>
      </c>
      <c r="J201" s="24">
        <f>IF(B201="","",H201-I201)</f>
        <v>64178.859834577379</v>
      </c>
      <c r="K201" s="24">
        <f>IF(B201="","",(C201=$I$9)*(G201-J201))</f>
        <v>0</v>
      </c>
      <c r="L201" s="24">
        <f>IF(B201="","",G201-J201-K201)</f>
        <v>16644472.683687204</v>
      </c>
      <c r="M201" s="24">
        <f>IF(B201="","",I201+J201+K201)</f>
        <v>136118.8873136295</v>
      </c>
    </row>
    <row r="202" spans="2:13" x14ac:dyDescent="0.2">
      <c r="B202" s="22">
        <f>IF(C202="","",ROUNDUP(C202/12,0))</f>
        <v>16</v>
      </c>
      <c r="C202" s="21">
        <f>IF(OR(C201="",C201&gt;=$I$9),"",C201+1)</f>
        <v>187</v>
      </c>
      <c r="D202" s="251">
        <f>IF(C202="","",EOMONTH(D201,1))</f>
        <v>49552</v>
      </c>
      <c r="E202" s="250" t="str">
        <f>IF(C202="","",$M$11)</f>
        <v>360</v>
      </c>
      <c r="F202" s="14">
        <f>IF(C202="","",IF($M$12="Actual",D202-D201,30))</f>
        <v>31</v>
      </c>
      <c r="G202" s="24">
        <f>IF(B202="","",L201)</f>
        <v>16644472.683687204</v>
      </c>
      <c r="H202" s="24">
        <f>IF(B202="","",(C202&lt;=$I$10)*I202+(C202&gt;$I$10)*PMT($I$7/(E202/F202),$I$8+$I$10-C201,-G202))</f>
        <v>136118.88731362947</v>
      </c>
      <c r="I202" s="24">
        <f>IF(B202="","",G202*$I$7/E202*F202)</f>
        <v>71663.701832542138</v>
      </c>
      <c r="J202" s="24">
        <f>IF(B202="","",H202-I202)</f>
        <v>64455.185481087334</v>
      </c>
      <c r="K202" s="24">
        <f>IF(B202="","",(C202=$I$9)*(G202-J202))</f>
        <v>0</v>
      </c>
      <c r="L202" s="24">
        <f>IF(B202="","",G202-J202-K202)</f>
        <v>16580017.498206116</v>
      </c>
      <c r="M202" s="24">
        <f>IF(B202="","",I202+J202+K202)</f>
        <v>136118.88731362947</v>
      </c>
    </row>
    <row r="203" spans="2:13" x14ac:dyDescent="0.2">
      <c r="B203" s="22">
        <f>IF(C203="","",ROUNDUP(C203/12,0))</f>
        <v>16</v>
      </c>
      <c r="C203" s="21">
        <f>IF(OR(C202="",C202&gt;=$I$9),"",C202+1)</f>
        <v>188</v>
      </c>
      <c r="D203" s="251">
        <f>IF(C203="","",EOMONTH(D202,1))</f>
        <v>49582</v>
      </c>
      <c r="E203" s="250" t="str">
        <f>IF(C203="","",$M$11)</f>
        <v>360</v>
      </c>
      <c r="F203" s="14">
        <f>IF(C203="","",IF($M$12="Actual",D203-D202,30))</f>
        <v>30</v>
      </c>
      <c r="G203" s="24">
        <f>IF(B203="","",L202)</f>
        <v>16580017.498206116</v>
      </c>
      <c r="H203" s="24">
        <f>IF(B203="","",(C203&lt;=$I$10)*I203+(C203&gt;$I$10)*PMT($I$7/(E203/F203),$I$8+$I$10-C202,-G203))</f>
        <v>134685.38013459527</v>
      </c>
      <c r="I203" s="24">
        <f>IF(B203="","",G203*$I$7/E203*F203)</f>
        <v>69083.406242525496</v>
      </c>
      <c r="J203" s="24">
        <f>IF(B203="","",H203-I203)</f>
        <v>65601.973892069771</v>
      </c>
      <c r="K203" s="24">
        <f>IF(B203="","",(C203=$I$9)*(G203-J203))</f>
        <v>0</v>
      </c>
      <c r="L203" s="24">
        <f>IF(B203="","",G203-J203-K203)</f>
        <v>16514415.524314046</v>
      </c>
      <c r="M203" s="24">
        <f>IF(B203="","",I203+J203+K203)</f>
        <v>134685.38013459527</v>
      </c>
    </row>
    <row r="204" spans="2:13" x14ac:dyDescent="0.2">
      <c r="B204" s="22">
        <f>IF(C204="","",ROUNDUP(C204/12,0))</f>
        <v>16</v>
      </c>
      <c r="C204" s="21">
        <f>IF(OR(C203="",C203&gt;=$I$9),"",C203+1)</f>
        <v>189</v>
      </c>
      <c r="D204" s="251">
        <f>IF(C204="","",EOMONTH(D203,1))</f>
        <v>49613</v>
      </c>
      <c r="E204" s="250" t="str">
        <f>IF(C204="","",$M$11)</f>
        <v>360</v>
      </c>
      <c r="F204" s="14">
        <f>IF(C204="","",IF($M$12="Actual",D204-D203,30))</f>
        <v>31</v>
      </c>
      <c r="G204" s="24">
        <f>IF(B204="","",L203)</f>
        <v>16514415.524314046</v>
      </c>
      <c r="H204" s="24">
        <f>IF(B204="","",(C204&lt;=$I$10)*I204+(C204&gt;$I$10)*PMT($I$7/(E204/F204),$I$8+$I$10-C203,-G204))</f>
        <v>136111.72277006041</v>
      </c>
      <c r="I204" s="24">
        <f>IF(B204="","",G204*$I$7/E204*F204)</f>
        <v>71103.733507463257</v>
      </c>
      <c r="J204" s="24">
        <f>IF(B204="","",H204-I204)</f>
        <v>65007.989262597155</v>
      </c>
      <c r="K204" s="24">
        <f>IF(B204="","",(C204=$I$9)*(G204-J204))</f>
        <v>0</v>
      </c>
      <c r="L204" s="24">
        <f>IF(B204="","",G204-J204-K204)</f>
        <v>16449407.535051448</v>
      </c>
      <c r="M204" s="24">
        <f>IF(B204="","",I204+J204+K204)</f>
        <v>136111.72277006041</v>
      </c>
    </row>
    <row r="205" spans="2:13" x14ac:dyDescent="0.2">
      <c r="B205" s="22">
        <f>IF(C205="","",ROUNDUP(C205/12,0))</f>
        <v>16</v>
      </c>
      <c r="C205" s="21">
        <f>IF(OR(C204="",C204&gt;=$I$9),"",C204+1)</f>
        <v>190</v>
      </c>
      <c r="D205" s="251">
        <f>IF(C205="","",EOMONTH(D204,1))</f>
        <v>49643</v>
      </c>
      <c r="E205" s="250" t="str">
        <f>IF(C205="","",$M$11)</f>
        <v>360</v>
      </c>
      <c r="F205" s="14">
        <f>IF(C205="","",IF($M$12="Actual",D205-D204,30))</f>
        <v>30</v>
      </c>
      <c r="G205" s="24">
        <f>IF(B205="","",L204)</f>
        <v>16449407.535051448</v>
      </c>
      <c r="H205" s="24">
        <f>IF(B205="","",(C205&lt;=$I$10)*I205+(C205&gt;$I$10)*PMT($I$7/(E205/F205),$I$8+$I$10-C204,-G205))</f>
        <v>134692.48205098184</v>
      </c>
      <c r="I205" s="24">
        <f>IF(B205="","",G205*$I$7/E205*F205)</f>
        <v>68539.198062714378</v>
      </c>
      <c r="J205" s="24">
        <f>IF(B205="","",H205-I205)</f>
        <v>66153.28398826746</v>
      </c>
      <c r="K205" s="24">
        <f>IF(B205="","",(C205=$I$9)*(G205-J205))</f>
        <v>0</v>
      </c>
      <c r="L205" s="24">
        <f>IF(B205="","",G205-J205-K205)</f>
        <v>16383254.251063181</v>
      </c>
      <c r="M205" s="24">
        <f>IF(B205="","",I205+J205+K205)</f>
        <v>134692.48205098184</v>
      </c>
    </row>
    <row r="206" spans="2:13" x14ac:dyDescent="0.2">
      <c r="B206" s="22">
        <f>IF(C206="","",ROUNDUP(C206/12,0))</f>
        <v>16</v>
      </c>
      <c r="C206" s="21">
        <f>IF(OR(C205="",C205&gt;=$I$9),"",C205+1)</f>
        <v>191</v>
      </c>
      <c r="D206" s="251">
        <f>IF(C206="","",EOMONTH(D205,1))</f>
        <v>49674</v>
      </c>
      <c r="E206" s="250" t="str">
        <f>IF(C206="","",$M$11)</f>
        <v>360</v>
      </c>
      <c r="F206" s="14">
        <f>IF(C206="","",IF($M$12="Actual",D206-D205,30))</f>
        <v>31</v>
      </c>
      <c r="G206" s="24">
        <f>IF(B206="","",L205)</f>
        <v>16383254.251063181</v>
      </c>
      <c r="H206" s="24">
        <f>IF(B206="","",(C206&lt;=$I$10)*I206+(C206&gt;$I$10)*PMT($I$7/(E206/F206),$I$8+$I$10-C205,-G206))</f>
        <v>136104.53343180273</v>
      </c>
      <c r="I206" s="24">
        <f>IF(B206="","",G206*$I$7/E206*F206)</f>
        <v>70539.011358744261</v>
      </c>
      <c r="J206" s="24">
        <f>IF(B206="","",H206-I206)</f>
        <v>65565.52207305847</v>
      </c>
      <c r="K206" s="24">
        <f>IF(B206="","",(C206=$I$9)*(G206-J206))</f>
        <v>0</v>
      </c>
      <c r="L206" s="24">
        <f>IF(B206="","",G206-J206-K206)</f>
        <v>16317688.728990123</v>
      </c>
      <c r="M206" s="24">
        <f>IF(B206="","",I206+J206+K206)</f>
        <v>136104.53343180273</v>
      </c>
    </row>
    <row r="207" spans="2:13" x14ac:dyDescent="0.2">
      <c r="B207" s="22">
        <f>IF(C207="","",ROUNDUP(C207/12,0))</f>
        <v>16</v>
      </c>
      <c r="C207" s="21">
        <f>IF(OR(C206="",C206&gt;=$I$9),"",C206+1)</f>
        <v>192</v>
      </c>
      <c r="D207" s="251">
        <f>IF(C207="","",EOMONTH(D206,1))</f>
        <v>49705</v>
      </c>
      <c r="E207" s="250" t="str">
        <f>IF(C207="","",$M$11)</f>
        <v>360</v>
      </c>
      <c r="F207" s="14">
        <f>IF(C207="","",IF($M$12="Actual",D207-D206,30))</f>
        <v>31</v>
      </c>
      <c r="G207" s="24">
        <f>IF(B207="","",L206)</f>
        <v>16317688.728990123</v>
      </c>
      <c r="H207" s="24">
        <f>IF(B207="","",(C207&lt;=$I$10)*I207+(C207&gt;$I$10)*PMT($I$7/(E207/F207),$I$8+$I$10-C206,-G207))</f>
        <v>136104.53343180273</v>
      </c>
      <c r="I207" s="24">
        <f>IF(B207="","",G207*$I$7/E207*F207)</f>
        <v>70256.715360929695</v>
      </c>
      <c r="J207" s="24">
        <f>IF(B207="","",H207-I207)</f>
        <v>65847.818070873036</v>
      </c>
      <c r="K207" s="24">
        <f>IF(B207="","",(C207=$I$9)*(G207-J207))</f>
        <v>0</v>
      </c>
      <c r="L207" s="24">
        <f>IF(B207="","",G207-J207-K207)</f>
        <v>16251840.910919249</v>
      </c>
      <c r="M207" s="24">
        <f>IF(B207="","",I207+J207+K207)</f>
        <v>136104.53343180273</v>
      </c>
    </row>
    <row r="208" spans="2:13" x14ac:dyDescent="0.2">
      <c r="B208" s="22">
        <f>IF(C208="","",ROUNDUP(C208/12,0))</f>
        <v>17</v>
      </c>
      <c r="C208" s="21">
        <f>IF(OR(C207="",C207&gt;=$I$9),"",C207+1)</f>
        <v>193</v>
      </c>
      <c r="D208" s="251">
        <f>IF(C208="","",EOMONTH(D207,1))</f>
        <v>49734</v>
      </c>
      <c r="E208" s="250" t="str">
        <f>IF(C208="","",$M$11)</f>
        <v>360</v>
      </c>
      <c r="F208" s="14">
        <f>IF(C208="","",IF($M$12="Actual",D208-D207,30))</f>
        <v>29</v>
      </c>
      <c r="G208" s="24">
        <f>IF(B208="","",L207)</f>
        <v>16251840.910919249</v>
      </c>
      <c r="H208" s="24">
        <f>IF(B208="","",(C208&lt;=$I$10)*I208+(C208&gt;$I$10)*PMT($I$7/(E208/F208),$I$8+$I$10-C207,-G208))</f>
        <v>133317.27472856099</v>
      </c>
      <c r="I208" s="24">
        <f>IF(B208="","",G208*$I$7/E208*F208)</f>
        <v>65458.803668980319</v>
      </c>
      <c r="J208" s="24">
        <f>IF(B208="","",H208-I208)</f>
        <v>67858.471059580683</v>
      </c>
      <c r="K208" s="24">
        <f>IF(B208="","",(C208=$I$9)*(G208-J208))</f>
        <v>0</v>
      </c>
      <c r="L208" s="24">
        <f>IF(B208="","",G208-J208-K208)</f>
        <v>16183982.439859668</v>
      </c>
      <c r="M208" s="24">
        <f>IF(B208="","",I208+J208+K208)</f>
        <v>133317.27472856099</v>
      </c>
    </row>
    <row r="209" spans="2:13" x14ac:dyDescent="0.2">
      <c r="B209" s="22">
        <f>IF(C209="","",ROUNDUP(C209/12,0))</f>
        <v>17</v>
      </c>
      <c r="C209" s="21">
        <f>IF(OR(C208="",C208&gt;=$I$9),"",C208+1)</f>
        <v>194</v>
      </c>
      <c r="D209" s="251">
        <f>IF(C209="","",EOMONTH(D208,1))</f>
        <v>49765</v>
      </c>
      <c r="E209" s="250" t="str">
        <f>IF(C209="","",$M$11)</f>
        <v>360</v>
      </c>
      <c r="F209" s="14">
        <f>IF(C209="","",IF($M$12="Actual",D209-D208,30))</f>
        <v>31</v>
      </c>
      <c r="G209" s="24">
        <f>IF(B209="","",L208)</f>
        <v>16183982.439859668</v>
      </c>
      <c r="H209" s="24">
        <f>IF(B209="","",(C209&lt;=$I$10)*I209+(C209&gt;$I$10)*PMT($I$7/(E209/F209),$I$8+$I$10-C208,-G209))</f>
        <v>136090.01001572245</v>
      </c>
      <c r="I209" s="24">
        <f>IF(B209="","",G209*$I$7/E209*F209)</f>
        <v>69681.035504951346</v>
      </c>
      <c r="J209" s="24">
        <f>IF(B209="","",H209-I209)</f>
        <v>66408.974510771106</v>
      </c>
      <c r="K209" s="24">
        <f>IF(B209="","",(C209=$I$9)*(G209-J209))</f>
        <v>0</v>
      </c>
      <c r="L209" s="24">
        <f>IF(B209="","",G209-J209-K209)</f>
        <v>16117573.465348898</v>
      </c>
      <c r="M209" s="24">
        <f>IF(B209="","",I209+J209+K209)</f>
        <v>136090.01001572245</v>
      </c>
    </row>
    <row r="210" spans="2:13" x14ac:dyDescent="0.2">
      <c r="B210" s="22">
        <f>IF(C210="","",ROUNDUP(C210/12,0))</f>
        <v>17</v>
      </c>
      <c r="C210" s="21">
        <f>IF(OR(C209="",C209&gt;=$I$9),"",C209+1)</f>
        <v>195</v>
      </c>
      <c r="D210" s="251">
        <f>IF(C210="","",EOMONTH(D209,1))</f>
        <v>49795</v>
      </c>
      <c r="E210" s="250" t="str">
        <f>IF(C210="","",$M$11)</f>
        <v>360</v>
      </c>
      <c r="F210" s="14">
        <f>IF(C210="","",IF($M$12="Actual",D210-D209,30))</f>
        <v>30</v>
      </c>
      <c r="G210" s="24">
        <f>IF(B210="","",L209)</f>
        <v>16117573.465348898</v>
      </c>
      <c r="H210" s="24">
        <f>IF(B210="","",(C210&lt;=$I$10)*I210+(C210&gt;$I$10)*PMT($I$7/(E210/F210),$I$8+$I$10-C209,-G210))</f>
        <v>134706.69228618458</v>
      </c>
      <c r="I210" s="24">
        <f>IF(B210="","",G210*$I$7/E210*F210)</f>
        <v>67156.556105620417</v>
      </c>
      <c r="J210" s="24">
        <f>IF(B210="","",H210-I210)</f>
        <v>67550.136180564165</v>
      </c>
      <c r="K210" s="24">
        <f>IF(B210="","",(C210=$I$9)*(G210-J210))</f>
        <v>0</v>
      </c>
      <c r="L210" s="24">
        <f>IF(B210="","",G210-J210-K210)</f>
        <v>16050023.329168333</v>
      </c>
      <c r="M210" s="24">
        <f>IF(B210="","",I210+J210+K210)</f>
        <v>134706.69228618458</v>
      </c>
    </row>
    <row r="211" spans="2:13" x14ac:dyDescent="0.2">
      <c r="B211" s="22">
        <f>IF(C211="","",ROUNDUP(C211/12,0))</f>
        <v>17</v>
      </c>
      <c r="C211" s="21">
        <f>IF(OR(C210="",C210&gt;=$I$9),"",C210+1)</f>
        <v>196</v>
      </c>
      <c r="D211" s="251">
        <f>IF(C211="","",EOMONTH(D210,1))</f>
        <v>49826</v>
      </c>
      <c r="E211" s="250" t="str">
        <f>IF(C211="","",$M$11)</f>
        <v>360</v>
      </c>
      <c r="F211" s="14">
        <f>IF(C211="","",IF($M$12="Actual",D211-D210,30))</f>
        <v>31</v>
      </c>
      <c r="G211" s="24">
        <f>IF(B211="","",L210)</f>
        <v>16050023.329168333</v>
      </c>
      <c r="H211" s="24">
        <f>IF(B211="","",(C211&lt;=$I$10)*I211+(C211&gt;$I$10)*PMT($I$7/(E211/F211),$I$8+$I$10-C210,-G211))</f>
        <v>136082.75877260152</v>
      </c>
      <c r="I211" s="24">
        <f>IF(B211="","",G211*$I$7/E211*F211)</f>
        <v>69104.267111697001</v>
      </c>
      <c r="J211" s="24">
        <f>IF(B211="","",H211-I211)</f>
        <v>66978.491660904518</v>
      </c>
      <c r="K211" s="24">
        <f>IF(B211="","",(C211=$I$9)*(G211-J211))</f>
        <v>0</v>
      </c>
      <c r="L211" s="24">
        <f>IF(B211="","",G211-J211-K211)</f>
        <v>15983044.837507429</v>
      </c>
      <c r="M211" s="24">
        <f>IF(B211="","",I211+J211+K211)</f>
        <v>136082.75877260152</v>
      </c>
    </row>
    <row r="212" spans="2:13" x14ac:dyDescent="0.2">
      <c r="B212" s="22">
        <f>IF(C212="","",ROUNDUP(C212/12,0))</f>
        <v>17</v>
      </c>
      <c r="C212" s="21">
        <f>IF(OR(C211="",C211&gt;=$I$9),"",C211+1)</f>
        <v>197</v>
      </c>
      <c r="D212" s="251">
        <f>IF(C212="","",EOMONTH(D211,1))</f>
        <v>49856</v>
      </c>
      <c r="E212" s="250" t="str">
        <f>IF(C212="","",$M$11)</f>
        <v>360</v>
      </c>
      <c r="F212" s="14">
        <f>IF(C212="","",IF($M$12="Actual",D212-D211,30))</f>
        <v>30</v>
      </c>
      <c r="G212" s="24">
        <f>IF(B212="","",L211)</f>
        <v>15983044.837507429</v>
      </c>
      <c r="H212" s="24">
        <f>IF(B212="","",(C212&lt;=$I$10)*I212+(C212&gt;$I$10)*PMT($I$7/(E212/F212),$I$8+$I$10-C211,-G212))</f>
        <v>134713.88271049267</v>
      </c>
      <c r="I212" s="24">
        <f>IF(B212="","",G212*$I$7/E212*F212)</f>
        <v>66596.020156280953</v>
      </c>
      <c r="J212" s="24">
        <f>IF(B212="","",H212-I212)</f>
        <v>68117.862554211722</v>
      </c>
      <c r="K212" s="24">
        <f>IF(B212="","",(C212=$I$9)*(G212-J212))</f>
        <v>0</v>
      </c>
      <c r="L212" s="24">
        <f>IF(B212="","",G212-J212-K212)</f>
        <v>15914926.974953217</v>
      </c>
      <c r="M212" s="24">
        <f>IF(B212="","",I212+J212+K212)</f>
        <v>134713.88271049267</v>
      </c>
    </row>
    <row r="213" spans="2:13" x14ac:dyDescent="0.2">
      <c r="B213" s="22">
        <f>IF(C213="","",ROUNDUP(C213/12,0))</f>
        <v>17</v>
      </c>
      <c r="C213" s="21">
        <f>IF(OR(C212="",C212&gt;=$I$9),"",C212+1)</f>
        <v>198</v>
      </c>
      <c r="D213" s="251">
        <f>IF(C213="","",EOMONTH(D212,1))</f>
        <v>49887</v>
      </c>
      <c r="E213" s="250" t="str">
        <f>IF(C213="","",$M$11)</f>
        <v>360</v>
      </c>
      <c r="F213" s="14">
        <f>IF(C213="","",IF($M$12="Actual",D213-D212,30))</f>
        <v>31</v>
      </c>
      <c r="G213" s="24">
        <f>IF(B213="","",L212)</f>
        <v>15914926.974953217</v>
      </c>
      <c r="H213" s="24">
        <f>IF(B213="","",(C213&lt;=$I$10)*I213+(C213&gt;$I$10)*PMT($I$7/(E213/F213),$I$8+$I$10-C212,-G213))</f>
        <v>136075.48264442015</v>
      </c>
      <c r="I213" s="24">
        <f>IF(B213="","",G213*$I$7/E213*F213)</f>
        <v>68522.602253270787</v>
      </c>
      <c r="J213" s="24">
        <f>IF(B213="","",H213-I213)</f>
        <v>67552.88039114936</v>
      </c>
      <c r="K213" s="24">
        <f>IF(B213="","",(C213=$I$9)*(G213-J213))</f>
        <v>0</v>
      </c>
      <c r="L213" s="24">
        <f>IF(B213="","",G213-J213-K213)</f>
        <v>15847374.094562069</v>
      </c>
      <c r="M213" s="24">
        <f>IF(B213="","",I213+J213+K213)</f>
        <v>136075.48264442015</v>
      </c>
    </row>
    <row r="214" spans="2:13" x14ac:dyDescent="0.2">
      <c r="B214" s="22">
        <f>IF(C214="","",ROUNDUP(C214/12,0))</f>
        <v>17</v>
      </c>
      <c r="C214" s="21">
        <f>IF(OR(C213="",C213&gt;=$I$9),"",C213+1)</f>
        <v>199</v>
      </c>
      <c r="D214" s="251">
        <f>IF(C214="","",EOMONTH(D213,1))</f>
        <v>49918</v>
      </c>
      <c r="E214" s="250" t="str">
        <f>IF(C214="","",$M$11)</f>
        <v>360</v>
      </c>
      <c r="F214" s="14">
        <f>IF(C214="","",IF($M$12="Actual",D214-D213,30))</f>
        <v>31</v>
      </c>
      <c r="G214" s="24">
        <f>IF(B214="","",L213)</f>
        <v>15847374.094562069</v>
      </c>
      <c r="H214" s="24">
        <f>IF(B214="","",(C214&lt;=$I$10)*I214+(C214&gt;$I$10)*PMT($I$7/(E214/F214),$I$8+$I$10-C213,-G214))</f>
        <v>136075.48264442018</v>
      </c>
      <c r="I214" s="24">
        <f>IF(B214="","",G214*$I$7/E214*F214)</f>
        <v>68231.74957380892</v>
      </c>
      <c r="J214" s="24">
        <f>IF(B214="","",H214-I214)</f>
        <v>67843.733070611255</v>
      </c>
      <c r="K214" s="24">
        <f>IF(B214="","",(C214=$I$9)*(G214-J214))</f>
        <v>0</v>
      </c>
      <c r="L214" s="24">
        <f>IF(B214="","",G214-J214-K214)</f>
        <v>15779530.361491457</v>
      </c>
      <c r="M214" s="24">
        <f>IF(B214="","",I214+J214+K214)</f>
        <v>136075.48264442018</v>
      </c>
    </row>
    <row r="215" spans="2:13" x14ac:dyDescent="0.2">
      <c r="B215" s="22">
        <f>IF(C215="","",ROUNDUP(C215/12,0))</f>
        <v>17</v>
      </c>
      <c r="C215" s="21">
        <f>IF(OR(C214="",C214&gt;=$I$9),"",C214+1)</f>
        <v>200</v>
      </c>
      <c r="D215" s="251">
        <f>IF(C215="","",EOMONTH(D214,1))</f>
        <v>49948</v>
      </c>
      <c r="E215" s="250" t="str">
        <f>IF(C215="","",$M$11)</f>
        <v>360</v>
      </c>
      <c r="F215" s="14">
        <f>IF(C215="","",IF($M$12="Actual",D215-D214,30))</f>
        <v>30</v>
      </c>
      <c r="G215" s="24">
        <f>IF(B215="","",L214)</f>
        <v>15779530.361491457</v>
      </c>
      <c r="H215" s="24">
        <f>IF(B215="","",(C215&lt;=$I$10)*I215+(C215&gt;$I$10)*PMT($I$7/(E215/F215),$I$8+$I$10-C214,-G215))</f>
        <v>134728.32731082896</v>
      </c>
      <c r="I215" s="24">
        <f>IF(B215="","",G215*$I$7/E215*F215)</f>
        <v>65748.04317288108</v>
      </c>
      <c r="J215" s="24">
        <f>IF(B215="","",H215-I215)</f>
        <v>68980.284137947878</v>
      </c>
      <c r="K215" s="24">
        <f>IF(B215="","",(C215=$I$9)*(G215-J215))</f>
        <v>0</v>
      </c>
      <c r="L215" s="24">
        <f>IF(B215="","",G215-J215-K215)</f>
        <v>15710550.077353509</v>
      </c>
      <c r="M215" s="24">
        <f>IF(B215="","",I215+J215+K215)</f>
        <v>134728.32731082896</v>
      </c>
    </row>
    <row r="216" spans="2:13" x14ac:dyDescent="0.2">
      <c r="B216" s="22">
        <f>IF(C216="","",ROUNDUP(C216/12,0))</f>
        <v>17</v>
      </c>
      <c r="C216" s="21">
        <f>IF(OR(C215="",C215&gt;=$I$9),"",C215+1)</f>
        <v>201</v>
      </c>
      <c r="D216" s="251">
        <f>IF(C216="","",EOMONTH(D215,1))</f>
        <v>49979</v>
      </c>
      <c r="E216" s="250" t="str">
        <f>IF(C216="","",$M$11)</f>
        <v>360</v>
      </c>
      <c r="F216" s="14">
        <f>IF(C216="","",IF($M$12="Actual",D216-D215,30))</f>
        <v>31</v>
      </c>
      <c r="G216" s="24">
        <f>IF(B216="","",L215)</f>
        <v>15710550.077353509</v>
      </c>
      <c r="H216" s="24">
        <f>IF(B216="","",(C216&lt;=$I$10)*I216+(C216&gt;$I$10)*PMT($I$7/(E216/F216),$I$8+$I$10-C215,-G216))</f>
        <v>136068.16894535915</v>
      </c>
      <c r="I216" s="24">
        <f>IF(B216="","",G216*$I$7/E216*F216)</f>
        <v>67642.646166383172</v>
      </c>
      <c r="J216" s="24">
        <f>IF(B216="","",H216-I216)</f>
        <v>68425.522778975981</v>
      </c>
      <c r="K216" s="24">
        <f>IF(B216="","",(C216=$I$9)*(G216-J216))</f>
        <v>0</v>
      </c>
      <c r="L216" s="24">
        <f>IF(B216="","",G216-J216-K216)</f>
        <v>15642124.554574532</v>
      </c>
      <c r="M216" s="24">
        <f>IF(B216="","",I216+J216+K216)</f>
        <v>136068.16894535915</v>
      </c>
    </row>
    <row r="217" spans="2:13" x14ac:dyDescent="0.2">
      <c r="B217" s="22">
        <f>IF(C217="","",ROUNDUP(C217/12,0))</f>
        <v>17</v>
      </c>
      <c r="C217" s="21">
        <f>IF(OR(C216="",C216&gt;=$I$9),"",C216+1)</f>
        <v>202</v>
      </c>
      <c r="D217" s="251">
        <f>IF(C217="","",EOMONTH(D216,1))</f>
        <v>50009</v>
      </c>
      <c r="E217" s="250" t="str">
        <f>IF(C217="","",$M$11)</f>
        <v>360</v>
      </c>
      <c r="F217" s="14">
        <f>IF(C217="","",IF($M$12="Actual",D217-D216,30))</f>
        <v>30</v>
      </c>
      <c r="G217" s="24">
        <f>IF(B217="","",L216)</f>
        <v>15642124.554574532</v>
      </c>
      <c r="H217" s="24">
        <f>IF(B217="","",(C217&lt;=$I$10)*I217+(C217&gt;$I$10)*PMT($I$7/(E217/F217),$I$8+$I$10-C216,-G217))</f>
        <v>134735.58153675974</v>
      </c>
      <c r="I217" s="24">
        <f>IF(B217="","",G217*$I$7/E217*F217)</f>
        <v>65175.518977393891</v>
      </c>
      <c r="J217" s="24">
        <f>IF(B217="","",H217-I217)</f>
        <v>69560.062559365848</v>
      </c>
      <c r="K217" s="24">
        <f>IF(B217="","",(C217=$I$9)*(G217-J217))</f>
        <v>0</v>
      </c>
      <c r="L217" s="24">
        <f>IF(B217="","",G217-J217-K217)</f>
        <v>15572564.492015166</v>
      </c>
      <c r="M217" s="24">
        <f>IF(B217="","",I217+J217+K217)</f>
        <v>134735.58153675974</v>
      </c>
    </row>
    <row r="218" spans="2:13" x14ac:dyDescent="0.2">
      <c r="B218" s="22">
        <f>IF(C218="","",ROUNDUP(C218/12,0))</f>
        <v>17</v>
      </c>
      <c r="C218" s="21">
        <f>IF(OR(C217="",C217&gt;=$I$9),"",C217+1)</f>
        <v>203</v>
      </c>
      <c r="D218" s="251">
        <f>IF(C218="","",EOMONTH(D217,1))</f>
        <v>50040</v>
      </c>
      <c r="E218" s="250" t="str">
        <f>IF(C218="","",$M$11)</f>
        <v>360</v>
      </c>
      <c r="F218" s="14">
        <f>IF(C218="","",IF($M$12="Actual",D218-D217,30))</f>
        <v>31</v>
      </c>
      <c r="G218" s="24">
        <f>IF(B218="","",L217)</f>
        <v>15572564.492015166</v>
      </c>
      <c r="H218" s="24">
        <f>IF(B218="","",(C218&lt;=$I$10)*I218+(C218&gt;$I$10)*PMT($I$7/(E218/F218),$I$8+$I$10-C217,-G218))</f>
        <v>136060.83029806236</v>
      </c>
      <c r="I218" s="24">
        <f>IF(B218="","",G218*$I$7/E218*F218)</f>
        <v>67048.541562843093</v>
      </c>
      <c r="J218" s="24">
        <f>IF(B218="","",H218-I218)</f>
        <v>69012.288735219263</v>
      </c>
      <c r="K218" s="24">
        <f>IF(B218="","",(C218=$I$9)*(G218-J218))</f>
        <v>0</v>
      </c>
      <c r="L218" s="24">
        <f>IF(B218="","",G218-J218-K218)</f>
        <v>15503552.203279948</v>
      </c>
      <c r="M218" s="24">
        <f>IF(B218="","",I218+J218+K218)</f>
        <v>136060.83029806236</v>
      </c>
    </row>
    <row r="219" spans="2:13" x14ac:dyDescent="0.2">
      <c r="B219" s="22">
        <f>IF(C219="","",ROUNDUP(C219/12,0))</f>
        <v>17</v>
      </c>
      <c r="C219" s="21">
        <f>IF(OR(C218="",C218&gt;=$I$9),"",C218+1)</f>
        <v>204</v>
      </c>
      <c r="D219" s="251">
        <f>IF(C219="","",EOMONTH(D218,1))</f>
        <v>50071</v>
      </c>
      <c r="E219" s="250" t="str">
        <f>IF(C219="","",$M$11)</f>
        <v>360</v>
      </c>
      <c r="F219" s="14">
        <f>IF(C219="","",IF($M$12="Actual",D219-D218,30))</f>
        <v>31</v>
      </c>
      <c r="G219" s="24">
        <f>IF(B219="","",L218)</f>
        <v>15503552.203279948</v>
      </c>
      <c r="H219" s="24">
        <f>IF(B219="","",(C219&lt;=$I$10)*I219+(C219&gt;$I$10)*PMT($I$7/(E219/F219),$I$8+$I$10-C218,-G219))</f>
        <v>136060.83029806236</v>
      </c>
      <c r="I219" s="24">
        <f>IF(B219="","",G219*$I$7/E219*F219)</f>
        <v>66751.405319677564</v>
      </c>
      <c r="J219" s="24">
        <f>IF(B219="","",H219-I219)</f>
        <v>69309.424978384792</v>
      </c>
      <c r="K219" s="24">
        <f>IF(B219="","",(C219=$I$9)*(G219-J219))</f>
        <v>0</v>
      </c>
      <c r="L219" s="24">
        <f>IF(B219="","",G219-J219-K219)</f>
        <v>15434242.778301563</v>
      </c>
      <c r="M219" s="24">
        <f>IF(B219="","",I219+J219+K219)</f>
        <v>136060.83029806236</v>
      </c>
    </row>
    <row r="220" spans="2:13" x14ac:dyDescent="0.2">
      <c r="B220" s="22">
        <f>IF(C220="","",ROUNDUP(C220/12,0))</f>
        <v>18</v>
      </c>
      <c r="C220" s="21">
        <f>IF(OR(C219="",C219&gt;=$I$9),"",C219+1)</f>
        <v>205</v>
      </c>
      <c r="D220" s="251">
        <f>IF(C220="","",EOMONTH(D219,1))</f>
        <v>50099</v>
      </c>
      <c r="E220" s="250" t="str">
        <f>IF(C220="","",$M$11)</f>
        <v>360</v>
      </c>
      <c r="F220" s="14">
        <f>IF(C220="","",IF($M$12="Actual",D220-D219,30))</f>
        <v>28</v>
      </c>
      <c r="G220" s="24">
        <f>IF(B220="","",L219)</f>
        <v>15434242.778301563</v>
      </c>
      <c r="H220" s="24">
        <f>IF(B220="","",(C220&lt;=$I$10)*I220+(C220&gt;$I$10)*PMT($I$7/(E220/F220),$I$8+$I$10-C219,-G220))</f>
        <v>132150.95317557719</v>
      </c>
      <c r="I220" s="24">
        <f>IF(B220="","",G220*$I$7/E220*F220)</f>
        <v>60022.055248950528</v>
      </c>
      <c r="J220" s="24">
        <f>IF(B220="","",H220-I220)</f>
        <v>72128.897926626669</v>
      </c>
      <c r="K220" s="24">
        <f>IF(B220="","",(C220=$I$9)*(G220-J220))</f>
        <v>0</v>
      </c>
      <c r="L220" s="24">
        <f>IF(B220="","",G220-J220-K220)</f>
        <v>15362113.880374936</v>
      </c>
      <c r="M220" s="24">
        <f>IF(B220="","",I220+J220+K220)</f>
        <v>132150.95317557719</v>
      </c>
    </row>
    <row r="221" spans="2:13" x14ac:dyDescent="0.2">
      <c r="B221" s="22">
        <f>IF(C221="","",ROUNDUP(C221/12,0))</f>
        <v>18</v>
      </c>
      <c r="C221" s="21">
        <f>IF(OR(C220="",C220&gt;=$I$9),"",C220+1)</f>
        <v>206</v>
      </c>
      <c r="D221" s="251">
        <f>IF(C221="","",EOMONTH(D220,1))</f>
        <v>50130</v>
      </c>
      <c r="E221" s="250" t="str">
        <f>IF(C221="","",$M$11)</f>
        <v>360</v>
      </c>
      <c r="F221" s="14">
        <f>IF(C221="","",IF($M$12="Actual",D221-D220,30))</f>
        <v>31</v>
      </c>
      <c r="G221" s="24">
        <f>IF(B221="","",L220)</f>
        <v>15362113.880374936</v>
      </c>
      <c r="H221" s="24">
        <f>IF(B221="","",(C221&lt;=$I$10)*I221+(C221&gt;$I$10)*PMT($I$7/(E221/F221),$I$8+$I$10-C220,-G221))</f>
        <v>136038.50518847312</v>
      </c>
      <c r="I221" s="24">
        <f>IF(B221="","",G221*$I$7/E221*F221)</f>
        <v>66142.434762725417</v>
      </c>
      <c r="J221" s="24">
        <f>IF(B221="","",H221-I221)</f>
        <v>69896.070425747705</v>
      </c>
      <c r="K221" s="24">
        <f>IF(B221="","",(C221=$I$9)*(G221-J221))</f>
        <v>0</v>
      </c>
      <c r="L221" s="24">
        <f>IF(B221="","",G221-J221-K221)</f>
        <v>15292217.809949189</v>
      </c>
      <c r="M221" s="24">
        <f>IF(B221="","",I221+J221+K221)</f>
        <v>136038.50518847312</v>
      </c>
    </row>
    <row r="222" spans="2:13" x14ac:dyDescent="0.2">
      <c r="B222" s="22">
        <f>IF(C222="","",ROUNDUP(C222/12,0))</f>
        <v>18</v>
      </c>
      <c r="C222" s="21">
        <f>IF(OR(C221="",C221&gt;=$I$9),"",C221+1)</f>
        <v>207</v>
      </c>
      <c r="D222" s="251">
        <f>IF(C222="","",EOMONTH(D221,1))</f>
        <v>50160</v>
      </c>
      <c r="E222" s="250" t="str">
        <f>IF(C222="","",$M$11)</f>
        <v>360</v>
      </c>
      <c r="F222" s="14">
        <f>IF(C222="","",IF($M$12="Actual",D222-D221,30))</f>
        <v>30</v>
      </c>
      <c r="G222" s="24">
        <f>IF(B222="","",L221)</f>
        <v>15292217.809949189</v>
      </c>
      <c r="H222" s="24">
        <f>IF(B222="","",(C222&lt;=$I$10)*I222+(C222&gt;$I$10)*PMT($I$7/(E222/F222),$I$8+$I$10-C221,-G222))</f>
        <v>134742.66578519932</v>
      </c>
      <c r="I222" s="24">
        <f>IF(B222="","",G222*$I$7/E222*F222)</f>
        <v>63717.57420812163</v>
      </c>
      <c r="J222" s="24">
        <f>IF(B222="","",H222-I222)</f>
        <v>71025.091577077692</v>
      </c>
      <c r="K222" s="24">
        <f>IF(B222="","",(C222=$I$9)*(G222-J222))</f>
        <v>0</v>
      </c>
      <c r="L222" s="24">
        <f>IF(B222="","",G222-J222-K222)</f>
        <v>15221192.718372112</v>
      </c>
      <c r="M222" s="24">
        <f>IF(B222="","",I222+J222+K222)</f>
        <v>134742.66578519932</v>
      </c>
    </row>
    <row r="223" spans="2:13" x14ac:dyDescent="0.2">
      <c r="B223" s="22">
        <f>IF(C223="","",ROUNDUP(C223/12,0))</f>
        <v>18</v>
      </c>
      <c r="C223" s="21">
        <f>IF(OR(C222="",C222&gt;=$I$9),"",C222+1)</f>
        <v>208</v>
      </c>
      <c r="D223" s="251">
        <f>IF(C223="","",EOMONTH(D222,1))</f>
        <v>50191</v>
      </c>
      <c r="E223" s="250" t="str">
        <f>IF(C223="","",$M$11)</f>
        <v>360</v>
      </c>
      <c r="F223" s="14">
        <f>IF(C223="","",IF($M$12="Actual",D223-D222,30))</f>
        <v>31</v>
      </c>
      <c r="G223" s="24">
        <f>IF(B223="","",L222)</f>
        <v>15221192.718372112</v>
      </c>
      <c r="H223" s="24">
        <f>IF(B223="","",(C223&lt;=$I$10)*I223+(C223&gt;$I$10)*PMT($I$7/(E223/F223),$I$8+$I$10-C222,-G223))</f>
        <v>136031.10467765448</v>
      </c>
      <c r="I223" s="24">
        <f>IF(B223="","",G223*$I$7/E223*F223)</f>
        <v>65535.690870768813</v>
      </c>
      <c r="J223" s="24">
        <f>IF(B223="","",H223-I223)</f>
        <v>70495.41380688567</v>
      </c>
      <c r="K223" s="24">
        <f>IF(B223="","",(C223=$I$9)*(G223-J223))</f>
        <v>0</v>
      </c>
      <c r="L223" s="24">
        <f>IF(B223="","",G223-J223-K223)</f>
        <v>15150697.304565227</v>
      </c>
      <c r="M223" s="24">
        <f>IF(B223="","",I223+J223+K223)</f>
        <v>136031.10467765448</v>
      </c>
    </row>
    <row r="224" spans="2:13" x14ac:dyDescent="0.2">
      <c r="B224" s="22">
        <f>IF(C224="","",ROUNDUP(C224/12,0))</f>
        <v>18</v>
      </c>
      <c r="C224" s="21">
        <f>IF(OR(C223="",C223&gt;=$I$9),"",C223+1)</f>
        <v>209</v>
      </c>
      <c r="D224" s="251">
        <f>IF(C224="","",EOMONTH(D223,1))</f>
        <v>50221</v>
      </c>
      <c r="E224" s="250" t="str">
        <f>IF(C224="","",$M$11)</f>
        <v>360</v>
      </c>
      <c r="F224" s="14">
        <f>IF(C224="","",IF($M$12="Actual",D224-D223,30))</f>
        <v>30</v>
      </c>
      <c r="G224" s="24">
        <f>IF(B224="","",L223)</f>
        <v>15150697.304565227</v>
      </c>
      <c r="H224" s="24">
        <f>IF(B224="","",(C224&lt;=$I$10)*I224+(C224&gt;$I$10)*PMT($I$7/(E224/F224),$I$8+$I$10-C223,-G224))</f>
        <v>134750.00879483775</v>
      </c>
      <c r="I224" s="24">
        <f>IF(B224="","",G224*$I$7/E224*F224)</f>
        <v>63127.905435688452</v>
      </c>
      <c r="J224" s="24">
        <f>IF(B224="","",H224-I224)</f>
        <v>71622.103359149303</v>
      </c>
      <c r="K224" s="24">
        <f>IF(B224="","",(C224=$I$9)*(G224-J224))</f>
        <v>0</v>
      </c>
      <c r="L224" s="24">
        <f>IF(B224="","",G224-J224-K224)</f>
        <v>15079075.201206077</v>
      </c>
      <c r="M224" s="24">
        <f>IF(B224="","",I224+J224+K224)</f>
        <v>134750.00879483775</v>
      </c>
    </row>
    <row r="225" spans="2:13" x14ac:dyDescent="0.2">
      <c r="B225" s="22">
        <f>IF(C225="","",ROUNDUP(C225/12,0))</f>
        <v>18</v>
      </c>
      <c r="C225" s="21">
        <f>IF(OR(C224="",C224&gt;=$I$9),"",C224+1)</f>
        <v>210</v>
      </c>
      <c r="D225" s="251">
        <f>IF(C225="","",EOMONTH(D224,1))</f>
        <v>50252</v>
      </c>
      <c r="E225" s="250" t="str">
        <f>IF(C225="","",$M$11)</f>
        <v>360</v>
      </c>
      <c r="F225" s="14">
        <f>IF(C225="","",IF($M$12="Actual",D225-D224,30))</f>
        <v>31</v>
      </c>
      <c r="G225" s="24">
        <f>IF(B225="","",L224)</f>
        <v>15079075.201206077</v>
      </c>
      <c r="H225" s="24">
        <f>IF(B225="","",(C225&lt;=$I$10)*I225+(C225&gt;$I$10)*PMT($I$7/(E225/F225),$I$8+$I$10-C224,-G225))</f>
        <v>136023.67913674319</v>
      </c>
      <c r="I225" s="24">
        <f>IF(B225="","",G225*$I$7/E225*F225)</f>
        <v>64923.796005192824</v>
      </c>
      <c r="J225" s="24">
        <f>IF(B225="","",H225-I225)</f>
        <v>71099.883131550363</v>
      </c>
      <c r="K225" s="24">
        <f>IF(B225="","",(C225=$I$9)*(G225-J225))</f>
        <v>0</v>
      </c>
      <c r="L225" s="24">
        <f>IF(B225="","",G225-J225-K225)</f>
        <v>15007975.318074526</v>
      </c>
      <c r="M225" s="24">
        <f>IF(B225="","",I225+J225+K225)</f>
        <v>136023.67913674319</v>
      </c>
    </row>
    <row r="226" spans="2:13" x14ac:dyDescent="0.2">
      <c r="B226" s="22">
        <f>IF(C226="","",ROUNDUP(C226/12,0))</f>
        <v>18</v>
      </c>
      <c r="C226" s="21">
        <f>IF(OR(C225="",C225&gt;=$I$9),"",C225+1)</f>
        <v>211</v>
      </c>
      <c r="D226" s="251">
        <f>IF(C226="","",EOMONTH(D225,1))</f>
        <v>50283</v>
      </c>
      <c r="E226" s="250" t="str">
        <f>IF(C226="","",$M$11)</f>
        <v>360</v>
      </c>
      <c r="F226" s="14">
        <f>IF(C226="","",IF($M$12="Actual",D226-D225,30))</f>
        <v>31</v>
      </c>
      <c r="G226" s="24">
        <f>IF(B226="","",L225)</f>
        <v>15007975.318074526</v>
      </c>
      <c r="H226" s="24">
        <f>IF(B226="","",(C226&lt;=$I$10)*I226+(C226&gt;$I$10)*PMT($I$7/(E226/F226),$I$8+$I$10-C225,-G226))</f>
        <v>136023.67913674319</v>
      </c>
      <c r="I226" s="24">
        <f>IF(B226="","",G226*$I$7/E226*F226)</f>
        <v>64617.671508376428</v>
      </c>
      <c r="J226" s="24">
        <f>IF(B226="","",H226-I226)</f>
        <v>71406.007628366759</v>
      </c>
      <c r="K226" s="24">
        <f>IF(B226="","",(C226=$I$9)*(G226-J226))</f>
        <v>0</v>
      </c>
      <c r="L226" s="24">
        <f>IF(B226="","",G226-J226-K226)</f>
        <v>14936569.31044616</v>
      </c>
      <c r="M226" s="24">
        <f>IF(B226="","",I226+J226+K226)</f>
        <v>136023.67913674319</v>
      </c>
    </row>
    <row r="227" spans="2:13" x14ac:dyDescent="0.2">
      <c r="B227" s="22">
        <f>IF(C227="","",ROUNDUP(C227/12,0))</f>
        <v>18</v>
      </c>
      <c r="C227" s="21">
        <f>IF(OR(C226="",C226&gt;=$I$9),"",C226+1)</f>
        <v>212</v>
      </c>
      <c r="D227" s="251">
        <f>IF(C227="","",EOMONTH(D226,1))</f>
        <v>50313</v>
      </c>
      <c r="E227" s="250" t="str">
        <f>IF(C227="","",$M$11)</f>
        <v>360</v>
      </c>
      <c r="F227" s="14">
        <f>IF(C227="","",IF($M$12="Actual",D227-D226,30))</f>
        <v>30</v>
      </c>
      <c r="G227" s="24">
        <f>IF(B227="","",L226)</f>
        <v>14936569.31044616</v>
      </c>
      <c r="H227" s="24">
        <f>IF(B227="","",(C227&lt;=$I$10)*I227+(C227&gt;$I$10)*PMT($I$7/(E227/F227),$I$8+$I$10-C226,-G227))</f>
        <v>134764.75905195693</v>
      </c>
      <c r="I227" s="24">
        <f>IF(B227="","",G227*$I$7/E227*F227)</f>
        <v>62235.70546019233</v>
      </c>
      <c r="J227" s="24">
        <f>IF(B227="","",H227-I227)</f>
        <v>72529.053591764605</v>
      </c>
      <c r="K227" s="24">
        <f>IF(B227="","",(C227=$I$9)*(G227-J227))</f>
        <v>0</v>
      </c>
      <c r="L227" s="24">
        <f>IF(B227="","",G227-J227-K227)</f>
        <v>14864040.256854394</v>
      </c>
      <c r="M227" s="24">
        <f>IF(B227="","",I227+J227+K227)</f>
        <v>134764.75905195693</v>
      </c>
    </row>
    <row r="228" spans="2:13" x14ac:dyDescent="0.2">
      <c r="B228" s="22">
        <f>IF(C228="","",ROUNDUP(C228/12,0))</f>
        <v>18</v>
      </c>
      <c r="C228" s="21">
        <f>IF(OR(C227="",C227&gt;=$I$9),"",C227+1)</f>
        <v>213</v>
      </c>
      <c r="D228" s="251">
        <f>IF(C228="","",EOMONTH(D227,1))</f>
        <v>50344</v>
      </c>
      <c r="E228" s="250" t="str">
        <f>IF(C228="","",$M$11)</f>
        <v>360</v>
      </c>
      <c r="F228" s="14">
        <f>IF(C228="","",IF($M$12="Actual",D228-D227,30))</f>
        <v>31</v>
      </c>
      <c r="G228" s="24">
        <f>IF(B228="","",L227)</f>
        <v>14864040.256854394</v>
      </c>
      <c r="H228" s="24">
        <f>IF(B228="","",(C228&lt;=$I$10)*I228+(C228&gt;$I$10)*PMT($I$7/(E228/F228),$I$8+$I$10-C227,-G228))</f>
        <v>136016.21580306653</v>
      </c>
      <c r="I228" s="24">
        <f>IF(B228="","",G228*$I$7/E228*F228)</f>
        <v>63997.951105900866</v>
      </c>
      <c r="J228" s="24">
        <f>IF(B228="","",H228-I228)</f>
        <v>72018.264697165665</v>
      </c>
      <c r="K228" s="24">
        <f>IF(B228="","",(C228=$I$9)*(G228-J228))</f>
        <v>0</v>
      </c>
      <c r="L228" s="24">
        <f>IF(B228="","",G228-J228-K228)</f>
        <v>14792021.992157228</v>
      </c>
      <c r="M228" s="24">
        <f>IF(B228="","",I228+J228+K228)</f>
        <v>136016.21580306653</v>
      </c>
    </row>
    <row r="229" spans="2:13" x14ac:dyDescent="0.2">
      <c r="B229" s="22">
        <f>IF(C229="","",ROUNDUP(C229/12,0))</f>
        <v>18</v>
      </c>
      <c r="C229" s="21">
        <f>IF(OR(C228="",C228&gt;=$I$9),"",C228+1)</f>
        <v>214</v>
      </c>
      <c r="D229" s="251">
        <f>IF(C229="","",EOMONTH(D228,1))</f>
        <v>50374</v>
      </c>
      <c r="E229" s="250" t="str">
        <f>IF(C229="","",$M$11)</f>
        <v>360</v>
      </c>
      <c r="F229" s="14">
        <f>IF(C229="","",IF($M$12="Actual",D229-D228,30))</f>
        <v>30</v>
      </c>
      <c r="G229" s="24">
        <f>IF(B229="","",L228)</f>
        <v>14792021.992157228</v>
      </c>
      <c r="H229" s="24">
        <f>IF(B229="","",(C229&lt;=$I$10)*I229+(C229&gt;$I$10)*PMT($I$7/(E229/F229),$I$8+$I$10-C228,-G229))</f>
        <v>134772.16634666239</v>
      </c>
      <c r="I229" s="24">
        <f>IF(B229="","",G229*$I$7/E229*F229)</f>
        <v>61633.424967321786</v>
      </c>
      <c r="J229" s="24">
        <f>IF(B229="","",H229-I229)</f>
        <v>73138.741379340601</v>
      </c>
      <c r="K229" s="24">
        <f>IF(B229="","",(C229=$I$9)*(G229-J229))</f>
        <v>0</v>
      </c>
      <c r="L229" s="24">
        <f>IF(B229="","",G229-J229-K229)</f>
        <v>14718883.250777887</v>
      </c>
      <c r="M229" s="24">
        <f>IF(B229="","",I229+J229+K229)</f>
        <v>134772.16634666239</v>
      </c>
    </row>
    <row r="230" spans="2:13" x14ac:dyDescent="0.2">
      <c r="B230" s="22">
        <f>IF(C230="","",ROUNDUP(C230/12,0))</f>
        <v>18</v>
      </c>
      <c r="C230" s="21">
        <f>IF(OR(C229="",C229&gt;=$I$9),"",C229+1)</f>
        <v>215</v>
      </c>
      <c r="D230" s="251">
        <f>IF(C230="","",EOMONTH(D229,1))</f>
        <v>50405</v>
      </c>
      <c r="E230" s="250" t="str">
        <f>IF(C230="","",$M$11)</f>
        <v>360</v>
      </c>
      <c r="F230" s="14">
        <f>IF(C230="","",IF($M$12="Actual",D230-D229,30))</f>
        <v>31</v>
      </c>
      <c r="G230" s="24">
        <f>IF(B230="","",L229)</f>
        <v>14718883.250777887</v>
      </c>
      <c r="H230" s="24">
        <f>IF(B230="","",(C230&lt;=$I$10)*I230+(C230&gt;$I$10)*PMT($I$7/(E230/F230),$I$8+$I$10-C229,-G230))</f>
        <v>136008.72738125111</v>
      </c>
      <c r="I230" s="24">
        <f>IF(B230="","",G230*$I$7/E230*F230)</f>
        <v>63372.969551960356</v>
      </c>
      <c r="J230" s="24">
        <f>IF(B230="","",H230-I230)</f>
        <v>72635.757829290756</v>
      </c>
      <c r="K230" s="24">
        <f>IF(B230="","",(C230=$I$9)*(G230-J230))</f>
        <v>0</v>
      </c>
      <c r="L230" s="24">
        <f>IF(B230="","",G230-J230-K230)</f>
        <v>14646247.492948597</v>
      </c>
      <c r="M230" s="24">
        <f>IF(B230="","",I230+J230+K230)</f>
        <v>136008.72738125111</v>
      </c>
    </row>
    <row r="231" spans="2:13" x14ac:dyDescent="0.2">
      <c r="B231" s="22">
        <f>IF(C231="","",ROUNDUP(C231/12,0))</f>
        <v>18</v>
      </c>
      <c r="C231" s="21">
        <f>IF(OR(C230="",C230&gt;=$I$9),"",C230+1)</f>
        <v>216</v>
      </c>
      <c r="D231" s="251">
        <f>IF(C231="","",EOMONTH(D230,1))</f>
        <v>50436</v>
      </c>
      <c r="E231" s="250" t="str">
        <f>IF(C231="","",$M$11)</f>
        <v>360</v>
      </c>
      <c r="F231" s="14">
        <f>IF(C231="","",IF($M$12="Actual",D231-D230,30))</f>
        <v>31</v>
      </c>
      <c r="G231" s="24">
        <f>IF(B231="","",L230)</f>
        <v>14646247.492948597</v>
      </c>
      <c r="H231" s="24">
        <f>IF(B231="","",(C231&lt;=$I$10)*I231+(C231&gt;$I$10)*PMT($I$7/(E231/F231),$I$8+$I$10-C230,-G231))</f>
        <v>136008.72738125114</v>
      </c>
      <c r="I231" s="24">
        <f>IF(B231="","",G231*$I$7/E231*F231)</f>
        <v>63060.232261306461</v>
      </c>
      <c r="J231" s="24">
        <f>IF(B231="","",H231-I231)</f>
        <v>72948.49511994468</v>
      </c>
      <c r="K231" s="24">
        <f>IF(B231="","",(C231=$I$9)*(G231-J231))</f>
        <v>0</v>
      </c>
      <c r="L231" s="24">
        <f>IF(B231="","",G231-J231-K231)</f>
        <v>14573298.997828653</v>
      </c>
      <c r="M231" s="24">
        <f>IF(B231="","",I231+J231+K231)</f>
        <v>136008.72738125114</v>
      </c>
    </row>
    <row r="232" spans="2:13" x14ac:dyDescent="0.2">
      <c r="B232" s="22">
        <f>IF(C232="","",ROUNDUP(C232/12,0))</f>
        <v>19</v>
      </c>
      <c r="C232" s="21">
        <f>IF(OR(C231="",C231&gt;=$I$9),"",C231+1)</f>
        <v>217</v>
      </c>
      <c r="D232" s="251">
        <f>IF(C232="","",EOMONTH(D231,1))</f>
        <v>50464</v>
      </c>
      <c r="E232" s="250" t="str">
        <f>IF(C232="","",$M$11)</f>
        <v>360</v>
      </c>
      <c r="F232" s="14">
        <f>IF(C232="","",IF($M$12="Actual",D232-D231,30))</f>
        <v>28</v>
      </c>
      <c r="G232" s="24">
        <f>IF(B232="","",L231)</f>
        <v>14573298.997828653</v>
      </c>
      <c r="H232" s="24">
        <f>IF(B232="","",(C232&lt;=$I$10)*I232+(C232&gt;$I$10)*PMT($I$7/(E232/F232),$I$8+$I$10-C231,-G232))</f>
        <v>132363.10559885055</v>
      </c>
      <c r="I232" s="24">
        <f>IF(B232="","",G232*$I$7/E232*F232)</f>
        <v>56673.94054711143</v>
      </c>
      <c r="J232" s="24">
        <f>IF(B232="","",H232-I232)</f>
        <v>75689.165051739124</v>
      </c>
      <c r="K232" s="24">
        <f>IF(B232="","",(C232=$I$9)*(G232-J232))</f>
        <v>0</v>
      </c>
      <c r="L232" s="24">
        <f>IF(B232="","",G232-J232-K232)</f>
        <v>14497609.832776913</v>
      </c>
      <c r="M232" s="24">
        <f>IF(B232="","",I232+J232+K232)</f>
        <v>132363.10559885055</v>
      </c>
    </row>
    <row r="233" spans="2:13" x14ac:dyDescent="0.2">
      <c r="B233" s="22">
        <f>IF(C233="","",ROUNDUP(C233/12,0))</f>
        <v>19</v>
      </c>
      <c r="C233" s="21">
        <f>IF(OR(C232="",C232&gt;=$I$9),"",C232+1)</f>
        <v>218</v>
      </c>
      <c r="D233" s="251">
        <f>IF(C233="","",EOMONTH(D232,1))</f>
        <v>50495</v>
      </c>
      <c r="E233" s="250" t="str">
        <f>IF(C233="","",$M$11)</f>
        <v>360</v>
      </c>
      <c r="F233" s="14">
        <f>IF(C233="","",IF($M$12="Actual",D233-D232,30))</f>
        <v>31</v>
      </c>
      <c r="G233" s="24">
        <f>IF(B233="","",L232)</f>
        <v>14497609.832776913</v>
      </c>
      <c r="H233" s="24">
        <f>IF(B233="","",(C233&lt;=$I$10)*I233+(C233&gt;$I$10)*PMT($I$7/(E233/F233),$I$8+$I$10-C232,-G233))</f>
        <v>135985.96627346185</v>
      </c>
      <c r="I233" s="24">
        <f>IF(B233="","",G233*$I$7/E233*F233)</f>
        <v>62420.264557789495</v>
      </c>
      <c r="J233" s="24">
        <f>IF(B233="","",H233-I233)</f>
        <v>73565.70171567236</v>
      </c>
      <c r="K233" s="24">
        <f>IF(B233="","",(C233=$I$9)*(G233-J233))</f>
        <v>0</v>
      </c>
      <c r="L233" s="24">
        <f>IF(B233="","",G233-J233-K233)</f>
        <v>14424044.131061241</v>
      </c>
      <c r="M233" s="24">
        <f>IF(B233="","",I233+J233+K233)</f>
        <v>135985.96627346185</v>
      </c>
    </row>
    <row r="234" spans="2:13" x14ac:dyDescent="0.2">
      <c r="B234" s="22">
        <f>IF(C234="","",ROUNDUP(C234/12,0))</f>
        <v>19</v>
      </c>
      <c r="C234" s="21">
        <f>IF(OR(C233="",C233&gt;=$I$9),"",C233+1)</f>
        <v>219</v>
      </c>
      <c r="D234" s="251">
        <f>IF(C234="","",EOMONTH(D233,1))</f>
        <v>50525</v>
      </c>
      <c r="E234" s="250" t="str">
        <f>IF(C234="","",$M$11)</f>
        <v>360</v>
      </c>
      <c r="F234" s="14">
        <f>IF(C234="","",IF($M$12="Actual",D234-D233,30))</f>
        <v>30</v>
      </c>
      <c r="G234" s="24">
        <f>IF(B234="","",L233)</f>
        <v>14424044.131061241</v>
      </c>
      <c r="H234" s="24">
        <f>IF(B234="","",(C234&lt;=$I$10)*I234+(C234&gt;$I$10)*PMT($I$7/(E234/F234),$I$8+$I$10-C233,-G234))</f>
        <v>134779.41751630564</v>
      </c>
      <c r="I234" s="24">
        <f>IF(B234="","",G234*$I$7/E234*F234)</f>
        <v>60100.183879421835</v>
      </c>
      <c r="J234" s="24">
        <f>IF(B234="","",H234-I234)</f>
        <v>74679.233636883801</v>
      </c>
      <c r="K234" s="24">
        <f>IF(B234="","",(C234=$I$9)*(G234-J234))</f>
        <v>0</v>
      </c>
      <c r="L234" s="24">
        <f>IF(B234="","",G234-J234-K234)</f>
        <v>14349364.897424357</v>
      </c>
      <c r="M234" s="24">
        <f>IF(B234="","",I234+J234+K234)</f>
        <v>134779.41751630564</v>
      </c>
    </row>
    <row r="235" spans="2:13" x14ac:dyDescent="0.2">
      <c r="B235" s="22">
        <f>IF(C235="","",ROUNDUP(C235/12,0))</f>
        <v>19</v>
      </c>
      <c r="C235" s="21">
        <f>IF(OR(C234="",C234&gt;=$I$9),"",C234+1)</f>
        <v>220</v>
      </c>
      <c r="D235" s="251">
        <f>IF(C235="","",EOMONTH(D234,1))</f>
        <v>50556</v>
      </c>
      <c r="E235" s="250" t="str">
        <f>IF(C235="","",$M$11)</f>
        <v>360</v>
      </c>
      <c r="F235" s="14">
        <f>IF(C235="","",IF($M$12="Actual",D235-D234,30))</f>
        <v>31</v>
      </c>
      <c r="G235" s="24">
        <f>IF(B235="","",L234)</f>
        <v>14349364.897424357</v>
      </c>
      <c r="H235" s="24">
        <f>IF(B235="","",(C235&lt;=$I$10)*I235+(C235&gt;$I$10)*PMT($I$7/(E235/F235),$I$8+$I$10-C234,-G235))</f>
        <v>135978.41567184782</v>
      </c>
      <c r="I235" s="24">
        <f>IF(B235="","",G235*$I$7/E235*F235)</f>
        <v>61781.987752799323</v>
      </c>
      <c r="J235" s="24">
        <f>IF(B235="","",H235-I235)</f>
        <v>74196.427919048496</v>
      </c>
      <c r="K235" s="24">
        <f>IF(B235="","",(C235=$I$9)*(G235-J235))</f>
        <v>0</v>
      </c>
      <c r="L235" s="24">
        <f>IF(B235="","",G235-J235-K235)</f>
        <v>14275168.469505308</v>
      </c>
      <c r="M235" s="24">
        <f>IF(B235="","",I235+J235+K235)</f>
        <v>135978.41567184782</v>
      </c>
    </row>
    <row r="236" spans="2:13" x14ac:dyDescent="0.2">
      <c r="B236" s="22">
        <f>IF(C236="","",ROUNDUP(C236/12,0))</f>
        <v>19</v>
      </c>
      <c r="C236" s="21">
        <f>IF(OR(C235="",C235&gt;=$I$9),"",C235+1)</f>
        <v>221</v>
      </c>
      <c r="D236" s="251">
        <f>IF(C236="","",EOMONTH(D235,1))</f>
        <v>50586</v>
      </c>
      <c r="E236" s="250" t="str">
        <f>IF(C236="","",$M$11)</f>
        <v>360</v>
      </c>
      <c r="F236" s="14">
        <f>IF(C236="","",IF($M$12="Actual",D236-D235,30))</f>
        <v>30</v>
      </c>
      <c r="G236" s="24">
        <f>IF(B236="","",L235)</f>
        <v>14275168.469505308</v>
      </c>
      <c r="H236" s="24">
        <f>IF(B236="","",(C236&lt;=$I$10)*I236+(C236&gt;$I$10)*PMT($I$7/(E236/F236),$I$8+$I$10-C235,-G236))</f>
        <v>134786.91421643284</v>
      </c>
      <c r="I236" s="24">
        <f>IF(B236="","",G236*$I$7/E236*F236)</f>
        <v>59479.868622938789</v>
      </c>
      <c r="J236" s="24">
        <f>IF(B236="","",H236-I236)</f>
        <v>75307.045593494055</v>
      </c>
      <c r="K236" s="24">
        <f>IF(B236="","",(C236=$I$9)*(G236-J236))</f>
        <v>0</v>
      </c>
      <c r="L236" s="24">
        <f>IF(B236="","",G236-J236-K236)</f>
        <v>14199861.423911814</v>
      </c>
      <c r="M236" s="24">
        <f>IF(B236="","",I236+J236+K236)</f>
        <v>134786.91421643284</v>
      </c>
    </row>
    <row r="237" spans="2:13" x14ac:dyDescent="0.2">
      <c r="B237" s="22">
        <f>IF(C237="","",ROUNDUP(C237/12,0))</f>
        <v>19</v>
      </c>
      <c r="C237" s="21">
        <f>IF(OR(C236="",C236&gt;=$I$9),"",C236+1)</f>
        <v>222</v>
      </c>
      <c r="D237" s="251">
        <f>IF(C237="","",EOMONTH(D236,1))</f>
        <v>50617</v>
      </c>
      <c r="E237" s="250" t="str">
        <f>IF(C237="","",$M$11)</f>
        <v>360</v>
      </c>
      <c r="F237" s="14">
        <f>IF(C237="","",IF($M$12="Actual",D237-D236,30))</f>
        <v>31</v>
      </c>
      <c r="G237" s="24">
        <f>IF(B237="","",L236)</f>
        <v>14199861.423911814</v>
      </c>
      <c r="H237" s="24">
        <f>IF(B237="","",(C237&lt;=$I$10)*I237+(C237&gt;$I$10)*PMT($I$7/(E237/F237),$I$8+$I$10-C236,-G237))</f>
        <v>135970.83990757662</v>
      </c>
      <c r="I237" s="24">
        <f>IF(B237="","",G237*$I$7/E237*F237)</f>
        <v>61138.292241842537</v>
      </c>
      <c r="J237" s="24">
        <f>IF(B237="","",H237-I237)</f>
        <v>74832.547665734077</v>
      </c>
      <c r="K237" s="24">
        <f>IF(B237="","",(C237=$I$9)*(G237-J237))</f>
        <v>0</v>
      </c>
      <c r="L237" s="24">
        <f>IF(B237="","",G237-J237-K237)</f>
        <v>14125028.87624608</v>
      </c>
      <c r="M237" s="24">
        <f>IF(B237="","",I237+J237+K237)</f>
        <v>135970.83990757662</v>
      </c>
    </row>
    <row r="238" spans="2:13" x14ac:dyDescent="0.2">
      <c r="B238" s="22">
        <f>IF(C238="","",ROUNDUP(C238/12,0))</f>
        <v>19</v>
      </c>
      <c r="C238" s="21">
        <f>IF(OR(C237="",C237&gt;=$I$9),"",C237+1)</f>
        <v>223</v>
      </c>
      <c r="D238" s="251">
        <f>IF(C238="","",EOMONTH(D237,1))</f>
        <v>50648</v>
      </c>
      <c r="E238" s="250" t="str">
        <f>IF(C238="","",$M$11)</f>
        <v>360</v>
      </c>
      <c r="F238" s="14">
        <f>IF(C238="","",IF($M$12="Actual",D238-D237,30))</f>
        <v>31</v>
      </c>
      <c r="G238" s="24">
        <f>IF(B238="","",L237)</f>
        <v>14125028.87624608</v>
      </c>
      <c r="H238" s="24">
        <f>IF(B238="","",(C238&lt;=$I$10)*I238+(C238&gt;$I$10)*PMT($I$7/(E238/F238),$I$8+$I$10-C237,-G238))</f>
        <v>135970.83990757662</v>
      </c>
      <c r="I238" s="24">
        <f>IF(B238="","",G238*$I$7/E238*F238)</f>
        <v>60816.096550503957</v>
      </c>
      <c r="J238" s="24">
        <f>IF(B238="","",H238-I238)</f>
        <v>75154.743357072672</v>
      </c>
      <c r="K238" s="24">
        <f>IF(B238="","",(C238=$I$9)*(G238-J238))</f>
        <v>0</v>
      </c>
      <c r="L238" s="24">
        <f>IF(B238="","",G238-J238-K238)</f>
        <v>14049874.132889006</v>
      </c>
      <c r="M238" s="24">
        <f>IF(B238="","",I238+J238+K238)</f>
        <v>135970.83990757662</v>
      </c>
    </row>
    <row r="239" spans="2:13" x14ac:dyDescent="0.2">
      <c r="B239" s="22">
        <f>IF(C239="","",ROUNDUP(C239/12,0))</f>
        <v>19</v>
      </c>
      <c r="C239" s="21">
        <f>IF(OR(C238="",C238&gt;=$I$9),"",C238+1)</f>
        <v>224</v>
      </c>
      <c r="D239" s="251">
        <f>IF(C239="","",EOMONTH(D238,1))</f>
        <v>50678</v>
      </c>
      <c r="E239" s="250" t="str">
        <f>IF(C239="","",$M$11)</f>
        <v>360</v>
      </c>
      <c r="F239" s="14">
        <f>IF(C239="","",IF($M$12="Actual",D239-D238,30))</f>
        <v>30</v>
      </c>
      <c r="G239" s="24">
        <f>IF(B239="","",L238)</f>
        <v>14049874.132889006</v>
      </c>
      <c r="H239" s="24">
        <f>IF(B239="","",(C239&lt;=$I$10)*I239+(C239&gt;$I$10)*PMT($I$7/(E239/F239),$I$8+$I$10-C238,-G239))</f>
        <v>134801.97231352321</v>
      </c>
      <c r="I239" s="24">
        <f>IF(B239="","",G239*$I$7/E239*F239)</f>
        <v>58541.142220370864</v>
      </c>
      <c r="J239" s="24">
        <f>IF(B239="","",H239-I239)</f>
        <v>76260.830093152341</v>
      </c>
      <c r="K239" s="24">
        <f>IF(B239="","",(C239=$I$9)*(G239-J239))</f>
        <v>0</v>
      </c>
      <c r="L239" s="24">
        <f>IF(B239="","",G239-J239-K239)</f>
        <v>13973613.302795853</v>
      </c>
      <c r="M239" s="24">
        <f>IF(B239="","",I239+J239+K239)</f>
        <v>134801.97231352321</v>
      </c>
    </row>
    <row r="240" spans="2:13" x14ac:dyDescent="0.2">
      <c r="B240" s="22">
        <f>IF(C240="","",ROUNDUP(C240/12,0))</f>
        <v>19</v>
      </c>
      <c r="C240" s="21">
        <f>IF(OR(C239="",C239&gt;=$I$9),"",C239+1)</f>
        <v>225</v>
      </c>
      <c r="D240" s="251">
        <f>IF(C240="","",EOMONTH(D239,1))</f>
        <v>50709</v>
      </c>
      <c r="E240" s="250" t="str">
        <f>IF(C240="","",$M$11)</f>
        <v>360</v>
      </c>
      <c r="F240" s="14">
        <f>IF(C240="","",IF($M$12="Actual",D240-D239,30))</f>
        <v>31</v>
      </c>
      <c r="G240" s="24">
        <f>IF(B240="","",L239)</f>
        <v>13973613.302795853</v>
      </c>
      <c r="H240" s="24">
        <f>IF(B240="","",(C240&lt;=$I$10)*I240+(C240&gt;$I$10)*PMT($I$7/(E240/F240),$I$8+$I$10-C239,-G240))</f>
        <v>135963.22614722539</v>
      </c>
      <c r="I240" s="24">
        <f>IF(B240="","",G240*$I$7/E240*F240)</f>
        <v>60164.168387037709</v>
      </c>
      <c r="J240" s="24">
        <f>IF(B240="","",H240-I240)</f>
        <v>75799.057760187687</v>
      </c>
      <c r="K240" s="24">
        <f>IF(B240="","",(C240=$I$9)*(G240-J240))</f>
        <v>0</v>
      </c>
      <c r="L240" s="24">
        <f>IF(B240="","",G240-J240-K240)</f>
        <v>13897814.245035665</v>
      </c>
      <c r="M240" s="24">
        <f>IF(B240="","",I240+J240+K240)</f>
        <v>135963.22614722539</v>
      </c>
    </row>
    <row r="241" spans="2:13" x14ac:dyDescent="0.2">
      <c r="B241" s="22">
        <f>IF(C241="","",ROUNDUP(C241/12,0))</f>
        <v>19</v>
      </c>
      <c r="C241" s="21">
        <f>IF(OR(C240="",C240&gt;=$I$9),"",C240+1)</f>
        <v>226</v>
      </c>
      <c r="D241" s="251">
        <f>IF(C241="","",EOMONTH(D240,1))</f>
        <v>50739</v>
      </c>
      <c r="E241" s="250" t="str">
        <f>IF(C241="","",$M$11)</f>
        <v>360</v>
      </c>
      <c r="F241" s="14">
        <f>IF(C241="","",IF($M$12="Actual",D241-D240,30))</f>
        <v>30</v>
      </c>
      <c r="G241" s="24">
        <f>IF(B241="","",L240)</f>
        <v>13897814.245035665</v>
      </c>
      <c r="H241" s="24">
        <f>IF(B241="","",(C241&lt;=$I$10)*I241+(C241&gt;$I$10)*PMT($I$7/(E241/F241),$I$8+$I$10-C240,-G241))</f>
        <v>134809.53375496098</v>
      </c>
      <c r="I241" s="24">
        <f>IF(B241="","",G241*$I$7/E241*F241)</f>
        <v>57907.559354315279</v>
      </c>
      <c r="J241" s="24">
        <f>IF(B241="","",H241-I241)</f>
        <v>76901.974400645704</v>
      </c>
      <c r="K241" s="24">
        <f>IF(B241="","",(C241=$I$9)*(G241-J241))</f>
        <v>0</v>
      </c>
      <c r="L241" s="24">
        <f>IF(B241="","",G241-J241-K241)</f>
        <v>13820912.27063502</v>
      </c>
      <c r="M241" s="24">
        <f>IF(B241="","",I241+J241+K241)</f>
        <v>134809.53375496098</v>
      </c>
    </row>
    <row r="242" spans="2:13" x14ac:dyDescent="0.2">
      <c r="B242" s="22">
        <f>IF(C242="","",ROUNDUP(C242/12,0))</f>
        <v>19</v>
      </c>
      <c r="C242" s="21">
        <f>IF(OR(C241="",C241&gt;=$I$9),"",C241+1)</f>
        <v>227</v>
      </c>
      <c r="D242" s="251">
        <f>IF(C242="","",EOMONTH(D241,1))</f>
        <v>50770</v>
      </c>
      <c r="E242" s="250" t="str">
        <f>IF(C242="","",$M$11)</f>
        <v>360</v>
      </c>
      <c r="F242" s="14">
        <f>IF(C242="","",IF($M$12="Actual",D242-D241,30))</f>
        <v>31</v>
      </c>
      <c r="G242" s="24">
        <f>IF(B242="","",L241)</f>
        <v>13820912.27063502</v>
      </c>
      <c r="H242" s="24">
        <f>IF(B242="","",(C242&lt;=$I$10)*I242+(C242&gt;$I$10)*PMT($I$7/(E242/F242),$I$8+$I$10-C241,-G242))</f>
        <v>135955.58717141472</v>
      </c>
      <c r="I242" s="24">
        <f>IF(B242="","",G242*$I$7/E242*F242)</f>
        <v>59506.705609678567</v>
      </c>
      <c r="J242" s="24">
        <f>IF(B242="","",H242-I242)</f>
        <v>76448.881561736154</v>
      </c>
      <c r="K242" s="24">
        <f>IF(B242="","",(C242=$I$9)*(G242-J242))</f>
        <v>0</v>
      </c>
      <c r="L242" s="24">
        <f>IF(B242="","",G242-J242-K242)</f>
        <v>13744463.389073284</v>
      </c>
      <c r="M242" s="24">
        <f>IF(B242="","",I242+J242+K242)</f>
        <v>135955.58717141472</v>
      </c>
    </row>
    <row r="243" spans="2:13" x14ac:dyDescent="0.2">
      <c r="B243" s="22">
        <f>IF(C243="","",ROUNDUP(C243/12,0))</f>
        <v>19</v>
      </c>
      <c r="C243" s="21">
        <f>IF(OR(C242="",C242&gt;=$I$9),"",C242+1)</f>
        <v>228</v>
      </c>
      <c r="D243" s="251">
        <f>IF(C243="","",EOMONTH(D242,1))</f>
        <v>50801</v>
      </c>
      <c r="E243" s="250" t="str">
        <f>IF(C243="","",$M$11)</f>
        <v>360</v>
      </c>
      <c r="F243" s="14">
        <f>IF(C243="","",IF($M$12="Actual",D243-D242,30))</f>
        <v>31</v>
      </c>
      <c r="G243" s="24">
        <f>IF(B243="","",L242)</f>
        <v>13744463.389073284</v>
      </c>
      <c r="H243" s="24">
        <f>IF(B243="","",(C243&lt;=$I$10)*I243+(C243&gt;$I$10)*PMT($I$7/(E243/F243),$I$8+$I$10-C242,-G243))</f>
        <v>135955.58717141472</v>
      </c>
      <c r="I243" s="24">
        <f>IF(B243="","",G243*$I$7/E243*F243)</f>
        <v>59177.550702954417</v>
      </c>
      <c r="J243" s="24">
        <f>IF(B243="","",H243-I243)</f>
        <v>76778.036468460312</v>
      </c>
      <c r="K243" s="24">
        <f>IF(B243="","",(C243=$I$9)*(G243-J243))</f>
        <v>0</v>
      </c>
      <c r="L243" s="24">
        <f>IF(B243="","",G243-J243-K243)</f>
        <v>13667685.352604823</v>
      </c>
      <c r="M243" s="24">
        <f>IF(B243="","",I243+J243+K243)</f>
        <v>135955.58717141472</v>
      </c>
    </row>
    <row r="244" spans="2:13" x14ac:dyDescent="0.2">
      <c r="B244" s="22">
        <f>IF(C244="","",ROUNDUP(C244/12,0))</f>
        <v>20</v>
      </c>
      <c r="C244" s="21">
        <f>IF(OR(C243="",C243&gt;=$I$9),"",C243+1)</f>
        <v>229</v>
      </c>
      <c r="D244" s="251">
        <f>IF(C244="","",EOMONTH(D243,1))</f>
        <v>50829</v>
      </c>
      <c r="E244" s="250" t="str">
        <f>IF(C244="","",$M$11)</f>
        <v>360</v>
      </c>
      <c r="F244" s="14">
        <f>IF(C244="","",IF($M$12="Actual",D244-D243,30))</f>
        <v>28</v>
      </c>
      <c r="G244" s="24">
        <f>IF(B244="","",L243)</f>
        <v>13667685.352604823</v>
      </c>
      <c r="H244" s="24">
        <f>IF(B244="","",(C244&lt;=$I$10)*I244+(C244&gt;$I$10)*PMT($I$7/(E244/F244),$I$8+$I$10-C243,-G244))</f>
        <v>132579.78238825893</v>
      </c>
      <c r="I244" s="24">
        <f>IF(B244="","",G244*$I$7/E244*F244)</f>
        <v>53152.109704574323</v>
      </c>
      <c r="J244" s="24">
        <f>IF(B244="","",H244-I244)</f>
        <v>79427.672683684606</v>
      </c>
      <c r="K244" s="24">
        <f>IF(B244="","",(C244=$I$9)*(G244-J244))</f>
        <v>0</v>
      </c>
      <c r="L244" s="24">
        <f>IF(B244="","",G244-J244-K244)</f>
        <v>13588257.679921139</v>
      </c>
      <c r="M244" s="24">
        <f>IF(B244="","",I244+J244+K244)</f>
        <v>132579.78238825893</v>
      </c>
    </row>
    <row r="245" spans="2:13" x14ac:dyDescent="0.2">
      <c r="B245" s="22">
        <f>IF(C245="","",ROUNDUP(C245/12,0))</f>
        <v>20</v>
      </c>
      <c r="C245" s="21">
        <f>IF(OR(C244="",C244&gt;=$I$9),"",C244+1)</f>
        <v>230</v>
      </c>
      <c r="D245" s="251">
        <f>IF(C245="","",EOMONTH(D244,1))</f>
        <v>50860</v>
      </c>
      <c r="E245" s="250" t="str">
        <f>IF(C245="","",$M$11)</f>
        <v>360</v>
      </c>
      <c r="F245" s="14">
        <f>IF(C245="","",IF($M$12="Actual",D245-D244,30))</f>
        <v>31</v>
      </c>
      <c r="G245" s="24">
        <f>IF(B245="","",L244)</f>
        <v>13588257.679921139</v>
      </c>
      <c r="H245" s="24">
        <f>IF(B245="","",(C245&lt;=$I$10)*I245+(C245&gt;$I$10)*PMT($I$7/(E245/F245),$I$8+$I$10-C244,-G245))</f>
        <v>135932.38802915512</v>
      </c>
      <c r="I245" s="24">
        <f>IF(B245="","",G245*$I$7/E245*F245)</f>
        <v>58504.998344104904</v>
      </c>
      <c r="J245" s="24">
        <f>IF(B245="","",H245-I245)</f>
        <v>77427.389685050206</v>
      </c>
      <c r="K245" s="24">
        <f>IF(B245="","",(C245=$I$9)*(G245-J245))</f>
        <v>0</v>
      </c>
      <c r="L245" s="24">
        <f>IF(B245="","",G245-J245-K245)</f>
        <v>13510830.290236089</v>
      </c>
      <c r="M245" s="24">
        <f>IF(B245="","",I245+J245+K245)</f>
        <v>135932.38802915512</v>
      </c>
    </row>
    <row r="246" spans="2:13" x14ac:dyDescent="0.2">
      <c r="B246" s="22">
        <f>IF(C246="","",ROUNDUP(C246/12,0))</f>
        <v>20</v>
      </c>
      <c r="C246" s="21">
        <f>IF(OR(C245="",C245&gt;=$I$9),"",C245+1)</f>
        <v>231</v>
      </c>
      <c r="D246" s="251">
        <f>IF(C246="","",EOMONTH(D245,1))</f>
        <v>50890</v>
      </c>
      <c r="E246" s="250" t="str">
        <f>IF(C246="","",$M$11)</f>
        <v>360</v>
      </c>
      <c r="F246" s="14">
        <f>IF(C246="","",IF($M$12="Actual",D246-D245,30))</f>
        <v>30</v>
      </c>
      <c r="G246" s="24">
        <f>IF(B246="","",L245)</f>
        <v>13510830.290236089</v>
      </c>
      <c r="H246" s="24">
        <f>IF(B246="","",(C246&lt;=$I$10)*I246+(C246&gt;$I$10)*PMT($I$7/(E246/F246),$I$8+$I$10-C245,-G246))</f>
        <v>134816.95317115675</v>
      </c>
      <c r="I246" s="24">
        <f>IF(B246="","",G246*$I$7/E246*F246)</f>
        <v>56295.126209317044</v>
      </c>
      <c r="J246" s="24">
        <f>IF(B246="","",H246-I246)</f>
        <v>78521.826961839717</v>
      </c>
      <c r="K246" s="24">
        <f>IF(B246="","",(C246=$I$9)*(G246-J246))</f>
        <v>0</v>
      </c>
      <c r="L246" s="24">
        <f>IF(B246="","",G246-J246-K246)</f>
        <v>13432308.46327425</v>
      </c>
      <c r="M246" s="24">
        <f>IF(B246="","",I246+J246+K246)</f>
        <v>134816.95317115675</v>
      </c>
    </row>
    <row r="247" spans="2:13" x14ac:dyDescent="0.2">
      <c r="B247" s="22">
        <f>IF(C247="","",ROUNDUP(C247/12,0))</f>
        <v>20</v>
      </c>
      <c r="C247" s="21">
        <f>IF(OR(C246="",C246&gt;=$I$9),"",C246+1)</f>
        <v>232</v>
      </c>
      <c r="D247" s="251">
        <f>IF(C247="","",EOMONTH(D246,1))</f>
        <v>50921</v>
      </c>
      <c r="E247" s="250" t="str">
        <f>IF(C247="","",$M$11)</f>
        <v>360</v>
      </c>
      <c r="F247" s="14">
        <f>IF(C247="","",IF($M$12="Actual",D247-D246,30))</f>
        <v>31</v>
      </c>
      <c r="G247" s="24">
        <f>IF(B247="","",L246)</f>
        <v>13432308.46327425</v>
      </c>
      <c r="H247" s="24">
        <f>IF(B247="","",(C247&lt;=$I$10)*I247+(C247&gt;$I$10)*PMT($I$7/(E247/F247),$I$8+$I$10-C246,-G247))</f>
        <v>135924.6865895243</v>
      </c>
      <c r="I247" s="24">
        <f>IF(B247="","",G247*$I$7/E247*F247)</f>
        <v>57833.550327986355</v>
      </c>
      <c r="J247" s="24">
        <f>IF(B247="","",H247-I247)</f>
        <v>78091.136261537933</v>
      </c>
      <c r="K247" s="24">
        <f>IF(B247="","",(C247=$I$9)*(G247-J247))</f>
        <v>0</v>
      </c>
      <c r="L247" s="24">
        <f>IF(B247="","",G247-J247-K247)</f>
        <v>13354217.327012712</v>
      </c>
      <c r="M247" s="24">
        <f>IF(B247="","",I247+J247+K247)</f>
        <v>135924.6865895243</v>
      </c>
    </row>
    <row r="248" spans="2:13" x14ac:dyDescent="0.2">
      <c r="B248" s="22">
        <f>IF(C248="","",ROUNDUP(C248/12,0))</f>
        <v>20</v>
      </c>
      <c r="C248" s="21">
        <f>IF(OR(C247="",C247&gt;=$I$9),"",C247+1)</f>
        <v>233</v>
      </c>
      <c r="D248" s="251">
        <f>IF(C248="","",EOMONTH(D247,1))</f>
        <v>50951</v>
      </c>
      <c r="E248" s="250" t="str">
        <f>IF(C248="","",$M$11)</f>
        <v>360</v>
      </c>
      <c r="F248" s="14">
        <f>IF(C248="","",IF($M$12="Actual",D248-D247,30))</f>
        <v>30</v>
      </c>
      <c r="G248" s="24">
        <f>IF(B248="","",L247)</f>
        <v>13354217.327012712</v>
      </c>
      <c r="H248" s="24">
        <f>IF(B248="","",(C248&lt;=$I$10)*I248+(C248&gt;$I$10)*PMT($I$7/(E248/F248),$I$8+$I$10-C247,-G248))</f>
        <v>134824.60460019024</v>
      </c>
      <c r="I248" s="24">
        <f>IF(B248="","",G248*$I$7/E248*F248)</f>
        <v>55642.572195886307</v>
      </c>
      <c r="J248" s="24">
        <f>IF(B248="","",H248-I248)</f>
        <v>79182.032404303929</v>
      </c>
      <c r="K248" s="24">
        <f>IF(B248="","",(C248=$I$9)*(G248-J248))</f>
        <v>0</v>
      </c>
      <c r="L248" s="24">
        <f>IF(B248="","",G248-J248-K248)</f>
        <v>13275035.294608409</v>
      </c>
      <c r="M248" s="24">
        <f>IF(B248="","",I248+J248+K248)</f>
        <v>134824.60460019024</v>
      </c>
    </row>
    <row r="249" spans="2:13" x14ac:dyDescent="0.2">
      <c r="B249" s="22">
        <f>IF(C249="","",ROUNDUP(C249/12,0))</f>
        <v>20</v>
      </c>
      <c r="C249" s="21">
        <f>IF(OR(C248="",C248&gt;=$I$9),"",C248+1)</f>
        <v>234</v>
      </c>
      <c r="D249" s="251">
        <f>IF(C249="","",EOMONTH(D248,1))</f>
        <v>50982</v>
      </c>
      <c r="E249" s="250" t="str">
        <f>IF(C249="","",$M$11)</f>
        <v>360</v>
      </c>
      <c r="F249" s="14">
        <f>IF(C249="","",IF($M$12="Actual",D249-D248,30))</f>
        <v>31</v>
      </c>
      <c r="G249" s="24">
        <f>IF(B249="","",L248)</f>
        <v>13275035.294608409</v>
      </c>
      <c r="H249" s="24">
        <f>IF(B249="","",(C249&lt;=$I$10)*I249+(C249&gt;$I$10)*PMT($I$7/(E249/F249),$I$8+$I$10-C248,-G249))</f>
        <v>135916.95986740789</v>
      </c>
      <c r="I249" s="24">
        <f>IF(B249="","",G249*$I$7/E249*F249)</f>
        <v>57156.401962897318</v>
      </c>
      <c r="J249" s="24">
        <f>IF(B249="","",H249-I249)</f>
        <v>78760.55790451057</v>
      </c>
      <c r="K249" s="24">
        <f>IF(B249="","",(C249=$I$9)*(G249-J249))</f>
        <v>0</v>
      </c>
      <c r="L249" s="24">
        <f>IF(B249="","",G249-J249-K249)</f>
        <v>13196274.736703899</v>
      </c>
      <c r="M249" s="24">
        <f>IF(B249="","",I249+J249+K249)</f>
        <v>135916.95986740789</v>
      </c>
    </row>
    <row r="250" spans="2:13" x14ac:dyDescent="0.2">
      <c r="B250" s="22">
        <f>IF(C250="","",ROUNDUP(C250/12,0))</f>
        <v>20</v>
      </c>
      <c r="C250" s="21">
        <f>IF(OR(C249="",C249&gt;=$I$9),"",C249+1)</f>
        <v>235</v>
      </c>
      <c r="D250" s="251">
        <f>IF(C250="","",EOMONTH(D249,1))</f>
        <v>51013</v>
      </c>
      <c r="E250" s="250" t="str">
        <f>IF(C250="","",$M$11)</f>
        <v>360</v>
      </c>
      <c r="F250" s="14">
        <f>IF(C250="","",IF($M$12="Actual",D250-D249,30))</f>
        <v>31</v>
      </c>
      <c r="G250" s="24">
        <f>IF(B250="","",L249)</f>
        <v>13196274.736703899</v>
      </c>
      <c r="H250" s="24">
        <f>IF(B250="","",(C250&lt;=$I$10)*I250+(C250&gt;$I$10)*PMT($I$7/(E250/F250),$I$8+$I$10-C249,-G250))</f>
        <v>135916.95986740786</v>
      </c>
      <c r="I250" s="24">
        <f>IF(B250="","",G250*$I$7/E250*F250)</f>
        <v>56817.294005252901</v>
      </c>
      <c r="J250" s="24">
        <f>IF(B250="","",H250-I250)</f>
        <v>79099.665862154958</v>
      </c>
      <c r="K250" s="24">
        <f>IF(B250="","",(C250=$I$9)*(G250-J250))</f>
        <v>0</v>
      </c>
      <c r="L250" s="24">
        <f>IF(B250="","",G250-J250-K250)</f>
        <v>13117175.070841745</v>
      </c>
      <c r="M250" s="24">
        <f>IF(B250="","",I250+J250+K250)</f>
        <v>135916.95986740786</v>
      </c>
    </row>
    <row r="251" spans="2:13" x14ac:dyDescent="0.2">
      <c r="B251" s="22">
        <f>IF(C251="","",ROUNDUP(C251/12,0))</f>
        <v>20</v>
      </c>
      <c r="C251" s="21">
        <f>IF(OR(C250="",C250&gt;=$I$9),"",C250+1)</f>
        <v>236</v>
      </c>
      <c r="D251" s="251">
        <f>IF(C251="","",EOMONTH(D250,1))</f>
        <v>51043</v>
      </c>
      <c r="E251" s="250" t="str">
        <f>IF(C251="","",$M$11)</f>
        <v>360</v>
      </c>
      <c r="F251" s="14">
        <f>IF(C251="","",IF($M$12="Actual",D251-D250,30))</f>
        <v>30</v>
      </c>
      <c r="G251" s="24">
        <f>IF(B251="","",L250)</f>
        <v>13117175.070841745</v>
      </c>
      <c r="H251" s="24">
        <f>IF(B251="","",(C251&lt;=$I$10)*I251+(C251&gt;$I$10)*PMT($I$7/(E251/F251),$I$8+$I$10-C250,-G251))</f>
        <v>134839.97258625276</v>
      </c>
      <c r="I251" s="24">
        <f>IF(B251="","",G251*$I$7/E251*F251)</f>
        <v>54654.896128507273</v>
      </c>
      <c r="J251" s="24">
        <f>IF(B251="","",H251-I251)</f>
        <v>80185.076457745483</v>
      </c>
      <c r="K251" s="24">
        <f>IF(B251="","",(C251=$I$9)*(G251-J251))</f>
        <v>0</v>
      </c>
      <c r="L251" s="24">
        <f>IF(B251="","",G251-J251-K251)</f>
        <v>13036989.994383998</v>
      </c>
      <c r="M251" s="24">
        <f>IF(B251="","",I251+J251+K251)</f>
        <v>134839.97258625276</v>
      </c>
    </row>
    <row r="252" spans="2:13" x14ac:dyDescent="0.2">
      <c r="B252" s="22">
        <f>IF(C252="","",ROUNDUP(C252/12,0))</f>
        <v>20</v>
      </c>
      <c r="C252" s="21">
        <f>IF(OR(C251="",C251&gt;=$I$9),"",C251+1)</f>
        <v>237</v>
      </c>
      <c r="D252" s="251">
        <f>IF(C252="","",EOMONTH(D251,1))</f>
        <v>51074</v>
      </c>
      <c r="E252" s="250" t="str">
        <f>IF(C252="","",$M$11)</f>
        <v>360</v>
      </c>
      <c r="F252" s="14">
        <f>IF(C252="","",IF($M$12="Actual",D252-D251,30))</f>
        <v>31</v>
      </c>
      <c r="G252" s="24">
        <f>IF(B252="","",L251)</f>
        <v>13036989.994383998</v>
      </c>
      <c r="H252" s="24">
        <f>IF(B252="","",(C252&lt;=$I$10)*I252+(C252&gt;$I$10)*PMT($I$7/(E252/F252),$I$8+$I$10-C251,-G252))</f>
        <v>135909.19496486534</v>
      </c>
      <c r="I252" s="24">
        <f>IF(B252="","",G252*$I$7/E252*F252)</f>
        <v>56131.484698042223</v>
      </c>
      <c r="J252" s="24">
        <f>IF(B252="","",H252-I252)</f>
        <v>79777.710266823124</v>
      </c>
      <c r="K252" s="24">
        <f>IF(B252="","",(C252=$I$9)*(G252-J252))</f>
        <v>0</v>
      </c>
      <c r="L252" s="24">
        <f>IF(B252="","",G252-J252-K252)</f>
        <v>12957212.284117175</v>
      </c>
      <c r="M252" s="24">
        <f>IF(B252="","",I252+J252+K252)</f>
        <v>135909.19496486534</v>
      </c>
    </row>
    <row r="253" spans="2:13" x14ac:dyDescent="0.2">
      <c r="B253" s="22">
        <f>IF(C253="","",ROUNDUP(C253/12,0))</f>
        <v>20</v>
      </c>
      <c r="C253" s="21">
        <f>IF(OR(C252="",C252&gt;=$I$9),"",C252+1)</f>
        <v>238</v>
      </c>
      <c r="D253" s="251">
        <f>IF(C253="","",EOMONTH(D252,1))</f>
        <v>51104</v>
      </c>
      <c r="E253" s="250" t="str">
        <f>IF(C253="","",$M$11)</f>
        <v>360</v>
      </c>
      <c r="F253" s="14">
        <f>IF(C253="","",IF($M$12="Actual",D253-D252,30))</f>
        <v>30</v>
      </c>
      <c r="G253" s="24">
        <f>IF(B253="","",L252)</f>
        <v>12957212.284117175</v>
      </c>
      <c r="H253" s="24">
        <f>IF(B253="","",(C253&lt;=$I$10)*I253+(C253&gt;$I$10)*PMT($I$7/(E253/F253),$I$8+$I$10-C252,-G253))</f>
        <v>134847.68918493824</v>
      </c>
      <c r="I253" s="24">
        <f>IF(B253="","",G253*$I$7/E253*F253)</f>
        <v>53988.384517154896</v>
      </c>
      <c r="J253" s="24">
        <f>IF(B253="","",H253-I253)</f>
        <v>80859.304667783348</v>
      </c>
      <c r="K253" s="24">
        <f>IF(B253="","",(C253=$I$9)*(G253-J253))</f>
        <v>0</v>
      </c>
      <c r="L253" s="24">
        <f>IF(B253="","",G253-J253-K253)</f>
        <v>12876352.979449391</v>
      </c>
      <c r="M253" s="24">
        <f>IF(B253="","",I253+J253+K253)</f>
        <v>134847.68918493824</v>
      </c>
    </row>
    <row r="254" spans="2:13" x14ac:dyDescent="0.2">
      <c r="B254" s="22">
        <f>IF(C254="","",ROUNDUP(C254/12,0))</f>
        <v>20</v>
      </c>
      <c r="C254" s="21">
        <f>IF(OR(C253="",C253&gt;=$I$9),"",C253+1)</f>
        <v>239</v>
      </c>
      <c r="D254" s="251">
        <f>IF(C254="","",EOMONTH(D253,1))</f>
        <v>51135</v>
      </c>
      <c r="E254" s="250" t="str">
        <f>IF(C254="","",$M$11)</f>
        <v>360</v>
      </c>
      <c r="F254" s="14">
        <f>IF(C254="","",IF($M$12="Actual",D254-D253,30))</f>
        <v>31</v>
      </c>
      <c r="G254" s="24">
        <f>IF(B254="","",L253)</f>
        <v>12876352.979449391</v>
      </c>
      <c r="H254" s="24">
        <f>IF(B254="","",(C254&lt;=$I$10)*I254+(C254&gt;$I$10)*PMT($I$7/(E254/F254),$I$8+$I$10-C253,-G254))</f>
        <v>135901.40473238463</v>
      </c>
      <c r="I254" s="24">
        <f>IF(B254="","",G254*$I$7/E254*F254)</f>
        <v>55439.853105962662</v>
      </c>
      <c r="J254" s="24">
        <f>IF(B254="","",H254-I254)</f>
        <v>80461.551626421977</v>
      </c>
      <c r="K254" s="24">
        <f>IF(B254="","",(C254=$I$9)*(G254-J254))</f>
        <v>0</v>
      </c>
      <c r="L254" s="24">
        <f>IF(B254="","",G254-J254-K254)</f>
        <v>12795891.42782297</v>
      </c>
      <c r="M254" s="24">
        <f>IF(B254="","",I254+J254+K254)</f>
        <v>135901.40473238463</v>
      </c>
    </row>
    <row r="255" spans="2:13" x14ac:dyDescent="0.2">
      <c r="B255" s="22">
        <f>IF(C255="","",ROUNDUP(C255/12,0))</f>
        <v>20</v>
      </c>
      <c r="C255" s="21">
        <f>IF(OR(C254="",C254&gt;=$I$9),"",C254+1)</f>
        <v>240</v>
      </c>
      <c r="D255" s="251">
        <f>IF(C255="","",EOMONTH(D254,1))</f>
        <v>51166</v>
      </c>
      <c r="E255" s="250" t="str">
        <f>IF(C255="","",$M$11)</f>
        <v>360</v>
      </c>
      <c r="F255" s="14">
        <f>IF(C255="","",IF($M$12="Actual",D255-D254,30))</f>
        <v>31</v>
      </c>
      <c r="G255" s="24">
        <f>IF(B255="","",L254)</f>
        <v>12795891.42782297</v>
      </c>
      <c r="H255" s="24">
        <f>IF(B255="","",(C255&lt;=$I$10)*I255+(C255&gt;$I$10)*PMT($I$7/(E255/F255),$I$8+$I$10-C254,-G255))</f>
        <v>135901.40473238463</v>
      </c>
      <c r="I255" s="24">
        <f>IF(B255="","",G255*$I$7/E255*F255)</f>
        <v>55093.421425348897</v>
      </c>
      <c r="J255" s="24">
        <f>IF(B255="","",H255-I255)</f>
        <v>80807.983307035727</v>
      </c>
      <c r="K255" s="24">
        <f>IF(B255="","",(C255=$I$9)*(G255-J255))</f>
        <v>0</v>
      </c>
      <c r="L255" s="24">
        <f>IF(B255="","",G255-J255-K255)</f>
        <v>12715083.444515934</v>
      </c>
      <c r="M255" s="24">
        <f>IF(B255="","",I255+J255+K255)</f>
        <v>135901.40473238463</v>
      </c>
    </row>
    <row r="256" spans="2:13" x14ac:dyDescent="0.2">
      <c r="B256" s="22">
        <f>IF(C256="","",ROUNDUP(C256/12,0))</f>
        <v>21</v>
      </c>
      <c r="C256" s="21">
        <f>IF(OR(C255="",C255&gt;=$I$9),"",C255+1)</f>
        <v>241</v>
      </c>
      <c r="D256" s="251">
        <f>IF(C256="","",EOMONTH(D255,1))</f>
        <v>51195</v>
      </c>
      <c r="E256" s="250" t="str">
        <f>IF(C256="","",$M$11)</f>
        <v>360</v>
      </c>
      <c r="F256" s="14">
        <f>IF(C256="","",IF($M$12="Actual",D256-D255,30))</f>
        <v>29</v>
      </c>
      <c r="G256" s="24">
        <f>IF(B256="","",L255)</f>
        <v>12715083.444515934</v>
      </c>
      <c r="H256" s="24">
        <f>IF(B256="","",(C256&lt;=$I$10)*I256+(C256&gt;$I$10)*PMT($I$7/(E256/F256),$I$8+$I$10-C255,-G256))</f>
        <v>133829.72570805837</v>
      </c>
      <c r="I256" s="24">
        <f>IF(B256="","",G256*$I$7/E256*F256)</f>
        <v>51213.530540411404</v>
      </c>
      <c r="J256" s="24">
        <f>IF(B256="","",H256-I256)</f>
        <v>82616.195167646962</v>
      </c>
      <c r="K256" s="24">
        <f>IF(B256="","",(C256=$I$9)*(G256-J256))</f>
        <v>0</v>
      </c>
      <c r="L256" s="24">
        <f>IF(B256="","",G256-J256-K256)</f>
        <v>12632467.249348287</v>
      </c>
      <c r="M256" s="24">
        <f>IF(B256="","",I256+J256+K256)</f>
        <v>133829.72570805837</v>
      </c>
    </row>
    <row r="257" spans="2:13" x14ac:dyDescent="0.2">
      <c r="B257" s="22">
        <f>IF(C257="","",ROUNDUP(C257/12,0))</f>
        <v>21</v>
      </c>
      <c r="C257" s="21">
        <f>IF(OR(C256="",C256&gt;=$I$9),"",C256+1)</f>
        <v>242</v>
      </c>
      <c r="D257" s="251">
        <f>IF(C257="","",EOMONTH(D256,1))</f>
        <v>51226</v>
      </c>
      <c r="E257" s="250" t="str">
        <f>IF(C257="","",$M$11)</f>
        <v>360</v>
      </c>
      <c r="F257" s="14">
        <f>IF(C257="","",IF($M$12="Actual",D257-D256,30))</f>
        <v>31</v>
      </c>
      <c r="G257" s="24">
        <f>IF(B257="","",L256)</f>
        <v>12632467.249348287</v>
      </c>
      <c r="H257" s="24">
        <f>IF(B257="","",(C257&lt;=$I$10)*I257+(C257&gt;$I$10)*PMT($I$7/(E257/F257),$I$8+$I$10-C256,-G257))</f>
        <v>135885.69661063518</v>
      </c>
      <c r="I257" s="24">
        <f>IF(B257="","",G257*$I$7/E257*F257)</f>
        <v>54389.789545805121</v>
      </c>
      <c r="J257" s="24">
        <f>IF(B257="","",H257-I257)</f>
        <v>81495.907064830055</v>
      </c>
      <c r="K257" s="24">
        <f>IF(B257="","",(C257=$I$9)*(G257-J257))</f>
        <v>0</v>
      </c>
      <c r="L257" s="24">
        <f>IF(B257="","",G257-J257-K257)</f>
        <v>12550971.342283456</v>
      </c>
      <c r="M257" s="24">
        <f>IF(B257="","",I257+J257+K257)</f>
        <v>135885.69661063518</v>
      </c>
    </row>
    <row r="258" spans="2:13" x14ac:dyDescent="0.2">
      <c r="B258" s="22">
        <f>IF(C258="","",ROUNDUP(C258/12,0))</f>
        <v>21</v>
      </c>
      <c r="C258" s="21">
        <f>IF(OR(C257="",C257&gt;=$I$9),"",C257+1)</f>
        <v>243</v>
      </c>
      <c r="D258" s="251">
        <f>IF(C258="","",EOMONTH(D257,1))</f>
        <v>51256</v>
      </c>
      <c r="E258" s="250" t="str">
        <f>IF(C258="","",$M$11)</f>
        <v>360</v>
      </c>
      <c r="F258" s="14">
        <f>IF(C258="","",IF($M$12="Actual",D258-D257,30))</f>
        <v>30</v>
      </c>
      <c r="G258" s="24">
        <f>IF(B258="","",L257)</f>
        <v>12550971.342283456</v>
      </c>
      <c r="H258" s="24">
        <f>IF(B258="","",(C258&lt;=$I$10)*I258+(C258&gt;$I$10)*PMT($I$7/(E258/F258),$I$8+$I$10-C257,-G258))</f>
        <v>134863.14928592579</v>
      </c>
      <c r="I258" s="24">
        <f>IF(B258="","",G258*$I$7/E258*F258)</f>
        <v>52295.713926181073</v>
      </c>
      <c r="J258" s="24">
        <f>IF(B258="","",H258-I258)</f>
        <v>82567.435359744704</v>
      </c>
      <c r="K258" s="24">
        <f>IF(B258="","",(C258=$I$9)*(G258-J258))</f>
        <v>0</v>
      </c>
      <c r="L258" s="24">
        <f>IF(B258="","",G258-J258-K258)</f>
        <v>12468403.906923711</v>
      </c>
      <c r="M258" s="24">
        <f>IF(B258="","",I258+J258+K258)</f>
        <v>134863.14928592579</v>
      </c>
    </row>
    <row r="259" spans="2:13" x14ac:dyDescent="0.2">
      <c r="B259" s="22">
        <f>IF(C259="","",ROUNDUP(C259/12,0))</f>
        <v>21</v>
      </c>
      <c r="C259" s="21">
        <f>IF(OR(C258="",C258&gt;=$I$9),"",C258+1)</f>
        <v>244</v>
      </c>
      <c r="D259" s="251">
        <f>IF(C259="","",EOMONTH(D258,1))</f>
        <v>51287</v>
      </c>
      <c r="E259" s="250" t="str">
        <f>IF(C259="","",$M$11)</f>
        <v>360</v>
      </c>
      <c r="F259" s="14">
        <f>IF(C259="","",IF($M$12="Actual",D259-D258,30))</f>
        <v>31</v>
      </c>
      <c r="G259" s="24">
        <f>IF(B259="","",L258)</f>
        <v>12468403.906923711</v>
      </c>
      <c r="H259" s="24">
        <f>IF(B259="","",(C259&lt;=$I$10)*I259+(C259&gt;$I$10)*PMT($I$7/(E259/F259),$I$8+$I$10-C258,-G259))</f>
        <v>135877.84320483875</v>
      </c>
      <c r="I259" s="24">
        <f>IF(B259="","",G259*$I$7/E259*F259)</f>
        <v>53683.40571036598</v>
      </c>
      <c r="J259" s="24">
        <f>IF(B259="","",H259-I259)</f>
        <v>82194.437494472775</v>
      </c>
      <c r="K259" s="24">
        <f>IF(B259="","",(C259=$I$9)*(G259-J259))</f>
        <v>0</v>
      </c>
      <c r="L259" s="24">
        <f>IF(B259="","",G259-J259-K259)</f>
        <v>12386209.469429238</v>
      </c>
      <c r="M259" s="24">
        <f>IF(B259="","",I259+J259+K259)</f>
        <v>135877.84320483875</v>
      </c>
    </row>
    <row r="260" spans="2:13" x14ac:dyDescent="0.2">
      <c r="B260" s="22">
        <f>IF(C260="","",ROUNDUP(C260/12,0))</f>
        <v>21</v>
      </c>
      <c r="C260" s="21">
        <f>IF(OR(C259="",C259&gt;=$I$9),"",C259+1)</f>
        <v>245</v>
      </c>
      <c r="D260" s="251">
        <f>IF(C260="","",EOMONTH(D259,1))</f>
        <v>51317</v>
      </c>
      <c r="E260" s="250" t="str">
        <f>IF(C260="","",$M$11)</f>
        <v>360</v>
      </c>
      <c r="F260" s="14">
        <f>IF(C260="","",IF($M$12="Actual",D260-D259,30))</f>
        <v>30</v>
      </c>
      <c r="G260" s="24">
        <f>IF(B260="","",L259)</f>
        <v>12386209.469429238</v>
      </c>
      <c r="H260" s="24">
        <f>IF(B260="","",(C260&lt;=$I$10)*I260+(C260&gt;$I$10)*PMT($I$7/(E260/F260),$I$8+$I$10-C259,-G260))</f>
        <v>134870.95686957703</v>
      </c>
      <c r="I260" s="24">
        <f>IF(B260="","",G260*$I$7/E260*F260)</f>
        <v>51609.206122621821</v>
      </c>
      <c r="J260" s="24">
        <f>IF(B260="","",H260-I260)</f>
        <v>83261.750746955207</v>
      </c>
      <c r="K260" s="24">
        <f>IF(B260="","",(C260=$I$9)*(G260-J260))</f>
        <v>0</v>
      </c>
      <c r="L260" s="24">
        <f>IF(B260="","",G260-J260-K260)</f>
        <v>12302947.718682282</v>
      </c>
      <c r="M260" s="24">
        <f>IF(B260="","",I260+J260+K260)</f>
        <v>134870.95686957703</v>
      </c>
    </row>
    <row r="261" spans="2:13" x14ac:dyDescent="0.2">
      <c r="B261" s="22">
        <f>IF(C261="","",ROUNDUP(C261/12,0))</f>
        <v>21</v>
      </c>
      <c r="C261" s="21">
        <f>IF(OR(C260="",C260&gt;=$I$9),"",C260+1)</f>
        <v>246</v>
      </c>
      <c r="D261" s="251">
        <f>IF(C261="","",EOMONTH(D260,1))</f>
        <v>51348</v>
      </c>
      <c r="E261" s="250" t="str">
        <f>IF(C261="","",$M$11)</f>
        <v>360</v>
      </c>
      <c r="F261" s="14">
        <f>IF(C261="","",IF($M$12="Actual",D261-D260,30))</f>
        <v>31</v>
      </c>
      <c r="G261" s="24">
        <f>IF(B261="","",L260)</f>
        <v>12302947.718682282</v>
      </c>
      <c r="H261" s="24">
        <f>IF(B261="","",(C261&lt;=$I$10)*I261+(C261&gt;$I$10)*PMT($I$7/(E261/F261),$I$8+$I$10-C260,-G261))</f>
        <v>135869.96440822983</v>
      </c>
      <c r="I261" s="24">
        <f>IF(B261="","",G261*$I$7/E261*F261)</f>
        <v>52971.024899882053</v>
      </c>
      <c r="J261" s="24">
        <f>IF(B261="","",H261-I261)</f>
        <v>82898.939508347772</v>
      </c>
      <c r="K261" s="24">
        <f>IF(B261="","",(C261=$I$9)*(G261-J261))</f>
        <v>0</v>
      </c>
      <c r="L261" s="24">
        <f>IF(B261="","",G261-J261-K261)</f>
        <v>12220048.779173933</v>
      </c>
      <c r="M261" s="24">
        <f>IF(B261="","",I261+J261+K261)</f>
        <v>135869.96440822983</v>
      </c>
    </row>
    <row r="262" spans="2:13" x14ac:dyDescent="0.2">
      <c r="B262" s="22">
        <f>IF(C262="","",ROUNDUP(C262/12,0))</f>
        <v>21</v>
      </c>
      <c r="C262" s="21">
        <f>IF(OR(C261="",C261&gt;=$I$9),"",C261+1)</f>
        <v>247</v>
      </c>
      <c r="D262" s="251">
        <f>IF(C262="","",EOMONTH(D261,1))</f>
        <v>51379</v>
      </c>
      <c r="E262" s="250" t="str">
        <f>IF(C262="","",$M$11)</f>
        <v>360</v>
      </c>
      <c r="F262" s="14">
        <f>IF(C262="","",IF($M$12="Actual",D262-D261,30))</f>
        <v>31</v>
      </c>
      <c r="G262" s="24">
        <f>IF(B262="","",L261)</f>
        <v>12220048.779173933</v>
      </c>
      <c r="H262" s="24">
        <f>IF(B262="","",(C262&lt;=$I$10)*I262+(C262&gt;$I$10)*PMT($I$7/(E262/F262),$I$8+$I$10-C261,-G262))</f>
        <v>135869.96440822983</v>
      </c>
      <c r="I262" s="24">
        <f>IF(B262="","",G262*$I$7/E262*F262)</f>
        <v>52614.098910332214</v>
      </c>
      <c r="J262" s="24">
        <f>IF(B262="","",H262-I262)</f>
        <v>83255.865497897612</v>
      </c>
      <c r="K262" s="24">
        <f>IF(B262="","",(C262=$I$9)*(G262-J262))</f>
        <v>0</v>
      </c>
      <c r="L262" s="24">
        <f>IF(B262="","",G262-J262-K262)</f>
        <v>12136792.913676035</v>
      </c>
      <c r="M262" s="24">
        <f>IF(B262="","",I262+J262+K262)</f>
        <v>135869.96440822983</v>
      </c>
    </row>
    <row r="263" spans="2:13" x14ac:dyDescent="0.2">
      <c r="B263" s="22">
        <f>IF(C263="","",ROUNDUP(C263/12,0))</f>
        <v>21</v>
      </c>
      <c r="C263" s="21">
        <f>IF(OR(C262="",C262&gt;=$I$9),"",C262+1)</f>
        <v>248</v>
      </c>
      <c r="D263" s="251">
        <f>IF(C263="","",EOMONTH(D262,1))</f>
        <v>51409</v>
      </c>
      <c r="E263" s="250" t="str">
        <f>IF(C263="","",$M$11)</f>
        <v>360</v>
      </c>
      <c r="F263" s="14">
        <f>IF(C263="","",IF($M$12="Actual",D263-D262,30))</f>
        <v>30</v>
      </c>
      <c r="G263" s="24">
        <f>IF(B263="","",L262)</f>
        <v>12136792.913676035</v>
      </c>
      <c r="H263" s="24">
        <f>IF(B263="","",(C263&lt;=$I$10)*I263+(C263&gt;$I$10)*PMT($I$7/(E263/F263),$I$8+$I$10-C262,-G263))</f>
        <v>134886.63757136348</v>
      </c>
      <c r="I263" s="24">
        <f>IF(B263="","",G263*$I$7/E263*F263)</f>
        <v>50569.970473650144</v>
      </c>
      <c r="J263" s="24">
        <f>IF(B263="","",H263-I263)</f>
        <v>84316.667097713333</v>
      </c>
      <c r="K263" s="24">
        <f>IF(B263="","",(C263=$I$9)*(G263-J263))</f>
        <v>0</v>
      </c>
      <c r="L263" s="24">
        <f>IF(B263="","",G263-J263-K263)</f>
        <v>12052476.246578321</v>
      </c>
      <c r="M263" s="24">
        <f>IF(B263="","",I263+J263+K263)</f>
        <v>134886.63757136348</v>
      </c>
    </row>
    <row r="264" spans="2:13" x14ac:dyDescent="0.2">
      <c r="B264" s="22">
        <f>IF(C264="","",ROUNDUP(C264/12,0))</f>
        <v>21</v>
      </c>
      <c r="C264" s="21">
        <f>IF(OR(C263="",C263&gt;=$I$9),"",C263+1)</f>
        <v>249</v>
      </c>
      <c r="D264" s="251">
        <f>IF(C264="","",EOMONTH(D263,1))</f>
        <v>51440</v>
      </c>
      <c r="E264" s="250" t="str">
        <f>IF(C264="","",$M$11)</f>
        <v>360</v>
      </c>
      <c r="F264" s="14">
        <f>IF(C264="","",IF($M$12="Actual",D264-D263,30))</f>
        <v>31</v>
      </c>
      <c r="G264" s="24">
        <f>IF(B264="","",L263)</f>
        <v>12052476.246578321</v>
      </c>
      <c r="H264" s="24">
        <f>IF(B264="","",(C264&lt;=$I$10)*I264+(C264&gt;$I$10)*PMT($I$7/(E264/F264),$I$8+$I$10-C263,-G264))</f>
        <v>135862.0472639449</v>
      </c>
      <c r="I264" s="24">
        <f>IF(B264="","",G264*$I$7/E264*F264)</f>
        <v>51892.606061656661</v>
      </c>
      <c r="J264" s="24">
        <f>IF(B264="","",H264-I264)</f>
        <v>83969.441202288232</v>
      </c>
      <c r="K264" s="24">
        <f>IF(B264="","",(C264=$I$9)*(G264-J264))</f>
        <v>0</v>
      </c>
      <c r="L264" s="24">
        <f>IF(B264="","",G264-J264-K264)</f>
        <v>11968506.805376032</v>
      </c>
      <c r="M264" s="24">
        <f>IF(B264="","",I264+J264+K264)</f>
        <v>135862.0472639449</v>
      </c>
    </row>
    <row r="265" spans="2:13" x14ac:dyDescent="0.2">
      <c r="B265" s="22">
        <f>IF(C265="","",ROUNDUP(C265/12,0))</f>
        <v>21</v>
      </c>
      <c r="C265" s="21">
        <f>IF(OR(C264="",C264&gt;=$I$9),"",C264+1)</f>
        <v>250</v>
      </c>
      <c r="D265" s="251">
        <f>IF(C265="","",EOMONTH(D264,1))</f>
        <v>51470</v>
      </c>
      <c r="E265" s="250" t="str">
        <f>IF(C265="","",$M$11)</f>
        <v>360</v>
      </c>
      <c r="F265" s="14">
        <f>IF(C265="","",IF($M$12="Actual",D265-D264,30))</f>
        <v>30</v>
      </c>
      <c r="G265" s="24">
        <f>IF(B265="","",L264)</f>
        <v>11968506.805376032</v>
      </c>
      <c r="H265" s="24">
        <f>IF(B265="","",(C265&lt;=$I$10)*I265+(C265&gt;$I$10)*PMT($I$7/(E265/F265),$I$8+$I$10-C264,-G265))</f>
        <v>134894.51072827584</v>
      </c>
      <c r="I265" s="24">
        <f>IF(B265="","",G265*$I$7/E265*F265)</f>
        <v>49868.778355733477</v>
      </c>
      <c r="J265" s="24">
        <f>IF(B265="","",H265-I265)</f>
        <v>85025.732372542363</v>
      </c>
      <c r="K265" s="24">
        <f>IF(B265="","",(C265=$I$9)*(G265-J265))</f>
        <v>0</v>
      </c>
      <c r="L265" s="24">
        <f>IF(B265="","",G265-J265-K265)</f>
        <v>11883481.07300349</v>
      </c>
      <c r="M265" s="24">
        <f>IF(B265="","",I265+J265+K265)</f>
        <v>134894.51072827584</v>
      </c>
    </row>
    <row r="266" spans="2:13" x14ac:dyDescent="0.2">
      <c r="B266" s="22">
        <f>IF(C266="","",ROUNDUP(C266/12,0))</f>
        <v>21</v>
      </c>
      <c r="C266" s="21">
        <f>IF(OR(C265="",C265&gt;=$I$9),"",C265+1)</f>
        <v>251</v>
      </c>
      <c r="D266" s="251">
        <f>IF(C266="","",EOMONTH(D265,1))</f>
        <v>51501</v>
      </c>
      <c r="E266" s="250" t="str">
        <f>IF(C266="","",$M$11)</f>
        <v>360</v>
      </c>
      <c r="F266" s="14">
        <f>IF(C266="","",IF($M$12="Actual",D266-D265,30))</f>
        <v>31</v>
      </c>
      <c r="G266" s="24">
        <f>IF(B266="","",L265)</f>
        <v>11883481.07300349</v>
      </c>
      <c r="H266" s="24">
        <f>IF(B266="","",(C266&lt;=$I$10)*I266+(C266&gt;$I$10)*PMT($I$7/(E266/F266),$I$8+$I$10-C265,-G266))</f>
        <v>135854.10468683916</v>
      </c>
      <c r="I266" s="24">
        <f>IF(B266="","",G266*$I$7/E266*F266)</f>
        <v>51164.987953209471</v>
      </c>
      <c r="J266" s="24">
        <f>IF(B266="","",H266-I266)</f>
        <v>84689.116733629693</v>
      </c>
      <c r="K266" s="24">
        <f>IF(B266="","",(C266=$I$9)*(G266-J266))</f>
        <v>0</v>
      </c>
      <c r="L266" s="24">
        <f>IF(B266="","",G266-J266-K266)</f>
        <v>11798791.95626986</v>
      </c>
      <c r="M266" s="24">
        <f>IF(B266="","",I266+J266+K266)</f>
        <v>135854.10468683916</v>
      </c>
    </row>
    <row r="267" spans="2:13" x14ac:dyDescent="0.2">
      <c r="B267" s="22">
        <f>IF(C267="","",ROUNDUP(C267/12,0))</f>
        <v>21</v>
      </c>
      <c r="C267" s="21">
        <f>IF(OR(C266="",C266&gt;=$I$9),"",C266+1)</f>
        <v>252</v>
      </c>
      <c r="D267" s="251">
        <f>IF(C267="","",EOMONTH(D266,1))</f>
        <v>51532</v>
      </c>
      <c r="E267" s="250" t="str">
        <f>IF(C267="","",$M$11)</f>
        <v>360</v>
      </c>
      <c r="F267" s="14">
        <f>IF(C267="","",IF($M$12="Actual",D267-D266,30))</f>
        <v>31</v>
      </c>
      <c r="G267" s="24">
        <f>IF(B267="","",L266)</f>
        <v>11798791.95626986</v>
      </c>
      <c r="H267" s="24">
        <f>IF(B267="","",(C267&lt;=$I$10)*I267+(C267&gt;$I$10)*PMT($I$7/(E267/F267),$I$8+$I$10-C266,-G267))</f>
        <v>135854.10468683921</v>
      </c>
      <c r="I267" s="24">
        <f>IF(B267="","",G267*$I$7/E267*F267)</f>
        <v>50800.354256161896</v>
      </c>
      <c r="J267" s="24">
        <f>IF(B267="","",H267-I267)</f>
        <v>85053.750430677319</v>
      </c>
      <c r="K267" s="24">
        <f>IF(B267="","",(C267=$I$9)*(G267-J267))</f>
        <v>0</v>
      </c>
      <c r="L267" s="24">
        <f>IF(B267="","",G267-J267-K267)</f>
        <v>11713738.205839183</v>
      </c>
      <c r="M267" s="24">
        <f>IF(B267="","",I267+J267+K267)</f>
        <v>135854.10468683921</v>
      </c>
    </row>
    <row r="268" spans="2:13" x14ac:dyDescent="0.2">
      <c r="B268" s="22">
        <f>IF(C268="","",ROUNDUP(C268/12,0))</f>
        <v>22</v>
      </c>
      <c r="C268" s="21">
        <f>IF(OR(C267="",C267&gt;=$I$9),"",C267+1)</f>
        <v>253</v>
      </c>
      <c r="D268" s="251">
        <f>IF(C268="","",EOMONTH(D267,1))</f>
        <v>51560</v>
      </c>
      <c r="E268" s="250" t="str">
        <f>IF(C268="","",$M$11)</f>
        <v>360</v>
      </c>
      <c r="F268" s="14">
        <f>IF(C268="","",IF($M$12="Actual",D268-D267,30))</f>
        <v>28</v>
      </c>
      <c r="G268" s="24">
        <f>IF(B268="","",L267)</f>
        <v>11713738.205839183</v>
      </c>
      <c r="H268" s="24">
        <f>IF(B268="","",(C268&lt;=$I$10)*I268+(C268&gt;$I$10)*PMT($I$7/(E268/F268),$I$8+$I$10-C267,-G268))</f>
        <v>133034.64814396112</v>
      </c>
      <c r="I268" s="24">
        <f>IF(B268="","",G268*$I$7/E268*F268)</f>
        <v>45553.426356041266</v>
      </c>
      <c r="J268" s="24">
        <f>IF(B268="","",H268-I268)</f>
        <v>87481.221787919858</v>
      </c>
      <c r="K268" s="24">
        <f>IF(B268="","",(C268=$I$9)*(G268-J268))</f>
        <v>0</v>
      </c>
      <c r="L268" s="24">
        <f>IF(B268="","",G268-J268-K268)</f>
        <v>11626256.984051263</v>
      </c>
      <c r="M268" s="24">
        <f>IF(B268="","",I268+J268+K268)</f>
        <v>133034.64814396112</v>
      </c>
    </row>
    <row r="269" spans="2:13" x14ac:dyDescent="0.2">
      <c r="B269" s="22">
        <f>IF(C269="","",ROUNDUP(C269/12,0))</f>
        <v>22</v>
      </c>
      <c r="C269" s="21">
        <f>IF(OR(C268="",C268&gt;=$I$9),"",C268+1)</f>
        <v>254</v>
      </c>
      <c r="D269" s="251">
        <f>IF(C269="","",EOMONTH(D268,1))</f>
        <v>51591</v>
      </c>
      <c r="E269" s="250" t="str">
        <f>IF(C269="","",$M$11)</f>
        <v>360</v>
      </c>
      <c r="F269" s="14">
        <f>IF(C269="","",IF($M$12="Actual",D269-D268,30))</f>
        <v>31</v>
      </c>
      <c r="G269" s="24">
        <f>IF(B269="","",L268)</f>
        <v>11626256.984051263</v>
      </c>
      <c r="H269" s="24">
        <f>IF(B269="","",(C269&lt;=$I$10)*I269+(C269&gt;$I$10)*PMT($I$7/(E269/F269),$I$8+$I$10-C268,-G269))</f>
        <v>135830.02281419531</v>
      </c>
      <c r="I269" s="24">
        <f>IF(B269="","",G269*$I$7/E269*F269)</f>
        <v>50057.495347998498</v>
      </c>
      <c r="J269" s="24">
        <f>IF(B269="","",H269-I269)</f>
        <v>85772.527466196814</v>
      </c>
      <c r="K269" s="24">
        <f>IF(B269="","",(C269=$I$9)*(G269-J269))</f>
        <v>0</v>
      </c>
      <c r="L269" s="24">
        <f>IF(B269="","",G269-J269-K269)</f>
        <v>11540484.456585066</v>
      </c>
      <c r="M269" s="24">
        <f>IF(B269="","",I269+J269+K269)</f>
        <v>135830.02281419531</v>
      </c>
    </row>
    <row r="270" spans="2:13" x14ac:dyDescent="0.2">
      <c r="B270" s="22">
        <f>IF(C270="","",ROUNDUP(C270/12,0))</f>
        <v>22</v>
      </c>
      <c r="C270" s="21">
        <f>IF(OR(C269="",C269&gt;=$I$9),"",C269+1)</f>
        <v>255</v>
      </c>
      <c r="D270" s="251">
        <f>IF(C270="","",EOMONTH(D269,1))</f>
        <v>51621</v>
      </c>
      <c r="E270" s="250" t="str">
        <f>IF(C270="","",$M$11)</f>
        <v>360</v>
      </c>
      <c r="F270" s="14">
        <f>IF(C270="","",IF($M$12="Actual",D270-D269,30))</f>
        <v>30</v>
      </c>
      <c r="G270" s="24">
        <f>IF(B270="","",L269)</f>
        <v>11540484.456585066</v>
      </c>
      <c r="H270" s="24">
        <f>IF(B270="","",(C270&lt;=$I$10)*I270+(C270&gt;$I$10)*PMT($I$7/(E270/F270),$I$8+$I$10-C269,-G270))</f>
        <v>134902.27072122251</v>
      </c>
      <c r="I270" s="24">
        <f>IF(B270="","",G270*$I$7/E270*F270)</f>
        <v>48085.351902437775</v>
      </c>
      <c r="J270" s="24">
        <f>IF(B270="","",H270-I270)</f>
        <v>86816.918818784732</v>
      </c>
      <c r="K270" s="24">
        <f>IF(B270="","",(C270=$I$9)*(G270-J270))</f>
        <v>0</v>
      </c>
      <c r="L270" s="24">
        <f>IF(B270="","",G270-J270-K270)</f>
        <v>11453667.537766282</v>
      </c>
      <c r="M270" s="24">
        <f>IF(B270="","",I270+J270+K270)</f>
        <v>134902.27072122251</v>
      </c>
    </row>
    <row r="271" spans="2:13" x14ac:dyDescent="0.2">
      <c r="B271" s="22">
        <f>IF(C271="","",ROUNDUP(C271/12,0))</f>
        <v>22</v>
      </c>
      <c r="C271" s="21">
        <f>IF(OR(C270="",C270&gt;=$I$9),"",C270+1)</f>
        <v>256</v>
      </c>
      <c r="D271" s="251">
        <f>IF(C271="","",EOMONTH(D270,1))</f>
        <v>51652</v>
      </c>
      <c r="E271" s="250" t="str">
        <f>IF(C271="","",$M$11)</f>
        <v>360</v>
      </c>
      <c r="F271" s="14">
        <f>IF(C271="","",IF($M$12="Actual",D271-D270,30))</f>
        <v>31</v>
      </c>
      <c r="G271" s="24">
        <f>IF(B271="","",L270)</f>
        <v>11453667.537766282</v>
      </c>
      <c r="H271" s="24">
        <f>IF(B271="","",(C271&lt;=$I$10)*I271+(C271&gt;$I$10)*PMT($I$7/(E271/F271),$I$8+$I$10-C270,-G271))</f>
        <v>135822.01730078147</v>
      </c>
      <c r="I271" s="24">
        <f>IF(B271="","",G271*$I$7/E271*F271)</f>
        <v>49314.401898715943</v>
      </c>
      <c r="J271" s="24">
        <f>IF(B271="","",H271-I271)</f>
        <v>86507.615402065538</v>
      </c>
      <c r="K271" s="24">
        <f>IF(B271="","",(C271=$I$9)*(G271-J271))</f>
        <v>0</v>
      </c>
      <c r="L271" s="24">
        <f>IF(B271="","",G271-J271-K271)</f>
        <v>11367159.922364216</v>
      </c>
      <c r="M271" s="24">
        <f>IF(B271="","",I271+J271+K271)</f>
        <v>135822.01730078147</v>
      </c>
    </row>
    <row r="272" spans="2:13" x14ac:dyDescent="0.2">
      <c r="B272" s="22">
        <f>IF(C272="","",ROUNDUP(C272/12,0))</f>
        <v>22</v>
      </c>
      <c r="C272" s="21">
        <f>IF(OR(C271="",C271&gt;=$I$9),"",C271+1)</f>
        <v>257</v>
      </c>
      <c r="D272" s="251">
        <f>IF(C272="","",EOMONTH(D271,1))</f>
        <v>51682</v>
      </c>
      <c r="E272" s="250" t="str">
        <f>IF(C272="","",$M$11)</f>
        <v>360</v>
      </c>
      <c r="F272" s="14">
        <f>IF(C272="","",IF($M$12="Actual",D272-D271,30))</f>
        <v>30</v>
      </c>
      <c r="G272" s="24">
        <f>IF(B272="","",L271)</f>
        <v>11367159.922364216</v>
      </c>
      <c r="H272" s="24">
        <f>IF(B272="","",(C272&lt;=$I$10)*I272+(C272&gt;$I$10)*PMT($I$7/(E272/F272),$I$8+$I$10-C271,-G272))</f>
        <v>134910.23491304312</v>
      </c>
      <c r="I272" s="24">
        <f>IF(B272="","",G272*$I$7/E272*F272)</f>
        <v>47363.166343184239</v>
      </c>
      <c r="J272" s="24">
        <f>IF(B272="","",H272-I272)</f>
        <v>87547.068569858879</v>
      </c>
      <c r="K272" s="24">
        <f>IF(B272="","",(C272=$I$9)*(G272-J272))</f>
        <v>0</v>
      </c>
      <c r="L272" s="24">
        <f>IF(B272="","",G272-J272-K272)</f>
        <v>11279612.853794357</v>
      </c>
      <c r="M272" s="24">
        <f>IF(B272="","",I272+J272+K272)</f>
        <v>134910.23491304312</v>
      </c>
    </row>
    <row r="273" spans="2:13" x14ac:dyDescent="0.2">
      <c r="B273" s="22">
        <f>IF(C273="","",ROUNDUP(C273/12,0))</f>
        <v>22</v>
      </c>
      <c r="C273" s="21">
        <f>IF(OR(C272="",C272&gt;=$I$9),"",C272+1)</f>
        <v>258</v>
      </c>
      <c r="D273" s="251">
        <f>IF(C273="","",EOMONTH(D272,1))</f>
        <v>51713</v>
      </c>
      <c r="E273" s="250" t="str">
        <f>IF(C273="","",$M$11)</f>
        <v>360</v>
      </c>
      <c r="F273" s="14">
        <f>IF(C273="","",IF($M$12="Actual",D273-D272,30))</f>
        <v>31</v>
      </c>
      <c r="G273" s="24">
        <f>IF(B273="","",L272)</f>
        <v>11279612.853794357</v>
      </c>
      <c r="H273" s="24">
        <f>IF(B273="","",(C273&lt;=$I$10)*I273+(C273&gt;$I$10)*PMT($I$7/(E273/F273),$I$8+$I$10-C272,-G273))</f>
        <v>135813.98630291352</v>
      </c>
      <c r="I273" s="24">
        <f>IF(B273="","",G273*$I$7/E273*F273)</f>
        <v>48564.999787170149</v>
      </c>
      <c r="J273" s="24">
        <f>IF(B273="","",H273-I273)</f>
        <v>87248.986515743367</v>
      </c>
      <c r="K273" s="24">
        <f>IF(B273="","",(C273=$I$9)*(G273-J273))</f>
        <v>0</v>
      </c>
      <c r="L273" s="24">
        <f>IF(B273="","",G273-J273-K273)</f>
        <v>11192363.867278613</v>
      </c>
      <c r="M273" s="24">
        <f>IF(B273="","",I273+J273+K273)</f>
        <v>135813.98630291352</v>
      </c>
    </row>
    <row r="274" spans="2:13" x14ac:dyDescent="0.2">
      <c r="B274" s="22">
        <f>IF(C274="","",ROUNDUP(C274/12,0))</f>
        <v>22</v>
      </c>
      <c r="C274" s="21">
        <f>IF(OR(C273="",C273&gt;=$I$9),"",C273+1)</f>
        <v>259</v>
      </c>
      <c r="D274" s="251">
        <f>IF(C274="","",EOMONTH(D273,1))</f>
        <v>51744</v>
      </c>
      <c r="E274" s="250" t="str">
        <f>IF(C274="","",$M$11)</f>
        <v>360</v>
      </c>
      <c r="F274" s="14">
        <f>IF(C274="","",IF($M$12="Actual",D274-D273,30))</f>
        <v>31</v>
      </c>
      <c r="G274" s="24">
        <f>IF(B274="","",L273)</f>
        <v>11192363.867278613</v>
      </c>
      <c r="H274" s="24">
        <f>IF(B274="","",(C274&lt;=$I$10)*I274+(C274&gt;$I$10)*PMT($I$7/(E274/F274),$I$8+$I$10-C273,-G274))</f>
        <v>135813.98630291352</v>
      </c>
      <c r="I274" s="24">
        <f>IF(B274="","",G274*$I$7/E274*F274)</f>
        <v>48189.344428560697</v>
      </c>
      <c r="J274" s="24">
        <f>IF(B274="","",H274-I274)</f>
        <v>87624.641874352819</v>
      </c>
      <c r="K274" s="24">
        <f>IF(B274="","",(C274=$I$9)*(G274-J274))</f>
        <v>0</v>
      </c>
      <c r="L274" s="24">
        <f>IF(B274="","",G274-J274-K274)</f>
        <v>11104739.225404261</v>
      </c>
      <c r="M274" s="24">
        <f>IF(B274="","",I274+J274+K274)</f>
        <v>135813.98630291352</v>
      </c>
    </row>
    <row r="275" spans="2:13" x14ac:dyDescent="0.2">
      <c r="B275" s="22">
        <f>IF(C275="","",ROUNDUP(C275/12,0))</f>
        <v>22</v>
      </c>
      <c r="C275" s="21">
        <f>IF(OR(C274="",C274&gt;=$I$9),"",C274+1)</f>
        <v>260</v>
      </c>
      <c r="D275" s="251">
        <f>IF(C275="","",EOMONTH(D274,1))</f>
        <v>51774</v>
      </c>
      <c r="E275" s="250" t="str">
        <f>IF(C275="","",$M$11)</f>
        <v>360</v>
      </c>
      <c r="F275" s="14">
        <f>IF(C275="","",IF($M$12="Actual",D275-D274,30))</f>
        <v>30</v>
      </c>
      <c r="G275" s="24">
        <f>IF(B275="","",L274)</f>
        <v>11104739.225404261</v>
      </c>
      <c r="H275" s="24">
        <f>IF(B275="","",(C275&lt;=$I$10)*I275+(C275&gt;$I$10)*PMT($I$7/(E275/F275),$I$8+$I$10-C274,-G275))</f>
        <v>134926.22920474192</v>
      </c>
      <c r="I275" s="24">
        <f>IF(B275="","",G275*$I$7/E275*F275)</f>
        <v>46269.746772517748</v>
      </c>
      <c r="J275" s="24">
        <f>IF(B275="","",H275-I275)</f>
        <v>88656.482432224177</v>
      </c>
      <c r="K275" s="24">
        <f>IF(B275="","",(C275=$I$9)*(G275-J275))</f>
        <v>0</v>
      </c>
      <c r="L275" s="24">
        <f>IF(B275="","",G275-J275-K275)</f>
        <v>11016082.742972037</v>
      </c>
      <c r="M275" s="24">
        <f>IF(B275="","",I275+J275+K275)</f>
        <v>134926.22920474192</v>
      </c>
    </row>
    <row r="276" spans="2:13" x14ac:dyDescent="0.2">
      <c r="B276" s="22">
        <f>IF(C276="","",ROUNDUP(C276/12,0))</f>
        <v>22</v>
      </c>
      <c r="C276" s="21">
        <f>IF(OR(C275="",C275&gt;=$I$9),"",C275+1)</f>
        <v>261</v>
      </c>
      <c r="D276" s="251">
        <f>IF(C276="","",EOMONTH(D275,1))</f>
        <v>51805</v>
      </c>
      <c r="E276" s="250" t="str">
        <f>IF(C276="","",$M$11)</f>
        <v>360</v>
      </c>
      <c r="F276" s="14">
        <f>IF(C276="","",IF($M$12="Actual",D276-D275,30))</f>
        <v>31</v>
      </c>
      <c r="G276" s="24">
        <f>IF(B276="","",L275)</f>
        <v>11016082.742972037</v>
      </c>
      <c r="H276" s="24">
        <f>IF(B276="","",(C276&lt;=$I$10)*I276+(C276&gt;$I$10)*PMT($I$7/(E276/F276),$I$8+$I$10-C275,-G276))</f>
        <v>135805.91681201669</v>
      </c>
      <c r="I276" s="24">
        <f>IF(B276="","",G276*$I$7/E276*F276)</f>
        <v>47430.356254462931</v>
      </c>
      <c r="J276" s="24">
        <f>IF(B276="","",H276-I276)</f>
        <v>88375.560557553748</v>
      </c>
      <c r="K276" s="24">
        <f>IF(B276="","",(C276=$I$9)*(G276-J276))</f>
        <v>0</v>
      </c>
      <c r="L276" s="24">
        <f>IF(B276="","",G276-J276-K276)</f>
        <v>10927707.182414483</v>
      </c>
      <c r="M276" s="24">
        <f>IF(B276="","",I276+J276+K276)</f>
        <v>135805.91681201669</v>
      </c>
    </row>
    <row r="277" spans="2:13" x14ac:dyDescent="0.2">
      <c r="B277" s="22">
        <f>IF(C277="","",ROUNDUP(C277/12,0))</f>
        <v>22</v>
      </c>
      <c r="C277" s="21">
        <f>IF(OR(C276="",C276&gt;=$I$9),"",C276+1)</f>
        <v>262</v>
      </c>
      <c r="D277" s="251">
        <f>IF(C277="","",EOMONTH(D276,1))</f>
        <v>51835</v>
      </c>
      <c r="E277" s="250" t="str">
        <f>IF(C277="","",$M$11)</f>
        <v>360</v>
      </c>
      <c r="F277" s="14">
        <f>IF(C277="","",IF($M$12="Actual",D277-D276,30))</f>
        <v>30</v>
      </c>
      <c r="G277" s="24">
        <f>IF(B277="","",L276)</f>
        <v>10927707.182414483</v>
      </c>
      <c r="H277" s="24">
        <f>IF(B277="","",(C277&lt;=$I$10)*I277+(C277&gt;$I$10)*PMT($I$7/(E277/F277),$I$8+$I$10-C276,-G277))</f>
        <v>134934.25934045683</v>
      </c>
      <c r="I277" s="24">
        <f>IF(B277="","",G277*$I$7/E277*F277)</f>
        <v>45532.113260060345</v>
      </c>
      <c r="J277" s="24">
        <f>IF(B277="","",H277-I277)</f>
        <v>89402.146080396487</v>
      </c>
      <c r="K277" s="24">
        <f>IF(B277="","",(C277=$I$9)*(G277-J277))</f>
        <v>0</v>
      </c>
      <c r="L277" s="24">
        <f>IF(B277="","",G277-J277-K277)</f>
        <v>10838305.036334086</v>
      </c>
      <c r="M277" s="24">
        <f>IF(B277="","",I277+J277+K277)</f>
        <v>134934.25934045683</v>
      </c>
    </row>
    <row r="278" spans="2:13" x14ac:dyDescent="0.2">
      <c r="B278" s="22">
        <f>IF(C278="","",ROUNDUP(C278/12,0))</f>
        <v>22</v>
      </c>
      <c r="C278" s="21">
        <f>IF(OR(C277="",C277&gt;=$I$9),"",C277+1)</f>
        <v>263</v>
      </c>
      <c r="D278" s="251">
        <f>IF(C278="","",EOMONTH(D277,1))</f>
        <v>51866</v>
      </c>
      <c r="E278" s="250" t="str">
        <f>IF(C278="","",$M$11)</f>
        <v>360</v>
      </c>
      <c r="F278" s="14">
        <f>IF(C278="","",IF($M$12="Actual",D278-D277,30))</f>
        <v>31</v>
      </c>
      <c r="G278" s="24">
        <f>IF(B278="","",L277)</f>
        <v>10838305.036334086</v>
      </c>
      <c r="H278" s="24">
        <f>IF(B278="","",(C278&lt;=$I$10)*I278+(C278&gt;$I$10)*PMT($I$7/(E278/F278),$I$8+$I$10-C277,-G278))</f>
        <v>135797.821800192</v>
      </c>
      <c r="I278" s="24">
        <f>IF(B278="","",G278*$I$7/E278*F278)</f>
        <v>46664.924461993978</v>
      </c>
      <c r="J278" s="24">
        <f>IF(B278="","",H278-I278)</f>
        <v>89132.897338198032</v>
      </c>
      <c r="K278" s="24">
        <f>IF(B278="","",(C278=$I$9)*(G278-J278))</f>
        <v>0</v>
      </c>
      <c r="L278" s="24">
        <f>IF(B278="","",G278-J278-K278)</f>
        <v>10749172.138995888</v>
      </c>
      <c r="M278" s="24">
        <f>IF(B278="","",I278+J278+K278)</f>
        <v>135797.821800192</v>
      </c>
    </row>
    <row r="279" spans="2:13" x14ac:dyDescent="0.2">
      <c r="B279" s="22">
        <f>IF(C279="","",ROUNDUP(C279/12,0))</f>
        <v>22</v>
      </c>
      <c r="C279" s="21">
        <f>IF(OR(C278="",C278&gt;=$I$9),"",C278+1)</f>
        <v>264</v>
      </c>
      <c r="D279" s="251">
        <f>IF(C279="","",EOMONTH(D278,1))</f>
        <v>51897</v>
      </c>
      <c r="E279" s="250" t="str">
        <f>IF(C279="","",$M$11)</f>
        <v>360</v>
      </c>
      <c r="F279" s="14">
        <f>IF(C279="","",IF($M$12="Actual",D279-D278,30))</f>
        <v>31</v>
      </c>
      <c r="G279" s="24">
        <f>IF(B279="","",L278)</f>
        <v>10749172.138995888</v>
      </c>
      <c r="H279" s="24">
        <f>IF(B279="","",(C279&lt;=$I$10)*I279+(C279&gt;$I$10)*PMT($I$7/(E279/F279),$I$8+$I$10-C278,-G279))</f>
        <v>135797.821800192</v>
      </c>
      <c r="I279" s="24">
        <f>IF(B279="","",G279*$I$7/E279*F279)</f>
        <v>46281.157820676744</v>
      </c>
      <c r="J279" s="24">
        <f>IF(B279="","",H279-I279)</f>
        <v>89516.663979515259</v>
      </c>
      <c r="K279" s="24">
        <f>IF(B279="","",(C279=$I$9)*(G279-J279))</f>
        <v>0</v>
      </c>
      <c r="L279" s="24">
        <f>IF(B279="","",G279-J279-K279)</f>
        <v>10659655.475016372</v>
      </c>
      <c r="M279" s="24">
        <f>IF(B279="","",I279+J279+K279)</f>
        <v>135797.821800192</v>
      </c>
    </row>
    <row r="280" spans="2:13" x14ac:dyDescent="0.2">
      <c r="B280" s="22">
        <f>IF(C280="","",ROUNDUP(C280/12,0))</f>
        <v>23</v>
      </c>
      <c r="C280" s="21">
        <f>IF(OR(C279="",C279&gt;=$I$9),"",C279+1)</f>
        <v>265</v>
      </c>
      <c r="D280" s="251">
        <f>IF(C280="","",EOMONTH(D279,1))</f>
        <v>51925</v>
      </c>
      <c r="E280" s="250" t="str">
        <f>IF(C280="","",$M$11)</f>
        <v>360</v>
      </c>
      <c r="F280" s="14">
        <f>IF(C280="","",IF($M$12="Actual",D280-D279,30))</f>
        <v>28</v>
      </c>
      <c r="G280" s="24">
        <f>IF(B280="","",L279)</f>
        <v>10659655.475016372</v>
      </c>
      <c r="H280" s="24">
        <f>IF(B280="","",(C280&lt;=$I$10)*I280+(C280&gt;$I$10)*PMT($I$7/(E280/F280),$I$8+$I$10-C279,-G280))</f>
        <v>133265.17022264024</v>
      </c>
      <c r="I280" s="24">
        <f>IF(B280="","",G280*$I$7/E280*F280)</f>
        <v>41454.215736174789</v>
      </c>
      <c r="J280" s="24">
        <f>IF(B280="","",H280-I280)</f>
        <v>91810.95448646546</v>
      </c>
      <c r="K280" s="24">
        <f>IF(B280="","",(C280=$I$9)*(G280-J280))</f>
        <v>0</v>
      </c>
      <c r="L280" s="24">
        <f>IF(B280="","",G280-J280-K280)</f>
        <v>10567844.520529907</v>
      </c>
      <c r="M280" s="24">
        <f>IF(B280="","",I280+J280+K280)</f>
        <v>133265.17022264024</v>
      </c>
    </row>
    <row r="281" spans="2:13" x14ac:dyDescent="0.2">
      <c r="B281" s="22">
        <f>IF(C281="","",ROUNDUP(C281/12,0))</f>
        <v>23</v>
      </c>
      <c r="C281" s="21">
        <f>IF(OR(C280="",C280&gt;=$I$9),"",C280+1)</f>
        <v>266</v>
      </c>
      <c r="D281" s="251">
        <f>IF(C281="","",EOMONTH(D280,1))</f>
        <v>51956</v>
      </c>
      <c r="E281" s="250" t="str">
        <f>IF(C281="","",$M$11)</f>
        <v>360</v>
      </c>
      <c r="F281" s="14">
        <f>IF(C281="","",IF($M$12="Actual",D281-D280,30))</f>
        <v>31</v>
      </c>
      <c r="G281" s="24">
        <f>IF(B281="","",L280)</f>
        <v>10567844.520529907</v>
      </c>
      <c r="H281" s="24">
        <f>IF(B281="","",(C281&lt;=$I$10)*I281+(C281&gt;$I$10)*PMT($I$7/(E281/F281),$I$8+$I$10-C280,-G281))</f>
        <v>135773.29704666077</v>
      </c>
      <c r="I281" s="24">
        <f>IF(B281="","",G281*$I$7/E281*F281)</f>
        <v>45500.441685614875</v>
      </c>
      <c r="J281" s="24">
        <f>IF(B281="","",H281-I281)</f>
        <v>90272.855361045891</v>
      </c>
      <c r="K281" s="24">
        <f>IF(B281="","",(C281=$I$9)*(G281-J281))</f>
        <v>0</v>
      </c>
      <c r="L281" s="24">
        <f>IF(B281="","",G281-J281-K281)</f>
        <v>10477571.665168861</v>
      </c>
      <c r="M281" s="24">
        <f>IF(B281="","",I281+J281+K281)</f>
        <v>135773.29704666077</v>
      </c>
    </row>
    <row r="282" spans="2:13" x14ac:dyDescent="0.2">
      <c r="B282" s="22">
        <f>IF(C282="","",ROUNDUP(C282/12,0))</f>
        <v>23</v>
      </c>
      <c r="C282" s="21">
        <f>IF(OR(C281="",C281&gt;=$I$9),"",C281+1)</f>
        <v>267</v>
      </c>
      <c r="D282" s="251">
        <f>IF(C282="","",EOMONTH(D281,1))</f>
        <v>51986</v>
      </c>
      <c r="E282" s="250" t="str">
        <f>IF(C282="","",$M$11)</f>
        <v>360</v>
      </c>
      <c r="F282" s="14">
        <f>IF(C282="","",IF($M$12="Actual",D282-D281,30))</f>
        <v>30</v>
      </c>
      <c r="G282" s="24">
        <f>IF(B282="","",L281)</f>
        <v>10477571.665168861</v>
      </c>
      <c r="H282" s="24">
        <f>IF(B282="","",(C282&lt;=$I$10)*I282+(C282&gt;$I$10)*PMT($I$7/(E282/F282),$I$8+$I$10-C281,-G282))</f>
        <v>134942.19104259551</v>
      </c>
      <c r="I282" s="24">
        <f>IF(B282="","",G282*$I$7/E282*F282)</f>
        <v>43656.548604870259</v>
      </c>
      <c r="J282" s="24">
        <f>IF(B282="","",H282-I282)</f>
        <v>91285.642437725255</v>
      </c>
      <c r="K282" s="24">
        <f>IF(B282="","",(C282=$I$9)*(G282-J282))</f>
        <v>0</v>
      </c>
      <c r="L282" s="24">
        <f>IF(B282="","",G282-J282-K282)</f>
        <v>10386286.022731137</v>
      </c>
      <c r="M282" s="24">
        <f>IF(B282="","",I282+J282+K282)</f>
        <v>134942.19104259551</v>
      </c>
    </row>
    <row r="283" spans="2:13" x14ac:dyDescent="0.2">
      <c r="B283" s="22">
        <f>IF(C283="","",ROUNDUP(C283/12,0))</f>
        <v>23</v>
      </c>
      <c r="C283" s="21">
        <f>IF(OR(C282="",C282&gt;=$I$9),"",C282+1)</f>
        <v>268</v>
      </c>
      <c r="D283" s="251">
        <f>IF(C283="","",EOMONTH(D282,1))</f>
        <v>52017</v>
      </c>
      <c r="E283" s="250" t="str">
        <f>IF(C283="","",$M$11)</f>
        <v>360</v>
      </c>
      <c r="F283" s="14">
        <f>IF(C283="","",IF($M$12="Actual",D283-D282,30))</f>
        <v>31</v>
      </c>
      <c r="G283" s="24">
        <f>IF(B283="","",L282)</f>
        <v>10386286.022731137</v>
      </c>
      <c r="H283" s="24">
        <f>IF(B283="","",(C283&lt;=$I$10)*I283+(C283&gt;$I$10)*PMT($I$7/(E283/F283),$I$8+$I$10-C282,-G283))</f>
        <v>135765.13891481436</v>
      </c>
      <c r="I283" s="24">
        <f>IF(B283="","",G283*$I$7/E283*F283)</f>
        <v>44718.731486759061</v>
      </c>
      <c r="J283" s="24">
        <f>IF(B283="","",H283-I283)</f>
        <v>91046.407428055303</v>
      </c>
      <c r="K283" s="24">
        <f>IF(B283="","",(C283=$I$9)*(G283-J283))</f>
        <v>0</v>
      </c>
      <c r="L283" s="24">
        <f>IF(B283="","",G283-J283-K283)</f>
        <v>10295239.615303081</v>
      </c>
      <c r="M283" s="24">
        <f>IF(B283="","",I283+J283+K283)</f>
        <v>135765.13891481436</v>
      </c>
    </row>
    <row r="284" spans="2:13" x14ac:dyDescent="0.2">
      <c r="B284" s="22">
        <f>IF(C284="","",ROUNDUP(C284/12,0))</f>
        <v>23</v>
      </c>
      <c r="C284" s="21">
        <f>IF(OR(C283="",C283&gt;=$I$9),"",C283+1)</f>
        <v>269</v>
      </c>
      <c r="D284" s="251">
        <f>IF(C284="","",EOMONTH(D283,1))</f>
        <v>52047</v>
      </c>
      <c r="E284" s="250" t="str">
        <f>IF(C284="","",$M$11)</f>
        <v>360</v>
      </c>
      <c r="F284" s="14">
        <f>IF(C284="","",IF($M$12="Actual",D284-D283,30))</f>
        <v>30</v>
      </c>
      <c r="G284" s="24">
        <f>IF(B284="","",L283)</f>
        <v>10295239.615303081</v>
      </c>
      <c r="H284" s="24">
        <f>IF(B284="","",(C284&lt;=$I$10)*I284+(C284&gt;$I$10)*PMT($I$7/(E284/F284),$I$8+$I$10-C283,-G284))</f>
        <v>134950.31267137124</v>
      </c>
      <c r="I284" s="24">
        <f>IF(B284="","",G284*$I$7/E284*F284)</f>
        <v>42896.831730429505</v>
      </c>
      <c r="J284" s="24">
        <f>IF(B284="","",H284-I284)</f>
        <v>92053.480940941736</v>
      </c>
      <c r="K284" s="24">
        <f>IF(B284="","",(C284=$I$9)*(G284-J284))</f>
        <v>0</v>
      </c>
      <c r="L284" s="24">
        <f>IF(B284="","",G284-J284-K284)</f>
        <v>10203186.134362139</v>
      </c>
      <c r="M284" s="24">
        <f>IF(B284="","",I284+J284+K284)</f>
        <v>134950.31267137124</v>
      </c>
    </row>
    <row r="285" spans="2:13" x14ac:dyDescent="0.2">
      <c r="B285" s="22">
        <f>IF(C285="","",ROUNDUP(C285/12,0))</f>
        <v>23</v>
      </c>
      <c r="C285" s="21">
        <f>IF(OR(C284="",C284&gt;=$I$9),"",C284+1)</f>
        <v>270</v>
      </c>
      <c r="D285" s="251">
        <f>IF(C285="","",EOMONTH(D284,1))</f>
        <v>52078</v>
      </c>
      <c r="E285" s="250" t="str">
        <f>IF(C285="","",$M$11)</f>
        <v>360</v>
      </c>
      <c r="F285" s="14">
        <f>IF(C285="","",IF($M$12="Actual",D285-D284,30))</f>
        <v>31</v>
      </c>
      <c r="G285" s="24">
        <f>IF(B285="","",L284)</f>
        <v>10203186.134362139</v>
      </c>
      <c r="H285" s="24">
        <f>IF(B285="","",(C285&lt;=$I$10)*I285+(C285&gt;$I$10)*PMT($I$7/(E285/F285),$I$8+$I$10-C284,-G285))</f>
        <v>135756.95521828404</v>
      </c>
      <c r="I285" s="24">
        <f>IF(B285="","",G285*$I$7/E285*F285)</f>
        <v>43930.384745170326</v>
      </c>
      <c r="J285" s="24">
        <f>IF(B285="","",H285-I285)</f>
        <v>91826.570473113708</v>
      </c>
      <c r="K285" s="24">
        <f>IF(B285="","",(C285=$I$9)*(G285-J285))</f>
        <v>0</v>
      </c>
      <c r="L285" s="24">
        <f>IF(B285="","",G285-J285-K285)</f>
        <v>10111359.563889025</v>
      </c>
      <c r="M285" s="24">
        <f>IF(B285="","",I285+J285+K285)</f>
        <v>135756.95521828404</v>
      </c>
    </row>
    <row r="286" spans="2:13" x14ac:dyDescent="0.2">
      <c r="B286" s="22">
        <f>IF(C286="","",ROUNDUP(C286/12,0))</f>
        <v>23</v>
      </c>
      <c r="C286" s="21">
        <f>IF(OR(C285="",C285&gt;=$I$9),"",C285+1)</f>
        <v>271</v>
      </c>
      <c r="D286" s="251">
        <f>IF(C286="","",EOMONTH(D285,1))</f>
        <v>52109</v>
      </c>
      <c r="E286" s="250" t="str">
        <f>IF(C286="","",$M$11)</f>
        <v>360</v>
      </c>
      <c r="F286" s="14">
        <f>IF(C286="","",IF($M$12="Actual",D286-D285,30))</f>
        <v>31</v>
      </c>
      <c r="G286" s="24">
        <f>IF(B286="","",L285)</f>
        <v>10111359.563889025</v>
      </c>
      <c r="H286" s="24">
        <f>IF(B286="","",(C286&lt;=$I$10)*I286+(C286&gt;$I$10)*PMT($I$7/(E286/F286),$I$8+$I$10-C285,-G286))</f>
        <v>135756.95521828404</v>
      </c>
      <c r="I286" s="24">
        <f>IF(B286="","",G286*$I$7/E286*F286)</f>
        <v>43535.020344522192</v>
      </c>
      <c r="J286" s="24">
        <f>IF(B286="","",H286-I286)</f>
        <v>92221.934873761842</v>
      </c>
      <c r="K286" s="24">
        <f>IF(B286="","",(C286=$I$9)*(G286-J286))</f>
        <v>0</v>
      </c>
      <c r="L286" s="24">
        <f>IF(B286="","",G286-J286-K286)</f>
        <v>10019137.629015263</v>
      </c>
      <c r="M286" s="24">
        <f>IF(B286="","",I286+J286+K286)</f>
        <v>135756.95521828404</v>
      </c>
    </row>
    <row r="287" spans="2:13" x14ac:dyDescent="0.2">
      <c r="B287" s="22">
        <f>IF(C287="","",ROUNDUP(C287/12,0))</f>
        <v>23</v>
      </c>
      <c r="C287" s="21">
        <f>IF(OR(C286="",C286&gt;=$I$9),"",C286+1)</f>
        <v>272</v>
      </c>
      <c r="D287" s="251">
        <f>IF(C287="","",EOMONTH(D286,1))</f>
        <v>52139</v>
      </c>
      <c r="E287" s="250" t="str">
        <f>IF(C287="","",$M$11)</f>
        <v>360</v>
      </c>
      <c r="F287" s="14">
        <f>IF(C287="","",IF($M$12="Actual",D287-D286,30))</f>
        <v>30</v>
      </c>
      <c r="G287" s="24">
        <f>IF(B287="","",L286)</f>
        <v>10019137.629015263</v>
      </c>
      <c r="H287" s="24">
        <f>IF(B287="","",(C287&lt;=$I$10)*I287+(C287&gt;$I$10)*PMT($I$7/(E287/F287),$I$8+$I$10-C286,-G287))</f>
        <v>134966.622180873</v>
      </c>
      <c r="I287" s="24">
        <f>IF(B287="","",G287*$I$7/E287*F287)</f>
        <v>41746.406787563596</v>
      </c>
      <c r="J287" s="24">
        <f>IF(B287="","",H287-I287)</f>
        <v>93220.215393309409</v>
      </c>
      <c r="K287" s="24">
        <f>IF(B287="","",(C287=$I$9)*(G287-J287))</f>
        <v>0</v>
      </c>
      <c r="L287" s="24">
        <f>IF(B287="","",G287-J287-K287)</f>
        <v>9925917.4136219546</v>
      </c>
      <c r="M287" s="24">
        <f>IF(B287="","",I287+J287+K287)</f>
        <v>134966.622180873</v>
      </c>
    </row>
    <row r="288" spans="2:13" x14ac:dyDescent="0.2">
      <c r="B288" s="22">
        <f>IF(C288="","",ROUNDUP(C288/12,0))</f>
        <v>23</v>
      </c>
      <c r="C288" s="21">
        <f>IF(OR(C287="",C287&gt;=$I$9),"",C287+1)</f>
        <v>273</v>
      </c>
      <c r="D288" s="251">
        <f>IF(C288="","",EOMONTH(D287,1))</f>
        <v>52170</v>
      </c>
      <c r="E288" s="250" t="str">
        <f>IF(C288="","",$M$11)</f>
        <v>360</v>
      </c>
      <c r="F288" s="14">
        <f>IF(C288="","",IF($M$12="Actual",D288-D287,30))</f>
        <v>31</v>
      </c>
      <c r="G288" s="24">
        <f>IF(B288="","",L287)</f>
        <v>9925917.4136219546</v>
      </c>
      <c r="H288" s="24">
        <f>IF(B288="","",(C288&lt;=$I$10)*I288+(C288&gt;$I$10)*PMT($I$7/(E288/F288),$I$8+$I$10-C287,-G288))</f>
        <v>135748.73290333943</v>
      </c>
      <c r="I288" s="24">
        <f>IF(B288="","",G288*$I$7/E288*F288)</f>
        <v>42736.588864205638</v>
      </c>
      <c r="J288" s="24">
        <f>IF(B288="","",H288-I288)</f>
        <v>93012.144039133796</v>
      </c>
      <c r="K288" s="24">
        <f>IF(B288="","",(C288=$I$9)*(G288-J288))</f>
        <v>0</v>
      </c>
      <c r="L288" s="24">
        <f>IF(B288="","",G288-J288-K288)</f>
        <v>9832905.2695828211</v>
      </c>
      <c r="M288" s="24">
        <f>IF(B288="","",I288+J288+K288)</f>
        <v>135748.73290333943</v>
      </c>
    </row>
    <row r="289" spans="2:13" x14ac:dyDescent="0.2">
      <c r="B289" s="22">
        <f>IF(C289="","",ROUNDUP(C289/12,0))</f>
        <v>23</v>
      </c>
      <c r="C289" s="21">
        <f>IF(OR(C288="",C288&gt;=$I$9),"",C288+1)</f>
        <v>274</v>
      </c>
      <c r="D289" s="251">
        <f>IF(C289="","",EOMONTH(D288,1))</f>
        <v>52200</v>
      </c>
      <c r="E289" s="250" t="str">
        <f>IF(C289="","",$M$11)</f>
        <v>360</v>
      </c>
      <c r="F289" s="14">
        <f>IF(C289="","",IF($M$12="Actual",D289-D288,30))</f>
        <v>30</v>
      </c>
      <c r="G289" s="24">
        <f>IF(B289="","",L288)</f>
        <v>9832905.2695828211</v>
      </c>
      <c r="H289" s="24">
        <f>IF(B289="","",(C289&lt;=$I$10)*I289+(C289&gt;$I$10)*PMT($I$7/(E289/F289),$I$8+$I$10-C288,-G289))</f>
        <v>134974.81009444137</v>
      </c>
      <c r="I289" s="24">
        <f>IF(B289="","",G289*$I$7/E289*F289)</f>
        <v>40970.438623261754</v>
      </c>
      <c r="J289" s="24">
        <f>IF(B289="","",H289-I289)</f>
        <v>94004.37147117962</v>
      </c>
      <c r="K289" s="24">
        <f>IF(B289="","",(C289=$I$9)*(G289-J289))</f>
        <v>0</v>
      </c>
      <c r="L289" s="24">
        <f>IF(B289="","",G289-J289-K289)</f>
        <v>9738900.8981116414</v>
      </c>
      <c r="M289" s="24">
        <f>IF(B289="","",I289+J289+K289)</f>
        <v>134974.81009444137</v>
      </c>
    </row>
    <row r="290" spans="2:13" x14ac:dyDescent="0.2">
      <c r="B290" s="22">
        <f>IF(C290="","",ROUNDUP(C290/12,0))</f>
        <v>23</v>
      </c>
      <c r="C290" s="21">
        <f>IF(OR(C289="",C289&gt;=$I$9),"",C289+1)</f>
        <v>275</v>
      </c>
      <c r="D290" s="251">
        <f>IF(C290="","",EOMONTH(D289,1))</f>
        <v>52231</v>
      </c>
      <c r="E290" s="250" t="str">
        <f>IF(C290="","",$M$11)</f>
        <v>360</v>
      </c>
      <c r="F290" s="14">
        <f>IF(C290="","",IF($M$12="Actual",D290-D289,30))</f>
        <v>31</v>
      </c>
      <c r="G290" s="24">
        <f>IF(B290="","",L289)</f>
        <v>9738900.8981116414</v>
      </c>
      <c r="H290" s="24">
        <f>IF(B290="","",(C290&lt;=$I$10)*I290+(C290&gt;$I$10)*PMT($I$7/(E290/F290),$I$8+$I$10-C289,-G290))</f>
        <v>135740.48499284967</v>
      </c>
      <c r="I290" s="24">
        <f>IF(B290="","",G290*$I$7/E290*F290)</f>
        <v>41931.378866869571</v>
      </c>
      <c r="J290" s="24">
        <f>IF(B290="","",H290-I290)</f>
        <v>93809.106125980092</v>
      </c>
      <c r="K290" s="24">
        <f>IF(B290="","",(C290=$I$9)*(G290-J290))</f>
        <v>0</v>
      </c>
      <c r="L290" s="24">
        <f>IF(B290="","",G290-J290-K290)</f>
        <v>9645091.7919856608</v>
      </c>
      <c r="M290" s="24">
        <f>IF(B290="","",I290+J290+K290)</f>
        <v>135740.48499284967</v>
      </c>
    </row>
    <row r="291" spans="2:13" x14ac:dyDescent="0.2">
      <c r="B291" s="22">
        <f>IF(C291="","",ROUNDUP(C291/12,0))</f>
        <v>23</v>
      </c>
      <c r="C291" s="21">
        <f>IF(OR(C290="",C290&gt;=$I$9),"",C290+1)</f>
        <v>276</v>
      </c>
      <c r="D291" s="251">
        <f>IF(C291="","",EOMONTH(D290,1))</f>
        <v>52262</v>
      </c>
      <c r="E291" s="250" t="str">
        <f>IF(C291="","",$M$11)</f>
        <v>360</v>
      </c>
      <c r="F291" s="14">
        <f>IF(C291="","",IF($M$12="Actual",D291-D290,30))</f>
        <v>31</v>
      </c>
      <c r="G291" s="24">
        <f>IF(B291="","",L290)</f>
        <v>9645091.7919856608</v>
      </c>
      <c r="H291" s="24">
        <f>IF(B291="","",(C291&lt;=$I$10)*I291+(C291&gt;$I$10)*PMT($I$7/(E291/F291),$I$8+$I$10-C290,-G291))</f>
        <v>135740.4849928497</v>
      </c>
      <c r="I291" s="24">
        <f>IF(B291="","",G291*$I$7/E291*F291)</f>
        <v>41527.478548827152</v>
      </c>
      <c r="J291" s="24">
        <f>IF(B291="","",H291-I291)</f>
        <v>94213.006444022554</v>
      </c>
      <c r="K291" s="24">
        <f>IF(B291="","",(C291=$I$9)*(G291-J291))</f>
        <v>0</v>
      </c>
      <c r="L291" s="24">
        <f>IF(B291="","",G291-J291-K291)</f>
        <v>9550878.7855416387</v>
      </c>
      <c r="M291" s="24">
        <f>IF(B291="","",I291+J291+K291)</f>
        <v>135740.4849928497</v>
      </c>
    </row>
    <row r="292" spans="2:13" x14ac:dyDescent="0.2">
      <c r="B292" s="22">
        <f>IF(C292="","",ROUNDUP(C292/12,0))</f>
        <v>24</v>
      </c>
      <c r="C292" s="21">
        <f>IF(OR(C291="",C291&gt;=$I$9),"",C291+1)</f>
        <v>277</v>
      </c>
      <c r="D292" s="251">
        <f>IF(C292="","",EOMONTH(D291,1))</f>
        <v>52290</v>
      </c>
      <c r="E292" s="250" t="str">
        <f>IF(C292="","",$M$11)</f>
        <v>360</v>
      </c>
      <c r="F292" s="14">
        <f>IF(C292="","",IF($M$12="Actual",D292-D291,30))</f>
        <v>28</v>
      </c>
      <c r="G292" s="24">
        <f>IF(B292="","",L291)</f>
        <v>9550878.7855416387</v>
      </c>
      <c r="H292" s="24">
        <f>IF(B292="","",(C292&lt;=$I$10)*I292+(C292&gt;$I$10)*PMT($I$7/(E292/F292),$I$8+$I$10-C291,-G292))</f>
        <v>133500.38513870665</v>
      </c>
      <c r="I292" s="24">
        <f>IF(B292="","",G292*$I$7/E292*F292)</f>
        <v>37142.30638821749</v>
      </c>
      <c r="J292" s="24">
        <f>IF(B292="","",H292-I292)</f>
        <v>96358.078750489163</v>
      </c>
      <c r="K292" s="24">
        <f>IF(B292="","",(C292=$I$9)*(G292-J292))</f>
        <v>0</v>
      </c>
      <c r="L292" s="24">
        <f>IF(B292="","",G292-J292-K292)</f>
        <v>9454520.7067911495</v>
      </c>
      <c r="M292" s="24">
        <f>IF(B292="","",I292+J292+K292)</f>
        <v>133500.38513870665</v>
      </c>
    </row>
    <row r="293" spans="2:13" x14ac:dyDescent="0.2">
      <c r="B293" s="22">
        <f>IF(C293="","",ROUNDUP(C293/12,0))</f>
        <v>24</v>
      </c>
      <c r="C293" s="21">
        <f>IF(OR(C292="",C292&gt;=$I$9),"",C292+1)</f>
        <v>278</v>
      </c>
      <c r="D293" s="251">
        <f>IF(C293="","",EOMONTH(D292,1))</f>
        <v>52321</v>
      </c>
      <c r="E293" s="250" t="str">
        <f>IF(C293="","",$M$11)</f>
        <v>360</v>
      </c>
      <c r="F293" s="14">
        <f>IF(C293="","",IF($M$12="Actual",D293-D292,30))</f>
        <v>31</v>
      </c>
      <c r="G293" s="24">
        <f>IF(B293="","",L292)</f>
        <v>9454520.7067911495</v>
      </c>
      <c r="H293" s="24">
        <f>IF(B293="","",(C293&lt;=$I$10)*I293+(C293&gt;$I$10)*PMT($I$7/(E293/F293),$I$8+$I$10-C292,-G293))</f>
        <v>135715.51619208697</v>
      </c>
      <c r="I293" s="24">
        <f>IF(B293="","",G293*$I$7/E293*F293)</f>
        <v>40706.964154239671</v>
      </c>
      <c r="J293" s="24">
        <f>IF(B293="","",H293-I293)</f>
        <v>95008.552037847301</v>
      </c>
      <c r="K293" s="24">
        <f>IF(B293="","",(C293=$I$9)*(G293-J293))</f>
        <v>0</v>
      </c>
      <c r="L293" s="24">
        <f>IF(B293="","",G293-J293-K293)</f>
        <v>9359512.1547533013</v>
      </c>
      <c r="M293" s="24">
        <f>IF(B293="","",I293+J293+K293)</f>
        <v>135715.51619208697</v>
      </c>
    </row>
    <row r="294" spans="2:13" x14ac:dyDescent="0.2">
      <c r="B294" s="22">
        <f>IF(C294="","",ROUNDUP(C294/12,0))</f>
        <v>24</v>
      </c>
      <c r="C294" s="21">
        <f>IF(OR(C293="",C293&gt;=$I$9),"",C293+1)</f>
        <v>279</v>
      </c>
      <c r="D294" s="251">
        <f>IF(C294="","",EOMONTH(D293,1))</f>
        <v>52351</v>
      </c>
      <c r="E294" s="250" t="str">
        <f>IF(C294="","",$M$11)</f>
        <v>360</v>
      </c>
      <c r="F294" s="14">
        <f>IF(C294="","",IF($M$12="Actual",D294-D293,30))</f>
        <v>30</v>
      </c>
      <c r="G294" s="24">
        <f>IF(B294="","",L293)</f>
        <v>9359512.1547533013</v>
      </c>
      <c r="H294" s="24">
        <f>IF(B294="","",(C294&lt;=$I$10)*I294+(C294&gt;$I$10)*PMT($I$7/(E294/F294),$I$8+$I$10-C293,-G294))</f>
        <v>134982.9144752612</v>
      </c>
      <c r="I294" s="24">
        <f>IF(B294="","",G294*$I$7/E294*F294)</f>
        <v>38997.967311472094</v>
      </c>
      <c r="J294" s="24">
        <f>IF(B294="","",H294-I294)</f>
        <v>95984.947163789111</v>
      </c>
      <c r="K294" s="24">
        <f>IF(B294="","",(C294=$I$9)*(G294-J294))</f>
        <v>0</v>
      </c>
      <c r="L294" s="24">
        <f>IF(B294="","",G294-J294-K294)</f>
        <v>9263527.2075895127</v>
      </c>
      <c r="M294" s="24">
        <f>IF(B294="","",I294+J294+K294)</f>
        <v>134982.9144752612</v>
      </c>
    </row>
    <row r="295" spans="2:13" x14ac:dyDescent="0.2">
      <c r="B295" s="22">
        <f>IF(C295="","",ROUNDUP(C295/12,0))</f>
        <v>24</v>
      </c>
      <c r="C295" s="21">
        <f>IF(OR(C294="",C294&gt;=$I$9),"",C294+1)</f>
        <v>280</v>
      </c>
      <c r="D295" s="251">
        <f>IF(C295="","",EOMONTH(D294,1))</f>
        <v>52382</v>
      </c>
      <c r="E295" s="250" t="str">
        <f>IF(C295="","",$M$11)</f>
        <v>360</v>
      </c>
      <c r="F295" s="14">
        <f>IF(C295="","",IF($M$12="Actual",D295-D294,30))</f>
        <v>31</v>
      </c>
      <c r="G295" s="24">
        <f>IF(B295="","",L294)</f>
        <v>9263527.2075895127</v>
      </c>
      <c r="H295" s="24">
        <f>IF(B295="","",(C295&lt;=$I$10)*I295+(C295&gt;$I$10)*PMT($I$7/(E295/F295),$I$8+$I$10-C294,-G295))</f>
        <v>135707.20501229583</v>
      </c>
      <c r="I295" s="24">
        <f>IF(B295="","",G295*$I$7/E295*F295)</f>
        <v>39884.631032677069</v>
      </c>
      <c r="J295" s="24">
        <f>IF(B295="","",H295-I295)</f>
        <v>95822.573979618755</v>
      </c>
      <c r="K295" s="24">
        <f>IF(B295="","",(C295=$I$9)*(G295-J295))</f>
        <v>0</v>
      </c>
      <c r="L295" s="24">
        <f>IF(B295="","",G295-J295-K295)</f>
        <v>9167704.6336098947</v>
      </c>
      <c r="M295" s="24">
        <f>IF(B295="","",I295+J295+K295)</f>
        <v>135707.20501229583</v>
      </c>
    </row>
    <row r="296" spans="2:13" x14ac:dyDescent="0.2">
      <c r="B296" s="22">
        <f>IF(C296="","",ROUNDUP(C296/12,0))</f>
        <v>24</v>
      </c>
      <c r="C296" s="21">
        <f>IF(OR(C295="",C295&gt;=$I$9),"",C295+1)</f>
        <v>281</v>
      </c>
      <c r="D296" s="251">
        <f>IF(C296="","",EOMONTH(D295,1))</f>
        <v>52412</v>
      </c>
      <c r="E296" s="250" t="str">
        <f>IF(C296="","",$M$11)</f>
        <v>360</v>
      </c>
      <c r="F296" s="14">
        <f>IF(C296="","",IF($M$12="Actual",D296-D295,30))</f>
        <v>30</v>
      </c>
      <c r="G296" s="24">
        <f>IF(B296="","",L295)</f>
        <v>9167704.6336098947</v>
      </c>
      <c r="H296" s="24">
        <f>IF(B296="","",(C296&lt;=$I$10)*I296+(C296&gt;$I$10)*PMT($I$7/(E296/F296),$I$8+$I$10-C295,-G296))</f>
        <v>134991.19429710731</v>
      </c>
      <c r="I296" s="24">
        <f>IF(B296="","",G296*$I$7/E296*F296)</f>
        <v>38198.769306707894</v>
      </c>
      <c r="J296" s="24">
        <f>IF(B296="","",H296-I296)</f>
        <v>96792.42499039942</v>
      </c>
      <c r="K296" s="24">
        <f>IF(B296="","",(C296=$I$9)*(G296-J296))</f>
        <v>0</v>
      </c>
      <c r="L296" s="24">
        <f>IF(B296="","",G296-J296-K296)</f>
        <v>9070912.2086194959</v>
      </c>
      <c r="M296" s="24">
        <f>IF(B296="","",I296+J296+K296)</f>
        <v>134991.19429710731</v>
      </c>
    </row>
    <row r="297" spans="2:13" x14ac:dyDescent="0.2">
      <c r="B297" s="22">
        <f>IF(C297="","",ROUNDUP(C297/12,0))</f>
        <v>24</v>
      </c>
      <c r="C297" s="21">
        <f>IF(OR(C296="",C296&gt;=$I$9),"",C296+1)</f>
        <v>282</v>
      </c>
      <c r="D297" s="251">
        <f>IF(C297="","",EOMONTH(D296,1))</f>
        <v>52443</v>
      </c>
      <c r="E297" s="250" t="str">
        <f>IF(C297="","",$M$11)</f>
        <v>360</v>
      </c>
      <c r="F297" s="14">
        <f>IF(C297="","",IF($M$12="Actual",D297-D296,30))</f>
        <v>31</v>
      </c>
      <c r="G297" s="24">
        <f>IF(B297="","",L296)</f>
        <v>9070912.2086194959</v>
      </c>
      <c r="H297" s="24">
        <f>IF(B297="","",(C297&lt;=$I$10)*I297+(C297&gt;$I$10)*PMT($I$7/(E297/F297),$I$8+$I$10-C296,-G297))</f>
        <v>135698.86820118179</v>
      </c>
      <c r="I297" s="24">
        <f>IF(B297="","",G297*$I$7/E297*F297)</f>
        <v>39055.316453778389</v>
      </c>
      <c r="J297" s="24">
        <f>IF(B297="","",H297-I297)</f>
        <v>96643.551747403399</v>
      </c>
      <c r="K297" s="24">
        <f>IF(B297="","",(C297=$I$9)*(G297-J297))</f>
        <v>0</v>
      </c>
      <c r="L297" s="24">
        <f>IF(B297="","",G297-J297-K297)</f>
        <v>8974268.6568720918</v>
      </c>
      <c r="M297" s="24">
        <f>IF(B297="","",I297+J297+K297)</f>
        <v>135698.86820118179</v>
      </c>
    </row>
    <row r="298" spans="2:13" x14ac:dyDescent="0.2">
      <c r="B298" s="22">
        <f>IF(C298="","",ROUNDUP(C298/12,0))</f>
        <v>24</v>
      </c>
      <c r="C298" s="21">
        <f>IF(OR(C297="",C297&gt;=$I$9),"",C297+1)</f>
        <v>283</v>
      </c>
      <c r="D298" s="251">
        <f>IF(C298="","",EOMONTH(D297,1))</f>
        <v>52474</v>
      </c>
      <c r="E298" s="250" t="str">
        <f>IF(C298="","",$M$11)</f>
        <v>360</v>
      </c>
      <c r="F298" s="14">
        <f>IF(C298="","",IF($M$12="Actual",D298-D297,30))</f>
        <v>31</v>
      </c>
      <c r="G298" s="24">
        <f>IF(B298="","",L297)</f>
        <v>8974268.6568720918</v>
      </c>
      <c r="H298" s="24">
        <f>IF(B298="","",(C298&lt;=$I$10)*I298+(C298&gt;$I$10)*PMT($I$7/(E298/F298),$I$8+$I$10-C297,-G298))</f>
        <v>135698.86820118176</v>
      </c>
      <c r="I298" s="24">
        <f>IF(B298="","",G298*$I$7/E298*F298)</f>
        <v>38639.21227264373</v>
      </c>
      <c r="J298" s="24">
        <f>IF(B298="","",H298-I298)</f>
        <v>97059.655928538035</v>
      </c>
      <c r="K298" s="24">
        <f>IF(B298="","",(C298=$I$9)*(G298-J298))</f>
        <v>0</v>
      </c>
      <c r="L298" s="24">
        <f>IF(B298="","",G298-J298-K298)</f>
        <v>8877209.0009435546</v>
      </c>
      <c r="M298" s="24">
        <f>IF(B298="","",I298+J298+K298)</f>
        <v>135698.86820118176</v>
      </c>
    </row>
    <row r="299" spans="2:13" x14ac:dyDescent="0.2">
      <c r="B299" s="22">
        <f>IF(C299="","",ROUNDUP(C299/12,0))</f>
        <v>24</v>
      </c>
      <c r="C299" s="21">
        <f>IF(OR(C298="",C298&gt;=$I$9),"",C298+1)</f>
        <v>284</v>
      </c>
      <c r="D299" s="251">
        <f>IF(C299="","",EOMONTH(D298,1))</f>
        <v>52504</v>
      </c>
      <c r="E299" s="250" t="str">
        <f>IF(C299="","",$M$11)</f>
        <v>360</v>
      </c>
      <c r="F299" s="14">
        <f>IF(C299="","",IF($M$12="Actual",D299-D298,30))</f>
        <v>30</v>
      </c>
      <c r="G299" s="24">
        <f>IF(B299="","",L298)</f>
        <v>8877209.0009435546</v>
      </c>
      <c r="H299" s="24">
        <f>IF(B299="","",(C299&lt;=$I$10)*I299+(C299&gt;$I$10)*PMT($I$7/(E299/F299),$I$8+$I$10-C298,-G299))</f>
        <v>135007.82050644339</v>
      </c>
      <c r="I299" s="24">
        <f>IF(B299="","",G299*$I$7/E299*F299)</f>
        <v>36988.370837264811</v>
      </c>
      <c r="J299" s="24">
        <f>IF(B299="","",H299-I299)</f>
        <v>98019.449669178575</v>
      </c>
      <c r="K299" s="24">
        <f>IF(B299="","",(C299=$I$9)*(G299-J299))</f>
        <v>0</v>
      </c>
      <c r="L299" s="24">
        <f>IF(B299="","",G299-J299-K299)</f>
        <v>8779189.551274376</v>
      </c>
      <c r="M299" s="24">
        <f>IF(B299="","",I299+J299+K299)</f>
        <v>135007.82050644339</v>
      </c>
    </row>
    <row r="300" spans="2:13" x14ac:dyDescent="0.2">
      <c r="B300" s="22">
        <f>IF(C300="","",ROUNDUP(C300/12,0))</f>
        <v>24</v>
      </c>
      <c r="C300" s="21">
        <f>IF(OR(C299="",C299&gt;=$I$9),"",C299+1)</f>
        <v>285</v>
      </c>
      <c r="D300" s="251">
        <f>IF(C300="","",EOMONTH(D299,1))</f>
        <v>52535</v>
      </c>
      <c r="E300" s="250" t="str">
        <f>IF(C300="","",$M$11)</f>
        <v>360</v>
      </c>
      <c r="F300" s="14">
        <f>IF(C300="","",IF($M$12="Actual",D300-D299,30))</f>
        <v>31</v>
      </c>
      <c r="G300" s="24">
        <f>IF(B300="","",L299)</f>
        <v>8779189.551274376</v>
      </c>
      <c r="H300" s="24">
        <f>IF(B300="","",(C300&lt;=$I$10)*I300+(C300&gt;$I$10)*PMT($I$7/(E300/F300),$I$8+$I$10-C299,-G300))</f>
        <v>135690.49266649908</v>
      </c>
      <c r="I300" s="24">
        <f>IF(B300="","",G300*$I$7/E300*F300)</f>
        <v>37799.288345764675</v>
      </c>
      <c r="J300" s="24">
        <f>IF(B300="","",H300-I300)</f>
        <v>97891.204320734396</v>
      </c>
      <c r="K300" s="24">
        <f>IF(B300="","",(C300=$I$9)*(G300-J300))</f>
        <v>0</v>
      </c>
      <c r="L300" s="24">
        <f>IF(B300="","",G300-J300-K300)</f>
        <v>8681298.3469536416</v>
      </c>
      <c r="M300" s="24">
        <f>IF(B300="","",I300+J300+K300)</f>
        <v>135690.49266649908</v>
      </c>
    </row>
    <row r="301" spans="2:13" x14ac:dyDescent="0.2">
      <c r="B301" s="22">
        <f>IF(C301="","",ROUNDUP(C301/12,0))</f>
        <v>24</v>
      </c>
      <c r="C301" s="21">
        <f>IF(OR(C300="",C300&gt;=$I$9),"",C300+1)</f>
        <v>286</v>
      </c>
      <c r="D301" s="251">
        <f>IF(C301="","",EOMONTH(D300,1))</f>
        <v>52565</v>
      </c>
      <c r="E301" s="250" t="str">
        <f>IF(C301="","",$M$11)</f>
        <v>360</v>
      </c>
      <c r="F301" s="14">
        <f>IF(C301="","",IF($M$12="Actual",D301-D300,30))</f>
        <v>30</v>
      </c>
      <c r="G301" s="24">
        <f>IF(B301="","",L300)</f>
        <v>8681298.3469536416</v>
      </c>
      <c r="H301" s="24">
        <f>IF(B301="","",(C301&lt;=$I$10)*I301+(C301&gt;$I$10)*PMT($I$7/(E301/F301),$I$8+$I$10-C300,-G301))</f>
        <v>135016.16692373261</v>
      </c>
      <c r="I301" s="24">
        <f>IF(B301="","",G301*$I$7/E301*F301)</f>
        <v>36172.076445640181</v>
      </c>
      <c r="J301" s="24">
        <f>IF(B301="","",H301-I301)</f>
        <v>98844.090478092432</v>
      </c>
      <c r="K301" s="24">
        <f>IF(B301="","",(C301=$I$9)*(G301-J301))</f>
        <v>0</v>
      </c>
      <c r="L301" s="24">
        <f>IF(B301="","",G301-J301-K301)</f>
        <v>8582454.2564755492</v>
      </c>
      <c r="M301" s="24">
        <f>IF(B301="","",I301+J301+K301)</f>
        <v>135016.16692373261</v>
      </c>
    </row>
    <row r="302" spans="2:13" x14ac:dyDescent="0.2">
      <c r="B302" s="22">
        <f>IF(C302="","",ROUNDUP(C302/12,0))</f>
        <v>24</v>
      </c>
      <c r="C302" s="21">
        <f>IF(OR(C301="",C301&gt;=$I$9),"",C301+1)</f>
        <v>287</v>
      </c>
      <c r="D302" s="251">
        <f>IF(C302="","",EOMONTH(D301,1))</f>
        <v>52596</v>
      </c>
      <c r="E302" s="250" t="str">
        <f>IF(C302="","",$M$11)</f>
        <v>360</v>
      </c>
      <c r="F302" s="14">
        <f>IF(C302="","",IF($M$12="Actual",D302-D301,30))</f>
        <v>31</v>
      </c>
      <c r="G302" s="24">
        <f>IF(B302="","",L301)</f>
        <v>8582454.2564755492</v>
      </c>
      <c r="H302" s="24">
        <f>IF(B302="","",(C302&lt;=$I$10)*I302+(C302&gt;$I$10)*PMT($I$7/(E302/F302),$I$8+$I$10-C301,-G302))</f>
        <v>135682.09147531263</v>
      </c>
      <c r="I302" s="24">
        <f>IF(B302="","",G302*$I$7/E302*F302)</f>
        <v>36952.233604269728</v>
      </c>
      <c r="J302" s="24">
        <f>IF(B302="","",H302-I302)</f>
        <v>98729.857871042899</v>
      </c>
      <c r="K302" s="24">
        <f>IF(B302="","",(C302=$I$9)*(G302-J302))</f>
        <v>0</v>
      </c>
      <c r="L302" s="24">
        <f>IF(B302="","",G302-J302-K302)</f>
        <v>8483724.3986045066</v>
      </c>
      <c r="M302" s="24">
        <f>IF(B302="","",I302+J302+K302)</f>
        <v>135682.09147531263</v>
      </c>
    </row>
    <row r="303" spans="2:13" x14ac:dyDescent="0.2">
      <c r="B303" s="22">
        <f>IF(C303="","",ROUNDUP(C303/12,0))</f>
        <v>24</v>
      </c>
      <c r="C303" s="21">
        <f>IF(OR(C302="",C302&gt;=$I$9),"",C302+1)</f>
        <v>288</v>
      </c>
      <c r="D303" s="251">
        <f>IF(C303="","",EOMONTH(D302,1))</f>
        <v>52627</v>
      </c>
      <c r="E303" s="250" t="str">
        <f>IF(C303="","",$M$11)</f>
        <v>360</v>
      </c>
      <c r="F303" s="14">
        <f>IF(C303="","",IF($M$12="Actual",D303-D302,30))</f>
        <v>31</v>
      </c>
      <c r="G303" s="24">
        <f>IF(B303="","",L302)</f>
        <v>8483724.3986045066</v>
      </c>
      <c r="H303" s="24">
        <f>IF(B303="","",(C303&lt;=$I$10)*I303+(C303&gt;$I$10)*PMT($I$7/(E303/F303),$I$8+$I$10-C302,-G303))</f>
        <v>135682.09147531263</v>
      </c>
      <c r="I303" s="24">
        <f>IF(B303="","",G303*$I$7/E303*F303)</f>
        <v>36527.146716213851</v>
      </c>
      <c r="J303" s="24">
        <f>IF(B303="","",H303-I303)</f>
        <v>99154.944759098784</v>
      </c>
      <c r="K303" s="24">
        <f>IF(B303="","",(C303=$I$9)*(G303-J303))</f>
        <v>0</v>
      </c>
      <c r="L303" s="24">
        <f>IF(B303="","",G303-J303-K303)</f>
        <v>8384569.4538454078</v>
      </c>
      <c r="M303" s="24">
        <f>IF(B303="","",I303+J303+K303)</f>
        <v>135682.09147531263</v>
      </c>
    </row>
    <row r="304" spans="2:13" x14ac:dyDescent="0.2">
      <c r="B304" s="22">
        <f>IF(C304="","",ROUNDUP(C304/12,0))</f>
        <v>25</v>
      </c>
      <c r="C304" s="21">
        <f>IF(OR(C303="",C303&gt;=$I$9),"",C303+1)</f>
        <v>289</v>
      </c>
      <c r="D304" s="251">
        <f>IF(C304="","",EOMONTH(D303,1))</f>
        <v>52656</v>
      </c>
      <c r="E304" s="250" t="str">
        <f>IF(C304="","",$M$11)</f>
        <v>360</v>
      </c>
      <c r="F304" s="14">
        <f>IF(C304="","",IF($M$12="Actual",D304-D303,30))</f>
        <v>29</v>
      </c>
      <c r="G304" s="24">
        <f>IF(B304="","",L303)</f>
        <v>8384569.4538454078</v>
      </c>
      <c r="H304" s="24">
        <f>IF(B304="","",(C304&lt;=$I$10)*I304+(C304&gt;$I$10)*PMT($I$7/(E304/F304),$I$8+$I$10-C303,-G304))</f>
        <v>134385.67266224723</v>
      </c>
      <c r="I304" s="24">
        <f>IF(B304="","",G304*$I$7/E304*F304)</f>
        <v>33771.182522432893</v>
      </c>
      <c r="J304" s="24">
        <f>IF(B304="","",H304-I304)</f>
        <v>100614.49013981434</v>
      </c>
      <c r="K304" s="24">
        <f>IF(B304="","",(C304=$I$9)*(G304-J304))</f>
        <v>0</v>
      </c>
      <c r="L304" s="24">
        <f>IF(B304="","",G304-J304-K304)</f>
        <v>8283954.9637055937</v>
      </c>
      <c r="M304" s="24">
        <f>IF(B304="","",I304+J304+K304)</f>
        <v>134385.67266224723</v>
      </c>
    </row>
    <row r="305" spans="2:13" x14ac:dyDescent="0.2">
      <c r="B305" s="22">
        <f>IF(C305="","",ROUNDUP(C305/12,0))</f>
        <v>25</v>
      </c>
      <c r="C305" s="21">
        <f>IF(OR(C304="",C304&gt;=$I$9),"",C304+1)</f>
        <v>290</v>
      </c>
      <c r="D305" s="251">
        <f>IF(C305="","",EOMONTH(D304,1))</f>
        <v>52687</v>
      </c>
      <c r="E305" s="250" t="str">
        <f>IF(C305="","",$M$11)</f>
        <v>360</v>
      </c>
      <c r="F305" s="14">
        <f>IF(C305="","",IF($M$12="Actual",D305-D304,30))</f>
        <v>31</v>
      </c>
      <c r="G305" s="24">
        <f>IF(B305="","",L304)</f>
        <v>8283954.9637055937</v>
      </c>
      <c r="H305" s="24">
        <f>IF(B305="","",(C305&lt;=$I$10)*I305+(C305&gt;$I$10)*PMT($I$7/(E305/F305),$I$8+$I$10-C304,-G305))</f>
        <v>135665.18026571433</v>
      </c>
      <c r="I305" s="24">
        <f>IF(B305="","",G305*$I$7/E305*F305)</f>
        <v>35667.028315954645</v>
      </c>
      <c r="J305" s="24">
        <f>IF(B305="","",H305-I305)</f>
        <v>99998.151949759689</v>
      </c>
      <c r="K305" s="24">
        <f>IF(B305="","",(C305=$I$9)*(G305-J305))</f>
        <v>0</v>
      </c>
      <c r="L305" s="24">
        <f>IF(B305="","",G305-J305-K305)</f>
        <v>8183956.8117558341</v>
      </c>
      <c r="M305" s="24">
        <f>IF(B305="","",I305+J305+K305)</f>
        <v>135665.18026571433</v>
      </c>
    </row>
    <row r="306" spans="2:13" x14ac:dyDescent="0.2">
      <c r="B306" s="22">
        <f>IF(C306="","",ROUNDUP(C306/12,0))</f>
        <v>25</v>
      </c>
      <c r="C306" s="21">
        <f>IF(OR(C305="",C305&gt;=$I$9),"",C305+1)</f>
        <v>291</v>
      </c>
      <c r="D306" s="251">
        <f>IF(C306="","",EOMONTH(D305,1))</f>
        <v>52717</v>
      </c>
      <c r="E306" s="250" t="str">
        <f>IF(C306="","",$M$11)</f>
        <v>360</v>
      </c>
      <c r="F306" s="14">
        <f>IF(C306="","",IF($M$12="Actual",D306-D305,30))</f>
        <v>30</v>
      </c>
      <c r="G306" s="24">
        <f>IF(B306="","",L305)</f>
        <v>8183956.8117558341</v>
      </c>
      <c r="H306" s="24">
        <f>IF(B306="","",(C306&lt;=$I$10)*I306+(C306&gt;$I$10)*PMT($I$7/(E306/F306),$I$8+$I$10-C305,-G306))</f>
        <v>135032.90781211882</v>
      </c>
      <c r="I306" s="24">
        <f>IF(B306="","",G306*$I$7/E306*F306)</f>
        <v>34099.820048982649</v>
      </c>
      <c r="J306" s="24">
        <f>IF(B306="","",H306-I306)</f>
        <v>100933.08776313617</v>
      </c>
      <c r="K306" s="24">
        <f>IF(B306="","",(C306=$I$9)*(G306-J306))</f>
        <v>0</v>
      </c>
      <c r="L306" s="24">
        <f>IF(B306="","",G306-J306-K306)</f>
        <v>8083023.7239926979</v>
      </c>
      <c r="M306" s="24">
        <f>IF(B306="","",I306+J306+K306)</f>
        <v>135032.90781211882</v>
      </c>
    </row>
    <row r="307" spans="2:13" x14ac:dyDescent="0.2">
      <c r="B307" s="22">
        <f>IF(C307="","",ROUNDUP(C307/12,0))</f>
        <v>25</v>
      </c>
      <c r="C307" s="21">
        <f>IF(OR(C306="",C306&gt;=$I$9),"",C306+1)</f>
        <v>292</v>
      </c>
      <c r="D307" s="251">
        <f>IF(C307="","",EOMONTH(D306,1))</f>
        <v>52748</v>
      </c>
      <c r="E307" s="250" t="str">
        <f>IF(C307="","",$M$11)</f>
        <v>360</v>
      </c>
      <c r="F307" s="14">
        <f>IF(C307="","",IF($M$12="Actual",D307-D306,30))</f>
        <v>31</v>
      </c>
      <c r="G307" s="24">
        <f>IF(B307="","",L306)</f>
        <v>8083023.7239926979</v>
      </c>
      <c r="H307" s="24">
        <f>IF(B307="","",(C307&lt;=$I$10)*I307+(C307&gt;$I$10)*PMT($I$7/(E307/F307),$I$8+$I$10-C306,-G307))</f>
        <v>135656.71516024036</v>
      </c>
      <c r="I307" s="24">
        <f>IF(B307="","",G307*$I$7/E307*F307)</f>
        <v>34801.90770052412</v>
      </c>
      <c r="J307" s="24">
        <f>IF(B307="","",H307-I307)</f>
        <v>100854.80745971625</v>
      </c>
      <c r="K307" s="24">
        <f>IF(B307="","",(C307=$I$9)*(G307-J307))</f>
        <v>0</v>
      </c>
      <c r="L307" s="24">
        <f>IF(B307="","",G307-J307-K307)</f>
        <v>7982168.9165329812</v>
      </c>
      <c r="M307" s="24">
        <f>IF(B307="","",I307+J307+K307)</f>
        <v>135656.71516024036</v>
      </c>
    </row>
    <row r="308" spans="2:13" x14ac:dyDescent="0.2">
      <c r="B308" s="22">
        <f>IF(C308="","",ROUNDUP(C308/12,0))</f>
        <v>25</v>
      </c>
      <c r="C308" s="21">
        <f>IF(OR(C307="",C307&gt;=$I$9),"",C307+1)</f>
        <v>293</v>
      </c>
      <c r="D308" s="251">
        <f>IF(C308="","",EOMONTH(D307,1))</f>
        <v>52778</v>
      </c>
      <c r="E308" s="250" t="str">
        <f>IF(C308="","",$M$11)</f>
        <v>360</v>
      </c>
      <c r="F308" s="14">
        <f>IF(C308="","",IF($M$12="Actual",D308-D307,30))</f>
        <v>30</v>
      </c>
      <c r="G308" s="24">
        <f>IF(B308="","",L307)</f>
        <v>7982168.9165329812</v>
      </c>
      <c r="H308" s="24">
        <f>IF(B308="","",(C308&lt;=$I$10)*I308+(C308&gt;$I$10)*PMT($I$7/(E308/F308),$I$8+$I$10-C307,-G308))</f>
        <v>135041.34703820836</v>
      </c>
      <c r="I308" s="24">
        <f>IF(B308="","",G308*$I$7/E308*F308)</f>
        <v>33259.037152220757</v>
      </c>
      <c r="J308" s="24">
        <f>IF(B308="","",H308-I308)</f>
        <v>101782.3098859876</v>
      </c>
      <c r="K308" s="24">
        <f>IF(B308="","",(C308=$I$9)*(G308-J308))</f>
        <v>0</v>
      </c>
      <c r="L308" s="24">
        <f>IF(B308="","",G308-J308-K308)</f>
        <v>7880386.6066469932</v>
      </c>
      <c r="M308" s="24">
        <f>IF(B308="","",I308+J308+K308)</f>
        <v>135041.34703820836</v>
      </c>
    </row>
    <row r="309" spans="2:13" x14ac:dyDescent="0.2">
      <c r="B309" s="22">
        <f>IF(C309="","",ROUNDUP(C309/12,0))</f>
        <v>25</v>
      </c>
      <c r="C309" s="21">
        <f>IF(OR(C308="",C308&gt;=$I$9),"",C308+1)</f>
        <v>294</v>
      </c>
      <c r="D309" s="251">
        <f>IF(C309="","",EOMONTH(D308,1))</f>
        <v>52809</v>
      </c>
      <c r="E309" s="250" t="str">
        <f>IF(C309="","",$M$11)</f>
        <v>360</v>
      </c>
      <c r="F309" s="14">
        <f>IF(C309="","",IF($M$12="Actual",D309-D308,30))</f>
        <v>31</v>
      </c>
      <c r="G309" s="24">
        <f>IF(B309="","",L308)</f>
        <v>7880386.6066469932</v>
      </c>
      <c r="H309" s="24">
        <f>IF(B309="","",(C309&lt;=$I$10)*I309+(C309&gt;$I$10)*PMT($I$7/(E309/F309),$I$8+$I$10-C308,-G309))</f>
        <v>135648.2243689399</v>
      </c>
      <c r="I309" s="24">
        <f>IF(B309="","",G309*$I$7/E309*F309)</f>
        <v>33929.442334174557</v>
      </c>
      <c r="J309" s="24">
        <f>IF(B309="","",H309-I309)</f>
        <v>101718.78203476535</v>
      </c>
      <c r="K309" s="24">
        <f>IF(B309="","",(C309=$I$9)*(G309-J309))</f>
        <v>0</v>
      </c>
      <c r="L309" s="24">
        <f>IF(B309="","",G309-J309-K309)</f>
        <v>7778667.8246122282</v>
      </c>
      <c r="M309" s="24">
        <f>IF(B309="","",I309+J309+K309)</f>
        <v>135648.2243689399</v>
      </c>
    </row>
    <row r="310" spans="2:13" x14ac:dyDescent="0.2">
      <c r="B310" s="22">
        <f>IF(C310="","",ROUNDUP(C310/12,0))</f>
        <v>25</v>
      </c>
      <c r="C310" s="21">
        <f>IF(OR(C309="",C309&gt;=$I$9),"",C309+1)</f>
        <v>295</v>
      </c>
      <c r="D310" s="251">
        <f>IF(C310="","",EOMONTH(D309,1))</f>
        <v>52840</v>
      </c>
      <c r="E310" s="250" t="str">
        <f>IF(C310="","",$M$11)</f>
        <v>360</v>
      </c>
      <c r="F310" s="14">
        <f>IF(C310="","",IF($M$12="Actual",D310-D309,30))</f>
        <v>31</v>
      </c>
      <c r="G310" s="24">
        <f>IF(B310="","",L309)</f>
        <v>7778667.8246122282</v>
      </c>
      <c r="H310" s="24">
        <f>IF(B310="","",(C310&lt;=$I$10)*I310+(C310&gt;$I$10)*PMT($I$7/(E310/F310),$I$8+$I$10-C309,-G310))</f>
        <v>135648.22436893993</v>
      </c>
      <c r="I310" s="24">
        <f>IF(B310="","",G310*$I$7/E310*F310)</f>
        <v>33491.486467080424</v>
      </c>
      <c r="J310" s="24">
        <f>IF(B310="","",H310-I310)</f>
        <v>102156.73790185951</v>
      </c>
      <c r="K310" s="24">
        <f>IF(B310="","",(C310=$I$9)*(G310-J310))</f>
        <v>0</v>
      </c>
      <c r="L310" s="24">
        <f>IF(B310="","",G310-J310-K310)</f>
        <v>7676511.0867103683</v>
      </c>
      <c r="M310" s="24">
        <f>IF(B310="","",I310+J310+K310)</f>
        <v>135648.22436893993</v>
      </c>
    </row>
    <row r="311" spans="2:13" x14ac:dyDescent="0.2">
      <c r="B311" s="22">
        <f>IF(C311="","",ROUNDUP(C311/12,0))</f>
        <v>25</v>
      </c>
      <c r="C311" s="21">
        <f>IF(OR(C310="",C310&gt;=$I$9),"",C310+1)</f>
        <v>296</v>
      </c>
      <c r="D311" s="251">
        <f>IF(C311="","",EOMONTH(D310,1))</f>
        <v>52870</v>
      </c>
      <c r="E311" s="250" t="str">
        <f>IF(C311="","",$M$11)</f>
        <v>360</v>
      </c>
      <c r="F311" s="14">
        <f>IF(C311="","",IF($M$12="Actual",D311-D310,30))</f>
        <v>30</v>
      </c>
      <c r="G311" s="24">
        <f>IF(B311="","",L310)</f>
        <v>7676511.0867103683</v>
      </c>
      <c r="H311" s="24">
        <f>IF(B311="","",(C311&lt;=$I$10)*I311+(C311&gt;$I$10)*PMT($I$7/(E311/F311),$I$8+$I$10-C310,-G311))</f>
        <v>135058.29234324963</v>
      </c>
      <c r="I311" s="24">
        <f>IF(B311="","",G311*$I$7/E311*F311)</f>
        <v>31985.462861293207</v>
      </c>
      <c r="J311" s="24">
        <f>IF(B311="","",H311-I311)</f>
        <v>103072.82948195643</v>
      </c>
      <c r="K311" s="24">
        <f>IF(B311="","",(C311=$I$9)*(G311-J311))</f>
        <v>0</v>
      </c>
      <c r="L311" s="24">
        <f>IF(B311="","",G311-J311-K311)</f>
        <v>7573438.2572284117</v>
      </c>
      <c r="M311" s="24">
        <f>IF(B311="","",I311+J311+K311)</f>
        <v>135058.29234324963</v>
      </c>
    </row>
    <row r="312" spans="2:13" x14ac:dyDescent="0.2">
      <c r="B312" s="22">
        <f>IF(C312="","",ROUNDUP(C312/12,0))</f>
        <v>25</v>
      </c>
      <c r="C312" s="21">
        <f>IF(OR(C311="",C311&gt;=$I$9),"",C311+1)</f>
        <v>297</v>
      </c>
      <c r="D312" s="251">
        <f>IF(C312="","",EOMONTH(D311,1))</f>
        <v>52901</v>
      </c>
      <c r="E312" s="250" t="str">
        <f>IF(C312="","",$M$11)</f>
        <v>360</v>
      </c>
      <c r="F312" s="14">
        <f>IF(C312="","",IF($M$12="Actual",D312-D311,30))</f>
        <v>31</v>
      </c>
      <c r="G312" s="24">
        <f>IF(B312="","",L311)</f>
        <v>7573438.2572284117</v>
      </c>
      <c r="H312" s="24">
        <f>IF(B312="","",(C312&lt;=$I$10)*I312+(C312&gt;$I$10)*PMT($I$7/(E312/F312),$I$8+$I$10-C311,-G312))</f>
        <v>135639.69476694264</v>
      </c>
      <c r="I312" s="24">
        <f>IF(B312="","",G312*$I$7/E312*F312)</f>
        <v>32607.859163066772</v>
      </c>
      <c r="J312" s="24">
        <f>IF(B312="","",H312-I312)</f>
        <v>103031.83560387586</v>
      </c>
      <c r="K312" s="24">
        <f>IF(B312="","",(C312=$I$9)*(G312-J312))</f>
        <v>0</v>
      </c>
      <c r="L312" s="24">
        <f>IF(B312="","",G312-J312-K312)</f>
        <v>7470406.4216245357</v>
      </c>
      <c r="M312" s="24">
        <f>IF(B312="","",I312+J312+K312)</f>
        <v>135639.69476694264</v>
      </c>
    </row>
    <row r="313" spans="2:13" x14ac:dyDescent="0.2">
      <c r="B313" s="22">
        <f>IF(C313="","",ROUNDUP(C313/12,0))</f>
        <v>25</v>
      </c>
      <c r="C313" s="21">
        <f>IF(OR(C312="",C312&gt;=$I$9),"",C312+1)</f>
        <v>298</v>
      </c>
      <c r="D313" s="251">
        <f>IF(C313="","",EOMONTH(D312,1))</f>
        <v>52931</v>
      </c>
      <c r="E313" s="250" t="str">
        <f>IF(C313="","",$M$11)</f>
        <v>360</v>
      </c>
      <c r="F313" s="14">
        <f>IF(C313="","",IF($M$12="Actual",D313-D312,30))</f>
        <v>30</v>
      </c>
      <c r="G313" s="24">
        <f>IF(B313="","",L312)</f>
        <v>7470406.4216245357</v>
      </c>
      <c r="H313" s="24">
        <f>IF(B313="","",(C313&lt;=$I$10)*I313+(C313&gt;$I$10)*PMT($I$7/(E313/F313),$I$8+$I$10-C312,-G313))</f>
        <v>135066.79844891556</v>
      </c>
      <c r="I313" s="24">
        <f>IF(B313="","",G313*$I$7/E313*F313)</f>
        <v>31126.693423435565</v>
      </c>
      <c r="J313" s="24">
        <f>IF(B313="","",H313-I313)</f>
        <v>103940.10502548001</v>
      </c>
      <c r="K313" s="24">
        <f>IF(B313="","",(C313=$I$9)*(G313-J313))</f>
        <v>0</v>
      </c>
      <c r="L313" s="24">
        <f>IF(B313="","",G313-J313-K313)</f>
        <v>7366466.3165990561</v>
      </c>
      <c r="M313" s="24">
        <f>IF(B313="","",I313+J313+K313)</f>
        <v>135066.79844891556</v>
      </c>
    </row>
    <row r="314" spans="2:13" x14ac:dyDescent="0.2">
      <c r="B314" s="22">
        <f>IF(C314="","",ROUNDUP(C314/12,0))</f>
        <v>25</v>
      </c>
      <c r="C314" s="21">
        <f>IF(OR(C313="",C313&gt;=$I$9),"",C313+1)</f>
        <v>299</v>
      </c>
      <c r="D314" s="251">
        <f>IF(C314="","",EOMONTH(D313,1))</f>
        <v>52962</v>
      </c>
      <c r="E314" s="250" t="str">
        <f>IF(C314="","",$M$11)</f>
        <v>360</v>
      </c>
      <c r="F314" s="14">
        <f>IF(C314="","",IF($M$12="Actual",D314-D313,30))</f>
        <v>31</v>
      </c>
      <c r="G314" s="24">
        <f>IF(B314="","",L313)</f>
        <v>7366466.3165990561</v>
      </c>
      <c r="H314" s="24">
        <f>IF(B314="","",(C314&lt;=$I$10)*I314+(C314&gt;$I$10)*PMT($I$7/(E314/F314),$I$8+$I$10-C313,-G314))</f>
        <v>135631.13945967506</v>
      </c>
      <c r="I314" s="24">
        <f>IF(B314="","",G314*$I$7/E314*F314)</f>
        <v>31716.729974245936</v>
      </c>
      <c r="J314" s="24">
        <f>IF(B314="","",H314-I314)</f>
        <v>103914.40948542912</v>
      </c>
      <c r="K314" s="24">
        <f>IF(B314="","",(C314=$I$9)*(G314-J314))</f>
        <v>0</v>
      </c>
      <c r="L314" s="24">
        <f>IF(B314="","",G314-J314-K314)</f>
        <v>7262551.9071136266</v>
      </c>
      <c r="M314" s="24">
        <f>IF(B314="","",I314+J314+K314)</f>
        <v>135631.13945967506</v>
      </c>
    </row>
    <row r="315" spans="2:13" x14ac:dyDescent="0.2">
      <c r="B315" s="22">
        <f>IF(C315="","",ROUNDUP(C315/12,0))</f>
        <v>25</v>
      </c>
      <c r="C315" s="21">
        <f>IF(OR(C314="",C314&gt;=$I$9),"",C314+1)</f>
        <v>300</v>
      </c>
      <c r="D315" s="251">
        <f>IF(C315="","",EOMONTH(D314,1))</f>
        <v>52993</v>
      </c>
      <c r="E315" s="250" t="str">
        <f>IF(C315="","",$M$11)</f>
        <v>360</v>
      </c>
      <c r="F315" s="14">
        <f>IF(C315="","",IF($M$12="Actual",D315-D314,30))</f>
        <v>31</v>
      </c>
      <c r="G315" s="24">
        <f>IF(B315="","",L314)</f>
        <v>7262551.9071136266</v>
      </c>
      <c r="H315" s="24">
        <f>IF(B315="","",(C315&lt;=$I$10)*I315+(C315&gt;$I$10)*PMT($I$7/(E315/F315),$I$8+$I$10-C314,-G315))</f>
        <v>135631.13945967509</v>
      </c>
      <c r="I315" s="24">
        <f>IF(B315="","",G315*$I$7/E315*F315)</f>
        <v>31269.320711183675</v>
      </c>
      <c r="J315" s="24">
        <f>IF(B315="","",H315-I315)</f>
        <v>104361.81874849141</v>
      </c>
      <c r="K315" s="24">
        <f>IF(B315="","",(C315=$I$9)*(G315-J315))</f>
        <v>0</v>
      </c>
      <c r="L315" s="24">
        <f>IF(B315="","",G315-J315-K315)</f>
        <v>7158190.0883651348</v>
      </c>
      <c r="M315" s="24">
        <f>IF(B315="","",I315+J315+K315)</f>
        <v>135631.13945967509</v>
      </c>
    </row>
    <row r="316" spans="2:13" x14ac:dyDescent="0.2">
      <c r="B316" s="22">
        <f>IF(C316="","",ROUNDUP(C316/12,0))</f>
        <v>26</v>
      </c>
      <c r="C316" s="21">
        <f>IF(OR(C315="",C315&gt;=$I$9),"",C315+1)</f>
        <v>301</v>
      </c>
      <c r="D316" s="251">
        <f>IF(C316="","",EOMONTH(D315,1))</f>
        <v>53021</v>
      </c>
      <c r="E316" s="250" t="str">
        <f>IF(C316="","",$M$11)</f>
        <v>360</v>
      </c>
      <c r="F316" s="14">
        <f>IF(C316="","",IF($M$12="Actual",D316-D315,30))</f>
        <v>28</v>
      </c>
      <c r="G316" s="24">
        <f>IF(B316="","",L315)</f>
        <v>7158190.0883651348</v>
      </c>
      <c r="H316" s="24">
        <f>IF(B316="","",(C316&lt;=$I$10)*I316+(C316&gt;$I$10)*PMT($I$7/(E316/F316),$I$8+$I$10-C315,-G316))</f>
        <v>133993.44484328319</v>
      </c>
      <c r="I316" s="24">
        <f>IF(B316="","",G316*$I$7/E316*F316)</f>
        <v>27837.405899197747</v>
      </c>
      <c r="J316" s="24">
        <f>IF(B316="","",H316-I316)</f>
        <v>106156.03894408543</v>
      </c>
      <c r="K316" s="24">
        <f>IF(B316="","",(C316=$I$9)*(G316-J316))</f>
        <v>0</v>
      </c>
      <c r="L316" s="24">
        <f>IF(B316="","",G316-J316-K316)</f>
        <v>7052034.0494210497</v>
      </c>
      <c r="M316" s="24">
        <f>IF(B316="","",I316+J316+K316)</f>
        <v>133993.44484328319</v>
      </c>
    </row>
    <row r="317" spans="2:13" x14ac:dyDescent="0.2">
      <c r="B317" s="22">
        <f>IF(C317="","",ROUNDUP(C317/12,0))</f>
        <v>26</v>
      </c>
      <c r="C317" s="21">
        <f>IF(OR(C316="",C316&gt;=$I$9),"",C316+1)</f>
        <v>302</v>
      </c>
      <c r="D317" s="251">
        <f>IF(C317="","",EOMONTH(D316,1))</f>
        <v>53052</v>
      </c>
      <c r="E317" s="250" t="str">
        <f>IF(C317="","",$M$11)</f>
        <v>360</v>
      </c>
      <c r="F317" s="14">
        <f>IF(C317="","",IF($M$12="Actual",D317-D316,30))</f>
        <v>31</v>
      </c>
      <c r="G317" s="24">
        <f>IF(B317="","",L316)</f>
        <v>7052034.0494210497</v>
      </c>
      <c r="H317" s="24">
        <f>IF(B317="","",(C317&lt;=$I$10)*I317+(C317&gt;$I$10)*PMT($I$7/(E317/F317),$I$8+$I$10-C316,-G317))</f>
        <v>135605.27834676794</v>
      </c>
      <c r="I317" s="24">
        <f>IF(B317="","",G317*$I$7/E317*F317)</f>
        <v>30362.924379451746</v>
      </c>
      <c r="J317" s="24">
        <f>IF(B317="","",H317-I317)</f>
        <v>105242.35396731619</v>
      </c>
      <c r="K317" s="24">
        <f>IF(B317="","",(C317=$I$9)*(G317-J317))</f>
        <v>0</v>
      </c>
      <c r="L317" s="24">
        <f>IF(B317="","",G317-J317-K317)</f>
        <v>6946791.6954537332</v>
      </c>
      <c r="M317" s="24">
        <f>IF(B317="","",I317+J317+K317)</f>
        <v>135605.27834676794</v>
      </c>
    </row>
    <row r="318" spans="2:13" x14ac:dyDescent="0.2">
      <c r="B318" s="22">
        <f>IF(C318="","",ROUNDUP(C318/12,0))</f>
        <v>26</v>
      </c>
      <c r="C318" s="21">
        <f>IF(OR(C317="",C317&gt;=$I$9),"",C317+1)</f>
        <v>303</v>
      </c>
      <c r="D318" s="251">
        <f>IF(C318="","",EOMONTH(D317,1))</f>
        <v>53082</v>
      </c>
      <c r="E318" s="250" t="str">
        <f>IF(C318="","",$M$11)</f>
        <v>360</v>
      </c>
      <c r="F318" s="14">
        <f>IF(C318="","",IF($M$12="Actual",D318-D317,30))</f>
        <v>30</v>
      </c>
      <c r="G318" s="24">
        <f>IF(B318="","",L317)</f>
        <v>6946791.6954537332</v>
      </c>
      <c r="H318" s="24">
        <f>IF(B318="","",(C318&lt;=$I$10)*I318+(C318&gt;$I$10)*PMT($I$7/(E318/F318),$I$8+$I$10-C317,-G318))</f>
        <v>135075.25124861157</v>
      </c>
      <c r="I318" s="24">
        <f>IF(B318="","",G318*$I$7/E318*F318)</f>
        <v>28944.965397723892</v>
      </c>
      <c r="J318" s="24">
        <f>IF(B318="","",H318-I318)</f>
        <v>106130.28585088768</v>
      </c>
      <c r="K318" s="24">
        <f>IF(B318="","",(C318=$I$9)*(G318-J318))</f>
        <v>0</v>
      </c>
      <c r="L318" s="24">
        <f>IF(B318="","",G318-J318-K318)</f>
        <v>6840661.4096028451</v>
      </c>
      <c r="M318" s="24">
        <f>IF(B318="","",I318+J318+K318)</f>
        <v>135075.25124861157</v>
      </c>
    </row>
    <row r="319" spans="2:13" x14ac:dyDescent="0.2">
      <c r="B319" s="22">
        <f>IF(C319="","",ROUNDUP(C319/12,0))</f>
        <v>26</v>
      </c>
      <c r="C319" s="21">
        <f>IF(OR(C318="",C318&gt;=$I$9),"",C318+1)</f>
        <v>304</v>
      </c>
      <c r="D319" s="251">
        <f>IF(C319="","",EOMONTH(D318,1))</f>
        <v>53113</v>
      </c>
      <c r="E319" s="250" t="str">
        <f>IF(C319="","",$M$11)</f>
        <v>360</v>
      </c>
      <c r="F319" s="14">
        <f>IF(C319="","",IF($M$12="Actual",D319-D318,30))</f>
        <v>31</v>
      </c>
      <c r="G319" s="24">
        <f>IF(B319="","",L318)</f>
        <v>6840661.4096028451</v>
      </c>
      <c r="H319" s="24">
        <f>IF(B319="","",(C319&lt;=$I$10)*I319+(C319&gt;$I$10)*PMT($I$7/(E319/F319),$I$8+$I$10-C318,-G319))</f>
        <v>135596.6595724824</v>
      </c>
      <c r="I319" s="24">
        <f>IF(B319="","",G319*$I$7/E319*F319)</f>
        <v>29452.84773579003</v>
      </c>
      <c r="J319" s="24">
        <f>IF(B319="","",H319-I319)</f>
        <v>106143.81183669237</v>
      </c>
      <c r="K319" s="24">
        <f>IF(B319="","",(C319=$I$9)*(G319-J319))</f>
        <v>0</v>
      </c>
      <c r="L319" s="24">
        <f>IF(B319="","",G319-J319-K319)</f>
        <v>6734517.5977661526</v>
      </c>
      <c r="M319" s="24">
        <f>IF(B319="","",I319+J319+K319)</f>
        <v>135596.6595724824</v>
      </c>
    </row>
    <row r="320" spans="2:13" x14ac:dyDescent="0.2">
      <c r="B320" s="22">
        <f>IF(C320="","",ROUNDUP(C320/12,0))</f>
        <v>26</v>
      </c>
      <c r="C320" s="21">
        <f>IF(OR(C319="",C319&gt;=$I$9),"",C319+1)</f>
        <v>305</v>
      </c>
      <c r="D320" s="251">
        <f>IF(C320="","",EOMONTH(D319,1))</f>
        <v>53143</v>
      </c>
      <c r="E320" s="250" t="str">
        <f>IF(C320="","",$M$11)</f>
        <v>360</v>
      </c>
      <c r="F320" s="14">
        <f>IF(C320="","",IF($M$12="Actual",D320-D319,30))</f>
        <v>30</v>
      </c>
      <c r="G320" s="24">
        <f>IF(B320="","",L319)</f>
        <v>6734517.5977661526</v>
      </c>
      <c r="H320" s="24">
        <f>IF(B320="","",(C320&lt;=$I$10)*I320+(C320&gt;$I$10)*PMT($I$7/(E320/F320),$I$8+$I$10-C319,-G320))</f>
        <v>135083.84996737167</v>
      </c>
      <c r="I320" s="24">
        <f>IF(B320="","",G320*$I$7/E320*F320)</f>
        <v>28060.489990692302</v>
      </c>
      <c r="J320" s="24">
        <f>IF(B320="","",H320-I320)</f>
        <v>107023.35997667938</v>
      </c>
      <c r="K320" s="24">
        <f>IF(B320="","",(C320=$I$9)*(G320-J320))</f>
        <v>0</v>
      </c>
      <c r="L320" s="24">
        <f>IF(B320="","",G320-J320-K320)</f>
        <v>6627494.2377894735</v>
      </c>
      <c r="M320" s="24">
        <f>IF(B320="","",I320+J320+K320)</f>
        <v>135083.84996737167</v>
      </c>
    </row>
    <row r="321" spans="2:13" x14ac:dyDescent="0.2">
      <c r="B321" s="22">
        <f>IF(C321="","",ROUNDUP(C321/12,0))</f>
        <v>26</v>
      </c>
      <c r="C321" s="21">
        <f>IF(OR(C320="",C320&gt;=$I$9),"",C320+1)</f>
        <v>306</v>
      </c>
      <c r="D321" s="251">
        <f>IF(C321="","",EOMONTH(D320,1))</f>
        <v>53174</v>
      </c>
      <c r="E321" s="250" t="str">
        <f>IF(C321="","",$M$11)</f>
        <v>360</v>
      </c>
      <c r="F321" s="14">
        <f>IF(C321="","",IF($M$12="Actual",D321-D320,30))</f>
        <v>31</v>
      </c>
      <c r="G321" s="24">
        <f>IF(B321="","",L320)</f>
        <v>6627494.2377894735</v>
      </c>
      <c r="H321" s="24">
        <f>IF(B321="","",(C321&lt;=$I$10)*I321+(C321&gt;$I$10)*PMT($I$7/(E321/F321),$I$8+$I$10-C320,-G321))</f>
        <v>135588.01507334929</v>
      </c>
      <c r="I321" s="24">
        <f>IF(B321="","",G321*$I$7/E321*F321)</f>
        <v>28535.0446349269</v>
      </c>
      <c r="J321" s="24">
        <f>IF(B321="","",H321-I321)</f>
        <v>107052.97043842239</v>
      </c>
      <c r="K321" s="24">
        <f>IF(B321="","",(C321=$I$9)*(G321-J321))</f>
        <v>0</v>
      </c>
      <c r="L321" s="24">
        <f>IF(B321="","",G321-J321-K321)</f>
        <v>6520441.2673510509</v>
      </c>
      <c r="M321" s="24">
        <f>IF(B321="","",I321+J321+K321)</f>
        <v>135588.01507334929</v>
      </c>
    </row>
    <row r="322" spans="2:13" x14ac:dyDescent="0.2">
      <c r="B322" s="22">
        <f>IF(C322="","",ROUNDUP(C322/12,0))</f>
        <v>26</v>
      </c>
      <c r="C322" s="21">
        <f>IF(OR(C321="",C321&gt;=$I$9),"",C321+1)</f>
        <v>307</v>
      </c>
      <c r="D322" s="251">
        <f>IF(C322="","",EOMONTH(D321,1))</f>
        <v>53205</v>
      </c>
      <c r="E322" s="250" t="str">
        <f>IF(C322="","",$M$11)</f>
        <v>360</v>
      </c>
      <c r="F322" s="14">
        <f>IF(C322="","",IF($M$12="Actual",D322-D321,30))</f>
        <v>31</v>
      </c>
      <c r="G322" s="24">
        <f>IF(B322="","",L321)</f>
        <v>6520441.2673510509</v>
      </c>
      <c r="H322" s="24">
        <f>IF(B322="","",(C322&lt;=$I$10)*I322+(C322&gt;$I$10)*PMT($I$7/(E322/F322),$I$8+$I$10-C321,-G322))</f>
        <v>135588.01507334929</v>
      </c>
      <c r="I322" s="24">
        <f>IF(B322="","",G322*$I$7/E322*F322)</f>
        <v>28074.122123317029</v>
      </c>
      <c r="J322" s="24">
        <f>IF(B322="","",H322-I322)</f>
        <v>107513.89295003226</v>
      </c>
      <c r="K322" s="24">
        <f>IF(B322="","",(C322=$I$9)*(G322-J322))</f>
        <v>0</v>
      </c>
      <c r="L322" s="24">
        <f>IF(B322="","",G322-J322-K322)</f>
        <v>6412927.374401019</v>
      </c>
      <c r="M322" s="24">
        <f>IF(B322="","",I322+J322+K322)</f>
        <v>135588.01507334929</v>
      </c>
    </row>
    <row r="323" spans="2:13" x14ac:dyDescent="0.2">
      <c r="B323" s="22">
        <f>IF(C323="","",ROUNDUP(C323/12,0))</f>
        <v>26</v>
      </c>
      <c r="C323" s="21">
        <f>IF(OR(C322="",C322&gt;=$I$9),"",C322+1)</f>
        <v>308</v>
      </c>
      <c r="D323" s="251">
        <f>IF(C323="","",EOMONTH(D322,1))</f>
        <v>53235</v>
      </c>
      <c r="E323" s="250" t="str">
        <f>IF(C323="","",$M$11)</f>
        <v>360</v>
      </c>
      <c r="F323" s="14">
        <f>IF(C323="","",IF($M$12="Actual",D323-D322,30))</f>
        <v>30</v>
      </c>
      <c r="G323" s="24">
        <f>IF(B323="","",L322)</f>
        <v>6412927.374401019</v>
      </c>
      <c r="H323" s="24">
        <f>IF(B323="","",(C323&lt;=$I$10)*I323+(C323&gt;$I$10)*PMT($I$7/(E323/F323),$I$8+$I$10-C322,-G323))</f>
        <v>135101.11450971995</v>
      </c>
      <c r="I323" s="24">
        <f>IF(B323="","",G323*$I$7/E323*F323)</f>
        <v>26720.530726670913</v>
      </c>
      <c r="J323" s="24">
        <f>IF(B323="","",H323-I323)</f>
        <v>108380.58378304903</v>
      </c>
      <c r="K323" s="24">
        <f>IF(B323="","",(C323=$I$9)*(G323-J323))</f>
        <v>0</v>
      </c>
      <c r="L323" s="24">
        <f>IF(B323="","",G323-J323-K323)</f>
        <v>6304546.7906179698</v>
      </c>
      <c r="M323" s="24">
        <f>IF(B323="","",I323+J323+K323)</f>
        <v>135101.11450971995</v>
      </c>
    </row>
    <row r="324" spans="2:13" x14ac:dyDescent="0.2">
      <c r="B324" s="22">
        <f>IF(C324="","",ROUNDUP(C324/12,0))</f>
        <v>26</v>
      </c>
      <c r="C324" s="21">
        <f>IF(OR(C323="",C323&gt;=$I$9),"",C323+1)</f>
        <v>309</v>
      </c>
      <c r="D324" s="251">
        <f>IF(C324="","",EOMONTH(D323,1))</f>
        <v>53266</v>
      </c>
      <c r="E324" s="250" t="str">
        <f>IF(C324="","",$M$11)</f>
        <v>360</v>
      </c>
      <c r="F324" s="14">
        <f>IF(C324="","",IF($M$12="Actual",D324-D323,30))</f>
        <v>31</v>
      </c>
      <c r="G324" s="24">
        <f>IF(B324="","",L323)</f>
        <v>6304546.7906179698</v>
      </c>
      <c r="H324" s="24">
        <f>IF(B324="","",(C324&lt;=$I$10)*I324+(C324&gt;$I$10)*PMT($I$7/(E324/F324),$I$8+$I$10-C323,-G324))</f>
        <v>135579.33169946857</v>
      </c>
      <c r="I324" s="24">
        <f>IF(B324="","",G324*$I$7/E324*F324)</f>
        <v>27144.576459605149</v>
      </c>
      <c r="J324" s="24">
        <f>IF(B324="","",H324-I324)</f>
        <v>108434.75523986343</v>
      </c>
      <c r="K324" s="24">
        <f>IF(B324="","",(C324=$I$9)*(G324-J324))</f>
        <v>0</v>
      </c>
      <c r="L324" s="24">
        <f>IF(B324="","",G324-J324-K324)</f>
        <v>6196112.0353781059</v>
      </c>
      <c r="M324" s="24">
        <f>IF(B324="","",I324+J324+K324)</f>
        <v>135579.33169946857</v>
      </c>
    </row>
    <row r="325" spans="2:13" x14ac:dyDescent="0.2">
      <c r="B325" s="22">
        <f>IF(C325="","",ROUNDUP(C325/12,0))</f>
        <v>26</v>
      </c>
      <c r="C325" s="21">
        <f>IF(OR(C324="",C324&gt;=$I$9),"",C324+1)</f>
        <v>310</v>
      </c>
      <c r="D325" s="251">
        <f>IF(C325="","",EOMONTH(D324,1))</f>
        <v>53296</v>
      </c>
      <c r="E325" s="250" t="str">
        <f>IF(C325="","",$M$11)</f>
        <v>360</v>
      </c>
      <c r="F325" s="14">
        <f>IF(C325="","",IF($M$12="Actual",D325-D324,30))</f>
        <v>30</v>
      </c>
      <c r="G325" s="24">
        <f>IF(B325="","",L324)</f>
        <v>6196112.0353781059</v>
      </c>
      <c r="H325" s="24">
        <f>IF(B325="","",(C325&lt;=$I$10)*I325+(C325&gt;$I$10)*PMT($I$7/(E325/F325),$I$8+$I$10-C324,-G325))</f>
        <v>135109.78035689736</v>
      </c>
      <c r="I325" s="24">
        <f>IF(B325="","",G325*$I$7/E325*F325)</f>
        <v>25817.133480742108</v>
      </c>
      <c r="J325" s="24">
        <f>IF(B325="","",H325-I325)</f>
        <v>109292.64687615525</v>
      </c>
      <c r="K325" s="24">
        <f>IF(B325="","",(C325=$I$9)*(G325-J325))</f>
        <v>0</v>
      </c>
      <c r="L325" s="24">
        <f>IF(B325="","",G325-J325-K325)</f>
        <v>6086819.3885019505</v>
      </c>
      <c r="M325" s="24">
        <f>IF(B325="","",I325+J325+K325)</f>
        <v>135109.78035689736</v>
      </c>
    </row>
    <row r="326" spans="2:13" x14ac:dyDescent="0.2">
      <c r="B326" s="22">
        <f>IF(C326="","",ROUNDUP(C326/12,0))</f>
        <v>26</v>
      </c>
      <c r="C326" s="21">
        <f>IF(OR(C325="",C325&gt;=$I$9),"",C325+1)</f>
        <v>311</v>
      </c>
      <c r="D326" s="251">
        <f>IF(C326="","",EOMONTH(D325,1))</f>
        <v>53327</v>
      </c>
      <c r="E326" s="250" t="str">
        <f>IF(C326="","",$M$11)</f>
        <v>360</v>
      </c>
      <c r="F326" s="14">
        <f>IF(C326="","",IF($M$12="Actual",D326-D325,30))</f>
        <v>31</v>
      </c>
      <c r="G326" s="24">
        <f>IF(B326="","",L325)</f>
        <v>6086819.3885019505</v>
      </c>
      <c r="H326" s="24">
        <f>IF(B326="","",(C326&lt;=$I$10)*I326+(C326&gt;$I$10)*PMT($I$7/(E326/F326),$I$8+$I$10-C325,-G326))</f>
        <v>135570.62258708203</v>
      </c>
      <c r="I326" s="24">
        <f>IF(B326="","",G326*$I$7/E326*F326)</f>
        <v>26207.139033827843</v>
      </c>
      <c r="J326" s="24">
        <f>IF(B326="","",H326-I326)</f>
        <v>109363.48355325419</v>
      </c>
      <c r="K326" s="24">
        <f>IF(B326="","",(C326=$I$9)*(G326-J326))</f>
        <v>0</v>
      </c>
      <c r="L326" s="24">
        <f>IF(B326="","",G326-J326-K326)</f>
        <v>5977455.9049486965</v>
      </c>
      <c r="M326" s="24">
        <f>IF(B326="","",I326+J326+K326)</f>
        <v>135570.62258708203</v>
      </c>
    </row>
    <row r="327" spans="2:13" x14ac:dyDescent="0.2">
      <c r="B327" s="22">
        <f>IF(C327="","",ROUNDUP(C327/12,0))</f>
        <v>26</v>
      </c>
      <c r="C327" s="21">
        <f>IF(OR(C326="",C326&gt;=$I$9),"",C326+1)</f>
        <v>312</v>
      </c>
      <c r="D327" s="251">
        <f>IF(C327="","",EOMONTH(D326,1))</f>
        <v>53358</v>
      </c>
      <c r="E327" s="250" t="str">
        <f>IF(C327="","",$M$11)</f>
        <v>360</v>
      </c>
      <c r="F327" s="14">
        <f>IF(C327="","",IF($M$12="Actual",D327-D326,30))</f>
        <v>31</v>
      </c>
      <c r="G327" s="24">
        <f>IF(B327="","",L326)</f>
        <v>5977455.9049486965</v>
      </c>
      <c r="H327" s="24">
        <f>IF(B327="","",(C327&lt;=$I$10)*I327+(C327&gt;$I$10)*PMT($I$7/(E327/F327),$I$8+$I$10-C326,-G327))</f>
        <v>135570.62258708201</v>
      </c>
      <c r="I327" s="24">
        <f>IF(B327="","",G327*$I$7/E327*F327)</f>
        <v>25736.268479640221</v>
      </c>
      <c r="J327" s="24">
        <f>IF(B327="","",H327-I327)</f>
        <v>109834.35410744179</v>
      </c>
      <c r="K327" s="24">
        <f>IF(B327="","",(C327=$I$9)*(G327-J327))</f>
        <v>0</v>
      </c>
      <c r="L327" s="24">
        <f>IF(B327="","",G327-J327-K327)</f>
        <v>5867621.5508412551</v>
      </c>
      <c r="M327" s="24">
        <f>IF(B327="","",I327+J327+K327)</f>
        <v>135570.62258708201</v>
      </c>
    </row>
    <row r="328" spans="2:13" x14ac:dyDescent="0.2">
      <c r="B328" s="22">
        <f>IF(C328="","",ROUNDUP(C328/12,0))</f>
        <v>27</v>
      </c>
      <c r="C328" s="21">
        <f>IF(OR(C327="",C327&gt;=$I$9),"",C327+1)</f>
        <v>313</v>
      </c>
      <c r="D328" s="251">
        <f>IF(C328="","",EOMONTH(D327,1))</f>
        <v>53386</v>
      </c>
      <c r="E328" s="250" t="str">
        <f>IF(C328="","",$M$11)</f>
        <v>360</v>
      </c>
      <c r="F328" s="14">
        <f>IF(C328="","",IF($M$12="Actual",D328-D327,30))</f>
        <v>28</v>
      </c>
      <c r="G328" s="24">
        <f>IF(B328="","",L327)</f>
        <v>5867621.5508412551</v>
      </c>
      <c r="H328" s="24">
        <f>IF(B328="","",(C328&lt;=$I$10)*I328+(C328&gt;$I$10)*PMT($I$7/(E328/F328),$I$8+$I$10-C327,-G328))</f>
        <v>134242.98071790062</v>
      </c>
      <c r="I328" s="24">
        <f>IF(B328="","",G328*$I$7/E328*F328)</f>
        <v>22818.52825327155</v>
      </c>
      <c r="J328" s="24">
        <f>IF(B328="","",H328-I328)</f>
        <v>111424.45246462907</v>
      </c>
      <c r="K328" s="24">
        <f>IF(B328="","",(C328=$I$9)*(G328-J328))</f>
        <v>0</v>
      </c>
      <c r="L328" s="24">
        <f>IF(B328="","",G328-J328-K328)</f>
        <v>5756197.0983766261</v>
      </c>
      <c r="M328" s="24">
        <f>IF(B328="","",I328+J328+K328)</f>
        <v>134242.98071790062</v>
      </c>
    </row>
    <row r="329" spans="2:13" x14ac:dyDescent="0.2">
      <c r="B329" s="22">
        <f>IF(C329="","",ROUNDUP(C329/12,0))</f>
        <v>27</v>
      </c>
      <c r="C329" s="21">
        <f>IF(OR(C328="",C328&gt;=$I$9),"",C328+1)</f>
        <v>314</v>
      </c>
      <c r="D329" s="251">
        <f>IF(C329="","",EOMONTH(D328,1))</f>
        <v>53417</v>
      </c>
      <c r="E329" s="250" t="str">
        <f>IF(C329="","",$M$11)</f>
        <v>360</v>
      </c>
      <c r="F329" s="14">
        <f>IF(C329="","",IF($M$12="Actual",D329-D328,30))</f>
        <v>31</v>
      </c>
      <c r="G329" s="24">
        <f>IF(B329="","",L328)</f>
        <v>5756197.0983766261</v>
      </c>
      <c r="H329" s="24">
        <f>IF(B329="","",(C329&lt;=$I$10)*I329+(C329&gt;$I$10)*PMT($I$7/(E329/F329),$I$8+$I$10-C328,-G329))</f>
        <v>135544.31525837953</v>
      </c>
      <c r="I329" s="24">
        <f>IF(B329="","",G329*$I$7/E329*F329)</f>
        <v>24783.626395788251</v>
      </c>
      <c r="J329" s="24">
        <f>IF(B329="","",H329-I329)</f>
        <v>110760.68886259128</v>
      </c>
      <c r="K329" s="24">
        <f>IF(B329="","",(C329=$I$9)*(G329-J329))</f>
        <v>0</v>
      </c>
      <c r="L329" s="24">
        <f>IF(B329="","",G329-J329-K329)</f>
        <v>5645436.4095140351</v>
      </c>
      <c r="M329" s="24">
        <f>IF(B329="","",I329+J329+K329)</f>
        <v>135544.31525837953</v>
      </c>
    </row>
    <row r="330" spans="2:13" x14ac:dyDescent="0.2">
      <c r="B330" s="22">
        <f>IF(C330="","",ROUNDUP(C330/12,0))</f>
        <v>27</v>
      </c>
      <c r="C330" s="21">
        <f>IF(OR(C329="",C329&gt;=$I$9),"",C329+1)</f>
        <v>315</v>
      </c>
      <c r="D330" s="251">
        <f>IF(C330="","",EOMONTH(D329,1))</f>
        <v>53447</v>
      </c>
      <c r="E330" s="250" t="str">
        <f>IF(C330="","",$M$11)</f>
        <v>360</v>
      </c>
      <c r="F330" s="14">
        <f>IF(C330="","",IF($M$12="Actual",D330-D329,30))</f>
        <v>30</v>
      </c>
      <c r="G330" s="24">
        <f>IF(B330="","",L329)</f>
        <v>5645436.4095140351</v>
      </c>
      <c r="H330" s="24">
        <f>IF(B330="","",(C330&lt;=$I$10)*I330+(C330&gt;$I$10)*PMT($I$7/(E330/F330),$I$8+$I$10-C329,-G330))</f>
        <v>135118.40818589518</v>
      </c>
      <c r="I330" s="24">
        <f>IF(B330="","",G330*$I$7/E330*F330)</f>
        <v>23522.651706308479</v>
      </c>
      <c r="J330" s="24">
        <f>IF(B330="","",H330-I330)</f>
        <v>111595.75647958671</v>
      </c>
      <c r="K330" s="24">
        <f>IF(B330="","",(C330=$I$9)*(G330-J330))</f>
        <v>0</v>
      </c>
      <c r="L330" s="24">
        <f>IF(B330="","",G330-J330-K330)</f>
        <v>5533840.6530344486</v>
      </c>
      <c r="M330" s="24">
        <f>IF(B330="","",I330+J330+K330)</f>
        <v>135118.40818589518</v>
      </c>
    </row>
    <row r="331" spans="2:13" x14ac:dyDescent="0.2">
      <c r="B331" s="22">
        <f>IF(C331="","",ROUNDUP(C331/12,0))</f>
        <v>27</v>
      </c>
      <c r="C331" s="21">
        <f>IF(OR(C330="",C330&gt;=$I$9),"",C330+1)</f>
        <v>316</v>
      </c>
      <c r="D331" s="251">
        <f>IF(C331="","",EOMONTH(D330,1))</f>
        <v>53478</v>
      </c>
      <c r="E331" s="250" t="str">
        <f>IF(C331="","",$M$11)</f>
        <v>360</v>
      </c>
      <c r="F331" s="14">
        <f>IF(C331="","",IF($M$12="Actual",D331-D330,30))</f>
        <v>31</v>
      </c>
      <c r="G331" s="24">
        <f>IF(B331="","",L330)</f>
        <v>5533840.6530344486</v>
      </c>
      <c r="H331" s="24">
        <f>IF(B331="","",(C331&lt;=$I$10)*I331+(C331&gt;$I$10)*PMT($I$7/(E331/F331),$I$8+$I$10-C330,-G331))</f>
        <v>135535.54263511417</v>
      </c>
      <c r="I331" s="24">
        <f>IF(B331="","",G331*$I$7/E331*F331)</f>
        <v>23826.25836723165</v>
      </c>
      <c r="J331" s="24">
        <f>IF(B331="","",H331-I331)</f>
        <v>111709.28426788251</v>
      </c>
      <c r="K331" s="24">
        <f>IF(B331="","",(C331=$I$9)*(G331-J331))</f>
        <v>0</v>
      </c>
      <c r="L331" s="24">
        <f>IF(B331="","",G331-J331-K331)</f>
        <v>5422131.3687665658</v>
      </c>
      <c r="M331" s="24">
        <f>IF(B331="","",I331+J331+K331)</f>
        <v>135535.54263511417</v>
      </c>
    </row>
    <row r="332" spans="2:13" x14ac:dyDescent="0.2">
      <c r="B332" s="22">
        <f>IF(C332="","",ROUNDUP(C332/12,0))</f>
        <v>27</v>
      </c>
      <c r="C332" s="21">
        <f>IF(OR(C331="",C331&gt;=$I$9),"",C331+1)</f>
        <v>317</v>
      </c>
      <c r="D332" s="251">
        <f>IF(C332="","",EOMONTH(D331,1))</f>
        <v>53508</v>
      </c>
      <c r="E332" s="250" t="str">
        <f>IF(C332="","",$M$11)</f>
        <v>360</v>
      </c>
      <c r="F332" s="14">
        <f>IF(C332="","",IF($M$12="Actual",D332-D331,30))</f>
        <v>30</v>
      </c>
      <c r="G332" s="24">
        <f>IF(B332="","",L331)</f>
        <v>5422131.3687665658</v>
      </c>
      <c r="H332" s="24">
        <f>IF(B332="","",(C332&lt;=$I$10)*I332+(C332&gt;$I$10)*PMT($I$7/(E332/F332),$I$8+$I$10-C331,-G332))</f>
        <v>135127.16692886231</v>
      </c>
      <c r="I332" s="24">
        <f>IF(B332="","",G332*$I$7/E332*F332)</f>
        <v>22592.214036527355</v>
      </c>
      <c r="J332" s="24">
        <f>IF(B332="","",H332-I332)</f>
        <v>112534.95289233496</v>
      </c>
      <c r="K332" s="24">
        <f>IF(B332="","",(C332=$I$9)*(G332-J332))</f>
        <v>0</v>
      </c>
      <c r="L332" s="24">
        <f>IF(B332="","",G332-J332-K332)</f>
        <v>5309596.4158742307</v>
      </c>
      <c r="M332" s="24">
        <f>IF(B332="","",I332+J332+K332)</f>
        <v>135127.16692886231</v>
      </c>
    </row>
    <row r="333" spans="2:13" x14ac:dyDescent="0.2">
      <c r="B333" s="22">
        <f>IF(C333="","",ROUNDUP(C333/12,0))</f>
        <v>27</v>
      </c>
      <c r="C333" s="21">
        <f>IF(OR(C332="",C332&gt;=$I$9),"",C332+1)</f>
        <v>318</v>
      </c>
      <c r="D333" s="251">
        <f>IF(C333="","",EOMONTH(D332,1))</f>
        <v>53539</v>
      </c>
      <c r="E333" s="250" t="str">
        <f>IF(C333="","",$M$11)</f>
        <v>360</v>
      </c>
      <c r="F333" s="14">
        <f>IF(C333="","",IF($M$12="Actual",D333-D332,30))</f>
        <v>31</v>
      </c>
      <c r="G333" s="24">
        <f>IF(B333="","",L332)</f>
        <v>5309596.4158742307</v>
      </c>
      <c r="H333" s="24">
        <f>IF(B333="","",(C333&lt;=$I$10)*I333+(C333&gt;$I$10)*PMT($I$7/(E333/F333),$I$8+$I$10-C332,-G333))</f>
        <v>135526.74426196015</v>
      </c>
      <c r="I333" s="24">
        <f>IF(B333="","",G333*$I$7/E333*F333)</f>
        <v>22860.762346125157</v>
      </c>
      <c r="J333" s="24">
        <f>IF(B333="","",H333-I333)</f>
        <v>112665.981915835</v>
      </c>
      <c r="K333" s="24">
        <f>IF(B333="","",(C333=$I$9)*(G333-J333))</f>
        <v>0</v>
      </c>
      <c r="L333" s="24">
        <f>IF(B333="","",G333-J333-K333)</f>
        <v>5196930.4339583954</v>
      </c>
      <c r="M333" s="24">
        <f>IF(B333="","",I333+J333+K333)</f>
        <v>135526.74426196015</v>
      </c>
    </row>
    <row r="334" spans="2:13" x14ac:dyDescent="0.2">
      <c r="B334" s="22">
        <f>IF(C334="","",ROUNDUP(C334/12,0))</f>
        <v>27</v>
      </c>
      <c r="C334" s="21">
        <f>IF(OR(C333="",C333&gt;=$I$9),"",C333+1)</f>
        <v>319</v>
      </c>
      <c r="D334" s="251">
        <f>IF(C334="","",EOMONTH(D333,1))</f>
        <v>53570</v>
      </c>
      <c r="E334" s="250" t="str">
        <f>IF(C334="","",$M$11)</f>
        <v>360</v>
      </c>
      <c r="F334" s="14">
        <f>IF(C334="","",IF($M$12="Actual",D334-D333,30))</f>
        <v>31</v>
      </c>
      <c r="G334" s="24">
        <f>IF(B334="","",L333)</f>
        <v>5196930.4339583954</v>
      </c>
      <c r="H334" s="24">
        <f>IF(B334="","",(C334&lt;=$I$10)*I334+(C334&gt;$I$10)*PMT($I$7/(E334/F334),$I$8+$I$10-C333,-G334))</f>
        <v>135526.74426196012</v>
      </c>
      <c r="I334" s="24">
        <f>IF(B334="","",G334*$I$7/E334*F334)</f>
        <v>22375.672701765314</v>
      </c>
      <c r="J334" s="24">
        <f>IF(B334="","",H334-I334)</f>
        <v>113151.0715601948</v>
      </c>
      <c r="K334" s="24">
        <f>IF(B334="","",(C334=$I$9)*(G334-J334))</f>
        <v>0</v>
      </c>
      <c r="L334" s="24">
        <f>IF(B334="","",G334-J334-K334)</f>
        <v>5083779.3623982007</v>
      </c>
      <c r="M334" s="24">
        <f>IF(B334="","",I334+J334+K334)</f>
        <v>135526.74426196012</v>
      </c>
    </row>
    <row r="335" spans="2:13" x14ac:dyDescent="0.2">
      <c r="B335" s="22">
        <f>IF(C335="","",ROUNDUP(C335/12,0))</f>
        <v>27</v>
      </c>
      <c r="C335" s="21">
        <f>IF(OR(C334="",C334&gt;=$I$9),"",C334+1)</f>
        <v>320</v>
      </c>
      <c r="D335" s="251">
        <f>IF(C335="","",EOMONTH(D334,1))</f>
        <v>53600</v>
      </c>
      <c r="E335" s="250" t="str">
        <f>IF(C335="","",$M$11)</f>
        <v>360</v>
      </c>
      <c r="F335" s="14">
        <f>IF(C335="","",IF($M$12="Actual",D335-D334,30))</f>
        <v>30</v>
      </c>
      <c r="G335" s="24">
        <f>IF(B335="","",L334)</f>
        <v>5083779.3623982007</v>
      </c>
      <c r="H335" s="24">
        <f>IF(B335="","",(C335&lt;=$I$10)*I335+(C335&gt;$I$10)*PMT($I$7/(E335/F335),$I$8+$I$10-C334,-G335))</f>
        <v>135144.75174015152</v>
      </c>
      <c r="I335" s="24">
        <f>IF(B335="","",G335*$I$7/E335*F335)</f>
        <v>21182.414009992503</v>
      </c>
      <c r="J335" s="24">
        <f>IF(B335="","",H335-I335)</f>
        <v>113962.33773015902</v>
      </c>
      <c r="K335" s="24">
        <f>IF(B335="","",(C335=$I$9)*(G335-J335))</f>
        <v>0</v>
      </c>
      <c r="L335" s="24">
        <f>IF(B335="","",G335-J335-K335)</f>
        <v>4969817.0246680416</v>
      </c>
      <c r="M335" s="24">
        <f>IF(B335="","",I335+J335+K335)</f>
        <v>135144.75174015152</v>
      </c>
    </row>
    <row r="336" spans="2:13" x14ac:dyDescent="0.2">
      <c r="B336" s="22">
        <f>IF(C336="","",ROUNDUP(C336/12,0))</f>
        <v>27</v>
      </c>
      <c r="C336" s="21">
        <f>IF(OR(C335="",C335&gt;=$I$9),"",C335+1)</f>
        <v>321</v>
      </c>
      <c r="D336" s="251">
        <f>IF(C336="","",EOMONTH(D335,1))</f>
        <v>53631</v>
      </c>
      <c r="E336" s="250" t="str">
        <f>IF(C336="","",$M$11)</f>
        <v>360</v>
      </c>
      <c r="F336" s="14">
        <f>IF(C336="","",IF($M$12="Actual",D336-D335,30))</f>
        <v>31</v>
      </c>
      <c r="G336" s="24">
        <f>IF(B336="","",L335)</f>
        <v>4969817.0246680416</v>
      </c>
      <c r="H336" s="24">
        <f>IF(B336="","",(C336&lt;=$I$10)*I336+(C336&gt;$I$10)*PMT($I$7/(E336/F336),$I$8+$I$10-C335,-G336))</f>
        <v>135517.90697081061</v>
      </c>
      <c r="I336" s="24">
        <f>IF(B336="","",G336*$I$7/E336*F336)</f>
        <v>21397.823300654069</v>
      </c>
      <c r="J336" s="24">
        <f>IF(B336="","",H336-I336)</f>
        <v>114120.08367015654</v>
      </c>
      <c r="K336" s="24">
        <f>IF(B336="","",(C336=$I$9)*(G336-J336))</f>
        <v>0</v>
      </c>
      <c r="L336" s="24">
        <f>IF(B336="","",G336-J336-K336)</f>
        <v>4855696.9409978855</v>
      </c>
      <c r="M336" s="24">
        <f>IF(B336="","",I336+J336+K336)</f>
        <v>135517.90697081061</v>
      </c>
    </row>
    <row r="337" spans="2:13" x14ac:dyDescent="0.2">
      <c r="B337" s="22">
        <f>IF(C337="","",ROUNDUP(C337/12,0))</f>
        <v>27</v>
      </c>
      <c r="C337" s="21">
        <f>IF(OR(C336="",C336&gt;=$I$9),"",C336+1)</f>
        <v>322</v>
      </c>
      <c r="D337" s="251">
        <f>IF(C337="","",EOMONTH(D336,1))</f>
        <v>53661</v>
      </c>
      <c r="E337" s="250" t="str">
        <f>IF(C337="","",$M$11)</f>
        <v>360</v>
      </c>
      <c r="F337" s="14">
        <f>IF(C337="","",IF($M$12="Actual",D337-D336,30))</f>
        <v>30</v>
      </c>
      <c r="G337" s="24">
        <f>IF(B337="","",L336)</f>
        <v>4855696.9409978855</v>
      </c>
      <c r="H337" s="24">
        <f>IF(B337="","",(C337&lt;=$I$10)*I337+(C337&gt;$I$10)*PMT($I$7/(E337/F337),$I$8+$I$10-C336,-G337))</f>
        <v>135153.57782890537</v>
      </c>
      <c r="I337" s="24">
        <f>IF(B337="","",G337*$I$7/E337*F337)</f>
        <v>20232.070587491191</v>
      </c>
      <c r="J337" s="24">
        <f>IF(B337="","",H337-I337)</f>
        <v>114921.50724141418</v>
      </c>
      <c r="K337" s="24">
        <f>IF(B337="","",(C337=$I$9)*(G337-J337))</f>
        <v>0</v>
      </c>
      <c r="L337" s="24">
        <f>IF(B337="","",G337-J337-K337)</f>
        <v>4740775.4337564716</v>
      </c>
      <c r="M337" s="24">
        <f>IF(B337="","",I337+J337+K337)</f>
        <v>135153.57782890537</v>
      </c>
    </row>
    <row r="338" spans="2:13" x14ac:dyDescent="0.2">
      <c r="B338" s="22">
        <f>IF(C338="","",ROUNDUP(C338/12,0))</f>
        <v>27</v>
      </c>
      <c r="C338" s="21">
        <f>IF(OR(C337="",C337&gt;=$I$9),"",C337+1)</f>
        <v>323</v>
      </c>
      <c r="D338" s="251">
        <f>IF(C338="","",EOMONTH(D337,1))</f>
        <v>53692</v>
      </c>
      <c r="E338" s="250" t="str">
        <f>IF(C338="","",$M$11)</f>
        <v>360</v>
      </c>
      <c r="F338" s="14">
        <f>IF(C338="","",IF($M$12="Actual",D338-D337,30))</f>
        <v>31</v>
      </c>
      <c r="G338" s="24">
        <f>IF(B338="","",L337)</f>
        <v>4740775.4337564716</v>
      </c>
      <c r="H338" s="24">
        <f>IF(B338="","",(C338&lt;=$I$10)*I338+(C338&gt;$I$10)*PMT($I$7/(E338/F338),$I$8+$I$10-C337,-G338))</f>
        <v>135509.04392193665</v>
      </c>
      <c r="I338" s="24">
        <f>IF(B338="","",G338*$I$7/E338*F338)</f>
        <v>20411.672006451474</v>
      </c>
      <c r="J338" s="24">
        <f>IF(B338="","",H338-I338)</f>
        <v>115097.37191548519</v>
      </c>
      <c r="K338" s="24">
        <f>IF(B338="","",(C338=$I$9)*(G338-J338))</f>
        <v>0</v>
      </c>
      <c r="L338" s="24">
        <f>IF(B338="","",G338-J338-K338)</f>
        <v>4625678.0618409868</v>
      </c>
      <c r="M338" s="24">
        <f>IF(B338="","",I338+J338+K338)</f>
        <v>135509.04392193665</v>
      </c>
    </row>
    <row r="339" spans="2:13" x14ac:dyDescent="0.2">
      <c r="B339" s="22">
        <f>IF(C339="","",ROUNDUP(C339/12,0))</f>
        <v>27</v>
      </c>
      <c r="C339" s="21">
        <f>IF(OR(C338="",C338&gt;=$I$9),"",C338+1)</f>
        <v>324</v>
      </c>
      <c r="D339" s="251">
        <f>IF(C339="","",EOMONTH(D338,1))</f>
        <v>53723</v>
      </c>
      <c r="E339" s="250" t="str">
        <f>IF(C339="","",$M$11)</f>
        <v>360</v>
      </c>
      <c r="F339" s="14">
        <f>IF(C339="","",IF($M$12="Actual",D339-D338,30))</f>
        <v>31</v>
      </c>
      <c r="G339" s="24">
        <f>IF(B339="","",L338)</f>
        <v>4625678.0618409868</v>
      </c>
      <c r="H339" s="24">
        <f>IF(B339="","",(C339&lt;=$I$10)*I339+(C339&gt;$I$10)*PMT($I$7/(E339/F339),$I$8+$I$10-C338,-G339))</f>
        <v>135509.04392193665</v>
      </c>
      <c r="I339" s="24">
        <f>IF(B339="","",G339*$I$7/E339*F339)</f>
        <v>19916.113877370917</v>
      </c>
      <c r="J339" s="24">
        <f>IF(B339="","",H339-I339)</f>
        <v>115592.93004456573</v>
      </c>
      <c r="K339" s="24">
        <f>IF(B339="","",(C339=$I$9)*(G339-J339))</f>
        <v>0</v>
      </c>
      <c r="L339" s="24">
        <f>IF(B339="","",G339-J339-K339)</f>
        <v>4510085.1317964215</v>
      </c>
      <c r="M339" s="24">
        <f>IF(B339="","",I339+J339+K339)</f>
        <v>135509.04392193665</v>
      </c>
    </row>
    <row r="340" spans="2:13" x14ac:dyDescent="0.2">
      <c r="B340" s="22">
        <f>IF(C340="","",ROUNDUP(C340/12,0))</f>
        <v>28</v>
      </c>
      <c r="C340" s="21">
        <f>IF(OR(C339="",C339&gt;=$I$9),"",C339+1)</f>
        <v>325</v>
      </c>
      <c r="D340" s="251">
        <f>IF(C340="","",EOMONTH(D339,1))</f>
        <v>53751</v>
      </c>
      <c r="E340" s="250" t="str">
        <f>IF(C340="","",$M$11)</f>
        <v>360</v>
      </c>
      <c r="F340" s="14">
        <f>IF(C340="","",IF($M$12="Actual",D340-D339,30))</f>
        <v>28</v>
      </c>
      <c r="G340" s="24">
        <f>IF(B340="","",L339)</f>
        <v>4510085.1317964215</v>
      </c>
      <c r="H340" s="24">
        <f>IF(B340="","",(C340&lt;=$I$10)*I340+(C340&gt;$I$10)*PMT($I$7/(E340/F340),$I$8+$I$10-C339,-G340))</f>
        <v>134497.35617880177</v>
      </c>
      <c r="I340" s="24">
        <f>IF(B340="","",G340*$I$7/E340*F340)</f>
        <v>17539.219956986082</v>
      </c>
      <c r="J340" s="24">
        <f>IF(B340="","",H340-I340)</f>
        <v>116958.13622181569</v>
      </c>
      <c r="K340" s="24">
        <f>IF(B340="","",(C340=$I$9)*(G340-J340))</f>
        <v>0</v>
      </c>
      <c r="L340" s="24">
        <f>IF(B340="","",G340-J340-K340)</f>
        <v>4393126.9955746057</v>
      </c>
      <c r="M340" s="24">
        <f>IF(B340="","",I340+J340+K340)</f>
        <v>134497.35617880177</v>
      </c>
    </row>
    <row r="341" spans="2:13" x14ac:dyDescent="0.2">
      <c r="B341" s="22">
        <f>IF(C341="","",ROUNDUP(C341/12,0))</f>
        <v>28</v>
      </c>
      <c r="C341" s="21">
        <f>IF(OR(C340="",C340&gt;=$I$9),"",C340+1)</f>
        <v>326</v>
      </c>
      <c r="D341" s="251">
        <f>IF(C341="","",EOMONTH(D340,1))</f>
        <v>53782</v>
      </c>
      <c r="E341" s="250" t="str">
        <f>IF(C341="","",$M$11)</f>
        <v>360</v>
      </c>
      <c r="F341" s="14">
        <f>IF(C341="","",IF($M$12="Actual",D341-D340,30))</f>
        <v>31</v>
      </c>
      <c r="G341" s="24">
        <f>IF(B341="","",L340)</f>
        <v>4393126.9955746057</v>
      </c>
      <c r="H341" s="24">
        <f>IF(B341="","",(C341&lt;=$I$10)*I341+(C341&gt;$I$10)*PMT($I$7/(E341/F341),$I$8+$I$10-C340,-G341))</f>
        <v>135482.29012285851</v>
      </c>
      <c r="I341" s="24">
        <f>IF(B341="","",G341*$I$7/E341*F341)</f>
        <v>18914.852342057329</v>
      </c>
      <c r="J341" s="24">
        <f>IF(B341="","",H341-I341)</f>
        <v>116567.43778080118</v>
      </c>
      <c r="K341" s="24">
        <f>IF(B341="","",(C341=$I$9)*(G341-J341))</f>
        <v>0</v>
      </c>
      <c r="L341" s="24">
        <f>IF(B341="","",G341-J341-K341)</f>
        <v>4276559.5577938044</v>
      </c>
      <c r="M341" s="24">
        <f>IF(B341="","",I341+J341+K341)</f>
        <v>135482.29012285851</v>
      </c>
    </row>
    <row r="342" spans="2:13" x14ac:dyDescent="0.2">
      <c r="B342" s="22">
        <f>IF(C342="","",ROUNDUP(C342/12,0))</f>
        <v>28</v>
      </c>
      <c r="C342" s="21">
        <f>IF(OR(C341="",C341&gt;=$I$9),"",C341+1)</f>
        <v>327</v>
      </c>
      <c r="D342" s="251">
        <f>IF(C342="","",EOMONTH(D341,1))</f>
        <v>53812</v>
      </c>
      <c r="E342" s="250" t="str">
        <f>IF(C342="","",$M$11)</f>
        <v>360</v>
      </c>
      <c r="F342" s="14">
        <f>IF(C342="","",IF($M$12="Actual",D342-D341,30))</f>
        <v>30</v>
      </c>
      <c r="G342" s="24">
        <f>IF(B342="","",L341)</f>
        <v>4276559.5577938044</v>
      </c>
      <c r="H342" s="24">
        <f>IF(B342="","",(C342&lt;=$I$10)*I342+(C342&gt;$I$10)*PMT($I$7/(E342/F342),$I$8+$I$10-C341,-G342))</f>
        <v>135162.381272912</v>
      </c>
      <c r="I342" s="24">
        <f>IF(B342="","",G342*$I$7/E342*F342)</f>
        <v>17818.998157474187</v>
      </c>
      <c r="J342" s="24">
        <f>IF(B342="","",H342-I342)</f>
        <v>117343.38311543781</v>
      </c>
      <c r="K342" s="24">
        <f>IF(B342="","",(C342=$I$9)*(G342-J342))</f>
        <v>0</v>
      </c>
      <c r="L342" s="24">
        <f>IF(B342="","",G342-J342-K342)</f>
        <v>4159216.1746783666</v>
      </c>
      <c r="M342" s="24">
        <f>IF(B342="","",I342+J342+K342)</f>
        <v>135162.381272912</v>
      </c>
    </row>
    <row r="343" spans="2:13" x14ac:dyDescent="0.2">
      <c r="B343" s="22">
        <f>IF(C343="","",ROUNDUP(C343/12,0))</f>
        <v>28</v>
      </c>
      <c r="C343" s="21">
        <f>IF(OR(C342="",C342&gt;=$I$9),"",C342+1)</f>
        <v>328</v>
      </c>
      <c r="D343" s="251">
        <f>IF(C343="","",EOMONTH(D342,1))</f>
        <v>53843</v>
      </c>
      <c r="E343" s="250" t="str">
        <f>IF(C343="","",$M$11)</f>
        <v>360</v>
      </c>
      <c r="F343" s="14">
        <f>IF(C343="","",IF($M$12="Actual",D343-D342,30))</f>
        <v>31</v>
      </c>
      <c r="G343" s="24">
        <f>IF(B343="","",L342)</f>
        <v>4159216.1746783666</v>
      </c>
      <c r="H343" s="24">
        <f>IF(B343="","",(C343&lt;=$I$10)*I343+(C343&gt;$I$10)*PMT($I$7/(E343/F343),$I$8+$I$10-C342,-G343))</f>
        <v>135473.36355488031</v>
      </c>
      <c r="I343" s="24">
        <f>IF(B343="","",G343*$I$7/E343*F343)</f>
        <v>17907.736307642968</v>
      </c>
      <c r="J343" s="24">
        <f>IF(B343="","",H343-I343)</f>
        <v>117565.62724723734</v>
      </c>
      <c r="K343" s="24">
        <f>IF(B343="","",(C343=$I$9)*(G343-J343))</f>
        <v>0</v>
      </c>
      <c r="L343" s="24">
        <f>IF(B343="","",G343-J343-K343)</f>
        <v>4041650.5474311295</v>
      </c>
      <c r="M343" s="24">
        <f>IF(B343="","",I343+J343+K343)</f>
        <v>135473.36355488031</v>
      </c>
    </row>
    <row r="344" spans="2:13" x14ac:dyDescent="0.2">
      <c r="B344" s="22">
        <f>IF(C344="","",ROUNDUP(C344/12,0))</f>
        <v>28</v>
      </c>
      <c r="C344" s="21">
        <f>IF(OR(C343="",C343&gt;=$I$9),"",C343+1)</f>
        <v>329</v>
      </c>
      <c r="D344" s="251">
        <f>IF(C344="","",EOMONTH(D343,1))</f>
        <v>53873</v>
      </c>
      <c r="E344" s="250" t="str">
        <f>IF(C344="","",$M$11)</f>
        <v>360</v>
      </c>
      <c r="F344" s="14">
        <f>IF(C344="","",IF($M$12="Actual",D344-D343,30))</f>
        <v>30</v>
      </c>
      <c r="G344" s="24">
        <f>IF(B344="","",L343)</f>
        <v>4041650.5474311295</v>
      </c>
      <c r="H344" s="24">
        <f>IF(B344="","",(C344&lt;=$I$10)*I344+(C344&gt;$I$10)*PMT($I$7/(E344/F344),$I$8+$I$10-C343,-G344))</f>
        <v>135171.30049498193</v>
      </c>
      <c r="I344" s="24">
        <f>IF(B344="","",G344*$I$7/E344*F344)</f>
        <v>16840.210614296375</v>
      </c>
      <c r="J344" s="24">
        <f>IF(B344="","",H344-I344)</f>
        <v>118331.08988068555</v>
      </c>
      <c r="K344" s="24">
        <f>IF(B344="","",(C344=$I$9)*(G344-J344))</f>
        <v>0</v>
      </c>
      <c r="L344" s="24">
        <f>IF(B344="","",G344-J344-K344)</f>
        <v>3923319.4575504437</v>
      </c>
      <c r="M344" s="24">
        <f>IF(B344="","",I344+J344+K344)</f>
        <v>135171.30049498193</v>
      </c>
    </row>
    <row r="345" spans="2:13" x14ac:dyDescent="0.2">
      <c r="B345" s="22">
        <f>IF(C345="","",ROUNDUP(C345/12,0))</f>
        <v>28</v>
      </c>
      <c r="C345" s="21">
        <f>IF(OR(C344="",C344&gt;=$I$9),"",C344+1)</f>
        <v>330</v>
      </c>
      <c r="D345" s="251">
        <f>IF(C345="","",EOMONTH(D344,1))</f>
        <v>53904</v>
      </c>
      <c r="E345" s="250" t="str">
        <f>IF(C345="","",$M$11)</f>
        <v>360</v>
      </c>
      <c r="F345" s="14">
        <f>IF(C345="","",IF($M$12="Actual",D345-D344,30))</f>
        <v>31</v>
      </c>
      <c r="G345" s="24">
        <f>IF(B345="","",L344)</f>
        <v>3923319.4575504437</v>
      </c>
      <c r="H345" s="24">
        <f>IF(B345="","",(C345&lt;=$I$10)*I345+(C345&gt;$I$10)*PMT($I$7/(E345/F345),$I$8+$I$10-C344,-G345))</f>
        <v>135464.41122603122</v>
      </c>
      <c r="I345" s="24">
        <f>IF(B345="","",G345*$I$7/E345*F345)</f>
        <v>16892.069886675523</v>
      </c>
      <c r="J345" s="24">
        <f>IF(B345="","",H345-I345)</f>
        <v>118572.3413393557</v>
      </c>
      <c r="K345" s="24">
        <f>IF(B345="","",(C345=$I$9)*(G345-J345))</f>
        <v>0</v>
      </c>
      <c r="L345" s="24">
        <f>IF(B345="","",G345-J345-K345)</f>
        <v>3804747.1162110879</v>
      </c>
      <c r="M345" s="24">
        <f>IF(B345="","",I345+J345+K345)</f>
        <v>135464.41122603122</v>
      </c>
    </row>
    <row r="346" spans="2:13" x14ac:dyDescent="0.2">
      <c r="B346" s="22">
        <f>IF(C346="","",ROUNDUP(C346/12,0))</f>
        <v>28</v>
      </c>
      <c r="C346" s="21">
        <f>IF(OR(C345="",C345&gt;=$I$9),"",C345+1)</f>
        <v>331</v>
      </c>
      <c r="D346" s="251">
        <f>IF(C346="","",EOMONTH(D345,1))</f>
        <v>53935</v>
      </c>
      <c r="E346" s="250" t="str">
        <f>IF(C346="","",$M$11)</f>
        <v>360</v>
      </c>
      <c r="F346" s="14">
        <f>IF(C346="","",IF($M$12="Actual",D346-D345,30))</f>
        <v>31</v>
      </c>
      <c r="G346" s="24">
        <f>IF(B346="","",L345)</f>
        <v>3804747.1162110879</v>
      </c>
      <c r="H346" s="24">
        <f>IF(B346="","",(C346&lt;=$I$10)*I346+(C346&gt;$I$10)*PMT($I$7/(E346/F346),$I$8+$I$10-C345,-G346))</f>
        <v>135464.41122603125</v>
      </c>
      <c r="I346" s="24">
        <f>IF(B346="","",G346*$I$7/E346*F346)</f>
        <v>16381.55008368663</v>
      </c>
      <c r="J346" s="24">
        <f>IF(B346="","",H346-I346)</f>
        <v>119082.86114234463</v>
      </c>
      <c r="K346" s="24">
        <f>IF(B346="","",(C346=$I$9)*(G346-J346))</f>
        <v>0</v>
      </c>
      <c r="L346" s="24">
        <f>IF(B346="","",G346-J346-K346)</f>
        <v>3685664.2550687431</v>
      </c>
      <c r="M346" s="24">
        <f>IF(B346="","",I346+J346+K346)</f>
        <v>135464.41122603125</v>
      </c>
    </row>
    <row r="347" spans="2:13" x14ac:dyDescent="0.2">
      <c r="B347" s="22">
        <f>IF(C347="","",ROUNDUP(C347/12,0))</f>
        <v>28</v>
      </c>
      <c r="C347" s="21">
        <f>IF(OR(C346="",C346&gt;=$I$9),"",C346+1)</f>
        <v>332</v>
      </c>
      <c r="D347" s="251">
        <f>IF(C347="","",EOMONTH(D346,1))</f>
        <v>53965</v>
      </c>
      <c r="E347" s="250" t="str">
        <f>IF(C347="","",$M$11)</f>
        <v>360</v>
      </c>
      <c r="F347" s="14">
        <f>IF(C347="","",IF($M$12="Actual",D347-D346,30))</f>
        <v>30</v>
      </c>
      <c r="G347" s="24">
        <f>IF(B347="","",L346)</f>
        <v>3685664.2550687431</v>
      </c>
      <c r="H347" s="24">
        <f>IF(B347="","",(C347&lt;=$I$10)*I347+(C347&gt;$I$10)*PMT($I$7/(E347/F347),$I$8+$I$10-C346,-G347))</f>
        <v>135189.20645326181</v>
      </c>
      <c r="I347" s="24">
        <f>IF(B347="","",G347*$I$7/E347*F347)</f>
        <v>15356.934396119765</v>
      </c>
      <c r="J347" s="24">
        <f>IF(B347="","",H347-I347)</f>
        <v>119832.27205714205</v>
      </c>
      <c r="K347" s="24">
        <f>IF(B347="","",(C347=$I$9)*(G347-J347))</f>
        <v>0</v>
      </c>
      <c r="L347" s="24">
        <f>IF(B347="","",G347-J347-K347)</f>
        <v>3565831.983011601</v>
      </c>
      <c r="M347" s="24">
        <f>IF(B347="","",I347+J347+K347)</f>
        <v>135189.20645326181</v>
      </c>
    </row>
    <row r="348" spans="2:13" x14ac:dyDescent="0.2">
      <c r="B348" s="22">
        <f>IF(C348="","",ROUNDUP(C348/12,0))</f>
        <v>28</v>
      </c>
      <c r="C348" s="21">
        <f>IF(OR(C347="",C347&gt;=$I$9),"",C347+1)</f>
        <v>333</v>
      </c>
      <c r="D348" s="251">
        <f>IF(C348="","",EOMONTH(D347,1))</f>
        <v>53996</v>
      </c>
      <c r="E348" s="250" t="str">
        <f>IF(C348="","",$M$11)</f>
        <v>360</v>
      </c>
      <c r="F348" s="14">
        <f>IF(C348="","",IF($M$12="Actual",D348-D347,30))</f>
        <v>31</v>
      </c>
      <c r="G348" s="24">
        <f>IF(B348="","",L347)</f>
        <v>3565831.983011601</v>
      </c>
      <c r="H348" s="24">
        <f>IF(B348="","",(C348&lt;=$I$10)*I348+(C348&gt;$I$10)*PMT($I$7/(E348/F348),$I$8+$I$10-C347,-G348))</f>
        <v>135455.41995685597</v>
      </c>
      <c r="I348" s="24">
        <f>IF(B348="","",G348*$I$7/E348*F348)</f>
        <v>15352.887704633284</v>
      </c>
      <c r="J348" s="24">
        <f>IF(B348="","",H348-I348)</f>
        <v>120102.53225222269</v>
      </c>
      <c r="K348" s="24">
        <f>IF(B348="","",(C348=$I$9)*(G348-J348))</f>
        <v>0</v>
      </c>
      <c r="L348" s="24">
        <f>IF(B348="","",G348-J348-K348)</f>
        <v>3445729.4507593783</v>
      </c>
      <c r="M348" s="24">
        <f>IF(B348="","",I348+J348+K348)</f>
        <v>135455.41995685597</v>
      </c>
    </row>
    <row r="349" spans="2:13" x14ac:dyDescent="0.2">
      <c r="B349" s="22">
        <f>IF(C349="","",ROUNDUP(C349/12,0))</f>
        <v>28</v>
      </c>
      <c r="C349" s="21">
        <f>IF(OR(C348="",C348&gt;=$I$9),"",C348+1)</f>
        <v>334</v>
      </c>
      <c r="D349" s="251">
        <f>IF(C349="","",EOMONTH(D348,1))</f>
        <v>54026</v>
      </c>
      <c r="E349" s="250" t="str">
        <f>IF(C349="","",$M$11)</f>
        <v>360</v>
      </c>
      <c r="F349" s="14">
        <f>IF(C349="","",IF($M$12="Actual",D349-D348,30))</f>
        <v>30</v>
      </c>
      <c r="G349" s="24">
        <f>IF(B349="","",L348)</f>
        <v>3445729.4507593783</v>
      </c>
      <c r="H349" s="24">
        <f>IF(B349="","",(C349&lt;=$I$10)*I349+(C349&gt;$I$10)*PMT($I$7/(E349/F349),$I$8+$I$10-C348,-G349))</f>
        <v>135198.19320671904</v>
      </c>
      <c r="I349" s="24">
        <f>IF(B349="","",G349*$I$7/E349*F349)</f>
        <v>14357.206044830744</v>
      </c>
      <c r="J349" s="24">
        <f>IF(B349="","",H349-I349)</f>
        <v>120840.98716188829</v>
      </c>
      <c r="K349" s="24">
        <f>IF(B349="","",(C349=$I$9)*(G349-J349))</f>
        <v>0</v>
      </c>
      <c r="L349" s="24">
        <f>IF(B349="","",G349-J349-K349)</f>
        <v>3324888.46359749</v>
      </c>
      <c r="M349" s="24">
        <f>IF(B349="","",I349+J349+K349)</f>
        <v>135198.19320671904</v>
      </c>
    </row>
    <row r="350" spans="2:13" x14ac:dyDescent="0.2">
      <c r="B350" s="22">
        <f>IF(C350="","",ROUNDUP(C350/12,0))</f>
        <v>28</v>
      </c>
      <c r="C350" s="21">
        <f>IF(OR(C349="",C349&gt;=$I$9),"",C349+1)</f>
        <v>335</v>
      </c>
      <c r="D350" s="251">
        <f>IF(C350="","",EOMONTH(D349,1))</f>
        <v>54057</v>
      </c>
      <c r="E350" s="250" t="str">
        <f>IF(C350="","",$M$11)</f>
        <v>360</v>
      </c>
      <c r="F350" s="14">
        <f>IF(C350="","",IF($M$12="Actual",D350-D349,30))</f>
        <v>31</v>
      </c>
      <c r="G350" s="24">
        <f>IF(B350="","",L349)</f>
        <v>3324888.46359749</v>
      </c>
      <c r="H350" s="24">
        <f>IF(B350="","",(C350&lt;=$I$10)*I350+(C350&gt;$I$10)*PMT($I$7/(E350/F350),$I$8+$I$10-C349,-G350))</f>
        <v>135446.40292482212</v>
      </c>
      <c r="I350" s="24">
        <f>IF(B350="","",G350*$I$7/E350*F350)</f>
        <v>14315.49199604475</v>
      </c>
      <c r="J350" s="24">
        <f>IF(B350="","",H350-I350)</f>
        <v>121130.91092877738</v>
      </c>
      <c r="K350" s="24">
        <f>IF(B350="","",(C350=$I$9)*(G350-J350))</f>
        <v>0</v>
      </c>
      <c r="L350" s="24">
        <f>IF(B350="","",G350-J350-K350)</f>
        <v>3203757.5526687126</v>
      </c>
      <c r="M350" s="24">
        <f>IF(B350="","",I350+J350+K350)</f>
        <v>135446.40292482212</v>
      </c>
    </row>
    <row r="351" spans="2:13" x14ac:dyDescent="0.2">
      <c r="B351" s="22">
        <f>IF(C351="","",ROUNDUP(C351/12,0))</f>
        <v>28</v>
      </c>
      <c r="C351" s="21">
        <f>IF(OR(C350="",C350&gt;=$I$9),"",C350+1)</f>
        <v>336</v>
      </c>
      <c r="D351" s="251">
        <f>IF(C351="","",EOMONTH(D350,1))</f>
        <v>54088</v>
      </c>
      <c r="E351" s="250" t="str">
        <f>IF(C351="","",$M$11)</f>
        <v>360</v>
      </c>
      <c r="F351" s="14">
        <f>IF(C351="","",IF($M$12="Actual",D351-D350,30))</f>
        <v>31</v>
      </c>
      <c r="G351" s="24">
        <f>IF(B351="","",L350)</f>
        <v>3203757.5526687126</v>
      </c>
      <c r="H351" s="24">
        <f>IF(B351="","",(C351&lt;=$I$10)*I351+(C351&gt;$I$10)*PMT($I$7/(E351/F351),$I$8+$I$10-C350,-G351))</f>
        <v>135446.40292482209</v>
      </c>
      <c r="I351" s="24">
        <f>IF(B351="","",G351*$I$7/E351*F351)</f>
        <v>13793.956129545846</v>
      </c>
      <c r="J351" s="24">
        <f>IF(B351="","",H351-I351)</f>
        <v>121652.44679527625</v>
      </c>
      <c r="K351" s="24">
        <f>IF(B351="","",(C351=$I$9)*(G351-J351))</f>
        <v>0</v>
      </c>
      <c r="L351" s="24">
        <f>IF(B351="","",G351-J351-K351)</f>
        <v>3082105.1058734362</v>
      </c>
      <c r="M351" s="24">
        <f>IF(B351="","",I351+J351+K351)</f>
        <v>135446.40292482209</v>
      </c>
    </row>
    <row r="352" spans="2:13" x14ac:dyDescent="0.2">
      <c r="B352" s="22">
        <f>IF(C352="","",ROUNDUP(C352/12,0))</f>
        <v>29</v>
      </c>
      <c r="C352" s="21">
        <f>IF(OR(C351="",C351&gt;=$I$9),"",C351+1)</f>
        <v>337</v>
      </c>
      <c r="D352" s="251">
        <f>IF(C352="","",EOMONTH(D351,1))</f>
        <v>54117</v>
      </c>
      <c r="E352" s="250" t="str">
        <f>IF(C352="","",$M$11)</f>
        <v>360</v>
      </c>
      <c r="F352" s="14">
        <f>IF(C352="","",IF($M$12="Actual",D352-D351,30))</f>
        <v>29</v>
      </c>
      <c r="G352" s="24">
        <f>IF(B352="","",L351)</f>
        <v>3082105.1058734362</v>
      </c>
      <c r="H352" s="24">
        <f>IF(B352="","",(C352&lt;=$I$10)*I352+(C352&gt;$I$10)*PMT($I$7/(E352/F352),$I$8+$I$10-C351,-G352))</f>
        <v>134986.30137049308</v>
      </c>
      <c r="I352" s="24">
        <f>IF(B352="","",G352*$I$7/E352*F352)</f>
        <v>12414.034454212453</v>
      </c>
      <c r="J352" s="24">
        <f>IF(B352="","",H352-I352)</f>
        <v>122572.26691628063</v>
      </c>
      <c r="K352" s="24">
        <f>IF(B352="","",(C352=$I$9)*(G352-J352))</f>
        <v>0</v>
      </c>
      <c r="L352" s="24">
        <f>IF(B352="","",G352-J352-K352)</f>
        <v>2959532.8389571556</v>
      </c>
      <c r="M352" s="24">
        <f>IF(B352="","",I352+J352+K352)</f>
        <v>134986.30137049308</v>
      </c>
    </row>
    <row r="353" spans="2:13" x14ac:dyDescent="0.2">
      <c r="B353" s="22">
        <f>IF(C353="","",ROUNDUP(C353/12,0))</f>
        <v>29</v>
      </c>
      <c r="C353" s="21">
        <f>IF(OR(C352="",C352&gt;=$I$9),"",C352+1)</f>
        <v>338</v>
      </c>
      <c r="D353" s="251">
        <f>IF(C353="","",EOMONTH(D352,1))</f>
        <v>54148</v>
      </c>
      <c r="E353" s="250" t="str">
        <f>IF(C353="","",$M$11)</f>
        <v>360</v>
      </c>
      <c r="F353" s="14">
        <f>IF(C353="","",IF($M$12="Actual",D353-D352,30))</f>
        <v>31</v>
      </c>
      <c r="G353" s="24">
        <f>IF(B353="","",L352)</f>
        <v>2959532.8389571556</v>
      </c>
      <c r="H353" s="24">
        <f>IF(B353="","",(C353&lt;=$I$10)*I353+(C353&gt;$I$10)*PMT($I$7/(E353/F353),$I$8+$I$10-C352,-G353))</f>
        <v>135428.28018380038</v>
      </c>
      <c r="I353" s="24">
        <f>IF(B353="","",G353*$I$7/E353*F353)</f>
        <v>12742.433056621087</v>
      </c>
      <c r="J353" s="24">
        <f>IF(B353="","",H353-I353)</f>
        <v>122685.8471271793</v>
      </c>
      <c r="K353" s="24">
        <f>IF(B353="","",(C353=$I$9)*(G353-J353))</f>
        <v>0</v>
      </c>
      <c r="L353" s="24">
        <f>IF(B353="","",G353-J353-K353)</f>
        <v>2836846.9918299764</v>
      </c>
      <c r="M353" s="24">
        <f>IF(B353="","",I353+J353+K353)</f>
        <v>135428.28018380038</v>
      </c>
    </row>
    <row r="354" spans="2:13" x14ac:dyDescent="0.2">
      <c r="B354" s="22">
        <f>IF(C354="","",ROUNDUP(C354/12,0))</f>
        <v>29</v>
      </c>
      <c r="C354" s="21">
        <f>IF(OR(C353="",C353&gt;=$I$9),"",C353+1)</f>
        <v>339</v>
      </c>
      <c r="D354" s="251">
        <f>IF(C354="","",EOMONTH(D353,1))</f>
        <v>54178</v>
      </c>
      <c r="E354" s="250" t="str">
        <f>IF(C354="","",$M$11)</f>
        <v>360</v>
      </c>
      <c r="F354" s="14">
        <f>IF(C354="","",IF($M$12="Actual",D354-D353,30))</f>
        <v>30</v>
      </c>
      <c r="G354" s="24">
        <f>IF(B354="","",L353)</f>
        <v>2836846.9918299764</v>
      </c>
      <c r="H354" s="24">
        <f>IF(B354="","",(C354&lt;=$I$10)*I354+(C354&gt;$I$10)*PMT($I$7/(E354/F354),$I$8+$I$10-C353,-G354))</f>
        <v>135216.23609094127</v>
      </c>
      <c r="I354" s="24">
        <f>IF(B354="","",G354*$I$7/E354*F354)</f>
        <v>11820.195799291569</v>
      </c>
      <c r="J354" s="24">
        <f>IF(B354="","",H354-I354)</f>
        <v>123396.0402916497</v>
      </c>
      <c r="K354" s="24">
        <f>IF(B354="","",(C354=$I$9)*(G354-J354))</f>
        <v>0</v>
      </c>
      <c r="L354" s="24">
        <f>IF(B354="","",G354-J354-K354)</f>
        <v>2713450.9515383267</v>
      </c>
      <c r="M354" s="24">
        <f>IF(B354="","",I354+J354+K354)</f>
        <v>135216.23609094127</v>
      </c>
    </row>
    <row r="355" spans="2:13" x14ac:dyDescent="0.2">
      <c r="B355" s="22">
        <f>IF(C355="","",ROUNDUP(C355/12,0))</f>
        <v>29</v>
      </c>
      <c r="C355" s="21">
        <f>IF(OR(C354="",C354&gt;=$I$9),"",C354+1)</f>
        <v>340</v>
      </c>
      <c r="D355" s="251">
        <f>IF(C355="","",EOMONTH(D354,1))</f>
        <v>54209</v>
      </c>
      <c r="E355" s="250" t="str">
        <f>IF(C355="","",$M$11)</f>
        <v>360</v>
      </c>
      <c r="F355" s="14">
        <f>IF(C355="","",IF($M$12="Actual",D355-D354,30))</f>
        <v>31</v>
      </c>
      <c r="G355" s="24">
        <f>IF(B355="","",L354)</f>
        <v>2713450.9515383267</v>
      </c>
      <c r="H355" s="24">
        <f>IF(B355="","",(C355&lt;=$I$10)*I355+(C355&gt;$I$10)*PMT($I$7/(E355/F355),$I$8+$I$10-C354,-G355))</f>
        <v>135419.19905151514</v>
      </c>
      <c r="I355" s="24">
        <f>IF(B355="","",G355*$I$7/E355*F355)</f>
        <v>11682.913819123352</v>
      </c>
      <c r="J355" s="24">
        <f>IF(B355="","",H355-I355)</f>
        <v>123736.28523239179</v>
      </c>
      <c r="K355" s="24">
        <f>IF(B355="","",(C355=$I$9)*(G355-J355))</f>
        <v>0</v>
      </c>
      <c r="L355" s="24">
        <f>IF(B355="","",G355-J355-K355)</f>
        <v>2589714.666305935</v>
      </c>
      <c r="M355" s="24">
        <f>IF(B355="","",I355+J355+K355)</f>
        <v>135419.19905151514</v>
      </c>
    </row>
    <row r="356" spans="2:13" x14ac:dyDescent="0.2">
      <c r="B356" s="22">
        <f>IF(C356="","",ROUNDUP(C356/12,0))</f>
        <v>29</v>
      </c>
      <c r="C356" s="21">
        <f>IF(OR(C355="",C355&gt;=$I$9),"",C355+1)</f>
        <v>341</v>
      </c>
      <c r="D356" s="251">
        <f>IF(C356="","",EOMONTH(D355,1))</f>
        <v>54239</v>
      </c>
      <c r="E356" s="250" t="str">
        <f>IF(C356="","",$M$11)</f>
        <v>360</v>
      </c>
      <c r="F356" s="14">
        <f>IF(C356="","",IF($M$12="Actual",D356-D355,30))</f>
        <v>30</v>
      </c>
      <c r="G356" s="24">
        <f>IF(B356="","",L355)</f>
        <v>2589714.666305935</v>
      </c>
      <c r="H356" s="24">
        <f>IF(B356="","",(C356&lt;=$I$10)*I356+(C356&gt;$I$10)*PMT($I$7/(E356/F356),$I$8+$I$10-C355,-G356))</f>
        <v>135225.31677837583</v>
      </c>
      <c r="I356" s="24">
        <f>IF(B356="","",G356*$I$7/E356*F356)</f>
        <v>10790.477776274731</v>
      </c>
      <c r="J356" s="24">
        <f>IF(B356="","",H356-I356)</f>
        <v>124434.8390021011</v>
      </c>
      <c r="K356" s="24">
        <f>IF(B356="","",(C356=$I$9)*(G356-J356))</f>
        <v>0</v>
      </c>
      <c r="L356" s="24">
        <f>IF(B356="","",G356-J356-K356)</f>
        <v>2465279.8273038338</v>
      </c>
      <c r="M356" s="24">
        <f>IF(B356="","",I356+J356+K356)</f>
        <v>135225.31677837583</v>
      </c>
    </row>
    <row r="357" spans="2:13" x14ac:dyDescent="0.2">
      <c r="B357" s="22">
        <f>IF(C357="","",ROUNDUP(C357/12,0))</f>
        <v>29</v>
      </c>
      <c r="C357" s="21">
        <f>IF(OR(C356="",C356&gt;=$I$9),"",C356+1)</f>
        <v>342</v>
      </c>
      <c r="D357" s="251">
        <f>IF(C357="","",EOMONTH(D356,1))</f>
        <v>54270</v>
      </c>
      <c r="E357" s="250" t="str">
        <f>IF(C357="","",$M$11)</f>
        <v>360</v>
      </c>
      <c r="F357" s="14">
        <f>IF(C357="","",IF($M$12="Actual",D357-D356,30))</f>
        <v>31</v>
      </c>
      <c r="G357" s="24">
        <f>IF(B357="","",L356)</f>
        <v>2465279.8273038338</v>
      </c>
      <c r="H357" s="24">
        <f>IF(B357="","",(C357&lt;=$I$10)*I357+(C357&gt;$I$10)*PMT($I$7/(E357/F357),$I$8+$I$10-C356,-G357))</f>
        <v>135410.09215976115</v>
      </c>
      <c r="I357" s="24">
        <f>IF(B357="","",G357*$I$7/E357*F357)</f>
        <v>10614.399256447063</v>
      </c>
      <c r="J357" s="24">
        <f>IF(B357="","",H357-I357)</f>
        <v>124795.69290331408</v>
      </c>
      <c r="K357" s="24">
        <f>IF(B357="","",(C357=$I$9)*(G357-J357))</f>
        <v>0</v>
      </c>
      <c r="L357" s="24">
        <f>IF(B357="","",G357-J357-K357)</f>
        <v>2340484.1344005195</v>
      </c>
      <c r="M357" s="24">
        <f>IF(B357="","",I357+J357+K357)</f>
        <v>135410.09215976115</v>
      </c>
    </row>
    <row r="358" spans="2:13" x14ac:dyDescent="0.2">
      <c r="B358" s="22">
        <f>IF(C358="","",ROUNDUP(C358/12,0))</f>
        <v>29</v>
      </c>
      <c r="C358" s="21">
        <f>IF(OR(C357="",C357&gt;=$I$9),"",C357+1)</f>
        <v>343</v>
      </c>
      <c r="D358" s="251">
        <f>IF(C358="","",EOMONTH(D357,1))</f>
        <v>54301</v>
      </c>
      <c r="E358" s="250" t="str">
        <f>IF(C358="","",$M$11)</f>
        <v>360</v>
      </c>
      <c r="F358" s="14">
        <f>IF(C358="","",IF($M$12="Actual",D358-D357,30))</f>
        <v>31</v>
      </c>
      <c r="G358" s="24">
        <f>IF(B358="","",L357)</f>
        <v>2340484.1344005195</v>
      </c>
      <c r="H358" s="24">
        <f>IF(B358="","",(C358&lt;=$I$10)*I358+(C358&gt;$I$10)*PMT($I$7/(E358/F358),$I$8+$I$10-C357,-G358))</f>
        <v>135410.09215976115</v>
      </c>
      <c r="I358" s="24">
        <f>IF(B358="","",G358*$I$7/E358*F358)</f>
        <v>10077.084467557794</v>
      </c>
      <c r="J358" s="24">
        <f>IF(B358="","",H358-I358)</f>
        <v>125333.00769220335</v>
      </c>
      <c r="K358" s="24">
        <f>IF(B358="","",(C358=$I$9)*(G358-J358))</f>
        <v>0</v>
      </c>
      <c r="L358" s="24">
        <f>IF(B358="","",G358-J358-K358)</f>
        <v>2215151.1267083162</v>
      </c>
      <c r="M358" s="24">
        <f>IF(B358="","",I358+J358+K358)</f>
        <v>135410.09215976115</v>
      </c>
    </row>
    <row r="359" spans="2:13" x14ac:dyDescent="0.2">
      <c r="B359" s="22">
        <f>IF(C359="","",ROUNDUP(C359/12,0))</f>
        <v>29</v>
      </c>
      <c r="C359" s="21">
        <f>IF(OR(C358="",C358&gt;=$I$9),"",C358+1)</f>
        <v>344</v>
      </c>
      <c r="D359" s="251">
        <f>IF(C359="","",EOMONTH(D358,1))</f>
        <v>54331</v>
      </c>
      <c r="E359" s="250" t="str">
        <f>IF(C359="","",$M$11)</f>
        <v>360</v>
      </c>
      <c r="F359" s="14">
        <f>IF(C359="","",IF($M$12="Actual",D359-D358,30))</f>
        <v>30</v>
      </c>
      <c r="G359" s="24">
        <f>IF(B359="","",L358)</f>
        <v>2215151.1267083162</v>
      </c>
      <c r="H359" s="24">
        <f>IF(B359="","",(C359&lt;=$I$10)*I359+(C359&gt;$I$10)*PMT($I$7/(E359/F359),$I$8+$I$10-C358,-G359))</f>
        <v>135243.54582871849</v>
      </c>
      <c r="I359" s="24">
        <f>IF(B359="","",G359*$I$7/E359*F359)</f>
        <v>9229.7963612846506</v>
      </c>
      <c r="J359" s="24">
        <f>IF(B359="","",H359-I359)</f>
        <v>126013.74946743384</v>
      </c>
      <c r="K359" s="24">
        <f>IF(B359="","",(C359=$I$9)*(G359-J359))</f>
        <v>0</v>
      </c>
      <c r="L359" s="24">
        <f>IF(B359="","",G359-J359-K359)</f>
        <v>2089137.3772408823</v>
      </c>
      <c r="M359" s="24">
        <f>IF(B359="","",I359+J359+K359)</f>
        <v>135243.54582871849</v>
      </c>
    </row>
    <row r="360" spans="2:13" x14ac:dyDescent="0.2">
      <c r="B360" s="22">
        <f>IF(C360="","",ROUNDUP(C360/12,0))</f>
        <v>29</v>
      </c>
      <c r="C360" s="21">
        <f>IF(OR(C359="",C359&gt;=$I$9),"",C359+1)</f>
        <v>345</v>
      </c>
      <c r="D360" s="251">
        <f>IF(C360="","",EOMONTH(D359,1))</f>
        <v>54362</v>
      </c>
      <c r="E360" s="250" t="str">
        <f>IF(C360="","",$M$11)</f>
        <v>360</v>
      </c>
      <c r="F360" s="14">
        <f>IF(C360="","",IF($M$12="Actual",D360-D359,30))</f>
        <v>31</v>
      </c>
      <c r="G360" s="24">
        <f>IF(B360="","",L359)</f>
        <v>2089137.3772408823</v>
      </c>
      <c r="H360" s="24">
        <f>IF(B360="","",(C360&lt;=$I$10)*I360+(C360&gt;$I$10)*PMT($I$7/(E360/F360),$I$8+$I$10-C359,-G360))</f>
        <v>135400.94632373267</v>
      </c>
      <c r="I360" s="24">
        <f>IF(B360="","",G360*$I$7/E360*F360)</f>
        <v>8994.8970408982441</v>
      </c>
      <c r="J360" s="24">
        <f>IF(B360="","",H360-I360)</f>
        <v>126406.04928283443</v>
      </c>
      <c r="K360" s="24">
        <f>IF(B360="","",(C360=$I$9)*(G360-J360))</f>
        <v>0</v>
      </c>
      <c r="L360" s="24">
        <f>IF(B360="","",G360-J360-K360)</f>
        <v>1962731.3279580479</v>
      </c>
      <c r="M360" s="24">
        <f>IF(B360="","",I360+J360+K360)</f>
        <v>135400.94632373267</v>
      </c>
    </row>
    <row r="361" spans="2:13" x14ac:dyDescent="0.2">
      <c r="B361" s="22">
        <f>IF(C361="","",ROUNDUP(C361/12,0))</f>
        <v>29</v>
      </c>
      <c r="C361" s="21">
        <f>IF(OR(C360="",C360&gt;=$I$9),"",C360+1)</f>
        <v>346</v>
      </c>
      <c r="D361" s="251">
        <f>IF(C361="","",EOMONTH(D360,1))</f>
        <v>54392</v>
      </c>
      <c r="E361" s="250" t="str">
        <f>IF(C361="","",$M$11)</f>
        <v>360</v>
      </c>
      <c r="F361" s="14">
        <f>IF(C361="","",IF($M$12="Actual",D361-D360,30))</f>
        <v>30</v>
      </c>
      <c r="G361" s="24">
        <f>IF(B361="","",L360)</f>
        <v>1962731.3279580479</v>
      </c>
      <c r="H361" s="24">
        <f>IF(B361="","",(C361&lt;=$I$10)*I361+(C361&gt;$I$10)*PMT($I$7/(E361/F361),$I$8+$I$10-C360,-G361))</f>
        <v>135252.69420566905</v>
      </c>
      <c r="I361" s="24">
        <f>IF(B361="","",G361*$I$7/E361*F361)</f>
        <v>8178.0471998251987</v>
      </c>
      <c r="J361" s="24">
        <f>IF(B361="","",H361-I361)</f>
        <v>127074.64700584384</v>
      </c>
      <c r="K361" s="24">
        <f>IF(B361="","",(C361=$I$9)*(G361-J361))</f>
        <v>0</v>
      </c>
      <c r="L361" s="24">
        <f>IF(B361="","",G361-J361-K361)</f>
        <v>1835656.6809522039</v>
      </c>
      <c r="M361" s="24">
        <f>IF(B361="","",I361+J361+K361)</f>
        <v>135252.69420566905</v>
      </c>
    </row>
    <row r="362" spans="2:13" x14ac:dyDescent="0.2">
      <c r="B362" s="22">
        <f>IF(C362="","",ROUNDUP(C362/12,0))</f>
        <v>29</v>
      </c>
      <c r="C362" s="21">
        <f>IF(OR(C361="",C361&gt;=$I$9),"",C361+1)</f>
        <v>347</v>
      </c>
      <c r="D362" s="251">
        <f>IF(C362="","",EOMONTH(D361,1))</f>
        <v>54423</v>
      </c>
      <c r="E362" s="250" t="str">
        <f>IF(C362="","",$M$11)</f>
        <v>360</v>
      </c>
      <c r="F362" s="14">
        <f>IF(C362="","",IF($M$12="Actual",D362-D361,30))</f>
        <v>31</v>
      </c>
      <c r="G362" s="24">
        <f>IF(B362="","",L361)</f>
        <v>1835656.6809522039</v>
      </c>
      <c r="H362" s="24">
        <f>IF(B362="","",(C362&lt;=$I$10)*I362+(C362&gt;$I$10)*PMT($I$7/(E362/F362),$I$8+$I$10-C361,-G362))</f>
        <v>135391.77473211105</v>
      </c>
      <c r="I362" s="24">
        <f>IF(B362="","",G362*$I$7/E362*F362)</f>
        <v>7903.5218207664338</v>
      </c>
      <c r="J362" s="24">
        <f>IF(B362="","",H362-I362)</f>
        <v>127488.25291134462</v>
      </c>
      <c r="K362" s="24">
        <f>IF(B362="","",(C362=$I$9)*(G362-J362))</f>
        <v>0</v>
      </c>
      <c r="L362" s="24">
        <f>IF(B362="","",G362-J362-K362)</f>
        <v>1708168.4280408593</v>
      </c>
      <c r="M362" s="24">
        <f>IF(B362="","",I362+J362+K362)</f>
        <v>135391.77473211105</v>
      </c>
    </row>
    <row r="363" spans="2:13" x14ac:dyDescent="0.2">
      <c r="B363" s="22">
        <f>IF(C363="","",ROUNDUP(C363/12,0))</f>
        <v>29</v>
      </c>
      <c r="C363" s="21">
        <f>IF(OR(C362="",C362&gt;=$I$9),"",C362+1)</f>
        <v>348</v>
      </c>
      <c r="D363" s="251">
        <f>IF(C363="","",EOMONTH(D362,1))</f>
        <v>54454</v>
      </c>
      <c r="E363" s="250" t="str">
        <f>IF(C363="","",$M$11)</f>
        <v>360</v>
      </c>
      <c r="F363" s="14">
        <f>IF(C363="","",IF($M$12="Actual",D363-D362,30))</f>
        <v>31</v>
      </c>
      <c r="G363" s="24">
        <f>IF(B363="","",L362)</f>
        <v>1708168.4280408593</v>
      </c>
      <c r="H363" s="24">
        <f>IF(B363="","",(C363&lt;=$I$10)*I363+(C363&gt;$I$10)*PMT($I$7/(E363/F363),$I$8+$I$10-C362,-G363))</f>
        <v>135391.77473211108</v>
      </c>
      <c r="I363" s="24">
        <f>IF(B363="","",G363*$I$7/E363*F363)</f>
        <v>7354.6140651759215</v>
      </c>
      <c r="J363" s="24">
        <f>IF(B363="","",H363-I363)</f>
        <v>128037.16066693516</v>
      </c>
      <c r="K363" s="24">
        <f>IF(B363="","",(C363=$I$9)*(G363-J363))</f>
        <v>0</v>
      </c>
      <c r="L363" s="24">
        <f>IF(B363="","",G363-J363-K363)</f>
        <v>1580131.2673739241</v>
      </c>
      <c r="M363" s="24">
        <f>IF(B363="","",I363+J363+K363)</f>
        <v>135391.77473211108</v>
      </c>
    </row>
    <row r="364" spans="2:13" x14ac:dyDescent="0.2">
      <c r="B364" s="22">
        <f>IF(C364="","",ROUNDUP(C364/12,0))</f>
        <v>30</v>
      </c>
      <c r="C364" s="21">
        <f>IF(OR(C363="",C363&gt;=$I$9),"",C363+1)</f>
        <v>349</v>
      </c>
      <c r="D364" s="251">
        <f>IF(C364="","",EOMONTH(D363,1))</f>
        <v>54482</v>
      </c>
      <c r="E364" s="250" t="str">
        <f>IF(C364="","",$M$11)</f>
        <v>360</v>
      </c>
      <c r="F364" s="14">
        <f>IF(C364="","",IF($M$12="Actual",D364-D363,30))</f>
        <v>28</v>
      </c>
      <c r="G364" s="24">
        <f>IF(B364="","",L363)</f>
        <v>1580131.2673739241</v>
      </c>
      <c r="H364" s="24">
        <f>IF(B364="","",(C364&lt;=$I$10)*I364+(C364&gt;$I$10)*PMT($I$7/(E364/F364),$I$8+$I$10-C363,-G364))</f>
        <v>135029.80707599327</v>
      </c>
      <c r="I364" s="24">
        <f>IF(B364="","",G364*$I$7/E364*F364)</f>
        <v>6144.9549286763722</v>
      </c>
      <c r="J364" s="24">
        <f>IF(B364="","",H364-I364)</f>
        <v>128884.85214731691</v>
      </c>
      <c r="K364" s="24">
        <f>IF(B364="","",(C364=$I$9)*(G364-J364))</f>
        <v>0</v>
      </c>
      <c r="L364" s="24">
        <f>IF(B364="","",G364-J364-K364)</f>
        <v>1451246.4152266071</v>
      </c>
      <c r="M364" s="24">
        <f>IF(B364="","",I364+J364+K364)</f>
        <v>135029.80707599327</v>
      </c>
    </row>
    <row r="365" spans="2:13" x14ac:dyDescent="0.2">
      <c r="B365" s="22">
        <f>IF(C365="","",ROUNDUP(C365/12,0))</f>
        <v>30</v>
      </c>
      <c r="C365" s="21">
        <f>IF(OR(C364="",C364&gt;=$I$9),"",C364+1)</f>
        <v>350</v>
      </c>
      <c r="D365" s="251">
        <f>IF(C365="","",EOMONTH(D364,1))</f>
        <v>54513</v>
      </c>
      <c r="E365" s="250" t="str">
        <f>IF(C365="","",$M$11)</f>
        <v>360</v>
      </c>
      <c r="F365" s="14">
        <f>IF(C365="","",IF($M$12="Actual",D365-D364,30))</f>
        <v>31</v>
      </c>
      <c r="G365" s="24">
        <f>IF(B365="","",L364)</f>
        <v>1451246.4152266071</v>
      </c>
      <c r="H365" s="24">
        <f>IF(B365="","",(C365&lt;=$I$10)*I365+(C365&gt;$I$10)*PMT($I$7/(E365/F365),$I$8+$I$10-C364,-G365))</f>
        <v>135364.12630228765</v>
      </c>
      <c r="I365" s="24">
        <f>IF(B365="","",G365*$I$7/E365*F365)</f>
        <v>6248.4220655590034</v>
      </c>
      <c r="J365" s="24">
        <f>IF(B365="","",H365-I365)</f>
        <v>129115.70423672865</v>
      </c>
      <c r="K365" s="24">
        <f>IF(B365="","",(C365=$I$9)*(G365-J365))</f>
        <v>0</v>
      </c>
      <c r="L365" s="24">
        <f>IF(B365="","",G365-J365-K365)</f>
        <v>1322130.7109898785</v>
      </c>
      <c r="M365" s="24">
        <f>IF(B365="","",I365+J365+K365)</f>
        <v>135364.12630228765</v>
      </c>
    </row>
    <row r="366" spans="2:13" x14ac:dyDescent="0.2">
      <c r="B366" s="22">
        <f>IF(C366="","",ROUNDUP(C366/12,0))</f>
        <v>30</v>
      </c>
      <c r="C366" s="21">
        <f>IF(OR(C365="",C365&gt;=$I$9),"",C365+1)</f>
        <v>351</v>
      </c>
      <c r="D366" s="251">
        <f>IF(C366="","",EOMONTH(D365,1))</f>
        <v>54543</v>
      </c>
      <c r="E366" s="250" t="str">
        <f>IF(C366="","",$M$11)</f>
        <v>360</v>
      </c>
      <c r="F366" s="14">
        <f>IF(C366="","",IF($M$12="Actual",D366-D365,30))</f>
        <v>30</v>
      </c>
      <c r="G366" s="24">
        <f>IF(B366="","",L365)</f>
        <v>1322130.7109898785</v>
      </c>
      <c r="H366" s="24">
        <f>IF(B366="","",(C366&lt;=$I$10)*I366+(C366&gt;$I$10)*PMT($I$7/(E366/F366),$I$8+$I$10-C365,-G366))</f>
        <v>135261.8508540286</v>
      </c>
      <c r="I366" s="24">
        <f>IF(B366="","",G366*$I$7/E366*F366)</f>
        <v>5508.8779624578274</v>
      </c>
      <c r="J366" s="24">
        <f>IF(B366="","",H366-I366)</f>
        <v>129752.97289157077</v>
      </c>
      <c r="K366" s="24">
        <f>IF(B366="","",(C366=$I$9)*(G366-J366))</f>
        <v>0</v>
      </c>
      <c r="L366" s="24">
        <f>IF(B366="","",G366-J366-K366)</f>
        <v>1192377.7380983077</v>
      </c>
      <c r="M366" s="24">
        <f>IF(B366="","",I366+J366+K366)</f>
        <v>135261.8508540286</v>
      </c>
    </row>
    <row r="367" spans="2:13" x14ac:dyDescent="0.2">
      <c r="B367" s="22">
        <f>IF(C367="","",ROUNDUP(C367/12,0))</f>
        <v>30</v>
      </c>
      <c r="C367" s="21">
        <f>IF(OR(C366="",C366&gt;=$I$9),"",C366+1)</f>
        <v>352</v>
      </c>
      <c r="D367" s="251">
        <f>IF(C367="","",EOMONTH(D366,1))</f>
        <v>54574</v>
      </c>
      <c r="E367" s="250" t="str">
        <f>IF(C367="","",$M$11)</f>
        <v>360</v>
      </c>
      <c r="F367" s="14">
        <f>IF(C367="","",IF($M$12="Actual",D367-D366,30))</f>
        <v>31</v>
      </c>
      <c r="G367" s="24">
        <f>IF(B367="","",L366)</f>
        <v>1192377.7380983077</v>
      </c>
      <c r="H367" s="24">
        <f>IF(B367="","",(C367&lt;=$I$10)*I367+(C367&gt;$I$10)*PMT($I$7/(E367/F367),$I$8+$I$10-C366,-G367))</f>
        <v>135354.89127824755</v>
      </c>
      <c r="I367" s="24">
        <f>IF(B367="","",G367*$I$7/E367*F367)</f>
        <v>5133.8485945899365</v>
      </c>
      <c r="J367" s="24">
        <f>IF(B367="","",H367-I367)</f>
        <v>130221.04268365762</v>
      </c>
      <c r="K367" s="24">
        <f>IF(B367="","",(C367=$I$9)*(G367-J367))</f>
        <v>0</v>
      </c>
      <c r="L367" s="24">
        <f>IF(B367="","",G367-J367-K367)</f>
        <v>1062156.69541465</v>
      </c>
      <c r="M367" s="24">
        <f>IF(B367="","",I367+J367+K367)</f>
        <v>135354.89127824755</v>
      </c>
    </row>
    <row r="368" spans="2:13" x14ac:dyDescent="0.2">
      <c r="B368" s="22">
        <f>IF(C368="","",ROUNDUP(C368/12,0))</f>
        <v>30</v>
      </c>
      <c r="C368" s="21">
        <f>IF(OR(C367="",C367&gt;=$I$9),"",C367+1)</f>
        <v>353</v>
      </c>
      <c r="D368" s="251">
        <f>IF(C368="","",EOMONTH(D367,1))</f>
        <v>54604</v>
      </c>
      <c r="E368" s="250" t="str">
        <f>IF(C368="","",$M$11)</f>
        <v>360</v>
      </c>
      <c r="F368" s="14">
        <f>IF(C368="","",IF($M$12="Actual",D368-D367,30))</f>
        <v>30</v>
      </c>
      <c r="G368" s="24">
        <f>IF(B368="","",L367)</f>
        <v>1062156.69541465</v>
      </c>
      <c r="H368" s="24">
        <f>IF(B368="","",(C368&lt;=$I$10)*I368+(C368&gt;$I$10)*PMT($I$7/(E368/F368),$I$8+$I$10-C367,-G368))</f>
        <v>135271.09270874551</v>
      </c>
      <c r="I368" s="24">
        <f>IF(B368="","",G368*$I$7/E368*F368)</f>
        <v>4425.6528975610418</v>
      </c>
      <c r="J368" s="24">
        <f>IF(B368="","",H368-I368)</f>
        <v>130845.43981118446</v>
      </c>
      <c r="K368" s="24">
        <f>IF(B368="","",(C368=$I$9)*(G368-J368))</f>
        <v>0</v>
      </c>
      <c r="L368" s="24">
        <f>IF(B368="","",G368-J368-K368)</f>
        <v>931311.2556034656</v>
      </c>
      <c r="M368" s="24">
        <f>IF(B368="","",I368+J368+K368)</f>
        <v>135271.09270874551</v>
      </c>
    </row>
    <row r="369" spans="2:13" x14ac:dyDescent="0.2">
      <c r="B369" s="22">
        <f>IF(C369="","",ROUNDUP(C369/12,0))</f>
        <v>30</v>
      </c>
      <c r="C369" s="21">
        <f>IF(OR(C368="",C368&gt;=$I$9),"",C368+1)</f>
        <v>354</v>
      </c>
      <c r="D369" s="251">
        <f>IF(C369="","",EOMONTH(D368,1))</f>
        <v>54635</v>
      </c>
      <c r="E369" s="250" t="str">
        <f>IF(C369="","",$M$11)</f>
        <v>360</v>
      </c>
      <c r="F369" s="14">
        <f>IF(C369="","",IF($M$12="Actual",D369-D368,30))</f>
        <v>31</v>
      </c>
      <c r="G369" s="24">
        <f>IF(B369="","",L368)</f>
        <v>931311.2556034656</v>
      </c>
      <c r="H369" s="24">
        <f>IF(B369="","",(C369&lt;=$I$10)*I369+(C369&gt;$I$10)*PMT($I$7/(E369/F369),$I$8+$I$10-C368,-G369))</f>
        <v>135345.63051200591</v>
      </c>
      <c r="I369" s="24">
        <f>IF(B369="","",G369*$I$7/E369*F369)</f>
        <v>4009.8123505149215</v>
      </c>
      <c r="J369" s="24">
        <f>IF(B369="","",H369-I369)</f>
        <v>131335.81816149098</v>
      </c>
      <c r="K369" s="24">
        <f>IF(B369="","",(C369=$I$9)*(G369-J369))</f>
        <v>0</v>
      </c>
      <c r="L369" s="24">
        <f>IF(B369="","",G369-J369-K369)</f>
        <v>799975.43744197465</v>
      </c>
      <c r="M369" s="24">
        <f>IF(B369="","",I369+J369+K369)</f>
        <v>135345.63051200591</v>
      </c>
    </row>
    <row r="370" spans="2:13" x14ac:dyDescent="0.2">
      <c r="B370" s="22">
        <f>IF(C370="","",ROUNDUP(C370/12,0))</f>
        <v>30</v>
      </c>
      <c r="C370" s="21">
        <f>IF(OR(C369="",C369&gt;=$I$9),"",C369+1)</f>
        <v>355</v>
      </c>
      <c r="D370" s="251">
        <f>IF(C370="","",EOMONTH(D369,1))</f>
        <v>54666</v>
      </c>
      <c r="E370" s="250" t="str">
        <f>IF(C370="","",$M$11)</f>
        <v>360</v>
      </c>
      <c r="F370" s="14">
        <f>IF(C370="","",IF($M$12="Actual",D370-D369,30))</f>
        <v>31</v>
      </c>
      <c r="G370" s="24">
        <f>IF(B370="","",L369)</f>
        <v>799975.43744197465</v>
      </c>
      <c r="H370" s="24">
        <f>IF(B370="","",(C370&lt;=$I$10)*I370+(C370&gt;$I$10)*PMT($I$7/(E370/F370),$I$8+$I$10-C369,-G370))</f>
        <v>135345.63051200588</v>
      </c>
      <c r="I370" s="24">
        <f>IF(B370="","",G370*$I$7/E370*F370)</f>
        <v>3444.33868898628</v>
      </c>
      <c r="J370" s="24">
        <f>IF(B370="","",H370-I370)</f>
        <v>131901.29182301959</v>
      </c>
      <c r="K370" s="24">
        <f>IF(B370="","",(C370=$I$9)*(G370-J370))</f>
        <v>0</v>
      </c>
      <c r="L370" s="24">
        <f>IF(B370="","",G370-J370-K370)</f>
        <v>668074.14561895502</v>
      </c>
      <c r="M370" s="24">
        <f>IF(B370="","",I370+J370+K370)</f>
        <v>135345.63051200588</v>
      </c>
    </row>
    <row r="371" spans="2:13" x14ac:dyDescent="0.2">
      <c r="B371" s="22">
        <f>IF(C371="","",ROUNDUP(C371/12,0))</f>
        <v>30</v>
      </c>
      <c r="C371" s="21">
        <f>IF(OR(C370="",C370&gt;=$I$9),"",C370+1)</f>
        <v>356</v>
      </c>
      <c r="D371" s="251">
        <f>IF(C371="","",EOMONTH(D370,1))</f>
        <v>54696</v>
      </c>
      <c r="E371" s="250" t="str">
        <f>IF(C371="","",$M$11)</f>
        <v>360</v>
      </c>
      <c r="F371" s="14">
        <f>IF(C371="","",IF($M$12="Actual",D371-D370,30))</f>
        <v>30</v>
      </c>
      <c r="G371" s="24">
        <f>IF(B371="","",L370)</f>
        <v>668074.14561895502</v>
      </c>
      <c r="H371" s="24">
        <f>IF(B371="","",(C371&lt;=$I$10)*I371+(C371&gt;$I$10)*PMT($I$7/(E371/F371),$I$8+$I$10-C370,-G371))</f>
        <v>135289.64421828219</v>
      </c>
      <c r="I371" s="24">
        <f>IF(B371="","",G371*$I$7/E371*F371)</f>
        <v>2783.6422734123125</v>
      </c>
      <c r="J371" s="24">
        <f>IF(B371="","",H371-I371)</f>
        <v>132506.00194486987</v>
      </c>
      <c r="K371" s="24">
        <f>IF(B371="","",(C371=$I$9)*(G371-J371))</f>
        <v>0</v>
      </c>
      <c r="L371" s="24">
        <f>IF(B371="","",G371-J371-K371)</f>
        <v>535568.14367408515</v>
      </c>
      <c r="M371" s="24">
        <f>IF(B371="","",I371+J371+K371)</f>
        <v>135289.64421828219</v>
      </c>
    </row>
    <row r="372" spans="2:13" x14ac:dyDescent="0.2">
      <c r="B372" s="22">
        <f>IF(C372="","",ROUNDUP(C372/12,0))</f>
        <v>30</v>
      </c>
      <c r="C372" s="21">
        <f>IF(OR(C371="",C371&gt;=$I$9),"",C371+1)</f>
        <v>357</v>
      </c>
      <c r="D372" s="251">
        <f>IF(C372="","",EOMONTH(D371,1))</f>
        <v>54727</v>
      </c>
      <c r="E372" s="250" t="str">
        <f>IF(C372="","",$M$11)</f>
        <v>360</v>
      </c>
      <c r="F372" s="14">
        <f>IF(C372="","",IF($M$12="Actual",D372-D371,30))</f>
        <v>31</v>
      </c>
      <c r="G372" s="24">
        <f>IF(B372="","",L371)</f>
        <v>535568.14367408515</v>
      </c>
      <c r="H372" s="24">
        <f>IF(B372="","",(C372&lt;=$I$10)*I372+(C372&gt;$I$10)*PMT($I$7/(E372/F372),$I$8+$I$10-C371,-G372))</f>
        <v>135336.33082118214</v>
      </c>
      <c r="I372" s="24">
        <f>IF(B372="","",G372*$I$7/E372*F372)</f>
        <v>2305.9183963745336</v>
      </c>
      <c r="J372" s="24">
        <f>IF(B372="","",H372-I372)</f>
        <v>133030.41242480761</v>
      </c>
      <c r="K372" s="24">
        <f>IF(B372="","",(C372=$I$9)*(G372-J372))</f>
        <v>0</v>
      </c>
      <c r="L372" s="24">
        <f>IF(B372="","",G372-J372-K372)</f>
        <v>402537.73124927754</v>
      </c>
      <c r="M372" s="24">
        <f>IF(B372="","",I372+J372+K372)</f>
        <v>135336.33082118214</v>
      </c>
    </row>
    <row r="373" spans="2:13" x14ac:dyDescent="0.2">
      <c r="B373" s="22">
        <f>IF(C373="","",ROUNDUP(C373/12,0))</f>
        <v>30</v>
      </c>
      <c r="C373" s="21">
        <f>IF(OR(C372="",C372&gt;=$I$9),"",C372+1)</f>
        <v>358</v>
      </c>
      <c r="D373" s="251">
        <f>IF(C373="","",EOMONTH(D372,1))</f>
        <v>54757</v>
      </c>
      <c r="E373" s="250" t="str">
        <f>IF(C373="","",$M$11)</f>
        <v>360</v>
      </c>
      <c r="F373" s="14">
        <f>IF(C373="","",IF($M$12="Actual",D373-D372,30))</f>
        <v>30</v>
      </c>
      <c r="G373" s="24">
        <f>IF(B373="","",L372)</f>
        <v>402537.73124927754</v>
      </c>
      <c r="H373" s="24">
        <f>IF(B373="","",(C373&lt;=$I$10)*I373+(C373&gt;$I$10)*PMT($I$7/(E373/F373),$I$8+$I$10-C372,-G373))</f>
        <v>135298.9538839228</v>
      </c>
      <c r="I373" s="24">
        <f>IF(B373="","",G373*$I$7/E373*F373)</f>
        <v>1677.2405468719899</v>
      </c>
      <c r="J373" s="24">
        <f>IF(B373="","",H373-I373)</f>
        <v>133621.71333705081</v>
      </c>
      <c r="K373" s="24">
        <f>IF(B373="","",(C373=$I$9)*(G373-J373))</f>
        <v>0</v>
      </c>
      <c r="L373" s="24">
        <f>IF(B373="","",G373-J373-K373)</f>
        <v>268916.01791222673</v>
      </c>
      <c r="M373" s="24">
        <f>IF(B373="","",I373+J373+K373)</f>
        <v>135298.9538839228</v>
      </c>
    </row>
    <row r="374" spans="2:13" x14ac:dyDescent="0.2">
      <c r="B374" s="22">
        <f>IF(C374="","",ROUNDUP(C374/12,0))</f>
        <v>30</v>
      </c>
      <c r="C374" s="21">
        <f>IF(OR(C373="",C373&gt;=$I$9),"",C373+1)</f>
        <v>359</v>
      </c>
      <c r="D374" s="251">
        <f>IF(C374="","",EOMONTH(D373,1))</f>
        <v>54788</v>
      </c>
      <c r="E374" s="250" t="str">
        <f>IF(C374="","",$M$11)</f>
        <v>360</v>
      </c>
      <c r="F374" s="14">
        <f>IF(C374="","",IF($M$12="Actual",D374-D373,30))</f>
        <v>31</v>
      </c>
      <c r="G374" s="24">
        <f>IF(B374="","",L373)</f>
        <v>268916.01791222673</v>
      </c>
      <c r="H374" s="24">
        <f>IF(B374="","",(C374&lt;=$I$10)*I374+(C374&gt;$I$10)*PMT($I$7/(E374/F374),$I$8+$I$10-C373,-G374))</f>
        <v>135327.00539789983</v>
      </c>
      <c r="I374" s="24">
        <f>IF(B374="","",G374*$I$7/E374*F374)</f>
        <v>1157.8328548998652</v>
      </c>
      <c r="J374" s="24">
        <f>IF(B374="","",H374-I374)</f>
        <v>134169.17254299996</v>
      </c>
      <c r="K374" s="24">
        <f>IF(B374="","",(C374=$I$9)*(G374-J374))</f>
        <v>0</v>
      </c>
      <c r="L374" s="24">
        <f>IF(B374="","",G374-J374-K374)</f>
        <v>134746.84536922676</v>
      </c>
      <c r="M374" s="24">
        <f>IF(B374="","",I374+J374+K374)</f>
        <v>135327.00539789983</v>
      </c>
    </row>
    <row r="375" spans="2:13" x14ac:dyDescent="0.2">
      <c r="B375" s="22">
        <f>IF(C375="","",ROUNDUP(C375/12,0))</f>
        <v>30</v>
      </c>
      <c r="C375" s="21">
        <f>IF(OR(C374="",C374&gt;=$I$9),"",C374+1)</f>
        <v>360</v>
      </c>
      <c r="D375" s="251">
        <f>IF(C375="","",EOMONTH(D374,1))</f>
        <v>54819</v>
      </c>
      <c r="E375" s="250" t="str">
        <f>IF(C375="","",$M$11)</f>
        <v>360</v>
      </c>
      <c r="F375" s="14">
        <f>IF(C375="","",IF($M$12="Actual",D375-D374,30))</f>
        <v>31</v>
      </c>
      <c r="G375" s="24">
        <f>IF(B375="","",L374)</f>
        <v>134746.84536922676</v>
      </c>
      <c r="H375" s="24">
        <f>IF(B375="","",(C375&lt;=$I$10)*I375+(C375&gt;$I$10)*PMT($I$7/(E375/F375),$I$8+$I$10-C374,-G375))</f>
        <v>135327.00539789983</v>
      </c>
      <c r="I375" s="24">
        <f>IF(B375="","",G375*$I$7/E375*F375)</f>
        <v>580.16002867305974</v>
      </c>
      <c r="J375" s="24">
        <f>IF(B375="","",H375-I375)</f>
        <v>134746.84536922676</v>
      </c>
      <c r="K375" s="24">
        <v>0</v>
      </c>
      <c r="L375" s="24">
        <f>IF(B375="","",G375-J375-K375)</f>
        <v>0</v>
      </c>
      <c r="M375" s="24">
        <f>IF(B375="","",I375+J375+K375)</f>
        <v>135327.00539789983</v>
      </c>
    </row>
    <row r="376" spans="2:13" x14ac:dyDescent="0.2">
      <c r="B376" s="22"/>
      <c r="C376" s="21"/>
      <c r="D376" s="251" t="str">
        <f>IF(C376="","",EOMONTH(D375,1))</f>
        <v/>
      </c>
      <c r="E376" s="250" t="str">
        <f>IF(C376="","",$M$11)</f>
        <v/>
      </c>
      <c r="F376" s="14" t="str">
        <f>IF(C376="","",IF($M$12="Actual",D376-D375,30))</f>
        <v/>
      </c>
      <c r="G376" s="24"/>
      <c r="H376" s="24"/>
      <c r="I376" s="24"/>
      <c r="J376" s="24"/>
      <c r="K376" s="24"/>
      <c r="L376" s="24"/>
    </row>
  </sheetData>
  <dataValidations count="1">
    <dataValidation type="list" allowBlank="1" showInputMessage="1" showErrorMessage="1" sqref="M10" xr:uid="{196A0816-821C-4A26-B67D-F976AC9E99D5}">
      <formula1>"30/360, Actual/360, Actual/365"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EF40C-8A2A-194E-ADD3-228B0C92FA33}">
  <dimension ref="A1:BS88"/>
  <sheetViews>
    <sheetView zoomScale="60" zoomScaleNormal="60" workbookViewId="0">
      <selection activeCell="C53" sqref="C53"/>
    </sheetView>
  </sheetViews>
  <sheetFormatPr baseColWidth="10" defaultColWidth="0" defaultRowHeight="15" x14ac:dyDescent="0.2"/>
  <cols>
    <col min="1" max="1" width="2.6640625" style="25" customWidth="1"/>
    <col min="2" max="2" width="39.33203125" style="25" customWidth="1"/>
    <col min="3" max="3" width="24.5" style="25" bestFit="1" customWidth="1"/>
    <col min="4" max="4" width="26" style="25" customWidth="1"/>
    <col min="5" max="7" width="15.6640625" style="25" customWidth="1"/>
    <col min="8" max="8" width="23" style="25" customWidth="1"/>
    <col min="9" max="9" width="15.6640625" style="25" customWidth="1"/>
    <col min="10" max="56" width="14.6640625" style="25" customWidth="1"/>
    <col min="57" max="57" width="17.33203125" style="25" bestFit="1" customWidth="1"/>
    <col min="58" max="70" width="14.6640625" style="25" customWidth="1"/>
    <col min="71" max="71" width="2.6640625" style="25" customWidth="1"/>
    <col min="72" max="16384" width="9.1640625" style="25" hidden="1"/>
  </cols>
  <sheetData>
    <row r="1" spans="1:71" customFormat="1" x14ac:dyDescent="0.2">
      <c r="A1" s="25" t="s">
        <v>98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</row>
    <row r="2" spans="1:71" customForma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</row>
    <row r="3" spans="1:71" customFormat="1" x14ac:dyDescent="0.2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</row>
    <row r="4" spans="1:71" customFormat="1" x14ac:dyDescent="0.2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</row>
    <row r="5" spans="1:71" customFormat="1" x14ac:dyDescent="0.2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</row>
    <row r="6" spans="1:71" customFormat="1" ht="21" x14ac:dyDescent="0.25">
      <c r="A6" s="25"/>
      <c r="B6" s="200" t="s">
        <v>97</v>
      </c>
      <c r="C6" s="200"/>
      <c r="D6" s="200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</row>
    <row r="7" spans="1:71" customFormat="1" x14ac:dyDescent="0.2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</row>
    <row r="8" spans="1:71" customFormat="1" x14ac:dyDescent="0.2">
      <c r="A8" s="25"/>
      <c r="B8" s="141" t="s">
        <v>96</v>
      </c>
      <c r="C8" s="60"/>
      <c r="D8" s="199"/>
      <c r="E8" s="198"/>
      <c r="F8" s="198"/>
      <c r="G8" s="198"/>
      <c r="H8" s="198"/>
      <c r="I8" s="60"/>
      <c r="J8" s="60">
        <v>0</v>
      </c>
      <c r="K8" s="60">
        <f>ROUNDUP(K9/12,0)</f>
        <v>1</v>
      </c>
      <c r="L8" s="60">
        <f>ROUNDUP(L9/12,0)</f>
        <v>1</v>
      </c>
      <c r="M8" s="60">
        <f>ROUNDUP(M9/12,0)</f>
        <v>1</v>
      </c>
      <c r="N8" s="60">
        <f>ROUNDUP(N9/12,0)</f>
        <v>1</v>
      </c>
      <c r="O8" s="60">
        <f>ROUNDUP(O9/12,0)</f>
        <v>1</v>
      </c>
      <c r="P8" s="60">
        <f>ROUNDUP(P9/12,0)</f>
        <v>1</v>
      </c>
      <c r="Q8" s="60">
        <f>ROUNDUP(Q9/12,0)</f>
        <v>1</v>
      </c>
      <c r="R8" s="60">
        <f>ROUNDUP(R9/12,0)</f>
        <v>1</v>
      </c>
      <c r="S8" s="60">
        <f>ROUNDUP(S9/12,0)</f>
        <v>1</v>
      </c>
      <c r="T8" s="60">
        <f>ROUNDUP(T9/12,0)</f>
        <v>1</v>
      </c>
      <c r="U8" s="60">
        <f>ROUNDUP(U9/12,0)</f>
        <v>1</v>
      </c>
      <c r="V8" s="60">
        <f>ROUNDUP(V9/12,0)</f>
        <v>1</v>
      </c>
      <c r="W8" s="60">
        <f>ROUNDUP(W9/12,0)</f>
        <v>2</v>
      </c>
      <c r="X8" s="60">
        <f>ROUNDUP(X9/12,0)</f>
        <v>2</v>
      </c>
      <c r="Y8" s="60">
        <f>ROUNDUP(Y9/12,0)</f>
        <v>2</v>
      </c>
      <c r="Z8" s="60">
        <f>ROUNDUP(Z9/12,0)</f>
        <v>2</v>
      </c>
      <c r="AA8" s="60">
        <f>ROUNDUP(AA9/12,0)</f>
        <v>2</v>
      </c>
      <c r="AB8" s="60">
        <f>ROUNDUP(AB9/12,0)</f>
        <v>2</v>
      </c>
      <c r="AC8" s="60">
        <f>ROUNDUP(AC9/12,0)</f>
        <v>2</v>
      </c>
      <c r="AD8" s="60">
        <f>ROUNDUP(AD9/12,0)</f>
        <v>2</v>
      </c>
      <c r="AE8" s="60">
        <f>ROUNDUP(AE9/12,0)</f>
        <v>2</v>
      </c>
      <c r="AF8" s="60">
        <f>ROUNDUP(AF9/12,0)</f>
        <v>2</v>
      </c>
      <c r="AG8" s="60">
        <f>ROUNDUP(AG9/12,0)</f>
        <v>2</v>
      </c>
      <c r="AH8" s="60">
        <f>ROUNDUP(AH9/12,0)</f>
        <v>2</v>
      </c>
      <c r="AI8" s="60">
        <f>ROUNDUP(AI9/12,0)</f>
        <v>3</v>
      </c>
      <c r="AJ8" s="60">
        <f>ROUNDUP(AJ9/12,0)</f>
        <v>3</v>
      </c>
      <c r="AK8" s="60">
        <f>ROUNDUP(AK9/12,0)</f>
        <v>3</v>
      </c>
      <c r="AL8" s="60">
        <f>ROUNDUP(AL9/12,0)</f>
        <v>3</v>
      </c>
      <c r="AM8" s="60">
        <f>ROUNDUP(AM9/12,0)</f>
        <v>3</v>
      </c>
      <c r="AN8" s="60">
        <f>ROUNDUP(AN9/12,0)</f>
        <v>3</v>
      </c>
      <c r="AO8" s="60">
        <f>ROUNDUP(AO9/12,0)</f>
        <v>3</v>
      </c>
      <c r="AP8" s="60">
        <f>ROUNDUP(AP9/12,0)</f>
        <v>3</v>
      </c>
      <c r="AQ8" s="60">
        <f>ROUNDUP(AQ9/12,0)</f>
        <v>3</v>
      </c>
      <c r="AR8" s="60">
        <f>ROUNDUP(AR9/12,0)</f>
        <v>3</v>
      </c>
      <c r="AS8" s="60">
        <f>ROUNDUP(AS9/12,0)</f>
        <v>3</v>
      </c>
      <c r="AT8" s="60">
        <f>ROUNDUP(AT9/12,0)</f>
        <v>3</v>
      </c>
      <c r="AU8" s="60">
        <f>ROUNDUP(AU9/12,0)</f>
        <v>4</v>
      </c>
      <c r="AV8" s="60">
        <f>ROUNDUP(AV9/12,0)</f>
        <v>4</v>
      </c>
      <c r="AW8" s="60">
        <f>ROUNDUP(AW9/12,0)</f>
        <v>4</v>
      </c>
      <c r="AX8" s="60">
        <f>ROUNDUP(AX9/12,0)</f>
        <v>4</v>
      </c>
      <c r="AY8" s="60">
        <f>ROUNDUP(AY9/12,0)</f>
        <v>4</v>
      </c>
      <c r="AZ8" s="60">
        <f>ROUNDUP(AZ9/12,0)</f>
        <v>4</v>
      </c>
      <c r="BA8" s="60">
        <f>ROUNDUP(BA9/12,0)</f>
        <v>4</v>
      </c>
      <c r="BB8" s="60">
        <f>ROUNDUP(BB9/12,0)</f>
        <v>4</v>
      </c>
      <c r="BC8" s="60">
        <f>ROUNDUP(BC9/12,0)</f>
        <v>4</v>
      </c>
      <c r="BD8" s="60">
        <f>ROUNDUP(BD9/12,0)</f>
        <v>4</v>
      </c>
      <c r="BE8" s="60">
        <f>ROUNDUP(BE9/12,0)</f>
        <v>4</v>
      </c>
      <c r="BF8" s="60">
        <f>ROUNDUP(BF9/12,0)</f>
        <v>4</v>
      </c>
      <c r="BG8" s="60">
        <f>ROUNDUP(BG9/12,0)</f>
        <v>5</v>
      </c>
      <c r="BH8" s="60">
        <f>ROUNDUP(BH9/12,0)</f>
        <v>5</v>
      </c>
      <c r="BI8" s="60">
        <f>ROUNDUP(BI9/12,0)</f>
        <v>5</v>
      </c>
      <c r="BJ8" s="60">
        <f>ROUNDUP(BJ9/12,0)</f>
        <v>5</v>
      </c>
      <c r="BK8" s="60">
        <f>ROUNDUP(BK9/12,0)</f>
        <v>5</v>
      </c>
      <c r="BL8" s="60">
        <f>ROUNDUP(BL9/12,0)</f>
        <v>5</v>
      </c>
      <c r="BM8" s="60">
        <f>ROUNDUP(BM9/12,0)</f>
        <v>5</v>
      </c>
      <c r="BN8" s="60">
        <f>ROUNDUP(BN9/12,0)</f>
        <v>5</v>
      </c>
      <c r="BO8" s="60">
        <f>ROUNDUP(BO9/12,0)</f>
        <v>5</v>
      </c>
      <c r="BP8" s="60">
        <f>ROUNDUP(BP9/12,0)</f>
        <v>5</v>
      </c>
      <c r="BQ8" s="60">
        <f>ROUNDUP(BQ9/12,0)</f>
        <v>5</v>
      </c>
      <c r="BR8" s="197">
        <f>ROUNDUP(BR9/12,0)</f>
        <v>5</v>
      </c>
      <c r="BS8" s="25"/>
    </row>
    <row r="9" spans="1:71" customFormat="1" x14ac:dyDescent="0.2">
      <c r="A9" s="25"/>
      <c r="B9" s="196" t="s">
        <v>95</v>
      </c>
      <c r="C9" s="192"/>
      <c r="D9" s="195"/>
      <c r="E9" s="194"/>
      <c r="F9" s="194"/>
      <c r="G9" s="194"/>
      <c r="H9" s="193" t="s">
        <v>94</v>
      </c>
      <c r="I9" s="192"/>
      <c r="J9" s="192">
        <v>0</v>
      </c>
      <c r="K9" s="192">
        <f>+J9+1</f>
        <v>1</v>
      </c>
      <c r="L9" s="192">
        <f>+K9+1</f>
        <v>2</v>
      </c>
      <c r="M9" s="192">
        <f>+L9+1</f>
        <v>3</v>
      </c>
      <c r="N9" s="192">
        <f>+M9+1</f>
        <v>4</v>
      </c>
      <c r="O9" s="192">
        <f>+N9+1</f>
        <v>5</v>
      </c>
      <c r="P9" s="192">
        <f>+O9+1</f>
        <v>6</v>
      </c>
      <c r="Q9" s="192">
        <f>+P9+1</f>
        <v>7</v>
      </c>
      <c r="R9" s="192">
        <f>+Q9+1</f>
        <v>8</v>
      </c>
      <c r="S9" s="192">
        <f>+R9+1</f>
        <v>9</v>
      </c>
      <c r="T9" s="192">
        <f>+S9+1</f>
        <v>10</v>
      </c>
      <c r="U9" s="192">
        <f>+T9+1</f>
        <v>11</v>
      </c>
      <c r="V9" s="192">
        <f>+U9+1</f>
        <v>12</v>
      </c>
      <c r="W9" s="192">
        <f>+V9+1</f>
        <v>13</v>
      </c>
      <c r="X9" s="192">
        <f>+W9+1</f>
        <v>14</v>
      </c>
      <c r="Y9" s="192">
        <f>+X9+1</f>
        <v>15</v>
      </c>
      <c r="Z9" s="192">
        <f>+Y9+1</f>
        <v>16</v>
      </c>
      <c r="AA9" s="192">
        <f>+Z9+1</f>
        <v>17</v>
      </c>
      <c r="AB9" s="192">
        <f>+AA9+1</f>
        <v>18</v>
      </c>
      <c r="AC9" s="192">
        <f>+AB9+1</f>
        <v>19</v>
      </c>
      <c r="AD9" s="192">
        <f>+AC9+1</f>
        <v>20</v>
      </c>
      <c r="AE9" s="192">
        <f>+AD9+1</f>
        <v>21</v>
      </c>
      <c r="AF9" s="192">
        <f>+AE9+1</f>
        <v>22</v>
      </c>
      <c r="AG9" s="192">
        <f>+AF9+1</f>
        <v>23</v>
      </c>
      <c r="AH9" s="192">
        <f>+AG9+1</f>
        <v>24</v>
      </c>
      <c r="AI9" s="192">
        <f>+AH9+1</f>
        <v>25</v>
      </c>
      <c r="AJ9" s="192">
        <f>+AI9+1</f>
        <v>26</v>
      </c>
      <c r="AK9" s="192">
        <f>+AJ9+1</f>
        <v>27</v>
      </c>
      <c r="AL9" s="192">
        <f>+AK9+1</f>
        <v>28</v>
      </c>
      <c r="AM9" s="192">
        <f>+AL9+1</f>
        <v>29</v>
      </c>
      <c r="AN9" s="192">
        <f>+AM9+1</f>
        <v>30</v>
      </c>
      <c r="AO9" s="192">
        <f>+AN9+1</f>
        <v>31</v>
      </c>
      <c r="AP9" s="192">
        <f>+AO9+1</f>
        <v>32</v>
      </c>
      <c r="AQ9" s="192">
        <f>+AP9+1</f>
        <v>33</v>
      </c>
      <c r="AR9" s="192">
        <f>+AQ9+1</f>
        <v>34</v>
      </c>
      <c r="AS9" s="192">
        <f>+AR9+1</f>
        <v>35</v>
      </c>
      <c r="AT9" s="192">
        <f>+AS9+1</f>
        <v>36</v>
      </c>
      <c r="AU9" s="192">
        <f>+AT9+1</f>
        <v>37</v>
      </c>
      <c r="AV9" s="192">
        <f>+AU9+1</f>
        <v>38</v>
      </c>
      <c r="AW9" s="192">
        <f>+AV9+1</f>
        <v>39</v>
      </c>
      <c r="AX9" s="192">
        <f>+AW9+1</f>
        <v>40</v>
      </c>
      <c r="AY9" s="192">
        <f>+AX9+1</f>
        <v>41</v>
      </c>
      <c r="AZ9" s="192">
        <f>+AY9+1</f>
        <v>42</v>
      </c>
      <c r="BA9" s="192">
        <f>+AZ9+1</f>
        <v>43</v>
      </c>
      <c r="BB9" s="192">
        <f>+BA9+1</f>
        <v>44</v>
      </c>
      <c r="BC9" s="192">
        <f>+BB9+1</f>
        <v>45</v>
      </c>
      <c r="BD9" s="192">
        <f>+BC9+1</f>
        <v>46</v>
      </c>
      <c r="BE9" s="192">
        <f>+BD9+1</f>
        <v>47</v>
      </c>
      <c r="BF9" s="192">
        <f>+BE9+1</f>
        <v>48</v>
      </c>
      <c r="BG9" s="192">
        <f>+BF9+1</f>
        <v>49</v>
      </c>
      <c r="BH9" s="192">
        <f>+BG9+1</f>
        <v>50</v>
      </c>
      <c r="BI9" s="192">
        <f>+BH9+1</f>
        <v>51</v>
      </c>
      <c r="BJ9" s="192">
        <f>+BI9+1</f>
        <v>52</v>
      </c>
      <c r="BK9" s="192">
        <f>+BJ9+1</f>
        <v>53</v>
      </c>
      <c r="BL9" s="192">
        <f>+BK9+1</f>
        <v>54</v>
      </c>
      <c r="BM9" s="192">
        <f>+BL9+1</f>
        <v>55</v>
      </c>
      <c r="BN9" s="192">
        <f>+BM9+1</f>
        <v>56</v>
      </c>
      <c r="BO9" s="192">
        <f>+BN9+1</f>
        <v>57</v>
      </c>
      <c r="BP9" s="192">
        <f>+BO9+1</f>
        <v>58</v>
      </c>
      <c r="BQ9" s="192">
        <f>+BP9+1</f>
        <v>59</v>
      </c>
      <c r="BR9" s="191">
        <f>+BQ9+1</f>
        <v>60</v>
      </c>
      <c r="BS9" s="25"/>
    </row>
    <row r="10" spans="1:71" customFormat="1" x14ac:dyDescent="0.2">
      <c r="A10" s="25"/>
      <c r="B10" s="190" t="s">
        <v>93</v>
      </c>
      <c r="C10" s="189" t="s">
        <v>92</v>
      </c>
      <c r="D10" s="188" t="s">
        <v>91</v>
      </c>
      <c r="E10" s="187" t="s">
        <v>90</v>
      </c>
      <c r="F10" s="187" t="s">
        <v>89</v>
      </c>
      <c r="G10" s="187" t="s">
        <v>88</v>
      </c>
      <c r="H10" s="186"/>
      <c r="I10" s="185" t="s">
        <v>87</v>
      </c>
      <c r="J10" s="185">
        <v>43466</v>
      </c>
      <c r="K10" s="185">
        <f>EDATE(J10,1)</f>
        <v>43497</v>
      </c>
      <c r="L10" s="185">
        <f>EDATE(K10,1)</f>
        <v>43525</v>
      </c>
      <c r="M10" s="185">
        <f>EDATE(L10,1)</f>
        <v>43556</v>
      </c>
      <c r="N10" s="185">
        <f>EDATE(M10,1)</f>
        <v>43586</v>
      </c>
      <c r="O10" s="185">
        <f>EDATE(N10,1)</f>
        <v>43617</v>
      </c>
      <c r="P10" s="185">
        <f>EDATE(O10,1)</f>
        <v>43647</v>
      </c>
      <c r="Q10" s="185">
        <f>EDATE(P10,1)</f>
        <v>43678</v>
      </c>
      <c r="R10" s="185">
        <f>EDATE(Q10,1)</f>
        <v>43709</v>
      </c>
      <c r="S10" s="185">
        <f>EDATE(R10,1)</f>
        <v>43739</v>
      </c>
      <c r="T10" s="185">
        <f>EDATE(S10,1)</f>
        <v>43770</v>
      </c>
      <c r="U10" s="185">
        <f>EDATE(T10,1)</f>
        <v>43800</v>
      </c>
      <c r="V10" s="185">
        <f>EDATE(U10,1)</f>
        <v>43831</v>
      </c>
      <c r="W10" s="185">
        <f>EDATE(V10,1)</f>
        <v>43862</v>
      </c>
      <c r="X10" s="185">
        <f>EDATE(W10,1)</f>
        <v>43891</v>
      </c>
      <c r="Y10" s="185">
        <f>EDATE(X10,1)</f>
        <v>43922</v>
      </c>
      <c r="Z10" s="185">
        <f>EDATE(Y10,1)</f>
        <v>43952</v>
      </c>
      <c r="AA10" s="185">
        <f>EDATE(Z10,1)</f>
        <v>43983</v>
      </c>
      <c r="AB10" s="185">
        <f>EDATE(AA10,1)</f>
        <v>44013</v>
      </c>
      <c r="AC10" s="185">
        <f>EDATE(AB10,1)</f>
        <v>44044</v>
      </c>
      <c r="AD10" s="185">
        <f>EDATE(AC10,1)</f>
        <v>44075</v>
      </c>
      <c r="AE10" s="185">
        <f>EDATE(AD10,1)</f>
        <v>44105</v>
      </c>
      <c r="AF10" s="185">
        <f>EDATE(AE10,1)</f>
        <v>44136</v>
      </c>
      <c r="AG10" s="185">
        <f>EDATE(AF10,1)</f>
        <v>44166</v>
      </c>
      <c r="AH10" s="185">
        <f>EDATE(AG10,1)</f>
        <v>44197</v>
      </c>
      <c r="AI10" s="185">
        <f>EDATE(AH10,1)</f>
        <v>44228</v>
      </c>
      <c r="AJ10" s="185">
        <f>EDATE(AI10,1)</f>
        <v>44256</v>
      </c>
      <c r="AK10" s="185">
        <f>EDATE(AJ10,1)</f>
        <v>44287</v>
      </c>
      <c r="AL10" s="185">
        <f>EDATE(AK10,1)</f>
        <v>44317</v>
      </c>
      <c r="AM10" s="185">
        <f>EDATE(AL10,1)</f>
        <v>44348</v>
      </c>
      <c r="AN10" s="185">
        <f>EDATE(AM10,1)</f>
        <v>44378</v>
      </c>
      <c r="AO10" s="185">
        <f>EDATE(AN10,1)</f>
        <v>44409</v>
      </c>
      <c r="AP10" s="185">
        <f>EDATE(AO10,1)</f>
        <v>44440</v>
      </c>
      <c r="AQ10" s="185">
        <f>EDATE(AP10,1)</f>
        <v>44470</v>
      </c>
      <c r="AR10" s="185">
        <f>EDATE(AQ10,1)</f>
        <v>44501</v>
      </c>
      <c r="AS10" s="185">
        <f>EDATE(AR10,1)</f>
        <v>44531</v>
      </c>
      <c r="AT10" s="185">
        <f>EDATE(AS10,1)</f>
        <v>44562</v>
      </c>
      <c r="AU10" s="185">
        <f>EDATE(AT10,1)</f>
        <v>44593</v>
      </c>
      <c r="AV10" s="185">
        <f>EDATE(AU10,1)</f>
        <v>44621</v>
      </c>
      <c r="AW10" s="185">
        <f>EDATE(AV10,1)</f>
        <v>44652</v>
      </c>
      <c r="AX10" s="185">
        <f>EDATE(AW10,1)</f>
        <v>44682</v>
      </c>
      <c r="AY10" s="185">
        <f>EDATE(AX10,1)</f>
        <v>44713</v>
      </c>
      <c r="AZ10" s="185">
        <f>EDATE(AY10,1)</f>
        <v>44743</v>
      </c>
      <c r="BA10" s="185">
        <f>EDATE(AZ10,1)</f>
        <v>44774</v>
      </c>
      <c r="BB10" s="185">
        <f>EDATE(BA10,1)</f>
        <v>44805</v>
      </c>
      <c r="BC10" s="185">
        <f>EDATE(BB10,1)</f>
        <v>44835</v>
      </c>
      <c r="BD10" s="185">
        <f>EDATE(BC10,1)</f>
        <v>44866</v>
      </c>
      <c r="BE10" s="185">
        <f>EDATE(BD10,1)</f>
        <v>44896</v>
      </c>
      <c r="BF10" s="185">
        <f>EDATE(BE10,1)</f>
        <v>44927</v>
      </c>
      <c r="BG10" s="185">
        <f>EDATE(BF10,1)</f>
        <v>44958</v>
      </c>
      <c r="BH10" s="185">
        <f>EDATE(BG10,1)</f>
        <v>44986</v>
      </c>
      <c r="BI10" s="185">
        <f>EDATE(BH10,1)</f>
        <v>45017</v>
      </c>
      <c r="BJ10" s="185">
        <f>EDATE(BI10,1)</f>
        <v>45047</v>
      </c>
      <c r="BK10" s="185">
        <f>EDATE(BJ10,1)</f>
        <v>45078</v>
      </c>
      <c r="BL10" s="185">
        <f>EDATE(BK10,1)</f>
        <v>45108</v>
      </c>
      <c r="BM10" s="185">
        <f>EDATE(BL10,1)</f>
        <v>45139</v>
      </c>
      <c r="BN10" s="185">
        <f>EDATE(BM10,1)</f>
        <v>45170</v>
      </c>
      <c r="BO10" s="185">
        <f>EDATE(BN10,1)</f>
        <v>45200</v>
      </c>
      <c r="BP10" s="185">
        <f>EDATE(BO10,1)</f>
        <v>45231</v>
      </c>
      <c r="BQ10" s="185">
        <f>EDATE(BP10,1)</f>
        <v>45261</v>
      </c>
      <c r="BR10" s="184">
        <f>EDATE(BQ10,1)</f>
        <v>45292</v>
      </c>
      <c r="BS10" s="25"/>
    </row>
    <row r="11" spans="1:71" customFormat="1" x14ac:dyDescent="0.2">
      <c r="A11" s="25"/>
      <c r="B11" s="183" t="s">
        <v>86</v>
      </c>
      <c r="C11" s="182"/>
      <c r="D11" s="181"/>
      <c r="E11" s="180"/>
      <c r="F11" s="180"/>
      <c r="G11" s="180"/>
      <c r="H11" s="180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179"/>
      <c r="AU11" s="179"/>
      <c r="AV11" s="179"/>
      <c r="AW11" s="179"/>
      <c r="AX11" s="179"/>
      <c r="AY11" s="179"/>
      <c r="AZ11" s="179"/>
      <c r="BA11" s="179"/>
      <c r="BB11" s="179"/>
      <c r="BC11" s="179"/>
      <c r="BD11" s="179"/>
      <c r="BE11" s="179"/>
      <c r="BF11" s="179"/>
      <c r="BG11" s="179"/>
      <c r="BH11" s="179"/>
      <c r="BI11" s="179"/>
      <c r="BJ11" s="179"/>
      <c r="BK11" s="179"/>
      <c r="BL11" s="179"/>
      <c r="BM11" s="179"/>
      <c r="BN11" s="179"/>
      <c r="BO11" s="179"/>
      <c r="BP11" s="179"/>
      <c r="BQ11" s="179"/>
      <c r="BR11" s="178"/>
      <c r="BS11" s="25"/>
    </row>
    <row r="12" spans="1:71" customFormat="1" x14ac:dyDescent="0.2">
      <c r="A12" s="25"/>
      <c r="B12" s="52"/>
      <c r="C12" s="165"/>
      <c r="D12" s="177"/>
      <c r="E12" s="25"/>
      <c r="F12" s="25"/>
      <c r="G12" s="25"/>
      <c r="H12" s="25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8"/>
      <c r="BS12" s="25"/>
    </row>
    <row r="13" spans="1:71" customFormat="1" x14ac:dyDescent="0.2">
      <c r="A13" s="25"/>
      <c r="B13" s="52" t="s">
        <v>85</v>
      </c>
      <c r="C13" s="159">
        <v>30676452</v>
      </c>
      <c r="D13" s="164"/>
      <c r="E13" s="25"/>
      <c r="F13" s="25"/>
      <c r="G13" s="25"/>
      <c r="H13" s="25"/>
      <c r="I13" s="155" t="str">
        <f>IF(ROUND(SUM($J13:$BR13),0)=ROUND(C13,0),"OK","error")</f>
        <v>OK</v>
      </c>
      <c r="J13" s="55">
        <f>C13</f>
        <v>30676452</v>
      </c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8"/>
      <c r="BS13" s="25"/>
    </row>
    <row r="14" spans="1:71" customFormat="1" x14ac:dyDescent="0.2">
      <c r="A14" s="25"/>
      <c r="B14" s="52"/>
      <c r="C14" s="165"/>
      <c r="D14" s="164"/>
      <c r="E14" s="25"/>
      <c r="F14" s="25"/>
      <c r="G14" s="25"/>
      <c r="H14" s="25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8"/>
      <c r="BS14" s="25"/>
    </row>
    <row r="15" spans="1:71" customFormat="1" x14ac:dyDescent="0.2">
      <c r="A15" s="25"/>
      <c r="B15" s="52" t="s">
        <v>84</v>
      </c>
      <c r="C15" s="165"/>
      <c r="D15" s="164"/>
      <c r="E15" s="25"/>
      <c r="F15" s="25"/>
      <c r="G15" s="25"/>
      <c r="H15" s="25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8"/>
      <c r="BS15" s="25"/>
    </row>
    <row r="16" spans="1:71" customFormat="1" x14ac:dyDescent="0.2">
      <c r="A16" s="25"/>
      <c r="B16" s="67" t="s">
        <v>83</v>
      </c>
      <c r="C16" s="159">
        <v>152000</v>
      </c>
      <c r="D16" s="163" t="s">
        <v>72</v>
      </c>
      <c r="E16" s="167">
        <v>2</v>
      </c>
      <c r="F16" s="167">
        <v>2</v>
      </c>
      <c r="G16" s="162">
        <f>F16-E16+1</f>
        <v>1</v>
      </c>
      <c r="H16" s="166"/>
      <c r="I16" s="155" t="str">
        <f>IF(ROUND(SUM($J16:$BR16),0)=ROUND(C16,0),"OK","error")</f>
        <v>OK</v>
      </c>
      <c r="J16" s="49"/>
      <c r="K16" s="55">
        <f>(K9=$E$16)*$C$16</f>
        <v>0</v>
      </c>
      <c r="L16" s="55">
        <f>(L9=$E$16)*$C$16</f>
        <v>152000</v>
      </c>
      <c r="M16" s="55">
        <f>(M9=$E$16)*$C$16</f>
        <v>0</v>
      </c>
      <c r="N16" s="55">
        <f>(N9=$E$16)*$C$16</f>
        <v>0</v>
      </c>
      <c r="O16" s="55">
        <f>(O9=$E$16)*$C$16</f>
        <v>0</v>
      </c>
      <c r="P16" s="55">
        <f>(P9=$E$16)*$C$16</f>
        <v>0</v>
      </c>
      <c r="Q16" s="55">
        <f>(Q9=$E$16)*$C$16</f>
        <v>0</v>
      </c>
      <c r="R16" s="55">
        <f>(R9=$E$16)*$C$16</f>
        <v>0</v>
      </c>
      <c r="S16" s="55">
        <f>(S9=$E$16)*$C$16</f>
        <v>0</v>
      </c>
      <c r="T16" s="55">
        <f>(T9=$E$16)*$C$16</f>
        <v>0</v>
      </c>
      <c r="U16" s="55">
        <f>(U9=$E$16)*$C$16</f>
        <v>0</v>
      </c>
      <c r="V16" s="55">
        <f>(V9=$E$16)*$C$16</f>
        <v>0</v>
      </c>
      <c r="W16" s="55">
        <f>(W9=$E$16)*$C$16</f>
        <v>0</v>
      </c>
      <c r="X16" s="55">
        <f>(X9=$E$16)*$C$16</f>
        <v>0</v>
      </c>
      <c r="Y16" s="55">
        <f>(Y9=$E$16)*$C$16</f>
        <v>0</v>
      </c>
      <c r="Z16" s="55">
        <f>(Z9=$E$16)*$C$16</f>
        <v>0</v>
      </c>
      <c r="AA16" s="55">
        <f>(AA9=$E$16)*$C$16</f>
        <v>0</v>
      </c>
      <c r="AB16" s="55">
        <f>(AB9=$E$16)*$C$16</f>
        <v>0</v>
      </c>
      <c r="AC16" s="55">
        <f>(AC9=$E$16)*$C$16</f>
        <v>0</v>
      </c>
      <c r="AD16" s="55">
        <f>(AD9=$E$16)*$C$16</f>
        <v>0</v>
      </c>
      <c r="AE16" s="55">
        <f>(AE9=$E$16)*$C$16</f>
        <v>0</v>
      </c>
      <c r="AF16" s="55">
        <f>(AF9=$E$16)*$C$16</f>
        <v>0</v>
      </c>
      <c r="AG16" s="55">
        <f>(AG9=$E$16)*$C$16</f>
        <v>0</v>
      </c>
      <c r="AH16" s="55">
        <f>(AH9=$E$16)*$C$16</f>
        <v>0</v>
      </c>
      <c r="AI16" s="55">
        <f>(AI9=$E$16)*$C$16</f>
        <v>0</v>
      </c>
      <c r="AJ16" s="55">
        <f>(AJ9=$E$16)*$C$16</f>
        <v>0</v>
      </c>
      <c r="AK16" s="55">
        <f>(AK9=$E$16)*$C$16</f>
        <v>0</v>
      </c>
      <c r="AL16" s="55">
        <f>(AL9=$E$16)*$C$16</f>
        <v>0</v>
      </c>
      <c r="AM16" s="55">
        <f>(AM9=$E$16)*$C$16</f>
        <v>0</v>
      </c>
      <c r="AN16" s="55">
        <f>(AN9=$E$16)*$C$16</f>
        <v>0</v>
      </c>
      <c r="AO16" s="55">
        <f>(AO9=$E$16)*$C$16</f>
        <v>0</v>
      </c>
      <c r="AP16" s="55">
        <f>(AP9=$E$16)*$C$16</f>
        <v>0</v>
      </c>
      <c r="AQ16" s="55">
        <f>(AQ9=$E$16)*$C$16</f>
        <v>0</v>
      </c>
      <c r="AR16" s="55">
        <f>(AR9=$E$16)*$C$16</f>
        <v>0</v>
      </c>
      <c r="AS16" s="55">
        <f>(AS9=$E$16)*$C$16</f>
        <v>0</v>
      </c>
      <c r="AT16" s="55">
        <f>(AT9=$E$16)*$C$16</f>
        <v>0</v>
      </c>
      <c r="AU16" s="55">
        <f>(AU9=$E$16)*$C$16</f>
        <v>0</v>
      </c>
      <c r="AV16" s="55">
        <f>(AV9=$E$16)*$C$16</f>
        <v>0</v>
      </c>
      <c r="AW16" s="55">
        <f>(AW9=$E$16)*$C$16</f>
        <v>0</v>
      </c>
      <c r="AX16" s="55">
        <f>(AX9=$E$16)*$C$16</f>
        <v>0</v>
      </c>
      <c r="AY16" s="55">
        <f>(AY9=$E$16)*$C$16</f>
        <v>0</v>
      </c>
      <c r="AZ16" s="55">
        <f>(AZ9=$E$16)*$C$16</f>
        <v>0</v>
      </c>
      <c r="BA16" s="55">
        <f>(BA9=$E$16)*$C$16</f>
        <v>0</v>
      </c>
      <c r="BB16" s="55">
        <f>(BB9=$E$16)*$C$16</f>
        <v>0</v>
      </c>
      <c r="BC16" s="55">
        <f>(BC9=$E$16)*$C$16</f>
        <v>0</v>
      </c>
      <c r="BD16" s="55">
        <f>(BD9=$E$16)*$C$16</f>
        <v>0</v>
      </c>
      <c r="BE16" s="55">
        <f>(BE9=$E$16)*$C$16</f>
        <v>0</v>
      </c>
      <c r="BF16" s="55">
        <f>(BF9=$E$16)*$C$16</f>
        <v>0</v>
      </c>
      <c r="BG16" s="55">
        <f>(BG9=$E$16)*$C$16</f>
        <v>0</v>
      </c>
      <c r="BH16" s="55">
        <f>(BH9=$E$16)*$C$16</f>
        <v>0</v>
      </c>
      <c r="BI16" s="55">
        <f>(BI9=$E$16)*$C$16</f>
        <v>0</v>
      </c>
      <c r="BJ16" s="55">
        <f>(BJ9=$E$16)*$C$16</f>
        <v>0</v>
      </c>
      <c r="BK16" s="55">
        <f>(BK9=$E$16)*$C$16</f>
        <v>0</v>
      </c>
      <c r="BL16" s="55">
        <f>(BL9=$E$16)*$C$16</f>
        <v>0</v>
      </c>
      <c r="BM16" s="55">
        <f>(BM9=$E$16)*$C$16</f>
        <v>0</v>
      </c>
      <c r="BN16" s="55">
        <f>(BN9=$E$16)*$C$16</f>
        <v>0</v>
      </c>
      <c r="BO16" s="55">
        <f>(BO9=$E$16)*$C$16</f>
        <v>0</v>
      </c>
      <c r="BP16" s="55">
        <f>(BP9=$E$16)*$C$16</f>
        <v>0</v>
      </c>
      <c r="BQ16" s="55">
        <f>(BQ9=$E$16)*$C$16</f>
        <v>0</v>
      </c>
      <c r="BR16" s="160">
        <f>(BR9=$E$16)*$C$16</f>
        <v>0</v>
      </c>
      <c r="BS16" s="25"/>
    </row>
    <row r="17" spans="1:71" customFormat="1" x14ac:dyDescent="0.2">
      <c r="A17" s="25"/>
      <c r="B17" s="67" t="s">
        <v>82</v>
      </c>
      <c r="C17" s="159">
        <v>152000</v>
      </c>
      <c r="D17" s="164" t="s">
        <v>63</v>
      </c>
      <c r="E17" s="167">
        <v>2</v>
      </c>
      <c r="F17" s="167">
        <v>10</v>
      </c>
      <c r="G17" s="162">
        <f>F17-E17+1</f>
        <v>9</v>
      </c>
      <c r="H17" s="166"/>
      <c r="I17" s="155" t="str">
        <f>IF(ROUND(SUM($J17:$BR17),0)=ROUND(C17,0),"OK","error")</f>
        <v>OK</v>
      </c>
      <c r="J17" s="49"/>
      <c r="K17" s="55">
        <f>AND(K$9&gt;=$E17,K$9&lt;=$F17)*((K$9-$E17+1)/($G17*($G17+1)/2)*$C17)</f>
        <v>0</v>
      </c>
      <c r="L17" s="55">
        <f>AND(L$9&gt;=$E17,L$9&lt;=$F17)*((L$9-$E17+1)/($G17*($G17+1)/2)*$C17)</f>
        <v>3377.7777777777778</v>
      </c>
      <c r="M17" s="55">
        <f>AND(M$9&gt;=$E17,M$9&lt;=$F17)*((M$9-$E17+1)/($G17*($G17+1)/2)*$C17)</f>
        <v>6755.5555555555557</v>
      </c>
      <c r="N17" s="55">
        <f>AND(N$9&gt;=$E17,N$9&lt;=$F17)*((N$9-$E17+1)/($G17*($G17+1)/2)*$C17)</f>
        <v>10133.333333333334</v>
      </c>
      <c r="O17" s="55">
        <f>AND(O$9&gt;=$E17,O$9&lt;=$F17)*((O$9-$E17+1)/($G17*($G17+1)/2)*$C17)</f>
        <v>13511.111111111111</v>
      </c>
      <c r="P17" s="55">
        <f>AND(P$9&gt;=$E17,P$9&lt;=$F17)*((P$9-$E17+1)/($G17*($G17+1)/2)*$C17)</f>
        <v>16888.888888888887</v>
      </c>
      <c r="Q17" s="55">
        <f>AND(Q$9&gt;=$E17,Q$9&lt;=$F17)*((Q$9-$E17+1)/($G17*($G17+1)/2)*$C17)</f>
        <v>20266.666666666668</v>
      </c>
      <c r="R17" s="55">
        <f>AND(R$9&gt;=$E17,R$9&lt;=$F17)*((R$9-$E17+1)/($G17*($G17+1)/2)*$C17)</f>
        <v>23644.444444444445</v>
      </c>
      <c r="S17" s="55">
        <f>AND(S$9&gt;=$E17,S$9&lt;=$F17)*((S$9-$E17+1)/($G17*($G17+1)/2)*$C17)</f>
        <v>27022.222222222223</v>
      </c>
      <c r="T17" s="55">
        <f>AND(T$9&gt;=$E17,T$9&lt;=$F17)*((T$9-$E17+1)/($G17*($G17+1)/2)*$C17)</f>
        <v>30400</v>
      </c>
      <c r="U17" s="55">
        <f>AND(U$9&gt;=$E17,U$9&lt;=$F17)*((U$9-$E17+1)/($G17*($G17+1)/2)*$C17)</f>
        <v>0</v>
      </c>
      <c r="V17" s="55">
        <f>AND(V$9&gt;=$E17,V$9&lt;=$F17)*((V$9-$E17+1)/($G17*($G17+1)/2)*$C17)</f>
        <v>0</v>
      </c>
      <c r="W17" s="55">
        <f>AND(W$9&gt;=$E17,W$9&lt;=$F17)*((W$9-$E17+1)/($G17*($G17+1)/2)*$C17)</f>
        <v>0</v>
      </c>
      <c r="X17" s="55">
        <f>AND(X$9&gt;=$E17,X$9&lt;=$F17)*((X$9-$E17+1)/($G17*($G17+1)/2)*$C17)</f>
        <v>0</v>
      </c>
      <c r="Y17" s="55">
        <f>AND(Y$9&gt;=$E17,Y$9&lt;=$F17)*((Y$9-$E17+1)/($G17*($G17+1)/2)*$C17)</f>
        <v>0</v>
      </c>
      <c r="Z17" s="55">
        <f>AND(Z$9&gt;=$E17,Z$9&lt;=$F17)*((Z$9-$E17+1)/($G17*($G17+1)/2)*$C17)</f>
        <v>0</v>
      </c>
      <c r="AA17" s="55">
        <f>AND(AA$9&gt;=$E17,AA$9&lt;=$F17)*((AA$9-$E17+1)/($G17*($G17+1)/2)*$C17)</f>
        <v>0</v>
      </c>
      <c r="AB17" s="55">
        <f>AND(AB$9&gt;=$E17,AB$9&lt;=$F17)*((AB$9-$E17+1)/($G17*($G17+1)/2)*$C17)</f>
        <v>0</v>
      </c>
      <c r="AC17" s="55">
        <f>AND(AC$9&gt;=$E17,AC$9&lt;=$F17)*((AC$9-$E17+1)/($G17*($G17+1)/2)*$C17)</f>
        <v>0</v>
      </c>
      <c r="AD17" s="55">
        <f>AND(AD$9&gt;=$E17,AD$9&lt;=$F17)*((AD$9-$E17+1)/($G17*($G17+1)/2)*$C17)</f>
        <v>0</v>
      </c>
      <c r="AE17" s="55">
        <f>AND(AE$9&gt;=$E17,AE$9&lt;=$F17)*((AE$9-$E17+1)/($G17*($G17+1)/2)*$C17)</f>
        <v>0</v>
      </c>
      <c r="AF17" s="55">
        <f>AND(AF$9&gt;=$E17,AF$9&lt;=$F17)*((AF$9-$E17+1)/($G17*($G17+1)/2)*$C17)</f>
        <v>0</v>
      </c>
      <c r="AG17" s="55">
        <f>AND(AG$9&gt;=$E17,AG$9&lt;=$F17)*((AG$9-$E17+1)/($G17*($G17+1)/2)*$C17)</f>
        <v>0</v>
      </c>
      <c r="AH17" s="55">
        <f>AND(AH$9&gt;=$E17,AH$9&lt;=$F17)*((AH$9-$E17+1)/($G17*($G17+1)/2)*$C17)</f>
        <v>0</v>
      </c>
      <c r="AI17" s="55">
        <f>AND(AI$9&gt;=$E17,AI$9&lt;=$F17)*((AI$9-$E17+1)/($G17*($G17+1)/2)*$C17)</f>
        <v>0</v>
      </c>
      <c r="AJ17" s="55">
        <f>AND(AJ$9&gt;=$E17,AJ$9&lt;=$F17)*((AJ$9-$E17+1)/($G17*($G17+1)/2)*$C17)</f>
        <v>0</v>
      </c>
      <c r="AK17" s="55">
        <f>AND(AK$9&gt;=$E17,AK$9&lt;=$F17)*((AK$9-$E17+1)/($G17*($G17+1)/2)*$C17)</f>
        <v>0</v>
      </c>
      <c r="AL17" s="55">
        <f>AND(AL$9&gt;=$E17,AL$9&lt;=$F17)*((AL$9-$E17+1)/($G17*($G17+1)/2)*$C17)</f>
        <v>0</v>
      </c>
      <c r="AM17" s="55">
        <f>AND(AM$9&gt;=$E17,AM$9&lt;=$F17)*((AM$9-$E17+1)/($G17*($G17+1)/2)*$C17)</f>
        <v>0</v>
      </c>
      <c r="AN17" s="55">
        <f>AND(AN$9&gt;=$E17,AN$9&lt;=$F17)*((AN$9-$E17+1)/($G17*($G17+1)/2)*$C17)</f>
        <v>0</v>
      </c>
      <c r="AO17" s="55">
        <f>AND(AO$9&gt;=$E17,AO$9&lt;=$F17)*((AO$9-$E17+1)/($G17*($G17+1)/2)*$C17)</f>
        <v>0</v>
      </c>
      <c r="AP17" s="55">
        <f>AND(AP$9&gt;=$E17,AP$9&lt;=$F17)*((AP$9-$E17+1)/($G17*($G17+1)/2)*$C17)</f>
        <v>0</v>
      </c>
      <c r="AQ17" s="55">
        <f>AND(AQ$9&gt;=$E17,AQ$9&lt;=$F17)*((AQ$9-$E17+1)/($G17*($G17+1)/2)*$C17)</f>
        <v>0</v>
      </c>
      <c r="AR17" s="55">
        <f>AND(AR$9&gt;=$E17,AR$9&lt;=$F17)*((AR$9-$E17+1)/($G17*($G17+1)/2)*$C17)</f>
        <v>0</v>
      </c>
      <c r="AS17" s="55">
        <f>AND(AS$9&gt;=$E17,AS$9&lt;=$F17)*((AS$9-$E17+1)/($G17*($G17+1)/2)*$C17)</f>
        <v>0</v>
      </c>
      <c r="AT17" s="55">
        <f>AND(AT$9&gt;=$E17,AT$9&lt;=$F17)*((AT$9-$E17+1)/($G17*($G17+1)/2)*$C17)</f>
        <v>0</v>
      </c>
      <c r="AU17" s="55">
        <f>AND(AU$9&gt;=$E17,AU$9&lt;=$F17)*((AU$9-$E17+1)/($G17*($G17+1)/2)*$C17)</f>
        <v>0</v>
      </c>
      <c r="AV17" s="55">
        <f>AND(AV$9&gt;=$E17,AV$9&lt;=$F17)*((AV$9-$E17+1)/($G17*($G17+1)/2)*$C17)</f>
        <v>0</v>
      </c>
      <c r="AW17" s="55">
        <f>AND(AW$9&gt;=$E17,AW$9&lt;=$F17)*((AW$9-$E17+1)/($G17*($G17+1)/2)*$C17)</f>
        <v>0</v>
      </c>
      <c r="AX17" s="55">
        <f>AND(AX$9&gt;=$E17,AX$9&lt;=$F17)*((AX$9-$E17+1)/($G17*($G17+1)/2)*$C17)</f>
        <v>0</v>
      </c>
      <c r="AY17" s="55">
        <f>AND(AY$9&gt;=$E17,AY$9&lt;=$F17)*((AY$9-$E17+1)/($G17*($G17+1)/2)*$C17)</f>
        <v>0</v>
      </c>
      <c r="AZ17" s="55">
        <f>AND(AZ$9&gt;=$E17,AZ$9&lt;=$F17)*((AZ$9-$E17+1)/($G17*($G17+1)/2)*$C17)</f>
        <v>0</v>
      </c>
      <c r="BA17" s="55">
        <f>AND(BA$9&gt;=$E17,BA$9&lt;=$F17)*((BA$9-$E17+1)/($G17*($G17+1)/2)*$C17)</f>
        <v>0</v>
      </c>
      <c r="BB17" s="55">
        <f>AND(BB$9&gt;=$E17,BB$9&lt;=$F17)*((BB$9-$E17+1)/($G17*($G17+1)/2)*$C17)</f>
        <v>0</v>
      </c>
      <c r="BC17" s="55">
        <f>AND(BC$9&gt;=$E17,BC$9&lt;=$F17)*((BC$9-$E17+1)/($G17*($G17+1)/2)*$C17)</f>
        <v>0</v>
      </c>
      <c r="BD17" s="55">
        <f>AND(BD$9&gt;=$E17,BD$9&lt;=$F17)*((BD$9-$E17+1)/($G17*($G17+1)/2)*$C17)</f>
        <v>0</v>
      </c>
      <c r="BE17" s="55">
        <f>AND(BE$9&gt;=$E17,BE$9&lt;=$F17)*((BE$9-$E17+1)/($G17*($G17+1)/2)*$C17)</f>
        <v>0</v>
      </c>
      <c r="BF17" s="55">
        <f>AND(BF$9&gt;=$E17,BF$9&lt;=$F17)*((BF$9-$E17+1)/($G17*($G17+1)/2)*$C17)</f>
        <v>0</v>
      </c>
      <c r="BG17" s="55">
        <f>AND(BG$9&gt;=$E17,BG$9&lt;=$F17)*((BG$9-$E17+1)/($G17*($G17+1)/2)*$C17)</f>
        <v>0</v>
      </c>
      <c r="BH17" s="55">
        <f>AND(BH$9&gt;=$E17,BH$9&lt;=$F17)*((BH$9-$E17+1)/($G17*($G17+1)/2)*$C17)</f>
        <v>0</v>
      </c>
      <c r="BI17" s="55">
        <f>AND(BI$9&gt;=$E17,BI$9&lt;=$F17)*((BI$9-$E17+1)/($G17*($G17+1)/2)*$C17)</f>
        <v>0</v>
      </c>
      <c r="BJ17" s="55">
        <f>AND(BJ$9&gt;=$E17,BJ$9&lt;=$F17)*((BJ$9-$E17+1)/($G17*($G17+1)/2)*$C17)</f>
        <v>0</v>
      </c>
      <c r="BK17" s="55">
        <f>AND(BK$9&gt;=$E17,BK$9&lt;=$F17)*((BK$9-$E17+1)/($G17*($G17+1)/2)*$C17)</f>
        <v>0</v>
      </c>
      <c r="BL17" s="55">
        <f>AND(BL$9&gt;=$E17,BL$9&lt;=$F17)*((BL$9-$E17+1)/($G17*($G17+1)/2)*$C17)</f>
        <v>0</v>
      </c>
      <c r="BM17" s="55">
        <f>AND(BM$9&gt;=$E17,BM$9&lt;=$F17)*((BM$9-$E17+1)/($G17*($G17+1)/2)*$C17)</f>
        <v>0</v>
      </c>
      <c r="BN17" s="55">
        <f>AND(BN$9&gt;=$E17,BN$9&lt;=$F17)*((BN$9-$E17+1)/($G17*($G17+1)/2)*$C17)</f>
        <v>0</v>
      </c>
      <c r="BO17" s="55">
        <f>AND(BO$9&gt;=$E17,BO$9&lt;=$F17)*((BO$9-$E17+1)/($G17*($G17+1)/2)*$C17)</f>
        <v>0</v>
      </c>
      <c r="BP17" s="55">
        <f>AND(BP$9&gt;=$E17,BP$9&lt;=$F17)*((BP$9-$E17+1)/($G17*($G17+1)/2)*$C17)</f>
        <v>0</v>
      </c>
      <c r="BQ17" s="55">
        <f>AND(BQ$9&gt;=$E17,BQ$9&lt;=$F17)*((BQ$9-$E17+1)/($G17*($G17+1)/2)*$C17)</f>
        <v>0</v>
      </c>
      <c r="BR17" s="160">
        <f>AND(BR$9&gt;=$E17,BR$9&lt;=$F17)*((BR$9-$E17+1)/($G17*($G17+1)/2)*$C17)</f>
        <v>0</v>
      </c>
      <c r="BS17" s="25"/>
    </row>
    <row r="18" spans="1:71" customFormat="1" x14ac:dyDescent="0.2">
      <c r="A18" s="25"/>
      <c r="B18" s="67"/>
      <c r="C18" s="165"/>
      <c r="D18" s="164"/>
      <c r="E18" s="25"/>
      <c r="F18" s="25"/>
      <c r="G18" s="25"/>
      <c r="H18" s="166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8"/>
      <c r="BS18" s="25"/>
    </row>
    <row r="19" spans="1:71" customFormat="1" x14ac:dyDescent="0.2">
      <c r="A19" s="25"/>
      <c r="B19" s="52" t="s">
        <v>81</v>
      </c>
      <c r="C19" s="165"/>
      <c r="D19" s="164"/>
      <c r="E19" s="25"/>
      <c r="F19" s="25"/>
      <c r="G19" s="25"/>
      <c r="H19" s="166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8"/>
      <c r="BS19" s="25"/>
    </row>
    <row r="20" spans="1:71" customFormat="1" x14ac:dyDescent="0.2">
      <c r="A20" s="25"/>
      <c r="B20" s="67" t="s">
        <v>80</v>
      </c>
      <c r="C20" s="159">
        <v>1745184.0000000005</v>
      </c>
      <c r="D20" s="163" t="s">
        <v>79</v>
      </c>
      <c r="E20" s="167">
        <v>2</v>
      </c>
      <c r="F20" s="167">
        <v>16</v>
      </c>
      <c r="G20" s="162">
        <f>F20-E20+1</f>
        <v>15</v>
      </c>
      <c r="H20" s="166">
        <v>5</v>
      </c>
      <c r="I20" s="155" t="str">
        <f>IF(ROUND(SUM($J20:$BR20),0)=ROUND(C20,0),"OK","error")</f>
        <v>OK</v>
      </c>
      <c r="J20" s="49"/>
      <c r="K20" s="55">
        <f>(_xlfn.NORM.DIST(AND(K$9&gt;=$E20,K$9&lt;=$F20)*(K$9-$E20+1),$G20/2,$H20,TRUE)-_xlfn.NORM.DIST(AND(K$9&gt;=$E20,K$9&lt;=$F20)*(J$9-$E20+1),$G20/2,$H20,TRUE))/(1-2*_xlfn.NORM.DIST(0,$G20/2,$H20,TRUE))*$C20</f>
        <v>0</v>
      </c>
      <c r="L20" s="55">
        <f>(_xlfn.NORM.DIST(AND(L$9&gt;=$E20,L$9&lt;=$F20)*(L$9-$E20+1),$G20/2,$H20,TRUE)-_xlfn.NORM.DIST(AND(L$9&gt;=$E20,L$9&lt;=$F20)*(K$9-$E20+1),$G20/2,$H20,TRUE))/(1-2*_xlfn.NORM.DIST(0,$G20/2,$H20,TRUE))*$C20</f>
        <v>60416.283817716234</v>
      </c>
      <c r="M20" s="55">
        <f>(_xlfn.NORM.DIST(AND(M$9&gt;=$E20,M$9&lt;=$F20)*(M$9-$E20+1),$G20/2,$H20,TRUE)-_xlfn.NORM.DIST(AND(M$9&gt;=$E20,M$9&lt;=$F20)*(L$9-$E20+1),$G20/2,$H20,TRUE))/(1-2*_xlfn.NORM.DIST(0,$G20/2,$H20,TRUE))*$C20</f>
        <v>78287.984258130324</v>
      </c>
      <c r="N20" s="55">
        <f>(_xlfn.NORM.DIST(AND(N$9&gt;=$E20,N$9&lt;=$F20)*(N$9-$E20+1),$G20/2,$H20,TRUE)-_xlfn.NORM.DIST(AND(N$9&gt;=$E20,N$9&lt;=$F20)*(M$9-$E20+1),$G20/2,$H20,TRUE))/(1-2*_xlfn.NORM.DIST(0,$G20/2,$H20,TRUE))*$C20</f>
        <v>97481.476070109682</v>
      </c>
      <c r="O20" s="55">
        <f>(_xlfn.NORM.DIST(AND(O$9&gt;=$E20,O$9&lt;=$F20)*(O$9-$E20+1),$G20/2,$H20,TRUE)-_xlfn.NORM.DIST(AND(O$9&gt;=$E20,O$9&lt;=$F20)*(N$9-$E20+1),$G20/2,$H20,TRUE))/(1-2*_xlfn.NORM.DIST(0,$G20/2,$H20,TRUE))*$C20</f>
        <v>116636.64417333688</v>
      </c>
      <c r="P20" s="55">
        <f>(_xlfn.NORM.DIST(AND(P$9&gt;=$E20,P$9&lt;=$F20)*(P$9-$E20+1),$G20/2,$H20,TRUE)-_xlfn.NORM.DIST(AND(P$9&gt;=$E20,P$9&lt;=$F20)*(O$9-$E20+1),$G20/2,$H20,TRUE))/(1-2*_xlfn.NORM.DIST(0,$G20/2,$H20,TRUE))*$C20</f>
        <v>134101.58465585427</v>
      </c>
      <c r="Q20" s="55">
        <f>(_xlfn.NORM.DIST(AND(Q$9&gt;=$E20,Q$9&lt;=$F20)*(Q$9-$E20+1),$G20/2,$H20,TRUE)-_xlfn.NORM.DIST(AND(Q$9&gt;=$E20,Q$9&lt;=$F20)*(P$9-$E20+1),$G20/2,$H20,TRUE))/(1-2*_xlfn.NORM.DIST(0,$G20/2,$H20,TRUE))*$C20</f>
        <v>148155.85227940037</v>
      </c>
      <c r="R20" s="55">
        <f>(_xlfn.NORM.DIST(AND(R$9&gt;=$E20,R$9&lt;=$F20)*(R$9-$E20+1),$G20/2,$H20,TRUE)-_xlfn.NORM.DIST(AND(R$9&gt;=$E20,R$9&lt;=$F20)*(Q$9-$E20+1),$G20/2,$H20,TRUE))/(1-2*_xlfn.NORM.DIST(0,$G20/2,$H20,TRUE))*$C20</f>
        <v>157285.8822331276</v>
      </c>
      <c r="S20" s="55">
        <f>(_xlfn.NORM.DIST(AND(S$9&gt;=$E20,S$9&lt;=$F20)*(S$9-$E20+1),$G20/2,$H20,TRUE)-_xlfn.NORM.DIST(AND(S$9&gt;=$E20,S$9&lt;=$F20)*(R$9-$E20+1),$G20/2,$H20,TRUE))/(1-2*_xlfn.NORM.DIST(0,$G20/2,$H20,TRUE))*$C20</f>
        <v>160452.58502464986</v>
      </c>
      <c r="T20" s="55">
        <f>(_xlfn.NORM.DIST(AND(T$9&gt;=$E20,T$9&lt;=$F20)*(T$9-$E20+1),$G20/2,$H20,TRUE)-_xlfn.NORM.DIST(AND(T$9&gt;=$E20,T$9&lt;=$F20)*(S$9-$E20+1),$G20/2,$H20,TRUE))/(1-2*_xlfn.NORM.DIST(0,$G20/2,$H20,TRUE))*$C20</f>
        <v>157285.8822331276</v>
      </c>
      <c r="U20" s="55">
        <f>(_xlfn.NORM.DIST(AND(U$9&gt;=$E20,U$9&lt;=$F20)*(U$9-$E20+1),$G20/2,$H20,TRUE)-_xlfn.NORM.DIST(AND(U$9&gt;=$E20,U$9&lt;=$F20)*(T$9-$E20+1),$G20/2,$H20,TRUE))/(1-2*_xlfn.NORM.DIST(0,$G20/2,$H20,TRUE))*$C20</f>
        <v>148155.85227940037</v>
      </c>
      <c r="V20" s="55">
        <f>(_xlfn.NORM.DIST(AND(V$9&gt;=$E20,V$9&lt;=$F20)*(V$9-$E20+1),$G20/2,$H20,TRUE)-_xlfn.NORM.DIST(AND(V$9&gt;=$E20,V$9&lt;=$F20)*(U$9-$E20+1),$G20/2,$H20,TRUE))/(1-2*_xlfn.NORM.DIST(0,$G20/2,$H20,TRUE))*$C20</f>
        <v>134101.58465585415</v>
      </c>
      <c r="W20" s="55">
        <f>(_xlfn.NORM.DIST(AND(W$9&gt;=$E20,W$9&lt;=$F20)*(W$9-$E20+1),$G20/2,$H20,TRUE)-_xlfn.NORM.DIST(AND(W$9&gt;=$E20,W$9&lt;=$F20)*(V$9-$E20+1),$G20/2,$H20,TRUE))/(1-2*_xlfn.NORM.DIST(0,$G20/2,$H20,TRUE))*$C20</f>
        <v>116636.64417333694</v>
      </c>
      <c r="X20" s="55">
        <f>(_xlfn.NORM.DIST(AND(X$9&gt;=$E20,X$9&lt;=$F20)*(X$9-$E20+1),$G20/2,$H20,TRUE)-_xlfn.NORM.DIST(AND(X$9&gt;=$E20,X$9&lt;=$F20)*(W$9-$E20+1),$G20/2,$H20,TRUE))/(1-2*_xlfn.NORM.DIST(0,$G20/2,$H20,TRUE))*$C20</f>
        <v>97481.476070109682</v>
      </c>
      <c r="Y20" s="55">
        <f>(_xlfn.NORM.DIST(AND(Y$9&gt;=$E20,Y$9&lt;=$F20)*(Y$9-$E20+1),$G20/2,$H20,TRUE)-_xlfn.NORM.DIST(AND(Y$9&gt;=$E20,Y$9&lt;=$F20)*(X$9-$E20+1),$G20/2,$H20,TRUE))/(1-2*_xlfn.NORM.DIST(0,$G20/2,$H20,TRUE))*$C20</f>
        <v>78287.984258130411</v>
      </c>
      <c r="Z20" s="55">
        <f>(_xlfn.NORM.DIST(AND(Z$9&gt;=$E20,Z$9&lt;=$F20)*(Z$9-$E20+1),$G20/2,$H20,TRUE)-_xlfn.NORM.DIST(AND(Z$9&gt;=$E20,Z$9&lt;=$F20)*(Y$9-$E20+1),$G20/2,$H20,TRUE))/(1-2*_xlfn.NORM.DIST(0,$G20/2,$H20,TRUE))*$C20</f>
        <v>60416.283817716154</v>
      </c>
      <c r="AA20" s="55">
        <f>(_xlfn.NORM.DIST(AND(AA$9&gt;=$E20,AA$9&lt;=$F20)*(AA$9-$E20+1),$G20/2,$H20,TRUE)-_xlfn.NORM.DIST(AND(AA$9&gt;=$E20,AA$9&lt;=$F20)*(Z$9-$E20+1),$G20/2,$H20,TRUE))/(1-2*_xlfn.NORM.DIST(0,$G20/2,$H20,TRUE))*$C20</f>
        <v>0</v>
      </c>
      <c r="AB20" s="55">
        <f>(_xlfn.NORM.DIST(AND(AB$9&gt;=$E20,AB$9&lt;=$F20)*(AB$9-$E20+1),$G20/2,$H20,TRUE)-_xlfn.NORM.DIST(AND(AB$9&gt;=$E20,AB$9&lt;=$F20)*(AA$9-$E20+1),$G20/2,$H20,TRUE))/(1-2*_xlfn.NORM.DIST(0,$G20/2,$H20,TRUE))*$C20</f>
        <v>0</v>
      </c>
      <c r="AC20" s="55">
        <f>(_xlfn.NORM.DIST(AND(AC$9&gt;=$E20,AC$9&lt;=$F20)*(AC$9-$E20+1),$G20/2,$H20,TRUE)-_xlfn.NORM.DIST(AND(AC$9&gt;=$E20,AC$9&lt;=$F20)*(AB$9-$E20+1),$G20/2,$H20,TRUE))/(1-2*_xlfn.NORM.DIST(0,$G20/2,$H20,TRUE))*$C20</f>
        <v>0</v>
      </c>
      <c r="AD20" s="55">
        <f>(_xlfn.NORM.DIST(AND(AD$9&gt;=$E20,AD$9&lt;=$F20)*(AD$9-$E20+1),$G20/2,$H20,TRUE)-_xlfn.NORM.DIST(AND(AD$9&gt;=$E20,AD$9&lt;=$F20)*(AC$9-$E20+1),$G20/2,$H20,TRUE))/(1-2*_xlfn.NORM.DIST(0,$G20/2,$H20,TRUE))*$C20</f>
        <v>0</v>
      </c>
      <c r="AE20" s="55">
        <f>(_xlfn.NORM.DIST(AND(AE$9&gt;=$E20,AE$9&lt;=$F20)*(AE$9-$E20+1),$G20/2,$H20,TRUE)-_xlfn.NORM.DIST(AND(AE$9&gt;=$E20,AE$9&lt;=$F20)*(AD$9-$E20+1),$G20/2,$H20,TRUE))/(1-2*_xlfn.NORM.DIST(0,$G20/2,$H20,TRUE))*$C20</f>
        <v>0</v>
      </c>
      <c r="AF20" s="55">
        <f>(_xlfn.NORM.DIST(AND(AF$9&gt;=$E20,AF$9&lt;=$F20)*(AF$9-$E20+1),$G20/2,$H20,TRUE)-_xlfn.NORM.DIST(AND(AF$9&gt;=$E20,AF$9&lt;=$F20)*(AE$9-$E20+1),$G20/2,$H20,TRUE))/(1-2*_xlfn.NORM.DIST(0,$G20/2,$H20,TRUE))*$C20</f>
        <v>0</v>
      </c>
      <c r="AG20" s="55">
        <f>(_xlfn.NORM.DIST(AND(AG$9&gt;=$E20,AG$9&lt;=$F20)*(AG$9-$E20+1),$G20/2,$H20,TRUE)-_xlfn.NORM.DIST(AND(AG$9&gt;=$E20,AG$9&lt;=$F20)*(AF$9-$E20+1),$G20/2,$H20,TRUE))/(1-2*_xlfn.NORM.DIST(0,$G20/2,$H20,TRUE))*$C20</f>
        <v>0</v>
      </c>
      <c r="AH20" s="55">
        <f>(_xlfn.NORM.DIST(AND(AH$9&gt;=$E20,AH$9&lt;=$F20)*(AH$9-$E20+1),$G20/2,$H20,TRUE)-_xlfn.NORM.DIST(AND(AH$9&gt;=$E20,AH$9&lt;=$F20)*(AG$9-$E20+1),$G20/2,$H20,TRUE))/(1-2*_xlfn.NORM.DIST(0,$G20/2,$H20,TRUE))*$C20</f>
        <v>0</v>
      </c>
      <c r="AI20" s="55">
        <f>(_xlfn.NORM.DIST(AND(AI$9&gt;=$E20,AI$9&lt;=$F20)*(AI$9-$E20+1),$G20/2,$H20,TRUE)-_xlfn.NORM.DIST(AND(AI$9&gt;=$E20,AI$9&lt;=$F20)*(AH$9-$E20+1),$G20/2,$H20,TRUE))/(1-2*_xlfn.NORM.DIST(0,$G20/2,$H20,TRUE))*$C20</f>
        <v>0</v>
      </c>
      <c r="AJ20" s="55">
        <f>(_xlfn.NORM.DIST(AND(AJ$9&gt;=$E20,AJ$9&lt;=$F20)*(AJ$9-$E20+1),$G20/2,$H20,TRUE)-_xlfn.NORM.DIST(AND(AJ$9&gt;=$E20,AJ$9&lt;=$F20)*(AI$9-$E20+1),$G20/2,$H20,TRUE))/(1-2*_xlfn.NORM.DIST(0,$G20/2,$H20,TRUE))*$C20</f>
        <v>0</v>
      </c>
      <c r="AK20" s="55">
        <f>(_xlfn.NORM.DIST(AND(AK$9&gt;=$E20,AK$9&lt;=$F20)*(AK$9-$E20+1),$G20/2,$H20,TRUE)-_xlfn.NORM.DIST(AND(AK$9&gt;=$E20,AK$9&lt;=$F20)*(AJ$9-$E20+1),$G20/2,$H20,TRUE))/(1-2*_xlfn.NORM.DIST(0,$G20/2,$H20,TRUE))*$C20</f>
        <v>0</v>
      </c>
      <c r="AL20" s="55">
        <f>(_xlfn.NORM.DIST(AND(AL$9&gt;=$E20,AL$9&lt;=$F20)*(AL$9-$E20+1),$G20/2,$H20,TRUE)-_xlfn.NORM.DIST(AND(AL$9&gt;=$E20,AL$9&lt;=$F20)*(AK$9-$E20+1),$G20/2,$H20,TRUE))/(1-2*_xlfn.NORM.DIST(0,$G20/2,$H20,TRUE))*$C20</f>
        <v>0</v>
      </c>
      <c r="AM20" s="55">
        <f>(_xlfn.NORM.DIST(AND(AM$9&gt;=$E20,AM$9&lt;=$F20)*(AM$9-$E20+1),$G20/2,$H20,TRUE)-_xlfn.NORM.DIST(AND(AM$9&gt;=$E20,AM$9&lt;=$F20)*(AL$9-$E20+1),$G20/2,$H20,TRUE))/(1-2*_xlfn.NORM.DIST(0,$G20/2,$H20,TRUE))*$C20</f>
        <v>0</v>
      </c>
      <c r="AN20" s="55">
        <f>(_xlfn.NORM.DIST(AND(AN$9&gt;=$E20,AN$9&lt;=$F20)*(AN$9-$E20+1),$G20/2,$H20,TRUE)-_xlfn.NORM.DIST(AND(AN$9&gt;=$E20,AN$9&lt;=$F20)*(AM$9-$E20+1),$G20/2,$H20,TRUE))/(1-2*_xlfn.NORM.DIST(0,$G20/2,$H20,TRUE))*$C20</f>
        <v>0</v>
      </c>
      <c r="AO20" s="55">
        <f>(_xlfn.NORM.DIST(AND(AO$9&gt;=$E20,AO$9&lt;=$F20)*(AO$9-$E20+1),$G20/2,$H20,TRUE)-_xlfn.NORM.DIST(AND(AO$9&gt;=$E20,AO$9&lt;=$F20)*(AN$9-$E20+1),$G20/2,$H20,TRUE))/(1-2*_xlfn.NORM.DIST(0,$G20/2,$H20,TRUE))*$C20</f>
        <v>0</v>
      </c>
      <c r="AP20" s="55">
        <f>(_xlfn.NORM.DIST(AND(AP$9&gt;=$E20,AP$9&lt;=$F20)*(AP$9-$E20+1),$G20/2,$H20,TRUE)-_xlfn.NORM.DIST(AND(AP$9&gt;=$E20,AP$9&lt;=$F20)*(AO$9-$E20+1),$G20/2,$H20,TRUE))/(1-2*_xlfn.NORM.DIST(0,$G20/2,$H20,TRUE))*$C20</f>
        <v>0</v>
      </c>
      <c r="AQ20" s="55">
        <f>(_xlfn.NORM.DIST(AND(AQ$9&gt;=$E20,AQ$9&lt;=$F20)*(AQ$9-$E20+1),$G20/2,$H20,TRUE)-_xlfn.NORM.DIST(AND(AQ$9&gt;=$E20,AQ$9&lt;=$F20)*(AP$9-$E20+1),$G20/2,$H20,TRUE))/(1-2*_xlfn.NORM.DIST(0,$G20/2,$H20,TRUE))*$C20</f>
        <v>0</v>
      </c>
      <c r="AR20" s="55">
        <f>(_xlfn.NORM.DIST(AND(AR$9&gt;=$E20,AR$9&lt;=$F20)*(AR$9-$E20+1),$G20/2,$H20,TRUE)-_xlfn.NORM.DIST(AND(AR$9&gt;=$E20,AR$9&lt;=$F20)*(AQ$9-$E20+1),$G20/2,$H20,TRUE))/(1-2*_xlfn.NORM.DIST(0,$G20/2,$H20,TRUE))*$C20</f>
        <v>0</v>
      </c>
      <c r="AS20" s="55">
        <f>(_xlfn.NORM.DIST(AND(AS$9&gt;=$E20,AS$9&lt;=$F20)*(AS$9-$E20+1),$G20/2,$H20,TRUE)-_xlfn.NORM.DIST(AND(AS$9&gt;=$E20,AS$9&lt;=$F20)*(AR$9-$E20+1),$G20/2,$H20,TRUE))/(1-2*_xlfn.NORM.DIST(0,$G20/2,$H20,TRUE))*$C20</f>
        <v>0</v>
      </c>
      <c r="AT20" s="55">
        <f>(_xlfn.NORM.DIST(AND(AT$9&gt;=$E20,AT$9&lt;=$F20)*(AT$9-$E20+1),$G20/2,$H20,TRUE)-_xlfn.NORM.DIST(AND(AT$9&gt;=$E20,AT$9&lt;=$F20)*(AS$9-$E20+1),$G20/2,$H20,TRUE))/(1-2*_xlfn.NORM.DIST(0,$G20/2,$H20,TRUE))*$C20</f>
        <v>0</v>
      </c>
      <c r="AU20" s="55">
        <f>(_xlfn.NORM.DIST(AND(AU$9&gt;=$E20,AU$9&lt;=$F20)*(AU$9-$E20+1),$G20/2,$H20,TRUE)-_xlfn.NORM.DIST(AND(AU$9&gt;=$E20,AU$9&lt;=$F20)*(AT$9-$E20+1),$G20/2,$H20,TRUE))/(1-2*_xlfn.NORM.DIST(0,$G20/2,$H20,TRUE))*$C20</f>
        <v>0</v>
      </c>
      <c r="AV20" s="55">
        <f>(_xlfn.NORM.DIST(AND(AV$9&gt;=$E20,AV$9&lt;=$F20)*(AV$9-$E20+1),$G20/2,$H20,TRUE)-_xlfn.NORM.DIST(AND(AV$9&gt;=$E20,AV$9&lt;=$F20)*(AU$9-$E20+1),$G20/2,$H20,TRUE))/(1-2*_xlfn.NORM.DIST(0,$G20/2,$H20,TRUE))*$C20</f>
        <v>0</v>
      </c>
      <c r="AW20" s="55">
        <f>(_xlfn.NORM.DIST(AND(AW$9&gt;=$E20,AW$9&lt;=$F20)*(AW$9-$E20+1),$G20/2,$H20,TRUE)-_xlfn.NORM.DIST(AND(AW$9&gt;=$E20,AW$9&lt;=$F20)*(AV$9-$E20+1),$G20/2,$H20,TRUE))/(1-2*_xlfn.NORM.DIST(0,$G20/2,$H20,TRUE))*$C20</f>
        <v>0</v>
      </c>
      <c r="AX20" s="55">
        <f>(_xlfn.NORM.DIST(AND(AX$9&gt;=$E20,AX$9&lt;=$F20)*(AX$9-$E20+1),$G20/2,$H20,TRUE)-_xlfn.NORM.DIST(AND(AX$9&gt;=$E20,AX$9&lt;=$F20)*(AW$9-$E20+1),$G20/2,$H20,TRUE))/(1-2*_xlfn.NORM.DIST(0,$G20/2,$H20,TRUE))*$C20</f>
        <v>0</v>
      </c>
      <c r="AY20" s="55">
        <f>(_xlfn.NORM.DIST(AND(AY$9&gt;=$E20,AY$9&lt;=$F20)*(AY$9-$E20+1),$G20/2,$H20,TRUE)-_xlfn.NORM.DIST(AND(AY$9&gt;=$E20,AY$9&lt;=$F20)*(AX$9-$E20+1),$G20/2,$H20,TRUE))/(1-2*_xlfn.NORM.DIST(0,$G20/2,$H20,TRUE))*$C20</f>
        <v>0</v>
      </c>
      <c r="AZ20" s="55">
        <f>(_xlfn.NORM.DIST(AND(AZ$9&gt;=$E20,AZ$9&lt;=$F20)*(AZ$9-$E20+1),$G20/2,$H20,TRUE)-_xlfn.NORM.DIST(AND(AZ$9&gt;=$E20,AZ$9&lt;=$F20)*(AY$9-$E20+1),$G20/2,$H20,TRUE))/(1-2*_xlfn.NORM.DIST(0,$G20/2,$H20,TRUE))*$C20</f>
        <v>0</v>
      </c>
      <c r="BA20" s="55">
        <f>(_xlfn.NORM.DIST(AND(BA$9&gt;=$E20,BA$9&lt;=$F20)*(BA$9-$E20+1),$G20/2,$H20,TRUE)-_xlfn.NORM.DIST(AND(BA$9&gt;=$E20,BA$9&lt;=$F20)*(AZ$9-$E20+1),$G20/2,$H20,TRUE))/(1-2*_xlfn.NORM.DIST(0,$G20/2,$H20,TRUE))*$C20</f>
        <v>0</v>
      </c>
      <c r="BB20" s="55">
        <f>(_xlfn.NORM.DIST(AND(BB$9&gt;=$E20,BB$9&lt;=$F20)*(BB$9-$E20+1),$G20/2,$H20,TRUE)-_xlfn.NORM.DIST(AND(BB$9&gt;=$E20,BB$9&lt;=$F20)*(BA$9-$E20+1),$G20/2,$H20,TRUE))/(1-2*_xlfn.NORM.DIST(0,$G20/2,$H20,TRUE))*$C20</f>
        <v>0</v>
      </c>
      <c r="BC20" s="55">
        <f>(_xlfn.NORM.DIST(AND(BC$9&gt;=$E20,BC$9&lt;=$F20)*(BC$9-$E20+1),$G20/2,$H20,TRUE)-_xlfn.NORM.DIST(AND(BC$9&gt;=$E20,BC$9&lt;=$F20)*(BB$9-$E20+1),$G20/2,$H20,TRUE))/(1-2*_xlfn.NORM.DIST(0,$G20/2,$H20,TRUE))*$C20</f>
        <v>0</v>
      </c>
      <c r="BD20" s="55">
        <f>(_xlfn.NORM.DIST(AND(BD$9&gt;=$E20,BD$9&lt;=$F20)*(BD$9-$E20+1),$G20/2,$H20,TRUE)-_xlfn.NORM.DIST(AND(BD$9&gt;=$E20,BD$9&lt;=$F20)*(BC$9-$E20+1),$G20/2,$H20,TRUE))/(1-2*_xlfn.NORM.DIST(0,$G20/2,$H20,TRUE))*$C20</f>
        <v>0</v>
      </c>
      <c r="BE20" s="55">
        <f>(_xlfn.NORM.DIST(AND(BE$9&gt;=$E20,BE$9&lt;=$F20)*(BE$9-$E20+1),$G20/2,$H20,TRUE)-_xlfn.NORM.DIST(AND(BE$9&gt;=$E20,BE$9&lt;=$F20)*(BD$9-$E20+1),$G20/2,$H20,TRUE))/(1-2*_xlfn.NORM.DIST(0,$G20/2,$H20,TRUE))*$C20</f>
        <v>0</v>
      </c>
      <c r="BF20" s="55">
        <f>(_xlfn.NORM.DIST(AND(BF$9&gt;=$E20,BF$9&lt;=$F20)*(BF$9-$E20+1),$G20/2,$H20,TRUE)-_xlfn.NORM.DIST(AND(BF$9&gt;=$E20,BF$9&lt;=$F20)*(BE$9-$E20+1),$G20/2,$H20,TRUE))/(1-2*_xlfn.NORM.DIST(0,$G20/2,$H20,TRUE))*$C20</f>
        <v>0</v>
      </c>
      <c r="BG20" s="55">
        <f>(_xlfn.NORM.DIST(AND(BG$9&gt;=$E20,BG$9&lt;=$F20)*(BG$9-$E20+1),$G20/2,$H20,TRUE)-_xlfn.NORM.DIST(AND(BG$9&gt;=$E20,BG$9&lt;=$F20)*(BF$9-$E20+1),$G20/2,$H20,TRUE))/(1-2*_xlfn.NORM.DIST(0,$G20/2,$H20,TRUE))*$C20</f>
        <v>0</v>
      </c>
      <c r="BH20" s="55">
        <f>(_xlfn.NORM.DIST(AND(BH$9&gt;=$E20,BH$9&lt;=$F20)*(BH$9-$E20+1),$G20/2,$H20,TRUE)-_xlfn.NORM.DIST(AND(BH$9&gt;=$E20,BH$9&lt;=$F20)*(BG$9-$E20+1),$G20/2,$H20,TRUE))/(1-2*_xlfn.NORM.DIST(0,$G20/2,$H20,TRUE))*$C20</f>
        <v>0</v>
      </c>
      <c r="BI20" s="55">
        <f>(_xlfn.NORM.DIST(AND(BI$9&gt;=$E20,BI$9&lt;=$F20)*(BI$9-$E20+1),$G20/2,$H20,TRUE)-_xlfn.NORM.DIST(AND(BI$9&gt;=$E20,BI$9&lt;=$F20)*(BH$9-$E20+1),$G20/2,$H20,TRUE))/(1-2*_xlfn.NORM.DIST(0,$G20/2,$H20,TRUE))*$C20</f>
        <v>0</v>
      </c>
      <c r="BJ20" s="55">
        <f>(_xlfn.NORM.DIST(AND(BJ$9&gt;=$E20,BJ$9&lt;=$F20)*(BJ$9-$E20+1),$G20/2,$H20,TRUE)-_xlfn.NORM.DIST(AND(BJ$9&gt;=$E20,BJ$9&lt;=$F20)*(BI$9-$E20+1),$G20/2,$H20,TRUE))/(1-2*_xlfn.NORM.DIST(0,$G20/2,$H20,TRUE))*$C20</f>
        <v>0</v>
      </c>
      <c r="BK20" s="55">
        <f>(_xlfn.NORM.DIST(AND(BK$9&gt;=$E20,BK$9&lt;=$F20)*(BK$9-$E20+1),$G20/2,$H20,TRUE)-_xlfn.NORM.DIST(AND(BK$9&gt;=$E20,BK$9&lt;=$F20)*(BJ$9-$E20+1),$G20/2,$H20,TRUE))/(1-2*_xlfn.NORM.DIST(0,$G20/2,$H20,TRUE))*$C20</f>
        <v>0</v>
      </c>
      <c r="BL20" s="55">
        <f>(_xlfn.NORM.DIST(AND(BL$9&gt;=$E20,BL$9&lt;=$F20)*(BL$9-$E20+1),$G20/2,$H20,TRUE)-_xlfn.NORM.DIST(AND(BL$9&gt;=$E20,BL$9&lt;=$F20)*(BK$9-$E20+1),$G20/2,$H20,TRUE))/(1-2*_xlfn.NORM.DIST(0,$G20/2,$H20,TRUE))*$C20</f>
        <v>0</v>
      </c>
      <c r="BM20" s="55">
        <f>(_xlfn.NORM.DIST(AND(BM$9&gt;=$E20,BM$9&lt;=$F20)*(BM$9-$E20+1),$G20/2,$H20,TRUE)-_xlfn.NORM.DIST(AND(BM$9&gt;=$E20,BM$9&lt;=$F20)*(BL$9-$E20+1),$G20/2,$H20,TRUE))/(1-2*_xlfn.NORM.DIST(0,$G20/2,$H20,TRUE))*$C20</f>
        <v>0</v>
      </c>
      <c r="BN20" s="55">
        <f>(_xlfn.NORM.DIST(AND(BN$9&gt;=$E20,BN$9&lt;=$F20)*(BN$9-$E20+1),$G20/2,$H20,TRUE)-_xlfn.NORM.DIST(AND(BN$9&gt;=$E20,BN$9&lt;=$F20)*(BM$9-$E20+1),$G20/2,$H20,TRUE))/(1-2*_xlfn.NORM.DIST(0,$G20/2,$H20,TRUE))*$C20</f>
        <v>0</v>
      </c>
      <c r="BO20" s="55">
        <f>(_xlfn.NORM.DIST(AND(BO$9&gt;=$E20,BO$9&lt;=$F20)*(BO$9-$E20+1),$G20/2,$H20,TRUE)-_xlfn.NORM.DIST(AND(BO$9&gt;=$E20,BO$9&lt;=$F20)*(BN$9-$E20+1),$G20/2,$H20,TRUE))/(1-2*_xlfn.NORM.DIST(0,$G20/2,$H20,TRUE))*$C20</f>
        <v>0</v>
      </c>
      <c r="BP20" s="55">
        <f>(_xlfn.NORM.DIST(AND(BP$9&gt;=$E20,BP$9&lt;=$F20)*(BP$9-$E20+1),$G20/2,$H20,TRUE)-_xlfn.NORM.DIST(AND(BP$9&gt;=$E20,BP$9&lt;=$F20)*(BO$9-$E20+1),$G20/2,$H20,TRUE))/(1-2*_xlfn.NORM.DIST(0,$G20/2,$H20,TRUE))*$C20</f>
        <v>0</v>
      </c>
      <c r="BQ20" s="55">
        <f>(_xlfn.NORM.DIST(AND(BQ$9&gt;=$E20,BQ$9&lt;=$F20)*(BQ$9-$E20+1),$G20/2,$H20,TRUE)-_xlfn.NORM.DIST(AND(BQ$9&gt;=$E20,BQ$9&lt;=$F20)*(BP$9-$E20+1),$G20/2,$H20,TRUE))/(1-2*_xlfn.NORM.DIST(0,$G20/2,$H20,TRUE))*$C20</f>
        <v>0</v>
      </c>
      <c r="BR20" s="160">
        <f>(_xlfn.NORM.DIST(AND(BR$9&gt;=$E20,BR$9&lt;=$F20)*(BR$9-$E20+1),$G20/2,$H20,TRUE)-_xlfn.NORM.DIST(AND(BR$9&gt;=$E20,BR$9&lt;=$F20)*(BQ$9-$E20+1),$G20/2,$H20,TRUE))/(1-2*_xlfn.NORM.DIST(0,$G20/2,$H20,TRUE))*$C20</f>
        <v>0</v>
      </c>
      <c r="BS20" s="25"/>
    </row>
    <row r="21" spans="1:71" customFormat="1" x14ac:dyDescent="0.2">
      <c r="A21" s="25"/>
      <c r="B21" s="67" t="s">
        <v>78</v>
      </c>
      <c r="C21" s="159">
        <v>436296</v>
      </c>
      <c r="D21" s="163" t="s">
        <v>65</v>
      </c>
      <c r="E21" s="167">
        <v>16</v>
      </c>
      <c r="F21" s="167">
        <v>39</v>
      </c>
      <c r="G21" s="162">
        <f>F21-E21+1</f>
        <v>24</v>
      </c>
      <c r="H21" s="166">
        <v>10000000</v>
      </c>
      <c r="I21" s="155" t="str">
        <f>IF(ROUND(SUM($J21:$BR21),0)=ROUND(C21,0),"OK","error")</f>
        <v>OK</v>
      </c>
      <c r="J21" s="49"/>
      <c r="K21" s="55">
        <f>(_xlfn.NORM.DIST(AND(K$9&gt;=$E21,K$9&lt;=$F21)*(K$9-$E21+1),$G21/2,$H21,TRUE)-_xlfn.NORM.DIST(AND(K$9&gt;=$E21,K$9&lt;=$F21)*(J$9-$E21+1),$G21/2,$H21,TRUE))/(1-2*_xlfn.NORM.DIST(0,$G21/2,$H21,TRUE))*$C21</f>
        <v>0</v>
      </c>
      <c r="L21" s="55">
        <f>(_xlfn.NORM.DIST(AND(L$9&gt;=$E21,L$9&lt;=$F21)*(L$9-$E21+1),$G21/2,$H21,TRUE)-_xlfn.NORM.DIST(AND(L$9&gt;=$E21,L$9&lt;=$F21)*(K$9-$E21+1),$G21/2,$H21,TRUE))/(1-2*_xlfn.NORM.DIST(0,$G21/2,$H21,TRUE))*$C21</f>
        <v>0</v>
      </c>
      <c r="M21" s="55">
        <f>(_xlfn.NORM.DIST(AND(M$9&gt;=$E21,M$9&lt;=$F21)*(M$9-$E21+1),$G21/2,$H21,TRUE)-_xlfn.NORM.DIST(AND(M$9&gt;=$E21,M$9&lt;=$F21)*(L$9-$E21+1),$G21/2,$H21,TRUE))/(1-2*_xlfn.NORM.DIST(0,$G21/2,$H21,TRUE))*$C21</f>
        <v>0</v>
      </c>
      <c r="N21" s="55">
        <f>(_xlfn.NORM.DIST(AND(N$9&gt;=$E21,N$9&lt;=$F21)*(N$9-$E21+1),$G21/2,$H21,TRUE)-_xlfn.NORM.DIST(AND(N$9&gt;=$E21,N$9&lt;=$F21)*(M$9-$E21+1),$G21/2,$H21,TRUE))/(1-2*_xlfn.NORM.DIST(0,$G21/2,$H21,TRUE))*$C21</f>
        <v>0</v>
      </c>
      <c r="O21" s="55">
        <f>(_xlfn.NORM.DIST(AND(O$9&gt;=$E21,O$9&lt;=$F21)*(O$9-$E21+1),$G21/2,$H21,TRUE)-_xlfn.NORM.DIST(AND(O$9&gt;=$E21,O$9&lt;=$F21)*(N$9-$E21+1),$G21/2,$H21,TRUE))/(1-2*_xlfn.NORM.DIST(0,$G21/2,$H21,TRUE))*$C21</f>
        <v>0</v>
      </c>
      <c r="P21" s="55">
        <f>(_xlfn.NORM.DIST(AND(P$9&gt;=$E21,P$9&lt;=$F21)*(P$9-$E21+1),$G21/2,$H21,TRUE)-_xlfn.NORM.DIST(AND(P$9&gt;=$E21,P$9&lt;=$F21)*(O$9-$E21+1),$G21/2,$H21,TRUE))/(1-2*_xlfn.NORM.DIST(0,$G21/2,$H21,TRUE))*$C21</f>
        <v>0</v>
      </c>
      <c r="Q21" s="55">
        <f>(_xlfn.NORM.DIST(AND(Q$9&gt;=$E21,Q$9&lt;=$F21)*(Q$9-$E21+1),$G21/2,$H21,TRUE)-_xlfn.NORM.DIST(AND(Q$9&gt;=$E21,Q$9&lt;=$F21)*(P$9-$E21+1),$G21/2,$H21,TRUE))/(1-2*_xlfn.NORM.DIST(0,$G21/2,$H21,TRUE))*$C21</f>
        <v>0</v>
      </c>
      <c r="R21" s="55">
        <f>(_xlfn.NORM.DIST(AND(R$9&gt;=$E21,R$9&lt;=$F21)*(R$9-$E21+1),$G21/2,$H21,TRUE)-_xlfn.NORM.DIST(AND(R$9&gt;=$E21,R$9&lt;=$F21)*(Q$9-$E21+1),$G21/2,$H21,TRUE))/(1-2*_xlfn.NORM.DIST(0,$G21/2,$H21,TRUE))*$C21</f>
        <v>0</v>
      </c>
      <c r="S21" s="55">
        <f>(_xlfn.NORM.DIST(AND(S$9&gt;=$E21,S$9&lt;=$F21)*(S$9-$E21+1),$G21/2,$H21,TRUE)-_xlfn.NORM.DIST(AND(S$9&gt;=$E21,S$9&lt;=$F21)*(R$9-$E21+1),$G21/2,$H21,TRUE))/(1-2*_xlfn.NORM.DIST(0,$G21/2,$H21,TRUE))*$C21</f>
        <v>0</v>
      </c>
      <c r="T21" s="55">
        <f>(_xlfn.NORM.DIST(AND(T$9&gt;=$E21,T$9&lt;=$F21)*(T$9-$E21+1),$G21/2,$H21,TRUE)-_xlfn.NORM.DIST(AND(T$9&gt;=$E21,T$9&lt;=$F21)*(S$9-$E21+1),$G21/2,$H21,TRUE))/(1-2*_xlfn.NORM.DIST(0,$G21/2,$H21,TRUE))*$C21</f>
        <v>0</v>
      </c>
      <c r="U21" s="55">
        <f>(_xlfn.NORM.DIST(AND(U$9&gt;=$E21,U$9&lt;=$F21)*(U$9-$E21+1),$G21/2,$H21,TRUE)-_xlfn.NORM.DIST(AND(U$9&gt;=$E21,U$9&lt;=$F21)*(T$9-$E21+1),$G21/2,$H21,TRUE))/(1-2*_xlfn.NORM.DIST(0,$G21/2,$H21,TRUE))*$C21</f>
        <v>0</v>
      </c>
      <c r="V21" s="55">
        <f>(_xlfn.NORM.DIST(AND(V$9&gt;=$E21,V$9&lt;=$F21)*(V$9-$E21+1),$G21/2,$H21,TRUE)-_xlfn.NORM.DIST(AND(V$9&gt;=$E21,V$9&lt;=$F21)*(U$9-$E21+1),$G21/2,$H21,TRUE))/(1-2*_xlfn.NORM.DIST(0,$G21/2,$H21,TRUE))*$C21</f>
        <v>0</v>
      </c>
      <c r="W21" s="55">
        <f>(_xlfn.NORM.DIST(AND(W$9&gt;=$E21,W$9&lt;=$F21)*(W$9-$E21+1),$G21/2,$H21,TRUE)-_xlfn.NORM.DIST(AND(W$9&gt;=$E21,W$9&lt;=$F21)*(V$9-$E21+1),$G21/2,$H21,TRUE))/(1-2*_xlfn.NORM.DIST(0,$G21/2,$H21,TRUE))*$C21</f>
        <v>0</v>
      </c>
      <c r="X21" s="55">
        <f>(_xlfn.NORM.DIST(AND(X$9&gt;=$E21,X$9&lt;=$F21)*(X$9-$E21+1),$G21/2,$H21,TRUE)-_xlfn.NORM.DIST(AND(X$9&gt;=$E21,X$9&lt;=$F21)*(W$9-$E21+1),$G21/2,$H21,TRUE))/(1-2*_xlfn.NORM.DIST(0,$G21/2,$H21,TRUE))*$C21</f>
        <v>0</v>
      </c>
      <c r="Y21" s="55">
        <f>(_xlfn.NORM.DIST(AND(Y$9&gt;=$E21,Y$9&lt;=$F21)*(Y$9-$E21+1),$G21/2,$H21,TRUE)-_xlfn.NORM.DIST(AND(Y$9&gt;=$E21,Y$9&lt;=$F21)*(X$9-$E21+1),$G21/2,$H21,TRUE))/(1-2*_xlfn.NORM.DIST(0,$G21/2,$H21,TRUE))*$C21</f>
        <v>0</v>
      </c>
      <c r="Z21" s="55">
        <f>(_xlfn.NORM.DIST(AND(Z$9&gt;=$E21,Z$9&lt;=$F21)*(Z$9-$E21+1),$G21/2,$H21,TRUE)-_xlfn.NORM.DIST(AND(Z$9&gt;=$E21,Z$9&lt;=$F21)*(Y$9-$E21+1),$G21/2,$H21,TRUE))/(1-2*_xlfn.NORM.DIST(0,$G21/2,$H21,TRUE))*$C21</f>
        <v>18178.999995784114</v>
      </c>
      <c r="AA21" s="55">
        <f>(_xlfn.NORM.DIST(AND(AA$9&gt;=$E21,AA$9&lt;=$F21)*(AA$9-$E21+1),$G21/2,$H21,TRUE)-_xlfn.NORM.DIST(AND(AA$9&gt;=$E21,AA$9&lt;=$F21)*(Z$9-$E21+1),$G21/2,$H21,TRUE))/(1-2*_xlfn.NORM.DIST(0,$G21/2,$H21,TRUE))*$C21</f>
        <v>18179.000021079435</v>
      </c>
      <c r="AB21" s="55">
        <f>(_xlfn.NORM.DIST(AND(AB$9&gt;=$E21,AB$9&lt;=$F21)*(AB$9-$E21+1),$G21/2,$H21,TRUE)-_xlfn.NORM.DIST(AND(AB$9&gt;=$E21,AB$9&lt;=$F21)*(AA$9-$E21+1),$G21/2,$H21,TRUE))/(1-2*_xlfn.NORM.DIST(0,$G21/2,$H21,TRUE))*$C21</f>
        <v>18178.999995784114</v>
      </c>
      <c r="AC21" s="55">
        <f>(_xlfn.NORM.DIST(AND(AC$9&gt;=$E21,AC$9&lt;=$F21)*(AC$9-$E21+1),$G21/2,$H21,TRUE)-_xlfn.NORM.DIST(AND(AC$9&gt;=$E21,AC$9&lt;=$F21)*(AB$9-$E21+1),$G21/2,$H21,TRUE))/(1-2*_xlfn.NORM.DIST(0,$G21/2,$H21,TRUE))*$C21</f>
        <v>18178.999995784114</v>
      </c>
      <c r="AD21" s="55">
        <f>(_xlfn.NORM.DIST(AND(AD$9&gt;=$E21,AD$9&lt;=$F21)*(AD$9-$E21+1),$G21/2,$H21,TRUE)-_xlfn.NORM.DIST(AND(AD$9&gt;=$E21,AD$9&lt;=$F21)*(AC$9-$E21+1),$G21/2,$H21,TRUE))/(1-2*_xlfn.NORM.DIST(0,$G21/2,$H21,TRUE))*$C21</f>
        <v>18178.999995784114</v>
      </c>
      <c r="AE21" s="55">
        <f>(_xlfn.NORM.DIST(AND(AE$9&gt;=$E21,AE$9&lt;=$F21)*(AE$9-$E21+1),$G21/2,$H21,TRUE)-_xlfn.NORM.DIST(AND(AE$9&gt;=$E21,AE$9&lt;=$F21)*(AD$9-$E21+1),$G21/2,$H21,TRUE))/(1-2*_xlfn.NORM.DIST(0,$G21/2,$H21,TRUE))*$C21</f>
        <v>18178.999995784114</v>
      </c>
      <c r="AF21" s="55">
        <f>(_xlfn.NORM.DIST(AND(AF$9&gt;=$E21,AF$9&lt;=$F21)*(AF$9-$E21+1),$G21/2,$H21,TRUE)-_xlfn.NORM.DIST(AND(AF$9&gt;=$E21,AF$9&lt;=$F21)*(AE$9-$E21+1),$G21/2,$H21,TRUE))/(1-2*_xlfn.NORM.DIST(0,$G21/2,$H21,TRUE))*$C21</f>
        <v>18178.999995784114</v>
      </c>
      <c r="AG21" s="55">
        <f>(_xlfn.NORM.DIST(AND(AG$9&gt;=$E21,AG$9&lt;=$F21)*(AG$9-$E21+1),$G21/2,$H21,TRUE)-_xlfn.NORM.DIST(AND(AG$9&gt;=$E21,AG$9&lt;=$F21)*(AF$9-$E21+1),$G21/2,$H21,TRUE))/(1-2*_xlfn.NORM.DIST(0,$G21/2,$H21,TRUE))*$C21</f>
        <v>18178.999995784114</v>
      </c>
      <c r="AH21" s="55">
        <f>(_xlfn.NORM.DIST(AND(AH$9&gt;=$E21,AH$9&lt;=$F21)*(AH$9-$E21+1),$G21/2,$H21,TRUE)-_xlfn.NORM.DIST(AND(AH$9&gt;=$E21,AH$9&lt;=$F21)*(AG$9-$E21+1),$G21/2,$H21,TRUE))/(1-2*_xlfn.NORM.DIST(0,$G21/2,$H21,TRUE))*$C21</f>
        <v>18179.000021079435</v>
      </c>
      <c r="AI21" s="55">
        <f>(_xlfn.NORM.DIST(AND(AI$9&gt;=$E21,AI$9&lt;=$F21)*(AI$9-$E21+1),$G21/2,$H21,TRUE)-_xlfn.NORM.DIST(AND(AI$9&gt;=$E21,AI$9&lt;=$F21)*(AH$9-$E21+1),$G21/2,$H21,TRUE))/(1-2*_xlfn.NORM.DIST(0,$G21/2,$H21,TRUE))*$C21</f>
        <v>18178.999995784114</v>
      </c>
      <c r="AJ21" s="55">
        <f>(_xlfn.NORM.DIST(AND(AJ$9&gt;=$E21,AJ$9&lt;=$F21)*(AJ$9-$E21+1),$G21/2,$H21,TRUE)-_xlfn.NORM.DIST(AND(AJ$9&gt;=$E21,AJ$9&lt;=$F21)*(AI$9-$E21+1),$G21/2,$H21,TRUE))/(1-2*_xlfn.NORM.DIST(0,$G21/2,$H21,TRUE))*$C21</f>
        <v>18178.999995784114</v>
      </c>
      <c r="AK21" s="55">
        <f>(_xlfn.NORM.DIST(AND(AK$9&gt;=$E21,AK$9&lt;=$F21)*(AK$9-$E21+1),$G21/2,$H21,TRUE)-_xlfn.NORM.DIST(AND(AK$9&gt;=$E21,AK$9&lt;=$F21)*(AJ$9-$E21+1),$G21/2,$H21,TRUE))/(1-2*_xlfn.NORM.DIST(0,$G21/2,$H21,TRUE))*$C21</f>
        <v>18178.999995784114</v>
      </c>
      <c r="AL21" s="55">
        <f>(_xlfn.NORM.DIST(AND(AL$9&gt;=$E21,AL$9&lt;=$F21)*(AL$9-$E21+1),$G21/2,$H21,TRUE)-_xlfn.NORM.DIST(AND(AL$9&gt;=$E21,AL$9&lt;=$F21)*(AK$9-$E21+1),$G21/2,$H21,TRUE))/(1-2*_xlfn.NORM.DIST(0,$G21/2,$H21,TRUE))*$C21</f>
        <v>18178.999995784114</v>
      </c>
      <c r="AM21" s="55">
        <f>(_xlfn.NORM.DIST(AND(AM$9&gt;=$E21,AM$9&lt;=$F21)*(AM$9-$E21+1),$G21/2,$H21,TRUE)-_xlfn.NORM.DIST(AND(AM$9&gt;=$E21,AM$9&lt;=$F21)*(AL$9-$E21+1),$G21/2,$H21,TRUE))/(1-2*_xlfn.NORM.DIST(0,$G21/2,$H21,TRUE))*$C21</f>
        <v>18178.999995784114</v>
      </c>
      <c r="AN21" s="55">
        <f>(_xlfn.NORM.DIST(AND(AN$9&gt;=$E21,AN$9&lt;=$F21)*(AN$9-$E21+1),$G21/2,$H21,TRUE)-_xlfn.NORM.DIST(AND(AN$9&gt;=$E21,AN$9&lt;=$F21)*(AM$9-$E21+1),$G21/2,$H21,TRUE))/(1-2*_xlfn.NORM.DIST(0,$G21/2,$H21,TRUE))*$C21</f>
        <v>18178.999995784114</v>
      </c>
      <c r="AO21" s="55">
        <f>(_xlfn.NORM.DIST(AND(AO$9&gt;=$E21,AO$9&lt;=$F21)*(AO$9-$E21+1),$G21/2,$H21,TRUE)-_xlfn.NORM.DIST(AND(AO$9&gt;=$E21,AO$9&lt;=$F21)*(AN$9-$E21+1),$G21/2,$H21,TRUE))/(1-2*_xlfn.NORM.DIST(0,$G21/2,$H21,TRUE))*$C21</f>
        <v>18178.999995784114</v>
      </c>
      <c r="AP21" s="55">
        <f>(_xlfn.NORM.DIST(AND(AP$9&gt;=$E21,AP$9&lt;=$F21)*(AP$9-$E21+1),$G21/2,$H21,TRUE)-_xlfn.NORM.DIST(AND(AP$9&gt;=$E21,AP$9&lt;=$F21)*(AO$9-$E21+1),$G21/2,$H21,TRUE))/(1-2*_xlfn.NORM.DIST(0,$G21/2,$H21,TRUE))*$C21</f>
        <v>18179.000046374749</v>
      </c>
      <c r="AQ21" s="55">
        <f>(_xlfn.NORM.DIST(AND(AQ$9&gt;=$E21,AQ$9&lt;=$F21)*(AQ$9-$E21+1),$G21/2,$H21,TRUE)-_xlfn.NORM.DIST(AND(AQ$9&gt;=$E21,AQ$9&lt;=$F21)*(AP$9-$E21+1),$G21/2,$H21,TRUE))/(1-2*_xlfn.NORM.DIST(0,$G21/2,$H21,TRUE))*$C21</f>
        <v>18178.999945193475</v>
      </c>
      <c r="AR21" s="55">
        <f>(_xlfn.NORM.DIST(AND(AR$9&gt;=$E21,AR$9&lt;=$F21)*(AR$9-$E21+1),$G21/2,$H21,TRUE)-_xlfn.NORM.DIST(AND(AR$9&gt;=$E21,AR$9&lt;=$F21)*(AQ$9-$E21+1),$G21/2,$H21,TRUE))/(1-2*_xlfn.NORM.DIST(0,$G21/2,$H21,TRUE))*$C21</f>
        <v>18179.000046374749</v>
      </c>
      <c r="AS21" s="55">
        <f>(_xlfn.NORM.DIST(AND(AS$9&gt;=$E21,AS$9&lt;=$F21)*(AS$9-$E21+1),$G21/2,$H21,TRUE)-_xlfn.NORM.DIST(AND(AS$9&gt;=$E21,AS$9&lt;=$F21)*(AR$9-$E21+1),$G21/2,$H21,TRUE))/(1-2*_xlfn.NORM.DIST(0,$G21/2,$H21,TRUE))*$C21</f>
        <v>18178.999945193475</v>
      </c>
      <c r="AT21" s="55">
        <f>(_xlfn.NORM.DIST(AND(AT$9&gt;=$E21,AT$9&lt;=$F21)*(AT$9-$E21+1),$G21/2,$H21,TRUE)-_xlfn.NORM.DIST(AND(AT$9&gt;=$E21,AT$9&lt;=$F21)*(AS$9-$E21+1),$G21/2,$H21,TRUE))/(1-2*_xlfn.NORM.DIST(0,$G21/2,$H21,TRUE))*$C21</f>
        <v>18179.000046374749</v>
      </c>
      <c r="AU21" s="55">
        <f>(_xlfn.NORM.DIST(AND(AU$9&gt;=$E21,AU$9&lt;=$F21)*(AU$9-$E21+1),$G21/2,$H21,TRUE)-_xlfn.NORM.DIST(AND(AU$9&gt;=$E21,AU$9&lt;=$F21)*(AT$9-$E21+1),$G21/2,$H21,TRUE))/(1-2*_xlfn.NORM.DIST(0,$G21/2,$H21,TRUE))*$C21</f>
        <v>18178.999945193475</v>
      </c>
      <c r="AV21" s="55">
        <f>(_xlfn.NORM.DIST(AND(AV$9&gt;=$E21,AV$9&lt;=$F21)*(AV$9-$E21+1),$G21/2,$H21,TRUE)-_xlfn.NORM.DIST(AND(AV$9&gt;=$E21,AV$9&lt;=$F21)*(AU$9-$E21+1),$G21/2,$H21,TRUE))/(1-2*_xlfn.NORM.DIST(0,$G21/2,$H21,TRUE))*$C21</f>
        <v>18179.000046374749</v>
      </c>
      <c r="AW21" s="55">
        <f>(_xlfn.NORM.DIST(AND(AW$9&gt;=$E21,AW$9&lt;=$F21)*(AW$9-$E21+1),$G21/2,$H21,TRUE)-_xlfn.NORM.DIST(AND(AW$9&gt;=$E21,AW$9&lt;=$F21)*(AV$9-$E21+1),$G21/2,$H21,TRUE))/(1-2*_xlfn.NORM.DIST(0,$G21/2,$H21,TRUE))*$C21</f>
        <v>18178.999995784114</v>
      </c>
      <c r="AX21" s="55">
        <f>(_xlfn.NORM.DIST(AND(AX$9&gt;=$E21,AX$9&lt;=$F21)*(AX$9-$E21+1),$G21/2,$H21,TRUE)-_xlfn.NORM.DIST(AND(AX$9&gt;=$E21,AX$9&lt;=$F21)*(AW$9-$E21+1),$G21/2,$H21,TRUE))/(1-2*_xlfn.NORM.DIST(0,$G21/2,$H21,TRUE))*$C21</f>
        <v>0</v>
      </c>
      <c r="AY21" s="55">
        <f>(_xlfn.NORM.DIST(AND(AY$9&gt;=$E21,AY$9&lt;=$F21)*(AY$9-$E21+1),$G21/2,$H21,TRUE)-_xlfn.NORM.DIST(AND(AY$9&gt;=$E21,AY$9&lt;=$F21)*(AX$9-$E21+1),$G21/2,$H21,TRUE))/(1-2*_xlfn.NORM.DIST(0,$G21/2,$H21,TRUE))*$C21</f>
        <v>0</v>
      </c>
      <c r="AZ21" s="55">
        <f>(_xlfn.NORM.DIST(AND(AZ$9&gt;=$E21,AZ$9&lt;=$F21)*(AZ$9-$E21+1),$G21/2,$H21,TRUE)-_xlfn.NORM.DIST(AND(AZ$9&gt;=$E21,AZ$9&lt;=$F21)*(AY$9-$E21+1),$G21/2,$H21,TRUE))/(1-2*_xlfn.NORM.DIST(0,$G21/2,$H21,TRUE))*$C21</f>
        <v>0</v>
      </c>
      <c r="BA21" s="55">
        <f>(_xlfn.NORM.DIST(AND(BA$9&gt;=$E21,BA$9&lt;=$F21)*(BA$9-$E21+1),$G21/2,$H21,TRUE)-_xlfn.NORM.DIST(AND(BA$9&gt;=$E21,BA$9&lt;=$F21)*(AZ$9-$E21+1),$G21/2,$H21,TRUE))/(1-2*_xlfn.NORM.DIST(0,$G21/2,$H21,TRUE))*$C21</f>
        <v>0</v>
      </c>
      <c r="BB21" s="55">
        <f>(_xlfn.NORM.DIST(AND(BB$9&gt;=$E21,BB$9&lt;=$F21)*(BB$9-$E21+1),$G21/2,$H21,TRUE)-_xlfn.NORM.DIST(AND(BB$9&gt;=$E21,BB$9&lt;=$F21)*(BA$9-$E21+1),$G21/2,$H21,TRUE))/(1-2*_xlfn.NORM.DIST(0,$G21/2,$H21,TRUE))*$C21</f>
        <v>0</v>
      </c>
      <c r="BC21" s="55">
        <f>(_xlfn.NORM.DIST(AND(BC$9&gt;=$E21,BC$9&lt;=$F21)*(BC$9-$E21+1),$G21/2,$H21,TRUE)-_xlfn.NORM.DIST(AND(BC$9&gt;=$E21,BC$9&lt;=$F21)*(BB$9-$E21+1),$G21/2,$H21,TRUE))/(1-2*_xlfn.NORM.DIST(0,$G21/2,$H21,TRUE))*$C21</f>
        <v>0</v>
      </c>
      <c r="BD21" s="55">
        <f>(_xlfn.NORM.DIST(AND(BD$9&gt;=$E21,BD$9&lt;=$F21)*(BD$9-$E21+1),$G21/2,$H21,TRUE)-_xlfn.NORM.DIST(AND(BD$9&gt;=$E21,BD$9&lt;=$F21)*(BC$9-$E21+1),$G21/2,$H21,TRUE))/(1-2*_xlfn.NORM.DIST(0,$G21/2,$H21,TRUE))*$C21</f>
        <v>0</v>
      </c>
      <c r="BE21" s="55">
        <f>(_xlfn.NORM.DIST(AND(BE$9&gt;=$E21,BE$9&lt;=$F21)*(BE$9-$E21+1),$G21/2,$H21,TRUE)-_xlfn.NORM.DIST(AND(BE$9&gt;=$E21,BE$9&lt;=$F21)*(BD$9-$E21+1),$G21/2,$H21,TRUE))/(1-2*_xlfn.NORM.DIST(0,$G21/2,$H21,TRUE))*$C21</f>
        <v>0</v>
      </c>
      <c r="BF21" s="55">
        <f>(_xlfn.NORM.DIST(AND(BF$9&gt;=$E21,BF$9&lt;=$F21)*(BF$9-$E21+1),$G21/2,$H21,TRUE)-_xlfn.NORM.DIST(AND(BF$9&gt;=$E21,BF$9&lt;=$F21)*(BE$9-$E21+1),$G21/2,$H21,TRUE))/(1-2*_xlfn.NORM.DIST(0,$G21/2,$H21,TRUE))*$C21</f>
        <v>0</v>
      </c>
      <c r="BG21" s="55">
        <f>(_xlfn.NORM.DIST(AND(BG$9&gt;=$E21,BG$9&lt;=$F21)*(BG$9-$E21+1),$G21/2,$H21,TRUE)-_xlfn.NORM.DIST(AND(BG$9&gt;=$E21,BG$9&lt;=$F21)*(BF$9-$E21+1),$G21/2,$H21,TRUE))/(1-2*_xlfn.NORM.DIST(0,$G21/2,$H21,TRUE))*$C21</f>
        <v>0</v>
      </c>
      <c r="BH21" s="55">
        <f>(_xlfn.NORM.DIST(AND(BH$9&gt;=$E21,BH$9&lt;=$F21)*(BH$9-$E21+1),$G21/2,$H21,TRUE)-_xlfn.NORM.DIST(AND(BH$9&gt;=$E21,BH$9&lt;=$F21)*(BG$9-$E21+1),$G21/2,$H21,TRUE))/(1-2*_xlfn.NORM.DIST(0,$G21/2,$H21,TRUE))*$C21</f>
        <v>0</v>
      </c>
      <c r="BI21" s="55">
        <f>(_xlfn.NORM.DIST(AND(BI$9&gt;=$E21,BI$9&lt;=$F21)*(BI$9-$E21+1),$G21/2,$H21,TRUE)-_xlfn.NORM.DIST(AND(BI$9&gt;=$E21,BI$9&lt;=$F21)*(BH$9-$E21+1),$G21/2,$H21,TRUE))/(1-2*_xlfn.NORM.DIST(0,$G21/2,$H21,TRUE))*$C21</f>
        <v>0</v>
      </c>
      <c r="BJ21" s="55">
        <f>(_xlfn.NORM.DIST(AND(BJ$9&gt;=$E21,BJ$9&lt;=$F21)*(BJ$9-$E21+1),$G21/2,$H21,TRUE)-_xlfn.NORM.DIST(AND(BJ$9&gt;=$E21,BJ$9&lt;=$F21)*(BI$9-$E21+1),$G21/2,$H21,TRUE))/(1-2*_xlfn.NORM.DIST(0,$G21/2,$H21,TRUE))*$C21</f>
        <v>0</v>
      </c>
      <c r="BK21" s="55">
        <f>(_xlfn.NORM.DIST(AND(BK$9&gt;=$E21,BK$9&lt;=$F21)*(BK$9-$E21+1),$G21/2,$H21,TRUE)-_xlfn.NORM.DIST(AND(BK$9&gt;=$E21,BK$9&lt;=$F21)*(BJ$9-$E21+1),$G21/2,$H21,TRUE))/(1-2*_xlfn.NORM.DIST(0,$G21/2,$H21,TRUE))*$C21</f>
        <v>0</v>
      </c>
      <c r="BL21" s="55">
        <f>(_xlfn.NORM.DIST(AND(BL$9&gt;=$E21,BL$9&lt;=$F21)*(BL$9-$E21+1),$G21/2,$H21,TRUE)-_xlfn.NORM.DIST(AND(BL$9&gt;=$E21,BL$9&lt;=$F21)*(BK$9-$E21+1),$G21/2,$H21,TRUE))/(1-2*_xlfn.NORM.DIST(0,$G21/2,$H21,TRUE))*$C21</f>
        <v>0</v>
      </c>
      <c r="BM21" s="55">
        <f>(_xlfn.NORM.DIST(AND(BM$9&gt;=$E21,BM$9&lt;=$F21)*(BM$9-$E21+1),$G21/2,$H21,TRUE)-_xlfn.NORM.DIST(AND(BM$9&gt;=$E21,BM$9&lt;=$F21)*(BL$9-$E21+1),$G21/2,$H21,TRUE))/(1-2*_xlfn.NORM.DIST(0,$G21/2,$H21,TRUE))*$C21</f>
        <v>0</v>
      </c>
      <c r="BN21" s="55">
        <f>(_xlfn.NORM.DIST(AND(BN$9&gt;=$E21,BN$9&lt;=$F21)*(BN$9-$E21+1),$G21/2,$H21,TRUE)-_xlfn.NORM.DIST(AND(BN$9&gt;=$E21,BN$9&lt;=$F21)*(BM$9-$E21+1),$G21/2,$H21,TRUE))/(1-2*_xlfn.NORM.DIST(0,$G21/2,$H21,TRUE))*$C21</f>
        <v>0</v>
      </c>
      <c r="BO21" s="55">
        <f>(_xlfn.NORM.DIST(AND(BO$9&gt;=$E21,BO$9&lt;=$F21)*(BO$9-$E21+1),$G21/2,$H21,TRUE)-_xlfn.NORM.DIST(AND(BO$9&gt;=$E21,BO$9&lt;=$F21)*(BN$9-$E21+1),$G21/2,$H21,TRUE))/(1-2*_xlfn.NORM.DIST(0,$G21/2,$H21,TRUE))*$C21</f>
        <v>0</v>
      </c>
      <c r="BP21" s="55">
        <f>(_xlfn.NORM.DIST(AND(BP$9&gt;=$E21,BP$9&lt;=$F21)*(BP$9-$E21+1),$G21/2,$H21,TRUE)-_xlfn.NORM.DIST(AND(BP$9&gt;=$E21,BP$9&lt;=$F21)*(BO$9-$E21+1),$G21/2,$H21,TRUE))/(1-2*_xlfn.NORM.DIST(0,$G21/2,$H21,TRUE))*$C21</f>
        <v>0</v>
      </c>
      <c r="BQ21" s="55">
        <f>(_xlfn.NORM.DIST(AND(BQ$9&gt;=$E21,BQ$9&lt;=$F21)*(BQ$9-$E21+1),$G21/2,$H21,TRUE)-_xlfn.NORM.DIST(AND(BQ$9&gt;=$E21,BQ$9&lt;=$F21)*(BP$9-$E21+1),$G21/2,$H21,TRUE))/(1-2*_xlfn.NORM.DIST(0,$G21/2,$H21,TRUE))*$C21</f>
        <v>0</v>
      </c>
      <c r="BR21" s="160">
        <f>(_xlfn.NORM.DIST(AND(BR$9&gt;=$E21,BR$9&lt;=$F21)*(BR$9-$E21+1),$G21/2,$H21,TRUE)-_xlfn.NORM.DIST(AND(BR$9&gt;=$E21,BR$9&lt;=$F21)*(BQ$9-$E21+1),$G21/2,$H21,TRUE))/(1-2*_xlfn.NORM.DIST(0,$G21/2,$H21,TRUE))*$C21</f>
        <v>0</v>
      </c>
      <c r="BS21" s="25"/>
    </row>
    <row r="22" spans="1:71" customFormat="1" x14ac:dyDescent="0.2">
      <c r="A22" s="25"/>
      <c r="B22" s="52"/>
      <c r="C22" s="165"/>
      <c r="D22" s="164"/>
      <c r="E22" s="25"/>
      <c r="F22" s="25"/>
      <c r="G22" s="25"/>
      <c r="H22" s="25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8"/>
      <c r="BS22" s="25"/>
    </row>
    <row r="23" spans="1:71" customFormat="1" x14ac:dyDescent="0.2">
      <c r="A23" s="25"/>
      <c r="B23" s="52" t="s">
        <v>77</v>
      </c>
      <c r="C23" s="159">
        <v>77910000</v>
      </c>
      <c r="D23" s="163" t="s">
        <v>76</v>
      </c>
      <c r="E23" s="167">
        <v>16</v>
      </c>
      <c r="F23" s="167">
        <v>39</v>
      </c>
      <c r="G23" s="162">
        <f>F23-E23+1</f>
        <v>24</v>
      </c>
      <c r="H23" s="166">
        <v>4</v>
      </c>
      <c r="I23" s="155" t="str">
        <f>IF(ROUND(SUM($J23:$BR23),0)=ROUND(C23,0),"OK","error")</f>
        <v>OK</v>
      </c>
      <c r="J23" s="49"/>
      <c r="K23" s="55">
        <f>(_xlfn.NORM.DIST(AND(K$9&gt;=$E23,K$9&lt;=$F23)*(K$9-$E23+1),$G23/2,$H23,TRUE)-_xlfn.NORM.DIST(AND(K$9&gt;=$E23,K$9&lt;=$F23)*(J$9-$E23+1),$G23/2,$H23,TRUE))/(1-2*_xlfn.NORM.DIST(0,$G23/2,$H23,TRUE))*$C23</f>
        <v>0</v>
      </c>
      <c r="L23" s="55">
        <f>(_xlfn.NORM.DIST(AND(L$9&gt;=$E23,L$9&lt;=$F23)*(L$9-$E23+1),$G23/2,$H23,TRUE)-_xlfn.NORM.DIST(AND(L$9&gt;=$E23,L$9&lt;=$F23)*(K$9-$E23+1),$G23/2,$H23,TRUE))/(1-2*_xlfn.NORM.DIST(0,$G23/2,$H23,TRUE))*$C23</f>
        <v>0</v>
      </c>
      <c r="M23" s="55">
        <f>(_xlfn.NORM.DIST(AND(M$9&gt;=$E23,M$9&lt;=$F23)*(M$9-$E23+1),$G23/2,$H23,TRUE)-_xlfn.NORM.DIST(AND(M$9&gt;=$E23,M$9&lt;=$F23)*(L$9-$E23+1),$G23/2,$H23,TRUE))/(1-2*_xlfn.NORM.DIST(0,$G23/2,$H23,TRUE))*$C23</f>
        <v>0</v>
      </c>
      <c r="N23" s="55">
        <f>(_xlfn.NORM.DIST(AND(N$9&gt;=$E23,N$9&lt;=$F23)*(N$9-$E23+1),$G23/2,$H23,TRUE)-_xlfn.NORM.DIST(AND(N$9&gt;=$E23,N$9&lt;=$F23)*(M$9-$E23+1),$G23/2,$H23,TRUE))/(1-2*_xlfn.NORM.DIST(0,$G23/2,$H23,TRUE))*$C23</f>
        <v>0</v>
      </c>
      <c r="O23" s="55">
        <f>(_xlfn.NORM.DIST(AND(O$9&gt;=$E23,O$9&lt;=$F23)*(O$9-$E23+1),$G23/2,$H23,TRUE)-_xlfn.NORM.DIST(AND(O$9&gt;=$E23,O$9&lt;=$F23)*(N$9-$E23+1),$G23/2,$H23,TRUE))/(1-2*_xlfn.NORM.DIST(0,$G23/2,$H23,TRUE))*$C23</f>
        <v>0</v>
      </c>
      <c r="P23" s="55">
        <f>(_xlfn.NORM.DIST(AND(P$9&gt;=$E23,P$9&lt;=$F23)*(P$9-$E23+1),$G23/2,$H23,TRUE)-_xlfn.NORM.DIST(AND(P$9&gt;=$E23,P$9&lt;=$F23)*(O$9-$E23+1),$G23/2,$H23,TRUE))/(1-2*_xlfn.NORM.DIST(0,$G23/2,$H23,TRUE))*$C23</f>
        <v>0</v>
      </c>
      <c r="Q23" s="55">
        <f>(_xlfn.NORM.DIST(AND(Q$9&gt;=$E23,Q$9&lt;=$F23)*(Q$9-$E23+1),$G23/2,$H23,TRUE)-_xlfn.NORM.DIST(AND(Q$9&gt;=$E23,Q$9&lt;=$F23)*(P$9-$E23+1),$G23/2,$H23,TRUE))/(1-2*_xlfn.NORM.DIST(0,$G23/2,$H23,TRUE))*$C23</f>
        <v>0</v>
      </c>
      <c r="R23" s="55">
        <f>(_xlfn.NORM.DIST(AND(R$9&gt;=$E23,R$9&lt;=$F23)*(R$9-$E23+1),$G23/2,$H23,TRUE)-_xlfn.NORM.DIST(AND(R$9&gt;=$E23,R$9&lt;=$F23)*(Q$9-$E23+1),$G23/2,$H23,TRUE))/(1-2*_xlfn.NORM.DIST(0,$G23/2,$H23,TRUE))*$C23</f>
        <v>0</v>
      </c>
      <c r="S23" s="55">
        <f>(_xlfn.NORM.DIST(AND(S$9&gt;=$E23,S$9&lt;=$F23)*(S$9-$E23+1),$G23/2,$H23,TRUE)-_xlfn.NORM.DIST(AND(S$9&gt;=$E23,S$9&lt;=$F23)*(R$9-$E23+1),$G23/2,$H23,TRUE))/(1-2*_xlfn.NORM.DIST(0,$G23/2,$H23,TRUE))*$C23</f>
        <v>0</v>
      </c>
      <c r="T23" s="55">
        <f>(_xlfn.NORM.DIST(AND(T$9&gt;=$E23,T$9&lt;=$F23)*(T$9-$E23+1),$G23/2,$H23,TRUE)-_xlfn.NORM.DIST(AND(T$9&gt;=$E23,T$9&lt;=$F23)*(S$9-$E23+1),$G23/2,$H23,TRUE))/(1-2*_xlfn.NORM.DIST(0,$G23/2,$H23,TRUE))*$C23</f>
        <v>0</v>
      </c>
      <c r="U23" s="55">
        <f>(_xlfn.NORM.DIST(AND(U$9&gt;=$E23,U$9&lt;=$F23)*(U$9-$E23+1),$G23/2,$H23,TRUE)-_xlfn.NORM.DIST(AND(U$9&gt;=$E23,U$9&lt;=$F23)*(T$9-$E23+1),$G23/2,$H23,TRUE))/(1-2*_xlfn.NORM.DIST(0,$G23/2,$H23,TRUE))*$C23</f>
        <v>0</v>
      </c>
      <c r="V23" s="55">
        <f>(_xlfn.NORM.DIST(AND(V$9&gt;=$E23,V$9&lt;=$F23)*(V$9-$E23+1),$G23/2,$H23,TRUE)-_xlfn.NORM.DIST(AND(V$9&gt;=$E23,V$9&lt;=$F23)*(U$9-$E23+1),$G23/2,$H23,TRUE))/(1-2*_xlfn.NORM.DIST(0,$G23/2,$H23,TRUE))*$C23</f>
        <v>0</v>
      </c>
      <c r="W23" s="55">
        <f>(_xlfn.NORM.DIST(AND(W$9&gt;=$E23,W$9&lt;=$F23)*(W$9-$E23+1),$G23/2,$H23,TRUE)-_xlfn.NORM.DIST(AND(W$9&gt;=$E23,W$9&lt;=$F23)*(V$9-$E23+1),$G23/2,$H23,TRUE))/(1-2*_xlfn.NORM.DIST(0,$G23/2,$H23,TRUE))*$C23</f>
        <v>0</v>
      </c>
      <c r="X23" s="55">
        <f>(_xlfn.NORM.DIST(AND(X$9&gt;=$E23,X$9&lt;=$F23)*(X$9-$E23+1),$G23/2,$H23,TRUE)-_xlfn.NORM.DIST(AND(X$9&gt;=$E23,X$9&lt;=$F23)*(W$9-$E23+1),$G23/2,$H23,TRUE))/(1-2*_xlfn.NORM.DIST(0,$G23/2,$H23,TRUE))*$C23</f>
        <v>0</v>
      </c>
      <c r="Y23" s="55">
        <f>(_xlfn.NORM.DIST(AND(Y$9&gt;=$E23,Y$9&lt;=$F23)*(Y$9-$E23+1),$G23/2,$H23,TRUE)-_xlfn.NORM.DIST(AND(Y$9&gt;=$E23,Y$9&lt;=$F23)*(X$9-$E23+1),$G23/2,$H23,TRUE))/(1-2*_xlfn.NORM.DIST(0,$G23/2,$H23,TRUE))*$C23</f>
        <v>0</v>
      </c>
      <c r="Z23" s="55">
        <f>(_xlfn.NORM.DIST(AND(Z$9&gt;=$E23,Z$9&lt;=$F23)*(Z$9-$E23+1),$G23/2,$H23,TRUE)-_xlfn.NORM.DIST(AND(Z$9&gt;=$E23,Z$9&lt;=$F23)*(Y$9-$E23+1),$G23/2,$H23,TRUE))/(1-2*_xlfn.NORM.DIST(0,$G23/2,$H23,TRUE))*$C23</f>
        <v>127326.55372730129</v>
      </c>
      <c r="AA23" s="55">
        <f>(_xlfn.NORM.DIST(AND(AA$9&gt;=$E23,AA$9&lt;=$F23)*(AA$9-$E23+1),$G23/2,$H23,TRUE)-_xlfn.NORM.DIST(AND(AA$9&gt;=$E23,AA$9&lt;=$F23)*(Z$9-$E23+1),$G23/2,$H23,TRUE))/(1-2*_xlfn.NORM.DIST(0,$G23/2,$H23,TRUE))*$C23</f>
        <v>252322.89223925612</v>
      </c>
      <c r="AB23" s="55">
        <f>(_xlfn.NORM.DIST(AND(AB$9&gt;=$E23,AB$9&lt;=$F23)*(AB$9-$E23+1),$G23/2,$H23,TRUE)-_xlfn.NORM.DIST(AND(AB$9&gt;=$E23,AB$9&lt;=$F23)*(AA$9-$E23+1),$G23/2,$H23,TRUE))/(1-2*_xlfn.NORM.DIST(0,$G23/2,$H23,TRUE))*$C23</f>
        <v>469882.22520511842</v>
      </c>
      <c r="AC23" s="55">
        <f>(_xlfn.NORM.DIST(AND(AC$9&gt;=$E23,AC$9&lt;=$F23)*(AC$9-$E23+1),$G23/2,$H23,TRUE)-_xlfn.NORM.DIST(AND(AC$9&gt;=$E23,AC$9&lt;=$F23)*(AB$9-$E23+1),$G23/2,$H23,TRUE))/(1-2*_xlfn.NORM.DIST(0,$G23/2,$H23,TRUE))*$C23</f>
        <v>822274.08787347015</v>
      </c>
      <c r="AD23" s="55">
        <f>(_xlfn.NORM.DIST(AND(AD$9&gt;=$E23,AD$9&lt;=$F23)*(AD$9-$E23+1),$G23/2,$H23,TRUE)-_xlfn.NORM.DIST(AND(AD$9&gt;=$E23,AD$9&lt;=$F23)*(AC$9-$E23+1),$G23/2,$H23,TRUE))/(1-2*_xlfn.NORM.DIST(0,$G23/2,$H23,TRUE))*$C23</f>
        <v>1352196.7867389403</v>
      </c>
      <c r="AE23" s="55">
        <f>(_xlfn.NORM.DIST(AND(AE$9&gt;=$E23,AE$9&lt;=$F23)*(AE$9-$E23+1),$G23/2,$H23,TRUE)-_xlfn.NORM.DIST(AND(AE$9&gt;=$E23,AE$9&lt;=$F23)*(AD$9-$E23+1),$G23/2,$H23,TRUE))/(1-2*_xlfn.NORM.DIST(0,$G23/2,$H23,TRUE))*$C23</f>
        <v>2089581.5837303572</v>
      </c>
      <c r="AF23" s="55">
        <f>(_xlfn.NORM.DIST(AND(AF$9&gt;=$E23,AF$9&lt;=$F23)*(AF$9-$E23+1),$G23/2,$H23,TRUE)-_xlfn.NORM.DIST(AND(AF$9&gt;=$E23,AF$9&lt;=$F23)*(AE$9-$E23+1),$G23/2,$H23,TRUE))/(1-2*_xlfn.NORM.DIST(0,$G23/2,$H23,TRUE))*$C23</f>
        <v>3034417.1229307391</v>
      </c>
      <c r="AG23" s="55">
        <f>(_xlfn.NORM.DIST(AND(AG$9&gt;=$E23,AG$9&lt;=$F23)*(AG$9-$E23+1),$G23/2,$H23,TRUE)-_xlfn.NORM.DIST(AND(AG$9&gt;=$E23,AG$9&lt;=$F23)*(AF$9-$E23+1),$G23/2,$H23,TRUE))/(1-2*_xlfn.NORM.DIST(0,$G23/2,$H23,TRUE))*$C23</f>
        <v>4140836.3811756242</v>
      </c>
      <c r="AH23" s="55">
        <f>(_xlfn.NORM.DIST(AND(AH$9&gt;=$E23,AH$9&lt;=$F23)*(AH$9-$E23+1),$G23/2,$H23,TRUE)-_xlfn.NORM.DIST(AND(AH$9&gt;=$E23,AH$9&lt;=$F23)*(AG$9-$E23+1),$G23/2,$H23,TRUE))/(1-2*_xlfn.NORM.DIST(0,$G23/2,$H23,TRUE))*$C23</f>
        <v>5310042.2209658977</v>
      </c>
      <c r="AI23" s="55">
        <f>(_xlfn.NORM.DIST(AND(AI$9&gt;=$E23,AI$9&lt;=$F23)*(AI$9-$E23+1),$G23/2,$H23,TRUE)-_xlfn.NORM.DIST(AND(AI$9&gt;=$E23,AI$9&lt;=$F23)*(AH$9-$E23+1),$G23/2,$H23,TRUE))/(1-2*_xlfn.NORM.DIST(0,$G23/2,$H23,TRUE))*$C23</f>
        <v>6398898.3390046833</v>
      </c>
      <c r="AJ23" s="55">
        <f>(_xlfn.NORM.DIST(AND(AJ$9&gt;=$E23,AJ$9&lt;=$F23)*(AJ$9-$E23+1),$G23/2,$H23,TRUE)-_xlfn.NORM.DIST(AND(AJ$9&gt;=$E23,AJ$9&lt;=$F23)*(AI$9-$E23+1),$G23/2,$H23,TRUE))/(1-2*_xlfn.NORM.DIST(0,$G23/2,$H23,TRUE))*$C23</f>
        <v>7246193.7693137899</v>
      </c>
      <c r="AK23" s="55">
        <f>(_xlfn.NORM.DIST(AND(AK$9&gt;=$E23,AK$9&lt;=$F23)*(AK$9-$E23+1),$G23/2,$H23,TRUE)-_xlfn.NORM.DIST(AND(AK$9&gt;=$E23,AK$9&lt;=$F23)*(AJ$9-$E23+1),$G23/2,$H23,TRUE))/(1-2*_xlfn.NORM.DIST(0,$G23/2,$H23,TRUE))*$C23</f>
        <v>7711028.037094824</v>
      </c>
      <c r="AL23" s="55">
        <f>(_xlfn.NORM.DIST(AND(AL$9&gt;=$E23,AL$9&lt;=$F23)*(AL$9-$E23+1),$G23/2,$H23,TRUE)-_xlfn.NORM.DIST(AND(AL$9&gt;=$E23,AL$9&lt;=$F23)*(AK$9-$E23+1),$G23/2,$H23,TRUE))/(1-2*_xlfn.NORM.DIST(0,$G23/2,$H23,TRUE))*$C23</f>
        <v>7711028.037094824</v>
      </c>
      <c r="AM23" s="55">
        <f>(_xlfn.NORM.DIST(AND(AM$9&gt;=$E23,AM$9&lt;=$F23)*(AM$9-$E23+1),$G23/2,$H23,TRUE)-_xlfn.NORM.DIST(AND(AM$9&gt;=$E23,AM$9&lt;=$F23)*(AL$9-$E23+1),$G23/2,$H23,TRUE))/(1-2*_xlfn.NORM.DIST(0,$G23/2,$H23,TRUE))*$C23</f>
        <v>7246193.7693137899</v>
      </c>
      <c r="AN23" s="55">
        <f>(_xlfn.NORM.DIST(AND(AN$9&gt;=$E23,AN$9&lt;=$F23)*(AN$9-$E23+1),$G23/2,$H23,TRUE)-_xlfn.NORM.DIST(AND(AN$9&gt;=$E23,AN$9&lt;=$F23)*(AM$9-$E23+1),$G23/2,$H23,TRUE))/(1-2*_xlfn.NORM.DIST(0,$G23/2,$H23,TRUE))*$C23</f>
        <v>6398898.3390046787</v>
      </c>
      <c r="AO23" s="55">
        <f>(_xlfn.NORM.DIST(AND(AO$9&gt;=$E23,AO$9&lt;=$F23)*(AO$9-$E23+1),$G23/2,$H23,TRUE)-_xlfn.NORM.DIST(AND(AO$9&gt;=$E23,AO$9&lt;=$F23)*(AN$9-$E23+1),$G23/2,$H23,TRUE))/(1-2*_xlfn.NORM.DIST(0,$G23/2,$H23,TRUE))*$C23</f>
        <v>5310042.2209659042</v>
      </c>
      <c r="AP23" s="55">
        <f>(_xlfn.NORM.DIST(AND(AP$9&gt;=$E23,AP$9&lt;=$F23)*(AP$9-$E23+1),$G23/2,$H23,TRUE)-_xlfn.NORM.DIST(AND(AP$9&gt;=$E23,AP$9&lt;=$F23)*(AO$9-$E23+1),$G23/2,$H23,TRUE))/(1-2*_xlfn.NORM.DIST(0,$G23/2,$H23,TRUE))*$C23</f>
        <v>4140836.3811756228</v>
      </c>
      <c r="AQ23" s="55">
        <f>(_xlfn.NORM.DIST(AND(AQ$9&gt;=$E23,AQ$9&lt;=$F23)*(AQ$9-$E23+1),$G23/2,$H23,TRUE)-_xlfn.NORM.DIST(AND(AQ$9&gt;=$E23,AQ$9&lt;=$F23)*(AP$9-$E23+1),$G23/2,$H23,TRUE))/(1-2*_xlfn.NORM.DIST(0,$G23/2,$H23,TRUE))*$C23</f>
        <v>3034417.1229307358</v>
      </c>
      <c r="AR23" s="55">
        <f>(_xlfn.NORM.DIST(AND(AR$9&gt;=$E23,AR$9&lt;=$F23)*(AR$9-$E23+1),$G23/2,$H23,TRUE)-_xlfn.NORM.DIST(AND(AR$9&gt;=$E23,AR$9&lt;=$F23)*(AQ$9-$E23+1),$G23/2,$H23,TRUE))/(1-2*_xlfn.NORM.DIST(0,$G23/2,$H23,TRUE))*$C23</f>
        <v>2089581.5837303582</v>
      </c>
      <c r="AS23" s="55">
        <f>(_xlfn.NORM.DIST(AND(AS$9&gt;=$E23,AS$9&lt;=$F23)*(AS$9-$E23+1),$G23/2,$H23,TRUE)-_xlfn.NORM.DIST(AND(AS$9&gt;=$E23,AS$9&lt;=$F23)*(AR$9-$E23+1),$G23/2,$H23,TRUE))/(1-2*_xlfn.NORM.DIST(0,$G23/2,$H23,TRUE))*$C23</f>
        <v>1352196.78673894</v>
      </c>
      <c r="AT23" s="55">
        <f>(_xlfn.NORM.DIST(AND(AT$9&gt;=$E23,AT$9&lt;=$F23)*(AT$9-$E23+1),$G23/2,$H23,TRUE)-_xlfn.NORM.DIST(AND(AT$9&gt;=$E23,AT$9&lt;=$F23)*(AS$9-$E23+1),$G23/2,$H23,TRUE))/(1-2*_xlfn.NORM.DIST(0,$G23/2,$H23,TRUE))*$C23</f>
        <v>822274.08787347341</v>
      </c>
      <c r="AU23" s="55">
        <f>(_xlfn.NORM.DIST(AND(AU$9&gt;=$E23,AU$9&lt;=$F23)*(AU$9-$E23+1),$G23/2,$H23,TRUE)-_xlfn.NORM.DIST(AND(AU$9&gt;=$E23,AU$9&lt;=$F23)*(AT$9-$E23+1),$G23/2,$H23,TRUE))/(1-2*_xlfn.NORM.DIST(0,$G23/2,$H23,TRUE))*$C23</f>
        <v>469882.22520511452</v>
      </c>
      <c r="AV23" s="55">
        <f>(_xlfn.NORM.DIST(AND(AV$9&gt;=$E23,AV$9&lt;=$F23)*(AV$9-$E23+1),$G23/2,$H23,TRUE)-_xlfn.NORM.DIST(AND(AV$9&gt;=$E23,AV$9&lt;=$F23)*(AU$9-$E23+1),$G23/2,$H23,TRUE))/(1-2*_xlfn.NORM.DIST(0,$G23/2,$H23,TRUE))*$C23</f>
        <v>252322.8922392581</v>
      </c>
      <c r="AW23" s="55">
        <f>(_xlfn.NORM.DIST(AND(AW$9&gt;=$E23,AW$9&lt;=$F23)*(AW$9-$E23+1),$G23/2,$H23,TRUE)-_xlfn.NORM.DIST(AND(AW$9&gt;=$E23,AW$9&lt;=$F23)*(AV$9-$E23+1),$G23/2,$H23,TRUE))/(1-2*_xlfn.NORM.DIST(0,$G23/2,$H23,TRUE))*$C23</f>
        <v>127326.55372730052</v>
      </c>
      <c r="AX23" s="55">
        <f>(_xlfn.NORM.DIST(AND(AX$9&gt;=$E23,AX$9&lt;=$F23)*(AX$9-$E23+1),$G23/2,$H23,TRUE)-_xlfn.NORM.DIST(AND(AX$9&gt;=$E23,AX$9&lt;=$F23)*(AW$9-$E23+1),$G23/2,$H23,TRUE))/(1-2*_xlfn.NORM.DIST(0,$G23/2,$H23,TRUE))*$C23</f>
        <v>0</v>
      </c>
      <c r="AY23" s="55">
        <f>(_xlfn.NORM.DIST(AND(AY$9&gt;=$E23,AY$9&lt;=$F23)*(AY$9-$E23+1),$G23/2,$H23,TRUE)-_xlfn.NORM.DIST(AND(AY$9&gt;=$E23,AY$9&lt;=$F23)*(AX$9-$E23+1),$G23/2,$H23,TRUE))/(1-2*_xlfn.NORM.DIST(0,$G23/2,$H23,TRUE))*$C23</f>
        <v>0</v>
      </c>
      <c r="AZ23" s="55">
        <f>(_xlfn.NORM.DIST(AND(AZ$9&gt;=$E23,AZ$9&lt;=$F23)*(AZ$9-$E23+1),$G23/2,$H23,TRUE)-_xlfn.NORM.DIST(AND(AZ$9&gt;=$E23,AZ$9&lt;=$F23)*(AY$9-$E23+1),$G23/2,$H23,TRUE))/(1-2*_xlfn.NORM.DIST(0,$G23/2,$H23,TRUE))*$C23</f>
        <v>0</v>
      </c>
      <c r="BA23" s="55">
        <f>(_xlfn.NORM.DIST(AND(BA$9&gt;=$E23,BA$9&lt;=$F23)*(BA$9-$E23+1),$G23/2,$H23,TRUE)-_xlfn.NORM.DIST(AND(BA$9&gt;=$E23,BA$9&lt;=$F23)*(AZ$9-$E23+1),$G23/2,$H23,TRUE))/(1-2*_xlfn.NORM.DIST(0,$G23/2,$H23,TRUE))*$C23</f>
        <v>0</v>
      </c>
      <c r="BB23" s="55">
        <f>(_xlfn.NORM.DIST(AND(BB$9&gt;=$E23,BB$9&lt;=$F23)*(BB$9-$E23+1),$G23/2,$H23,TRUE)-_xlfn.NORM.DIST(AND(BB$9&gt;=$E23,BB$9&lt;=$F23)*(BA$9-$E23+1),$G23/2,$H23,TRUE))/(1-2*_xlfn.NORM.DIST(0,$G23/2,$H23,TRUE))*$C23</f>
        <v>0</v>
      </c>
      <c r="BC23" s="55">
        <f>(_xlfn.NORM.DIST(AND(BC$9&gt;=$E23,BC$9&lt;=$F23)*(BC$9-$E23+1),$G23/2,$H23,TRUE)-_xlfn.NORM.DIST(AND(BC$9&gt;=$E23,BC$9&lt;=$F23)*(BB$9-$E23+1),$G23/2,$H23,TRUE))/(1-2*_xlfn.NORM.DIST(0,$G23/2,$H23,TRUE))*$C23</f>
        <v>0</v>
      </c>
      <c r="BD23" s="55">
        <f>(_xlfn.NORM.DIST(AND(BD$9&gt;=$E23,BD$9&lt;=$F23)*(BD$9-$E23+1),$G23/2,$H23,TRUE)-_xlfn.NORM.DIST(AND(BD$9&gt;=$E23,BD$9&lt;=$F23)*(BC$9-$E23+1),$G23/2,$H23,TRUE))/(1-2*_xlfn.NORM.DIST(0,$G23/2,$H23,TRUE))*$C23</f>
        <v>0</v>
      </c>
      <c r="BE23" s="55">
        <f>(_xlfn.NORM.DIST(AND(BE$9&gt;=$E23,BE$9&lt;=$F23)*(BE$9-$E23+1),$G23/2,$H23,TRUE)-_xlfn.NORM.DIST(AND(BE$9&gt;=$E23,BE$9&lt;=$F23)*(BD$9-$E23+1),$G23/2,$H23,TRUE))/(1-2*_xlfn.NORM.DIST(0,$G23/2,$H23,TRUE))*$C23</f>
        <v>0</v>
      </c>
      <c r="BF23" s="55">
        <f>(_xlfn.NORM.DIST(AND(BF$9&gt;=$E23,BF$9&lt;=$F23)*(BF$9-$E23+1),$G23/2,$H23,TRUE)-_xlfn.NORM.DIST(AND(BF$9&gt;=$E23,BF$9&lt;=$F23)*(BE$9-$E23+1),$G23/2,$H23,TRUE))/(1-2*_xlfn.NORM.DIST(0,$G23/2,$H23,TRUE))*$C23</f>
        <v>0</v>
      </c>
      <c r="BG23" s="55">
        <f>(_xlfn.NORM.DIST(AND(BG$9&gt;=$E23,BG$9&lt;=$F23)*(BG$9-$E23+1),$G23/2,$H23,TRUE)-_xlfn.NORM.DIST(AND(BG$9&gt;=$E23,BG$9&lt;=$F23)*(BF$9-$E23+1),$G23/2,$H23,TRUE))/(1-2*_xlfn.NORM.DIST(0,$G23/2,$H23,TRUE))*$C23</f>
        <v>0</v>
      </c>
      <c r="BH23" s="55">
        <f>(_xlfn.NORM.DIST(AND(BH$9&gt;=$E23,BH$9&lt;=$F23)*(BH$9-$E23+1),$G23/2,$H23,TRUE)-_xlfn.NORM.DIST(AND(BH$9&gt;=$E23,BH$9&lt;=$F23)*(BG$9-$E23+1),$G23/2,$H23,TRUE))/(1-2*_xlfn.NORM.DIST(0,$G23/2,$H23,TRUE))*$C23</f>
        <v>0</v>
      </c>
      <c r="BI23" s="55">
        <f>(_xlfn.NORM.DIST(AND(BI$9&gt;=$E23,BI$9&lt;=$F23)*(BI$9-$E23+1),$G23/2,$H23,TRUE)-_xlfn.NORM.DIST(AND(BI$9&gt;=$E23,BI$9&lt;=$F23)*(BH$9-$E23+1),$G23/2,$H23,TRUE))/(1-2*_xlfn.NORM.DIST(0,$G23/2,$H23,TRUE))*$C23</f>
        <v>0</v>
      </c>
      <c r="BJ23" s="55">
        <f>(_xlfn.NORM.DIST(AND(BJ$9&gt;=$E23,BJ$9&lt;=$F23)*(BJ$9-$E23+1),$G23/2,$H23,TRUE)-_xlfn.NORM.DIST(AND(BJ$9&gt;=$E23,BJ$9&lt;=$F23)*(BI$9-$E23+1),$G23/2,$H23,TRUE))/(1-2*_xlfn.NORM.DIST(0,$G23/2,$H23,TRUE))*$C23</f>
        <v>0</v>
      </c>
      <c r="BK23" s="55">
        <f>(_xlfn.NORM.DIST(AND(BK$9&gt;=$E23,BK$9&lt;=$F23)*(BK$9-$E23+1),$G23/2,$H23,TRUE)-_xlfn.NORM.DIST(AND(BK$9&gt;=$E23,BK$9&lt;=$F23)*(BJ$9-$E23+1),$G23/2,$H23,TRUE))/(1-2*_xlfn.NORM.DIST(0,$G23/2,$H23,TRUE))*$C23</f>
        <v>0</v>
      </c>
      <c r="BL23" s="55">
        <f>(_xlfn.NORM.DIST(AND(BL$9&gt;=$E23,BL$9&lt;=$F23)*(BL$9-$E23+1),$G23/2,$H23,TRUE)-_xlfn.NORM.DIST(AND(BL$9&gt;=$E23,BL$9&lt;=$F23)*(BK$9-$E23+1),$G23/2,$H23,TRUE))/(1-2*_xlfn.NORM.DIST(0,$G23/2,$H23,TRUE))*$C23</f>
        <v>0</v>
      </c>
      <c r="BM23" s="55">
        <f>(_xlfn.NORM.DIST(AND(BM$9&gt;=$E23,BM$9&lt;=$F23)*(BM$9-$E23+1),$G23/2,$H23,TRUE)-_xlfn.NORM.DIST(AND(BM$9&gt;=$E23,BM$9&lt;=$F23)*(BL$9-$E23+1),$G23/2,$H23,TRUE))/(1-2*_xlfn.NORM.DIST(0,$G23/2,$H23,TRUE))*$C23</f>
        <v>0</v>
      </c>
      <c r="BN23" s="55">
        <f>(_xlfn.NORM.DIST(AND(BN$9&gt;=$E23,BN$9&lt;=$F23)*(BN$9-$E23+1),$G23/2,$H23,TRUE)-_xlfn.NORM.DIST(AND(BN$9&gt;=$E23,BN$9&lt;=$F23)*(BM$9-$E23+1),$G23/2,$H23,TRUE))/(1-2*_xlfn.NORM.DIST(0,$G23/2,$H23,TRUE))*$C23</f>
        <v>0</v>
      </c>
      <c r="BO23" s="55">
        <f>(_xlfn.NORM.DIST(AND(BO$9&gt;=$E23,BO$9&lt;=$F23)*(BO$9-$E23+1),$G23/2,$H23,TRUE)-_xlfn.NORM.DIST(AND(BO$9&gt;=$E23,BO$9&lt;=$F23)*(BN$9-$E23+1),$G23/2,$H23,TRUE))/(1-2*_xlfn.NORM.DIST(0,$G23/2,$H23,TRUE))*$C23</f>
        <v>0</v>
      </c>
      <c r="BP23" s="55">
        <f>(_xlfn.NORM.DIST(AND(BP$9&gt;=$E23,BP$9&lt;=$F23)*(BP$9-$E23+1),$G23/2,$H23,TRUE)-_xlfn.NORM.DIST(AND(BP$9&gt;=$E23,BP$9&lt;=$F23)*(BO$9-$E23+1),$G23/2,$H23,TRUE))/(1-2*_xlfn.NORM.DIST(0,$G23/2,$H23,TRUE))*$C23</f>
        <v>0</v>
      </c>
      <c r="BQ23" s="55">
        <f>(_xlfn.NORM.DIST(AND(BQ$9&gt;=$E23,BQ$9&lt;=$F23)*(BQ$9-$E23+1),$G23/2,$H23,TRUE)-_xlfn.NORM.DIST(AND(BQ$9&gt;=$E23,BQ$9&lt;=$F23)*(BP$9-$E23+1),$G23/2,$H23,TRUE))/(1-2*_xlfn.NORM.DIST(0,$G23/2,$H23,TRUE))*$C23</f>
        <v>0</v>
      </c>
      <c r="BR23" s="160">
        <f>(_xlfn.NORM.DIST(AND(BR$9&gt;=$E23,BR$9&lt;=$F23)*(BR$9-$E23+1),$G23/2,$H23,TRUE)-_xlfn.NORM.DIST(AND(BR$9&gt;=$E23,BR$9&lt;=$F23)*(BQ$9-$E23+1),$G23/2,$H23,TRUE))/(1-2*_xlfn.NORM.DIST(0,$G23/2,$H23,TRUE))*$C23</f>
        <v>0</v>
      </c>
      <c r="BS23" s="25"/>
    </row>
    <row r="24" spans="1:71" customFormat="1" x14ac:dyDescent="0.2">
      <c r="A24" s="25"/>
      <c r="B24" s="52"/>
      <c r="C24" s="165"/>
      <c r="D24" s="164"/>
      <c r="E24" s="25"/>
      <c r="F24" s="25"/>
      <c r="G24" s="25"/>
      <c r="H24" s="25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8"/>
      <c r="BS24" s="25"/>
    </row>
    <row r="25" spans="1:71" customFormat="1" x14ac:dyDescent="0.2">
      <c r="A25" s="25"/>
      <c r="B25" s="52" t="s">
        <v>75</v>
      </c>
      <c r="C25" s="159">
        <v>8397324.0000000019</v>
      </c>
      <c r="D25" s="163" t="s">
        <v>68</v>
      </c>
      <c r="E25" s="167">
        <v>39</v>
      </c>
      <c r="F25" s="25"/>
      <c r="G25" s="25"/>
      <c r="H25" s="25"/>
      <c r="I25" s="155" t="str">
        <f>IF(ROUND(SUM($J25:$BR25),0)=ROUND(C25,0),"OK","error")</f>
        <v>OK</v>
      </c>
      <c r="J25" s="49"/>
      <c r="K25" s="55">
        <f>(K$9=$E25)*$C25</f>
        <v>0</v>
      </c>
      <c r="L25" s="55">
        <f>(L$9=$E25)*$C25</f>
        <v>0</v>
      </c>
      <c r="M25" s="55">
        <f>(M$9=$E25)*$C25</f>
        <v>0</v>
      </c>
      <c r="N25" s="55">
        <f>(N$9=$E25)*$C25</f>
        <v>0</v>
      </c>
      <c r="O25" s="55">
        <f>(O$9=$E25)*$C25</f>
        <v>0</v>
      </c>
      <c r="P25" s="55">
        <f>(P$9=$E25)*$C25</f>
        <v>0</v>
      </c>
      <c r="Q25" s="55">
        <f>(Q$9=$E25)*$C25</f>
        <v>0</v>
      </c>
      <c r="R25" s="55">
        <f>(R$9=$E25)*$C25</f>
        <v>0</v>
      </c>
      <c r="S25" s="55">
        <f>(S$9=$E25)*$C25</f>
        <v>0</v>
      </c>
      <c r="T25" s="55">
        <f>(T$9=$E25)*$C25</f>
        <v>0</v>
      </c>
      <c r="U25" s="55">
        <f>(U$9=$E25)*$C25</f>
        <v>0</v>
      </c>
      <c r="V25" s="55">
        <f>(V$9=$E25)*$C25</f>
        <v>0</v>
      </c>
      <c r="W25" s="55">
        <f>(W$9=$E25)*$C25</f>
        <v>0</v>
      </c>
      <c r="X25" s="55">
        <f>(X$9=$E25)*$C25</f>
        <v>0</v>
      </c>
      <c r="Y25" s="55">
        <f>(Y$9=$E25)*$C25</f>
        <v>0</v>
      </c>
      <c r="Z25" s="55">
        <f>(Z$9=$E25)*$C25</f>
        <v>0</v>
      </c>
      <c r="AA25" s="55">
        <f>(AA$9=$E25)*$C25</f>
        <v>0</v>
      </c>
      <c r="AB25" s="55">
        <f>(AB$9=$E25)*$C25</f>
        <v>0</v>
      </c>
      <c r="AC25" s="55">
        <f>(AC$9=$E25)*$C25</f>
        <v>0</v>
      </c>
      <c r="AD25" s="55">
        <f>(AD$9=$E25)*$C25</f>
        <v>0</v>
      </c>
      <c r="AE25" s="55">
        <f>(AE$9=$E25)*$C25</f>
        <v>0</v>
      </c>
      <c r="AF25" s="55">
        <f>(AF$9=$E25)*$C25</f>
        <v>0</v>
      </c>
      <c r="AG25" s="55">
        <f>(AG$9=$E25)*$C25</f>
        <v>0</v>
      </c>
      <c r="AH25" s="55">
        <f>(AH$9=$E25)*$C25</f>
        <v>0</v>
      </c>
      <c r="AI25" s="55">
        <f>(AI$9=$E25)*$C25</f>
        <v>0</v>
      </c>
      <c r="AJ25" s="55">
        <f>(AJ$9=$E25)*$C25</f>
        <v>0</v>
      </c>
      <c r="AK25" s="55">
        <f>(AK$9=$E25)*$C25</f>
        <v>0</v>
      </c>
      <c r="AL25" s="55">
        <f>(AL$9=$E25)*$C25</f>
        <v>0</v>
      </c>
      <c r="AM25" s="55">
        <f>(AM$9=$E25)*$C25</f>
        <v>0</v>
      </c>
      <c r="AN25" s="55">
        <f>(AN$9=$E25)*$C25</f>
        <v>0</v>
      </c>
      <c r="AO25" s="55">
        <f>(AO$9=$E25)*$C25</f>
        <v>0</v>
      </c>
      <c r="AP25" s="55">
        <f>(AP$9=$E25)*$C25</f>
        <v>0</v>
      </c>
      <c r="AQ25" s="55">
        <f>(AQ$9=$E25)*$C25</f>
        <v>0</v>
      </c>
      <c r="AR25" s="55">
        <f>(AR$9=$E25)*$C25</f>
        <v>0</v>
      </c>
      <c r="AS25" s="55">
        <f>(AS$9=$E25)*$C25</f>
        <v>0</v>
      </c>
      <c r="AT25" s="55">
        <f>(AT$9=$E25)*$C25</f>
        <v>0</v>
      </c>
      <c r="AU25" s="55">
        <f>(AU$9=$E25)*$C25</f>
        <v>0</v>
      </c>
      <c r="AV25" s="55">
        <f>(AV$9=$E25)*$C25</f>
        <v>0</v>
      </c>
      <c r="AW25" s="55">
        <f>(AW$9=$E25)*$C25</f>
        <v>8397324.0000000019</v>
      </c>
      <c r="AX25" s="55">
        <f>(AX$9=$E25)*$C25</f>
        <v>0</v>
      </c>
      <c r="AY25" s="55">
        <f>(AY$9=$E25)*$C25</f>
        <v>0</v>
      </c>
      <c r="AZ25" s="55">
        <f>(AZ$9=$E25)*$C25</f>
        <v>0</v>
      </c>
      <c r="BA25" s="55">
        <f>(BA$9=$E25)*$C25</f>
        <v>0</v>
      </c>
      <c r="BB25" s="55">
        <f>(BB$9=$E25)*$C25</f>
        <v>0</v>
      </c>
      <c r="BC25" s="55">
        <f>(BC$9=$E25)*$C25</f>
        <v>0</v>
      </c>
      <c r="BD25" s="55">
        <f>(BD$9=$E25)*$C25</f>
        <v>0</v>
      </c>
      <c r="BE25" s="55">
        <f>(BE$9=$E25)*$C25</f>
        <v>0</v>
      </c>
      <c r="BF25" s="55">
        <f>(BF$9=$E25)*$C25</f>
        <v>0</v>
      </c>
      <c r="BG25" s="55">
        <f>(BG$9=$E25)*$C25</f>
        <v>0</v>
      </c>
      <c r="BH25" s="55">
        <f>(BH$9=$E25)*$C25</f>
        <v>0</v>
      </c>
      <c r="BI25" s="55">
        <f>(BI$9=$E25)*$C25</f>
        <v>0</v>
      </c>
      <c r="BJ25" s="55">
        <f>(BJ$9=$E25)*$C25</f>
        <v>0</v>
      </c>
      <c r="BK25" s="55">
        <f>(BK$9=$E25)*$C25</f>
        <v>0</v>
      </c>
      <c r="BL25" s="55">
        <f>(BL$9=$E25)*$C25</f>
        <v>0</v>
      </c>
      <c r="BM25" s="55">
        <f>(BM$9=$E25)*$C25</f>
        <v>0</v>
      </c>
      <c r="BN25" s="55">
        <f>(BN$9=$E25)*$C25</f>
        <v>0</v>
      </c>
      <c r="BO25" s="55">
        <f>(BO$9=$E25)*$C25</f>
        <v>0</v>
      </c>
      <c r="BP25" s="55">
        <f>(BP$9=$E25)*$C25</f>
        <v>0</v>
      </c>
      <c r="BQ25" s="55">
        <f>(BQ$9=$E25)*$C25</f>
        <v>0</v>
      </c>
      <c r="BR25" s="160">
        <f>(BR$9=$E25)*$C25</f>
        <v>0</v>
      </c>
      <c r="BS25" s="25"/>
    </row>
    <row r="26" spans="1:71" customFormat="1" x14ac:dyDescent="0.2">
      <c r="A26" s="25"/>
      <c r="B26" s="52"/>
      <c r="C26" s="165"/>
      <c r="D26" s="164"/>
      <c r="E26" s="25"/>
      <c r="F26" s="25"/>
      <c r="G26" s="25"/>
      <c r="H26" s="25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8"/>
      <c r="BS26" s="25"/>
    </row>
    <row r="27" spans="1:71" customFormat="1" x14ac:dyDescent="0.2">
      <c r="A27" s="25"/>
      <c r="B27" s="52" t="s">
        <v>74</v>
      </c>
      <c r="C27" s="159">
        <v>779100</v>
      </c>
      <c r="D27" s="163" t="s">
        <v>72</v>
      </c>
      <c r="E27" s="176">
        <v>10</v>
      </c>
      <c r="F27" s="175">
        <f>E27+5</f>
        <v>15</v>
      </c>
      <c r="G27" s="25"/>
      <c r="H27" s="25"/>
      <c r="I27" s="155" t="str">
        <f>IF(ROUND(SUM($J27:$BR27),0)=ROUND(C27,0),"OK","error")</f>
        <v>OK</v>
      </c>
      <c r="J27" s="49"/>
      <c r="K27" s="55">
        <f>(K9=$E$27)*$C$27*$E$28+(K9=$F$27)*$C$27*$F$28</f>
        <v>0</v>
      </c>
      <c r="L27" s="55">
        <f>(L9=$E$27)*$C$27*$E$28+(L9=$F$27)*$C$27*$F$28</f>
        <v>0</v>
      </c>
      <c r="M27" s="55">
        <f>(M9=$E$27)*$C$27*$E$28+(M9=$F$27)*$C$27*$F$28</f>
        <v>0</v>
      </c>
      <c r="N27" s="55">
        <f>(N9=$E$27)*$C$27*$E$28+(N9=$F$27)*$C$27*$F$28</f>
        <v>0</v>
      </c>
      <c r="O27" s="55">
        <f>(O9=$E$27)*$C$27*$E$28+(O9=$F$27)*$C$27*$F$28</f>
        <v>0</v>
      </c>
      <c r="P27" s="55">
        <f>(P9=$E$27)*$C$27*$E$28+(P9=$F$27)*$C$27*$F$28</f>
        <v>0</v>
      </c>
      <c r="Q27" s="55">
        <f>(Q9=$E$27)*$C$27*$E$28+(Q9=$F$27)*$C$27*$F$28</f>
        <v>0</v>
      </c>
      <c r="R27" s="55">
        <f>(R9=$E$27)*$C$27*$E$28+(R9=$F$27)*$C$27*$F$28</f>
        <v>0</v>
      </c>
      <c r="S27" s="55">
        <f>(S9=$E$27)*$C$27*$E$28+(S9=$F$27)*$C$27*$F$28</f>
        <v>0</v>
      </c>
      <c r="T27" s="55">
        <f>(T9=$E$27)*$C$27*$E$28+(T9=$F$27)*$C$27*$F$28</f>
        <v>467460</v>
      </c>
      <c r="U27" s="55">
        <f>(U9=$E$27)*$C$27*$E$28+(U9=$F$27)*$C$27*$F$28</f>
        <v>0</v>
      </c>
      <c r="V27" s="55">
        <f>(V9=$E$27)*$C$27*$E$28+(V9=$F$27)*$C$27*$F$28</f>
        <v>0</v>
      </c>
      <c r="W27" s="55">
        <f>(W9=$E$27)*$C$27*$E$28+(W9=$F$27)*$C$27*$F$28</f>
        <v>0</v>
      </c>
      <c r="X27" s="55">
        <f>(X9=$E$27)*$C$27*$E$28+(X9=$F$27)*$C$27*$F$28</f>
        <v>0</v>
      </c>
      <c r="Y27" s="55">
        <f>(Y9=$E$27)*$C$27*$E$28+(Y9=$F$27)*$C$27*$F$28</f>
        <v>311640</v>
      </c>
      <c r="Z27" s="55">
        <f>(Z9=$E$27)*$C$27*$E$28+(Z9=$F$27)*$C$27*$F$28</f>
        <v>0</v>
      </c>
      <c r="AA27" s="55">
        <f>(AA9=$E$27)*$C$27*$E$28+(AA9=$F$27)*$C$27*$F$28</f>
        <v>0</v>
      </c>
      <c r="AB27" s="55">
        <f>(AB9=$E$27)*$C$27*$E$28+(AB9=$F$27)*$C$27*$F$28</f>
        <v>0</v>
      </c>
      <c r="AC27" s="55">
        <f>(AC9=$E$27)*$C$27*$E$28+(AC9=$F$27)*$C$27*$F$28</f>
        <v>0</v>
      </c>
      <c r="AD27" s="55">
        <f>(AD9=$E$27)*$C$27*$E$28+(AD9=$F$27)*$C$27*$F$28</f>
        <v>0</v>
      </c>
      <c r="AE27" s="55">
        <f>(AE9=$E$27)*$C$27*$E$28+(AE9=$F$27)*$C$27*$F$28</f>
        <v>0</v>
      </c>
      <c r="AF27" s="55">
        <f>(AF9=$E$27)*$C$27*$E$28+(AF9=$F$27)*$C$27*$F$28</f>
        <v>0</v>
      </c>
      <c r="AG27" s="55">
        <f>(AG9=$E$27)*$C$27*$E$28+(AG9=$F$27)*$C$27*$F$28</f>
        <v>0</v>
      </c>
      <c r="AH27" s="55">
        <f>(AH9=$E$27)*$C$27*$E$28+(AH9=$F$27)*$C$27*$F$28</f>
        <v>0</v>
      </c>
      <c r="AI27" s="55">
        <f>(AI9=$E$27)*$C$27*$E$28+(AI9=$F$27)*$C$27*$F$28</f>
        <v>0</v>
      </c>
      <c r="AJ27" s="55">
        <f>(AJ9=$E$27)*$C$27*$E$28+(AJ9=$F$27)*$C$27*$F$28</f>
        <v>0</v>
      </c>
      <c r="AK27" s="55">
        <f>(AK9=$E$27)*$C$27*$E$28+(AK9=$F$27)*$C$27*$F$28</f>
        <v>0</v>
      </c>
      <c r="AL27" s="55">
        <f>(AL9=$E$27)*$C$27*$E$28+(AL9=$F$27)*$C$27*$F$28</f>
        <v>0</v>
      </c>
      <c r="AM27" s="55">
        <f>(AM9=$E$27)*$C$27*$E$28+(AM9=$F$27)*$C$27*$F$28</f>
        <v>0</v>
      </c>
      <c r="AN27" s="55">
        <f>(AN9=$E$27)*$C$27*$E$28+(AN9=$F$27)*$C$27*$F$28</f>
        <v>0</v>
      </c>
      <c r="AO27" s="55">
        <f>(AO9=$E$27)*$C$27*$E$28+(AO9=$F$27)*$C$27*$F$28</f>
        <v>0</v>
      </c>
      <c r="AP27" s="55">
        <f>(AP9=$E$27)*$C$27*$E$28+(AP9=$F$27)*$C$27*$F$28</f>
        <v>0</v>
      </c>
      <c r="AQ27" s="55">
        <f>(AQ9=$E$27)*$C$27*$E$28+(AQ9=$F$27)*$C$27*$F$28</f>
        <v>0</v>
      </c>
      <c r="AR27" s="55">
        <f>(AR9=$E$27)*$C$27*$E$28+(AR9=$F$27)*$C$27*$F$28</f>
        <v>0</v>
      </c>
      <c r="AS27" s="55">
        <f>(AS9=$E$27)*$C$27*$E$28+(AS9=$F$27)*$C$27*$F$28</f>
        <v>0</v>
      </c>
      <c r="AT27" s="55">
        <f>(AT9=$E$27)*$C$27*$E$28+(AT9=$F$27)*$C$27*$F$28</f>
        <v>0</v>
      </c>
      <c r="AU27" s="55">
        <f>(AU9=$E$27)*$C$27*$E$28+(AU9=$F$27)*$C$27*$F$28</f>
        <v>0</v>
      </c>
      <c r="AV27" s="55">
        <f>(AV9=$E$27)*$C$27*$E$28+(AV9=$F$27)*$C$27*$F$28</f>
        <v>0</v>
      </c>
      <c r="AW27" s="55">
        <f>(AW9=$E$27)*$C$27*$E$28+(AW9=$F$27)*$C$27*$F$28</f>
        <v>0</v>
      </c>
      <c r="AX27" s="55">
        <f>(AX9=$E$27)*$C$27*$E$28+(AX9=$F$27)*$C$27*$F$28</f>
        <v>0</v>
      </c>
      <c r="AY27" s="55">
        <f>(AY9=$E$27)*$C$27*$E$28+(AY9=$F$27)*$C$27*$F$28</f>
        <v>0</v>
      </c>
      <c r="AZ27" s="55">
        <f>(AZ9=$E$27)*$C$27*$E$28+(AZ9=$F$27)*$C$27*$F$28</f>
        <v>0</v>
      </c>
      <c r="BA27" s="55">
        <f>(BA9=$E$27)*$C$27*$E$28+(BA9=$F$27)*$C$27*$F$28</f>
        <v>0</v>
      </c>
      <c r="BB27" s="55">
        <f>(BB9=$E$27)*$C$27*$E$28+(BB9=$F$27)*$C$27*$F$28</f>
        <v>0</v>
      </c>
      <c r="BC27" s="55">
        <f>(BC9=$E$27)*$C$27*$E$28+(BC9=$F$27)*$C$27*$F$28</f>
        <v>0</v>
      </c>
      <c r="BD27" s="55">
        <f>(BD9=$E$27)*$C$27*$E$28+(BD9=$F$27)*$C$27*$F$28</f>
        <v>0</v>
      </c>
      <c r="BE27" s="55">
        <f>(BE9=$E$27)*$C$27*$E$28+(BE9=$F$27)*$C$27*$F$28</f>
        <v>0</v>
      </c>
      <c r="BF27" s="55">
        <f>(BF9=$E$27)*$C$27*$E$28+(BF9=$F$27)*$C$27*$F$28</f>
        <v>0</v>
      </c>
      <c r="BG27" s="55">
        <f>(BG9=$E$27)*$C$27*$E$28+(BG9=$F$27)*$C$27*$F$28</f>
        <v>0</v>
      </c>
      <c r="BH27" s="55">
        <f>(BH9=$E$27)*$C$27*$E$28+(BH9=$F$27)*$C$27*$F$28</f>
        <v>0</v>
      </c>
      <c r="BI27" s="55">
        <f>(BI9=$E$27)*$C$27*$E$28+(BI9=$F$27)*$C$27*$F$28</f>
        <v>0</v>
      </c>
      <c r="BJ27" s="55">
        <f>(BJ9=$E$27)*$C$27*$E$28+(BJ9=$F$27)*$C$27*$F$28</f>
        <v>0</v>
      </c>
      <c r="BK27" s="55">
        <f>(BK9=$E$27)*$C$27*$E$28+(BK9=$F$27)*$C$27*$F$28</f>
        <v>0</v>
      </c>
      <c r="BL27" s="55">
        <f>(BL9=$E$27)*$C$27*$E$28+(BL9=$F$27)*$C$27*$F$28</f>
        <v>0</v>
      </c>
      <c r="BM27" s="55">
        <f>(BM9=$E$27)*$C$27*$E$28+(BM9=$F$27)*$C$27*$F$28</f>
        <v>0</v>
      </c>
      <c r="BN27" s="55">
        <f>(BN9=$E$27)*$C$27*$E$28+(BN9=$F$27)*$C$27*$F$28</f>
        <v>0</v>
      </c>
      <c r="BO27" s="55">
        <f>(BO9=$E$27)*$C$27*$E$28+(BO9=$F$27)*$C$27*$F$28</f>
        <v>0</v>
      </c>
      <c r="BP27" s="55">
        <f>(BP9=$E$27)*$C$27*$E$28+(BP9=$F$27)*$C$27*$F$28</f>
        <v>0</v>
      </c>
      <c r="BQ27" s="55">
        <f>(BQ9=$E$27)*$C$27*$E$28+(BQ9=$F$27)*$C$27*$F$28</f>
        <v>0</v>
      </c>
      <c r="BR27" s="160">
        <f>(BR9=$E$27)*$C$27*$E$28+(BR9=$F$27)*$C$27*$F$28</f>
        <v>0</v>
      </c>
      <c r="BS27" s="25"/>
    </row>
    <row r="28" spans="1:71" customFormat="1" x14ac:dyDescent="0.2">
      <c r="A28" s="25"/>
      <c r="B28" s="52"/>
      <c r="C28" s="165"/>
      <c r="D28" s="164"/>
      <c r="E28" s="174">
        <v>0.6</v>
      </c>
      <c r="F28" s="173">
        <f>1-E28</f>
        <v>0.4</v>
      </c>
      <c r="G28" s="25"/>
      <c r="H28" s="25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8"/>
      <c r="BS28" s="25"/>
    </row>
    <row r="29" spans="1:71" customFormat="1" x14ac:dyDescent="0.2">
      <c r="A29" s="25"/>
      <c r="B29" s="52" t="s">
        <v>73</v>
      </c>
      <c r="C29" s="159">
        <v>2888902.2059932109</v>
      </c>
      <c r="D29" s="163" t="s">
        <v>72</v>
      </c>
      <c r="E29" s="172">
        <v>1.6E-2</v>
      </c>
      <c r="F29" s="149"/>
      <c r="G29" s="149"/>
      <c r="H29" s="171"/>
      <c r="I29" s="155" t="str">
        <f>IF(ROUND(SUM($J29:$BR29),0)=ROUND(C29,0),"OK","error")</f>
        <v>OK</v>
      </c>
      <c r="J29" s="49"/>
      <c r="K29" s="55">
        <f>AND(MONTH(K10)=1,K9&lt;=47)*SUM($J$23:J23,$J$13:J13)*$E$29</f>
        <v>0</v>
      </c>
      <c r="L29" s="55">
        <f>AND(MONTH(L10)=1,L9&lt;=47)*SUM($J$23:K23,$J$13:K13)*$E$29</f>
        <v>0</v>
      </c>
      <c r="M29" s="55">
        <f>AND(MONTH(M10)=1,M9&lt;=47)*SUM($J$23:L23,$J$13:L13)*$E$29</f>
        <v>0</v>
      </c>
      <c r="N29" s="55">
        <f>AND(MONTH(N10)=1,N9&lt;=47)*SUM($J$23:M23,$J$13:M13)*$E$29</f>
        <v>0</v>
      </c>
      <c r="O29" s="55">
        <f>AND(MONTH(O10)=1,O9&lt;=47)*SUM($J$23:N23,$J$13:N13)*$E$29</f>
        <v>0</v>
      </c>
      <c r="P29" s="55">
        <f>AND(MONTH(P10)=1,P9&lt;=47)*SUM($J$23:O23,$J$13:O13)*$E$29</f>
        <v>0</v>
      </c>
      <c r="Q29" s="55">
        <f>AND(MONTH(Q10)=1,Q9&lt;=47)*SUM($J$23:P23,$J$13:P13)*$E$29</f>
        <v>0</v>
      </c>
      <c r="R29" s="55">
        <f>AND(MONTH(R10)=1,R9&lt;=47)*SUM($J$23:Q23,$J$13:Q13)*$E$29</f>
        <v>0</v>
      </c>
      <c r="S29" s="55">
        <f>AND(MONTH(S10)=1,S9&lt;=47)*SUM($J$23:R23,$J$13:R13)*$E$29</f>
        <v>0</v>
      </c>
      <c r="T29" s="55">
        <f>AND(MONTH(T10)=1,T9&lt;=47)*SUM($J$23:S23,$J$13:S13)*$E$29</f>
        <v>0</v>
      </c>
      <c r="U29" s="55">
        <f>AND(MONTH(U10)=1,U9&lt;=47)*SUM($J$23:T23,$J$13:T13)*$E$29</f>
        <v>0</v>
      </c>
      <c r="V29" s="55">
        <f>AND(MONTH(V10)=1,V9&lt;=47)*SUM($J$23:U23,$J$13:U13)*$E$29</f>
        <v>490823.23200000002</v>
      </c>
      <c r="W29" s="55">
        <f>AND(MONTH(W10)=1,W9&lt;=47)*SUM($J$23:V23,$J$13:V13)*$E$29</f>
        <v>0</v>
      </c>
      <c r="X29" s="55">
        <f>AND(MONTH(X10)=1,X9&lt;=47)*SUM($J$23:W23,$J$13:W13)*$E$29</f>
        <v>0</v>
      </c>
      <c r="Y29" s="55">
        <f>AND(MONTH(Y10)=1,Y9&lt;=47)*SUM($J$23:X23,$J$13:X13)*$E$29</f>
        <v>0</v>
      </c>
      <c r="Z29" s="55">
        <f>AND(MONTH(Z10)=1,Z9&lt;=47)*SUM($J$23:Y23,$J$13:Y13)*$E$29</f>
        <v>0</v>
      </c>
      <c r="AA29" s="55">
        <f>AND(MONTH(AA10)=1,AA9&lt;=47)*SUM($J$23:Z23,$J$13:Z13)*$E$29</f>
        <v>0</v>
      </c>
      <c r="AB29" s="55">
        <f>AND(MONTH(AB10)=1,AB9&lt;=47)*SUM($J$23:AA23,$J$13:AA13)*$E$29</f>
        <v>0</v>
      </c>
      <c r="AC29" s="55">
        <f>AND(MONTH(AC10)=1,AC9&lt;=47)*SUM($J$23:AB23,$J$13:AB13)*$E$29</f>
        <v>0</v>
      </c>
      <c r="AD29" s="55">
        <f>AND(MONTH(AD10)=1,AD9&lt;=47)*SUM($J$23:AC23,$J$13:AC13)*$E$29</f>
        <v>0</v>
      </c>
      <c r="AE29" s="55">
        <f>AND(MONTH(AE10)=1,AE9&lt;=47)*SUM($J$23:AD23,$J$13:AD13)*$E$29</f>
        <v>0</v>
      </c>
      <c r="AF29" s="55">
        <f>AND(MONTH(AF10)=1,AF9&lt;=47)*SUM($J$23:AE23,$J$13:AE13)*$E$29</f>
        <v>0</v>
      </c>
      <c r="AG29" s="55">
        <f>AND(MONTH(AG10)=1,AG9&lt;=47)*SUM($J$23:AF23,$J$13:AF13)*$E$29</f>
        <v>0</v>
      </c>
      <c r="AH29" s="55">
        <f>AND(MONTH(AH10)=1,AH9&lt;=47)*SUM($J$23:AG23,$J$13:AG13)*$E$29</f>
        <v>687444.63413793291</v>
      </c>
      <c r="AI29" s="55">
        <f>AND(MONTH(AI10)=1,AI9&lt;=47)*SUM($J$23:AH23,$J$13:AH13)*$E$29</f>
        <v>0</v>
      </c>
      <c r="AJ29" s="55">
        <f>AND(MONTH(AJ10)=1,AJ9&lt;=47)*SUM($J$23:AI23,$J$13:AI13)*$E$29</f>
        <v>0</v>
      </c>
      <c r="AK29" s="55">
        <f>AND(MONTH(AK10)=1,AK9&lt;=47)*SUM($J$23:AJ23,$J$13:AJ13)*$E$29</f>
        <v>0</v>
      </c>
      <c r="AL29" s="55">
        <f>AND(MONTH(AL10)=1,AL9&lt;=47)*SUM($J$23:AK23,$J$13:AK13)*$E$29</f>
        <v>0</v>
      </c>
      <c r="AM29" s="55">
        <f>AND(MONTH(AM10)=1,AM9&lt;=47)*SUM($J$23:AL23,$J$13:AL13)*$E$29</f>
        <v>0</v>
      </c>
      <c r="AN29" s="55">
        <f>AND(MONTH(AN10)=1,AN9&lt;=47)*SUM($J$23:AM23,$J$13:AM13)*$E$29</f>
        <v>0</v>
      </c>
      <c r="AO29" s="55">
        <f>AND(MONTH(AO10)=1,AO9&lt;=47)*SUM($J$23:AN23,$J$13:AN13)*$E$29</f>
        <v>0</v>
      </c>
      <c r="AP29" s="55">
        <f>AND(MONTH(AP10)=1,AP9&lt;=47)*SUM($J$23:AO23,$J$13:AO13)*$E$29</f>
        <v>0</v>
      </c>
      <c r="AQ29" s="55">
        <f>AND(MONTH(AQ10)=1,AQ9&lt;=47)*SUM($J$23:AP23,$J$13:AP13)*$E$29</f>
        <v>0</v>
      </c>
      <c r="AR29" s="55">
        <f>AND(MONTH(AR10)=1,AR9&lt;=47)*SUM($J$23:AQ23,$J$13:AQ13)*$E$29</f>
        <v>0</v>
      </c>
      <c r="AS29" s="55">
        <f>AND(MONTH(AS10)=1,AS9&lt;=47)*SUM($J$23:AR23,$J$13:AR13)*$E$29</f>
        <v>0</v>
      </c>
      <c r="AT29" s="55">
        <f>AND(MONTH(AT10)=1,AT9&lt;=47)*SUM($J$23:AS23,$J$13:AS13)*$E$29</f>
        <v>1710634.3398552779</v>
      </c>
      <c r="AU29" s="55">
        <f>AND(MONTH(AU10)=1,AU9&lt;=47)*SUM($J$23:AT23,$J$13:AT13)*$E$29</f>
        <v>0</v>
      </c>
      <c r="AV29" s="55">
        <f>AND(MONTH(AV10)=1,AV9&lt;=47)*SUM($J$23:AU23,$J$13:AU13)*$E$29</f>
        <v>0</v>
      </c>
      <c r="AW29" s="55">
        <f>AND(MONTH(AW10)=1,AW9&lt;=47)*SUM($J$23:AV23,$J$13:AV13)*$E$29</f>
        <v>0</v>
      </c>
      <c r="AX29" s="55">
        <f>AND(MONTH(AX10)=1,AX9&lt;=47)*SUM($J$23:AW23,$J$13:AW13)*$E$29</f>
        <v>0</v>
      </c>
      <c r="AY29" s="55">
        <f>AND(MONTH(AY10)=1,AY9&lt;=47)*SUM($J$23:AX23,$J$13:AX13)*$E$29</f>
        <v>0</v>
      </c>
      <c r="AZ29" s="55">
        <f>AND(MONTH(AZ10)=1,AZ9&lt;=47)*SUM($J$23:AY23,$J$13:AY13)*$E$29</f>
        <v>0</v>
      </c>
      <c r="BA29" s="55">
        <f>AND(MONTH(BA10)=1,BA9&lt;=47)*SUM($J$23:AZ23,$J$13:AZ13)*$E$29</f>
        <v>0</v>
      </c>
      <c r="BB29" s="55">
        <f>AND(MONTH(BB10)=1,BB9&lt;=47)*SUM($J$23:BA23,$J$13:BA13)*$E$29</f>
        <v>0</v>
      </c>
      <c r="BC29" s="55">
        <f>AND(MONTH(BC10)=1,BC9&lt;=47)*SUM($J$23:BB23,$J$13:BB13)*$E$29</f>
        <v>0</v>
      </c>
      <c r="BD29" s="55">
        <f>AND(MONTH(BD10)=1,BD9&lt;=47)*SUM($J$23:BC23,$J$13:BC13)*$E$29</f>
        <v>0</v>
      </c>
      <c r="BE29" s="55">
        <f>AND(MONTH(BE10)=1,BE9&lt;=47)*SUM($J$23:BD23,$J$13:BD13)*$E$29</f>
        <v>0</v>
      </c>
      <c r="BF29" s="55">
        <f>AND(MONTH(BF10)=1,BF9&lt;=47)*SUM($J$23:BE23,$J$13:BE13)*$E$29</f>
        <v>0</v>
      </c>
      <c r="BG29" s="55">
        <f>AND(MONTH(BG10)=1,BG9&lt;=47)*SUM($J$23:BF23,$J$13:BF13)*$E$29</f>
        <v>0</v>
      </c>
      <c r="BH29" s="55">
        <f>AND(MONTH(BH10)=1,BH9&lt;=47)*SUM($J$23:BG23,$J$13:BG13)*$E$29</f>
        <v>0</v>
      </c>
      <c r="BI29" s="55">
        <f>AND(MONTH(BI10)=1,BI9&lt;=47)*SUM($J$23:BH23,$J$13:BH13)*$E$29</f>
        <v>0</v>
      </c>
      <c r="BJ29" s="55">
        <f>AND(MONTH(BJ10)=1,BJ9&lt;=47)*SUM($J$23:BI23,$J$13:BI13)*$E$29</f>
        <v>0</v>
      </c>
      <c r="BK29" s="55">
        <f>AND(MONTH(BK10)=1,BK9&lt;=47)*SUM($J$23:BJ23,$J$13:BJ13)*$E$29</f>
        <v>0</v>
      </c>
      <c r="BL29" s="55">
        <f>AND(MONTH(BL10)=1,BL9&lt;=47)*SUM($J$23:BK23,$J$13:BK13)*$E$29</f>
        <v>0</v>
      </c>
      <c r="BM29" s="55">
        <f>AND(MONTH(BM10)=1,BM9&lt;=47)*SUM($J$23:BL23,$J$13:BL13)*$E$29</f>
        <v>0</v>
      </c>
      <c r="BN29" s="55">
        <f>AND(MONTH(BN10)=1,BN9&lt;=47)*SUM($J$23:BM23,$J$13:BM13)*$E$29</f>
        <v>0</v>
      </c>
      <c r="BO29" s="55">
        <f>AND(MONTH(BO10)=1,BO9&lt;=47)*SUM($J$23:BN23,$J$13:BN13)*$E$29</f>
        <v>0</v>
      </c>
      <c r="BP29" s="55">
        <f>AND(MONTH(BP10)=1,BP9&lt;=47)*SUM($J$23:BO23,$J$13:BO13)*$E$29</f>
        <v>0</v>
      </c>
      <c r="BQ29" s="55">
        <f>AND(MONTH(BQ10)=1,BQ9&lt;=47)*SUM($J$23:BP23,$J$13:BP13)*$E$29</f>
        <v>0</v>
      </c>
      <c r="BR29" s="160">
        <f>AND(MONTH(BR10)=1,BR9&lt;=47)*SUM($J$23:BQ23,$J$13:BQ13)*$E$29</f>
        <v>0</v>
      </c>
      <c r="BS29" s="25"/>
    </row>
    <row r="30" spans="1:71" customFormat="1" x14ac:dyDescent="0.2">
      <c r="A30" s="25"/>
      <c r="B30" s="52"/>
      <c r="C30" s="165"/>
      <c r="D30" s="164"/>
      <c r="E30" s="170" t="s">
        <v>71</v>
      </c>
      <c r="F30" s="169"/>
      <c r="G30" s="169"/>
      <c r="H30" s="168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8"/>
      <c r="BS30" s="25"/>
    </row>
    <row r="31" spans="1:71" customFormat="1" x14ac:dyDescent="0.2">
      <c r="A31" s="25"/>
      <c r="B31" s="52" t="s">
        <v>70</v>
      </c>
      <c r="C31" s="165"/>
      <c r="D31" s="164"/>
      <c r="E31" s="25"/>
      <c r="F31" s="25"/>
      <c r="G31" s="25"/>
      <c r="H31" s="25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8"/>
      <c r="BS31" s="25"/>
    </row>
    <row r="32" spans="1:71" customFormat="1" x14ac:dyDescent="0.2">
      <c r="A32" s="25"/>
      <c r="B32" s="67" t="s">
        <v>69</v>
      </c>
      <c r="C32" s="159">
        <v>3664595.5621545701</v>
      </c>
      <c r="D32" s="163" t="s">
        <v>68</v>
      </c>
      <c r="E32" s="167">
        <v>39</v>
      </c>
      <c r="F32" s="25"/>
      <c r="G32" s="25"/>
      <c r="H32" s="25"/>
      <c r="I32" s="155" t="str">
        <f>IF(ROUND(SUM($J32:$BR32),0)=ROUND(C32,0),"OK","error")</f>
        <v>OK</v>
      </c>
      <c r="J32" s="49"/>
      <c r="K32" s="55">
        <f>(K$9=$E32)*$C32</f>
        <v>0</v>
      </c>
      <c r="L32" s="55">
        <f>(L$9=$E32)*$C32</f>
        <v>0</v>
      </c>
      <c r="M32" s="55">
        <f>(M$9=$E32)*$C32</f>
        <v>0</v>
      </c>
      <c r="N32" s="55">
        <f>(N$9=$E32)*$C32</f>
        <v>0</v>
      </c>
      <c r="O32" s="55">
        <f>(O$9=$E32)*$C32</f>
        <v>0</v>
      </c>
      <c r="P32" s="55">
        <f>(P$9=$E32)*$C32</f>
        <v>0</v>
      </c>
      <c r="Q32" s="55">
        <f>(Q$9=$E32)*$C32</f>
        <v>0</v>
      </c>
      <c r="R32" s="55">
        <f>(R$9=$E32)*$C32</f>
        <v>0</v>
      </c>
      <c r="S32" s="55">
        <f>(S$9=$E32)*$C32</f>
        <v>0</v>
      </c>
      <c r="T32" s="55">
        <f>(T$9=$E32)*$C32</f>
        <v>0</v>
      </c>
      <c r="U32" s="55">
        <f>(U$9=$E32)*$C32</f>
        <v>0</v>
      </c>
      <c r="V32" s="55">
        <f>(V$9=$E32)*$C32</f>
        <v>0</v>
      </c>
      <c r="W32" s="55">
        <f>(W$9=$E32)*$C32</f>
        <v>0</v>
      </c>
      <c r="X32" s="55">
        <f>(X$9=$E32)*$C32</f>
        <v>0</v>
      </c>
      <c r="Y32" s="55">
        <f>(Y$9=$E32)*$C32</f>
        <v>0</v>
      </c>
      <c r="Z32" s="55">
        <f>(Z$9=$E32)*$C32</f>
        <v>0</v>
      </c>
      <c r="AA32" s="55">
        <f>(AA$9=$E32)*$C32</f>
        <v>0</v>
      </c>
      <c r="AB32" s="55">
        <f>(AB$9=$E32)*$C32</f>
        <v>0</v>
      </c>
      <c r="AC32" s="55">
        <f>(AC$9=$E32)*$C32</f>
        <v>0</v>
      </c>
      <c r="AD32" s="55">
        <f>(AD$9=$E32)*$C32</f>
        <v>0</v>
      </c>
      <c r="AE32" s="55">
        <f>(AE$9=$E32)*$C32</f>
        <v>0</v>
      </c>
      <c r="AF32" s="55">
        <f>(AF$9=$E32)*$C32</f>
        <v>0</v>
      </c>
      <c r="AG32" s="55">
        <f>(AG$9=$E32)*$C32</f>
        <v>0</v>
      </c>
      <c r="AH32" s="55">
        <f>(AH$9=$E32)*$C32</f>
        <v>0</v>
      </c>
      <c r="AI32" s="55">
        <f>(AI$9=$E32)*$C32</f>
        <v>0</v>
      </c>
      <c r="AJ32" s="55">
        <f>(AJ$9=$E32)*$C32</f>
        <v>0</v>
      </c>
      <c r="AK32" s="55">
        <f>(AK$9=$E32)*$C32</f>
        <v>0</v>
      </c>
      <c r="AL32" s="55">
        <f>(AL$9=$E32)*$C32</f>
        <v>0</v>
      </c>
      <c r="AM32" s="55">
        <f>(AM$9=$E32)*$C32</f>
        <v>0</v>
      </c>
      <c r="AN32" s="55">
        <f>(AN$9=$E32)*$C32</f>
        <v>0</v>
      </c>
      <c r="AO32" s="55">
        <f>(AO$9=$E32)*$C32</f>
        <v>0</v>
      </c>
      <c r="AP32" s="55">
        <f>(AP$9=$E32)*$C32</f>
        <v>0</v>
      </c>
      <c r="AQ32" s="55">
        <f>(AQ$9=$E32)*$C32</f>
        <v>0</v>
      </c>
      <c r="AR32" s="55">
        <f>(AR$9=$E32)*$C32</f>
        <v>0</v>
      </c>
      <c r="AS32" s="55">
        <f>(AS$9=$E32)*$C32</f>
        <v>0</v>
      </c>
      <c r="AT32" s="55">
        <f>(AT$9=$E32)*$C32</f>
        <v>0</v>
      </c>
      <c r="AU32" s="55">
        <f>(AU$9=$E32)*$C32</f>
        <v>0</v>
      </c>
      <c r="AV32" s="55">
        <f>(AV$9=$E32)*$C32</f>
        <v>0</v>
      </c>
      <c r="AW32" s="55">
        <f>(AW$9=$E32)*$C32</f>
        <v>3664595.5621545701</v>
      </c>
      <c r="AX32" s="55">
        <f>(AX$9=$E32)*$C32</f>
        <v>0</v>
      </c>
      <c r="AY32" s="55">
        <f>(AY$9=$E32)*$C32</f>
        <v>0</v>
      </c>
      <c r="AZ32" s="55">
        <f>(AZ$9=$E32)*$C32</f>
        <v>0</v>
      </c>
      <c r="BA32" s="55">
        <f>(BA$9=$E32)*$C32</f>
        <v>0</v>
      </c>
      <c r="BB32" s="55">
        <f>(BB$9=$E32)*$C32</f>
        <v>0</v>
      </c>
      <c r="BC32" s="55">
        <f>(BC$9=$E32)*$C32</f>
        <v>0</v>
      </c>
      <c r="BD32" s="55">
        <f>(BD$9=$E32)*$C32</f>
        <v>0</v>
      </c>
      <c r="BE32" s="55">
        <f>(BE$9=$E32)*$C32</f>
        <v>0</v>
      </c>
      <c r="BF32" s="55">
        <f>(BF$9=$E32)*$C32</f>
        <v>0</v>
      </c>
      <c r="BG32" s="55">
        <f>(BG$9=$E32)*$C32</f>
        <v>0</v>
      </c>
      <c r="BH32" s="55">
        <f>(BH$9=$E32)*$C32</f>
        <v>0</v>
      </c>
      <c r="BI32" s="55">
        <f>(BI$9=$E32)*$C32</f>
        <v>0</v>
      </c>
      <c r="BJ32" s="55">
        <f>(BJ$9=$E32)*$C32</f>
        <v>0</v>
      </c>
      <c r="BK32" s="55">
        <f>(BK$9=$E32)*$C32</f>
        <v>0</v>
      </c>
      <c r="BL32" s="55">
        <f>(BL$9=$E32)*$C32</f>
        <v>0</v>
      </c>
      <c r="BM32" s="55">
        <f>(BM$9=$E32)*$C32</f>
        <v>0</v>
      </c>
      <c r="BN32" s="55">
        <f>(BN$9=$E32)*$C32</f>
        <v>0</v>
      </c>
      <c r="BO32" s="55">
        <f>(BO$9=$E32)*$C32</f>
        <v>0</v>
      </c>
      <c r="BP32" s="55">
        <f>(BP$9=$E32)*$C32</f>
        <v>0</v>
      </c>
      <c r="BQ32" s="55">
        <f>(BQ$9=$E32)*$C32</f>
        <v>0</v>
      </c>
      <c r="BR32" s="160">
        <f>(BR$9=$E32)*$C32</f>
        <v>0</v>
      </c>
      <c r="BS32" s="25"/>
    </row>
    <row r="33" spans="1:71" customFormat="1" x14ac:dyDescent="0.2">
      <c r="A33" s="25"/>
      <c r="B33" s="67" t="s">
        <v>67</v>
      </c>
      <c r="C33" s="159">
        <v>387568.80000000005</v>
      </c>
      <c r="D33" s="163" t="s">
        <v>65</v>
      </c>
      <c r="E33" s="167">
        <v>16</v>
      </c>
      <c r="F33" s="166">
        <v>25</v>
      </c>
      <c r="G33" s="162">
        <f>F33-E33+1</f>
        <v>10</v>
      </c>
      <c r="H33" s="166">
        <v>10000000</v>
      </c>
      <c r="I33" s="155" t="str">
        <f>IF(ROUND(SUM($J33:$BR33),0)=ROUND(C33,0),"OK","error")</f>
        <v>OK</v>
      </c>
      <c r="J33" s="49"/>
      <c r="K33" s="55">
        <f>(_xlfn.NORM.DIST(AND(K$9&gt;=$E33,K$9&lt;=$F33)*(K$9-$E33+1),$G33/2,$H33,TRUE)-_xlfn.NORM.DIST(AND(K$9&gt;=$E33,K$9&lt;=$F33)*(J$9-$E33+1),$G33/2,$H33,TRUE))/(1-2*_xlfn.NORM.DIST(0,$G33/2,$H33,TRUE))*$C33</f>
        <v>0</v>
      </c>
      <c r="L33" s="55">
        <f>(_xlfn.NORM.DIST(AND(L$9&gt;=$E33,L$9&lt;=$F33)*(L$9-$E33+1),$G33/2,$H33,TRUE)-_xlfn.NORM.DIST(AND(L$9&gt;=$E33,L$9&lt;=$F33)*(K$9-$E33+1),$G33/2,$H33,TRUE))/(1-2*_xlfn.NORM.DIST(0,$G33/2,$H33,TRUE))*$C33</f>
        <v>0</v>
      </c>
      <c r="M33" s="55">
        <f>(_xlfn.NORM.DIST(AND(M$9&gt;=$E33,M$9&lt;=$F33)*(M$9-$E33+1),$G33/2,$H33,TRUE)-_xlfn.NORM.DIST(AND(M$9&gt;=$E33,M$9&lt;=$F33)*(L$9-$E33+1),$G33/2,$H33,TRUE))/(1-2*_xlfn.NORM.DIST(0,$G33/2,$H33,TRUE))*$C33</f>
        <v>0</v>
      </c>
      <c r="N33" s="55">
        <f>(_xlfn.NORM.DIST(AND(N$9&gt;=$E33,N$9&lt;=$F33)*(N$9-$E33+1),$G33/2,$H33,TRUE)-_xlfn.NORM.DIST(AND(N$9&gt;=$E33,N$9&lt;=$F33)*(M$9-$E33+1),$G33/2,$H33,TRUE))/(1-2*_xlfn.NORM.DIST(0,$G33/2,$H33,TRUE))*$C33</f>
        <v>0</v>
      </c>
      <c r="O33" s="55">
        <f>(_xlfn.NORM.DIST(AND(O$9&gt;=$E33,O$9&lt;=$F33)*(O$9-$E33+1),$G33/2,$H33,TRUE)-_xlfn.NORM.DIST(AND(O$9&gt;=$E33,O$9&lt;=$F33)*(N$9-$E33+1),$G33/2,$H33,TRUE))/(1-2*_xlfn.NORM.DIST(0,$G33/2,$H33,TRUE))*$C33</f>
        <v>0</v>
      </c>
      <c r="P33" s="55">
        <f>(_xlfn.NORM.DIST(AND(P$9&gt;=$E33,P$9&lt;=$F33)*(P$9-$E33+1),$G33/2,$H33,TRUE)-_xlfn.NORM.DIST(AND(P$9&gt;=$E33,P$9&lt;=$F33)*(O$9-$E33+1),$G33/2,$H33,TRUE))/(1-2*_xlfn.NORM.DIST(0,$G33/2,$H33,TRUE))*$C33</f>
        <v>0</v>
      </c>
      <c r="Q33" s="55">
        <f>(_xlfn.NORM.DIST(AND(Q$9&gt;=$E33,Q$9&lt;=$F33)*(Q$9-$E33+1),$G33/2,$H33,TRUE)-_xlfn.NORM.DIST(AND(Q$9&gt;=$E33,Q$9&lt;=$F33)*(P$9-$E33+1),$G33/2,$H33,TRUE))/(1-2*_xlfn.NORM.DIST(0,$G33/2,$H33,TRUE))*$C33</f>
        <v>0</v>
      </c>
      <c r="R33" s="55">
        <f>(_xlfn.NORM.DIST(AND(R$9&gt;=$E33,R$9&lt;=$F33)*(R$9-$E33+1),$G33/2,$H33,TRUE)-_xlfn.NORM.DIST(AND(R$9&gt;=$E33,R$9&lt;=$F33)*(Q$9-$E33+1),$G33/2,$H33,TRUE))/(1-2*_xlfn.NORM.DIST(0,$G33/2,$H33,TRUE))*$C33</f>
        <v>0</v>
      </c>
      <c r="S33" s="55">
        <f>(_xlfn.NORM.DIST(AND(S$9&gt;=$E33,S$9&lt;=$F33)*(S$9-$E33+1),$G33/2,$H33,TRUE)-_xlfn.NORM.DIST(AND(S$9&gt;=$E33,S$9&lt;=$F33)*(R$9-$E33+1),$G33/2,$H33,TRUE))/(1-2*_xlfn.NORM.DIST(0,$G33/2,$H33,TRUE))*$C33</f>
        <v>0</v>
      </c>
      <c r="T33" s="55">
        <f>(_xlfn.NORM.DIST(AND(T$9&gt;=$E33,T$9&lt;=$F33)*(T$9-$E33+1),$G33/2,$H33,TRUE)-_xlfn.NORM.DIST(AND(T$9&gt;=$E33,T$9&lt;=$F33)*(S$9-$E33+1),$G33/2,$H33,TRUE))/(1-2*_xlfn.NORM.DIST(0,$G33/2,$H33,TRUE))*$C33</f>
        <v>0</v>
      </c>
      <c r="U33" s="55">
        <f>(_xlfn.NORM.DIST(AND(U$9&gt;=$E33,U$9&lt;=$F33)*(U$9-$E33+1),$G33/2,$H33,TRUE)-_xlfn.NORM.DIST(AND(U$9&gt;=$E33,U$9&lt;=$F33)*(T$9-$E33+1),$G33/2,$H33,TRUE))/(1-2*_xlfn.NORM.DIST(0,$G33/2,$H33,TRUE))*$C33</f>
        <v>0</v>
      </c>
      <c r="V33" s="55">
        <f>(_xlfn.NORM.DIST(AND(V$9&gt;=$E33,V$9&lt;=$F33)*(V$9-$E33+1),$G33/2,$H33,TRUE)-_xlfn.NORM.DIST(AND(V$9&gt;=$E33,V$9&lt;=$F33)*(U$9-$E33+1),$G33/2,$H33,TRUE))/(1-2*_xlfn.NORM.DIST(0,$G33/2,$H33,TRUE))*$C33</f>
        <v>0</v>
      </c>
      <c r="W33" s="55">
        <f>(_xlfn.NORM.DIST(AND(W$9&gt;=$E33,W$9&lt;=$F33)*(W$9-$E33+1),$G33/2,$H33,TRUE)-_xlfn.NORM.DIST(AND(W$9&gt;=$E33,W$9&lt;=$F33)*(V$9-$E33+1),$G33/2,$H33,TRUE))/(1-2*_xlfn.NORM.DIST(0,$G33/2,$H33,TRUE))*$C33</f>
        <v>0</v>
      </c>
      <c r="X33" s="55">
        <f>(_xlfn.NORM.DIST(AND(X$9&gt;=$E33,X$9&lt;=$F33)*(X$9-$E33+1),$G33/2,$H33,TRUE)-_xlfn.NORM.DIST(AND(X$9&gt;=$E33,X$9&lt;=$F33)*(W$9-$E33+1),$G33/2,$H33,TRUE))/(1-2*_xlfn.NORM.DIST(0,$G33/2,$H33,TRUE))*$C33</f>
        <v>0</v>
      </c>
      <c r="Y33" s="55">
        <f>(_xlfn.NORM.DIST(AND(Y$9&gt;=$E33,Y$9&lt;=$F33)*(Y$9-$E33+1),$G33/2,$H33,TRUE)-_xlfn.NORM.DIST(AND(Y$9&gt;=$E33,Y$9&lt;=$F33)*(X$9-$E33+1),$G33/2,$H33,TRUE))/(1-2*_xlfn.NORM.DIST(0,$G33/2,$H33,TRUE))*$C33</f>
        <v>0</v>
      </c>
      <c r="Z33" s="55">
        <f>(_xlfn.NORM.DIST(AND(Z$9&gt;=$E33,Z$9&lt;=$F33)*(Z$9-$E33+1),$G33/2,$H33,TRUE)-_xlfn.NORM.DIST(AND(Z$9&gt;=$E33,Z$9&lt;=$F33)*(Y$9-$E33+1),$G33/2,$H33,TRUE))/(1-2*_xlfn.NORM.DIST(0,$G33/2,$H33,TRUE))*$C33</f>
        <v>38756.879989214292</v>
      </c>
      <c r="AA33" s="55">
        <f>(_xlfn.NORM.DIST(AND(AA$9&gt;=$E33,AA$9&lt;=$F33)*(AA$9-$E33+1),$G33/2,$H33,TRUE)-_xlfn.NORM.DIST(AND(AA$9&gt;=$E33,AA$9&lt;=$F33)*(Z$9-$E33+1),$G33/2,$H33,TRUE))/(1-2*_xlfn.NORM.DIST(0,$G33/2,$H33,TRUE))*$C33</f>
        <v>38756.880043142868</v>
      </c>
      <c r="AB33" s="55">
        <f>(_xlfn.NORM.DIST(AND(AB$9&gt;=$E33,AB$9&lt;=$F33)*(AB$9-$E33+1),$G33/2,$H33,TRUE)-_xlfn.NORM.DIST(AND(AB$9&gt;=$E33,AB$9&lt;=$F33)*(AA$9-$E33+1),$G33/2,$H33,TRUE))/(1-2*_xlfn.NORM.DIST(0,$G33/2,$H33,TRUE))*$C33</f>
        <v>38756.879989214292</v>
      </c>
      <c r="AC33" s="55">
        <f>(_xlfn.NORM.DIST(AND(AC$9&gt;=$E33,AC$9&lt;=$F33)*(AC$9-$E33+1),$G33/2,$H33,TRUE)-_xlfn.NORM.DIST(AND(AC$9&gt;=$E33,AC$9&lt;=$F33)*(AB$9-$E33+1),$G33/2,$H33,TRUE))/(1-2*_xlfn.NORM.DIST(0,$G33/2,$H33,TRUE))*$C33</f>
        <v>38756.879989214292</v>
      </c>
      <c r="AD33" s="55">
        <f>(_xlfn.NORM.DIST(AND(AD$9&gt;=$E33,AD$9&lt;=$F33)*(AD$9-$E33+1),$G33/2,$H33,TRUE)-_xlfn.NORM.DIST(AND(AD$9&gt;=$E33,AD$9&lt;=$F33)*(AC$9-$E33+1),$G33/2,$H33,TRUE))/(1-2*_xlfn.NORM.DIST(0,$G33/2,$H33,TRUE))*$C33</f>
        <v>38756.879989214292</v>
      </c>
      <c r="AE33" s="55">
        <f>(_xlfn.NORM.DIST(AND(AE$9&gt;=$E33,AE$9&lt;=$F33)*(AE$9-$E33+1),$G33/2,$H33,TRUE)-_xlfn.NORM.DIST(AND(AE$9&gt;=$E33,AE$9&lt;=$F33)*(AD$9-$E33+1),$G33/2,$H33,TRUE))/(1-2*_xlfn.NORM.DIST(0,$G33/2,$H33,TRUE))*$C33</f>
        <v>38756.879989214292</v>
      </c>
      <c r="AF33" s="55">
        <f>(_xlfn.NORM.DIST(AND(AF$9&gt;=$E33,AF$9&lt;=$F33)*(AF$9-$E33+1),$G33/2,$H33,TRUE)-_xlfn.NORM.DIST(AND(AF$9&gt;=$E33,AF$9&lt;=$F33)*(AE$9-$E33+1),$G33/2,$H33,TRUE))/(1-2*_xlfn.NORM.DIST(0,$G33/2,$H33,TRUE))*$C33</f>
        <v>38756.879989214292</v>
      </c>
      <c r="AG33" s="55">
        <f>(_xlfn.NORM.DIST(AND(AG$9&gt;=$E33,AG$9&lt;=$F33)*(AG$9-$E33+1),$G33/2,$H33,TRUE)-_xlfn.NORM.DIST(AND(AG$9&gt;=$E33,AG$9&lt;=$F33)*(AF$9-$E33+1),$G33/2,$H33,TRUE))/(1-2*_xlfn.NORM.DIST(0,$G33/2,$H33,TRUE))*$C33</f>
        <v>38756.879989214292</v>
      </c>
      <c r="AH33" s="55">
        <f>(_xlfn.NORM.DIST(AND(AH$9&gt;=$E33,AH$9&lt;=$F33)*(AH$9-$E33+1),$G33/2,$H33,TRUE)-_xlfn.NORM.DIST(AND(AH$9&gt;=$E33,AH$9&lt;=$F33)*(AG$9-$E33+1),$G33/2,$H33,TRUE))/(1-2*_xlfn.NORM.DIST(0,$G33/2,$H33,TRUE))*$C33</f>
        <v>38756.879989214292</v>
      </c>
      <c r="AI33" s="55">
        <f>(_xlfn.NORM.DIST(AND(AI$9&gt;=$E33,AI$9&lt;=$F33)*(AI$9-$E33+1),$G33/2,$H33,TRUE)-_xlfn.NORM.DIST(AND(AI$9&gt;=$E33,AI$9&lt;=$F33)*(AH$9-$E33+1),$G33/2,$H33,TRUE))/(1-2*_xlfn.NORM.DIST(0,$G33/2,$H33,TRUE))*$C33</f>
        <v>38756.880097071444</v>
      </c>
      <c r="AJ33" s="55">
        <f>(_xlfn.NORM.DIST(AND(AJ$9&gt;=$E33,AJ$9&lt;=$F33)*(AJ$9-$E33+1),$G33/2,$H33,TRUE)-_xlfn.NORM.DIST(AND(AJ$9&gt;=$E33,AJ$9&lt;=$F33)*(AI$9-$E33+1),$G33/2,$H33,TRUE))/(1-2*_xlfn.NORM.DIST(0,$G33/2,$H33,TRUE))*$C33</f>
        <v>0</v>
      </c>
      <c r="AK33" s="55">
        <f>(_xlfn.NORM.DIST(AND(AK$9&gt;=$E33,AK$9&lt;=$F33)*(AK$9-$E33+1),$G33/2,$H33,TRUE)-_xlfn.NORM.DIST(AND(AK$9&gt;=$E33,AK$9&lt;=$F33)*(AJ$9-$E33+1),$G33/2,$H33,TRUE))/(1-2*_xlfn.NORM.DIST(0,$G33/2,$H33,TRUE))*$C33</f>
        <v>0</v>
      </c>
      <c r="AL33" s="55">
        <f>(_xlfn.NORM.DIST(AND(AL$9&gt;=$E33,AL$9&lt;=$F33)*(AL$9-$E33+1),$G33/2,$H33,TRUE)-_xlfn.NORM.DIST(AND(AL$9&gt;=$E33,AL$9&lt;=$F33)*(AK$9-$E33+1),$G33/2,$H33,TRUE))/(1-2*_xlfn.NORM.DIST(0,$G33/2,$H33,TRUE))*$C33</f>
        <v>0</v>
      </c>
      <c r="AM33" s="55">
        <f>(_xlfn.NORM.DIST(AND(AM$9&gt;=$E33,AM$9&lt;=$F33)*(AM$9-$E33+1),$G33/2,$H33,TRUE)-_xlfn.NORM.DIST(AND(AM$9&gt;=$E33,AM$9&lt;=$F33)*(AL$9-$E33+1),$G33/2,$H33,TRUE))/(1-2*_xlfn.NORM.DIST(0,$G33/2,$H33,TRUE))*$C33</f>
        <v>0</v>
      </c>
      <c r="AN33" s="55">
        <f>(_xlfn.NORM.DIST(AND(AN$9&gt;=$E33,AN$9&lt;=$F33)*(AN$9-$E33+1),$G33/2,$H33,TRUE)-_xlfn.NORM.DIST(AND(AN$9&gt;=$E33,AN$9&lt;=$F33)*(AM$9-$E33+1),$G33/2,$H33,TRUE))/(1-2*_xlfn.NORM.DIST(0,$G33/2,$H33,TRUE))*$C33</f>
        <v>0</v>
      </c>
      <c r="AO33" s="55">
        <f>(_xlfn.NORM.DIST(AND(AO$9&gt;=$E33,AO$9&lt;=$F33)*(AO$9-$E33+1),$G33/2,$H33,TRUE)-_xlfn.NORM.DIST(AND(AO$9&gt;=$E33,AO$9&lt;=$F33)*(AN$9-$E33+1),$G33/2,$H33,TRUE))/(1-2*_xlfn.NORM.DIST(0,$G33/2,$H33,TRUE))*$C33</f>
        <v>0</v>
      </c>
      <c r="AP33" s="55">
        <f>(_xlfn.NORM.DIST(AND(AP$9&gt;=$E33,AP$9&lt;=$F33)*(AP$9-$E33+1),$G33/2,$H33,TRUE)-_xlfn.NORM.DIST(AND(AP$9&gt;=$E33,AP$9&lt;=$F33)*(AO$9-$E33+1),$G33/2,$H33,TRUE))/(1-2*_xlfn.NORM.DIST(0,$G33/2,$H33,TRUE))*$C33</f>
        <v>0</v>
      </c>
      <c r="AQ33" s="55">
        <f>(_xlfn.NORM.DIST(AND(AQ$9&gt;=$E33,AQ$9&lt;=$F33)*(AQ$9-$E33+1),$G33/2,$H33,TRUE)-_xlfn.NORM.DIST(AND(AQ$9&gt;=$E33,AQ$9&lt;=$F33)*(AP$9-$E33+1),$G33/2,$H33,TRUE))/(1-2*_xlfn.NORM.DIST(0,$G33/2,$H33,TRUE))*$C33</f>
        <v>0</v>
      </c>
      <c r="AR33" s="55">
        <f>(_xlfn.NORM.DIST(AND(AR$9&gt;=$E33,AR$9&lt;=$F33)*(AR$9-$E33+1),$G33/2,$H33,TRUE)-_xlfn.NORM.DIST(AND(AR$9&gt;=$E33,AR$9&lt;=$F33)*(AQ$9-$E33+1),$G33/2,$H33,TRUE))/(1-2*_xlfn.NORM.DIST(0,$G33/2,$H33,TRUE))*$C33</f>
        <v>0</v>
      </c>
      <c r="AS33" s="55">
        <f>(_xlfn.NORM.DIST(AND(AS$9&gt;=$E33,AS$9&lt;=$F33)*(AS$9-$E33+1),$G33/2,$H33,TRUE)-_xlfn.NORM.DIST(AND(AS$9&gt;=$E33,AS$9&lt;=$F33)*(AR$9-$E33+1),$G33/2,$H33,TRUE))/(1-2*_xlfn.NORM.DIST(0,$G33/2,$H33,TRUE))*$C33</f>
        <v>0</v>
      </c>
      <c r="AT33" s="55">
        <f>(_xlfn.NORM.DIST(AND(AT$9&gt;=$E33,AT$9&lt;=$F33)*(AT$9-$E33+1),$G33/2,$H33,TRUE)-_xlfn.NORM.DIST(AND(AT$9&gt;=$E33,AT$9&lt;=$F33)*(AS$9-$E33+1),$G33/2,$H33,TRUE))/(1-2*_xlfn.NORM.DIST(0,$G33/2,$H33,TRUE))*$C33</f>
        <v>0</v>
      </c>
      <c r="AU33" s="55">
        <f>(_xlfn.NORM.DIST(AND(AU$9&gt;=$E33,AU$9&lt;=$F33)*(AU$9-$E33+1),$G33/2,$H33,TRUE)-_xlfn.NORM.DIST(AND(AU$9&gt;=$E33,AU$9&lt;=$F33)*(AT$9-$E33+1),$G33/2,$H33,TRUE))/(1-2*_xlfn.NORM.DIST(0,$G33/2,$H33,TRUE))*$C33</f>
        <v>0</v>
      </c>
      <c r="AV33" s="55">
        <f>(_xlfn.NORM.DIST(AND(AV$9&gt;=$E33,AV$9&lt;=$F33)*(AV$9-$E33+1),$G33/2,$H33,TRUE)-_xlfn.NORM.DIST(AND(AV$9&gt;=$E33,AV$9&lt;=$F33)*(AU$9-$E33+1),$G33/2,$H33,TRUE))/(1-2*_xlfn.NORM.DIST(0,$G33/2,$H33,TRUE))*$C33</f>
        <v>0</v>
      </c>
      <c r="AW33" s="55">
        <f>(_xlfn.NORM.DIST(AND(AW$9&gt;=$E33,AW$9&lt;=$F33)*(AW$9-$E33+1),$G33/2,$H33,TRUE)-_xlfn.NORM.DIST(AND(AW$9&gt;=$E33,AW$9&lt;=$F33)*(AV$9-$E33+1),$G33/2,$H33,TRUE))/(1-2*_xlfn.NORM.DIST(0,$G33/2,$H33,TRUE))*$C33</f>
        <v>0</v>
      </c>
      <c r="AX33" s="55">
        <f>(_xlfn.NORM.DIST(AND(AX$9&gt;=$E33,AX$9&lt;=$F33)*(AX$9-$E33+1),$G33/2,$H33,TRUE)-_xlfn.NORM.DIST(AND(AX$9&gt;=$E33,AX$9&lt;=$F33)*(AW$9-$E33+1),$G33/2,$H33,TRUE))/(1-2*_xlfn.NORM.DIST(0,$G33/2,$H33,TRUE))*$C33</f>
        <v>0</v>
      </c>
      <c r="AY33" s="55">
        <f>(_xlfn.NORM.DIST(AND(AY$9&gt;=$E33,AY$9&lt;=$F33)*(AY$9-$E33+1),$G33/2,$H33,TRUE)-_xlfn.NORM.DIST(AND(AY$9&gt;=$E33,AY$9&lt;=$F33)*(AX$9-$E33+1),$G33/2,$H33,TRUE))/(1-2*_xlfn.NORM.DIST(0,$G33/2,$H33,TRUE))*$C33</f>
        <v>0</v>
      </c>
      <c r="AZ33" s="55">
        <f>(_xlfn.NORM.DIST(AND(AZ$9&gt;=$E33,AZ$9&lt;=$F33)*(AZ$9-$E33+1),$G33/2,$H33,TRUE)-_xlfn.NORM.DIST(AND(AZ$9&gt;=$E33,AZ$9&lt;=$F33)*(AY$9-$E33+1),$G33/2,$H33,TRUE))/(1-2*_xlfn.NORM.DIST(0,$G33/2,$H33,TRUE))*$C33</f>
        <v>0</v>
      </c>
      <c r="BA33" s="55">
        <f>(_xlfn.NORM.DIST(AND(BA$9&gt;=$E33,BA$9&lt;=$F33)*(BA$9-$E33+1),$G33/2,$H33,TRUE)-_xlfn.NORM.DIST(AND(BA$9&gt;=$E33,BA$9&lt;=$F33)*(AZ$9-$E33+1),$G33/2,$H33,TRUE))/(1-2*_xlfn.NORM.DIST(0,$G33/2,$H33,TRUE))*$C33</f>
        <v>0</v>
      </c>
      <c r="BB33" s="55">
        <f>(_xlfn.NORM.DIST(AND(BB$9&gt;=$E33,BB$9&lt;=$F33)*(BB$9-$E33+1),$G33/2,$H33,TRUE)-_xlfn.NORM.DIST(AND(BB$9&gt;=$E33,BB$9&lt;=$F33)*(BA$9-$E33+1),$G33/2,$H33,TRUE))/(1-2*_xlfn.NORM.DIST(0,$G33/2,$H33,TRUE))*$C33</f>
        <v>0</v>
      </c>
      <c r="BC33" s="55">
        <f>(_xlfn.NORM.DIST(AND(BC$9&gt;=$E33,BC$9&lt;=$F33)*(BC$9-$E33+1),$G33/2,$H33,TRUE)-_xlfn.NORM.DIST(AND(BC$9&gt;=$E33,BC$9&lt;=$F33)*(BB$9-$E33+1),$G33/2,$H33,TRUE))/(1-2*_xlfn.NORM.DIST(0,$G33/2,$H33,TRUE))*$C33</f>
        <v>0</v>
      </c>
      <c r="BD33" s="55">
        <f>(_xlfn.NORM.DIST(AND(BD$9&gt;=$E33,BD$9&lt;=$F33)*(BD$9-$E33+1),$G33/2,$H33,TRUE)-_xlfn.NORM.DIST(AND(BD$9&gt;=$E33,BD$9&lt;=$F33)*(BC$9-$E33+1),$G33/2,$H33,TRUE))/(1-2*_xlfn.NORM.DIST(0,$G33/2,$H33,TRUE))*$C33</f>
        <v>0</v>
      </c>
      <c r="BE33" s="55">
        <f>(_xlfn.NORM.DIST(AND(BE$9&gt;=$E33,BE$9&lt;=$F33)*(BE$9-$E33+1),$G33/2,$H33,TRUE)-_xlfn.NORM.DIST(AND(BE$9&gt;=$E33,BE$9&lt;=$F33)*(BD$9-$E33+1),$G33/2,$H33,TRUE))/(1-2*_xlfn.NORM.DIST(0,$G33/2,$H33,TRUE))*$C33</f>
        <v>0</v>
      </c>
      <c r="BF33" s="55">
        <f>(_xlfn.NORM.DIST(AND(BF$9&gt;=$E33,BF$9&lt;=$F33)*(BF$9-$E33+1),$G33/2,$H33,TRUE)-_xlfn.NORM.DIST(AND(BF$9&gt;=$E33,BF$9&lt;=$F33)*(BE$9-$E33+1),$G33/2,$H33,TRUE))/(1-2*_xlfn.NORM.DIST(0,$G33/2,$H33,TRUE))*$C33</f>
        <v>0</v>
      </c>
      <c r="BG33" s="55">
        <f>(_xlfn.NORM.DIST(AND(BG$9&gt;=$E33,BG$9&lt;=$F33)*(BG$9-$E33+1),$G33/2,$H33,TRUE)-_xlfn.NORM.DIST(AND(BG$9&gt;=$E33,BG$9&lt;=$F33)*(BF$9-$E33+1),$G33/2,$H33,TRUE))/(1-2*_xlfn.NORM.DIST(0,$G33/2,$H33,TRUE))*$C33</f>
        <v>0</v>
      </c>
      <c r="BH33" s="55">
        <f>(_xlfn.NORM.DIST(AND(BH$9&gt;=$E33,BH$9&lt;=$F33)*(BH$9-$E33+1),$G33/2,$H33,TRUE)-_xlfn.NORM.DIST(AND(BH$9&gt;=$E33,BH$9&lt;=$F33)*(BG$9-$E33+1),$G33/2,$H33,TRUE))/(1-2*_xlfn.NORM.DIST(0,$G33/2,$H33,TRUE))*$C33</f>
        <v>0</v>
      </c>
      <c r="BI33" s="55">
        <f>(_xlfn.NORM.DIST(AND(BI$9&gt;=$E33,BI$9&lt;=$F33)*(BI$9-$E33+1),$G33/2,$H33,TRUE)-_xlfn.NORM.DIST(AND(BI$9&gt;=$E33,BI$9&lt;=$F33)*(BH$9-$E33+1),$G33/2,$H33,TRUE))/(1-2*_xlfn.NORM.DIST(0,$G33/2,$H33,TRUE))*$C33</f>
        <v>0</v>
      </c>
      <c r="BJ33" s="55">
        <f>(_xlfn.NORM.DIST(AND(BJ$9&gt;=$E33,BJ$9&lt;=$F33)*(BJ$9-$E33+1),$G33/2,$H33,TRUE)-_xlfn.NORM.DIST(AND(BJ$9&gt;=$E33,BJ$9&lt;=$F33)*(BI$9-$E33+1),$G33/2,$H33,TRUE))/(1-2*_xlfn.NORM.DIST(0,$G33/2,$H33,TRUE))*$C33</f>
        <v>0</v>
      </c>
      <c r="BK33" s="55">
        <f>(_xlfn.NORM.DIST(AND(BK$9&gt;=$E33,BK$9&lt;=$F33)*(BK$9-$E33+1),$G33/2,$H33,TRUE)-_xlfn.NORM.DIST(AND(BK$9&gt;=$E33,BK$9&lt;=$F33)*(BJ$9-$E33+1),$G33/2,$H33,TRUE))/(1-2*_xlfn.NORM.DIST(0,$G33/2,$H33,TRUE))*$C33</f>
        <v>0</v>
      </c>
      <c r="BL33" s="55">
        <f>(_xlfn.NORM.DIST(AND(BL$9&gt;=$E33,BL$9&lt;=$F33)*(BL$9-$E33+1),$G33/2,$H33,TRUE)-_xlfn.NORM.DIST(AND(BL$9&gt;=$E33,BL$9&lt;=$F33)*(BK$9-$E33+1),$G33/2,$H33,TRUE))/(1-2*_xlfn.NORM.DIST(0,$G33/2,$H33,TRUE))*$C33</f>
        <v>0</v>
      </c>
      <c r="BM33" s="55">
        <f>(_xlfn.NORM.DIST(AND(BM$9&gt;=$E33,BM$9&lt;=$F33)*(BM$9-$E33+1),$G33/2,$H33,TRUE)-_xlfn.NORM.DIST(AND(BM$9&gt;=$E33,BM$9&lt;=$F33)*(BL$9-$E33+1),$G33/2,$H33,TRUE))/(1-2*_xlfn.NORM.DIST(0,$G33/2,$H33,TRUE))*$C33</f>
        <v>0</v>
      </c>
      <c r="BN33" s="55">
        <f>(_xlfn.NORM.DIST(AND(BN$9&gt;=$E33,BN$9&lt;=$F33)*(BN$9-$E33+1),$G33/2,$H33,TRUE)-_xlfn.NORM.DIST(AND(BN$9&gt;=$E33,BN$9&lt;=$F33)*(BM$9-$E33+1),$G33/2,$H33,TRUE))/(1-2*_xlfn.NORM.DIST(0,$G33/2,$H33,TRUE))*$C33</f>
        <v>0</v>
      </c>
      <c r="BO33" s="55">
        <f>(_xlfn.NORM.DIST(AND(BO$9&gt;=$E33,BO$9&lt;=$F33)*(BO$9-$E33+1),$G33/2,$H33,TRUE)-_xlfn.NORM.DIST(AND(BO$9&gt;=$E33,BO$9&lt;=$F33)*(BN$9-$E33+1),$G33/2,$H33,TRUE))/(1-2*_xlfn.NORM.DIST(0,$G33/2,$H33,TRUE))*$C33</f>
        <v>0</v>
      </c>
      <c r="BP33" s="55">
        <f>(_xlfn.NORM.DIST(AND(BP$9&gt;=$E33,BP$9&lt;=$F33)*(BP$9-$E33+1),$G33/2,$H33,TRUE)-_xlfn.NORM.DIST(AND(BP$9&gt;=$E33,BP$9&lt;=$F33)*(BO$9-$E33+1),$G33/2,$H33,TRUE))/(1-2*_xlfn.NORM.DIST(0,$G33/2,$H33,TRUE))*$C33</f>
        <v>0</v>
      </c>
      <c r="BQ33" s="55">
        <f>(_xlfn.NORM.DIST(AND(BQ$9&gt;=$E33,BQ$9&lt;=$F33)*(BQ$9-$E33+1),$G33/2,$H33,TRUE)-_xlfn.NORM.DIST(AND(BQ$9&gt;=$E33,BQ$9&lt;=$F33)*(BP$9-$E33+1),$G33/2,$H33,TRUE))/(1-2*_xlfn.NORM.DIST(0,$G33/2,$H33,TRUE))*$C33</f>
        <v>0</v>
      </c>
      <c r="BR33" s="160">
        <f>(_xlfn.NORM.DIST(AND(BR$9&gt;=$E33,BR$9&lt;=$F33)*(BR$9-$E33+1),$G33/2,$H33,TRUE)-_xlfn.NORM.DIST(AND(BR$9&gt;=$E33,BR$9&lt;=$F33)*(BQ$9-$E33+1),$G33/2,$H33,TRUE))/(1-2*_xlfn.NORM.DIST(0,$G33/2,$H33,TRUE))*$C33</f>
        <v>0</v>
      </c>
      <c r="BS33" s="25"/>
    </row>
    <row r="34" spans="1:71" customFormat="1" x14ac:dyDescent="0.2">
      <c r="A34" s="25"/>
      <c r="B34" s="52"/>
      <c r="C34" s="165"/>
      <c r="D34" s="164"/>
      <c r="E34" s="25"/>
      <c r="F34" s="25"/>
      <c r="G34" s="162"/>
      <c r="H34" s="25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8"/>
      <c r="BS34" s="25"/>
    </row>
    <row r="35" spans="1:71" customFormat="1" x14ac:dyDescent="0.2">
      <c r="A35" s="25"/>
      <c r="B35" s="52" t="s">
        <v>66</v>
      </c>
      <c r="C35" s="159">
        <v>2556802.3308646372</v>
      </c>
      <c r="D35" s="163" t="s">
        <v>65</v>
      </c>
      <c r="E35" s="167">
        <v>1</v>
      </c>
      <c r="F35" s="167">
        <v>39</v>
      </c>
      <c r="G35" s="162">
        <f>F35-E35+1</f>
        <v>39</v>
      </c>
      <c r="H35" s="166">
        <v>10000000</v>
      </c>
      <c r="I35" s="155" t="str">
        <f>IF(ROUND(SUM($J35:$BR35),0)=ROUND(C35,0),"OK","error")</f>
        <v>OK</v>
      </c>
      <c r="J35" s="49"/>
      <c r="K35" s="55">
        <f>(_xlfn.NORM.DIST(AND(K$9&gt;=$E35,K$9&lt;=$F35)*(K$9-$E35+1),$G35/2,$H35,TRUE)-_xlfn.NORM.DIST(AND(K$9&gt;=$E35,K$9&lt;=$F35)*(J$9-$E35+1),$G35/2,$H35,TRUE))/(1-2*_xlfn.NORM.DIST(0,$G35/2,$H35,TRUE))*$C35</f>
        <v>65559.034110700028</v>
      </c>
      <c r="L35" s="55">
        <f>(_xlfn.NORM.DIST(AND(L$9&gt;=$E35,L$9&lt;=$F35)*(L$9-$E35+1),$G35/2,$H35,TRUE)-_xlfn.NORM.DIST(AND(L$9&gt;=$E35,L$9&lt;=$F35)*(K$9-$E35+1),$G35/2,$H35,TRUE))/(1-2*_xlfn.NORM.DIST(0,$G35/2,$H35,TRUE))*$C35</f>
        <v>65559.034110700028</v>
      </c>
      <c r="M35" s="55">
        <f>(_xlfn.NORM.DIST(AND(M$9&gt;=$E35,M$9&lt;=$F35)*(M$9-$E35+1),$G35/2,$H35,TRUE)-_xlfn.NORM.DIST(AND(M$9&gt;=$E35,M$9&lt;=$F35)*(L$9-$E35+1),$G35/2,$H35,TRUE))/(1-2*_xlfn.NORM.DIST(0,$G35/2,$H35,TRUE))*$C35</f>
        <v>65559.034201922696</v>
      </c>
      <c r="N35" s="55">
        <f>(_xlfn.NORM.DIST(AND(N$9&gt;=$E35,N$9&lt;=$F35)*(N$9-$E35+1),$G35/2,$H35,TRUE)-_xlfn.NORM.DIST(AND(N$9&gt;=$E35,N$9&lt;=$F35)*(M$9-$E35+1),$G35/2,$H35,TRUE))/(1-2*_xlfn.NORM.DIST(0,$G35/2,$H35,TRUE))*$C35</f>
        <v>65559.034110700028</v>
      </c>
      <c r="O35" s="55">
        <f>(_xlfn.NORM.DIST(AND(O$9&gt;=$E35,O$9&lt;=$F35)*(O$9-$E35+1),$G35/2,$H35,TRUE)-_xlfn.NORM.DIST(AND(O$9&gt;=$E35,O$9&lt;=$F35)*(N$9-$E35+1),$G35/2,$H35,TRUE))/(1-2*_xlfn.NORM.DIST(0,$G35/2,$H35,TRUE))*$C35</f>
        <v>65559.034110700028</v>
      </c>
      <c r="P35" s="55">
        <f>(_xlfn.NORM.DIST(AND(P$9&gt;=$E35,P$9&lt;=$F35)*(P$9-$E35+1),$G35/2,$H35,TRUE)-_xlfn.NORM.DIST(AND(P$9&gt;=$E35,P$9&lt;=$F35)*(O$9-$E35+1),$G35/2,$H35,TRUE))/(1-2*_xlfn.NORM.DIST(0,$G35/2,$H35,TRUE))*$C35</f>
        <v>65559.034110700028</v>
      </c>
      <c r="Q35" s="55">
        <f>(_xlfn.NORM.DIST(AND(Q$9&gt;=$E35,Q$9&lt;=$F35)*(Q$9-$E35+1),$G35/2,$H35,TRUE)-_xlfn.NORM.DIST(AND(Q$9&gt;=$E35,Q$9&lt;=$F35)*(P$9-$E35+1),$G35/2,$H35,TRUE))/(1-2*_xlfn.NORM.DIST(0,$G35/2,$H35,TRUE))*$C35</f>
        <v>65559.034110700028</v>
      </c>
      <c r="R35" s="55">
        <f>(_xlfn.NORM.DIST(AND(R$9&gt;=$E35,R$9&lt;=$F35)*(R$9-$E35+1),$G35/2,$H35,TRUE)-_xlfn.NORM.DIST(AND(R$9&gt;=$E35,R$9&lt;=$F35)*(Q$9-$E35+1),$G35/2,$H35,TRUE))/(1-2*_xlfn.NORM.DIST(0,$G35/2,$H35,TRUE))*$C35</f>
        <v>65559.034110700028</v>
      </c>
      <c r="S35" s="55">
        <f>(_xlfn.NORM.DIST(AND(S$9&gt;=$E35,S$9&lt;=$F35)*(S$9-$E35+1),$G35/2,$H35,TRUE)-_xlfn.NORM.DIST(AND(S$9&gt;=$E35,S$9&lt;=$F35)*(R$9-$E35+1),$G35/2,$H35,TRUE))/(1-2*_xlfn.NORM.DIST(0,$G35/2,$H35,TRUE))*$C35</f>
        <v>65559.034110700028</v>
      </c>
      <c r="T35" s="55">
        <f>(_xlfn.NORM.DIST(AND(T$9&gt;=$E35,T$9&lt;=$F35)*(T$9-$E35+1),$G35/2,$H35,TRUE)-_xlfn.NORM.DIST(AND(T$9&gt;=$E35,T$9&lt;=$F35)*(S$9-$E35+1),$G35/2,$H35,TRUE))/(1-2*_xlfn.NORM.DIST(0,$G35/2,$H35,TRUE))*$C35</f>
        <v>65559.034201922696</v>
      </c>
      <c r="U35" s="55">
        <f>(_xlfn.NORM.DIST(AND(U$9&gt;=$E35,U$9&lt;=$F35)*(U$9-$E35+1),$G35/2,$H35,TRUE)-_xlfn.NORM.DIST(AND(U$9&gt;=$E35,U$9&lt;=$F35)*(T$9-$E35+1),$G35/2,$H35,TRUE))/(1-2*_xlfn.NORM.DIST(0,$G35/2,$H35,TRUE))*$C35</f>
        <v>65559.034110700028</v>
      </c>
      <c r="V35" s="55">
        <f>(_xlfn.NORM.DIST(AND(V$9&gt;=$E35,V$9&lt;=$F35)*(V$9-$E35+1),$G35/2,$H35,TRUE)-_xlfn.NORM.DIST(AND(V$9&gt;=$E35,V$9&lt;=$F35)*(U$9-$E35+1),$G35/2,$H35,TRUE))/(1-2*_xlfn.NORM.DIST(0,$G35/2,$H35,TRUE))*$C35</f>
        <v>65559.034110700028</v>
      </c>
      <c r="W35" s="55">
        <f>(_xlfn.NORM.DIST(AND(W$9&gt;=$E35,W$9&lt;=$F35)*(W$9-$E35+1),$G35/2,$H35,TRUE)-_xlfn.NORM.DIST(AND(W$9&gt;=$E35,W$9&lt;=$F35)*(V$9-$E35+1),$G35/2,$H35,TRUE))/(1-2*_xlfn.NORM.DIST(0,$G35/2,$H35,TRUE))*$C35</f>
        <v>65559.034110700028</v>
      </c>
      <c r="X35" s="55">
        <f>(_xlfn.NORM.DIST(AND(X$9&gt;=$E35,X$9&lt;=$F35)*(X$9-$E35+1),$G35/2,$H35,TRUE)-_xlfn.NORM.DIST(AND(X$9&gt;=$E35,X$9&lt;=$F35)*(W$9-$E35+1),$G35/2,$H35,TRUE))/(1-2*_xlfn.NORM.DIST(0,$G35/2,$H35,TRUE))*$C35</f>
        <v>65559.034110700028</v>
      </c>
      <c r="Y35" s="55">
        <f>(_xlfn.NORM.DIST(AND(Y$9&gt;=$E35,Y$9&lt;=$F35)*(Y$9-$E35+1),$G35/2,$H35,TRUE)-_xlfn.NORM.DIST(AND(Y$9&gt;=$E35,Y$9&lt;=$F35)*(X$9-$E35+1),$G35/2,$H35,TRUE))/(1-2*_xlfn.NORM.DIST(0,$G35/2,$H35,TRUE))*$C35</f>
        <v>65559.034110700028</v>
      </c>
      <c r="Z35" s="55">
        <f>(_xlfn.NORM.DIST(AND(Z$9&gt;=$E35,Z$9&lt;=$F35)*(Z$9-$E35+1),$G35/2,$H35,TRUE)-_xlfn.NORM.DIST(AND(Z$9&gt;=$E35,Z$9&lt;=$F35)*(Y$9-$E35+1),$G35/2,$H35,TRUE))/(1-2*_xlfn.NORM.DIST(0,$G35/2,$H35,TRUE))*$C35</f>
        <v>65559.034110700028</v>
      </c>
      <c r="AA35" s="55">
        <f>(_xlfn.NORM.DIST(AND(AA$9&gt;=$E35,AA$9&lt;=$F35)*(AA$9-$E35+1),$G35/2,$H35,TRUE)-_xlfn.NORM.DIST(AND(AA$9&gt;=$E35,AA$9&lt;=$F35)*(Z$9-$E35+1),$G35/2,$H35,TRUE))/(1-2*_xlfn.NORM.DIST(0,$G35/2,$H35,TRUE))*$C35</f>
        <v>65559.034201922696</v>
      </c>
      <c r="AB35" s="55">
        <f>(_xlfn.NORM.DIST(AND(AB$9&gt;=$E35,AB$9&lt;=$F35)*(AB$9-$E35+1),$G35/2,$H35,TRUE)-_xlfn.NORM.DIST(AND(AB$9&gt;=$E35,AB$9&lt;=$F35)*(AA$9-$E35+1),$G35/2,$H35,TRUE))/(1-2*_xlfn.NORM.DIST(0,$G35/2,$H35,TRUE))*$C35</f>
        <v>65559.034110700028</v>
      </c>
      <c r="AC35" s="55">
        <f>(_xlfn.NORM.DIST(AND(AC$9&gt;=$E35,AC$9&lt;=$F35)*(AC$9-$E35+1),$G35/2,$H35,TRUE)-_xlfn.NORM.DIST(AND(AC$9&gt;=$E35,AC$9&lt;=$F35)*(AB$9-$E35+1),$G35/2,$H35,TRUE))/(1-2*_xlfn.NORM.DIST(0,$G35/2,$H35,TRUE))*$C35</f>
        <v>65559.034110700028</v>
      </c>
      <c r="AD35" s="55">
        <f>(_xlfn.NORM.DIST(AND(AD$9&gt;=$E35,AD$9&lt;=$F35)*(AD$9-$E35+1),$G35/2,$H35,TRUE)-_xlfn.NORM.DIST(AND(AD$9&gt;=$E35,AD$9&lt;=$F35)*(AC$9-$E35+1),$G35/2,$H35,TRUE))/(1-2*_xlfn.NORM.DIST(0,$G35/2,$H35,TRUE))*$C35</f>
        <v>65559.034019477374</v>
      </c>
      <c r="AE35" s="55">
        <f>(_xlfn.NORM.DIST(AND(AE$9&gt;=$E35,AE$9&lt;=$F35)*(AE$9-$E35+1),$G35/2,$H35,TRUE)-_xlfn.NORM.DIST(AND(AE$9&gt;=$E35,AE$9&lt;=$F35)*(AD$9-$E35+1),$G35/2,$H35,TRUE))/(1-2*_xlfn.NORM.DIST(0,$G35/2,$H35,TRUE))*$C35</f>
        <v>65559.034293145349</v>
      </c>
      <c r="AF35" s="55">
        <f>(_xlfn.NORM.DIST(AND(AF$9&gt;=$E35,AF$9&lt;=$F35)*(AF$9-$E35+1),$G35/2,$H35,TRUE)-_xlfn.NORM.DIST(AND(AF$9&gt;=$E35,AF$9&lt;=$F35)*(AE$9-$E35+1),$G35/2,$H35,TRUE))/(1-2*_xlfn.NORM.DIST(0,$G35/2,$H35,TRUE))*$C35</f>
        <v>65559.033928254721</v>
      </c>
      <c r="AG35" s="55">
        <f>(_xlfn.NORM.DIST(AND(AG$9&gt;=$E35,AG$9&lt;=$F35)*(AG$9-$E35+1),$G35/2,$H35,TRUE)-_xlfn.NORM.DIST(AND(AG$9&gt;=$E35,AG$9&lt;=$F35)*(AF$9-$E35+1),$G35/2,$H35,TRUE))/(1-2*_xlfn.NORM.DIST(0,$G35/2,$H35,TRUE))*$C35</f>
        <v>65559.034293145349</v>
      </c>
      <c r="AH35" s="55">
        <f>(_xlfn.NORM.DIST(AND(AH$9&gt;=$E35,AH$9&lt;=$F35)*(AH$9-$E35+1),$G35/2,$H35,TRUE)-_xlfn.NORM.DIST(AND(AH$9&gt;=$E35,AH$9&lt;=$F35)*(AG$9-$E35+1),$G35/2,$H35,TRUE))/(1-2*_xlfn.NORM.DIST(0,$G35/2,$H35,TRUE))*$C35</f>
        <v>65559.034110700028</v>
      </c>
      <c r="AI35" s="55">
        <f>(_xlfn.NORM.DIST(AND(AI$9&gt;=$E35,AI$9&lt;=$F35)*(AI$9-$E35+1),$G35/2,$H35,TRUE)-_xlfn.NORM.DIST(AND(AI$9&gt;=$E35,AI$9&lt;=$F35)*(AH$9-$E35+1),$G35/2,$H35,TRUE))/(1-2*_xlfn.NORM.DIST(0,$G35/2,$H35,TRUE))*$C35</f>
        <v>65559.034110700028</v>
      </c>
      <c r="AJ35" s="55">
        <f>(_xlfn.NORM.DIST(AND(AJ$9&gt;=$E35,AJ$9&lt;=$F35)*(AJ$9-$E35+1),$G35/2,$H35,TRUE)-_xlfn.NORM.DIST(AND(AJ$9&gt;=$E35,AJ$9&lt;=$F35)*(AI$9-$E35+1),$G35/2,$H35,TRUE))/(1-2*_xlfn.NORM.DIST(0,$G35/2,$H35,TRUE))*$C35</f>
        <v>65559.034110700028</v>
      </c>
      <c r="AK35" s="55">
        <f>(_xlfn.NORM.DIST(AND(AK$9&gt;=$E35,AK$9&lt;=$F35)*(AK$9-$E35+1),$G35/2,$H35,TRUE)-_xlfn.NORM.DIST(AND(AK$9&gt;=$E35,AK$9&lt;=$F35)*(AJ$9-$E35+1),$G35/2,$H35,TRUE))/(1-2*_xlfn.NORM.DIST(0,$G35/2,$H35,TRUE))*$C35</f>
        <v>65559.034110700028</v>
      </c>
      <c r="AL35" s="55">
        <f>(_xlfn.NORM.DIST(AND(AL$9&gt;=$E35,AL$9&lt;=$F35)*(AL$9-$E35+1),$G35/2,$H35,TRUE)-_xlfn.NORM.DIST(AND(AL$9&gt;=$E35,AL$9&lt;=$F35)*(AK$9-$E35+1),$G35/2,$H35,TRUE))/(1-2*_xlfn.NORM.DIST(0,$G35/2,$H35,TRUE))*$C35</f>
        <v>65559.034110700028</v>
      </c>
      <c r="AM35" s="55">
        <f>(_xlfn.NORM.DIST(AND(AM$9&gt;=$E35,AM$9&lt;=$F35)*(AM$9-$E35+1),$G35/2,$H35,TRUE)-_xlfn.NORM.DIST(AND(AM$9&gt;=$E35,AM$9&lt;=$F35)*(AL$9-$E35+1),$G35/2,$H35,TRUE))/(1-2*_xlfn.NORM.DIST(0,$G35/2,$H35,TRUE))*$C35</f>
        <v>65559.034110700028</v>
      </c>
      <c r="AN35" s="55">
        <f>(_xlfn.NORM.DIST(AND(AN$9&gt;=$E35,AN$9&lt;=$F35)*(AN$9-$E35+1),$G35/2,$H35,TRUE)-_xlfn.NORM.DIST(AND(AN$9&gt;=$E35,AN$9&lt;=$F35)*(AM$9-$E35+1),$G35/2,$H35,TRUE))/(1-2*_xlfn.NORM.DIST(0,$G35/2,$H35,TRUE))*$C35</f>
        <v>65559.034293145349</v>
      </c>
      <c r="AO35" s="55">
        <f>(_xlfn.NORM.DIST(AND(AO$9&gt;=$E35,AO$9&lt;=$F35)*(AO$9-$E35+1),$G35/2,$H35,TRUE)-_xlfn.NORM.DIST(AND(AO$9&gt;=$E35,AO$9&lt;=$F35)*(AN$9-$E35+1),$G35/2,$H35,TRUE))/(1-2*_xlfn.NORM.DIST(0,$G35/2,$H35,TRUE))*$C35</f>
        <v>65559.033928254721</v>
      </c>
      <c r="AP35" s="55">
        <f>(_xlfn.NORM.DIST(AND(AP$9&gt;=$E35,AP$9&lt;=$F35)*(AP$9-$E35+1),$G35/2,$H35,TRUE)-_xlfn.NORM.DIST(AND(AP$9&gt;=$E35,AP$9&lt;=$F35)*(AO$9-$E35+1),$G35/2,$H35,TRUE))/(1-2*_xlfn.NORM.DIST(0,$G35/2,$H35,TRUE))*$C35</f>
        <v>65559.034293145349</v>
      </c>
      <c r="AQ35" s="55">
        <f>(_xlfn.NORM.DIST(AND(AQ$9&gt;=$E35,AQ$9&lt;=$F35)*(AQ$9-$E35+1),$G35/2,$H35,TRUE)-_xlfn.NORM.DIST(AND(AQ$9&gt;=$E35,AQ$9&lt;=$F35)*(AP$9-$E35+1),$G35/2,$H35,TRUE))/(1-2*_xlfn.NORM.DIST(0,$G35/2,$H35,TRUE))*$C35</f>
        <v>65559.033928254721</v>
      </c>
      <c r="AR35" s="55">
        <f>(_xlfn.NORM.DIST(AND(AR$9&gt;=$E35,AR$9&lt;=$F35)*(AR$9-$E35+1),$G35/2,$H35,TRUE)-_xlfn.NORM.DIST(AND(AR$9&gt;=$E35,AR$9&lt;=$F35)*(AQ$9-$E35+1),$G35/2,$H35,TRUE))/(1-2*_xlfn.NORM.DIST(0,$G35/2,$H35,TRUE))*$C35</f>
        <v>65559.034293145349</v>
      </c>
      <c r="AS35" s="55">
        <f>(_xlfn.NORM.DIST(AND(AS$9&gt;=$E35,AS$9&lt;=$F35)*(AS$9-$E35+1),$G35/2,$H35,TRUE)-_xlfn.NORM.DIST(AND(AS$9&gt;=$E35,AS$9&lt;=$F35)*(AR$9-$E35+1),$G35/2,$H35,TRUE))/(1-2*_xlfn.NORM.DIST(0,$G35/2,$H35,TRUE))*$C35</f>
        <v>65559.033928254721</v>
      </c>
      <c r="AT35" s="55">
        <f>(_xlfn.NORM.DIST(AND(AT$9&gt;=$E35,AT$9&lt;=$F35)*(AT$9-$E35+1),$G35/2,$H35,TRUE)-_xlfn.NORM.DIST(AND(AT$9&gt;=$E35,AT$9&lt;=$F35)*(AS$9-$E35+1),$G35/2,$H35,TRUE))/(1-2*_xlfn.NORM.DIST(0,$G35/2,$H35,TRUE))*$C35</f>
        <v>65559.034293145349</v>
      </c>
      <c r="AU35" s="55">
        <f>(_xlfn.NORM.DIST(AND(AU$9&gt;=$E35,AU$9&lt;=$F35)*(AU$9-$E35+1),$G35/2,$H35,TRUE)-_xlfn.NORM.DIST(AND(AU$9&gt;=$E35,AU$9&lt;=$F35)*(AT$9-$E35+1),$G35/2,$H35,TRUE))/(1-2*_xlfn.NORM.DIST(0,$G35/2,$H35,TRUE))*$C35</f>
        <v>65559.034110700028</v>
      </c>
      <c r="AV35" s="55">
        <f>(_xlfn.NORM.DIST(AND(AV$9&gt;=$E35,AV$9&lt;=$F35)*(AV$9-$E35+1),$G35/2,$H35,TRUE)-_xlfn.NORM.DIST(AND(AV$9&gt;=$E35,AV$9&lt;=$F35)*(AU$9-$E35+1),$G35/2,$H35,TRUE))/(1-2*_xlfn.NORM.DIST(0,$G35/2,$H35,TRUE))*$C35</f>
        <v>65559.034110700028</v>
      </c>
      <c r="AW35" s="55">
        <f>(_xlfn.NORM.DIST(AND(AW$9&gt;=$E35,AW$9&lt;=$F35)*(AW$9-$E35+1),$G35/2,$H35,TRUE)-_xlfn.NORM.DIST(AND(AW$9&gt;=$E35,AW$9&lt;=$F35)*(AV$9-$E35+1),$G35/2,$H35,TRUE))/(1-2*_xlfn.NORM.DIST(0,$G35/2,$H35,TRUE))*$C35</f>
        <v>65559.034110700028</v>
      </c>
      <c r="AX35" s="55">
        <f>(_xlfn.NORM.DIST(AND(AX$9&gt;=$E35,AX$9&lt;=$F35)*(AX$9-$E35+1),$G35/2,$H35,TRUE)-_xlfn.NORM.DIST(AND(AX$9&gt;=$E35,AX$9&lt;=$F35)*(AW$9-$E35+1),$G35/2,$H35,TRUE))/(1-2*_xlfn.NORM.DIST(0,$G35/2,$H35,TRUE))*$C35</f>
        <v>0</v>
      </c>
      <c r="AY35" s="55">
        <f>(_xlfn.NORM.DIST(AND(AY$9&gt;=$E35,AY$9&lt;=$F35)*(AY$9-$E35+1),$G35/2,$H35,TRUE)-_xlfn.NORM.DIST(AND(AY$9&gt;=$E35,AY$9&lt;=$F35)*(AX$9-$E35+1),$G35/2,$H35,TRUE))/(1-2*_xlfn.NORM.DIST(0,$G35/2,$H35,TRUE))*$C35</f>
        <v>0</v>
      </c>
      <c r="AZ35" s="55">
        <f>(_xlfn.NORM.DIST(AND(AZ$9&gt;=$E35,AZ$9&lt;=$F35)*(AZ$9-$E35+1),$G35/2,$H35,TRUE)-_xlfn.NORM.DIST(AND(AZ$9&gt;=$E35,AZ$9&lt;=$F35)*(AY$9-$E35+1),$G35/2,$H35,TRUE))/(1-2*_xlfn.NORM.DIST(0,$G35/2,$H35,TRUE))*$C35</f>
        <v>0</v>
      </c>
      <c r="BA35" s="55">
        <f>(_xlfn.NORM.DIST(AND(BA$9&gt;=$E35,BA$9&lt;=$F35)*(BA$9-$E35+1),$G35/2,$H35,TRUE)-_xlfn.NORM.DIST(AND(BA$9&gt;=$E35,BA$9&lt;=$F35)*(AZ$9-$E35+1),$G35/2,$H35,TRUE))/(1-2*_xlfn.NORM.DIST(0,$G35/2,$H35,TRUE))*$C35</f>
        <v>0</v>
      </c>
      <c r="BB35" s="55">
        <f>(_xlfn.NORM.DIST(AND(BB$9&gt;=$E35,BB$9&lt;=$F35)*(BB$9-$E35+1),$G35/2,$H35,TRUE)-_xlfn.NORM.DIST(AND(BB$9&gt;=$E35,BB$9&lt;=$F35)*(BA$9-$E35+1),$G35/2,$H35,TRUE))/(1-2*_xlfn.NORM.DIST(0,$G35/2,$H35,TRUE))*$C35</f>
        <v>0</v>
      </c>
      <c r="BC35" s="55">
        <f>(_xlfn.NORM.DIST(AND(BC$9&gt;=$E35,BC$9&lt;=$F35)*(BC$9-$E35+1),$G35/2,$H35,TRUE)-_xlfn.NORM.DIST(AND(BC$9&gt;=$E35,BC$9&lt;=$F35)*(BB$9-$E35+1),$G35/2,$H35,TRUE))/(1-2*_xlfn.NORM.DIST(0,$G35/2,$H35,TRUE))*$C35</f>
        <v>0</v>
      </c>
      <c r="BD35" s="55">
        <f>(_xlfn.NORM.DIST(AND(BD$9&gt;=$E35,BD$9&lt;=$F35)*(BD$9-$E35+1),$G35/2,$H35,TRUE)-_xlfn.NORM.DIST(AND(BD$9&gt;=$E35,BD$9&lt;=$F35)*(BC$9-$E35+1),$G35/2,$H35,TRUE))/(1-2*_xlfn.NORM.DIST(0,$G35/2,$H35,TRUE))*$C35</f>
        <v>0</v>
      </c>
      <c r="BE35" s="55">
        <f>(_xlfn.NORM.DIST(AND(BE$9&gt;=$E35,BE$9&lt;=$F35)*(BE$9-$E35+1),$G35/2,$H35,TRUE)-_xlfn.NORM.DIST(AND(BE$9&gt;=$E35,BE$9&lt;=$F35)*(BD$9-$E35+1),$G35/2,$H35,TRUE))/(1-2*_xlfn.NORM.DIST(0,$G35/2,$H35,TRUE))*$C35</f>
        <v>0</v>
      </c>
      <c r="BF35" s="55">
        <f>(_xlfn.NORM.DIST(AND(BF$9&gt;=$E35,BF$9&lt;=$F35)*(BF$9-$E35+1),$G35/2,$H35,TRUE)-_xlfn.NORM.DIST(AND(BF$9&gt;=$E35,BF$9&lt;=$F35)*(BE$9-$E35+1),$G35/2,$H35,TRUE))/(1-2*_xlfn.NORM.DIST(0,$G35/2,$H35,TRUE))*$C35</f>
        <v>0</v>
      </c>
      <c r="BG35" s="55">
        <f>(_xlfn.NORM.DIST(AND(BG$9&gt;=$E35,BG$9&lt;=$F35)*(BG$9-$E35+1),$G35/2,$H35,TRUE)-_xlfn.NORM.DIST(AND(BG$9&gt;=$E35,BG$9&lt;=$F35)*(BF$9-$E35+1),$G35/2,$H35,TRUE))/(1-2*_xlfn.NORM.DIST(0,$G35/2,$H35,TRUE))*$C35</f>
        <v>0</v>
      </c>
      <c r="BH35" s="55">
        <f>(_xlfn.NORM.DIST(AND(BH$9&gt;=$E35,BH$9&lt;=$F35)*(BH$9-$E35+1),$G35/2,$H35,TRUE)-_xlfn.NORM.DIST(AND(BH$9&gt;=$E35,BH$9&lt;=$F35)*(BG$9-$E35+1),$G35/2,$H35,TRUE))/(1-2*_xlfn.NORM.DIST(0,$G35/2,$H35,TRUE))*$C35</f>
        <v>0</v>
      </c>
      <c r="BI35" s="55">
        <f>(_xlfn.NORM.DIST(AND(BI$9&gt;=$E35,BI$9&lt;=$F35)*(BI$9-$E35+1),$G35/2,$H35,TRUE)-_xlfn.NORM.DIST(AND(BI$9&gt;=$E35,BI$9&lt;=$F35)*(BH$9-$E35+1),$G35/2,$H35,TRUE))/(1-2*_xlfn.NORM.DIST(0,$G35/2,$H35,TRUE))*$C35</f>
        <v>0</v>
      </c>
      <c r="BJ35" s="55">
        <f>(_xlfn.NORM.DIST(AND(BJ$9&gt;=$E35,BJ$9&lt;=$F35)*(BJ$9-$E35+1),$G35/2,$H35,TRUE)-_xlfn.NORM.DIST(AND(BJ$9&gt;=$E35,BJ$9&lt;=$F35)*(BI$9-$E35+1),$G35/2,$H35,TRUE))/(1-2*_xlfn.NORM.DIST(0,$G35/2,$H35,TRUE))*$C35</f>
        <v>0</v>
      </c>
      <c r="BK35" s="55">
        <f>(_xlfn.NORM.DIST(AND(BK$9&gt;=$E35,BK$9&lt;=$F35)*(BK$9-$E35+1),$G35/2,$H35,TRUE)-_xlfn.NORM.DIST(AND(BK$9&gt;=$E35,BK$9&lt;=$F35)*(BJ$9-$E35+1),$G35/2,$H35,TRUE))/(1-2*_xlfn.NORM.DIST(0,$G35/2,$H35,TRUE))*$C35</f>
        <v>0</v>
      </c>
      <c r="BL35" s="55">
        <f>(_xlfn.NORM.DIST(AND(BL$9&gt;=$E35,BL$9&lt;=$F35)*(BL$9-$E35+1),$G35/2,$H35,TRUE)-_xlfn.NORM.DIST(AND(BL$9&gt;=$E35,BL$9&lt;=$F35)*(BK$9-$E35+1),$G35/2,$H35,TRUE))/(1-2*_xlfn.NORM.DIST(0,$G35/2,$H35,TRUE))*$C35</f>
        <v>0</v>
      </c>
      <c r="BM35" s="55">
        <f>(_xlfn.NORM.DIST(AND(BM$9&gt;=$E35,BM$9&lt;=$F35)*(BM$9-$E35+1),$G35/2,$H35,TRUE)-_xlfn.NORM.DIST(AND(BM$9&gt;=$E35,BM$9&lt;=$F35)*(BL$9-$E35+1),$G35/2,$H35,TRUE))/(1-2*_xlfn.NORM.DIST(0,$G35/2,$H35,TRUE))*$C35</f>
        <v>0</v>
      </c>
      <c r="BN35" s="55">
        <f>(_xlfn.NORM.DIST(AND(BN$9&gt;=$E35,BN$9&lt;=$F35)*(BN$9-$E35+1),$G35/2,$H35,TRUE)-_xlfn.NORM.DIST(AND(BN$9&gt;=$E35,BN$9&lt;=$F35)*(BM$9-$E35+1),$G35/2,$H35,TRUE))/(1-2*_xlfn.NORM.DIST(0,$G35/2,$H35,TRUE))*$C35</f>
        <v>0</v>
      </c>
      <c r="BO35" s="55">
        <f>(_xlfn.NORM.DIST(AND(BO$9&gt;=$E35,BO$9&lt;=$F35)*(BO$9-$E35+1),$G35/2,$H35,TRUE)-_xlfn.NORM.DIST(AND(BO$9&gt;=$E35,BO$9&lt;=$F35)*(BN$9-$E35+1),$G35/2,$H35,TRUE))/(1-2*_xlfn.NORM.DIST(0,$G35/2,$H35,TRUE))*$C35</f>
        <v>0</v>
      </c>
      <c r="BP35" s="55">
        <f>(_xlfn.NORM.DIST(AND(BP$9&gt;=$E35,BP$9&lt;=$F35)*(BP$9-$E35+1),$G35/2,$H35,TRUE)-_xlfn.NORM.DIST(AND(BP$9&gt;=$E35,BP$9&lt;=$F35)*(BO$9-$E35+1),$G35/2,$H35,TRUE))/(1-2*_xlfn.NORM.DIST(0,$G35/2,$H35,TRUE))*$C35</f>
        <v>0</v>
      </c>
      <c r="BQ35" s="55">
        <f>(_xlfn.NORM.DIST(AND(BQ$9&gt;=$E35,BQ$9&lt;=$F35)*(BQ$9-$E35+1),$G35/2,$H35,TRUE)-_xlfn.NORM.DIST(AND(BQ$9&gt;=$E35,BQ$9&lt;=$F35)*(BP$9-$E35+1),$G35/2,$H35,TRUE))/(1-2*_xlfn.NORM.DIST(0,$G35/2,$H35,TRUE))*$C35</f>
        <v>0</v>
      </c>
      <c r="BR35" s="160">
        <f>(_xlfn.NORM.DIST(AND(BR$9&gt;=$E35,BR$9&lt;=$F35)*(BR$9-$E35+1),$G35/2,$H35,TRUE)-_xlfn.NORM.DIST(AND(BR$9&gt;=$E35,BR$9&lt;=$F35)*(BQ$9-$E35+1),$G35/2,$H35,TRUE))/(1-2*_xlfn.NORM.DIST(0,$G35/2,$H35,TRUE))*$C35</f>
        <v>0</v>
      </c>
      <c r="BS35" s="25"/>
    </row>
    <row r="36" spans="1:71" customFormat="1" x14ac:dyDescent="0.2">
      <c r="A36" s="25"/>
      <c r="B36" s="52"/>
      <c r="C36" s="165"/>
      <c r="D36" s="164"/>
      <c r="E36" s="25"/>
      <c r="F36" s="25"/>
      <c r="G36" s="25"/>
      <c r="H36" s="25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8"/>
      <c r="BS36" s="25"/>
    </row>
    <row r="37" spans="1:71" customFormat="1" x14ac:dyDescent="0.2">
      <c r="A37" s="25"/>
      <c r="B37" s="52" t="s">
        <v>64</v>
      </c>
      <c r="C37" s="159">
        <v>2895389.117044433</v>
      </c>
      <c r="D37" s="163" t="s">
        <v>63</v>
      </c>
      <c r="E37" s="162">
        <v>30</v>
      </c>
      <c r="F37" s="162">
        <f>F35</f>
        <v>39</v>
      </c>
      <c r="G37" s="162">
        <f>F37-E37+1</f>
        <v>10</v>
      </c>
      <c r="H37" s="161"/>
      <c r="I37" s="155" t="str">
        <f>IF(ROUND(SUM($J37:$BR37),0)=ROUND(C37,0),"OK","error")</f>
        <v>OK</v>
      </c>
      <c r="J37" s="49"/>
      <c r="K37" s="55">
        <f>AND(K$9&gt;=$E37,K$9&lt;=$F37)*((K$9-$E37+1)/($G37*($G37+1)/2)*$C37)</f>
        <v>0</v>
      </c>
      <c r="L37" s="55">
        <f>AND(L$9&gt;=$E37,L$9&lt;=$F37)*((L$9-$E37+1)/($G37*($G37+1)/2)*$C37)</f>
        <v>0</v>
      </c>
      <c r="M37" s="55">
        <f>AND(M$9&gt;=$E37,M$9&lt;=$F37)*((M$9-$E37+1)/($G37*($G37+1)/2)*$C37)</f>
        <v>0</v>
      </c>
      <c r="N37" s="55">
        <f>AND(N$9&gt;=$E37,N$9&lt;=$F37)*((N$9-$E37+1)/($G37*($G37+1)/2)*$C37)</f>
        <v>0</v>
      </c>
      <c r="O37" s="55">
        <f>AND(O$9&gt;=$E37,O$9&lt;=$F37)*((O$9-$E37+1)/($G37*($G37+1)/2)*$C37)</f>
        <v>0</v>
      </c>
      <c r="P37" s="55">
        <f>AND(P$9&gt;=$E37,P$9&lt;=$F37)*((P$9-$E37+1)/($G37*($G37+1)/2)*$C37)</f>
        <v>0</v>
      </c>
      <c r="Q37" s="55">
        <f>AND(Q$9&gt;=$E37,Q$9&lt;=$F37)*((Q$9-$E37+1)/($G37*($G37+1)/2)*$C37)</f>
        <v>0</v>
      </c>
      <c r="R37" s="55">
        <f>AND(R$9&gt;=$E37,R$9&lt;=$F37)*((R$9-$E37+1)/($G37*($G37+1)/2)*$C37)</f>
        <v>0</v>
      </c>
      <c r="S37" s="55">
        <f>AND(S$9&gt;=$E37,S$9&lt;=$F37)*((S$9-$E37+1)/($G37*($G37+1)/2)*$C37)</f>
        <v>0</v>
      </c>
      <c r="T37" s="55">
        <f>AND(T$9&gt;=$E37,T$9&lt;=$F37)*((T$9-$E37+1)/($G37*($G37+1)/2)*$C37)</f>
        <v>0</v>
      </c>
      <c r="U37" s="55">
        <f>AND(U$9&gt;=$E37,U$9&lt;=$F37)*((U$9-$E37+1)/($G37*($G37+1)/2)*$C37)</f>
        <v>0</v>
      </c>
      <c r="V37" s="55">
        <f>AND(V$9&gt;=$E37,V$9&lt;=$F37)*((V$9-$E37+1)/($G37*($G37+1)/2)*$C37)</f>
        <v>0</v>
      </c>
      <c r="W37" s="55">
        <f>AND(W$9&gt;=$E37,W$9&lt;=$F37)*((W$9-$E37+1)/($G37*($G37+1)/2)*$C37)</f>
        <v>0</v>
      </c>
      <c r="X37" s="55">
        <f>AND(X$9&gt;=$E37,X$9&lt;=$F37)*((X$9-$E37+1)/($G37*($G37+1)/2)*$C37)</f>
        <v>0</v>
      </c>
      <c r="Y37" s="55">
        <f>AND(Y$9&gt;=$E37,Y$9&lt;=$F37)*((Y$9-$E37+1)/($G37*($G37+1)/2)*$C37)</f>
        <v>0</v>
      </c>
      <c r="Z37" s="55">
        <f>AND(Z$9&gt;=$E37,Z$9&lt;=$F37)*((Z$9-$E37+1)/($G37*($G37+1)/2)*$C37)</f>
        <v>0</v>
      </c>
      <c r="AA37" s="55">
        <f>AND(AA$9&gt;=$E37,AA$9&lt;=$F37)*((AA$9-$E37+1)/($G37*($G37+1)/2)*$C37)</f>
        <v>0</v>
      </c>
      <c r="AB37" s="55">
        <f>AND(AB$9&gt;=$E37,AB$9&lt;=$F37)*((AB$9-$E37+1)/($G37*($G37+1)/2)*$C37)</f>
        <v>0</v>
      </c>
      <c r="AC37" s="55">
        <f>AND(AC$9&gt;=$E37,AC$9&lt;=$F37)*((AC$9-$E37+1)/($G37*($G37+1)/2)*$C37)</f>
        <v>0</v>
      </c>
      <c r="AD37" s="55">
        <f>AND(AD$9&gt;=$E37,AD$9&lt;=$F37)*((AD$9-$E37+1)/($G37*($G37+1)/2)*$C37)</f>
        <v>0</v>
      </c>
      <c r="AE37" s="55">
        <f>AND(AE$9&gt;=$E37,AE$9&lt;=$F37)*((AE$9-$E37+1)/($G37*($G37+1)/2)*$C37)</f>
        <v>0</v>
      </c>
      <c r="AF37" s="55">
        <f>AND(AF$9&gt;=$E37,AF$9&lt;=$F37)*((AF$9-$E37+1)/($G37*($G37+1)/2)*$C37)</f>
        <v>0</v>
      </c>
      <c r="AG37" s="55">
        <f>AND(AG$9&gt;=$E37,AG$9&lt;=$F37)*((AG$9-$E37+1)/($G37*($G37+1)/2)*$C37)</f>
        <v>0</v>
      </c>
      <c r="AH37" s="55">
        <f>AND(AH$9&gt;=$E37,AH$9&lt;=$F37)*((AH$9-$E37+1)/($G37*($G37+1)/2)*$C37)</f>
        <v>0</v>
      </c>
      <c r="AI37" s="55">
        <f>AND(AI$9&gt;=$E37,AI$9&lt;=$F37)*((AI$9-$E37+1)/($G37*($G37+1)/2)*$C37)</f>
        <v>0</v>
      </c>
      <c r="AJ37" s="55">
        <f>AND(AJ$9&gt;=$E37,AJ$9&lt;=$F37)*((AJ$9-$E37+1)/($G37*($G37+1)/2)*$C37)</f>
        <v>0</v>
      </c>
      <c r="AK37" s="55">
        <f>AND(AK$9&gt;=$E37,AK$9&lt;=$F37)*((AK$9-$E37+1)/($G37*($G37+1)/2)*$C37)</f>
        <v>0</v>
      </c>
      <c r="AL37" s="55">
        <f>AND(AL$9&gt;=$E37,AL$9&lt;=$F37)*((AL$9-$E37+1)/($G37*($G37+1)/2)*$C37)</f>
        <v>0</v>
      </c>
      <c r="AM37" s="55">
        <f>AND(AM$9&gt;=$E37,AM$9&lt;=$F37)*((AM$9-$E37+1)/($G37*($G37+1)/2)*$C37)</f>
        <v>0</v>
      </c>
      <c r="AN37" s="55">
        <f>AND(AN$9&gt;=$E37,AN$9&lt;=$F37)*((AN$9-$E37+1)/($G37*($G37+1)/2)*$C37)</f>
        <v>52643.438491716959</v>
      </c>
      <c r="AO37" s="55">
        <f>AND(AO$9&gt;=$E37,AO$9&lt;=$F37)*((AO$9-$E37+1)/($G37*($G37+1)/2)*$C37)</f>
        <v>105286.87698343392</v>
      </c>
      <c r="AP37" s="55">
        <f>AND(AP$9&gt;=$E37,AP$9&lt;=$F37)*((AP$9-$E37+1)/($G37*($G37+1)/2)*$C37)</f>
        <v>157930.31547515088</v>
      </c>
      <c r="AQ37" s="55">
        <f>AND(AQ$9&gt;=$E37,AQ$9&lt;=$F37)*((AQ$9-$E37+1)/($G37*($G37+1)/2)*$C37)</f>
        <v>210573.75396686784</v>
      </c>
      <c r="AR37" s="55">
        <f>AND(AR$9&gt;=$E37,AR$9&lt;=$F37)*((AR$9-$E37+1)/($G37*($G37+1)/2)*$C37)</f>
        <v>263217.19245858485</v>
      </c>
      <c r="AS37" s="55">
        <f>AND(AS$9&gt;=$E37,AS$9&lt;=$F37)*((AS$9-$E37+1)/($G37*($G37+1)/2)*$C37)</f>
        <v>315860.63095030177</v>
      </c>
      <c r="AT37" s="55">
        <f>AND(AT$9&gt;=$E37,AT$9&lt;=$F37)*((AT$9-$E37+1)/($G37*($G37+1)/2)*$C37)</f>
        <v>368504.06944201869</v>
      </c>
      <c r="AU37" s="55">
        <f>AND(AU$9&gt;=$E37,AU$9&lt;=$F37)*((AU$9-$E37+1)/($G37*($G37+1)/2)*$C37)</f>
        <v>421147.50793373567</v>
      </c>
      <c r="AV37" s="55">
        <f>AND(AV$9&gt;=$E37,AV$9&lt;=$F37)*((AV$9-$E37+1)/($G37*($G37+1)/2)*$C37)</f>
        <v>473790.94642545265</v>
      </c>
      <c r="AW37" s="55">
        <f>AND(AW$9&gt;=$E37,AW$9&lt;=$F37)*((AW$9-$E37+1)/($G37*($G37+1)/2)*$C37)</f>
        <v>526434.38491716969</v>
      </c>
      <c r="AX37" s="55">
        <f>AND(AX$9&gt;=$E37,AX$9&lt;=$F37)*((AX$9-$E37+1)/($G37*($G37+1)/2)*$C37)</f>
        <v>0</v>
      </c>
      <c r="AY37" s="55">
        <f>AND(AY$9&gt;=$E37,AY$9&lt;=$F37)*((AY$9-$E37+1)/($G37*($G37+1)/2)*$C37)</f>
        <v>0</v>
      </c>
      <c r="AZ37" s="55">
        <f>AND(AZ$9&gt;=$E37,AZ$9&lt;=$F37)*((AZ$9-$E37+1)/($G37*($G37+1)/2)*$C37)</f>
        <v>0</v>
      </c>
      <c r="BA37" s="55">
        <f>AND(BA$9&gt;=$E37,BA$9&lt;=$F37)*((BA$9-$E37+1)/($G37*($G37+1)/2)*$C37)</f>
        <v>0</v>
      </c>
      <c r="BB37" s="55">
        <f>AND(BB$9&gt;=$E37,BB$9&lt;=$F37)*((BB$9-$E37+1)/($G37*($G37+1)/2)*$C37)</f>
        <v>0</v>
      </c>
      <c r="BC37" s="55">
        <f>AND(BC$9&gt;=$E37,BC$9&lt;=$F37)*((BC$9-$E37+1)/($G37*($G37+1)/2)*$C37)</f>
        <v>0</v>
      </c>
      <c r="BD37" s="55">
        <f>AND(BD$9&gt;=$E37,BD$9&lt;=$F37)*((BD$9-$E37+1)/($G37*($G37+1)/2)*$C37)</f>
        <v>0</v>
      </c>
      <c r="BE37" s="55">
        <f>AND(BE$9&gt;=$E37,BE$9&lt;=$F37)*((BE$9-$E37+1)/($G37*($G37+1)/2)*$C37)</f>
        <v>0</v>
      </c>
      <c r="BF37" s="55">
        <f>AND(BF$9&gt;=$E37,BF$9&lt;=$F37)*((BF$9-$E37+1)/($G37*($G37+1)/2)*$C37)</f>
        <v>0</v>
      </c>
      <c r="BG37" s="55">
        <f>AND(BG$9&gt;=$E37,BG$9&lt;=$F37)*((BG$9-$E37+1)/($G37*($G37+1)/2)*$C37)</f>
        <v>0</v>
      </c>
      <c r="BH37" s="55">
        <f>AND(BH$9&gt;=$E37,BH$9&lt;=$F37)*((BH$9-$E37+1)/($G37*($G37+1)/2)*$C37)</f>
        <v>0</v>
      </c>
      <c r="BI37" s="55">
        <f>AND(BI$9&gt;=$E37,BI$9&lt;=$F37)*((BI$9-$E37+1)/($G37*($G37+1)/2)*$C37)</f>
        <v>0</v>
      </c>
      <c r="BJ37" s="55">
        <f>AND(BJ$9&gt;=$E37,BJ$9&lt;=$F37)*((BJ$9-$E37+1)/($G37*($G37+1)/2)*$C37)</f>
        <v>0</v>
      </c>
      <c r="BK37" s="55">
        <f>AND(BK$9&gt;=$E37,BK$9&lt;=$F37)*((BK$9-$E37+1)/($G37*($G37+1)/2)*$C37)</f>
        <v>0</v>
      </c>
      <c r="BL37" s="55">
        <f>AND(BL$9&gt;=$E37,BL$9&lt;=$F37)*((BL$9-$E37+1)/($G37*($G37+1)/2)*$C37)</f>
        <v>0</v>
      </c>
      <c r="BM37" s="55">
        <f>AND(BM$9&gt;=$E37,BM$9&lt;=$F37)*((BM$9-$E37+1)/($G37*($G37+1)/2)*$C37)</f>
        <v>0</v>
      </c>
      <c r="BN37" s="55">
        <f>AND(BN$9&gt;=$E37,BN$9&lt;=$F37)*((BN$9-$E37+1)/($G37*($G37+1)/2)*$C37)</f>
        <v>0</v>
      </c>
      <c r="BO37" s="55">
        <f>AND(BO$9&gt;=$E37,BO$9&lt;=$F37)*((BO$9-$E37+1)/($G37*($G37+1)/2)*$C37)</f>
        <v>0</v>
      </c>
      <c r="BP37" s="55">
        <f>AND(BP$9&gt;=$E37,BP$9&lt;=$F37)*((BP$9-$E37+1)/($G37*($G37+1)/2)*$C37)</f>
        <v>0</v>
      </c>
      <c r="BQ37" s="55">
        <f>AND(BQ$9&gt;=$E37,BQ$9&lt;=$F37)*((BQ$9-$E37+1)/($G37*($G37+1)/2)*$C37)</f>
        <v>0</v>
      </c>
      <c r="BR37" s="160">
        <f>AND(BR$9&gt;=$E37,BR$9&lt;=$F37)*((BR$9-$E37+1)/($G37*($G37+1)/2)*$C37)</f>
        <v>0</v>
      </c>
      <c r="BS37" s="25"/>
    </row>
    <row r="38" spans="1:71" customFormat="1" x14ac:dyDescent="0.2">
      <c r="A38" s="25"/>
      <c r="B38" s="47" t="s">
        <v>62</v>
      </c>
      <c r="C38" s="159">
        <f ca="1">SUM(K38:BR38)</f>
        <v>5646157.8943355978</v>
      </c>
      <c r="D38" s="158"/>
      <c r="E38" s="157"/>
      <c r="F38" s="157"/>
      <c r="G38" s="157"/>
      <c r="H38" s="156"/>
      <c r="I38" s="155"/>
      <c r="J38" s="44"/>
      <c r="K38" s="154">
        <f ca="1">SUM(K71:K72)</f>
        <v>0</v>
      </c>
      <c r="L38" s="154">
        <f ca="1">SUM(L71:L72)</f>
        <v>0</v>
      </c>
      <c r="M38" s="154">
        <f ca="1">SUM(M71:M72)</f>
        <v>0</v>
      </c>
      <c r="N38" s="154">
        <f ca="1">SUM(N71:N72)</f>
        <v>0</v>
      </c>
      <c r="O38" s="154">
        <f ca="1">SUM(O71:O72)</f>
        <v>0</v>
      </c>
      <c r="P38" s="154">
        <f ca="1">SUM(P71:P72)</f>
        <v>0</v>
      </c>
      <c r="Q38" s="154">
        <f ca="1">SUM(Q71:Q72)</f>
        <v>0</v>
      </c>
      <c r="R38" s="154">
        <f ca="1">SUM(R71:R72)</f>
        <v>0</v>
      </c>
      <c r="S38" s="154">
        <f ca="1">SUM(S71:S72)</f>
        <v>0</v>
      </c>
      <c r="T38" s="154">
        <f ca="1">SUM(T71:T72)</f>
        <v>0</v>
      </c>
      <c r="U38" s="154">
        <f ca="1">SUM(U71:U72)</f>
        <v>0</v>
      </c>
      <c r="V38" s="154">
        <f ca="1">SUM(V71:V72)</f>
        <v>0</v>
      </c>
      <c r="W38" s="154">
        <f ca="1">SUM(W71:W72)</f>
        <v>0</v>
      </c>
      <c r="X38" s="154">
        <f ca="1">SUM(X71:X72)</f>
        <v>0</v>
      </c>
      <c r="Y38" s="154">
        <f ca="1">SUM(Y71:Y72)</f>
        <v>0</v>
      </c>
      <c r="Z38" s="154">
        <f ca="1">SUM(Z71:Z72)</f>
        <v>0</v>
      </c>
      <c r="AA38" s="154">
        <f ca="1">SUM(AA71:AA72)</f>
        <v>0</v>
      </c>
      <c r="AB38" s="154">
        <f ca="1">SUM(AB71:AB72)</f>
        <v>0</v>
      </c>
      <c r="AC38" s="154">
        <f ca="1">SUM(AC71:AC72)</f>
        <v>0</v>
      </c>
      <c r="AD38" s="154">
        <f ca="1">SUM(AD71:AD72)</f>
        <v>0</v>
      </c>
      <c r="AE38" s="154">
        <f ca="1">SUM(AE71:AE72)</f>
        <v>0</v>
      </c>
      <c r="AF38" s="154">
        <f ca="1">SUM(AF71:AF72)</f>
        <v>0</v>
      </c>
      <c r="AG38" s="154">
        <f ca="1">SUM(AG71:AG72)</f>
        <v>0</v>
      </c>
      <c r="AH38" s="154">
        <f ca="1">SUM(AH71:AH72)</f>
        <v>0</v>
      </c>
      <c r="AI38" s="154">
        <f ca="1">SUM(AI71:AI72)</f>
        <v>829726.63146269147</v>
      </c>
      <c r="AJ38" s="154">
        <f ca="1">SUM(AJ71:AJ72)</f>
        <v>22946.715579044889</v>
      </c>
      <c r="AK38" s="154">
        <f ca="1">SUM(AK71:AK72)</f>
        <v>49867.722484592436</v>
      </c>
      <c r="AL38" s="154">
        <f ca="1">SUM(AL71:AL72)</f>
        <v>79204.571940574067</v>
      </c>
      <c r="AM38" s="154">
        <f ca="1">SUM(AM71:AM72)</f>
        <v>109303.93169609545</v>
      </c>
      <c r="AN38" s="154">
        <f ca="1">SUM(AN71:AN72)</f>
        <v>138429.19976678301</v>
      </c>
      <c r="AO38" s="154">
        <f ca="1">SUM(AO71:AO72)</f>
        <v>163455.60856010343</v>
      </c>
      <c r="AP38" s="154">
        <f ca="1">SUM(AP71:AP72)</f>
        <v>184690.06883672904</v>
      </c>
      <c r="AQ38" s="154">
        <f ca="1">SUM(AQ71:AQ72)</f>
        <v>201817.04933608044</v>
      </c>
      <c r="AR38" s="154">
        <f ca="1">SUM(AR71:AR72)</f>
        <v>215056.59668648228</v>
      </c>
      <c r="AS38" s="154">
        <f ca="1">SUM(AS71:AS72)</f>
        <v>225000.07196353842</v>
      </c>
      <c r="AT38" s="154">
        <f ca="1">SUM(AT71:AT72)</f>
        <v>232413.05517676185</v>
      </c>
      <c r="AU38" s="154">
        <f ca="1">SUM(AU71:AU72)</f>
        <v>244478.91862683836</v>
      </c>
      <c r="AV38" s="154">
        <f ca="1">SUM(AV71:AV72)</f>
        <v>249051.09369866937</v>
      </c>
      <c r="AW38" s="154">
        <f ca="1">SUM(AW71:AW72)</f>
        <v>253021.97982312113</v>
      </c>
      <c r="AX38" s="154">
        <f ca="1">SUM(AX71:AX72)</f>
        <v>301968.63175335363</v>
      </c>
      <c r="AY38" s="154">
        <f ca="1">SUM(AY71:AY72)</f>
        <v>303101.01412242878</v>
      </c>
      <c r="AZ38" s="154">
        <f ca="1">SUM(AZ71:AZ72)</f>
        <v>304237.64292538801</v>
      </c>
      <c r="BA38" s="154">
        <f ca="1">SUM(BA71:BA72)</f>
        <v>305378.53408635833</v>
      </c>
      <c r="BB38" s="154">
        <f ca="1">SUM(BB71:BB72)</f>
        <v>306523.70358918217</v>
      </c>
      <c r="BC38" s="154">
        <f ca="1">SUM(BC71:BC72)</f>
        <v>307673.16747764172</v>
      </c>
      <c r="BD38" s="154">
        <f ca="1">SUM(BD71:BD72)</f>
        <v>308826.94185568293</v>
      </c>
      <c r="BE38" s="154">
        <f ca="1">SUM(BE71:BE72)</f>
        <v>309985.04288764187</v>
      </c>
      <c r="BF38" s="154">
        <f ca="1">SUM(BF71:BF72)</f>
        <v>-2.3748725652694702E-8</v>
      </c>
      <c r="BG38" s="154">
        <f ca="1">SUM(BG71:BG72)</f>
        <v>-2.3748725652694702E-8</v>
      </c>
      <c r="BH38" s="154">
        <f ca="1">SUM(BH71:BH72)</f>
        <v>-2.3748725652694702E-8</v>
      </c>
      <c r="BI38" s="154">
        <f ca="1">SUM(BI71:BI72)</f>
        <v>-2.3748725652694702E-8</v>
      </c>
      <c r="BJ38" s="154">
        <f ca="1">SUM(BJ71:BJ72)</f>
        <v>-2.3748725652694702E-8</v>
      </c>
      <c r="BK38" s="154">
        <f ca="1">SUM(BK71:BK72)</f>
        <v>-2.3748725652694702E-8</v>
      </c>
      <c r="BL38" s="154">
        <f ca="1">SUM(BL71:BL72)</f>
        <v>-2.3748725652694702E-8</v>
      </c>
      <c r="BM38" s="154">
        <f ca="1">SUM(BM71:BM72)</f>
        <v>-2.3748725652694702E-8</v>
      </c>
      <c r="BN38" s="154">
        <f ca="1">SUM(BN71:BN72)</f>
        <v>-2.3748725652694702E-8</v>
      </c>
      <c r="BO38" s="154">
        <f ca="1">SUM(BO71:BO72)</f>
        <v>-2.3748725652694702E-8</v>
      </c>
      <c r="BP38" s="154">
        <f ca="1">SUM(BP71:BP72)</f>
        <v>-2.3748725652694702E-8</v>
      </c>
      <c r="BQ38" s="154">
        <f ca="1">SUM(BQ71:BQ72)</f>
        <v>-2.3748725652694702E-8</v>
      </c>
      <c r="BR38" s="153">
        <f ca="1">SUM(BR71:BR72)</f>
        <v>-2.3748725652694702E-8</v>
      </c>
      <c r="BS38" s="25"/>
    </row>
    <row r="39" spans="1:71" customFormat="1" ht="16" thickBot="1" x14ac:dyDescent="0.25">
      <c r="A39" s="25"/>
      <c r="B39" s="152" t="s">
        <v>61</v>
      </c>
      <c r="C39" s="151">
        <f ca="1">SUM(J39:BR39)</f>
        <v>138287771.91044623</v>
      </c>
      <c r="D39" s="150"/>
      <c r="E39" s="149"/>
      <c r="F39" s="149"/>
      <c r="G39" s="149"/>
      <c r="H39" s="149"/>
      <c r="I39" s="148" t="str">
        <f ca="1">IF(ROUND(SUM($J39:$BR39),0)=ROUND(C39,0),"OK","error")</f>
        <v>OK</v>
      </c>
      <c r="J39" s="69">
        <f>SUM(J13:J37)</f>
        <v>30676452</v>
      </c>
      <c r="K39" s="69">
        <f ca="1">SUM(K13:K38)</f>
        <v>65559.034110700028</v>
      </c>
      <c r="L39" s="69">
        <f ca="1">SUM(L13:L38)</f>
        <v>281353.09570619406</v>
      </c>
      <c r="M39" s="69">
        <f ca="1">SUM(M13:M38)</f>
        <v>150602.57401560858</v>
      </c>
      <c r="N39" s="69">
        <f ca="1">SUM(N13:N38)</f>
        <v>173173.84351414302</v>
      </c>
      <c r="O39" s="69">
        <f ca="1">SUM(O13:O38)</f>
        <v>195706.78939514802</v>
      </c>
      <c r="P39" s="69">
        <f ca="1">SUM(P13:P38)</f>
        <v>216549.50765544316</v>
      </c>
      <c r="Q39" s="69">
        <f ca="1">SUM(Q13:Q38)</f>
        <v>233981.55305676704</v>
      </c>
      <c r="R39" s="69">
        <f ca="1">SUM(R13:R38)</f>
        <v>246489.36078827205</v>
      </c>
      <c r="S39" s="69">
        <f ca="1">SUM(S13:S38)</f>
        <v>253033.84135757212</v>
      </c>
      <c r="T39" s="69">
        <f ca="1">SUM(T13:T38)</f>
        <v>720704.91643505031</v>
      </c>
      <c r="U39" s="69">
        <f ca="1">SUM(U13:U38)</f>
        <v>213714.88639010041</v>
      </c>
      <c r="V39" s="69">
        <f ca="1">SUM(V13:V38)</f>
        <v>690483.85076655424</v>
      </c>
      <c r="W39" s="69">
        <f ca="1">SUM(W13:W38)</f>
        <v>182195.67828403699</v>
      </c>
      <c r="X39" s="69">
        <f ca="1">SUM(X13:X38)</f>
        <v>163040.51018080971</v>
      </c>
      <c r="Y39" s="69">
        <f ca="1">SUM(Y13:Y38)</f>
        <v>455487.01836883044</v>
      </c>
      <c r="Z39" s="69">
        <f ca="1">SUM(Z13:Z38)</f>
        <v>310237.75164071587</v>
      </c>
      <c r="AA39" s="69">
        <f ca="1">SUM(AA13:AA38)</f>
        <v>374817.80650540115</v>
      </c>
      <c r="AB39" s="69">
        <f ca="1">SUM(AB13:AB38)</f>
        <v>592377.13930081681</v>
      </c>
      <c r="AC39" s="69">
        <f ca="1">SUM(AC13:AC38)</f>
        <v>944769.00196916854</v>
      </c>
      <c r="AD39" s="69">
        <f ca="1">SUM(AD13:AD38)</f>
        <v>1474691.7007434161</v>
      </c>
      <c r="AE39" s="69">
        <f ca="1">SUM(AE13:AE38)</f>
        <v>2212076.4980085008</v>
      </c>
      <c r="AF39" s="69">
        <f ca="1">SUM(AF13:AF38)</f>
        <v>3156912.0368439918</v>
      </c>
      <c r="AG39" s="69">
        <f ca="1">SUM(AG13:AG38)</f>
        <v>4263331.2954537673</v>
      </c>
      <c r="AH39" s="69">
        <f ca="1">SUM(AH13:AH38)</f>
        <v>6119981.7692248244</v>
      </c>
      <c r="AI39" s="69">
        <f ca="1">SUM(AI13:AI38)</f>
        <v>7351119.88467093</v>
      </c>
      <c r="AJ39" s="69">
        <f ca="1">SUM(AJ13:AJ38)</f>
        <v>7352878.5189993186</v>
      </c>
      <c r="AK39" s="69">
        <f ca="1">SUM(AK13:AK38)</f>
        <v>7844633.7936859</v>
      </c>
      <c r="AL39" s="69">
        <f ca="1">SUM(AL13:AL38)</f>
        <v>7873970.6431418816</v>
      </c>
      <c r="AM39" s="69">
        <f ca="1">SUM(AM13:AM38)</f>
        <v>7439235.7351163691</v>
      </c>
      <c r="AN39" s="69">
        <f ca="1">SUM(AN13:AN38)</f>
        <v>6673709.0115521075</v>
      </c>
      <c r="AO39" s="69">
        <f ca="1">SUM(AO13:AO38)</f>
        <v>5662522.7404334797</v>
      </c>
      <c r="AP39" s="69">
        <f ca="1">SUM(AP13:AP38)</f>
        <v>4567194.7998270225</v>
      </c>
      <c r="AQ39" s="69">
        <f ca="1">SUM(AQ13:AQ38)</f>
        <v>3530545.9601071323</v>
      </c>
      <c r="AR39" s="69">
        <f ca="1">SUM(AR13:AR38)</f>
        <v>2651593.4072149456</v>
      </c>
      <c r="AS39" s="69">
        <f ca="1">SUM(AS13:AS38)</f>
        <v>1976795.5235262285</v>
      </c>
      <c r="AT39" s="69">
        <f ca="1">SUM(AT13:AT38)</f>
        <v>3217563.5866870522</v>
      </c>
      <c r="AU39" s="69">
        <f ca="1">SUM(AU13:AU38)</f>
        <v>1219246.6858215821</v>
      </c>
      <c r="AV39" s="69">
        <f ca="1">SUM(AV13:AV38)</f>
        <v>1058902.966520455</v>
      </c>
      <c r="AW39" s="69">
        <f ca="1">SUM(AW13:AW38)</f>
        <v>13052440.514728649</v>
      </c>
      <c r="AX39" s="69">
        <f ca="1">SUM(AX13:AX38)</f>
        <v>301968.63175335363</v>
      </c>
      <c r="AY39" s="69">
        <f ca="1">SUM(AY13:AY38)</f>
        <v>303101.01412242878</v>
      </c>
      <c r="AZ39" s="69">
        <f ca="1">SUM(AZ13:AZ38)</f>
        <v>304237.64292538801</v>
      </c>
      <c r="BA39" s="69">
        <f ca="1">SUM(BA13:BA38)</f>
        <v>305378.53408635833</v>
      </c>
      <c r="BB39" s="69">
        <f ca="1">SUM(BB13:BB38)</f>
        <v>306523.70358918217</v>
      </c>
      <c r="BC39" s="69">
        <f ca="1">SUM(BC13:BC38)</f>
        <v>307673.16747764172</v>
      </c>
      <c r="BD39" s="69">
        <f ca="1">SUM(BD13:BD38)</f>
        <v>308826.94185568293</v>
      </c>
      <c r="BE39" s="69">
        <f ca="1">SUM(BE13:BE38)</f>
        <v>309985.04288764187</v>
      </c>
      <c r="BF39" s="69">
        <f ca="1">SUM(BF13:BF38)</f>
        <v>-2.3748725652694702E-8</v>
      </c>
      <c r="BG39" s="69">
        <f ca="1">SUM(BG13:BG38)</f>
        <v>-2.3748725652694702E-8</v>
      </c>
      <c r="BH39" s="69">
        <f ca="1">SUM(BH13:BH38)</f>
        <v>-2.3748725652694702E-8</v>
      </c>
      <c r="BI39" s="69">
        <f ca="1">SUM(BI13:BI38)</f>
        <v>-2.3748725652694702E-8</v>
      </c>
      <c r="BJ39" s="69">
        <f ca="1">SUM(BJ13:BJ38)</f>
        <v>-2.3748725652694702E-8</v>
      </c>
      <c r="BK39" s="69">
        <f ca="1">SUM(BK13:BK38)</f>
        <v>-2.3748725652694702E-8</v>
      </c>
      <c r="BL39" s="69">
        <f ca="1">SUM(BL13:BL38)</f>
        <v>-2.3748725652694702E-8</v>
      </c>
      <c r="BM39" s="69">
        <f ca="1">SUM(BM13:BM38)</f>
        <v>-2.3748725652694702E-8</v>
      </c>
      <c r="BN39" s="69">
        <f ca="1">SUM(BN13:BN38)</f>
        <v>-2.3748725652694702E-8</v>
      </c>
      <c r="BO39" s="69">
        <f ca="1">SUM(BO13:BO38)</f>
        <v>-2.3748725652694702E-8</v>
      </c>
      <c r="BP39" s="69">
        <f ca="1">SUM(BP13:BP38)</f>
        <v>-2.3748725652694702E-8</v>
      </c>
      <c r="BQ39" s="69">
        <f ca="1">SUM(BQ13:BQ38)</f>
        <v>-2.3748725652694702E-8</v>
      </c>
      <c r="BR39" s="68">
        <f ca="1">SUM(BR13:BR38)</f>
        <v>-2.3748725652694702E-8</v>
      </c>
      <c r="BS39" s="25"/>
    </row>
    <row r="40" spans="1:71" customFormat="1" ht="16" thickBot="1" x14ac:dyDescent="0.25">
      <c r="A40" s="25"/>
      <c r="B40" s="147" t="s">
        <v>40</v>
      </c>
      <c r="C40" s="146"/>
      <c r="D40" s="145"/>
      <c r="E40" s="145"/>
      <c r="F40" s="145"/>
      <c r="G40" s="145"/>
      <c r="H40" s="145"/>
      <c r="I40" s="145"/>
      <c r="J40" s="144"/>
      <c r="K40" s="143">
        <f ca="1">(MAX($J$9:K9)&lt;47)*SUM($J$39:K39)</f>
        <v>30742011.034110699</v>
      </c>
      <c r="L40" s="143">
        <f ca="1">(MAX($J$9:L9)&lt;47)*SUM($J$39:L39)</f>
        <v>31023364.129816893</v>
      </c>
      <c r="M40" s="143">
        <f ca="1">(MAX($J$9:M9)&lt;47)*SUM($J$39:M39)</f>
        <v>31173966.703832503</v>
      </c>
      <c r="N40" s="143">
        <f ca="1">(MAX($J$9:N9)&lt;47)*SUM($J$39:N39)</f>
        <v>31347140.547346648</v>
      </c>
      <c r="O40" s="143">
        <f ca="1">(MAX($J$9:O9)&lt;47)*SUM($J$39:O39)</f>
        <v>31542847.336741798</v>
      </c>
      <c r="P40" s="143">
        <f ca="1">(MAX($J$9:P9)&lt;47)*SUM($J$39:P39)</f>
        <v>31759396.844397239</v>
      </c>
      <c r="Q40" s="143">
        <f ca="1">(MAX($J$9:Q9)&lt;47)*SUM($J$39:Q39)</f>
        <v>31993378.397454005</v>
      </c>
      <c r="R40" s="143">
        <f ca="1">(MAX($J$9:R9)&lt;47)*SUM($J$39:R39)</f>
        <v>32239867.758242276</v>
      </c>
      <c r="S40" s="143">
        <f ca="1">(MAX($J$9:S9)&lt;47)*SUM($J$39:S39)</f>
        <v>32492901.599599849</v>
      </c>
      <c r="T40" s="143">
        <f ca="1">(MAX($J$9:T9)&lt;47)*SUM($J$39:T39)</f>
        <v>33213606.516034901</v>
      </c>
      <c r="U40" s="143">
        <f ca="1">(MAX($J$9:U9)&lt;47)*SUM($J$39:U39)</f>
        <v>33427321.402425002</v>
      </c>
      <c r="V40" s="143">
        <f ca="1">(MAX($J$9:V9)&lt;47)*SUM($J$39:V39)</f>
        <v>34117805.253191553</v>
      </c>
      <c r="W40" s="143">
        <f ca="1">(MAX($J$9:W9)&lt;47)*SUM($J$39:W39)</f>
        <v>34300000.931475587</v>
      </c>
      <c r="X40" s="143">
        <f ca="1">(MAX($J$9:X9)&lt;47)*SUM($J$39:X39)</f>
        <v>34463041.441656396</v>
      </c>
      <c r="Y40" s="143">
        <f ca="1">(MAX($J$9:Y9)&lt;47)*SUM($J$39:Y39)</f>
        <v>34918528.460025229</v>
      </c>
      <c r="Z40" s="143">
        <f ca="1">(MAX($J$9:Z9)&lt;47)*SUM($J$39:Z39)</f>
        <v>35228766.211665943</v>
      </c>
      <c r="AA40" s="143">
        <f ca="1">(MAX($J$9:AA9)&lt;47)*SUM($J$39:AA39)</f>
        <v>35603584.018171348</v>
      </c>
      <c r="AB40" s="143">
        <f ca="1">(MAX($J$9:AB9)&lt;47)*SUM($J$39:AB39)</f>
        <v>36195961.157472163</v>
      </c>
      <c r="AC40" s="143">
        <f ca="1">(MAX($J$9:AC9)&lt;47)*SUM($J$39:AC39)</f>
        <v>37140730.15944133</v>
      </c>
      <c r="AD40" s="143">
        <f ca="1">(MAX($J$9:AD9)&lt;47)*SUM($J$39:AD39)</f>
        <v>38615421.860184744</v>
      </c>
      <c r="AE40" s="143">
        <f ca="1">(MAX($J$9:AE9)&lt;47)*SUM($J$39:AE39)</f>
        <v>40827498.358193249</v>
      </c>
      <c r="AF40" s="143">
        <f ca="1">(MAX($J$9:AF9)&lt;47)*SUM($J$39:AF39)</f>
        <v>43984410.395037241</v>
      </c>
      <c r="AG40" s="143">
        <f ca="1">(MAX($J$9:AG9)&lt;47)*SUM($J$39:AG39)</f>
        <v>48247741.690491006</v>
      </c>
      <c r="AH40" s="143">
        <f ca="1">(MAX($J$9:AH9)&lt;47)*SUM($J$39:AH39)</f>
        <v>54367723.459715828</v>
      </c>
      <c r="AI40" s="143">
        <f ca="1">(MAX($J$9:AI9)&lt;47)*SUM($J$39:AI39)</f>
        <v>61718843.344386756</v>
      </c>
      <c r="AJ40" s="143">
        <f ca="1">(MAX($J$9:AJ9)&lt;47)*SUM($J$39:AJ39)</f>
        <v>69071721.86338608</v>
      </c>
      <c r="AK40" s="143">
        <f ca="1">(MAX($J$9:AK9)&lt;47)*SUM($J$39:AK39)</f>
        <v>76916355.657071978</v>
      </c>
      <c r="AL40" s="143">
        <f ca="1">(MAX($J$9:AL9)&lt;47)*SUM($J$39:AL39)</f>
        <v>84790326.300213858</v>
      </c>
      <c r="AM40" s="143">
        <f ca="1">(MAX($J$9:AM9)&lt;47)*SUM($J$39:AM39)</f>
        <v>92229562.035330221</v>
      </c>
      <c r="AN40" s="143">
        <f ca="1">(MAX($J$9:AN9)&lt;47)*SUM($J$39:AN39)</f>
        <v>98903271.046882331</v>
      </c>
      <c r="AO40" s="143">
        <f ca="1">(MAX($J$9:AO9)&lt;47)*SUM($J$39:AO39)</f>
        <v>104565793.78731582</v>
      </c>
      <c r="AP40" s="143">
        <f ca="1">(MAX($J$9:AP9)&lt;47)*SUM($J$39:AP39)</f>
        <v>109132988.58714284</v>
      </c>
      <c r="AQ40" s="143">
        <f ca="1">(MAX($J$9:AQ9)&lt;47)*SUM($J$39:AQ39)</f>
        <v>112663534.54724997</v>
      </c>
      <c r="AR40" s="143">
        <f ca="1">(MAX($J$9:AR9)&lt;47)*SUM($J$39:AR39)</f>
        <v>115315127.95446491</v>
      </c>
      <c r="AS40" s="143">
        <f ca="1">(MAX($J$9:AS9)&lt;47)*SUM($J$39:AS39)</f>
        <v>117291923.47799113</v>
      </c>
      <c r="AT40" s="143">
        <f ca="1">(MAX($J$9:AT9)&lt;47)*SUM($J$39:AT39)</f>
        <v>120509487.06467819</v>
      </c>
      <c r="AU40" s="143">
        <f ca="1">(MAX($J$9:AU9)&lt;47)*SUM($J$39:AU39)</f>
        <v>121728733.75049977</v>
      </c>
      <c r="AV40" s="143">
        <f ca="1">(MAX($J$9:AV9)&lt;47)*SUM($J$39:AV39)</f>
        <v>122787636.71702023</v>
      </c>
      <c r="AW40" s="143">
        <f ca="1">(MAX($J$9:AW9)&lt;47)*SUM($J$39:AW39)</f>
        <v>135840077.23174888</v>
      </c>
      <c r="AX40" s="143">
        <f ca="1">(MAX($J$9:AX9)&lt;47)*SUM($J$39:AX39)</f>
        <v>136142045.86350223</v>
      </c>
      <c r="AY40" s="143">
        <f ca="1">(MAX($J$9:AY9)&lt;47)*SUM($J$39:AY39)</f>
        <v>136445146.87762466</v>
      </c>
      <c r="AZ40" s="143">
        <f ca="1">(MAX($J$9:AZ9)&lt;47)*SUM($J$39:AZ39)</f>
        <v>136749384.52055004</v>
      </c>
      <c r="BA40" s="143">
        <f ca="1">(MAX($J$9:BA9)&lt;47)*SUM($J$39:BA39)</f>
        <v>137054763.05463639</v>
      </c>
      <c r="BB40" s="143">
        <f ca="1">(MAX($J$9:BB9)&lt;47)*SUM($J$39:BB39)</f>
        <v>137361286.75822556</v>
      </c>
      <c r="BC40" s="143">
        <f ca="1">(MAX($J$9:BC9)&lt;47)*SUM($J$39:BC39)</f>
        <v>137668959.9257032</v>
      </c>
      <c r="BD40" s="143">
        <f ca="1">(MAX($J$9:BD9)&lt;47)*SUM($J$39:BD39)</f>
        <v>137977786.86755887</v>
      </c>
      <c r="BE40" s="143">
        <f ca="1">(MAX($J$9:BE9)&lt;47)*SUM($J$39:BE39)</f>
        <v>0</v>
      </c>
      <c r="BF40" s="143">
        <f ca="1">(MAX($J$9:BF9)&lt;47)*SUM($J$39:BF39)</f>
        <v>0</v>
      </c>
      <c r="BG40" s="143">
        <f ca="1">(MAX($J$9:BG9)&lt;47)*SUM($J$39:BG39)</f>
        <v>0</v>
      </c>
      <c r="BH40" s="143">
        <f ca="1">(MAX($J$9:BH9)&lt;47)*SUM($J$39:BH39)</f>
        <v>0</v>
      </c>
      <c r="BI40" s="143">
        <f ca="1">(MAX($J$9:BI9)&lt;47)*SUM($J$39:BI39)</f>
        <v>0</v>
      </c>
      <c r="BJ40" s="143">
        <f ca="1">(MAX($J$9:BJ9)&lt;47)*SUM($J$39:BJ39)</f>
        <v>0</v>
      </c>
      <c r="BK40" s="143">
        <f ca="1">(MAX($J$9:BK9)&lt;47)*SUM($J$39:BK39)</f>
        <v>0</v>
      </c>
      <c r="BL40" s="143">
        <f ca="1">(MAX($J$9:BL9)&lt;47)*SUM($J$39:BL39)</f>
        <v>0</v>
      </c>
      <c r="BM40" s="143">
        <f ca="1">(MAX($J$9:BM9)&lt;47)*SUM($J$39:BM39)</f>
        <v>0</v>
      </c>
      <c r="BN40" s="143">
        <f ca="1">(MAX($J$9:BN9)&lt;47)*SUM($J$39:BN39)</f>
        <v>0</v>
      </c>
      <c r="BO40" s="143">
        <f ca="1">(MAX($J$9:BO9)&lt;47)*SUM($J$39:BO39)</f>
        <v>0</v>
      </c>
      <c r="BP40" s="143">
        <f ca="1">(MAX($J$9:BP9)&lt;47)*SUM($J$39:BP39)</f>
        <v>0</v>
      </c>
      <c r="BQ40" s="143">
        <f ca="1">(MAX($J$9:BQ9)&lt;47)*SUM($J$39:BQ39)</f>
        <v>0</v>
      </c>
      <c r="BR40" s="142">
        <f ca="1">(MAX($J$9:BR9)&lt;47)*SUM($J$39:BR39)</f>
        <v>0</v>
      </c>
      <c r="BS40" s="25"/>
    </row>
    <row r="41" spans="1:71" customFormat="1" x14ac:dyDescent="0.2">
      <c r="A41" s="25"/>
      <c r="B41" s="31"/>
      <c r="C41" s="25"/>
      <c r="D41" s="25"/>
      <c r="E41" s="25"/>
      <c r="F41" s="25"/>
      <c r="G41" s="25"/>
      <c r="H41" s="25"/>
      <c r="I41" s="25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25"/>
    </row>
    <row r="42" spans="1:71" customFormat="1" x14ac:dyDescent="0.2">
      <c r="A42" s="25"/>
      <c r="B42" s="141" t="s">
        <v>60</v>
      </c>
      <c r="C42" s="140"/>
      <c r="D42" s="25"/>
      <c r="E42" s="25"/>
      <c r="F42" s="25"/>
      <c r="G42" s="25"/>
      <c r="H42" s="25"/>
      <c r="I42" s="25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8"/>
      <c r="BK42" s="138"/>
      <c r="BL42" s="138"/>
      <c r="BM42" s="138"/>
      <c r="BN42" s="138"/>
      <c r="BO42" s="138"/>
      <c r="BP42" s="138"/>
      <c r="BQ42" s="138"/>
      <c r="BR42" s="138"/>
      <c r="BS42" s="25"/>
    </row>
    <row r="43" spans="1:71" customFormat="1" x14ac:dyDescent="0.2">
      <c r="A43" s="25"/>
      <c r="B43" s="52" t="s">
        <v>59</v>
      </c>
      <c r="C43" s="133">
        <f ca="1">C39</f>
        <v>138287771.91044623</v>
      </c>
      <c r="D43" s="139"/>
      <c r="E43" s="25"/>
      <c r="F43" s="25"/>
      <c r="G43" s="25"/>
      <c r="H43" s="25"/>
      <c r="I43" s="25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25"/>
    </row>
    <row r="44" spans="1:71" customFormat="1" x14ac:dyDescent="0.2">
      <c r="A44" s="25"/>
      <c r="B44" s="52" t="s">
        <v>58</v>
      </c>
      <c r="C44" s="137">
        <v>0.6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</row>
    <row r="45" spans="1:71" x14ac:dyDescent="0.2">
      <c r="B45" s="52" t="s">
        <v>57</v>
      </c>
      <c r="C45" s="133">
        <f ca="1">IF(C53="on",1,C39*C44)</f>
        <v>82972663.146267727</v>
      </c>
    </row>
    <row r="46" spans="1:71" x14ac:dyDescent="0.2">
      <c r="B46" s="52" t="s">
        <v>48</v>
      </c>
      <c r="C46" s="133">
        <f ca="1">+C43-C45</f>
        <v>55315108.7641785</v>
      </c>
    </row>
    <row r="47" spans="1:71" x14ac:dyDescent="0.2">
      <c r="B47" s="52" t="s">
        <v>56</v>
      </c>
      <c r="C47" s="135">
        <v>0.03</v>
      </c>
    </row>
    <row r="48" spans="1:71" x14ac:dyDescent="0.2">
      <c r="B48" s="67" t="s">
        <v>55</v>
      </c>
      <c r="C48" s="136">
        <v>5</v>
      </c>
    </row>
    <row r="49" spans="2:70" x14ac:dyDescent="0.2">
      <c r="B49" s="67" t="s">
        <v>36</v>
      </c>
      <c r="C49" s="135">
        <v>0.03</v>
      </c>
    </row>
    <row r="50" spans="2:70" x14ac:dyDescent="0.2">
      <c r="B50" s="67" t="s">
        <v>38</v>
      </c>
      <c r="C50" s="135">
        <v>4.4999999999999998E-2</v>
      </c>
    </row>
    <row r="51" spans="2:70" x14ac:dyDescent="0.2">
      <c r="B51" s="52" t="s">
        <v>54</v>
      </c>
      <c r="C51" s="134">
        <v>0.01</v>
      </c>
      <c r="E51" s="25" t="s">
        <v>53</v>
      </c>
    </row>
    <row r="52" spans="2:70" ht="16" thickBot="1" x14ac:dyDescent="0.25">
      <c r="B52" s="52" t="s">
        <v>52</v>
      </c>
      <c r="C52" s="133">
        <f ca="1">+C45*C51</f>
        <v>829726.63146267727</v>
      </c>
      <c r="E52" s="25" t="s">
        <v>50</v>
      </c>
    </row>
    <row r="53" spans="2:70" ht="16" thickBot="1" x14ac:dyDescent="0.25">
      <c r="B53" s="132" t="s">
        <v>51</v>
      </c>
      <c r="C53" s="131" t="s">
        <v>50</v>
      </c>
    </row>
    <row r="55" spans="2:70" x14ac:dyDescent="0.2">
      <c r="B55" s="62" t="s">
        <v>49</v>
      </c>
      <c r="C55" s="58"/>
      <c r="D55" s="58"/>
      <c r="E55" s="58"/>
      <c r="F55" s="60"/>
      <c r="G55" s="61"/>
      <c r="H55" s="60"/>
      <c r="I55" s="61"/>
      <c r="J55" s="60"/>
      <c r="K55" s="59"/>
      <c r="L55" s="59"/>
      <c r="M55" s="58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6"/>
    </row>
    <row r="56" spans="2:70" x14ac:dyDescent="0.2">
      <c r="B56" s="130" t="s">
        <v>48</v>
      </c>
      <c r="C56" s="120"/>
      <c r="D56" s="120"/>
      <c r="E56" s="120"/>
      <c r="F56" s="119"/>
      <c r="G56" s="119"/>
      <c r="H56" s="129"/>
      <c r="I56" s="129"/>
      <c r="J56" s="49"/>
      <c r="K56" s="49"/>
      <c r="L56" s="49"/>
      <c r="M56" s="49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S56" s="128"/>
      <c r="AT56" s="128"/>
      <c r="AU56" s="128"/>
      <c r="AV56" s="128"/>
      <c r="AW56" s="128"/>
      <c r="AX56" s="128"/>
      <c r="AY56" s="128"/>
      <c r="AZ56" s="128"/>
      <c r="BA56" s="128"/>
      <c r="BB56" s="128"/>
      <c r="BC56" s="128"/>
      <c r="BD56" s="128"/>
      <c r="BE56" s="128"/>
      <c r="BF56" s="128"/>
      <c r="BG56" s="128"/>
      <c r="BH56" s="128"/>
      <c r="BI56" s="128"/>
      <c r="BJ56" s="128"/>
      <c r="BK56" s="128"/>
      <c r="BL56" s="128"/>
      <c r="BM56" s="128"/>
      <c r="BN56" s="128"/>
      <c r="BO56" s="128"/>
      <c r="BP56" s="128"/>
      <c r="BQ56" s="128"/>
      <c r="BR56" s="127"/>
    </row>
    <row r="57" spans="2:70" x14ac:dyDescent="0.2">
      <c r="B57" s="126"/>
      <c r="C57" s="70" t="s">
        <v>44</v>
      </c>
      <c r="D57" s="70"/>
      <c r="E57" s="125"/>
      <c r="F57" s="124"/>
      <c r="G57" s="124"/>
      <c r="H57" s="70"/>
      <c r="I57" s="70"/>
      <c r="J57" s="69">
        <f ca="1">C46</f>
        <v>55315108.7641785</v>
      </c>
      <c r="K57" s="69">
        <f ca="1">J59</f>
        <v>24638656.764179438</v>
      </c>
      <c r="L57" s="69">
        <f ca="1">K59</f>
        <v>24573097.730068367</v>
      </c>
      <c r="M57" s="69">
        <f ca="1">L59</f>
        <v>24291744.634361472</v>
      </c>
      <c r="N57" s="69">
        <f ca="1">M59</f>
        <v>24141142.060347069</v>
      </c>
      <c r="O57" s="69">
        <f ca="1">N59</f>
        <v>23967968.216831658</v>
      </c>
      <c r="P57" s="69">
        <f ca="1">O59</f>
        <v>23772261.427437775</v>
      </c>
      <c r="Q57" s="69">
        <f ca="1">P59</f>
        <v>23555711.919780843</v>
      </c>
      <c r="R57" s="69">
        <f ca="1">Q59</f>
        <v>23321730.366726045</v>
      </c>
      <c r="S57" s="69">
        <f ca="1">R59</f>
        <v>23075241.005935404</v>
      </c>
      <c r="T57" s="69">
        <f ca="1">S59</f>
        <v>22822207.164580319</v>
      </c>
      <c r="U57" s="69">
        <f ca="1">T59</f>
        <v>22101502.248143524</v>
      </c>
      <c r="V57" s="69">
        <f ca="1">U59</f>
        <v>21887787.361753721</v>
      </c>
      <c r="W57" s="69">
        <f ca="1">V59</f>
        <v>21197303.510988209</v>
      </c>
      <c r="X57" s="69">
        <f ca="1">W59</f>
        <v>21015107.832702145</v>
      </c>
      <c r="Y57" s="69">
        <f ca="1">X59</f>
        <v>20852067.322523348</v>
      </c>
      <c r="Z57" s="69">
        <f ca="1">Y59</f>
        <v>20396580.304154385</v>
      </c>
      <c r="AA57" s="69">
        <f ca="1">Z59</f>
        <v>20086342.552510198</v>
      </c>
      <c r="AB57" s="69">
        <f ca="1">AA59</f>
        <v>19711524.746012993</v>
      </c>
      <c r="AC57" s="69">
        <f ca="1">AB59</f>
        <v>19119147.60669829</v>
      </c>
      <c r="AD57" s="69">
        <f ca="1">AC59</f>
        <v>18174378.604747329</v>
      </c>
      <c r="AE57" s="69">
        <f ca="1">AD59</f>
        <v>16699686.903987447</v>
      </c>
      <c r="AF57" s="69">
        <f ca="1">AE59</f>
        <v>14487610.405987961</v>
      </c>
      <c r="AG57" s="69">
        <f ca="1">AF59</f>
        <v>11330698.369140454</v>
      </c>
      <c r="AH57" s="69">
        <f ca="1">AG59</f>
        <v>7067367.0736934366</v>
      </c>
      <c r="AI57" s="69">
        <f ca="1">AH59</f>
        <v>947385.30445134174</v>
      </c>
      <c r="AJ57" s="69">
        <f ca="1">AI59</f>
        <v>0</v>
      </c>
      <c r="AK57" s="69">
        <f ca="1">AJ59</f>
        <v>0</v>
      </c>
      <c r="AL57" s="69">
        <f ca="1">AK59</f>
        <v>0</v>
      </c>
      <c r="AM57" s="69">
        <f ca="1">AL59</f>
        <v>0</v>
      </c>
      <c r="AN57" s="69">
        <f ca="1">AM59</f>
        <v>0</v>
      </c>
      <c r="AO57" s="69">
        <f ca="1">AN59</f>
        <v>0</v>
      </c>
      <c r="AP57" s="69">
        <f ca="1">AO59</f>
        <v>0</v>
      </c>
      <c r="AQ57" s="69">
        <f ca="1">AP59</f>
        <v>0</v>
      </c>
      <c r="AR57" s="69">
        <f ca="1">AQ59</f>
        <v>0</v>
      </c>
      <c r="AS57" s="69">
        <f ca="1">AR59</f>
        <v>0</v>
      </c>
      <c r="AT57" s="69">
        <f ca="1">AS59</f>
        <v>0</v>
      </c>
      <c r="AU57" s="69">
        <f ca="1">AT59</f>
        <v>0</v>
      </c>
      <c r="AV57" s="69">
        <f ca="1">AU59</f>
        <v>0</v>
      </c>
      <c r="AW57" s="69">
        <f ca="1">AV59</f>
        <v>0</v>
      </c>
      <c r="AX57" s="69">
        <f ca="1">AW59</f>
        <v>0</v>
      </c>
      <c r="AY57" s="69">
        <f ca="1">AX59</f>
        <v>0</v>
      </c>
      <c r="AZ57" s="69">
        <f ca="1">AY59</f>
        <v>0</v>
      </c>
      <c r="BA57" s="69">
        <f ca="1">AZ59</f>
        <v>0</v>
      </c>
      <c r="BB57" s="69">
        <f ca="1">BA59</f>
        <v>0</v>
      </c>
      <c r="BC57" s="69">
        <f ca="1">BB59</f>
        <v>0</v>
      </c>
      <c r="BD57" s="69">
        <f ca="1">BC59</f>
        <v>0</v>
      </c>
      <c r="BE57" s="69">
        <f ca="1">BD59</f>
        <v>0</v>
      </c>
      <c r="BF57" s="69">
        <f ca="1">BE59</f>
        <v>0</v>
      </c>
      <c r="BG57" s="69">
        <f ca="1">BF59</f>
        <v>5.0850212574005122E-8</v>
      </c>
      <c r="BH57" s="69">
        <f ca="1">BG59</f>
        <v>5.0682574510574336E-8</v>
      </c>
      <c r="BI57" s="69">
        <f ca="1">BH59</f>
        <v>5.0682574510574336E-8</v>
      </c>
      <c r="BJ57" s="69">
        <f ca="1">BI59</f>
        <v>5.0682574510574336E-8</v>
      </c>
      <c r="BK57" s="123">
        <f ca="1">BJ59</f>
        <v>5.0682574510574336E-8</v>
      </c>
      <c r="BL57" s="123">
        <f ca="1">BK59</f>
        <v>5.0682574510574336E-8</v>
      </c>
      <c r="BM57" s="123">
        <f ca="1">BL59</f>
        <v>5.0682574510574336E-8</v>
      </c>
      <c r="BN57" s="123">
        <f ca="1">BM59</f>
        <v>6.6105276346206656E-8</v>
      </c>
      <c r="BO57" s="123">
        <f ca="1">BN59</f>
        <v>6.6105276346206656E-8</v>
      </c>
      <c r="BP57" s="123">
        <f ca="1">BO59</f>
        <v>7.8789889812469477E-8</v>
      </c>
      <c r="BQ57" s="123">
        <f ca="1">BP59</f>
        <v>7.8789889812469477E-8</v>
      </c>
      <c r="BR57" s="122">
        <f ca="1">BQ59</f>
        <v>7.8510493040084823E-8</v>
      </c>
    </row>
    <row r="58" spans="2:70" x14ac:dyDescent="0.2">
      <c r="B58" s="52"/>
      <c r="C58" s="49" t="s">
        <v>47</v>
      </c>
      <c r="D58" s="49"/>
      <c r="E58" s="120"/>
      <c r="F58" s="121"/>
      <c r="G58" s="121"/>
      <c r="H58" s="49"/>
      <c r="I58" s="49"/>
      <c r="J58" s="54">
        <f ca="1">MIN(J57,J39)</f>
        <v>30676452</v>
      </c>
      <c r="K58" s="54">
        <f ca="1">MIN(K57,K39)</f>
        <v>65559.034110700028</v>
      </c>
      <c r="L58" s="54">
        <f ca="1">MIN(L57,L39)</f>
        <v>281353.09570619406</v>
      </c>
      <c r="M58" s="54">
        <f ca="1">MIN(M57,M39)</f>
        <v>150602.57401560858</v>
      </c>
      <c r="N58" s="54">
        <f ca="1">MIN(N57,N39)</f>
        <v>173173.84351414302</v>
      </c>
      <c r="O58" s="54">
        <f ca="1">MIN(O57,O39)</f>
        <v>195706.78939514802</v>
      </c>
      <c r="P58" s="54">
        <f ca="1">MIN(P57,P39)</f>
        <v>216549.50765544316</v>
      </c>
      <c r="Q58" s="54">
        <f ca="1">MIN(Q57,Q39)</f>
        <v>233981.55305676704</v>
      </c>
      <c r="R58" s="54">
        <f ca="1">MIN(R57,R39)</f>
        <v>246489.36078827205</v>
      </c>
      <c r="S58" s="54">
        <f ca="1">MIN(S57,S39)</f>
        <v>253033.84135757212</v>
      </c>
      <c r="T58" s="54">
        <f ca="1">MIN(T57,T39)</f>
        <v>720704.91643505031</v>
      </c>
      <c r="U58" s="54">
        <f ca="1">MIN(U57,U39)</f>
        <v>213714.88639010041</v>
      </c>
      <c r="V58" s="54">
        <f ca="1">MIN(V57,V39)</f>
        <v>690483.85076655424</v>
      </c>
      <c r="W58" s="54">
        <f ca="1">MIN(W57,W39)</f>
        <v>182195.67828403699</v>
      </c>
      <c r="X58" s="54">
        <f ca="1">MIN(X57,X39)</f>
        <v>163040.51018080971</v>
      </c>
      <c r="Y58" s="54">
        <f ca="1">MIN(Y57,Y39)</f>
        <v>455487.01836883044</v>
      </c>
      <c r="Z58" s="54">
        <f ca="1">MIN(Z57,Z39)</f>
        <v>310237.75164071587</v>
      </c>
      <c r="AA58" s="54">
        <f ca="1">MIN(AA57,AA39)</f>
        <v>374817.80650540115</v>
      </c>
      <c r="AB58" s="54">
        <f ca="1">MIN(AB57,AB39)</f>
        <v>592377.13930081681</v>
      </c>
      <c r="AC58" s="54">
        <f ca="1">MIN(AC57,AC39)</f>
        <v>944769.00196916854</v>
      </c>
      <c r="AD58" s="54">
        <f ca="1">MIN(AD57,AD39)</f>
        <v>1474691.7007434161</v>
      </c>
      <c r="AE58" s="54">
        <f ca="1">MIN(AE57,AE39)</f>
        <v>2212076.4980085008</v>
      </c>
      <c r="AF58" s="54">
        <f ca="1">MIN(AF57,AF39)</f>
        <v>3156912.0368439918</v>
      </c>
      <c r="AG58" s="54">
        <f ca="1">MIN(AG57,AG39)</f>
        <v>4263331.2954537673</v>
      </c>
      <c r="AH58" s="54">
        <f ca="1">MIN(AH57,AH39)</f>
        <v>6119981.7692248244</v>
      </c>
      <c r="AI58" s="54">
        <f ca="1">MIN(AI57,AI39)</f>
        <v>947385.30445134174</v>
      </c>
      <c r="AJ58" s="54">
        <f ca="1">MIN(AJ57,AJ39)</f>
        <v>0</v>
      </c>
      <c r="AK58" s="54">
        <f ca="1">MIN(AK57,AK39)</f>
        <v>0</v>
      </c>
      <c r="AL58" s="54">
        <f ca="1">MIN(AL57,AL39)</f>
        <v>0</v>
      </c>
      <c r="AM58" s="54">
        <f ca="1">MIN(AM57,AM39)</f>
        <v>0</v>
      </c>
      <c r="AN58" s="54">
        <f ca="1">MIN(AN57,AN39)</f>
        <v>0</v>
      </c>
      <c r="AO58" s="54">
        <f ca="1">MIN(AO57,AO39)</f>
        <v>0</v>
      </c>
      <c r="AP58" s="54">
        <f ca="1">MIN(AP57,AP39)</f>
        <v>0</v>
      </c>
      <c r="AQ58" s="54">
        <f ca="1">MIN(AQ57,AQ39)</f>
        <v>0</v>
      </c>
      <c r="AR58" s="54">
        <f ca="1">MIN(AR57,AR39)</f>
        <v>0</v>
      </c>
      <c r="AS58" s="54">
        <f ca="1">MIN(AS57,AS39)</f>
        <v>0</v>
      </c>
      <c r="AT58" s="54">
        <f ca="1">MIN(AT57,AT39)</f>
        <v>0</v>
      </c>
      <c r="AU58" s="54">
        <f ca="1">MIN(AU57,AU39)</f>
        <v>0</v>
      </c>
      <c r="AV58" s="54">
        <f ca="1">MIN(AV57,AV39)</f>
        <v>0</v>
      </c>
      <c r="AW58" s="54">
        <f ca="1">MIN(AW57,AW39)</f>
        <v>0</v>
      </c>
      <c r="AX58" s="54">
        <f ca="1">MIN(AX57,AX39)</f>
        <v>0</v>
      </c>
      <c r="AY58" s="54">
        <f ca="1">MIN(AY57,AY39)</f>
        <v>0</v>
      </c>
      <c r="AZ58" s="54">
        <f ca="1">MIN(AZ57,AZ39)</f>
        <v>0</v>
      </c>
      <c r="BA58" s="54">
        <f ca="1">MIN(BA57,BA39)</f>
        <v>0</v>
      </c>
      <c r="BB58" s="54">
        <f ca="1">MIN(BB57,BB39)</f>
        <v>0</v>
      </c>
      <c r="BC58" s="54">
        <f ca="1">MIN(BC57,BC39)</f>
        <v>0</v>
      </c>
      <c r="BD58" s="54">
        <f ca="1">MIN(BD57,BD39)</f>
        <v>0</v>
      </c>
      <c r="BE58" s="54">
        <f ca="1">MIN(BE57,BE39)</f>
        <v>0</v>
      </c>
      <c r="BF58" s="54">
        <f ca="1">MIN(BF57,BF39)</f>
        <v>-2.3748725652694702E-8</v>
      </c>
      <c r="BG58" s="54">
        <f ca="1">MIN(BG57,BG39)</f>
        <v>-2.3748725652694702E-8</v>
      </c>
      <c r="BH58" s="54">
        <f ca="1">MIN(BH57,BH39)</f>
        <v>-2.3748725652694702E-8</v>
      </c>
      <c r="BI58" s="54">
        <f ca="1">MIN(BI57,BI39)</f>
        <v>-2.3748725652694702E-8</v>
      </c>
      <c r="BJ58" s="54">
        <f ca="1">MIN(BJ57,BJ39)</f>
        <v>-2.3748725652694702E-8</v>
      </c>
      <c r="BK58" s="118">
        <f ca="1">MIN(BK57,BK39)</f>
        <v>-2.3748725652694702E-8</v>
      </c>
      <c r="BL58" s="118">
        <f ca="1">MIN(BL57,BL39)</f>
        <v>-2.3748725652694702E-8</v>
      </c>
      <c r="BM58" s="118">
        <f ca="1">MIN(BM57,BM39)</f>
        <v>-2.3748725652694702E-8</v>
      </c>
      <c r="BN58" s="118">
        <f ca="1">MIN(BN57,BN39)</f>
        <v>-2.3748725652694702E-8</v>
      </c>
      <c r="BO58" s="118">
        <f ca="1">MIN(BO57,BO39)</f>
        <v>-2.3748725652694702E-8</v>
      </c>
      <c r="BP58" s="118">
        <f ca="1">MIN(BP57,BP39)</f>
        <v>-2.3748725652694702E-8</v>
      </c>
      <c r="BQ58" s="118">
        <f ca="1">MIN(BQ57,BQ39)</f>
        <v>-2.3748725652694702E-8</v>
      </c>
      <c r="BR58" s="117">
        <f ca="1">MIN(BR57,BR39)</f>
        <v>-2.3748725652694702E-8</v>
      </c>
    </row>
    <row r="59" spans="2:70" x14ac:dyDescent="0.2">
      <c r="B59" s="52"/>
      <c r="C59" s="49" t="s">
        <v>42</v>
      </c>
      <c r="D59" s="49"/>
      <c r="E59" s="120"/>
      <c r="F59" s="119"/>
      <c r="G59" s="119"/>
      <c r="H59" s="49"/>
      <c r="I59" s="49"/>
      <c r="J59" s="54">
        <f ca="1">+J57-J58</f>
        <v>24638656.7641785</v>
      </c>
      <c r="K59" s="54">
        <f ca="1">+K57-K58</f>
        <v>24573097.73006874</v>
      </c>
      <c r="L59" s="54">
        <f ca="1">+L57-L58</f>
        <v>24291744.634362172</v>
      </c>
      <c r="M59" s="54">
        <f ca="1">+M57-M58</f>
        <v>24141142.060345862</v>
      </c>
      <c r="N59" s="54">
        <f ca="1">+N57-N58</f>
        <v>23967968.216832925</v>
      </c>
      <c r="O59" s="54">
        <f ca="1">+O57-O58</f>
        <v>23772261.427436508</v>
      </c>
      <c r="P59" s="54">
        <f ca="1">+P57-P58</f>
        <v>23555711.919782333</v>
      </c>
      <c r="Q59" s="54">
        <f ca="1">+Q57-Q58</f>
        <v>23321730.366724078</v>
      </c>
      <c r="R59" s="54">
        <f ca="1">+R57-R58</f>
        <v>23075241.005937774</v>
      </c>
      <c r="S59" s="54">
        <f ca="1">+S57-S58</f>
        <v>22822207.164577831</v>
      </c>
      <c r="T59" s="54">
        <f ca="1">+T57-T58</f>
        <v>22101502.248145267</v>
      </c>
      <c r="U59" s="54">
        <f ca="1">+U57-U58</f>
        <v>21887787.361753423</v>
      </c>
      <c r="V59" s="54">
        <f ca="1">+V57-V58</f>
        <v>21197303.510987166</v>
      </c>
      <c r="W59" s="54">
        <f ca="1">+W57-W58</f>
        <v>21015107.832704172</v>
      </c>
      <c r="X59" s="54">
        <f ca="1">+X57-X58</f>
        <v>20852067.322521336</v>
      </c>
      <c r="Y59" s="54">
        <f ca="1">+Y57-Y58</f>
        <v>20396580.304154519</v>
      </c>
      <c r="Z59" s="54">
        <f ca="1">+Z57-Z58</f>
        <v>20086342.55251367</v>
      </c>
      <c r="AA59" s="54">
        <f ca="1">+AA57-AA58</f>
        <v>19711524.746004798</v>
      </c>
      <c r="AB59" s="54">
        <f ca="1">+AB57-AB58</f>
        <v>19119147.606712177</v>
      </c>
      <c r="AC59" s="54">
        <f ca="1">+AC57-AC58</f>
        <v>18174378.60472912</v>
      </c>
      <c r="AD59" s="54">
        <f ca="1">+AD57-AD58</f>
        <v>16699686.904003913</v>
      </c>
      <c r="AE59" s="54">
        <f ca="1">+AE57-AE58</f>
        <v>14487610.405978946</v>
      </c>
      <c r="AF59" s="54">
        <f ca="1">+AF57-AF58</f>
        <v>11330698.36914397</v>
      </c>
      <c r="AG59" s="54">
        <f ca="1">+AG57-AG58</f>
        <v>7067367.0736866863</v>
      </c>
      <c r="AH59" s="54">
        <f ca="1">+AH57-AH58</f>
        <v>947385.30446861219</v>
      </c>
      <c r="AI59" s="54">
        <f ca="1">+AI57-AI58</f>
        <v>0</v>
      </c>
      <c r="AJ59" s="54">
        <f ca="1">+AJ57-AJ58</f>
        <v>0</v>
      </c>
      <c r="AK59" s="54">
        <f ca="1">+AK57-AK58</f>
        <v>0</v>
      </c>
      <c r="AL59" s="54">
        <f ca="1">+AL57-AL58</f>
        <v>0</v>
      </c>
      <c r="AM59" s="54">
        <f ca="1">+AM57-AM58</f>
        <v>0</v>
      </c>
      <c r="AN59" s="54">
        <f ca="1">+AN57-AN58</f>
        <v>0</v>
      </c>
      <c r="AO59" s="54">
        <f ca="1">+AO57-AO58</f>
        <v>0</v>
      </c>
      <c r="AP59" s="54">
        <f ca="1">+AP57-AP58</f>
        <v>0</v>
      </c>
      <c r="AQ59" s="54">
        <f ca="1">+AQ57-AQ58</f>
        <v>0</v>
      </c>
      <c r="AR59" s="54">
        <f ca="1">+AR57-AR58</f>
        <v>0</v>
      </c>
      <c r="AS59" s="54">
        <f ca="1">+AS57-AS58</f>
        <v>0</v>
      </c>
      <c r="AT59" s="54">
        <f ca="1">+AT57-AT58</f>
        <v>0</v>
      </c>
      <c r="AU59" s="54">
        <f ca="1">+AU57-AU58</f>
        <v>0</v>
      </c>
      <c r="AV59" s="54">
        <f ca="1">+AV57-AV58</f>
        <v>0</v>
      </c>
      <c r="AW59" s="54">
        <f ca="1">+AW57-AW58</f>
        <v>0</v>
      </c>
      <c r="AX59" s="54">
        <f ca="1">+AX57-AX58</f>
        <v>0</v>
      </c>
      <c r="AY59" s="54">
        <f ca="1">+AY57-AY58</f>
        <v>0</v>
      </c>
      <c r="AZ59" s="54">
        <f ca="1">+AZ57-AZ58</f>
        <v>0</v>
      </c>
      <c r="BA59" s="54">
        <f ca="1">+BA57-BA58</f>
        <v>0</v>
      </c>
      <c r="BB59" s="54">
        <f ca="1">+BB57-BB58</f>
        <v>0</v>
      </c>
      <c r="BC59" s="54">
        <f ca="1">+BC57-BC58</f>
        <v>0</v>
      </c>
      <c r="BD59" s="54">
        <f ca="1">+BD57-BD58</f>
        <v>0</v>
      </c>
      <c r="BE59" s="54">
        <f ca="1">+BE57-BE58</f>
        <v>0</v>
      </c>
      <c r="BF59" s="54">
        <f ca="1">+BF57-BF58</f>
        <v>2.3748725652694702E-8</v>
      </c>
      <c r="BG59" s="54">
        <f ca="1">+BG57-BG58</f>
        <v>7.4598938226699824E-8</v>
      </c>
      <c r="BH59" s="54">
        <f ca="1">+BH57-BH58</f>
        <v>7.4431300163269031E-8</v>
      </c>
      <c r="BI59" s="54">
        <f ca="1">+BI57-BI58</f>
        <v>7.4431300163269031E-8</v>
      </c>
      <c r="BJ59" s="54">
        <f ca="1">+BJ57-BJ58</f>
        <v>7.4431300163269031E-8</v>
      </c>
      <c r="BK59" s="118">
        <f ca="1">+BK57-BK58</f>
        <v>7.4431300163269031E-8</v>
      </c>
      <c r="BL59" s="118">
        <f ca="1">+BL57-BL58</f>
        <v>7.4431300163269031E-8</v>
      </c>
      <c r="BM59" s="118">
        <f ca="1">+BM57-BM58</f>
        <v>7.4431300163269031E-8</v>
      </c>
      <c r="BN59" s="118">
        <f ca="1">+BN57-BN58</f>
        <v>8.9854001998901358E-8</v>
      </c>
      <c r="BO59" s="118">
        <f ca="1">+BO57-BO58</f>
        <v>8.9854001998901358E-8</v>
      </c>
      <c r="BP59" s="118">
        <f ca="1">+BP57-BP58</f>
        <v>1.0253861546516418E-7</v>
      </c>
      <c r="BQ59" s="118">
        <f ca="1">+BQ57-BQ58</f>
        <v>1.0253861546516418E-7</v>
      </c>
      <c r="BR59" s="117">
        <f ca="1">+BR57-BR58</f>
        <v>1.0225921869277953E-7</v>
      </c>
    </row>
    <row r="60" spans="2:70" x14ac:dyDescent="0.2">
      <c r="B60" s="47"/>
      <c r="C60" s="44" t="s">
        <v>46</v>
      </c>
      <c r="D60" s="44"/>
      <c r="E60" s="116"/>
      <c r="F60" s="115"/>
      <c r="G60" s="115"/>
      <c r="H60" s="44"/>
      <c r="I60" s="44"/>
      <c r="J60" s="114">
        <f ca="1">+SUM($J$58:J58)</f>
        <v>30676452</v>
      </c>
      <c r="K60" s="114">
        <f ca="1">+SUM($J$58:K58)</f>
        <v>30742011.034110699</v>
      </c>
      <c r="L60" s="114">
        <f ca="1">+SUM($J$58:L58)</f>
        <v>31023364.129816893</v>
      </c>
      <c r="M60" s="114">
        <f ca="1">+SUM($J$58:M58)</f>
        <v>31173966.703832503</v>
      </c>
      <c r="N60" s="114">
        <f ca="1">+SUM($J$58:N58)</f>
        <v>31347140.547346648</v>
      </c>
      <c r="O60" s="114">
        <f ca="1">+SUM($J$58:O58)</f>
        <v>31542847.336741798</v>
      </c>
      <c r="P60" s="114">
        <f ca="1">+SUM($J$58:P58)</f>
        <v>31759396.844397239</v>
      </c>
      <c r="Q60" s="114">
        <f ca="1">+SUM($J$58:Q58)</f>
        <v>31993378.397454005</v>
      </c>
      <c r="R60" s="114">
        <f ca="1">+SUM($J$58:R58)</f>
        <v>32239867.758242276</v>
      </c>
      <c r="S60" s="114">
        <f ca="1">+SUM($J$58:S58)</f>
        <v>32492901.599599849</v>
      </c>
      <c r="T60" s="114">
        <f ca="1">+SUM($J$58:T58)</f>
        <v>33213606.516034901</v>
      </c>
      <c r="U60" s="114">
        <f ca="1">+SUM($J$58:U58)</f>
        <v>33427321.402425002</v>
      </c>
      <c r="V60" s="114">
        <f ca="1">+SUM($J$58:V58)</f>
        <v>34117805.253191553</v>
      </c>
      <c r="W60" s="114">
        <f ca="1">+SUM($J$58:W58)</f>
        <v>34300000.931475587</v>
      </c>
      <c r="X60" s="114">
        <f ca="1">+SUM($J$58:X58)</f>
        <v>34463041.441656396</v>
      </c>
      <c r="Y60" s="114">
        <f ca="1">+SUM($J$58:Y58)</f>
        <v>34918528.460025229</v>
      </c>
      <c r="Z60" s="114">
        <f ca="1">+SUM($J$58:Z58)</f>
        <v>35228766.211665943</v>
      </c>
      <c r="AA60" s="114">
        <f ca="1">+SUM($J$58:AA58)</f>
        <v>35603584.018171348</v>
      </c>
      <c r="AB60" s="114">
        <f ca="1">+SUM($J$58:AB58)</f>
        <v>36195961.157472163</v>
      </c>
      <c r="AC60" s="114">
        <f ca="1">+SUM($J$58:AC58)</f>
        <v>37140730.15944133</v>
      </c>
      <c r="AD60" s="114">
        <f ca="1">+SUM($J$58:AD58)</f>
        <v>38615421.860184744</v>
      </c>
      <c r="AE60" s="114">
        <f ca="1">+SUM($J$58:AE58)</f>
        <v>40827498.358193249</v>
      </c>
      <c r="AF60" s="114">
        <f ca="1">+SUM($J$58:AF58)</f>
        <v>43984410.395037241</v>
      </c>
      <c r="AG60" s="114">
        <f ca="1">+SUM($J$58:AG58)</f>
        <v>48247741.690491006</v>
      </c>
      <c r="AH60" s="114">
        <f ca="1">+SUM($J$58:AH58)</f>
        <v>54367723.459715828</v>
      </c>
      <c r="AI60" s="114">
        <f ca="1">+SUM($J$58:AI58)</f>
        <v>55315108.764167167</v>
      </c>
      <c r="AJ60" s="114">
        <f ca="1">+SUM($J$58:AJ58)</f>
        <v>55315108.764167167</v>
      </c>
      <c r="AK60" s="114">
        <f ca="1">+SUM($J$58:AK58)</f>
        <v>55315108.764167167</v>
      </c>
      <c r="AL60" s="114">
        <f ca="1">+SUM($J$58:AL58)</f>
        <v>55315108.764167167</v>
      </c>
      <c r="AM60" s="114">
        <f ca="1">+SUM($J$58:AM58)</f>
        <v>55315108.764167167</v>
      </c>
      <c r="AN60" s="114">
        <f ca="1">+SUM($J$58:AN58)</f>
        <v>55315108.764167167</v>
      </c>
      <c r="AO60" s="114">
        <f ca="1">+SUM($J$58:AO58)</f>
        <v>55315108.764167167</v>
      </c>
      <c r="AP60" s="114">
        <f ca="1">+SUM($J$58:AP58)</f>
        <v>55315108.764167167</v>
      </c>
      <c r="AQ60" s="114">
        <f ca="1">+SUM($J$58:AQ58)</f>
        <v>55315108.764167167</v>
      </c>
      <c r="AR60" s="114">
        <f ca="1">+SUM($J$58:AR58)</f>
        <v>55315108.764167167</v>
      </c>
      <c r="AS60" s="114">
        <f ca="1">+SUM($J$58:AS58)</f>
        <v>55315108.764167167</v>
      </c>
      <c r="AT60" s="114">
        <f ca="1">+SUM($J$58:AT58)</f>
        <v>55315108.764167167</v>
      </c>
      <c r="AU60" s="114">
        <f ca="1">+SUM($J$58:AU58)</f>
        <v>55315108.764167167</v>
      </c>
      <c r="AV60" s="114">
        <f ca="1">+SUM($J$58:AV58)</f>
        <v>55315108.764167167</v>
      </c>
      <c r="AW60" s="114">
        <f ca="1">+SUM($J$58:AW58)</f>
        <v>55315108.764167167</v>
      </c>
      <c r="AX60" s="114">
        <f ca="1">+SUM($J$58:AX58)</f>
        <v>55315108.764167167</v>
      </c>
      <c r="AY60" s="114">
        <f ca="1">+SUM($J$58:AY58)</f>
        <v>55315108.764167167</v>
      </c>
      <c r="AZ60" s="114">
        <f ca="1">+SUM($J$58:AZ58)</f>
        <v>55315108.764167167</v>
      </c>
      <c r="BA60" s="114">
        <f ca="1">+SUM($J$58:BA58)</f>
        <v>55315108.764167167</v>
      </c>
      <c r="BB60" s="114">
        <f ca="1">+SUM($J$58:BB58)</f>
        <v>55315108.764167167</v>
      </c>
      <c r="BC60" s="114">
        <f ca="1">+SUM($J$58:BC58)</f>
        <v>55315108.764167167</v>
      </c>
      <c r="BD60" s="114">
        <f ca="1">+SUM($J$58:BD58)</f>
        <v>55315108.764167167</v>
      </c>
      <c r="BE60" s="114">
        <f ca="1">+SUM($J$58:BE58)</f>
        <v>55315108.764167167</v>
      </c>
      <c r="BF60" s="114">
        <f ca="1">+SUM($J$58:BF58)</f>
        <v>55315108.764167145</v>
      </c>
      <c r="BG60" s="114">
        <f ca="1">+SUM($J$58:BG58)</f>
        <v>55315108.764167123</v>
      </c>
      <c r="BH60" s="114">
        <f ca="1">+SUM($J$58:BH58)</f>
        <v>55315108.7641671</v>
      </c>
      <c r="BI60" s="114">
        <f ca="1">+SUM($J$58:BI58)</f>
        <v>55315108.764167078</v>
      </c>
      <c r="BJ60" s="114">
        <f ca="1">+SUM($J$58:BJ58)</f>
        <v>55315108.764167055</v>
      </c>
      <c r="BK60" s="113">
        <f ca="1">+SUM($J$58:BK58)</f>
        <v>55315108.764167033</v>
      </c>
      <c r="BL60" s="113">
        <f ca="1">+SUM($J$58:BL58)</f>
        <v>55315108.764167011</v>
      </c>
      <c r="BM60" s="113">
        <f ca="1">+SUM($J$58:BM58)</f>
        <v>55315108.764166988</v>
      </c>
      <c r="BN60" s="113">
        <f ca="1">+SUM($J$58:BN58)</f>
        <v>55315108.764166966</v>
      </c>
      <c r="BO60" s="113">
        <f ca="1">+SUM($J$58:BO58)</f>
        <v>55315108.764166944</v>
      </c>
      <c r="BP60" s="113">
        <f ca="1">+SUM($J$58:BP58)</f>
        <v>55315108.764166921</v>
      </c>
      <c r="BQ60" s="113">
        <f ca="1">+SUM($J$58:BQ58)</f>
        <v>55315108.764166899</v>
      </c>
      <c r="BR60" s="112">
        <f ca="1">+SUM($J$58:BR58)</f>
        <v>55315108.764166877</v>
      </c>
    </row>
    <row r="61" spans="2:70" x14ac:dyDescent="0.2">
      <c r="B61" s="96" t="s">
        <v>45</v>
      </c>
      <c r="C61" s="93"/>
      <c r="D61" s="93"/>
      <c r="E61" s="95"/>
      <c r="F61" s="94"/>
      <c r="G61" s="94"/>
      <c r="H61" s="93"/>
      <c r="I61" s="93"/>
      <c r="J61" s="103"/>
      <c r="K61" s="103"/>
      <c r="L61" s="103"/>
      <c r="M61" s="103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11"/>
      <c r="AU61" s="111"/>
      <c r="AV61" s="111"/>
      <c r="AW61" s="111"/>
      <c r="AX61" s="111"/>
      <c r="AY61" s="111"/>
      <c r="AZ61" s="111"/>
      <c r="BA61" s="111"/>
      <c r="BB61" s="111"/>
      <c r="BC61" s="111"/>
      <c r="BD61" s="111"/>
      <c r="BE61" s="111"/>
      <c r="BF61" s="111"/>
      <c r="BG61" s="111"/>
      <c r="BH61" s="111"/>
      <c r="BI61" s="111"/>
      <c r="BJ61" s="111"/>
      <c r="BK61" s="111"/>
      <c r="BL61" s="111"/>
      <c r="BM61" s="111"/>
      <c r="BN61" s="111"/>
      <c r="BO61" s="111"/>
      <c r="BP61" s="111"/>
      <c r="BQ61" s="111"/>
      <c r="BR61" s="110"/>
    </row>
    <row r="62" spans="2:70" x14ac:dyDescent="0.2">
      <c r="B62" s="82"/>
      <c r="C62" s="79" t="s">
        <v>44</v>
      </c>
      <c r="D62" s="79"/>
      <c r="E62" s="81"/>
      <c r="F62" s="80"/>
      <c r="G62" s="80"/>
      <c r="H62" s="79"/>
      <c r="I62" s="79"/>
      <c r="J62" s="109">
        <f ca="1">+C45</f>
        <v>82972663.146267727</v>
      </c>
      <c r="K62" s="78">
        <f ca="1">+J64</f>
        <v>82972663.146269143</v>
      </c>
      <c r="L62" s="78">
        <f ca="1">+K64</f>
        <v>82972663.146268591</v>
      </c>
      <c r="M62" s="78">
        <f ca="1">+L64</f>
        <v>82972663.146267533</v>
      </c>
      <c r="N62" s="108">
        <f ca="1">+M64</f>
        <v>82972663.146269366</v>
      </c>
      <c r="O62" s="108">
        <f ca="1">+N64</f>
        <v>82972663.146267444</v>
      </c>
      <c r="P62" s="108">
        <f ca="1">+O64</f>
        <v>82972663.146269336</v>
      </c>
      <c r="Q62" s="108">
        <f ca="1">+P64</f>
        <v>82972663.146267131</v>
      </c>
      <c r="R62" s="108">
        <f ca="1">+Q64</f>
        <v>82972663.146270052</v>
      </c>
      <c r="S62" s="108">
        <f ca="1">+R64</f>
        <v>82972663.14626652</v>
      </c>
      <c r="T62" s="108">
        <f ca="1">+S64</f>
        <v>82972663.14627023</v>
      </c>
      <c r="U62" s="108">
        <f ca="1">+T64</f>
        <v>82972663.146267623</v>
      </c>
      <c r="V62" s="108">
        <f ca="1">+U64</f>
        <v>82972663.14626807</v>
      </c>
      <c r="W62" s="108">
        <f ca="1">+V64</f>
        <v>82972663.146269649</v>
      </c>
      <c r="X62" s="108">
        <f ca="1">+W64</f>
        <v>82972663.146266609</v>
      </c>
      <c r="Y62" s="108">
        <f ca="1">+X64</f>
        <v>82972663.146269634</v>
      </c>
      <c r="Z62" s="108">
        <f ca="1">+Y64</f>
        <v>82972663.146269411</v>
      </c>
      <c r="AA62" s="108">
        <f ca="1">+Z64</f>
        <v>82972663.14626421</v>
      </c>
      <c r="AB62" s="108">
        <f ca="1">+AA64</f>
        <v>82972663.146276519</v>
      </c>
      <c r="AC62" s="108">
        <f ca="1">+AB64</f>
        <v>82972663.146255657</v>
      </c>
      <c r="AD62" s="108">
        <f ca="1">+AC64</f>
        <v>82972663.146282986</v>
      </c>
      <c r="AE62" s="108">
        <f ca="1">+AD64</f>
        <v>82972663.146258295</v>
      </c>
      <c r="AF62" s="108">
        <f ca="1">+AE64</f>
        <v>82972663.14627181</v>
      </c>
      <c r="AG62" s="108">
        <f ca="1">+AF64</f>
        <v>82972663.146266535</v>
      </c>
      <c r="AH62" s="108">
        <f ca="1">+AG64</f>
        <v>82972663.146276653</v>
      </c>
      <c r="AI62" s="108">
        <f ca="1">+AH64</f>
        <v>82972663.146250769</v>
      </c>
      <c r="AJ62" s="108">
        <f ca="1">+AI64</f>
        <v>76568928.566083699</v>
      </c>
      <c r="AK62" s="108">
        <f ca="1">+AJ64</f>
        <v>69216050.047071293</v>
      </c>
      <c r="AL62" s="108">
        <f ca="1">+AK64</f>
        <v>61371416.253349237</v>
      </c>
      <c r="AM62" s="108">
        <f ca="1">+AL64</f>
        <v>53497445.610234015</v>
      </c>
      <c r="AN62" s="108">
        <f ca="1">+AM64</f>
        <v>46058209.875138059</v>
      </c>
      <c r="AO62" s="108">
        <f ca="1">+AN64</f>
        <v>39384500.863539182</v>
      </c>
      <c r="AP62" s="108">
        <f ca="1">+AO64</f>
        <v>33721978.123155728</v>
      </c>
      <c r="AQ62" s="108">
        <f ca="1">+AP64</f>
        <v>29154783.32327975</v>
      </c>
      <c r="AR62" s="108">
        <f ca="1">+AQ64</f>
        <v>25624237.363226138</v>
      </c>
      <c r="AS62" s="108">
        <f ca="1">+AR64</f>
        <v>22972643.955942173</v>
      </c>
      <c r="AT62" s="108">
        <f ca="1">+AS64</f>
        <v>20995848.432503566</v>
      </c>
      <c r="AU62" s="108">
        <f ca="1">+AT64</f>
        <v>17778284.845721915</v>
      </c>
      <c r="AV62" s="108">
        <f ca="1">+AU64</f>
        <v>16559038.159973051</v>
      </c>
      <c r="AW62" s="108">
        <f ca="1">+AV64</f>
        <v>15500135.193430919</v>
      </c>
      <c r="AX62" s="108">
        <f ca="1">+AW64</f>
        <v>2447694.6786686275</v>
      </c>
      <c r="AY62" s="108">
        <f ca="1">+AX64</f>
        <v>2145726.0469888016</v>
      </c>
      <c r="AZ62" s="108">
        <f ca="1">+AY64</f>
        <v>1842625.0327821181</v>
      </c>
      <c r="BA62" s="108">
        <f ca="1">+AZ64</f>
        <v>1538387.389891586</v>
      </c>
      <c r="BB62" s="108">
        <f ca="1">+BA64</f>
        <v>1233008.8558970578</v>
      </c>
      <c r="BC62" s="108">
        <f ca="1">+BB64</f>
        <v>926485.15204774984</v>
      </c>
      <c r="BD62" s="108">
        <f ca="1">+BC64</f>
        <v>618811.98503413866</v>
      </c>
      <c r="BE62" s="108">
        <f ca="1">+BD64</f>
        <v>309985.04251222353</v>
      </c>
      <c r="BF62" s="108">
        <f ca="1">+BE64</f>
        <v>2.9144634027034044E-4</v>
      </c>
      <c r="BG62" s="108">
        <f ca="1">+BF64</f>
        <v>0</v>
      </c>
      <c r="BH62" s="108">
        <f ca="1">+BG64</f>
        <v>2.4743974208831787E-5</v>
      </c>
      <c r="BI62" s="108">
        <f ca="1">+BH64</f>
        <v>0</v>
      </c>
      <c r="BJ62" s="108">
        <f ca="1">+BI64</f>
        <v>4.1845908155664803E-4</v>
      </c>
      <c r="BK62" s="108">
        <f ca="1">+BJ64</f>
        <v>0</v>
      </c>
      <c r="BL62" s="108">
        <f ca="1">+BK64</f>
        <v>0</v>
      </c>
      <c r="BM62" s="108">
        <f ca="1">+BL64</f>
        <v>4.5785581227391958E-4</v>
      </c>
      <c r="BN62" s="108">
        <f ca="1">+BM64</f>
        <v>0</v>
      </c>
      <c r="BO62" s="108">
        <f ca="1">+BN64</f>
        <v>0</v>
      </c>
      <c r="BP62" s="108">
        <f ca="1">+BO64</f>
        <v>3.7808192428201437E-4</v>
      </c>
      <c r="BQ62" s="108">
        <f ca="1">+BP64</f>
        <v>0</v>
      </c>
      <c r="BR62" s="107">
        <f ca="1">+BQ64</f>
        <v>3.5184897715225818E-4</v>
      </c>
    </row>
    <row r="63" spans="2:70" x14ac:dyDescent="0.2">
      <c r="B63" s="104"/>
      <c r="C63" s="93" t="s">
        <v>43</v>
      </c>
      <c r="D63" s="93"/>
      <c r="E63" s="102"/>
      <c r="F63" s="106"/>
      <c r="G63" s="106"/>
      <c r="H63" s="93"/>
      <c r="I63" s="93"/>
      <c r="J63" s="102">
        <f ca="1">IF($C$53="on",1,MIN(J62,J39-J58))</f>
        <v>0</v>
      </c>
      <c r="K63" s="102">
        <f ca="1">IF($C$53="on",1,MIN(K62,K39-K58))</f>
        <v>0</v>
      </c>
      <c r="L63" s="102">
        <f ca="1">IF($C$53="on",1,MIN(L62,L39-L58))</f>
        <v>0</v>
      </c>
      <c r="M63" s="102">
        <f ca="1">IF($C$53="on",1,MIN(M62,M39-M58))</f>
        <v>0</v>
      </c>
      <c r="N63" s="101">
        <f ca="1">IF($C$53="on",1,MIN(N62,N39-N58))</f>
        <v>0</v>
      </c>
      <c r="O63" s="101">
        <f ca="1">IF($C$53="on",1,MIN(O62,O39-O58))</f>
        <v>0</v>
      </c>
      <c r="P63" s="101">
        <f ca="1">IF($C$53="on",1,MIN(P62,P39-P58))</f>
        <v>0</v>
      </c>
      <c r="Q63" s="101">
        <f ca="1">IF($C$53="on",1,MIN(Q62,Q39-Q58))</f>
        <v>0</v>
      </c>
      <c r="R63" s="101">
        <f ca="1">IF($C$53="on",1,MIN(R62,R39-R58))</f>
        <v>0</v>
      </c>
      <c r="S63" s="101">
        <f ca="1">IF($C$53="on",1,MIN(S62,S39-S58))</f>
        <v>0</v>
      </c>
      <c r="T63" s="101">
        <f ca="1">IF($C$53="on",1,MIN(T62,T39-T58))</f>
        <v>0</v>
      </c>
      <c r="U63" s="101">
        <f ca="1">IF($C$53="on",1,MIN(U62,U39-U58))</f>
        <v>0</v>
      </c>
      <c r="V63" s="101">
        <f ca="1">IF($C$53="on",1,MIN(V62,V39-V58))</f>
        <v>0</v>
      </c>
      <c r="W63" s="101">
        <f ca="1">IF($C$53="on",1,MIN(W62,W39-W58))</f>
        <v>0</v>
      </c>
      <c r="X63" s="101">
        <f ca="1">IF($C$53="on",1,MIN(X62,X39-X58))</f>
        <v>0</v>
      </c>
      <c r="Y63" s="101">
        <f ca="1">IF($C$53="on",1,MIN(Y62,Y39-Y58))</f>
        <v>0</v>
      </c>
      <c r="Z63" s="101">
        <f ca="1">IF($C$53="on",1,MIN(Z62,Z39-Z58))</f>
        <v>0</v>
      </c>
      <c r="AA63" s="101">
        <f ca="1">IF($C$53="on",1,MIN(AA62,AA39-AA58))</f>
        <v>0</v>
      </c>
      <c r="AB63" s="101">
        <f ca="1">IF($C$53="on",1,MIN(AB62,AB39-AB58))</f>
        <v>0</v>
      </c>
      <c r="AC63" s="101">
        <f ca="1">IF($C$53="on",1,MIN(AC62,AC39-AC58))</f>
        <v>0</v>
      </c>
      <c r="AD63" s="101">
        <f ca="1">IF($C$53="on",1,MIN(AD62,AD39-AD58))</f>
        <v>0</v>
      </c>
      <c r="AE63" s="101">
        <f ca="1">IF($C$53="on",1,MIN(AE62,AE39-AE58))</f>
        <v>0</v>
      </c>
      <c r="AF63" s="101">
        <f ca="1">IF($C$53="on",1,MIN(AF62,AF39-AF58))</f>
        <v>0</v>
      </c>
      <c r="AG63" s="101">
        <f ca="1">IF($C$53="on",1,MIN(AG62,AG39-AG58))</f>
        <v>0</v>
      </c>
      <c r="AH63" s="101">
        <f ca="1">IF($C$53="on",1,MIN(AH62,AH39-AH58))</f>
        <v>0</v>
      </c>
      <c r="AI63" s="101">
        <f ca="1">IF($C$53="on",1,MIN(AI62,AI39-AI58))</f>
        <v>6403734.5802195882</v>
      </c>
      <c r="AJ63" s="101">
        <f ca="1">IF($C$53="on",1,MIN(AJ62,AJ39-AJ58))</f>
        <v>7352878.5189993186</v>
      </c>
      <c r="AK63" s="101">
        <f ca="1">IF($C$53="on",1,MIN(AK62,AK39-AK58))</f>
        <v>7844633.7936859</v>
      </c>
      <c r="AL63" s="101">
        <f ca="1">IF($C$53="on",1,MIN(AL62,AL39-AL58))</f>
        <v>7873970.6431418816</v>
      </c>
      <c r="AM63" s="101">
        <f ca="1">IF($C$53="on",1,MIN(AM62,AM39-AM58))</f>
        <v>7439235.7351163691</v>
      </c>
      <c r="AN63" s="101">
        <f ca="1">IF($C$53="on",1,MIN(AN62,AN39-AN58))</f>
        <v>6673709.0115521075</v>
      </c>
      <c r="AO63" s="101">
        <f ca="1">IF($C$53="on",1,MIN(AO62,AO39-AO58))</f>
        <v>5662522.7404334797</v>
      </c>
      <c r="AP63" s="101">
        <f ca="1">IF($C$53="on",1,MIN(AP62,AP39-AP58))</f>
        <v>4567194.7998270225</v>
      </c>
      <c r="AQ63" s="101">
        <f ca="1">IF($C$53="on",1,MIN(AQ62,AQ39-AQ58))</f>
        <v>3530545.9601071323</v>
      </c>
      <c r="AR63" s="101">
        <f ca="1">IF($C$53="on",1,MIN(AR62,AR39-AR58))</f>
        <v>2651593.4072149456</v>
      </c>
      <c r="AS63" s="101">
        <f ca="1">IF($C$53="on",1,MIN(AS62,AS39-AS58))</f>
        <v>1976795.5235262285</v>
      </c>
      <c r="AT63" s="101">
        <f ca="1">IF($C$53="on",1,MIN(AT62,AT39-AT58))</f>
        <v>3217563.5866870522</v>
      </c>
      <c r="AU63" s="101">
        <f ca="1">IF($C$53="on",1,MIN(AU62,AU39-AU58))</f>
        <v>1219246.6858215821</v>
      </c>
      <c r="AV63" s="101">
        <f ca="1">IF($C$53="on",1,MIN(AV62,AV39-AV58))</f>
        <v>1058902.966520455</v>
      </c>
      <c r="AW63" s="101">
        <f ca="1">IF($C$53="on",1,MIN(AW62,AW39-AW58))</f>
        <v>13052440.514728649</v>
      </c>
      <c r="AX63" s="101">
        <f ca="1">IF($C$53="on",1,MIN(AX62,AX39-AX58))</f>
        <v>301968.63175335363</v>
      </c>
      <c r="AY63" s="101">
        <f ca="1">IF($C$53="on",1,MIN(AY62,AY39-AY58))</f>
        <v>303101.01412242878</v>
      </c>
      <c r="AZ63" s="101">
        <f ca="1">IF($C$53="on",1,MIN(AZ62,AZ39-AZ58))</f>
        <v>304237.64292538801</v>
      </c>
      <c r="BA63" s="101">
        <f ca="1">IF($C$53="on",1,MIN(BA62,BA39-BA58))</f>
        <v>305378.53408635833</v>
      </c>
      <c r="BB63" s="101">
        <f ca="1">IF($C$53="on",1,MIN(BB62,BB39-BB58))</f>
        <v>306523.70358918217</v>
      </c>
      <c r="BC63" s="101">
        <f ca="1">IF($C$53="on",1,MIN(BC62,BC39-BC58))</f>
        <v>307673.16747764172</v>
      </c>
      <c r="BD63" s="101">
        <f ca="1">IF($C$53="on",1,MIN(BD62,BD39-BD58))</f>
        <v>308826.94185568293</v>
      </c>
      <c r="BE63" s="101">
        <f ca="1">IF($C$53="on",1,MIN(BE62,BE39-BE58))</f>
        <v>309985.04251222353</v>
      </c>
      <c r="BF63" s="101">
        <f ca="1">IF($C$53="on",1,MIN(BF62,BF39-BF58))</f>
        <v>0</v>
      </c>
      <c r="BG63" s="101">
        <f ca="1">IF($C$53="on",1,MIN(BG62,BG39-BG58))</f>
        <v>0</v>
      </c>
      <c r="BH63" s="101">
        <f ca="1">IF($C$53="on",1,MIN(BH62,BH39-BH58))</f>
        <v>0</v>
      </c>
      <c r="BI63" s="101">
        <f ca="1">IF($C$53="on",1,MIN(BI62,BI39-BI58))</f>
        <v>0</v>
      </c>
      <c r="BJ63" s="101">
        <f ca="1">IF($C$53="on",1,MIN(BJ62,BJ39-BJ58))</f>
        <v>0</v>
      </c>
      <c r="BK63" s="101">
        <f ca="1">IF($C$53="on",1,MIN(BK62,BK39-BK58))</f>
        <v>0</v>
      </c>
      <c r="BL63" s="101">
        <f ca="1">IF($C$53="on",1,MIN(BL62,BL39-BL58))</f>
        <v>0</v>
      </c>
      <c r="BM63" s="101">
        <f ca="1">IF($C$53="on",1,MIN(BM62,BM39-BM58))</f>
        <v>0</v>
      </c>
      <c r="BN63" s="101">
        <f ca="1">IF($C$53="on",1,MIN(BN62,BN39-BN58))</f>
        <v>0</v>
      </c>
      <c r="BO63" s="101">
        <f ca="1">IF($C$53="on",1,MIN(BO62,BO39-BO58))</f>
        <v>0</v>
      </c>
      <c r="BP63" s="101">
        <f ca="1">IF($C$53="on",1,MIN(BP62,BP39-BP58))</f>
        <v>0</v>
      </c>
      <c r="BQ63" s="101">
        <f ca="1">IF($C$53="on",1,MIN(BQ62,BQ39-BQ58))</f>
        <v>0</v>
      </c>
      <c r="BR63" s="100">
        <f ca="1">IF($C$53="on",1,MIN(BR62,BR39-BR58))</f>
        <v>0</v>
      </c>
    </row>
    <row r="64" spans="2:70" x14ac:dyDescent="0.2">
      <c r="B64" s="104"/>
      <c r="C64" s="93" t="s">
        <v>42</v>
      </c>
      <c r="D64" s="93"/>
      <c r="E64" s="95"/>
      <c r="F64" s="94"/>
      <c r="G64" s="94"/>
      <c r="H64" s="93"/>
      <c r="I64" s="93"/>
      <c r="J64" s="102">
        <f ca="1">+J62-J63</f>
        <v>82972663.146267727</v>
      </c>
      <c r="K64" s="102">
        <f ca="1">+K62-K63</f>
        <v>82972663.146269143</v>
      </c>
      <c r="L64" s="102">
        <f ca="1">+L62-L63</f>
        <v>82972663.146268591</v>
      </c>
      <c r="M64" s="102">
        <f ca="1">+M62-M63</f>
        <v>82972663.146267533</v>
      </c>
      <c r="N64" s="101">
        <f ca="1">+N62-N63</f>
        <v>82972663.146269366</v>
      </c>
      <c r="O64" s="101">
        <f ca="1">+O62-O63</f>
        <v>82972663.146267444</v>
      </c>
      <c r="P64" s="101">
        <f ca="1">+P62-P63</f>
        <v>82972663.146269336</v>
      </c>
      <c r="Q64" s="101">
        <f ca="1">+Q62-Q63</f>
        <v>82972663.146267131</v>
      </c>
      <c r="R64" s="101">
        <f ca="1">+R62-R63</f>
        <v>82972663.146270052</v>
      </c>
      <c r="S64" s="101">
        <f ca="1">+S62-S63</f>
        <v>82972663.14626652</v>
      </c>
      <c r="T64" s="101">
        <f ca="1">+T62-T63</f>
        <v>82972663.14627023</v>
      </c>
      <c r="U64" s="101">
        <f ca="1">+U62-U63</f>
        <v>82972663.146267623</v>
      </c>
      <c r="V64" s="101">
        <f ca="1">+V62-V63</f>
        <v>82972663.14626807</v>
      </c>
      <c r="W64" s="101">
        <f ca="1">+W62-W63</f>
        <v>82972663.146269649</v>
      </c>
      <c r="X64" s="101">
        <f ca="1">+X62-X63</f>
        <v>82972663.146266609</v>
      </c>
      <c r="Y64" s="101">
        <f ca="1">+Y62-Y63</f>
        <v>82972663.146269634</v>
      </c>
      <c r="Z64" s="101">
        <f ca="1">+Z62-Z63</f>
        <v>82972663.146269411</v>
      </c>
      <c r="AA64" s="101">
        <f ca="1">+AA62-AA63</f>
        <v>82972663.14626421</v>
      </c>
      <c r="AB64" s="101">
        <f ca="1">+AB62-AB63</f>
        <v>82972663.146276519</v>
      </c>
      <c r="AC64" s="101">
        <f ca="1">+AC62-AC63</f>
        <v>82972663.146255657</v>
      </c>
      <c r="AD64" s="101">
        <f ca="1">+AD62-AD63</f>
        <v>82972663.146282986</v>
      </c>
      <c r="AE64" s="101">
        <f ca="1">+AE62-AE63</f>
        <v>82972663.146258295</v>
      </c>
      <c r="AF64" s="101">
        <f ca="1">+AF62-AF63</f>
        <v>82972663.14627181</v>
      </c>
      <c r="AG64" s="101">
        <f ca="1">+AG62-AG63</f>
        <v>82972663.146266535</v>
      </c>
      <c r="AH64" s="101">
        <f ca="1">+AH62-AH63</f>
        <v>82972663.146276653</v>
      </c>
      <c r="AI64" s="101">
        <f ca="1">+AI62-AI63</f>
        <v>76568928.566031188</v>
      </c>
      <c r="AJ64" s="101">
        <f ca="1">+AJ62-AJ63</f>
        <v>69216050.047084376</v>
      </c>
      <c r="AK64" s="101">
        <f ca="1">+AK62-AK63</f>
        <v>61371416.253385395</v>
      </c>
      <c r="AL64" s="101">
        <f ca="1">+AL62-AL63</f>
        <v>53497445.610207357</v>
      </c>
      <c r="AM64" s="101">
        <f ca="1">+AM62-AM63</f>
        <v>46058209.875117645</v>
      </c>
      <c r="AN64" s="101">
        <f ca="1">+AN62-AN63</f>
        <v>39384500.863585949</v>
      </c>
      <c r="AO64" s="101">
        <f ca="1">+AO62-AO63</f>
        <v>33721978.123105705</v>
      </c>
      <c r="AP64" s="101">
        <f ca="1">+AP62-AP63</f>
        <v>29154783.323328704</v>
      </c>
      <c r="AQ64" s="101">
        <f ca="1">+AQ62-AQ63</f>
        <v>25624237.363172617</v>
      </c>
      <c r="AR64" s="101">
        <f ca="1">+AR62-AR63</f>
        <v>22972643.956011191</v>
      </c>
      <c r="AS64" s="101">
        <f ca="1">+AS62-AS63</f>
        <v>20995848.432415944</v>
      </c>
      <c r="AT64" s="101">
        <f ca="1">+AT62-AT63</f>
        <v>17778284.845816515</v>
      </c>
      <c r="AU64" s="101">
        <f ca="1">+AU62-AU63</f>
        <v>16559038.159900334</v>
      </c>
      <c r="AV64" s="101">
        <f ca="1">+AV62-AV63</f>
        <v>15500135.193452597</v>
      </c>
      <c r="AW64" s="101">
        <f ca="1">+AW62-AW63</f>
        <v>2447694.6787022706</v>
      </c>
      <c r="AX64" s="101">
        <f ca="1">+AX62-AX63</f>
        <v>2145726.0469152741</v>
      </c>
      <c r="AY64" s="101">
        <f ca="1">+AY62-AY63</f>
        <v>1842625.0328663727</v>
      </c>
      <c r="AZ64" s="101">
        <f ca="1">+AZ62-AZ63</f>
        <v>1538387.3898567301</v>
      </c>
      <c r="BA64" s="101">
        <f ca="1">+BA62-BA63</f>
        <v>1233008.8558052278</v>
      </c>
      <c r="BB64" s="101">
        <f ca="1">+BB62-BB63</f>
        <v>926485.15230787569</v>
      </c>
      <c r="BC64" s="101">
        <f ca="1">+BC62-BC63</f>
        <v>618811.98457010812</v>
      </c>
      <c r="BD64" s="101">
        <f ca="1">+BD62-BD63</f>
        <v>309985.04317845573</v>
      </c>
      <c r="BE64" s="101">
        <f ca="1">+BE62-BE63</f>
        <v>0</v>
      </c>
      <c r="BF64" s="101">
        <f ca="1">+BF62-BF63</f>
        <v>2.9144634027034044E-4</v>
      </c>
      <c r="BG64" s="101">
        <f ca="1">+BG62-BG63</f>
        <v>0</v>
      </c>
      <c r="BH64" s="101">
        <f ca="1">+BH62-BH63</f>
        <v>2.4743974208831787E-5</v>
      </c>
      <c r="BI64" s="101">
        <f ca="1">+BI62-BI63</f>
        <v>0</v>
      </c>
      <c r="BJ64" s="101">
        <f ca="1">+BJ62-BJ63</f>
        <v>4.1845908155664803E-4</v>
      </c>
      <c r="BK64" s="101">
        <f ca="1">+BK62-BK63</f>
        <v>0</v>
      </c>
      <c r="BL64" s="101">
        <f ca="1">+BL62-BL63</f>
        <v>0</v>
      </c>
      <c r="BM64" s="101">
        <f ca="1">+BM62-BM63</f>
        <v>4.5785581227391958E-4</v>
      </c>
      <c r="BN64" s="101">
        <f ca="1">+BN62-BN63</f>
        <v>0</v>
      </c>
      <c r="BO64" s="101">
        <f ca="1">+BO62-BO63</f>
        <v>0</v>
      </c>
      <c r="BP64" s="101">
        <f ca="1">+BP62-BP63</f>
        <v>3.7808192428201437E-4</v>
      </c>
      <c r="BQ64" s="101">
        <f ca="1">+BQ62-BQ63</f>
        <v>0</v>
      </c>
      <c r="BR64" s="100">
        <f ca="1">+BR62-BR63</f>
        <v>3.5184897715225818E-4</v>
      </c>
    </row>
    <row r="65" spans="2:70" x14ac:dyDescent="0.2">
      <c r="B65" s="104"/>
      <c r="C65" s="93" t="s">
        <v>41</v>
      </c>
      <c r="D65" s="93"/>
      <c r="E65" s="95"/>
      <c r="F65" s="94"/>
      <c r="G65" s="94"/>
      <c r="H65" s="93"/>
      <c r="I65" s="93"/>
      <c r="J65" s="105">
        <f ca="1">(J76&gt;0)*MIN(I66+J63,J78)</f>
        <v>0</v>
      </c>
      <c r="K65" s="105">
        <f ca="1">(K76&gt;0)*MIN(J66+K63,K78)</f>
        <v>0</v>
      </c>
      <c r="L65" s="105">
        <f ca="1">(L76&gt;0)*MIN(K66+L63,L78)</f>
        <v>0</v>
      </c>
      <c r="M65" s="105">
        <f ca="1">(M76&gt;0)*MIN(L66+M63,M78)</f>
        <v>0</v>
      </c>
      <c r="N65" s="105">
        <f ca="1">(N76&gt;0)*MIN(M66+N63,N78)</f>
        <v>0</v>
      </c>
      <c r="O65" s="105">
        <f ca="1">(O76&gt;0)*MIN(N66+O63,O78)</f>
        <v>0</v>
      </c>
      <c r="P65" s="105">
        <f ca="1">(P76&gt;0)*MIN(O66+P63,P78)</f>
        <v>0</v>
      </c>
      <c r="Q65" s="105">
        <f ca="1">(Q76&gt;0)*MIN(P66+Q63,Q78)</f>
        <v>0</v>
      </c>
      <c r="R65" s="105">
        <f ca="1">(R76&gt;0)*MIN(Q66+R63,R78)</f>
        <v>0</v>
      </c>
      <c r="S65" s="105">
        <f ca="1">(S76&gt;0)*MIN(R66+S63,S78)</f>
        <v>0</v>
      </c>
      <c r="T65" s="105">
        <f ca="1">(T76&gt;0)*MIN(S66+T63,T78)</f>
        <v>0</v>
      </c>
      <c r="U65" s="105">
        <f ca="1">(U76&gt;0)*MIN(T66+U63,U78)</f>
        <v>0</v>
      </c>
      <c r="V65" s="105">
        <f ca="1">(V76&gt;0)*MIN(U66+V63,V78)</f>
        <v>0</v>
      </c>
      <c r="W65" s="105">
        <f ca="1">(W76&gt;0)*MIN(V66+W63,W78)</f>
        <v>0</v>
      </c>
      <c r="X65" s="105">
        <f ca="1">(X76&gt;0)*MIN(W66+X63,X78)</f>
        <v>0</v>
      </c>
      <c r="Y65" s="105">
        <f ca="1">(Y76&gt;0)*MIN(X66+Y63,Y78)</f>
        <v>0</v>
      </c>
      <c r="Z65" s="105">
        <f ca="1">(Z76&gt;0)*MIN(Y66+Z63,Z78)</f>
        <v>0</v>
      </c>
      <c r="AA65" s="105">
        <f ca="1">(AA76&gt;0)*MIN(Z66+AA63,AA78)</f>
        <v>0</v>
      </c>
      <c r="AB65" s="105">
        <f ca="1">(AB76&gt;0)*MIN(AA66+AB63,AB78)</f>
        <v>0</v>
      </c>
      <c r="AC65" s="105">
        <f ca="1">(AC76&gt;0)*MIN(AB66+AC63,AC78)</f>
        <v>0</v>
      </c>
      <c r="AD65" s="105">
        <f ca="1">(AD76&gt;0)*MIN(AC66+AD63,AD78)</f>
        <v>0</v>
      </c>
      <c r="AE65" s="105">
        <f ca="1">(AE76&gt;0)*MIN(AD66+AE63,AE78)</f>
        <v>0</v>
      </c>
      <c r="AF65" s="105">
        <f ca="1">(AF76&gt;0)*MIN(AE66+AF63,AF78)</f>
        <v>0</v>
      </c>
      <c r="AG65" s="105">
        <f ca="1">(AG76&gt;0)*MIN(AF66+AG63,AG78)</f>
        <v>0</v>
      </c>
      <c r="AH65" s="105">
        <f ca="1">(AH76&gt;0)*MIN(AG66+AH63,AH78)</f>
        <v>0</v>
      </c>
      <c r="AI65" s="105">
        <f ca="1">(AI76&gt;0)*MIN(AH66+AI63,AI78)</f>
        <v>0</v>
      </c>
      <c r="AJ65" s="105">
        <f ca="1">(AJ76&gt;0)*MIN(AI66+AJ63,AJ78)</f>
        <v>0</v>
      </c>
      <c r="AK65" s="105">
        <f ca="1">(AK76&gt;0)*MIN(AJ66+AK63,AK78)</f>
        <v>0</v>
      </c>
      <c r="AL65" s="105">
        <f ca="1">(AL76&gt;0)*MIN(AK66+AL63,AL78)</f>
        <v>0</v>
      </c>
      <c r="AM65" s="105">
        <f ca="1">(AM76&gt;0)*MIN(AL66+AM63,AM78)</f>
        <v>0</v>
      </c>
      <c r="AN65" s="105">
        <f ca="1">(AN76&gt;0)*MIN(AM66+AN63,AN78)</f>
        <v>0</v>
      </c>
      <c r="AO65" s="105">
        <f ca="1">(AO76&gt;0)*MIN(AN66+AO63,AO78)</f>
        <v>0</v>
      </c>
      <c r="AP65" s="105">
        <f ca="1">(AP76&gt;0)*MIN(AO66+AP63,AP78)</f>
        <v>0</v>
      </c>
      <c r="AQ65" s="105">
        <f ca="1">(AQ76&gt;0)*MIN(AP66+AQ63,AQ78)</f>
        <v>0</v>
      </c>
      <c r="AR65" s="105">
        <f ca="1">(AR76&gt;0)*MIN(AQ66+AR63,AR78)</f>
        <v>0</v>
      </c>
      <c r="AS65" s="105">
        <f ca="1">(AS76&gt;0)*MIN(AR66+AS63,AS78)</f>
        <v>0</v>
      </c>
      <c r="AT65" s="105">
        <f ca="1">(AT76&gt;0)*MIN(AS66+AT63,AT78)</f>
        <v>0</v>
      </c>
      <c r="AU65" s="105">
        <f ca="1">(AU76&gt;0)*MIN(AT66+AU63,AU78)</f>
        <v>0</v>
      </c>
      <c r="AV65" s="105">
        <f ca="1">(AV76&gt;0)*MIN(AU66+AV63,AV78)</f>
        <v>0</v>
      </c>
      <c r="AW65" s="105">
        <f ca="1">(AW76&gt;0)*MIN(AV66+AW63,AW78)</f>
        <v>0</v>
      </c>
      <c r="AX65" s="105">
        <f ca="1">(AX76&gt;0)*MIN(AW66+AX63,AX78)</f>
        <v>0</v>
      </c>
      <c r="AY65" s="105">
        <f ca="1">(AY76&gt;0)*MIN(AX66+AY63,AY78)</f>
        <v>0</v>
      </c>
      <c r="AZ65" s="105">
        <f ca="1">(AZ76&gt;0)*MIN(AY66+AZ63,AZ78)</f>
        <v>0</v>
      </c>
      <c r="BA65" s="105">
        <f ca="1">(BA76&gt;0)*MIN(AZ66+BA63,BA78)</f>
        <v>0</v>
      </c>
      <c r="BB65" s="105">
        <f ca="1">(BB76&gt;0)*MIN(BA66+BB63,BB78)</f>
        <v>0</v>
      </c>
      <c r="BC65" s="105">
        <f ca="1">(BC76&gt;0)*MIN(BB66+BC63,BC78)</f>
        <v>0</v>
      </c>
      <c r="BD65" s="105">
        <f ca="1">(BD76&gt;0)*MIN(BC66+BD63,BD78)</f>
        <v>0</v>
      </c>
      <c r="BE65" s="105">
        <f ca="1">(BE76&gt;0)*MIN(BD66+BE63,BE78)</f>
        <v>82972663.145883396</v>
      </c>
      <c r="BF65" s="101">
        <f ca="1">(BF76&gt;0)*MIN(BE66+BF63,BF78)</f>
        <v>0</v>
      </c>
      <c r="BG65" s="101">
        <f ca="1">(BG76&gt;0)*MIN(BF66+BG63,BG78)</f>
        <v>0</v>
      </c>
      <c r="BH65" s="101">
        <f ca="1">(BH76&gt;0)*MIN(BG66+BH63,BH78)</f>
        <v>0</v>
      </c>
      <c r="BI65" s="101">
        <f ca="1">(BI76&gt;0)*MIN(BH66+BI63,BI78)</f>
        <v>0</v>
      </c>
      <c r="BJ65" s="101">
        <f ca="1">(BJ76&gt;0)*MIN(BI66+BJ63,BJ78)</f>
        <v>0</v>
      </c>
      <c r="BK65" s="101">
        <f ca="1">(BK76&gt;0)*MIN(BJ66+BK63,BK78)</f>
        <v>0</v>
      </c>
      <c r="BL65" s="101">
        <f ca="1">(BL76&gt;0)*MIN(BK66+BL63,BL78)</f>
        <v>0</v>
      </c>
      <c r="BM65" s="101">
        <f ca="1">(BM76&gt;0)*MIN(BL66+BM63,BM78)</f>
        <v>0</v>
      </c>
      <c r="BN65" s="101">
        <f ca="1">(BN76&gt;0)*MIN(BM66+BN63,BN78)</f>
        <v>0</v>
      </c>
      <c r="BO65" s="101">
        <f ca="1">(BO76&gt;0)*MIN(BN66+BO63,BO78)</f>
        <v>0</v>
      </c>
      <c r="BP65" s="101">
        <f ca="1">(BP76&gt;0)*MIN(BO66+BP63,BP78)</f>
        <v>0</v>
      </c>
      <c r="BQ65" s="101">
        <f ca="1">(BQ76&gt;0)*MIN(BP66+BQ63,BQ78)</f>
        <v>0</v>
      </c>
      <c r="BR65" s="100">
        <f ca="1">(BR76&gt;0)*MIN(BQ66+BR63,BR78)</f>
        <v>0</v>
      </c>
    </row>
    <row r="66" spans="2:70" x14ac:dyDescent="0.2">
      <c r="B66" s="104"/>
      <c r="C66" s="103" t="s">
        <v>40</v>
      </c>
      <c r="D66" s="103"/>
      <c r="E66" s="102"/>
      <c r="F66" s="94"/>
      <c r="G66" s="94"/>
      <c r="H66" s="103"/>
      <c r="I66" s="103"/>
      <c r="J66" s="102">
        <f ca="1">+SUM($J$63:J63)-SUM($J$65:J65)</f>
        <v>0</v>
      </c>
      <c r="K66" s="102">
        <f ca="1">+SUM($J$63:K63)-SUM($J$65:K65)</f>
        <v>0</v>
      </c>
      <c r="L66" s="102">
        <f ca="1">+SUM($J$63:L63)-SUM($J$65:L65)</f>
        <v>0</v>
      </c>
      <c r="M66" s="102">
        <f ca="1">+SUM($J$63:M63)-SUM($J$65:M65)</f>
        <v>0</v>
      </c>
      <c r="N66" s="101">
        <f ca="1">+SUM($J$63:N63)-SUM($J$65:N65)</f>
        <v>0</v>
      </c>
      <c r="O66" s="101">
        <f ca="1">+SUM($J$63:O63)-SUM($J$65:O65)</f>
        <v>0</v>
      </c>
      <c r="P66" s="101">
        <f ca="1">+SUM($J$63:P63)-SUM($J$65:P65)</f>
        <v>0</v>
      </c>
      <c r="Q66" s="101">
        <f ca="1">+SUM($J$63:Q63)-SUM($J$65:Q65)</f>
        <v>0</v>
      </c>
      <c r="R66" s="101">
        <f ca="1">+SUM($J$63:R63)-SUM($J$65:R65)</f>
        <v>0</v>
      </c>
      <c r="S66" s="101">
        <f ca="1">+SUM($J$63:S63)-SUM($J$65:S65)</f>
        <v>0</v>
      </c>
      <c r="T66" s="101">
        <f ca="1">+SUM($J$63:T63)-SUM($J$65:T65)</f>
        <v>0</v>
      </c>
      <c r="U66" s="101">
        <f ca="1">+SUM($J$63:U63)-SUM($J$65:U65)</f>
        <v>0</v>
      </c>
      <c r="V66" s="101">
        <f ca="1">+SUM($J$63:V63)-SUM($J$65:V65)</f>
        <v>0</v>
      </c>
      <c r="W66" s="101">
        <f ca="1">+SUM($J$63:W63)-SUM($J$65:W65)</f>
        <v>0</v>
      </c>
      <c r="X66" s="101">
        <f ca="1">+SUM($J$63:X63)-SUM($J$65:X65)</f>
        <v>0</v>
      </c>
      <c r="Y66" s="101">
        <f ca="1">+SUM($J$63:Y63)-SUM($J$65:Y65)</f>
        <v>0</v>
      </c>
      <c r="Z66" s="101">
        <f ca="1">+SUM($J$63:Z63)-SUM($J$65:Z65)</f>
        <v>0</v>
      </c>
      <c r="AA66" s="101">
        <f ca="1">+SUM($J$63:AA63)-SUM($J$65:AA65)</f>
        <v>0</v>
      </c>
      <c r="AB66" s="101">
        <f ca="1">+SUM($J$63:AB63)-SUM($J$65:AB65)</f>
        <v>0</v>
      </c>
      <c r="AC66" s="101">
        <f ca="1">+SUM($J$63:AC63)-SUM($J$65:AC65)</f>
        <v>0</v>
      </c>
      <c r="AD66" s="101">
        <f ca="1">+SUM($J$63:AD63)-SUM($J$65:AD65)</f>
        <v>0</v>
      </c>
      <c r="AE66" s="101">
        <f ca="1">+SUM($J$63:AE63)-SUM($J$65:AE65)</f>
        <v>0</v>
      </c>
      <c r="AF66" s="101">
        <f ca="1">+SUM($J$63:AF63)-SUM($J$65:AF65)</f>
        <v>0</v>
      </c>
      <c r="AG66" s="101">
        <f ca="1">+SUM($J$63:AG63)-SUM($J$65:AG65)</f>
        <v>0</v>
      </c>
      <c r="AH66" s="101">
        <f ca="1">+SUM($J$63:AH63)-SUM($J$65:AH65)</f>
        <v>0</v>
      </c>
      <c r="AI66" s="101">
        <f ca="1">+SUM($J$63:AI63)-SUM($J$65:AI65)</f>
        <v>6403734.5802195882</v>
      </c>
      <c r="AJ66" s="101">
        <f ca="1">+SUM($J$63:AJ63)-SUM($J$65:AJ65)</f>
        <v>13756613.099218907</v>
      </c>
      <c r="AK66" s="101">
        <f ca="1">+SUM($J$63:AK63)-SUM($J$65:AK65)</f>
        <v>21601246.892904807</v>
      </c>
      <c r="AL66" s="101">
        <f ca="1">+SUM($J$63:AL63)-SUM($J$65:AL65)</f>
        <v>29475217.536046688</v>
      </c>
      <c r="AM66" s="101">
        <f ca="1">+SUM($J$63:AM63)-SUM($J$65:AM65)</f>
        <v>36914453.271163054</v>
      </c>
      <c r="AN66" s="101">
        <f ca="1">+SUM($J$63:AN63)-SUM($J$65:AN65)</f>
        <v>43588162.282715164</v>
      </c>
      <c r="AO66" s="101">
        <f ca="1">+SUM($J$63:AO63)-SUM($J$65:AO65)</f>
        <v>49250685.023148641</v>
      </c>
      <c r="AP66" s="101">
        <f ca="1">+SUM($J$63:AP63)-SUM($J$65:AP65)</f>
        <v>53817879.822975665</v>
      </c>
      <c r="AQ66" s="101">
        <f ca="1">+SUM($J$63:AQ63)-SUM($J$65:AQ65)</f>
        <v>57348425.783082798</v>
      </c>
      <c r="AR66" s="101">
        <f ca="1">+SUM($J$63:AR63)-SUM($J$65:AR65)</f>
        <v>60000019.190297745</v>
      </c>
      <c r="AS66" s="101">
        <f ca="1">+SUM($J$63:AS63)-SUM($J$65:AS65)</f>
        <v>61976814.713823974</v>
      </c>
      <c r="AT66" s="101">
        <f ca="1">+SUM($J$63:AT63)-SUM($J$65:AT65)</f>
        <v>65194378.300511025</v>
      </c>
      <c r="AU66" s="101">
        <f ca="1">+SUM($J$63:AU63)-SUM($J$65:AU65)</f>
        <v>66413624.98633261</v>
      </c>
      <c r="AV66" s="101">
        <f ca="1">+SUM($J$63:AV63)-SUM($J$65:AV65)</f>
        <v>67472527.952853069</v>
      </c>
      <c r="AW66" s="101">
        <f ca="1">+SUM($J$63:AW63)-SUM($J$65:AW65)</f>
        <v>80524968.467581719</v>
      </c>
      <c r="AX66" s="101">
        <f ca="1">+SUM($J$63:AX63)-SUM($J$65:AX65)</f>
        <v>80826937.099335074</v>
      </c>
      <c r="AY66" s="101">
        <f ca="1">+SUM($J$63:AY63)-SUM($J$65:AY65)</f>
        <v>81130038.113457501</v>
      </c>
      <c r="AZ66" s="101">
        <f ca="1">+SUM($J$63:AZ63)-SUM($J$65:AZ65)</f>
        <v>81434275.756382883</v>
      </c>
      <c r="BA66" s="101">
        <f ca="1">+SUM($J$63:BA63)-SUM($J$65:BA65)</f>
        <v>81739654.290469244</v>
      </c>
      <c r="BB66" s="101">
        <f ca="1">+SUM($J$63:BB63)-SUM($J$65:BB65)</f>
        <v>82046177.99405843</v>
      </c>
      <c r="BC66" s="101">
        <f ca="1">+SUM($J$63:BC63)-SUM($J$65:BC65)</f>
        <v>82353851.161536068</v>
      </c>
      <c r="BD66" s="101">
        <f ca="1">+SUM($J$63:BD63)-SUM($J$65:BD65)</f>
        <v>82662678.103391752</v>
      </c>
      <c r="BE66" s="101">
        <f ca="1">+SUM($J$63:BE63)-SUM($J$65:BE65)</f>
        <v>2.0578503608703613E-5</v>
      </c>
      <c r="BF66" s="101">
        <f ca="1">+SUM($J$63:BF63)-SUM($J$65:BF65)</f>
        <v>2.0578503608703613E-5</v>
      </c>
      <c r="BG66" s="101">
        <f ca="1">+SUM($J$63:BG63)-SUM($J$65:BG65)</f>
        <v>2.0578503608703613E-5</v>
      </c>
      <c r="BH66" s="101">
        <f ca="1">+SUM($J$63:BH63)-SUM($J$65:BH65)</f>
        <v>2.0578503608703613E-5</v>
      </c>
      <c r="BI66" s="101">
        <f ca="1">+SUM($J$63:BI63)-SUM($J$65:BI65)</f>
        <v>2.0578503608703613E-5</v>
      </c>
      <c r="BJ66" s="101">
        <f ca="1">+SUM($J$63:BJ63)-SUM($J$65:BJ65)</f>
        <v>2.0578503608703613E-5</v>
      </c>
      <c r="BK66" s="101">
        <f ca="1">+SUM($J$63:BK63)-SUM($J$65:BK65)</f>
        <v>2.0578503608703613E-5</v>
      </c>
      <c r="BL66" s="101">
        <f ca="1">+SUM($J$63:BL63)-SUM($J$65:BL65)</f>
        <v>2.0578503608703613E-5</v>
      </c>
      <c r="BM66" s="101">
        <f ca="1">+SUM($J$63:BM63)-SUM($J$65:BM65)</f>
        <v>2.0578503608703613E-5</v>
      </c>
      <c r="BN66" s="101">
        <f ca="1">+SUM($J$63:BN63)-SUM($J$65:BN65)</f>
        <v>2.0578503608703613E-5</v>
      </c>
      <c r="BO66" s="101">
        <f ca="1">+SUM($J$63:BO63)-SUM($J$65:BO65)</f>
        <v>2.0578503608703613E-5</v>
      </c>
      <c r="BP66" s="101">
        <f ca="1">+SUM($J$63:BP63)-SUM($J$65:BP65)</f>
        <v>2.0578503608703613E-5</v>
      </c>
      <c r="BQ66" s="101">
        <f ca="1">+SUM($J$63:BQ63)-SUM($J$65:BQ65)</f>
        <v>2.0578503608703613E-5</v>
      </c>
      <c r="BR66" s="100">
        <f ca="1">+SUM($J$63:BR63)-SUM($J$65:BR65)</f>
        <v>2.0578503608703613E-5</v>
      </c>
    </row>
    <row r="67" spans="2:70" x14ac:dyDescent="0.2">
      <c r="B67" s="82" t="s">
        <v>39</v>
      </c>
      <c r="C67" s="79" t="s">
        <v>38</v>
      </c>
      <c r="D67" s="79"/>
      <c r="E67" s="81"/>
      <c r="F67" s="99"/>
      <c r="G67" s="99"/>
      <c r="H67" s="79"/>
      <c r="I67" s="79"/>
      <c r="J67" s="98">
        <f>+$C$50</f>
        <v>4.4999999999999998E-2</v>
      </c>
      <c r="K67" s="98">
        <f>+$C$50</f>
        <v>4.4999999999999998E-2</v>
      </c>
      <c r="L67" s="98">
        <f>+$C$50</f>
        <v>4.4999999999999998E-2</v>
      </c>
      <c r="M67" s="98">
        <f>+$C$50</f>
        <v>4.4999999999999998E-2</v>
      </c>
      <c r="N67" s="98">
        <f>+$C$50</f>
        <v>4.4999999999999998E-2</v>
      </c>
      <c r="O67" s="98">
        <f>+$C$50</f>
        <v>4.4999999999999998E-2</v>
      </c>
      <c r="P67" s="98">
        <f>+$C$50</f>
        <v>4.4999999999999998E-2</v>
      </c>
      <c r="Q67" s="98">
        <f>+$C$50</f>
        <v>4.4999999999999998E-2</v>
      </c>
      <c r="R67" s="98">
        <f>+$C$50</f>
        <v>4.4999999999999998E-2</v>
      </c>
      <c r="S67" s="98">
        <f>+$C$50</f>
        <v>4.4999999999999998E-2</v>
      </c>
      <c r="T67" s="98">
        <f>+$C$50</f>
        <v>4.4999999999999998E-2</v>
      </c>
      <c r="U67" s="98">
        <f>+$C$50</f>
        <v>4.4999999999999998E-2</v>
      </c>
      <c r="V67" s="98">
        <f>+$C$50</f>
        <v>4.4999999999999998E-2</v>
      </c>
      <c r="W67" s="98">
        <f>+$C$50</f>
        <v>4.4999999999999998E-2</v>
      </c>
      <c r="X67" s="98">
        <f>+$C$50</f>
        <v>4.4999999999999998E-2</v>
      </c>
      <c r="Y67" s="98">
        <f>+$C$50</f>
        <v>4.4999999999999998E-2</v>
      </c>
      <c r="Z67" s="98">
        <f>+$C$50</f>
        <v>4.4999999999999998E-2</v>
      </c>
      <c r="AA67" s="98">
        <f>+$C$50</f>
        <v>4.4999999999999998E-2</v>
      </c>
      <c r="AB67" s="98">
        <f>+$C$50</f>
        <v>4.4999999999999998E-2</v>
      </c>
      <c r="AC67" s="98">
        <f>+$C$50</f>
        <v>4.4999999999999998E-2</v>
      </c>
      <c r="AD67" s="98">
        <f>+$C$50</f>
        <v>4.4999999999999998E-2</v>
      </c>
      <c r="AE67" s="98">
        <f>+$C$50</f>
        <v>4.4999999999999998E-2</v>
      </c>
      <c r="AF67" s="98">
        <f>+$C$50</f>
        <v>4.4999999999999998E-2</v>
      </c>
      <c r="AG67" s="98">
        <f>+$C$50</f>
        <v>4.4999999999999998E-2</v>
      </c>
      <c r="AH67" s="98">
        <f>+$C$50</f>
        <v>4.4999999999999998E-2</v>
      </c>
      <c r="AI67" s="98">
        <f>+$C$50</f>
        <v>4.4999999999999998E-2</v>
      </c>
      <c r="AJ67" s="98">
        <f>+$C$50</f>
        <v>4.4999999999999998E-2</v>
      </c>
      <c r="AK67" s="98">
        <f>+$C$50</f>
        <v>4.4999999999999998E-2</v>
      </c>
      <c r="AL67" s="98">
        <f>+$C$50</f>
        <v>4.4999999999999998E-2</v>
      </c>
      <c r="AM67" s="98">
        <f>+$C$50</f>
        <v>4.4999999999999998E-2</v>
      </c>
      <c r="AN67" s="98">
        <f>+$C$50</f>
        <v>4.4999999999999998E-2</v>
      </c>
      <c r="AO67" s="98">
        <f>+$C$50</f>
        <v>4.4999999999999998E-2</v>
      </c>
      <c r="AP67" s="98">
        <f>+$C$50</f>
        <v>4.4999999999999998E-2</v>
      </c>
      <c r="AQ67" s="98">
        <f>+$C$50</f>
        <v>4.4999999999999998E-2</v>
      </c>
      <c r="AR67" s="98">
        <f>+$C$50</f>
        <v>4.4999999999999998E-2</v>
      </c>
      <c r="AS67" s="98">
        <f>+$C$50</f>
        <v>4.4999999999999998E-2</v>
      </c>
      <c r="AT67" s="98">
        <f>+$C$50</f>
        <v>4.4999999999999998E-2</v>
      </c>
      <c r="AU67" s="98">
        <f>+$C$50</f>
        <v>4.4999999999999998E-2</v>
      </c>
      <c r="AV67" s="98">
        <f>+$C$50</f>
        <v>4.4999999999999998E-2</v>
      </c>
      <c r="AW67" s="98">
        <f>+$C$50</f>
        <v>4.4999999999999998E-2</v>
      </c>
      <c r="AX67" s="98">
        <f>+$C$50</f>
        <v>4.4999999999999998E-2</v>
      </c>
      <c r="AY67" s="98">
        <f>+$C$50</f>
        <v>4.4999999999999998E-2</v>
      </c>
      <c r="AZ67" s="98">
        <f>+$C$50</f>
        <v>4.4999999999999998E-2</v>
      </c>
      <c r="BA67" s="98">
        <f>+$C$50</f>
        <v>4.4999999999999998E-2</v>
      </c>
      <c r="BB67" s="98">
        <f>+$C$50</f>
        <v>4.4999999999999998E-2</v>
      </c>
      <c r="BC67" s="98">
        <f>+$C$50</f>
        <v>4.4999999999999998E-2</v>
      </c>
      <c r="BD67" s="98">
        <f>+$C$50</f>
        <v>4.4999999999999998E-2</v>
      </c>
      <c r="BE67" s="98">
        <f>+$C$50</f>
        <v>4.4999999999999998E-2</v>
      </c>
      <c r="BF67" s="98">
        <f>+$C$50</f>
        <v>4.4999999999999998E-2</v>
      </c>
      <c r="BG67" s="98">
        <f>+$C$50</f>
        <v>4.4999999999999998E-2</v>
      </c>
      <c r="BH67" s="98">
        <f>+$C$50</f>
        <v>4.4999999999999998E-2</v>
      </c>
      <c r="BI67" s="98">
        <f>+$C$50</f>
        <v>4.4999999999999998E-2</v>
      </c>
      <c r="BJ67" s="98">
        <f>+$C$50</f>
        <v>4.4999999999999998E-2</v>
      </c>
      <c r="BK67" s="98">
        <f>+$C$50</f>
        <v>4.4999999999999998E-2</v>
      </c>
      <c r="BL67" s="98">
        <f>+$C$50</f>
        <v>4.4999999999999998E-2</v>
      </c>
      <c r="BM67" s="98">
        <f>+$C$50</f>
        <v>4.4999999999999998E-2</v>
      </c>
      <c r="BN67" s="98">
        <f>+$C$50</f>
        <v>4.4999999999999998E-2</v>
      </c>
      <c r="BO67" s="98">
        <f>+$C$50</f>
        <v>4.4999999999999998E-2</v>
      </c>
      <c r="BP67" s="98">
        <f>+$C$50</f>
        <v>4.4999999999999998E-2</v>
      </c>
      <c r="BQ67" s="98">
        <f>+$C$50</f>
        <v>4.4999999999999998E-2</v>
      </c>
      <c r="BR67" s="97">
        <f>+$C$50</f>
        <v>4.4999999999999998E-2</v>
      </c>
    </row>
    <row r="68" spans="2:70" x14ac:dyDescent="0.2">
      <c r="B68" s="96"/>
      <c r="C68" s="93" t="s">
        <v>37</v>
      </c>
      <c r="D68" s="93"/>
      <c r="E68" s="95"/>
      <c r="F68" s="94"/>
      <c r="G68" s="94"/>
      <c r="H68" s="93"/>
      <c r="I68" s="93"/>
      <c r="J68" s="92">
        <f>C47</f>
        <v>0.03</v>
      </c>
      <c r="K68" s="92">
        <f>+J68+$C$48/10000</f>
        <v>3.0499999999999999E-2</v>
      </c>
      <c r="L68" s="92">
        <f>+K68+$C$48/10000</f>
        <v>3.1E-2</v>
      </c>
      <c r="M68" s="92">
        <f>+L68+$C$48/10000</f>
        <v>3.15E-2</v>
      </c>
      <c r="N68" s="92">
        <f>+M68+$C$48/10000</f>
        <v>3.2000000000000001E-2</v>
      </c>
      <c r="O68" s="92">
        <f>+N68+$C$48/10000</f>
        <v>3.2500000000000001E-2</v>
      </c>
      <c r="P68" s="92">
        <f>+O68+$C$48/10000</f>
        <v>3.3000000000000002E-2</v>
      </c>
      <c r="Q68" s="92">
        <f>+P68+$C$48/10000</f>
        <v>3.3500000000000002E-2</v>
      </c>
      <c r="R68" s="92">
        <f>+Q68+$C$48/10000</f>
        <v>3.4000000000000002E-2</v>
      </c>
      <c r="S68" s="92">
        <f>+R68+$C$48/10000</f>
        <v>3.4500000000000003E-2</v>
      </c>
      <c r="T68" s="92">
        <f>+S68+$C$48/10000</f>
        <v>3.5000000000000003E-2</v>
      </c>
      <c r="U68" s="92">
        <f>+T68+$C$48/10000</f>
        <v>3.5500000000000004E-2</v>
      </c>
      <c r="V68" s="92">
        <f>+U68+$C$48/10000</f>
        <v>3.6000000000000004E-2</v>
      </c>
      <c r="W68" s="92">
        <f>+V68+$C$48/10000</f>
        <v>3.6500000000000005E-2</v>
      </c>
      <c r="X68" s="92">
        <f>+W68+$C$48/10000</f>
        <v>3.7000000000000005E-2</v>
      </c>
      <c r="Y68" s="92">
        <f>+X68+$C$48/10000</f>
        <v>3.7500000000000006E-2</v>
      </c>
      <c r="Z68" s="92">
        <f>+Y68+$C$48/10000</f>
        <v>3.8000000000000006E-2</v>
      </c>
      <c r="AA68" s="92">
        <f>+Z68+$C$48/10000</f>
        <v>3.8500000000000006E-2</v>
      </c>
      <c r="AB68" s="92">
        <f>+AA68+$C$48/10000</f>
        <v>3.9000000000000007E-2</v>
      </c>
      <c r="AC68" s="92">
        <f>+AB68+$C$48/10000</f>
        <v>3.9500000000000007E-2</v>
      </c>
      <c r="AD68" s="92">
        <f>+AC68+$C$48/10000</f>
        <v>4.0000000000000008E-2</v>
      </c>
      <c r="AE68" s="92">
        <f>+AD68+$C$48/10000</f>
        <v>4.0500000000000008E-2</v>
      </c>
      <c r="AF68" s="92">
        <f>+AE68+$C$48/10000</f>
        <v>4.1000000000000009E-2</v>
      </c>
      <c r="AG68" s="92">
        <f>+AF68+$C$48/10000</f>
        <v>4.1500000000000009E-2</v>
      </c>
      <c r="AH68" s="92">
        <f>+AG68+$C$48/10000</f>
        <v>4.200000000000001E-2</v>
      </c>
      <c r="AI68" s="92">
        <f>+AH68+$C$48/10000</f>
        <v>4.250000000000001E-2</v>
      </c>
      <c r="AJ68" s="92">
        <f>+AI68+$C$48/10000</f>
        <v>4.300000000000001E-2</v>
      </c>
      <c r="AK68" s="92">
        <f>+AJ68+$C$48/10000</f>
        <v>4.3500000000000011E-2</v>
      </c>
      <c r="AL68" s="92">
        <f>+AK68+$C$48/10000</f>
        <v>4.4000000000000011E-2</v>
      </c>
      <c r="AM68" s="92">
        <f>+AL68+$C$48/10000</f>
        <v>4.4500000000000012E-2</v>
      </c>
      <c r="AN68" s="92">
        <f>+AM68+$C$48/10000</f>
        <v>4.5000000000000012E-2</v>
      </c>
      <c r="AO68" s="92">
        <f>+AN68+$C$48/10000</f>
        <v>4.5500000000000013E-2</v>
      </c>
      <c r="AP68" s="92">
        <f>+AO68+$C$48/10000</f>
        <v>4.6000000000000013E-2</v>
      </c>
      <c r="AQ68" s="92">
        <f>+AP68+$C$48/10000</f>
        <v>4.6500000000000014E-2</v>
      </c>
      <c r="AR68" s="92">
        <f>+AQ68+$C$48/10000</f>
        <v>4.7000000000000014E-2</v>
      </c>
      <c r="AS68" s="92">
        <f>+AR68+$C$48/10000</f>
        <v>4.7500000000000014E-2</v>
      </c>
      <c r="AT68" s="92">
        <f>+AS68+$C$48/10000</f>
        <v>4.8000000000000015E-2</v>
      </c>
      <c r="AU68" s="92">
        <f>+AT68+$C$48/10000</f>
        <v>4.8500000000000015E-2</v>
      </c>
      <c r="AV68" s="92">
        <f>+AU68+$C$48/10000</f>
        <v>4.9000000000000016E-2</v>
      </c>
      <c r="AW68" s="92">
        <f>+AV68+$C$48/10000</f>
        <v>4.9500000000000016E-2</v>
      </c>
      <c r="AX68" s="92">
        <f>+AW68+$C$48/10000</f>
        <v>5.0000000000000017E-2</v>
      </c>
      <c r="AY68" s="92">
        <f>+AX68+$C$48/10000</f>
        <v>5.0500000000000017E-2</v>
      </c>
      <c r="AZ68" s="92">
        <f>+AY68+$C$48/10000</f>
        <v>5.1000000000000018E-2</v>
      </c>
      <c r="BA68" s="92">
        <f>+AZ68+$C$48/10000</f>
        <v>5.1500000000000018E-2</v>
      </c>
      <c r="BB68" s="92">
        <f>+BA68+$C$48/10000</f>
        <v>5.2000000000000018E-2</v>
      </c>
      <c r="BC68" s="92">
        <f>+BB68+$C$48/10000</f>
        <v>5.2500000000000019E-2</v>
      </c>
      <c r="BD68" s="92">
        <f>+BC68+$C$48/10000</f>
        <v>5.3000000000000019E-2</v>
      </c>
      <c r="BE68" s="92">
        <f>+BD68+$C$48/10000</f>
        <v>5.350000000000002E-2</v>
      </c>
      <c r="BF68" s="92">
        <f>+BE68+$C$48/10000</f>
        <v>5.400000000000002E-2</v>
      </c>
      <c r="BG68" s="92">
        <f>+BF68+$C$48/10000</f>
        <v>5.4500000000000021E-2</v>
      </c>
      <c r="BH68" s="92">
        <f>+BG68+$C$48/10000</f>
        <v>5.5000000000000021E-2</v>
      </c>
      <c r="BI68" s="92">
        <f>+BH68+$C$48/10000</f>
        <v>5.5500000000000022E-2</v>
      </c>
      <c r="BJ68" s="92">
        <f>+BI68+$C$48/10000</f>
        <v>5.6000000000000022E-2</v>
      </c>
      <c r="BK68" s="92">
        <f>+BJ68+$C$48/10000</f>
        <v>5.6500000000000022E-2</v>
      </c>
      <c r="BL68" s="92">
        <f>+BK68+$C$48/10000</f>
        <v>5.7000000000000023E-2</v>
      </c>
      <c r="BM68" s="92">
        <f>+BL68+$C$48/10000</f>
        <v>5.7500000000000023E-2</v>
      </c>
      <c r="BN68" s="92">
        <f>+BM68+$C$48/10000</f>
        <v>5.8000000000000024E-2</v>
      </c>
      <c r="BO68" s="92">
        <f>+BN68+$C$48/10000</f>
        <v>5.8500000000000024E-2</v>
      </c>
      <c r="BP68" s="92">
        <f>+BO68+$C$48/10000</f>
        <v>5.9000000000000025E-2</v>
      </c>
      <c r="BQ68" s="92">
        <f>+BP68+$C$48/10000</f>
        <v>5.9500000000000025E-2</v>
      </c>
      <c r="BR68" s="91">
        <f>+BQ68+$C$48/10000</f>
        <v>6.0000000000000026E-2</v>
      </c>
    </row>
    <row r="69" spans="2:70" x14ac:dyDescent="0.2">
      <c r="B69" s="76"/>
      <c r="C69" s="74" t="s">
        <v>36</v>
      </c>
      <c r="D69" s="74"/>
      <c r="E69" s="88"/>
      <c r="F69" s="87"/>
      <c r="G69" s="87"/>
      <c r="H69" s="74"/>
      <c r="I69" s="74"/>
      <c r="J69" s="90">
        <f>+$C$49</f>
        <v>0.03</v>
      </c>
      <c r="K69" s="90">
        <f>+$C$49</f>
        <v>0.03</v>
      </c>
      <c r="L69" s="90">
        <f>+$C$49</f>
        <v>0.03</v>
      </c>
      <c r="M69" s="90">
        <f>+$C$49</f>
        <v>0.03</v>
      </c>
      <c r="N69" s="90">
        <f>+$C$49</f>
        <v>0.03</v>
      </c>
      <c r="O69" s="90">
        <f>+$C$49</f>
        <v>0.03</v>
      </c>
      <c r="P69" s="90">
        <f>+$C$49</f>
        <v>0.03</v>
      </c>
      <c r="Q69" s="90">
        <f>+$C$49</f>
        <v>0.03</v>
      </c>
      <c r="R69" s="90">
        <f>+$C$49</f>
        <v>0.03</v>
      </c>
      <c r="S69" s="90">
        <f>+$C$49</f>
        <v>0.03</v>
      </c>
      <c r="T69" s="90">
        <f>+$C$49</f>
        <v>0.03</v>
      </c>
      <c r="U69" s="90">
        <f>+$C$49</f>
        <v>0.03</v>
      </c>
      <c r="V69" s="90">
        <f>+$C$49</f>
        <v>0.03</v>
      </c>
      <c r="W69" s="90">
        <f>+$C$49</f>
        <v>0.03</v>
      </c>
      <c r="X69" s="90">
        <f>+$C$49</f>
        <v>0.03</v>
      </c>
      <c r="Y69" s="90">
        <f>+$C$49</f>
        <v>0.03</v>
      </c>
      <c r="Z69" s="90">
        <f>+$C$49</f>
        <v>0.03</v>
      </c>
      <c r="AA69" s="90">
        <f>+$C$49</f>
        <v>0.03</v>
      </c>
      <c r="AB69" s="90">
        <f>+$C$49</f>
        <v>0.03</v>
      </c>
      <c r="AC69" s="90">
        <f>+$C$49</f>
        <v>0.03</v>
      </c>
      <c r="AD69" s="90">
        <f>+$C$49</f>
        <v>0.03</v>
      </c>
      <c r="AE69" s="90">
        <f>+$C$49</f>
        <v>0.03</v>
      </c>
      <c r="AF69" s="90">
        <f>+$C$49</f>
        <v>0.03</v>
      </c>
      <c r="AG69" s="90">
        <f>+$C$49</f>
        <v>0.03</v>
      </c>
      <c r="AH69" s="90">
        <f>+$C$49</f>
        <v>0.03</v>
      </c>
      <c r="AI69" s="90">
        <f>+$C$49</f>
        <v>0.03</v>
      </c>
      <c r="AJ69" s="90">
        <f>+$C$49</f>
        <v>0.03</v>
      </c>
      <c r="AK69" s="90">
        <f>+$C$49</f>
        <v>0.03</v>
      </c>
      <c r="AL69" s="90">
        <f>+$C$49</f>
        <v>0.03</v>
      </c>
      <c r="AM69" s="90">
        <f>+$C$49</f>
        <v>0.03</v>
      </c>
      <c r="AN69" s="90">
        <f>+$C$49</f>
        <v>0.03</v>
      </c>
      <c r="AO69" s="90">
        <f>+$C$49</f>
        <v>0.03</v>
      </c>
      <c r="AP69" s="90">
        <f>+$C$49</f>
        <v>0.03</v>
      </c>
      <c r="AQ69" s="90">
        <f>+$C$49</f>
        <v>0.03</v>
      </c>
      <c r="AR69" s="90">
        <f>+$C$49</f>
        <v>0.03</v>
      </c>
      <c r="AS69" s="90">
        <f>+$C$49</f>
        <v>0.03</v>
      </c>
      <c r="AT69" s="90">
        <f>+$C$49</f>
        <v>0.03</v>
      </c>
      <c r="AU69" s="90">
        <f>+$C$49</f>
        <v>0.03</v>
      </c>
      <c r="AV69" s="90">
        <f>+$C$49</f>
        <v>0.03</v>
      </c>
      <c r="AW69" s="90">
        <f>+$C$49</f>
        <v>0.03</v>
      </c>
      <c r="AX69" s="90">
        <f>+$C$49</f>
        <v>0.03</v>
      </c>
      <c r="AY69" s="90">
        <f>+$C$49</f>
        <v>0.03</v>
      </c>
      <c r="AZ69" s="90">
        <f>+$C$49</f>
        <v>0.03</v>
      </c>
      <c r="BA69" s="90">
        <f>+$C$49</f>
        <v>0.03</v>
      </c>
      <c r="BB69" s="90">
        <f>+$C$49</f>
        <v>0.03</v>
      </c>
      <c r="BC69" s="90">
        <f>+$C$49</f>
        <v>0.03</v>
      </c>
      <c r="BD69" s="90">
        <f>+$C$49</f>
        <v>0.03</v>
      </c>
      <c r="BE69" s="90">
        <f>+$C$49</f>
        <v>0.03</v>
      </c>
      <c r="BF69" s="90">
        <f>+$C$49</f>
        <v>0.03</v>
      </c>
      <c r="BG69" s="90">
        <f>+$C$49</f>
        <v>0.03</v>
      </c>
      <c r="BH69" s="90">
        <f>+$C$49</f>
        <v>0.03</v>
      </c>
      <c r="BI69" s="90">
        <f>+$C$49</f>
        <v>0.03</v>
      </c>
      <c r="BJ69" s="90">
        <f>+$C$49</f>
        <v>0.03</v>
      </c>
      <c r="BK69" s="90">
        <f>+$C$49</f>
        <v>0.03</v>
      </c>
      <c r="BL69" s="90">
        <f>+$C$49</f>
        <v>0.03</v>
      </c>
      <c r="BM69" s="90">
        <f>+$C$49</f>
        <v>0.03</v>
      </c>
      <c r="BN69" s="90">
        <f>+$C$49</f>
        <v>0.03</v>
      </c>
      <c r="BO69" s="90">
        <f>+$C$49</f>
        <v>0.03</v>
      </c>
      <c r="BP69" s="90">
        <f>+$C$49</f>
        <v>0.03</v>
      </c>
      <c r="BQ69" s="90">
        <f>+$C$49</f>
        <v>0.03</v>
      </c>
      <c r="BR69" s="89">
        <f>+$C$49</f>
        <v>0.03</v>
      </c>
    </row>
    <row r="70" spans="2:70" x14ac:dyDescent="0.2">
      <c r="B70" s="76"/>
      <c r="C70" s="86" t="s">
        <v>35</v>
      </c>
      <c r="D70" s="86"/>
      <c r="E70" s="88"/>
      <c r="F70" s="87"/>
      <c r="G70" s="87"/>
      <c r="H70" s="86"/>
      <c r="I70" s="86"/>
      <c r="J70" s="85">
        <f>(J68&gt;J67)*J67+(J68&lt;J69)*J69+AND(J68&lt;=J67,J68&gt;=J69)*J68</f>
        <v>0.03</v>
      </c>
      <c r="K70" s="85">
        <f>(K68&gt;K67)*K67+(K68&lt;K69)*K69+AND(K68&lt;=K67,K68&gt;=K69)*K68</f>
        <v>3.0499999999999999E-2</v>
      </c>
      <c r="L70" s="85">
        <f>(L68&gt;L67)*L67+(L68&lt;L69)*L69+AND(L68&lt;=L67,L68&gt;=L69)*L68</f>
        <v>3.1E-2</v>
      </c>
      <c r="M70" s="85">
        <f>(M68&gt;M67)*M67+(M68&lt;M69)*M69+AND(M68&lt;=M67,M68&gt;=M69)*M68</f>
        <v>3.15E-2</v>
      </c>
      <c r="N70" s="84">
        <f>(N68&gt;N67)*N67+(N68&lt;N69)*N69+AND(N68&lt;=N67,N68&gt;=N69)*N68</f>
        <v>3.2000000000000001E-2</v>
      </c>
      <c r="O70" s="84">
        <f>(O68&gt;O67)*O67+(O68&lt;O69)*O69+AND(O68&lt;=O67,O68&gt;=O69)*O68</f>
        <v>3.2500000000000001E-2</v>
      </c>
      <c r="P70" s="84">
        <f>(P68&gt;P67)*P67+(P68&lt;P69)*P69+AND(P68&lt;=P67,P68&gt;=P69)*P68</f>
        <v>3.3000000000000002E-2</v>
      </c>
      <c r="Q70" s="84">
        <f>(Q68&gt;Q67)*Q67+(Q68&lt;Q69)*Q69+AND(Q68&lt;=Q67,Q68&gt;=Q69)*Q68</f>
        <v>3.3500000000000002E-2</v>
      </c>
      <c r="R70" s="84">
        <f>(R68&gt;R67)*R67+(R68&lt;R69)*R69+AND(R68&lt;=R67,R68&gt;=R69)*R68</f>
        <v>3.4000000000000002E-2</v>
      </c>
      <c r="S70" s="84">
        <f>(S68&gt;S67)*S67+(S68&lt;S69)*S69+AND(S68&lt;=S67,S68&gt;=S69)*S68</f>
        <v>3.4500000000000003E-2</v>
      </c>
      <c r="T70" s="84">
        <f>(T68&gt;T67)*T67+(T68&lt;T69)*T69+AND(T68&lt;=T67,T68&gt;=T69)*T68</f>
        <v>3.5000000000000003E-2</v>
      </c>
      <c r="U70" s="84">
        <f>(U68&gt;U67)*U67+(U68&lt;U69)*U69+AND(U68&lt;=U67,U68&gt;=U69)*U68</f>
        <v>3.5500000000000004E-2</v>
      </c>
      <c r="V70" s="84">
        <f>(V68&gt;V67)*V67+(V68&lt;V69)*V69+AND(V68&lt;=V67,V68&gt;=V69)*V68</f>
        <v>3.6000000000000004E-2</v>
      </c>
      <c r="W70" s="84">
        <f>(W68&gt;W67)*W67+(W68&lt;W69)*W69+AND(W68&lt;=W67,W68&gt;=W69)*W68</f>
        <v>3.6500000000000005E-2</v>
      </c>
      <c r="X70" s="84">
        <f>(X68&gt;X67)*X67+(X68&lt;X69)*X69+AND(X68&lt;=X67,X68&gt;=X69)*X68</f>
        <v>3.7000000000000005E-2</v>
      </c>
      <c r="Y70" s="84">
        <f>(Y68&gt;Y67)*Y67+(Y68&lt;Y69)*Y69+AND(Y68&lt;=Y67,Y68&gt;=Y69)*Y68</f>
        <v>3.7500000000000006E-2</v>
      </c>
      <c r="Z70" s="84">
        <f>(Z68&gt;Z67)*Z67+(Z68&lt;Z69)*Z69+AND(Z68&lt;=Z67,Z68&gt;=Z69)*Z68</f>
        <v>3.8000000000000006E-2</v>
      </c>
      <c r="AA70" s="84">
        <f>(AA68&gt;AA67)*AA67+(AA68&lt;AA69)*AA69+AND(AA68&lt;=AA67,AA68&gt;=AA69)*AA68</f>
        <v>3.8500000000000006E-2</v>
      </c>
      <c r="AB70" s="84">
        <f>(AB68&gt;AB67)*AB67+(AB68&lt;AB69)*AB69+AND(AB68&lt;=AB67,AB68&gt;=AB69)*AB68</f>
        <v>3.9000000000000007E-2</v>
      </c>
      <c r="AC70" s="84">
        <f>(AC68&gt;AC67)*AC67+(AC68&lt;AC69)*AC69+AND(AC68&lt;=AC67,AC68&gt;=AC69)*AC68</f>
        <v>3.9500000000000007E-2</v>
      </c>
      <c r="AD70" s="84">
        <f>(AD68&gt;AD67)*AD67+(AD68&lt;AD69)*AD69+AND(AD68&lt;=AD67,AD68&gt;=AD69)*AD68</f>
        <v>4.0000000000000008E-2</v>
      </c>
      <c r="AE70" s="84">
        <f>(AE68&gt;AE67)*AE67+(AE68&lt;AE69)*AE69+AND(AE68&lt;=AE67,AE68&gt;=AE69)*AE68</f>
        <v>4.0500000000000008E-2</v>
      </c>
      <c r="AF70" s="84">
        <f>(AF68&gt;AF67)*AF67+(AF68&lt;AF69)*AF69+AND(AF68&lt;=AF67,AF68&gt;=AF69)*AF68</f>
        <v>4.1000000000000009E-2</v>
      </c>
      <c r="AG70" s="84">
        <f>(AG68&gt;AG67)*AG67+(AG68&lt;AG69)*AG69+AND(AG68&lt;=AG67,AG68&gt;=AG69)*AG68</f>
        <v>4.1500000000000009E-2</v>
      </c>
      <c r="AH70" s="84">
        <f>(AH68&gt;AH67)*AH67+(AH68&lt;AH69)*AH69+AND(AH68&lt;=AH67,AH68&gt;=AH69)*AH68</f>
        <v>4.200000000000001E-2</v>
      </c>
      <c r="AI70" s="84">
        <f>(AI68&gt;AI67)*AI67+(AI68&lt;AI69)*AI69+AND(AI68&lt;=AI67,AI68&gt;=AI69)*AI68</f>
        <v>4.250000000000001E-2</v>
      </c>
      <c r="AJ70" s="84">
        <f>(AJ68&gt;AJ67)*AJ67+(AJ68&lt;AJ69)*AJ69+AND(AJ68&lt;=AJ67,AJ68&gt;=AJ69)*AJ68</f>
        <v>4.300000000000001E-2</v>
      </c>
      <c r="AK70" s="84">
        <f>(AK68&gt;AK67)*AK67+(AK68&lt;AK69)*AK69+AND(AK68&lt;=AK67,AK68&gt;=AK69)*AK68</f>
        <v>4.3500000000000011E-2</v>
      </c>
      <c r="AL70" s="84">
        <f>(AL68&gt;AL67)*AL67+(AL68&lt;AL69)*AL69+AND(AL68&lt;=AL67,AL68&gt;=AL69)*AL68</f>
        <v>4.4000000000000011E-2</v>
      </c>
      <c r="AM70" s="84">
        <f>(AM68&gt;AM67)*AM67+(AM68&lt;AM69)*AM69+AND(AM68&lt;=AM67,AM68&gt;=AM69)*AM68</f>
        <v>4.4500000000000012E-2</v>
      </c>
      <c r="AN70" s="84">
        <f>(AN68&gt;AN67)*AN67+(AN68&lt;AN69)*AN69+AND(AN68&lt;=AN67,AN68&gt;=AN69)*AN68</f>
        <v>4.5000000000000012E-2</v>
      </c>
      <c r="AO70" s="84">
        <f>(AO68&gt;AO67)*AO67+(AO68&lt;AO69)*AO69+AND(AO68&lt;=AO67,AO68&gt;=AO69)*AO68</f>
        <v>4.4999999999999998E-2</v>
      </c>
      <c r="AP70" s="84">
        <f>(AP68&gt;AP67)*AP67+(AP68&lt;AP69)*AP69+AND(AP68&lt;=AP67,AP68&gt;=AP69)*AP68</f>
        <v>4.4999999999999998E-2</v>
      </c>
      <c r="AQ70" s="84">
        <f>(AQ68&gt;AQ67)*AQ67+(AQ68&lt;AQ69)*AQ69+AND(AQ68&lt;=AQ67,AQ68&gt;=AQ69)*AQ68</f>
        <v>4.4999999999999998E-2</v>
      </c>
      <c r="AR70" s="84">
        <f>(AR68&gt;AR67)*AR67+(AR68&lt;AR69)*AR69+AND(AR68&lt;=AR67,AR68&gt;=AR69)*AR68</f>
        <v>4.4999999999999998E-2</v>
      </c>
      <c r="AS70" s="84">
        <f>(AS68&gt;AS67)*AS67+(AS68&lt;AS69)*AS69+AND(AS68&lt;=AS67,AS68&gt;=AS69)*AS68</f>
        <v>4.4999999999999998E-2</v>
      </c>
      <c r="AT70" s="84">
        <f>(AT68&gt;AT67)*AT67+(AT68&lt;AT69)*AT69+AND(AT68&lt;=AT67,AT68&gt;=AT69)*AT68</f>
        <v>4.4999999999999998E-2</v>
      </c>
      <c r="AU70" s="84">
        <f>(AU68&gt;AU67)*AU67+(AU68&lt;AU69)*AU69+AND(AU68&lt;=AU67,AU68&gt;=AU69)*AU68</f>
        <v>4.4999999999999998E-2</v>
      </c>
      <c r="AV70" s="84">
        <f>(AV68&gt;AV67)*AV67+(AV68&lt;AV69)*AV69+AND(AV68&lt;=AV67,AV68&gt;=AV69)*AV68</f>
        <v>4.4999999999999998E-2</v>
      </c>
      <c r="AW70" s="84">
        <f>(AW68&gt;AW67)*AW67+(AW68&lt;AW69)*AW69+AND(AW68&lt;=AW67,AW68&gt;=AW69)*AW68</f>
        <v>4.4999999999999998E-2</v>
      </c>
      <c r="AX70" s="84">
        <f>(AX68&gt;AX67)*AX67+(AX68&lt;AX69)*AX69+AND(AX68&lt;=AX67,AX68&gt;=AX69)*AX68</f>
        <v>4.4999999999999998E-2</v>
      </c>
      <c r="AY70" s="84">
        <f>(AY68&gt;AY67)*AY67+(AY68&lt;AY69)*AY69+AND(AY68&lt;=AY67,AY68&gt;=AY69)*AY68</f>
        <v>4.4999999999999998E-2</v>
      </c>
      <c r="AZ70" s="84">
        <f>(AZ68&gt;AZ67)*AZ67+(AZ68&lt;AZ69)*AZ69+AND(AZ68&lt;=AZ67,AZ68&gt;=AZ69)*AZ68</f>
        <v>4.4999999999999998E-2</v>
      </c>
      <c r="BA70" s="84">
        <f>(BA68&gt;BA67)*BA67+(BA68&lt;BA69)*BA69+AND(BA68&lt;=BA67,BA68&gt;=BA69)*BA68</f>
        <v>4.4999999999999998E-2</v>
      </c>
      <c r="BB70" s="84">
        <f>(BB68&gt;BB67)*BB67+(BB68&lt;BB69)*BB69+AND(BB68&lt;=BB67,BB68&gt;=BB69)*BB68</f>
        <v>4.4999999999999998E-2</v>
      </c>
      <c r="BC70" s="84">
        <f>(BC68&gt;BC67)*BC67+(BC68&lt;BC69)*BC69+AND(BC68&lt;=BC67,BC68&gt;=BC69)*BC68</f>
        <v>4.4999999999999998E-2</v>
      </c>
      <c r="BD70" s="84">
        <f>(BD68&gt;BD67)*BD67+(BD68&lt;BD69)*BD69+AND(BD68&lt;=BD67,BD68&gt;=BD69)*BD68</f>
        <v>4.4999999999999998E-2</v>
      </c>
      <c r="BE70" s="84">
        <f>(BE68&gt;BE67)*BE67+(BE68&lt;BE69)*BE69+AND(BE68&lt;=BE67,BE68&gt;=BE69)*BE68</f>
        <v>4.4999999999999998E-2</v>
      </c>
      <c r="BF70" s="84">
        <f>(BF68&gt;BF67)*BF67+(BF68&lt;BF69)*BF69+AND(BF68&lt;=BF67,BF68&gt;=BF69)*BF68</f>
        <v>4.4999999999999998E-2</v>
      </c>
      <c r="BG70" s="84">
        <f>(BG68&gt;BG67)*BG67+(BG68&lt;BG69)*BG69+AND(BG68&lt;=BG67,BG68&gt;=BG69)*BG68</f>
        <v>4.4999999999999998E-2</v>
      </c>
      <c r="BH70" s="84">
        <f>(BH68&gt;BH67)*BH67+(BH68&lt;BH69)*BH69+AND(BH68&lt;=BH67,BH68&gt;=BH69)*BH68</f>
        <v>4.4999999999999998E-2</v>
      </c>
      <c r="BI70" s="84">
        <f>(BI68&gt;BI67)*BI67+(BI68&lt;BI69)*BI69+AND(BI68&lt;=BI67,BI68&gt;=BI69)*BI68</f>
        <v>4.4999999999999998E-2</v>
      </c>
      <c r="BJ70" s="84">
        <f>(BJ68&gt;BJ67)*BJ67+(BJ68&lt;BJ69)*BJ69+AND(BJ68&lt;=BJ67,BJ68&gt;=BJ69)*BJ68</f>
        <v>4.4999999999999998E-2</v>
      </c>
      <c r="BK70" s="84">
        <f>(BK68&gt;BK67)*BK67+(BK68&lt;BK69)*BK69+AND(BK68&lt;=BK67,BK68&gt;=BK69)*BK68</f>
        <v>4.4999999999999998E-2</v>
      </c>
      <c r="BL70" s="84">
        <f>(BL68&gt;BL67)*BL67+(BL68&lt;BL69)*BL69+AND(BL68&lt;=BL67,BL68&gt;=BL69)*BL68</f>
        <v>4.4999999999999998E-2</v>
      </c>
      <c r="BM70" s="84">
        <f>(BM68&gt;BM67)*BM67+(BM68&lt;BM69)*BM69+AND(BM68&lt;=BM67,BM68&gt;=BM69)*BM68</f>
        <v>4.4999999999999998E-2</v>
      </c>
      <c r="BN70" s="84">
        <f>(BN68&gt;BN67)*BN67+(BN68&lt;BN69)*BN69+AND(BN68&lt;=BN67,BN68&gt;=BN69)*BN68</f>
        <v>4.4999999999999998E-2</v>
      </c>
      <c r="BO70" s="84">
        <f>(BO68&gt;BO67)*BO67+(BO68&lt;BO69)*BO69+AND(BO68&lt;=BO67,BO68&gt;=BO69)*BO68</f>
        <v>4.4999999999999998E-2</v>
      </c>
      <c r="BP70" s="84">
        <f>(BP68&gt;BP67)*BP67+(BP68&lt;BP69)*BP69+AND(BP68&lt;=BP67,BP68&gt;=BP69)*BP68</f>
        <v>4.4999999999999998E-2</v>
      </c>
      <c r="BQ70" s="84">
        <f>(BQ68&gt;BQ67)*BQ67+(BQ68&lt;BQ69)*BQ69+AND(BQ68&lt;=BQ67,BQ68&gt;=BQ69)*BQ68</f>
        <v>4.4999999999999998E-2</v>
      </c>
      <c r="BR70" s="83">
        <f>(BR68&gt;BR67)*BR67+(BR68&lt;BR69)*BR69+AND(BR68&lt;=BR67,BR68&gt;=BR69)*BR68</f>
        <v>4.4999999999999998E-2</v>
      </c>
    </row>
    <row r="71" spans="2:70" x14ac:dyDescent="0.2">
      <c r="B71" s="82"/>
      <c r="C71" s="79" t="s">
        <v>5</v>
      </c>
      <c r="D71" s="79"/>
      <c r="E71" s="81"/>
      <c r="F71" s="80"/>
      <c r="G71" s="80"/>
      <c r="H71" s="79"/>
      <c r="I71" s="79"/>
      <c r="J71" s="78">
        <f ca="1">AND(SUM($I$63:I63)=0,SUM($J$63:J63)&gt;0)*$C$52</f>
        <v>0</v>
      </c>
      <c r="K71" s="78">
        <f ca="1">AND(SUM($I$63:J63)=0,SUM($J$63:K63)&gt;0)*$C$52</f>
        <v>0</v>
      </c>
      <c r="L71" s="78">
        <f ca="1">AND(SUM($I$63:K63)=0,SUM($J$63:L63)&gt;0)*$C$52</f>
        <v>0</v>
      </c>
      <c r="M71" s="78">
        <f ca="1">AND(SUM($I$63:L63)=0,SUM($J$63:M63)&gt;0)*$C$52</f>
        <v>0</v>
      </c>
      <c r="N71" s="78">
        <f ca="1">AND(SUM($I$63:M63)=0,SUM($J$63:N63)&gt;0)*$C$52</f>
        <v>0</v>
      </c>
      <c r="O71" s="78">
        <f ca="1">AND(SUM($I$63:N63)=0,SUM($J$63:O63)&gt;0)*$C$52</f>
        <v>0</v>
      </c>
      <c r="P71" s="78">
        <f ca="1">AND(SUM($I$63:O63)=0,SUM($J$63:P63)&gt;0)*$C$52</f>
        <v>0</v>
      </c>
      <c r="Q71" s="78">
        <f ca="1">AND(SUM($I$63:P63)=0,SUM($J$63:Q63)&gt;0)*$C$52</f>
        <v>0</v>
      </c>
      <c r="R71" s="78">
        <f ca="1">AND(SUM($I$63:Q63)=0,SUM($J$63:R63)&gt;0)*$C$52</f>
        <v>0</v>
      </c>
      <c r="S71" s="78">
        <f ca="1">AND(SUM($I$63:R63)=0,SUM($J$63:S63)&gt;0)*$C$52</f>
        <v>0</v>
      </c>
      <c r="T71" s="78">
        <f ca="1">AND(SUM($I$63:S63)=0,SUM($J$63:T63)&gt;0)*$C$52</f>
        <v>0</v>
      </c>
      <c r="U71" s="78">
        <f ca="1">AND(SUM($I$63:T63)=0,SUM($J$63:U63)&gt;0)*$C$52</f>
        <v>0</v>
      </c>
      <c r="V71" s="78">
        <f ca="1">AND(SUM($I$63:U63)=0,SUM($J$63:V63)&gt;0)*$C$52</f>
        <v>0</v>
      </c>
      <c r="W71" s="78">
        <f ca="1">AND(SUM($I$63:V63)=0,SUM($J$63:W63)&gt;0)*$C$52</f>
        <v>0</v>
      </c>
      <c r="X71" s="78">
        <f ca="1">AND(SUM($I$63:W63)=0,SUM($J$63:X63)&gt;0)*$C$52</f>
        <v>0</v>
      </c>
      <c r="Y71" s="78">
        <f ca="1">AND(SUM($I$63:X63)=0,SUM($J$63:Y63)&gt;0)*$C$52</f>
        <v>0</v>
      </c>
      <c r="Z71" s="78">
        <f ca="1">AND(SUM($I$63:Y63)=0,SUM($J$63:Z63)&gt;0)*$C$52</f>
        <v>0</v>
      </c>
      <c r="AA71" s="78">
        <f ca="1">AND(SUM($I$63:Z63)=0,SUM($J$63:AA63)&gt;0)*$C$52</f>
        <v>0</v>
      </c>
      <c r="AB71" s="78">
        <f ca="1">AND(SUM($I$63:AA63)=0,SUM($J$63:AB63)&gt;0)*$C$52</f>
        <v>0</v>
      </c>
      <c r="AC71" s="78">
        <f ca="1">AND(SUM($I$63:AB63)=0,SUM($J$63:AC63)&gt;0)*$C$52</f>
        <v>0</v>
      </c>
      <c r="AD71" s="78">
        <f ca="1">AND(SUM($I$63:AC63)=0,SUM($J$63:AD63)&gt;0)*$C$52</f>
        <v>0</v>
      </c>
      <c r="AE71" s="78">
        <f ca="1">AND(SUM($I$63:AD63)=0,SUM($J$63:AE63)&gt;0)*$C$52</f>
        <v>0</v>
      </c>
      <c r="AF71" s="78">
        <f ca="1">AND(SUM($I$63:AE63)=0,SUM($J$63:AF63)&gt;0)*$C$52</f>
        <v>0</v>
      </c>
      <c r="AG71" s="78">
        <f ca="1">AND(SUM($I$63:AF63)=0,SUM($J$63:AG63)&gt;0)*$C$52</f>
        <v>0</v>
      </c>
      <c r="AH71" s="78">
        <f ca="1">AND(SUM($I$63:AG63)=0,SUM($J$63:AH63)&gt;0)*$C$52</f>
        <v>0</v>
      </c>
      <c r="AI71" s="78">
        <f ca="1">AND(SUM($I$63:AH63)=0,SUM($J$63:AI63)&gt;0)*$C$52</f>
        <v>829726.63146267727</v>
      </c>
      <c r="AJ71" s="78">
        <f ca="1">AND(SUM($I$63:AI63)=0,SUM($J$63:AJ63)&gt;0)*$C$52</f>
        <v>0</v>
      </c>
      <c r="AK71" s="78">
        <f ca="1">AND(SUM($I$63:AJ63)=0,SUM($J$63:AK63)&gt;0)*$C$52</f>
        <v>0</v>
      </c>
      <c r="AL71" s="78">
        <f ca="1">AND(SUM($I$63:AK63)=0,SUM($J$63:AL63)&gt;0)*$C$52</f>
        <v>0</v>
      </c>
      <c r="AM71" s="78">
        <f ca="1">AND(SUM($I$63:AL63)=0,SUM($J$63:AM63)&gt;0)*$C$52</f>
        <v>0</v>
      </c>
      <c r="AN71" s="78">
        <f ca="1">AND(SUM($I$63:AM63)=0,SUM($J$63:AN63)&gt;0)*$C$52</f>
        <v>0</v>
      </c>
      <c r="AO71" s="78">
        <f ca="1">AND(SUM($I$63:AN63)=0,SUM($J$63:AO63)&gt;0)*$C$52</f>
        <v>0</v>
      </c>
      <c r="AP71" s="78">
        <f ca="1">AND(SUM($I$63:AO63)=0,SUM($J$63:AP63)&gt;0)*$C$52</f>
        <v>0</v>
      </c>
      <c r="AQ71" s="78">
        <f ca="1">AND(SUM($I$63:AP63)=0,SUM($J$63:AQ63)&gt;0)*$C$52</f>
        <v>0</v>
      </c>
      <c r="AR71" s="78">
        <f ca="1">AND(SUM($I$63:AQ63)=0,SUM($J$63:AR63)&gt;0)*$C$52</f>
        <v>0</v>
      </c>
      <c r="AS71" s="78">
        <f ca="1">AND(SUM($I$63:AR63)=0,SUM($J$63:AS63)&gt;0)*$C$52</f>
        <v>0</v>
      </c>
      <c r="AT71" s="78">
        <f ca="1">AND(SUM($I$63:AS63)=0,SUM($J$63:AT63)&gt;0)*$C$52</f>
        <v>0</v>
      </c>
      <c r="AU71" s="78">
        <f ca="1">AND(SUM($I$63:AT63)=0,SUM($J$63:AU63)&gt;0)*$C$52</f>
        <v>0</v>
      </c>
      <c r="AV71" s="78">
        <f ca="1">AND(SUM($I$63:AU63)=0,SUM($J$63:AV63)&gt;0)*$C$52</f>
        <v>0</v>
      </c>
      <c r="AW71" s="78">
        <f ca="1">AND(SUM($I$63:AV63)=0,SUM($J$63:AW63)&gt;0)*$C$52</f>
        <v>0</v>
      </c>
      <c r="AX71" s="78">
        <f ca="1">AND(SUM($I$63:AW63)=0,SUM($J$63:AX63)&gt;0)*$C$52</f>
        <v>0</v>
      </c>
      <c r="AY71" s="78">
        <f ca="1">AND(SUM($I$63:AX63)=0,SUM($J$63:AY63)&gt;0)*$C$52</f>
        <v>0</v>
      </c>
      <c r="AZ71" s="78">
        <f ca="1">AND(SUM($I$63:AY63)=0,SUM($J$63:AZ63)&gt;0)*$C$52</f>
        <v>0</v>
      </c>
      <c r="BA71" s="78">
        <f ca="1">AND(SUM($I$63:AZ63)=0,SUM($J$63:BA63)&gt;0)*$C$52</f>
        <v>0</v>
      </c>
      <c r="BB71" s="78">
        <f ca="1">AND(SUM($I$63:BA63)=0,SUM($J$63:BB63)&gt;0)*$C$52</f>
        <v>0</v>
      </c>
      <c r="BC71" s="78">
        <f ca="1">AND(SUM($I$63:BB63)=0,SUM($J$63:BC63)&gt;0)*$C$52</f>
        <v>0</v>
      </c>
      <c r="BD71" s="78">
        <f ca="1">AND(SUM($I$63:BC63)=0,SUM($J$63:BD63)&gt;0)*$C$52</f>
        <v>0</v>
      </c>
      <c r="BE71" s="78">
        <f ca="1">AND(SUM($I$63:BD63)=0,SUM($J$63:BE63)&gt;0)*$C$52</f>
        <v>0</v>
      </c>
      <c r="BF71" s="78">
        <f ca="1">AND(SUM($I$63:BE63)=0,SUM($J$63:BF63)&gt;0)*$C$52</f>
        <v>0</v>
      </c>
      <c r="BG71" s="78">
        <f ca="1">AND(SUM($I$63:BF63)=0,SUM($J$63:BG63)&gt;0)*$C$52</f>
        <v>0</v>
      </c>
      <c r="BH71" s="78">
        <f ca="1">AND(SUM($I$63:BG63)=0,SUM($J$63:BH63)&gt;0)*$C$52</f>
        <v>0</v>
      </c>
      <c r="BI71" s="78">
        <f ca="1">AND(SUM($I$63:BH63)=0,SUM($J$63:BI63)&gt;0)*$C$52</f>
        <v>0</v>
      </c>
      <c r="BJ71" s="78">
        <f ca="1">AND(SUM($I$63:BI63)=0,SUM($J$63:BJ63)&gt;0)*$C$52</f>
        <v>0</v>
      </c>
      <c r="BK71" s="78">
        <f ca="1">AND(SUM($I$63:BJ63)=0,SUM($J$63:BK63)&gt;0)*$C$52</f>
        <v>0</v>
      </c>
      <c r="BL71" s="78">
        <f ca="1">AND(SUM($I$63:BK63)=0,SUM($J$63:BL63)&gt;0)*$C$52</f>
        <v>0</v>
      </c>
      <c r="BM71" s="78">
        <f ca="1">AND(SUM($I$63:BL63)=0,SUM($J$63:BM63)&gt;0)*$C$52</f>
        <v>0</v>
      </c>
      <c r="BN71" s="78">
        <f ca="1">AND(SUM($I$63:BM63)=0,SUM($J$63:BN63)&gt;0)*$C$52</f>
        <v>0</v>
      </c>
      <c r="BO71" s="78">
        <f ca="1">AND(SUM($I$63:BN63)=0,SUM($J$63:BO63)&gt;0)*$C$52</f>
        <v>0</v>
      </c>
      <c r="BP71" s="78">
        <f ca="1">AND(SUM($I$63:BO63)=0,SUM($J$63:BP63)&gt;0)*$C$52</f>
        <v>0</v>
      </c>
      <c r="BQ71" s="78">
        <f ca="1">AND(SUM($I$63:BP63)=0,SUM($J$63:BQ63)&gt;0)*$C$52</f>
        <v>0</v>
      </c>
      <c r="BR71" s="77">
        <f ca="1">AND(SUM($I$63:BQ63)=0,SUM($J$63:BR63)&gt;0)*$C$52</f>
        <v>0</v>
      </c>
    </row>
    <row r="72" spans="2:70" x14ac:dyDescent="0.2">
      <c r="B72" s="76"/>
      <c r="C72" s="74" t="s">
        <v>34</v>
      </c>
      <c r="D72" s="74"/>
      <c r="E72" s="73"/>
      <c r="F72" s="75"/>
      <c r="G72" s="75"/>
      <c r="H72" s="74"/>
      <c r="I72" s="74"/>
      <c r="J72" s="73"/>
      <c r="K72" s="73">
        <f ca="1">J66*K70/12</f>
        <v>0</v>
      </c>
      <c r="L72" s="73">
        <f ca="1">K66*L70/12</f>
        <v>0</v>
      </c>
      <c r="M72" s="73">
        <f ca="1">L66*M70/12</f>
        <v>0</v>
      </c>
      <c r="N72" s="73">
        <f ca="1">M66*N70/12</f>
        <v>0</v>
      </c>
      <c r="O72" s="73">
        <f ca="1">N66*O70/12</f>
        <v>0</v>
      </c>
      <c r="P72" s="73">
        <f ca="1">O66*P70/12</f>
        <v>0</v>
      </c>
      <c r="Q72" s="73">
        <f ca="1">P66*Q70/12</f>
        <v>0</v>
      </c>
      <c r="R72" s="73">
        <f ca="1">Q66*R70/12</f>
        <v>0</v>
      </c>
      <c r="S72" s="73">
        <f ca="1">R66*S70/12</f>
        <v>0</v>
      </c>
      <c r="T72" s="73">
        <f ca="1">S66*T70/12</f>
        <v>0</v>
      </c>
      <c r="U72" s="73">
        <f ca="1">T66*U70/12</f>
        <v>0</v>
      </c>
      <c r="V72" s="73">
        <f ca="1">U66*V70/12</f>
        <v>0</v>
      </c>
      <c r="W72" s="73">
        <f ca="1">V66*W70/12</f>
        <v>0</v>
      </c>
      <c r="X72" s="73">
        <f ca="1">W66*X70/12</f>
        <v>0</v>
      </c>
      <c r="Y72" s="73">
        <f ca="1">X66*Y70/12</f>
        <v>0</v>
      </c>
      <c r="Z72" s="73">
        <f ca="1">Y66*Z70/12</f>
        <v>0</v>
      </c>
      <c r="AA72" s="73">
        <f ca="1">Z66*AA70/12</f>
        <v>0</v>
      </c>
      <c r="AB72" s="73">
        <f ca="1">AA66*AB70/12</f>
        <v>0</v>
      </c>
      <c r="AC72" s="73">
        <f ca="1">AB66*AC70/12</f>
        <v>0</v>
      </c>
      <c r="AD72" s="73">
        <f ca="1">AC66*AD70/12</f>
        <v>0</v>
      </c>
      <c r="AE72" s="73">
        <f ca="1">AD66*AE70/12</f>
        <v>0</v>
      </c>
      <c r="AF72" s="73">
        <f ca="1">AE66*AF70/12</f>
        <v>0</v>
      </c>
      <c r="AG72" s="73">
        <f ca="1">AF66*AG70/12</f>
        <v>0</v>
      </c>
      <c r="AH72" s="73">
        <f ca="1">AG66*AH70/12</f>
        <v>0</v>
      </c>
      <c r="AI72" s="73">
        <f ca="1">AH66*AI70/12</f>
        <v>0</v>
      </c>
      <c r="AJ72" s="73">
        <f ca="1">AI66*AJ70/12</f>
        <v>22946.715579120195</v>
      </c>
      <c r="AK72" s="73">
        <f ca="1">AJ66*AK70/12</f>
        <v>49867.722484668549</v>
      </c>
      <c r="AL72" s="73">
        <f ca="1">AK66*AL70/12</f>
        <v>79204.571940650974</v>
      </c>
      <c r="AM72" s="73">
        <f ca="1">AL66*AM70/12</f>
        <v>109303.93169617315</v>
      </c>
      <c r="AN72" s="73">
        <f ca="1">AM66*AN70/12</f>
        <v>138429.19976686148</v>
      </c>
      <c r="AO72" s="73">
        <f ca="1">AN66*AO70/12</f>
        <v>163455.60856018186</v>
      </c>
      <c r="AP72" s="73">
        <f ca="1">AO66*AP70/12</f>
        <v>184690.06883680739</v>
      </c>
      <c r="AQ72" s="73">
        <f ca="1">AP66*AQ70/12</f>
        <v>201817.04933615876</v>
      </c>
      <c r="AR72" s="73">
        <f ca="1">AQ66*AR70/12</f>
        <v>215056.59668656046</v>
      </c>
      <c r="AS72" s="73">
        <f ca="1">AR66*AS70/12</f>
        <v>225000.07196361653</v>
      </c>
      <c r="AT72" s="73">
        <f ca="1">AS66*AT70/12</f>
        <v>232413.0551768399</v>
      </c>
      <c r="AU72" s="73">
        <f ca="1">AT66*AU70/12</f>
        <v>244478.91862691633</v>
      </c>
      <c r="AV72" s="73">
        <f ca="1">AU66*AV70/12</f>
        <v>249051.09369874725</v>
      </c>
      <c r="AW72" s="73">
        <f ca="1">AV66*AW70/12</f>
        <v>253021.97982319898</v>
      </c>
      <c r="AX72" s="73">
        <f ca="1">AW66*AX70/12</f>
        <v>301968.63175343146</v>
      </c>
      <c r="AY72" s="73">
        <f ca="1">AX66*AY70/12</f>
        <v>303101.01412250655</v>
      </c>
      <c r="AZ72" s="73">
        <f ca="1">AY66*AZ70/12</f>
        <v>304237.64292546565</v>
      </c>
      <c r="BA72" s="73">
        <f ca="1">AZ66*BA70/12</f>
        <v>305378.5340864358</v>
      </c>
      <c r="BB72" s="73">
        <f ca="1">BA66*BB70/12</f>
        <v>306523.70358925965</v>
      </c>
      <c r="BC72" s="73">
        <f ca="1">BB66*BC70/12</f>
        <v>307673.16747771908</v>
      </c>
      <c r="BD72" s="73">
        <f ca="1">BC66*BD70/12</f>
        <v>308826.94185576023</v>
      </c>
      <c r="BE72" s="73">
        <f ca="1">BD66*BE70/12</f>
        <v>309985.04288771906</v>
      </c>
      <c r="BF72" s="73">
        <f ca="1">BE66*BF70/12</f>
        <v>7.7169388532638549E-8</v>
      </c>
      <c r="BG72" s="73">
        <f ca="1">BF66*BG70/12</f>
        <v>7.7169388532638549E-8</v>
      </c>
      <c r="BH72" s="73">
        <f ca="1">BG66*BH70/12</f>
        <v>7.7169388532638549E-8</v>
      </c>
      <c r="BI72" s="73">
        <f ca="1">BH66*BI70/12</f>
        <v>7.7169388532638549E-8</v>
      </c>
      <c r="BJ72" s="73">
        <f ca="1">BI66*BJ70/12</f>
        <v>7.7169388532638549E-8</v>
      </c>
      <c r="BK72" s="73">
        <f ca="1">BJ66*BK70/12</f>
        <v>7.7169388532638549E-8</v>
      </c>
      <c r="BL72" s="73">
        <f ca="1">BK66*BL70/12</f>
        <v>7.7169388532638549E-8</v>
      </c>
      <c r="BM72" s="73">
        <f ca="1">BL66*BM70/12</f>
        <v>7.7169388532638549E-8</v>
      </c>
      <c r="BN72" s="73">
        <f ca="1">BM66*BN70/12</f>
        <v>7.7169388532638549E-8</v>
      </c>
      <c r="BO72" s="73">
        <f ca="1">BN66*BO70/12</f>
        <v>7.7169388532638549E-8</v>
      </c>
      <c r="BP72" s="73">
        <f ca="1">BO66*BP70/12</f>
        <v>7.7169388532638549E-8</v>
      </c>
      <c r="BQ72" s="73">
        <f ca="1">BP66*BQ70/12</f>
        <v>7.7169388532638549E-8</v>
      </c>
      <c r="BR72" s="72">
        <f ca="1">BQ66*BR70/12</f>
        <v>7.7169388532638549E-8</v>
      </c>
    </row>
    <row r="74" spans="2:70" x14ac:dyDescent="0.2">
      <c r="B74" s="62" t="s">
        <v>33</v>
      </c>
      <c r="C74" s="58"/>
      <c r="D74" s="58"/>
      <c r="E74" s="58"/>
      <c r="F74" s="60"/>
      <c r="G74" s="61"/>
      <c r="H74" s="60"/>
      <c r="I74" s="61"/>
      <c r="J74" s="60"/>
      <c r="K74" s="59"/>
      <c r="L74" s="59"/>
      <c r="M74" s="58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  <c r="BD74" s="57"/>
      <c r="BE74" s="57"/>
      <c r="BF74" s="57"/>
      <c r="BG74" s="57"/>
      <c r="BH74" s="57"/>
      <c r="BI74" s="57"/>
      <c r="BJ74" s="57"/>
      <c r="BK74" s="57"/>
      <c r="BL74" s="57"/>
      <c r="BM74" s="57"/>
      <c r="BN74" s="57"/>
      <c r="BO74" s="57"/>
      <c r="BP74" s="57"/>
      <c r="BQ74" s="57"/>
      <c r="BR74" s="56"/>
    </row>
    <row r="75" spans="2:70" x14ac:dyDescent="0.2">
      <c r="B75" s="71" t="s">
        <v>32</v>
      </c>
      <c r="C75" s="70"/>
      <c r="D75" s="70"/>
      <c r="E75" s="70"/>
      <c r="F75" s="70"/>
      <c r="G75" s="70"/>
      <c r="H75" s="70"/>
      <c r="I75" s="70"/>
      <c r="J75" s="69">
        <v>0</v>
      </c>
      <c r="K75" s="69">
        <v>0</v>
      </c>
      <c r="L75" s="69">
        <v>0</v>
      </c>
      <c r="M75" s="69">
        <v>0</v>
      </c>
      <c r="N75" s="69">
        <v>0</v>
      </c>
      <c r="O75" s="69">
        <v>0</v>
      </c>
      <c r="P75" s="69">
        <v>0</v>
      </c>
      <c r="Q75" s="69">
        <v>0</v>
      </c>
      <c r="R75" s="69">
        <v>0</v>
      </c>
      <c r="S75" s="69">
        <v>0</v>
      </c>
      <c r="T75" s="69">
        <v>0</v>
      </c>
      <c r="U75" s="69">
        <v>0</v>
      </c>
      <c r="V75" s="69">
        <v>0</v>
      </c>
      <c r="W75" s="69">
        <v>0</v>
      </c>
      <c r="X75" s="69">
        <v>0</v>
      </c>
      <c r="Y75" s="69">
        <v>0</v>
      </c>
      <c r="Z75" s="69">
        <v>0</v>
      </c>
      <c r="AA75" s="69">
        <v>0</v>
      </c>
      <c r="AB75" s="69">
        <v>0</v>
      </c>
      <c r="AC75" s="69">
        <v>0</v>
      </c>
      <c r="AD75" s="69">
        <v>0</v>
      </c>
      <c r="AE75" s="69">
        <v>0</v>
      </c>
      <c r="AF75" s="69">
        <v>0</v>
      </c>
      <c r="AG75" s="69">
        <v>0</v>
      </c>
      <c r="AH75" s="69">
        <v>0</v>
      </c>
      <c r="AI75" s="69">
        <v>0</v>
      </c>
      <c r="AJ75" s="69">
        <v>0</v>
      </c>
      <c r="AK75" s="69">
        <v>0</v>
      </c>
      <c r="AL75" s="69">
        <v>0</v>
      </c>
      <c r="AM75" s="69">
        <v>0</v>
      </c>
      <c r="AN75" s="69">
        <v>0</v>
      </c>
      <c r="AO75" s="69">
        <v>0</v>
      </c>
      <c r="AP75" s="69">
        <v>0</v>
      </c>
      <c r="AQ75" s="69">
        <v>0</v>
      </c>
      <c r="AR75" s="69">
        <v>0</v>
      </c>
      <c r="AS75" s="69">
        <v>0</v>
      </c>
      <c r="AT75" s="69">
        <v>0</v>
      </c>
      <c r="AU75" s="69">
        <v>0</v>
      </c>
      <c r="AV75" s="69">
        <v>0</v>
      </c>
      <c r="AW75" s="69">
        <v>23877.179999999993</v>
      </c>
      <c r="AX75" s="69">
        <v>23877.179999999993</v>
      </c>
      <c r="AY75" s="69">
        <v>23877.179999999993</v>
      </c>
      <c r="AZ75" s="69">
        <v>782987.95474354713</v>
      </c>
      <c r="BA75" s="69">
        <v>782987.95474354713</v>
      </c>
      <c r="BB75" s="69">
        <v>782987.95474354713</v>
      </c>
      <c r="BC75" s="69">
        <v>782987.95474354713</v>
      </c>
      <c r="BD75" s="69">
        <v>782987.95474354713</v>
      </c>
      <c r="BE75" s="69">
        <v>0</v>
      </c>
      <c r="BF75" s="69">
        <v>0</v>
      </c>
      <c r="BG75" s="69">
        <v>0</v>
      </c>
      <c r="BH75" s="69">
        <v>0</v>
      </c>
      <c r="BI75" s="69">
        <v>0</v>
      </c>
      <c r="BJ75" s="69">
        <v>0</v>
      </c>
      <c r="BK75" s="69">
        <v>0</v>
      </c>
      <c r="BL75" s="69">
        <v>0</v>
      </c>
      <c r="BM75" s="69">
        <v>0</v>
      </c>
      <c r="BN75" s="69">
        <v>0</v>
      </c>
      <c r="BO75" s="69">
        <v>0</v>
      </c>
      <c r="BP75" s="69">
        <v>0</v>
      </c>
      <c r="BQ75" s="69">
        <v>0</v>
      </c>
      <c r="BR75" s="68">
        <v>0</v>
      </c>
    </row>
    <row r="76" spans="2:70" x14ac:dyDescent="0.2">
      <c r="B76" s="67" t="s">
        <v>31</v>
      </c>
      <c r="C76" s="49"/>
      <c r="D76" s="49"/>
      <c r="E76" s="49"/>
      <c r="F76" s="49"/>
      <c r="G76" s="49"/>
      <c r="H76" s="49"/>
      <c r="I76" s="49"/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4">
        <v>0</v>
      </c>
      <c r="AH76" s="54">
        <v>0</v>
      </c>
      <c r="AI76" s="54">
        <v>0</v>
      </c>
      <c r="AJ76" s="54">
        <v>0</v>
      </c>
      <c r="AK76" s="54">
        <v>0</v>
      </c>
      <c r="AL76" s="54">
        <v>0</v>
      </c>
      <c r="AM76" s="54">
        <v>0</v>
      </c>
      <c r="AN76" s="54">
        <v>0</v>
      </c>
      <c r="AO76" s="54">
        <v>0</v>
      </c>
      <c r="AP76" s="54">
        <v>0</v>
      </c>
      <c r="AQ76" s="54">
        <v>0</v>
      </c>
      <c r="AR76" s="54">
        <v>0</v>
      </c>
      <c r="AS76" s="54">
        <v>0</v>
      </c>
      <c r="AT76" s="54">
        <v>0</v>
      </c>
      <c r="AU76" s="54">
        <v>0</v>
      </c>
      <c r="AV76" s="54">
        <v>0</v>
      </c>
      <c r="AW76" s="54">
        <v>0</v>
      </c>
      <c r="AX76" s="54">
        <v>0</v>
      </c>
      <c r="AY76" s="54">
        <v>0</v>
      </c>
      <c r="AZ76" s="54">
        <v>0</v>
      </c>
      <c r="BA76" s="54">
        <v>0</v>
      </c>
      <c r="BB76" s="54">
        <v>0</v>
      </c>
      <c r="BC76" s="54">
        <v>0</v>
      </c>
      <c r="BD76" s="54">
        <v>0</v>
      </c>
      <c r="BE76" s="54">
        <v>192187727.11954087</v>
      </c>
      <c r="BF76" s="54">
        <v>0</v>
      </c>
      <c r="BG76" s="54">
        <v>0</v>
      </c>
      <c r="BH76" s="54">
        <v>0</v>
      </c>
      <c r="BI76" s="54">
        <v>0</v>
      </c>
      <c r="BJ76" s="54">
        <v>0</v>
      </c>
      <c r="BK76" s="54">
        <v>0</v>
      </c>
      <c r="BL76" s="54">
        <v>0</v>
      </c>
      <c r="BM76" s="54">
        <v>0</v>
      </c>
      <c r="BN76" s="54">
        <v>0</v>
      </c>
      <c r="BO76" s="54">
        <v>0</v>
      </c>
      <c r="BP76" s="54">
        <v>0</v>
      </c>
      <c r="BQ76" s="54">
        <v>0</v>
      </c>
      <c r="BR76" s="53">
        <v>0</v>
      </c>
    </row>
    <row r="77" spans="2:70" x14ac:dyDescent="0.2">
      <c r="B77" s="67" t="s">
        <v>30</v>
      </c>
      <c r="C77" s="49"/>
      <c r="D77" s="49"/>
      <c r="E77" s="49"/>
      <c r="F77" s="49"/>
      <c r="G77" s="49"/>
      <c r="H77" s="49"/>
      <c r="I77" s="49"/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4">
        <v>0</v>
      </c>
      <c r="AH77" s="54">
        <v>0</v>
      </c>
      <c r="AI77" s="54">
        <v>0</v>
      </c>
      <c r="AJ77" s="54">
        <v>0</v>
      </c>
      <c r="AK77" s="54">
        <v>0</v>
      </c>
      <c r="AL77" s="54">
        <v>0</v>
      </c>
      <c r="AM77" s="54">
        <v>0</v>
      </c>
      <c r="AN77" s="54">
        <v>0</v>
      </c>
      <c r="AO77" s="54">
        <v>0</v>
      </c>
      <c r="AP77" s="54">
        <v>0</v>
      </c>
      <c r="AQ77" s="54">
        <v>0</v>
      </c>
      <c r="AR77" s="54">
        <v>0</v>
      </c>
      <c r="AS77" s="54">
        <v>0</v>
      </c>
      <c r="AT77" s="54">
        <v>0</v>
      </c>
      <c r="AU77" s="54">
        <v>0</v>
      </c>
      <c r="AV77" s="54">
        <v>0</v>
      </c>
      <c r="AW77" s="54">
        <v>0</v>
      </c>
      <c r="AX77" s="54">
        <v>0</v>
      </c>
      <c r="AY77" s="54">
        <v>0</v>
      </c>
      <c r="AZ77" s="54">
        <v>0</v>
      </c>
      <c r="BA77" s="54">
        <v>0</v>
      </c>
      <c r="BB77" s="54">
        <v>0</v>
      </c>
      <c r="BC77" s="54">
        <v>0</v>
      </c>
      <c r="BD77" s="54">
        <v>0</v>
      </c>
      <c r="BE77" s="54">
        <v>-5765631.8135862257</v>
      </c>
      <c r="BF77" s="54">
        <v>0</v>
      </c>
      <c r="BG77" s="54">
        <v>0</v>
      </c>
      <c r="BH77" s="54">
        <v>0</v>
      </c>
      <c r="BI77" s="54">
        <v>0</v>
      </c>
      <c r="BJ77" s="54">
        <v>0</v>
      </c>
      <c r="BK77" s="54">
        <v>0</v>
      </c>
      <c r="BL77" s="54">
        <v>0</v>
      </c>
      <c r="BM77" s="54">
        <v>0</v>
      </c>
      <c r="BN77" s="54">
        <v>0</v>
      </c>
      <c r="BO77" s="54">
        <v>0</v>
      </c>
      <c r="BP77" s="54">
        <v>0</v>
      </c>
      <c r="BQ77" s="54">
        <v>0</v>
      </c>
      <c r="BR77" s="53">
        <v>0</v>
      </c>
    </row>
    <row r="78" spans="2:70" x14ac:dyDescent="0.2">
      <c r="B78" s="66" t="s">
        <v>29</v>
      </c>
      <c r="C78" s="65"/>
      <c r="D78" s="65"/>
      <c r="E78" s="65"/>
      <c r="F78" s="65"/>
      <c r="G78" s="65"/>
      <c r="H78" s="65"/>
      <c r="I78" s="65"/>
      <c r="J78" s="64">
        <f>SUM(J75:J77)</f>
        <v>0</v>
      </c>
      <c r="K78" s="64">
        <f>SUM(K75:K77)</f>
        <v>0</v>
      </c>
      <c r="L78" s="64">
        <f>SUM(L75:L77)</f>
        <v>0</v>
      </c>
      <c r="M78" s="64">
        <f>SUM(M75:M77)</f>
        <v>0</v>
      </c>
      <c r="N78" s="64">
        <f>SUM(N75:N77)</f>
        <v>0</v>
      </c>
      <c r="O78" s="64">
        <f>SUM(O75:O77)</f>
        <v>0</v>
      </c>
      <c r="P78" s="64">
        <f>SUM(P75:P77)</f>
        <v>0</v>
      </c>
      <c r="Q78" s="64">
        <f>SUM(Q75:Q77)</f>
        <v>0</v>
      </c>
      <c r="R78" s="64">
        <f>SUM(R75:R77)</f>
        <v>0</v>
      </c>
      <c r="S78" s="64">
        <f>SUM(S75:S77)</f>
        <v>0</v>
      </c>
      <c r="T78" s="64">
        <f>SUM(T75:T77)</f>
        <v>0</v>
      </c>
      <c r="U78" s="64">
        <f>SUM(U75:U77)</f>
        <v>0</v>
      </c>
      <c r="V78" s="64">
        <f>SUM(V75:V77)</f>
        <v>0</v>
      </c>
      <c r="W78" s="64">
        <f>SUM(W75:W77)</f>
        <v>0</v>
      </c>
      <c r="X78" s="64">
        <f>SUM(X75:X77)</f>
        <v>0</v>
      </c>
      <c r="Y78" s="64">
        <f>SUM(Y75:Y77)</f>
        <v>0</v>
      </c>
      <c r="Z78" s="64">
        <f>SUM(Z75:Z77)</f>
        <v>0</v>
      </c>
      <c r="AA78" s="64">
        <f>SUM(AA75:AA77)</f>
        <v>0</v>
      </c>
      <c r="AB78" s="64">
        <f>SUM(AB75:AB77)</f>
        <v>0</v>
      </c>
      <c r="AC78" s="64">
        <f>SUM(AC75:AC77)</f>
        <v>0</v>
      </c>
      <c r="AD78" s="64">
        <f>SUM(AD75:AD77)</f>
        <v>0</v>
      </c>
      <c r="AE78" s="64">
        <f>SUM(AE75:AE77)</f>
        <v>0</v>
      </c>
      <c r="AF78" s="64">
        <f>SUM(AF75:AF77)</f>
        <v>0</v>
      </c>
      <c r="AG78" s="64">
        <f>SUM(AG75:AG77)</f>
        <v>0</v>
      </c>
      <c r="AH78" s="64">
        <f>SUM(AH75:AH77)</f>
        <v>0</v>
      </c>
      <c r="AI78" s="64">
        <f>SUM(AI75:AI77)</f>
        <v>0</v>
      </c>
      <c r="AJ78" s="64">
        <f>SUM(AJ75:AJ77)</f>
        <v>0</v>
      </c>
      <c r="AK78" s="64">
        <f>SUM(AK75:AK77)</f>
        <v>0</v>
      </c>
      <c r="AL78" s="64">
        <f>SUM(AL75:AL77)</f>
        <v>0</v>
      </c>
      <c r="AM78" s="64">
        <f>SUM(AM75:AM77)</f>
        <v>0</v>
      </c>
      <c r="AN78" s="64">
        <f>SUM(AN75:AN77)</f>
        <v>0</v>
      </c>
      <c r="AO78" s="64">
        <f>SUM(AO75:AO77)</f>
        <v>0</v>
      </c>
      <c r="AP78" s="64">
        <f>SUM(AP75:AP77)</f>
        <v>0</v>
      </c>
      <c r="AQ78" s="64">
        <f>SUM(AQ75:AQ77)</f>
        <v>0</v>
      </c>
      <c r="AR78" s="64">
        <f>SUM(AR75:AR77)</f>
        <v>0</v>
      </c>
      <c r="AS78" s="64">
        <f>SUM(AS75:AS77)</f>
        <v>0</v>
      </c>
      <c r="AT78" s="64">
        <f>SUM(AT75:AT77)</f>
        <v>0</v>
      </c>
      <c r="AU78" s="64">
        <f>SUM(AU75:AU77)</f>
        <v>0</v>
      </c>
      <c r="AV78" s="64">
        <f>SUM(AV75:AV77)</f>
        <v>0</v>
      </c>
      <c r="AW78" s="64">
        <f>SUM(AW75:AW77)</f>
        <v>23877.179999999993</v>
      </c>
      <c r="AX78" s="64">
        <f>SUM(AX75:AX77)</f>
        <v>23877.179999999993</v>
      </c>
      <c r="AY78" s="64">
        <f>SUM(AY75:AY77)</f>
        <v>23877.179999999993</v>
      </c>
      <c r="AZ78" s="64">
        <f>SUM(AZ75:AZ77)</f>
        <v>782987.95474354713</v>
      </c>
      <c r="BA78" s="64">
        <f>SUM(BA75:BA77)</f>
        <v>782987.95474354713</v>
      </c>
      <c r="BB78" s="64">
        <f>SUM(BB75:BB77)</f>
        <v>782987.95474354713</v>
      </c>
      <c r="BC78" s="64">
        <f>SUM(BC75:BC77)</f>
        <v>782987.95474354713</v>
      </c>
      <c r="BD78" s="64">
        <f>SUM(BD75:BD77)</f>
        <v>782987.95474354713</v>
      </c>
      <c r="BE78" s="64">
        <f>SUM(BE75:BE77)</f>
        <v>186422095.30595464</v>
      </c>
      <c r="BF78" s="64">
        <f>SUM(BF75:BF77)</f>
        <v>0</v>
      </c>
      <c r="BG78" s="64">
        <f>SUM(BG75:BG77)</f>
        <v>0</v>
      </c>
      <c r="BH78" s="64">
        <f>SUM(BH75:BH77)</f>
        <v>0</v>
      </c>
      <c r="BI78" s="64">
        <f>SUM(BI75:BI77)</f>
        <v>0</v>
      </c>
      <c r="BJ78" s="64">
        <f>SUM(BJ75:BJ77)</f>
        <v>0</v>
      </c>
      <c r="BK78" s="64">
        <f>SUM(BK75:BK77)</f>
        <v>0</v>
      </c>
      <c r="BL78" s="64">
        <f>SUM(BL75:BL77)</f>
        <v>0</v>
      </c>
      <c r="BM78" s="64">
        <f>SUM(BM75:BM77)</f>
        <v>0</v>
      </c>
      <c r="BN78" s="64">
        <f>SUM(BN75:BN77)</f>
        <v>0</v>
      </c>
      <c r="BO78" s="64">
        <f>SUM(BO75:BO77)</f>
        <v>0</v>
      </c>
      <c r="BP78" s="64">
        <f>SUM(BP75:BP77)</f>
        <v>0</v>
      </c>
      <c r="BQ78" s="64">
        <f>SUM(BQ75:BQ77)</f>
        <v>0</v>
      </c>
      <c r="BR78" s="63">
        <f>SUM(BR75:BR77)</f>
        <v>0</v>
      </c>
    </row>
    <row r="80" spans="2:70" x14ac:dyDescent="0.2">
      <c r="B80" s="62" t="s">
        <v>28</v>
      </c>
      <c r="C80" s="58"/>
      <c r="D80" s="58"/>
      <c r="E80" s="58"/>
      <c r="F80" s="60"/>
      <c r="G80" s="61"/>
      <c r="H80" s="60"/>
      <c r="I80" s="61"/>
      <c r="J80" s="60"/>
      <c r="K80" s="59"/>
      <c r="L80" s="59"/>
      <c r="M80" s="58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  <c r="BD80" s="57"/>
      <c r="BE80" s="57"/>
      <c r="BF80" s="57"/>
      <c r="BG80" s="57"/>
      <c r="BH80" s="57"/>
      <c r="BI80" s="57"/>
      <c r="BJ80" s="57"/>
      <c r="BK80" s="57"/>
      <c r="BL80" s="57"/>
      <c r="BM80" s="57"/>
      <c r="BN80" s="57"/>
      <c r="BO80" s="57"/>
      <c r="BP80" s="57"/>
      <c r="BQ80" s="57"/>
      <c r="BR80" s="56"/>
    </row>
    <row r="81" spans="2:70" x14ac:dyDescent="0.2">
      <c r="B81" s="52" t="s">
        <v>26</v>
      </c>
      <c r="C81" s="55">
        <f>SUM(J81:BR81)</f>
        <v>57767052.60356161</v>
      </c>
      <c r="D81" s="54"/>
      <c r="E81" s="49"/>
      <c r="F81" s="49"/>
      <c r="G81" s="49"/>
      <c r="H81" s="49"/>
      <c r="I81" s="49"/>
      <c r="J81" s="54">
        <f>-SUM(J13:J37)+J78</f>
        <v>-30676452</v>
      </c>
      <c r="K81" s="54">
        <f>-SUM(K13:K37)+K78</f>
        <v>-65559.034110700028</v>
      </c>
      <c r="L81" s="54">
        <f>-SUM(L13:L37)+L78</f>
        <v>-281353.09570619406</v>
      </c>
      <c r="M81" s="54">
        <f>-SUM(M13:M37)+M78</f>
        <v>-150602.57401560858</v>
      </c>
      <c r="N81" s="54">
        <f>-SUM(N13:N37)+N78</f>
        <v>-173173.84351414302</v>
      </c>
      <c r="O81" s="54">
        <f>-SUM(O13:O37)+O78</f>
        <v>-195706.78939514802</v>
      </c>
      <c r="P81" s="54">
        <f>-SUM(P13:P37)+P78</f>
        <v>-216549.50765544316</v>
      </c>
      <c r="Q81" s="54">
        <f>-SUM(Q13:Q37)+Q78</f>
        <v>-233981.55305676704</v>
      </c>
      <c r="R81" s="54">
        <f>-SUM(R13:R37)+R78</f>
        <v>-246489.36078827205</v>
      </c>
      <c r="S81" s="54">
        <f>-SUM(S13:S37)+S78</f>
        <v>-253033.84135757212</v>
      </c>
      <c r="T81" s="54">
        <f>-SUM(T13:T37)+T78</f>
        <v>-720704.91643505031</v>
      </c>
      <c r="U81" s="54">
        <f>-SUM(U13:U37)+U78</f>
        <v>-213714.88639010041</v>
      </c>
      <c r="V81" s="54">
        <f>-SUM(V13:V37)+V78</f>
        <v>-690483.85076655424</v>
      </c>
      <c r="W81" s="54">
        <f>-SUM(W13:W37)+W78</f>
        <v>-182195.67828403699</v>
      </c>
      <c r="X81" s="54">
        <f>-SUM(X13:X37)+X78</f>
        <v>-163040.51018080971</v>
      </c>
      <c r="Y81" s="54">
        <f>-SUM(Y13:Y37)+Y78</f>
        <v>-455487.01836883044</v>
      </c>
      <c r="Z81" s="54">
        <f>-SUM(Z13:Z37)+Z78</f>
        <v>-310237.75164071587</v>
      </c>
      <c r="AA81" s="54">
        <f>-SUM(AA13:AA37)+AA78</f>
        <v>-374817.80650540115</v>
      </c>
      <c r="AB81" s="54">
        <f>-SUM(AB13:AB37)+AB78</f>
        <v>-592377.13930081681</v>
      </c>
      <c r="AC81" s="54">
        <f>-SUM(AC13:AC37)+AC78</f>
        <v>-944769.00196916854</v>
      </c>
      <c r="AD81" s="54">
        <f>-SUM(AD13:AD37)+AD78</f>
        <v>-1474691.7007434161</v>
      </c>
      <c r="AE81" s="54">
        <f>-SUM(AE13:AE37)+AE78</f>
        <v>-2212076.4980085008</v>
      </c>
      <c r="AF81" s="54">
        <f>-SUM(AF13:AF37)+AF78</f>
        <v>-3156912.0368439918</v>
      </c>
      <c r="AG81" s="54">
        <f>-SUM(AG13:AG37)+AG78</f>
        <v>-4263331.2954537673</v>
      </c>
      <c r="AH81" s="54">
        <f>-SUM(AH13:AH37)+AH78</f>
        <v>-6119981.7692248244</v>
      </c>
      <c r="AI81" s="54">
        <f>-SUM(AI13:AI37)+AI78</f>
        <v>-6521393.2532082386</v>
      </c>
      <c r="AJ81" s="54">
        <f>-SUM(AJ13:AJ37)+AJ78</f>
        <v>-7329931.8034202736</v>
      </c>
      <c r="AK81" s="54">
        <f>-SUM(AK13:AK37)+AK78</f>
        <v>-7794766.0712013077</v>
      </c>
      <c r="AL81" s="54">
        <f>-SUM(AL13:AL37)+AL78</f>
        <v>-7794766.0712013077</v>
      </c>
      <c r="AM81" s="54">
        <f>-SUM(AM13:AM37)+AM78</f>
        <v>-7329931.8034202736</v>
      </c>
      <c r="AN81" s="54">
        <f>-SUM(AN13:AN37)+AN78</f>
        <v>-6535279.8117853245</v>
      </c>
      <c r="AO81" s="54">
        <f>-SUM(AO13:AO37)+AO78</f>
        <v>-5499067.1318733767</v>
      </c>
      <c r="AP81" s="54">
        <f>-SUM(AP13:AP37)+AP78</f>
        <v>-4382504.7309902934</v>
      </c>
      <c r="AQ81" s="54">
        <f>-SUM(AQ13:AQ37)+AQ78</f>
        <v>-3328728.9107710519</v>
      </c>
      <c r="AR81" s="54">
        <f>-SUM(AR13:AR37)+AR78</f>
        <v>-2436536.8105284632</v>
      </c>
      <c r="AS81" s="54">
        <f>-SUM(AS13:AS37)+AS78</f>
        <v>-1751795.4515626901</v>
      </c>
      <c r="AT81" s="54">
        <f>-SUM(AT13:AT37)+AT78</f>
        <v>-2985150.5315102902</v>
      </c>
      <c r="AU81" s="54">
        <f>-SUM(AU13:AU37)+AU78</f>
        <v>-974767.76719474373</v>
      </c>
      <c r="AV81" s="54">
        <f>-SUM(AV13:AV37)+AV78</f>
        <v>-809851.87282178551</v>
      </c>
      <c r="AW81" s="54">
        <f>-SUM(AW13:AW37)+AW78</f>
        <v>-12775541.354905527</v>
      </c>
      <c r="AX81" s="54">
        <f>-SUM(AX13:AX37)+AX78</f>
        <v>23877.179999999993</v>
      </c>
      <c r="AY81" s="54">
        <f>-SUM(AY13:AY37)+AY78</f>
        <v>23877.179999999993</v>
      </c>
      <c r="AZ81" s="54">
        <f>-SUM(AZ13:AZ37)+AZ78</f>
        <v>782987.95474354713</v>
      </c>
      <c r="BA81" s="54">
        <f>-SUM(BA13:BA37)+BA78</f>
        <v>782987.95474354713</v>
      </c>
      <c r="BB81" s="54">
        <f>-SUM(BB13:BB37)+BB78</f>
        <v>782987.95474354713</v>
      </c>
      <c r="BC81" s="54">
        <f>-SUM(BC13:BC37)+BC78</f>
        <v>782987.95474354713</v>
      </c>
      <c r="BD81" s="54">
        <f>-SUM(BD13:BD37)+BD78</f>
        <v>782987.95474354713</v>
      </c>
      <c r="BE81" s="54">
        <f>-SUM(BE13:BE37)+BE78</f>
        <v>186422095.30595464</v>
      </c>
      <c r="BF81" s="54">
        <f>-SUM(BF13:BF37)+BF78</f>
        <v>0</v>
      </c>
      <c r="BG81" s="54">
        <f>-SUM(BG13:BG37)+BG78</f>
        <v>0</v>
      </c>
      <c r="BH81" s="54">
        <f>-SUM(BH13:BH37)+BH78</f>
        <v>0</v>
      </c>
      <c r="BI81" s="54">
        <f>-SUM(BI13:BI37)+BI78</f>
        <v>0</v>
      </c>
      <c r="BJ81" s="54">
        <f>-SUM(BJ13:BJ37)+BJ78</f>
        <v>0</v>
      </c>
      <c r="BK81" s="54">
        <f>-SUM(BK13:BK37)+BK78</f>
        <v>0</v>
      </c>
      <c r="BL81" s="54">
        <f>-SUM(BL13:BL37)+BL78</f>
        <v>0</v>
      </c>
      <c r="BM81" s="54">
        <f>-SUM(BM13:BM37)+BM78</f>
        <v>0</v>
      </c>
      <c r="BN81" s="54">
        <f>-SUM(BN13:BN37)+BN78</f>
        <v>0</v>
      </c>
      <c r="BO81" s="54">
        <f>-SUM(BO13:BO37)+BO78</f>
        <v>0</v>
      </c>
      <c r="BP81" s="54">
        <f>-SUM(BP13:BP37)+BP78</f>
        <v>0</v>
      </c>
      <c r="BQ81" s="54">
        <f>-SUM(BQ13:BQ37)+BQ78</f>
        <v>0</v>
      </c>
      <c r="BR81" s="53">
        <f>-SUM(BR13:BR37)+BR78</f>
        <v>0</v>
      </c>
    </row>
    <row r="82" spans="2:70" x14ac:dyDescent="0.2">
      <c r="B82" s="52" t="s">
        <v>25</v>
      </c>
      <c r="C82" s="51">
        <f>XIRR(J81:BR81,J10:BR10)</f>
        <v>0.17884137034416203</v>
      </c>
      <c r="D82" s="50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49"/>
      <c r="BJ82" s="49"/>
      <c r="BK82" s="49"/>
      <c r="BL82" s="49"/>
      <c r="BM82" s="49"/>
      <c r="BN82" s="49"/>
      <c r="BO82" s="49"/>
      <c r="BP82" s="49"/>
      <c r="BQ82" s="49"/>
      <c r="BR82" s="48"/>
    </row>
    <row r="83" spans="2:70" x14ac:dyDescent="0.2">
      <c r="B83" s="47" t="s">
        <v>24</v>
      </c>
      <c r="C83" s="46">
        <f>SUMIF(J81:BR81,"&gt;0")/-SUMIF(J81:BR81,"&lt;0")</f>
        <v>1.4355906983614886</v>
      </c>
      <c r="D83" s="45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3"/>
    </row>
    <row r="85" spans="2:70" x14ac:dyDescent="0.2">
      <c r="B85" s="42" t="s">
        <v>27</v>
      </c>
      <c r="C85" s="38"/>
      <c r="D85" s="38"/>
      <c r="E85" s="38"/>
      <c r="F85" s="40"/>
      <c r="G85" s="41"/>
      <c r="H85" s="40"/>
      <c r="I85" s="41"/>
      <c r="J85" s="40"/>
      <c r="K85" s="39"/>
      <c r="L85" s="39"/>
      <c r="M85" s="38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6"/>
    </row>
    <row r="86" spans="2:70" x14ac:dyDescent="0.2">
      <c r="B86" s="33" t="s">
        <v>26</v>
      </c>
      <c r="C86" s="35">
        <f>SUM(J86:BR86)</f>
        <v>0</v>
      </c>
      <c r="D86" s="35"/>
      <c r="E86" s="31"/>
      <c r="F86" s="31"/>
      <c r="G86" s="31"/>
      <c r="H86" s="31"/>
      <c r="I86" s="31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4"/>
    </row>
    <row r="87" spans="2:70" x14ac:dyDescent="0.2">
      <c r="B87" s="33" t="s">
        <v>25</v>
      </c>
      <c r="C87" s="32" t="e">
        <f>XIRR(J86:BR86,J23:BR23)</f>
        <v>#NUM!</v>
      </c>
      <c r="D87" s="32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0"/>
    </row>
    <row r="88" spans="2:70" x14ac:dyDescent="0.2">
      <c r="B88" s="29" t="s">
        <v>24</v>
      </c>
      <c r="C88" s="28" t="e">
        <f>SUMIF(J86:BR86,"&gt;0")/-SUMIF(J86:BR86,"&lt;0")</f>
        <v>#DIV/0!</v>
      </c>
      <c r="D88" s="28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6"/>
    </row>
  </sheetData>
  <mergeCells count="2">
    <mergeCell ref="H9:H10"/>
    <mergeCell ref="E30:H30"/>
  </mergeCells>
  <dataValidations count="1">
    <dataValidation type="list" allowBlank="1" showInputMessage="1" showErrorMessage="1" sqref="C53" xr:uid="{B1C33971-A799-4852-8F0B-348F1DB07CA9}">
      <formula1>$E$51:$E$52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808A7-FB29-734A-9C5B-598CF48DFAF7}">
  <dimension ref="A1:CE18"/>
  <sheetViews>
    <sheetView zoomScale="70" zoomScaleNormal="70" workbookViewId="0">
      <selection activeCell="J13" sqref="J13:AK13"/>
    </sheetView>
  </sheetViews>
  <sheetFormatPr baseColWidth="10" defaultColWidth="0" defaultRowHeight="15" zeroHeight="1" x14ac:dyDescent="0.2"/>
  <cols>
    <col min="1" max="1" width="2.6640625" style="25" customWidth="1"/>
    <col min="2" max="2" width="24.1640625" style="25" customWidth="1"/>
    <col min="3" max="5" width="15.6640625" style="25" customWidth="1"/>
    <col min="6" max="6" width="17.6640625" style="25" bestFit="1" customWidth="1"/>
    <col min="7" max="7" width="15.6640625" style="25" customWidth="1"/>
    <col min="8" max="8" width="16" style="25" bestFit="1" customWidth="1"/>
    <col min="9" max="9" width="2.6640625" style="25" customWidth="1"/>
    <col min="10" max="37" width="15.6640625" style="25" customWidth="1"/>
    <col min="38" max="38" width="2.6640625" style="25" customWidth="1"/>
    <col min="39" max="39" width="18.33203125" style="25" hidden="1" customWidth="1"/>
    <col min="40" max="40" width="9.1640625" style="25" hidden="1" customWidth="1"/>
    <col min="41" max="41" width="11.1640625" style="25" hidden="1" customWidth="1"/>
    <col min="42" max="42" width="9.1640625" style="25" hidden="1" customWidth="1"/>
    <col min="43" max="83" width="0" style="25" hidden="1" customWidth="1"/>
    <col min="84" max="16384" width="9.1640625" style="25" hidden="1"/>
  </cols>
  <sheetData>
    <row r="1" spans="1:49" x14ac:dyDescent="0.2">
      <c r="A1" s="25" t="s">
        <v>98</v>
      </c>
    </row>
    <row r="2" spans="1:49" x14ac:dyDescent="0.2"/>
    <row r="3" spans="1:49" x14ac:dyDescent="0.2"/>
    <row r="4" spans="1:49" x14ac:dyDescent="0.2"/>
    <row r="5" spans="1:49" x14ac:dyDescent="0.2"/>
    <row r="6" spans="1:49" ht="19" x14ac:dyDescent="0.25">
      <c r="B6" s="249" t="s">
        <v>102</v>
      </c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  <c r="AD6" s="248"/>
      <c r="AE6" s="248"/>
      <c r="AF6" s="248"/>
      <c r="AG6" s="248"/>
      <c r="AH6" s="248"/>
      <c r="AI6" s="248"/>
      <c r="AJ6" s="248"/>
      <c r="AK6" s="248"/>
    </row>
    <row r="7" spans="1:49" x14ac:dyDescent="0.2"/>
    <row r="8" spans="1:49" ht="32" x14ac:dyDescent="0.2">
      <c r="B8" s="141"/>
      <c r="C8" s="60" t="s">
        <v>92</v>
      </c>
      <c r="D8" s="247" t="s">
        <v>101</v>
      </c>
      <c r="E8" s="247" t="s">
        <v>100</v>
      </c>
      <c r="F8" s="60" t="s">
        <v>88</v>
      </c>
      <c r="G8" s="247" t="s">
        <v>94</v>
      </c>
      <c r="H8" s="60" t="s">
        <v>99</v>
      </c>
      <c r="I8" s="246"/>
      <c r="J8" s="60">
        <v>0</v>
      </c>
      <c r="K8" s="60">
        <f>+J8+1</f>
        <v>1</v>
      </c>
      <c r="L8" s="60">
        <f>+K8+1</f>
        <v>2</v>
      </c>
      <c r="M8" s="60">
        <f>+L8+1</f>
        <v>3</v>
      </c>
      <c r="N8" s="60">
        <f>+M8+1</f>
        <v>4</v>
      </c>
      <c r="O8" s="60">
        <f>+N8+1</f>
        <v>5</v>
      </c>
      <c r="P8" s="60">
        <f>+O8+1</f>
        <v>6</v>
      </c>
      <c r="Q8" s="60">
        <f>+P8+1</f>
        <v>7</v>
      </c>
      <c r="R8" s="60">
        <f>+Q8+1</f>
        <v>8</v>
      </c>
      <c r="S8" s="60">
        <f>+R8+1</f>
        <v>9</v>
      </c>
      <c r="T8" s="60">
        <f>+S8+1</f>
        <v>10</v>
      </c>
      <c r="U8" s="60">
        <f>+T8+1</f>
        <v>11</v>
      </c>
      <c r="V8" s="60">
        <f>+U8+1</f>
        <v>12</v>
      </c>
      <c r="W8" s="60">
        <f>+V8+1</f>
        <v>13</v>
      </c>
      <c r="X8" s="60">
        <f>+W8+1</f>
        <v>14</v>
      </c>
      <c r="Y8" s="60">
        <f>+X8+1</f>
        <v>15</v>
      </c>
      <c r="Z8" s="60">
        <f>+Y8+1</f>
        <v>16</v>
      </c>
      <c r="AA8" s="60">
        <f>+Z8+1</f>
        <v>17</v>
      </c>
      <c r="AB8" s="60">
        <f>+AA8+1</f>
        <v>18</v>
      </c>
      <c r="AC8" s="60">
        <f>+AB8+1</f>
        <v>19</v>
      </c>
      <c r="AD8" s="60">
        <f>+AC8+1</f>
        <v>20</v>
      </c>
      <c r="AE8" s="60">
        <f>+AD8+1</f>
        <v>21</v>
      </c>
      <c r="AF8" s="60">
        <f>+AE8+1</f>
        <v>22</v>
      </c>
      <c r="AG8" s="60">
        <f>+AF8+1</f>
        <v>23</v>
      </c>
      <c r="AH8" s="60">
        <f>+AG8+1</f>
        <v>24</v>
      </c>
      <c r="AI8" s="60">
        <f>+AH8+1</f>
        <v>25</v>
      </c>
      <c r="AJ8" s="60">
        <f>+AI8+1</f>
        <v>26</v>
      </c>
      <c r="AK8" s="197">
        <f>+AJ8+1</f>
        <v>27</v>
      </c>
    </row>
    <row r="9" spans="1:49" x14ac:dyDescent="0.2">
      <c r="B9" s="190"/>
      <c r="C9" s="244"/>
      <c r="D9" s="245"/>
      <c r="E9" s="245"/>
      <c r="F9" s="244"/>
      <c r="G9" s="245"/>
      <c r="H9" s="244"/>
      <c r="I9" s="243"/>
      <c r="J9" s="242">
        <v>43466</v>
      </c>
      <c r="K9" s="242">
        <f>EDATE(J9,1)</f>
        <v>43497</v>
      </c>
      <c r="L9" s="242">
        <f>EDATE(K9,1)</f>
        <v>43525</v>
      </c>
      <c r="M9" s="242">
        <f>EDATE(L9,1)</f>
        <v>43556</v>
      </c>
      <c r="N9" s="242">
        <f>EDATE(M9,1)</f>
        <v>43586</v>
      </c>
      <c r="O9" s="242">
        <f>EDATE(N9,1)</f>
        <v>43617</v>
      </c>
      <c r="P9" s="242">
        <f>EDATE(O9,1)</f>
        <v>43647</v>
      </c>
      <c r="Q9" s="242">
        <f>EDATE(P9,1)</f>
        <v>43678</v>
      </c>
      <c r="R9" s="242">
        <f>EDATE(Q9,1)</f>
        <v>43709</v>
      </c>
      <c r="S9" s="242">
        <f>EDATE(R9,1)</f>
        <v>43739</v>
      </c>
      <c r="T9" s="242">
        <f>EDATE(S9,1)</f>
        <v>43770</v>
      </c>
      <c r="U9" s="242">
        <f>EDATE(T9,1)</f>
        <v>43800</v>
      </c>
      <c r="V9" s="242">
        <f>EDATE(U9,1)</f>
        <v>43831</v>
      </c>
      <c r="W9" s="242">
        <f>EDATE(V9,1)</f>
        <v>43862</v>
      </c>
      <c r="X9" s="242">
        <f>EDATE(W9,1)</f>
        <v>43891</v>
      </c>
      <c r="Y9" s="242">
        <f>EDATE(X9,1)</f>
        <v>43922</v>
      </c>
      <c r="Z9" s="242">
        <f>EDATE(Y9,1)</f>
        <v>43952</v>
      </c>
      <c r="AA9" s="242">
        <f>EDATE(Z9,1)</f>
        <v>43983</v>
      </c>
      <c r="AB9" s="242">
        <f>EDATE(AA9,1)</f>
        <v>44013</v>
      </c>
      <c r="AC9" s="242">
        <f>EDATE(AB9,1)</f>
        <v>44044</v>
      </c>
      <c r="AD9" s="242">
        <f>EDATE(AC9,1)</f>
        <v>44075</v>
      </c>
      <c r="AE9" s="242">
        <f>EDATE(AD9,1)</f>
        <v>44105</v>
      </c>
      <c r="AF9" s="242">
        <f>EDATE(AE9,1)</f>
        <v>44136</v>
      </c>
      <c r="AG9" s="242">
        <f>EDATE(AF9,1)</f>
        <v>44166</v>
      </c>
      <c r="AH9" s="242">
        <f>EDATE(AG9,1)</f>
        <v>44197</v>
      </c>
      <c r="AI9" s="242">
        <f>EDATE(AH9,1)</f>
        <v>44228</v>
      </c>
      <c r="AJ9" s="242">
        <f>EDATE(AI9,1)</f>
        <v>44256</v>
      </c>
      <c r="AK9" s="241">
        <f>EDATE(AJ9,1)</f>
        <v>44287</v>
      </c>
    </row>
    <row r="10" spans="1:49" ht="20" x14ac:dyDescent="0.25">
      <c r="B10" s="220" t="s">
        <v>85</v>
      </c>
      <c r="C10" s="219">
        <v>5000000</v>
      </c>
      <c r="D10" s="216"/>
      <c r="E10" s="216"/>
      <c r="F10" s="217"/>
      <c r="G10" s="216"/>
      <c r="H10" s="215"/>
      <c r="I10" s="240"/>
      <c r="J10" s="239">
        <f>C10</f>
        <v>5000000</v>
      </c>
      <c r="K10" s="239"/>
      <c r="L10" s="239"/>
      <c r="M10" s="239"/>
      <c r="N10" s="239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8"/>
    </row>
    <row r="11" spans="1:49" ht="20" x14ac:dyDescent="0.25">
      <c r="B11" s="237" t="s">
        <v>77</v>
      </c>
      <c r="C11" s="236">
        <v>25000000</v>
      </c>
      <c r="D11" s="234">
        <v>2</v>
      </c>
      <c r="E11" s="234">
        <v>25</v>
      </c>
      <c r="F11" s="235">
        <f>E11-D11+1</f>
        <v>24</v>
      </c>
      <c r="G11" s="234">
        <v>10</v>
      </c>
      <c r="H11" s="233">
        <f>SUM(J11:AK11)</f>
        <v>25000000</v>
      </c>
      <c r="I11" s="232"/>
      <c r="J11" s="231">
        <f>(_xlfn.NORM.DIST(AND(J$8&gt;=$D11,J$8&lt;=$E11)*(J$8-$D11+1),$F11/2,$G11,TRUE)-_xlfn.NORM.DIST(AND(J$8&gt;=$D11,J$8&lt;=$E11)*(I$8-$D11+1),$F11/2,$G11,TRUE))/(1-2*_xlfn.NORM.DIST(0,$F11/2,$G11,TRUE))</f>
        <v>0</v>
      </c>
      <c r="K11" s="231">
        <f>(_xlfn.NORM.DIST(AND(K$8&gt;=$D11,K$8&lt;=$E11)*(K$8-$D11+1),$F11/2,$G11,TRUE)-_xlfn.NORM.DIST(AND(K$8&gt;=$D11,K$8&lt;=$E11)*(J$8-$D11+1),$F11/2,$G11,TRUE))/(1-2*_xlfn.NORM.DIST(0,$F11/2,$G11,TRUE))*$C11</f>
        <v>0</v>
      </c>
      <c r="L11" s="231">
        <f>(_xlfn.NORM.DIST(AND(L$8&gt;=$D11,L$8&lt;=$E11)*(L$8-$D11+1),$F11/2,$G11,TRUE)-_xlfn.NORM.DIST(AND(L$8&gt;=$D11,L$8&lt;=$E11)*(K$8-$D11+1),$F11/2,$G11,TRUE))/(1-2*_xlfn.NORM.DIST(0,$F11/2,$G11,TRUE))*$C11</f>
        <v>668835.01803226536</v>
      </c>
      <c r="M11" s="231">
        <f>(_xlfn.NORM.DIST(AND(M$8&gt;=$D11,M$8&lt;=$E11)*(M$8-$D11+1),$F11/2,$G11,TRUE)-_xlfn.NORM.DIST(AND(M$8&gt;=$D11,M$8&lt;=$E11)*(L$8-$D11+1),$F11/2,$G11,TRUE))/(1-2*_xlfn.NORM.DIST(0,$F11/2,$G11,TRUE))*$C11</f>
        <v>746537.46427033399</v>
      </c>
      <c r="N11" s="231">
        <f>(_xlfn.NORM.DIST(AND(N$8&gt;=$D11,N$8&lt;=$E11)*(N$8-$D11+1),$F11/2,$G11,TRUE)-_xlfn.NORM.DIST(AND(N$8&gt;=$D11,N$8&lt;=$E11)*(M$8-$D11+1),$F11/2,$G11,TRUE))/(1-2*_xlfn.NORM.DIST(0,$F11/2,$G11,TRUE))*$C11</f>
        <v>824982.77772548317</v>
      </c>
      <c r="O11" s="231">
        <f>(_xlfn.NORM.DIST(AND(O$8&gt;=$D11,O$8&lt;=$E11)*(O$8-$D11+1),$F11/2,$G11,TRUE)-_xlfn.NORM.DIST(AND(O$8&gt;=$D11,O$8&lt;=$E11)*(N$8-$D11+1),$F11/2,$G11,TRUE))/(1-2*_xlfn.NORM.DIST(0,$F11/2,$G11,TRUE))*$C11</f>
        <v>902607.27352422278</v>
      </c>
      <c r="P11" s="231">
        <f>(_xlfn.NORM.DIST(AND(P$8&gt;=$D11,P$8&lt;=$E11)*(P$8-$D11+1),$F11/2,$G11,TRUE)-_xlfn.NORM.DIST(AND(P$8&gt;=$D11,P$8&lt;=$E11)*(O$8-$D11+1),$F11/2,$G11,TRUE))/(1-2*_xlfn.NORM.DIST(0,$F11/2,$G11,TRUE))*$C11</f>
        <v>977717.63194841705</v>
      </c>
      <c r="Q11" s="231">
        <f>(_xlfn.NORM.DIST(AND(Q$8&gt;=$D11,Q$8&lt;=$E11)*(Q$8-$D11+1),$F11/2,$G11,TRUE)-_xlfn.NORM.DIST(AND(Q$8&gt;=$D11,Q$8&lt;=$E11)*(P$8-$D11+1),$F11/2,$G11,TRUE))/(1-2*_xlfn.NORM.DIST(0,$F11/2,$G11,TRUE))*$C11</f>
        <v>1048549.0174805896</v>
      </c>
      <c r="R11" s="231">
        <f>(_xlfn.NORM.DIST(AND(R$8&gt;=$D11,R$8&lt;=$E11)*(R$8-$D11+1),$F11/2,$G11,TRUE)-_xlfn.NORM.DIST(AND(R$8&gt;=$D11,R$8&lt;=$E11)*(Q$8-$D11+1),$F11/2,$G11,TRUE))/(1-2*_xlfn.NORM.DIST(0,$F11/2,$G11,TRUE))*$C11</f>
        <v>1113332.021526471</v>
      </c>
      <c r="S11" s="231">
        <f>(_xlfn.NORM.DIST(AND(S$8&gt;=$D11,S$8&lt;=$E11)*(S$8-$D11+1),$F11/2,$G11,TRUE)-_xlfn.NORM.DIST(AND(S$8&gt;=$D11,S$8&lt;=$E11)*(R$8-$D11+1),$F11/2,$G11,TRUE))/(1-2*_xlfn.NORM.DIST(0,$F11/2,$G11,TRUE))*$C11</f>
        <v>1170365.0269792734</v>
      </c>
      <c r="T11" s="231">
        <f>(_xlfn.NORM.DIST(AND(T$8&gt;=$D11,T$8&lt;=$E11)*(T$8-$D11+1),$F11/2,$G11,TRUE)-_xlfn.NORM.DIST(AND(T$8&gt;=$D11,T$8&lt;=$E11)*(S$8-$D11+1),$F11/2,$G11,TRUE))/(1-2*_xlfn.NORM.DIST(0,$F11/2,$G11,TRUE))*$C11</f>
        <v>1218087.9408416706</v>
      </c>
      <c r="U11" s="231">
        <f>(_xlfn.NORM.DIST(AND(U$8&gt;=$D11,U$8&lt;=$E11)*(U$8-$D11+1),$F11/2,$G11,TRUE)-_xlfn.NORM.DIST(AND(U$8&gt;=$D11,U$8&lt;=$E11)*(T$8-$D11+1),$F11/2,$G11,TRUE))/(1-2*_xlfn.NORM.DIST(0,$F11/2,$G11,TRUE))*$C11</f>
        <v>1255152.873122256</v>
      </c>
      <c r="V11" s="231">
        <f>(_xlfn.NORM.DIST(AND(V$8&gt;=$D11,V$8&lt;=$E11)*(V$8-$D11+1),$F11/2,$G11,TRUE)-_xlfn.NORM.DIST(AND(V$8&gt;=$D11,V$8&lt;=$E11)*(U$8-$D11+1),$F11/2,$G11,TRUE))/(1-2*_xlfn.NORM.DIST(0,$F11/2,$G11,TRUE))*$C11</f>
        <v>1280487.3087288819</v>
      </c>
      <c r="W11" s="231">
        <f>(_xlfn.NORM.DIST(AND(W$8&gt;=$D11,W$8&lt;=$E11)*(W$8-$D11+1),$F11/2,$G11,TRUE)-_xlfn.NORM.DIST(AND(W$8&gt;=$D11,W$8&lt;=$E11)*(V$8-$D11+1),$F11/2,$G11,TRUE))/(1-2*_xlfn.NORM.DIST(0,$F11/2,$G11,TRUE))*$C11</f>
        <v>1293345.6458201353</v>
      </c>
      <c r="X11" s="231">
        <f>(_xlfn.NORM.DIST(AND(X$8&gt;=$D11,X$8&lt;=$E11)*(X$8-$D11+1),$F11/2,$G11,TRUE)-_xlfn.NORM.DIST(AND(X$8&gt;=$D11,X$8&lt;=$E11)*(W$8-$D11+1),$F11/2,$G11,TRUE))/(1-2*_xlfn.NORM.DIST(0,$F11/2,$G11,TRUE))*$C11</f>
        <v>1293345.6458201353</v>
      </c>
      <c r="Y11" s="231">
        <f>(_xlfn.NORM.DIST(AND(Y$8&gt;=$D11,Y$8&lt;=$E11)*(Y$8-$D11+1),$F11/2,$G11,TRUE)-_xlfn.NORM.DIST(AND(Y$8&gt;=$D11,Y$8&lt;=$E11)*(X$8-$D11+1),$F11/2,$G11,TRUE))/(1-2*_xlfn.NORM.DIST(0,$F11/2,$G11,TRUE))*$C11</f>
        <v>1280487.30872888</v>
      </c>
      <c r="Z11" s="231">
        <f>(_xlfn.NORM.DIST(AND(Z$8&gt;=$D11,Z$8&lt;=$E11)*(Z$8-$D11+1),$F11/2,$G11,TRUE)-_xlfn.NORM.DIST(AND(Z$8&gt;=$D11,Z$8&lt;=$E11)*(Y$8-$D11+1),$F11/2,$G11,TRUE))/(1-2*_xlfn.NORM.DIST(0,$F11/2,$G11,TRUE))*$C11</f>
        <v>1255152.8731222579</v>
      </c>
      <c r="AA11" s="231">
        <f>(_xlfn.NORM.DIST(AND(AA$8&gt;=$D11,AA$8&lt;=$E11)*(AA$8-$D11+1),$F11/2,$G11,TRUE)-_xlfn.NORM.DIST(AND(AA$8&gt;=$D11,AA$8&lt;=$E11)*(Z$8-$D11+1),$F11/2,$G11,TRUE))/(1-2*_xlfn.NORM.DIST(0,$F11/2,$G11,TRUE))*$C11</f>
        <v>1218087.9408416722</v>
      </c>
      <c r="AB11" s="231">
        <f>(_xlfn.NORM.DIST(AND(AB$8&gt;=$D11,AB$8&lt;=$E11)*(AB$8-$D11+1),$F11/2,$G11,TRUE)-_xlfn.NORM.DIST(AND(AB$8&gt;=$D11,AB$8&lt;=$E11)*(AA$8-$D11+1),$F11/2,$G11,TRUE))/(1-2*_xlfn.NORM.DIST(0,$F11/2,$G11,TRUE))*$C11</f>
        <v>1170365.0269792716</v>
      </c>
      <c r="AC11" s="231">
        <f>(_xlfn.NORM.DIST(AND(AC$8&gt;=$D11,AC$8&lt;=$E11)*(AC$8-$D11+1),$F11/2,$G11,TRUE)-_xlfn.NORM.DIST(AND(AC$8&gt;=$D11,AC$8&lt;=$E11)*(AB$8-$D11+1),$F11/2,$G11,TRUE))/(1-2*_xlfn.NORM.DIST(0,$F11/2,$G11,TRUE))*$C11</f>
        <v>1113332.021526471</v>
      </c>
      <c r="AD11" s="231">
        <f>(_xlfn.NORM.DIST(AND(AD$8&gt;=$D11,AD$8&lt;=$E11)*(AD$8-$D11+1),$F11/2,$G11,TRUE)-_xlfn.NORM.DIST(AND(AD$8&gt;=$D11,AD$8&lt;=$E11)*(AC$8-$D11+1),$F11/2,$G11,TRUE))/(1-2*_xlfn.NORM.DIST(0,$F11/2,$G11,TRUE))*$C11</f>
        <v>1048549.0174805878</v>
      </c>
      <c r="AE11" s="231">
        <f>(_xlfn.NORM.DIST(AND(AE$8&gt;=$D11,AE$8&lt;=$E11)*(AE$8-$D11+1),$F11/2,$G11,TRUE)-_xlfn.NORM.DIST(AND(AE$8&gt;=$D11,AE$8&lt;=$E11)*(AD$8-$D11+1),$F11/2,$G11,TRUE))/(1-2*_xlfn.NORM.DIST(0,$F11/2,$G11,TRUE))*$C11</f>
        <v>977717.63194841787</v>
      </c>
      <c r="AF11" s="231">
        <f>(_xlfn.NORM.DIST(AND(AF$8&gt;=$D11,AF$8&lt;=$E11)*(AF$8-$D11+1),$F11/2,$G11,TRUE)-_xlfn.NORM.DIST(AND(AF$8&gt;=$D11,AF$8&lt;=$E11)*(AE$8-$D11+1),$F11/2,$G11,TRUE))/(1-2*_xlfn.NORM.DIST(0,$F11/2,$G11,TRUE))*$C11</f>
        <v>902607.27352422278</v>
      </c>
      <c r="AG11" s="231">
        <f>(_xlfn.NORM.DIST(AND(AG$8&gt;=$D11,AG$8&lt;=$E11)*(AG$8-$D11+1),$F11/2,$G11,TRUE)-_xlfn.NORM.DIST(AND(AG$8&gt;=$D11,AG$8&lt;=$E11)*(AF$8-$D11+1),$F11/2,$G11,TRUE))/(1-2*_xlfn.NORM.DIST(0,$F11/2,$G11,TRUE))*$C11</f>
        <v>824982.77772548504</v>
      </c>
      <c r="AH11" s="231">
        <f>(_xlfn.NORM.DIST(AND(AH$8&gt;=$D11,AH$8&lt;=$E11)*(AH$8-$D11+1),$F11/2,$G11,TRUE)-_xlfn.NORM.DIST(AND(AH$8&gt;=$D11,AH$8&lt;=$E11)*(AG$8-$D11+1),$F11/2,$G11,TRUE))/(1-2*_xlfn.NORM.DIST(0,$F11/2,$G11,TRUE))*$C11</f>
        <v>746537.46427033225</v>
      </c>
      <c r="AI11" s="231">
        <f>(_xlfn.NORM.DIST(AND(AI$8&gt;=$D11,AI$8&lt;=$E11)*(AI$8-$D11+1),$F11/2,$G11,TRUE)-_xlfn.NORM.DIST(AND(AI$8&gt;=$D11,AI$8&lt;=$E11)*(AH$8-$D11+1),$F11/2,$G11,TRUE))/(1-2*_xlfn.NORM.DIST(0,$F11/2,$G11,TRUE))*$C11</f>
        <v>668835.01803226804</v>
      </c>
      <c r="AJ11" s="231">
        <f>(_xlfn.NORM.DIST(AND(AJ$8&gt;=$D11,AJ$8&lt;=$E11)*(AJ$8-$D11+1),$F11/2,$G11,TRUE)-_xlfn.NORM.DIST(AND(AJ$8&gt;=$D11,AJ$8&lt;=$E11)*(AI$8-$D11+1),$F11/2,$G11,TRUE))/(1-2*_xlfn.NORM.DIST(0,$F11/2,$G11,TRUE))*$C11</f>
        <v>0</v>
      </c>
      <c r="AK11" s="230">
        <f>(_xlfn.NORM.DIST(AND(AK$8&gt;=$D11,AK$8&lt;=$E11)*(AK$8-$D11+1),$F11/2,$G11,TRUE)-_xlfn.NORM.DIST(AND(AK$8&gt;=$D11,AK$8&lt;=$E11)*(AJ$8-$D11+1),$F11/2,$G11,TRUE))/(1-2*_xlfn.NORM.DIST(0,$F11/2,$G11,TRUE))*$C11</f>
        <v>0</v>
      </c>
    </row>
    <row r="12" spans="1:49" ht="20" x14ac:dyDescent="0.25">
      <c r="B12" s="229" t="s">
        <v>73</v>
      </c>
      <c r="C12" s="228">
        <f>SUM(J12:AK12)</f>
        <v>1396804.7939975252</v>
      </c>
      <c r="D12" s="227">
        <f>4*30</f>
        <v>120</v>
      </c>
      <c r="E12" s="227">
        <f>8*30</f>
        <v>240</v>
      </c>
      <c r="F12" s="226">
        <v>1.6E-2</v>
      </c>
      <c r="G12" s="225"/>
      <c r="H12" s="224"/>
      <c r="I12" s="223"/>
      <c r="J12" s="222">
        <f>OR(MONTH(J9)=MONTH($D$12),MONTH(J9)=MONTH($E$12))*SUM($I$10:I11)*$F$12</f>
        <v>0</v>
      </c>
      <c r="K12" s="222">
        <f>OR(MONTH(K9)=MONTH($D$12),MONTH(K9)=MONTH($E$12))*SUM($I$10:J11)*$F$12</f>
        <v>0</v>
      </c>
      <c r="L12" s="222">
        <f>OR(MONTH(L9)=MONTH($D$12),MONTH(L9)=MONTH($E$12))*SUM($I$10:K11)*$F$12</f>
        <v>0</v>
      </c>
      <c r="M12" s="222">
        <f>OR(MONTH(M9)=MONTH($D$12),MONTH(M9)=MONTH($E$12))*SUM($I$10:L11)*$F$12</f>
        <v>90701.360288516255</v>
      </c>
      <c r="N12" s="222">
        <f>OR(MONTH(N9)=MONTH($D$12),MONTH(N9)=MONTH($E$12))*SUM($I$10:M11)*$F$12</f>
        <v>0</v>
      </c>
      <c r="O12" s="222">
        <f>OR(MONTH(O9)=MONTH($D$12),MONTH(O9)=MONTH($E$12))*SUM($I$10:N11)*$F$12</f>
        <v>0</v>
      </c>
      <c r="P12" s="222">
        <f>OR(MONTH(P9)=MONTH($D$12),MONTH(P9)=MONTH($E$12))*SUM($I$10:O11)*$F$12</f>
        <v>0</v>
      </c>
      <c r="Q12" s="222">
        <f>OR(MONTH(Q9)=MONTH($D$12),MONTH(Q9)=MONTH($E$12))*SUM($I$10:P11)*$F$12</f>
        <v>145930.88264801158</v>
      </c>
      <c r="R12" s="222">
        <f>OR(MONTH(R9)=MONTH($D$12),MONTH(R9)=MONTH($E$12))*SUM($I$10:Q11)*$F$12</f>
        <v>0</v>
      </c>
      <c r="S12" s="222">
        <f>OR(MONTH(S9)=MONTH($D$12),MONTH(S9)=MONTH($E$12))*SUM($I$10:R11)*$F$12</f>
        <v>0</v>
      </c>
      <c r="T12" s="222">
        <f>OR(MONTH(T9)=MONTH($D$12),MONTH(T9)=MONTH($E$12))*SUM($I$10:S11)*$F$12</f>
        <v>0</v>
      </c>
      <c r="U12" s="222">
        <f>OR(MONTH(U9)=MONTH($D$12),MONTH(U9)=MONTH($E$12))*SUM($I$10:T11)*$F$12</f>
        <v>0</v>
      </c>
      <c r="V12" s="222">
        <f>OR(MONTH(V9)=MONTH($D$12),MONTH(V9)=MONTH($E$12))*SUM($I$10:U11)*$F$12</f>
        <v>0</v>
      </c>
      <c r="W12" s="222">
        <f>OR(MONTH(W9)=MONTH($D$12),MONTH(W9)=MONTH($E$12))*SUM($I$10:V11)*$F$12</f>
        <v>0</v>
      </c>
      <c r="X12" s="222">
        <f>OR(MONTH(X9)=MONTH($D$12),MONTH(X9)=MONTH($E$12))*SUM($I$10:W11)*$F$12</f>
        <v>0</v>
      </c>
      <c r="Y12" s="222">
        <f>OR(MONTH(Y9)=MONTH($D$12),MONTH(Y9)=MONTH($E$12))*SUM($I$10:X11)*$F$12</f>
        <v>300693.53033312212</v>
      </c>
      <c r="Z12" s="222">
        <f>OR(MONTH(Z9)=MONTH($D$12),MONTH(Z9)=MONTH($E$12))*SUM($I$10:Y11)*$F$12</f>
        <v>0</v>
      </c>
      <c r="AA12" s="222">
        <f>OR(MONTH(AA9)=MONTH($D$12),MONTH(AA9)=MONTH($E$12))*SUM($I$10:Z11)*$F$12</f>
        <v>0</v>
      </c>
      <c r="AB12" s="222">
        <f>OR(MONTH(AB9)=MONTH($D$12),MONTH(AB9)=MONTH($E$12))*SUM($I$10:AA11)*$F$12</f>
        <v>0</v>
      </c>
      <c r="AC12" s="222">
        <f>OR(MONTH(AC9)=MONTH($D$12),MONTH(AC9)=MONTH($E$12))*SUM($I$10:AB11)*$F$12</f>
        <v>379479.02072787541</v>
      </c>
      <c r="AD12" s="222">
        <f>OR(MONTH(AD9)=MONTH($D$12),MONTH(AD9)=MONTH($E$12))*SUM($I$10:AC11)*$F$12</f>
        <v>0</v>
      </c>
      <c r="AE12" s="222">
        <f>OR(MONTH(AE9)=MONTH($D$12),MONTH(AE9)=MONTH($E$12))*SUM($I$10:AD11)*$F$12</f>
        <v>0</v>
      </c>
      <c r="AF12" s="222">
        <f>OR(MONTH(AF9)=MONTH($D$12),MONTH(AF9)=MONTH($E$12))*SUM($I$10:AE11)*$F$12</f>
        <v>0</v>
      </c>
      <c r="AG12" s="222">
        <f>OR(MONTH(AG9)=MONTH($D$12),MONTH(AG9)=MONTH($E$12))*SUM($I$10:AF11)*$F$12</f>
        <v>0</v>
      </c>
      <c r="AH12" s="222">
        <f>OR(MONTH(AH9)=MONTH($D$12),MONTH(AH9)=MONTH($E$12))*SUM($I$10:AG11)*$F$12</f>
        <v>0</v>
      </c>
      <c r="AI12" s="222">
        <f>OR(MONTH(AI9)=MONTH($D$12),MONTH(AI9)=MONTH($E$12))*SUM($I$10:AH11)*$F$12</f>
        <v>0</v>
      </c>
      <c r="AJ12" s="222">
        <f>OR(MONTH(AJ9)=MONTH($D$12),MONTH(AJ9)=MONTH($E$12))*SUM($I$10:AI11)*$F$12</f>
        <v>0</v>
      </c>
      <c r="AK12" s="221">
        <f>OR(MONTH(AK9)=MONTH($D$12),MONTH(AK9)=MONTH($E$12))*SUM($I$10:AJ11)*$F$12</f>
        <v>479999.99999999994</v>
      </c>
    </row>
    <row r="13" spans="1:49" ht="20" x14ac:dyDescent="0.25">
      <c r="B13" s="220" t="s">
        <v>74</v>
      </c>
      <c r="C13" s="219">
        <v>1000000</v>
      </c>
      <c r="D13" s="218">
        <f>D11</f>
        <v>2</v>
      </c>
      <c r="E13" s="218">
        <f>D13+6</f>
        <v>8</v>
      </c>
      <c r="F13" s="217"/>
      <c r="G13" s="216"/>
      <c r="H13" s="215"/>
      <c r="I13" s="214"/>
      <c r="J13" s="213">
        <f>(J8=$D$13)*$C$13*$D$14+(J8=$E$13)*$C$13*$E$14</f>
        <v>0</v>
      </c>
      <c r="K13" s="213">
        <f>(K8=$D$13)*$C$13*$D$14+(K8=$E$13)*$C$13*$E$14</f>
        <v>0</v>
      </c>
      <c r="L13" s="213">
        <f>(L8=$D$13)*$C$13*$D$14+(L8=$E$13)*$C$13*$E$14</f>
        <v>600000</v>
      </c>
      <c r="M13" s="213">
        <f>(M8=$D$13)*$C$13*$D$14+(M8=$E$13)*$C$13*$E$14</f>
        <v>0</v>
      </c>
      <c r="N13" s="213">
        <f>(N8=$D$13)*$C$13*$D$14+(N8=$E$13)*$C$13*$E$14</f>
        <v>0</v>
      </c>
      <c r="O13" s="213">
        <f>(O8=$D$13)*$C$13*$D$14+(O8=$E$13)*$C$13*$E$14</f>
        <v>0</v>
      </c>
      <c r="P13" s="213">
        <f>(P8=$D$13)*$C$13*$D$14+(P8=$E$13)*$C$13*$E$14</f>
        <v>0</v>
      </c>
      <c r="Q13" s="213">
        <f>(Q8=$D$13)*$C$13*$D$14+(Q8=$E$13)*$C$13*$E$14</f>
        <v>0</v>
      </c>
      <c r="R13" s="213">
        <f>(R8=$D$13)*$C$13*$D$14+(R8=$E$13)*$C$13*$E$14</f>
        <v>400000</v>
      </c>
      <c r="S13" s="213">
        <f>(S8=$D$13)*$C$13*$D$14+(S8=$E$13)*$C$13*$E$14</f>
        <v>0</v>
      </c>
      <c r="T13" s="213">
        <f>(T8=$D$13)*$C$13*$D$14+(T8=$E$13)*$C$13*$E$14</f>
        <v>0</v>
      </c>
      <c r="U13" s="213">
        <f>(U8=$D$13)*$C$13*$D$14+(U8=$E$13)*$C$13*$E$14</f>
        <v>0</v>
      </c>
      <c r="V13" s="213">
        <f>(V8=$D$13)*$C$13*$D$14+(V8=$E$13)*$C$13*$E$14</f>
        <v>0</v>
      </c>
      <c r="W13" s="213">
        <f>(W8=$D$13)*$C$13*$D$14+(W8=$E$13)*$C$13*$E$14</f>
        <v>0</v>
      </c>
      <c r="X13" s="213">
        <f>(X8=$D$13)*$C$13*$D$14+(X8=$E$13)*$C$13*$E$14</f>
        <v>0</v>
      </c>
      <c r="Y13" s="213">
        <f>(Y8=$D$13)*$C$13*$D$14+(Y8=$E$13)*$C$13*$E$14</f>
        <v>0</v>
      </c>
      <c r="Z13" s="213">
        <f>(Z8=$D$13)*$C$13*$D$14+(Z8=$E$13)*$C$13*$E$14</f>
        <v>0</v>
      </c>
      <c r="AA13" s="213">
        <f>(AA8=$D$13)*$C$13*$D$14+(AA8=$E$13)*$C$13*$E$14</f>
        <v>0</v>
      </c>
      <c r="AB13" s="213">
        <f>(AB8=$D$13)*$C$13*$D$14+(AB8=$E$13)*$C$13*$E$14</f>
        <v>0</v>
      </c>
      <c r="AC13" s="213">
        <f>(AC8=$D$13)*$C$13*$D$14+(AC8=$E$13)*$C$13*$E$14</f>
        <v>0</v>
      </c>
      <c r="AD13" s="213">
        <f>(AD8=$D$13)*$C$13*$D$14+(AD8=$E$13)*$C$13*$E$14</f>
        <v>0</v>
      </c>
      <c r="AE13" s="213">
        <f>(AE8=$D$13)*$C$13*$D$14+(AE8=$E$13)*$C$13*$E$14</f>
        <v>0</v>
      </c>
      <c r="AF13" s="213">
        <f>(AF8=$D$13)*$C$13*$D$14+(AF8=$E$13)*$C$13*$E$14</f>
        <v>0</v>
      </c>
      <c r="AG13" s="213">
        <f>(AG8=$D$13)*$C$13*$D$14+(AG8=$E$13)*$C$13*$E$14</f>
        <v>0</v>
      </c>
      <c r="AH13" s="213">
        <f>(AH8=$D$13)*$C$13*$D$14+(AH8=$E$13)*$C$13*$E$14</f>
        <v>0</v>
      </c>
      <c r="AI13" s="213">
        <f>(AI8=$D$13)*$C$13*$D$14+(AI8=$E$13)*$C$13*$E$14</f>
        <v>0</v>
      </c>
      <c r="AJ13" s="213">
        <f>(AJ8=$D$13)*$C$13*$D$14+(AJ8=$E$13)*$C$13*$E$14</f>
        <v>0</v>
      </c>
      <c r="AK13" s="212">
        <f>(AK8=$D$13)*$C$13*$D$14+(AK8=$E$13)*$C$13*$E$14</f>
        <v>0</v>
      </c>
    </row>
    <row r="14" spans="1:49" ht="19" x14ac:dyDescent="0.25">
      <c r="B14" s="211"/>
      <c r="C14" s="210"/>
      <c r="D14" s="209">
        <v>0.6</v>
      </c>
      <c r="E14" s="209">
        <f>1-D14</f>
        <v>0.4</v>
      </c>
      <c r="F14" s="208"/>
      <c r="G14" s="207"/>
      <c r="H14" s="206"/>
      <c r="I14" s="205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4"/>
      <c r="X14" s="204"/>
      <c r="Y14" s="204"/>
      <c r="Z14" s="204"/>
      <c r="AA14" s="204"/>
      <c r="AB14" s="204"/>
      <c r="AC14" s="204"/>
      <c r="AD14" s="204"/>
      <c r="AE14" s="204"/>
      <c r="AF14" s="204"/>
      <c r="AG14" s="204"/>
      <c r="AH14" s="204"/>
      <c r="AI14" s="204"/>
      <c r="AJ14" s="204"/>
      <c r="AK14" s="203"/>
    </row>
    <row r="15" spans="1:49" x14ac:dyDescent="0.2">
      <c r="Q15" s="202"/>
    </row>
    <row r="16" spans="1:49" hidden="1" x14ac:dyDescent="0.2">
      <c r="AN16" s="201"/>
      <c r="AO16" s="201"/>
      <c r="AP16" s="201"/>
      <c r="AQ16" s="201"/>
      <c r="AR16" s="201"/>
      <c r="AS16" s="201"/>
      <c r="AT16" s="201"/>
      <c r="AU16" s="201"/>
      <c r="AV16" s="201"/>
      <c r="AW16" s="201"/>
    </row>
    <row r="17" spans="40:49" hidden="1" x14ac:dyDescent="0.2">
      <c r="AN17" s="201"/>
      <c r="AO17" s="201"/>
      <c r="AP17" s="201"/>
      <c r="AQ17" s="201"/>
      <c r="AR17" s="201"/>
      <c r="AS17" s="201"/>
      <c r="AT17" s="201"/>
      <c r="AU17" s="201"/>
      <c r="AV17" s="201"/>
      <c r="AW17" s="201"/>
    </row>
    <row r="18" spans="40:49" hidden="1" x14ac:dyDescent="0.2">
      <c r="AN18" s="201"/>
      <c r="AO18" s="201"/>
      <c r="AP18" s="201"/>
      <c r="AQ18" s="201"/>
      <c r="AR18" s="201"/>
      <c r="AS18" s="201"/>
      <c r="AT18" s="201"/>
      <c r="AU18" s="201"/>
      <c r="AV18" s="201"/>
      <c r="AW18" s="201"/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467A7-8350-6145-842A-8AB71061A6D9}">
  <dimension ref="A6:BL30"/>
  <sheetViews>
    <sheetView zoomScale="80" zoomScaleNormal="80" workbookViewId="0">
      <selection activeCell="K19" sqref="K19"/>
    </sheetView>
  </sheetViews>
  <sheetFormatPr baseColWidth="10" defaultColWidth="0" defaultRowHeight="15" x14ac:dyDescent="0.2"/>
  <cols>
    <col min="1" max="1" width="2.6640625" style="25" customWidth="1"/>
    <col min="2" max="2" width="15.6640625" style="25" bestFit="1" customWidth="1"/>
    <col min="3" max="6" width="15.6640625" style="25" customWidth="1"/>
    <col min="7" max="7" width="14.5" style="25" bestFit="1" customWidth="1"/>
    <col min="8" max="8" width="2.6640625" style="25" customWidth="1"/>
    <col min="9" max="18" width="15.6640625" style="25" customWidth="1"/>
    <col min="19" max="19" width="2.6640625" style="25" customWidth="1"/>
    <col min="20" max="20" width="18.33203125" style="25" hidden="1" customWidth="1"/>
    <col min="21" max="21" width="9.1640625" style="25" hidden="1" customWidth="1"/>
    <col min="22" max="22" width="11.1640625" style="25" hidden="1" customWidth="1"/>
    <col min="23" max="23" width="9.1640625" style="25" hidden="1" customWidth="1"/>
    <col min="24" max="64" width="0" style="25" hidden="1" customWidth="1"/>
    <col min="65" max="16384" width="9.1640625" style="25" hidden="1"/>
  </cols>
  <sheetData>
    <row r="6" spans="2:18" ht="19" x14ac:dyDescent="0.25">
      <c r="B6" s="276" t="s">
        <v>114</v>
      </c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</row>
    <row r="8" spans="2:18" x14ac:dyDescent="0.2">
      <c r="B8" s="269" t="s">
        <v>113</v>
      </c>
    </row>
    <row r="10" spans="2:18" ht="16" x14ac:dyDescent="0.2">
      <c r="B10" s="268"/>
      <c r="C10" s="265" t="s">
        <v>92</v>
      </c>
      <c r="D10" s="247" t="s">
        <v>101</v>
      </c>
      <c r="E10" s="267" t="s">
        <v>100</v>
      </c>
      <c r="F10" s="265" t="s">
        <v>88</v>
      </c>
      <c r="G10" s="60" t="s">
        <v>99</v>
      </c>
      <c r="H10" s="266"/>
      <c r="I10" s="265">
        <v>1</v>
      </c>
      <c r="J10" s="265">
        <v>2</v>
      </c>
      <c r="K10" s="265">
        <v>3</v>
      </c>
      <c r="L10" s="265">
        <v>4</v>
      </c>
      <c r="M10" s="265">
        <v>5</v>
      </c>
      <c r="N10" s="265">
        <v>6</v>
      </c>
      <c r="O10" s="265">
        <v>7</v>
      </c>
      <c r="P10" s="265">
        <v>8</v>
      </c>
      <c r="Q10" s="265">
        <v>9</v>
      </c>
      <c r="R10" s="264">
        <v>10</v>
      </c>
    </row>
    <row r="11" spans="2:18" ht="40" x14ac:dyDescent="0.25">
      <c r="B11" s="263" t="s">
        <v>111</v>
      </c>
      <c r="C11" s="262">
        <v>250000</v>
      </c>
      <c r="D11" s="261">
        <v>2</v>
      </c>
      <c r="E11" s="261">
        <v>10</v>
      </c>
      <c r="F11" s="260">
        <f>E11-D11+1</f>
        <v>9</v>
      </c>
      <c r="G11" s="275">
        <f>SUM(I11:R11)</f>
        <v>250000</v>
      </c>
      <c r="H11" s="274"/>
      <c r="I11" s="273">
        <f>AND(I$10&gt;=$D11,I$10&lt;=$E11)*(I$10-$D11+1)/($F11*($F11+1)/2)*$C11</f>
        <v>0</v>
      </c>
      <c r="J11" s="273">
        <f>AND(J$10&gt;=$D11,J$10&lt;=$E11)*(J$10-$D11+1)/($F11*($F11+1)/2)*$C11</f>
        <v>5555.5555555555557</v>
      </c>
      <c r="K11" s="273">
        <f>AND(K$10&gt;=$D11,K$10&lt;=$E11)*(K$10-$D11+1)/($F11*($F11+1)/2)*$C11</f>
        <v>11111.111111111111</v>
      </c>
      <c r="L11" s="273">
        <f>AND(L$10&gt;=$D11,L$10&lt;=$E11)*(L$10-$D11+1)/($F11*($F11+1)/2)*$C11</f>
        <v>16666.666666666668</v>
      </c>
      <c r="M11" s="273">
        <f>AND(M$10&gt;=$D11,M$10&lt;=$E11)*(M$10-$D11+1)/($F11*($F11+1)/2)*$C11</f>
        <v>22222.222222222223</v>
      </c>
      <c r="N11" s="273">
        <f>AND(N$10&gt;=$D11,N$10&lt;=$E11)*(N$10-$D11+1)/($F11*($F11+1)/2)*$C11</f>
        <v>27777.777777777777</v>
      </c>
      <c r="O11" s="273">
        <f>AND(O$10&gt;=$D11,O$10&lt;=$E11)*(O$10-$D11+1)/($F11*($F11+1)/2)*$C11</f>
        <v>33333.333333333336</v>
      </c>
      <c r="P11" s="273">
        <f>AND(P$10&gt;=$D11,P$10&lt;=$E11)*(P$10-$D11+1)/($F11*($F11+1)/2)*$C11</f>
        <v>38888.888888888891</v>
      </c>
      <c r="Q11" s="273">
        <f>AND(Q$10&gt;=$D11,Q$10&lt;=$E11)*(Q$10-$D11+1)/($F11*($F11+1)/2)*$C11</f>
        <v>44444.444444444445</v>
      </c>
      <c r="R11" s="272">
        <f>AND(R$10&gt;=$D11,R$10&lt;=$E11)*(R$10-$D11+1)/($F11*($F11+1)/2)*$C11</f>
        <v>50000</v>
      </c>
    </row>
    <row r="12" spans="2:18" ht="20" x14ac:dyDescent="0.25">
      <c r="B12" s="211" t="s">
        <v>64</v>
      </c>
      <c r="C12" s="210">
        <v>1000000</v>
      </c>
      <c r="D12" s="207">
        <v>5</v>
      </c>
      <c r="E12" s="207">
        <v>8</v>
      </c>
      <c r="F12" s="208">
        <f>E12-D12+1</f>
        <v>4</v>
      </c>
      <c r="G12" s="206">
        <f>SUM(I12:R12)</f>
        <v>1000000</v>
      </c>
      <c r="H12" s="271"/>
      <c r="I12" s="256">
        <f>AND(I$10&gt;=$D12,I$10&lt;=$E12)*(I$10-$D12+1)/($F12*($F12+1)/2)*$C12</f>
        <v>0</v>
      </c>
      <c r="J12" s="256">
        <f>AND(J$10&gt;=$D12,J$10&lt;=$E12)*(J$10-$D12+1)/($F12*($F12+1)/2)*$C12</f>
        <v>0</v>
      </c>
      <c r="K12" s="256">
        <f>AND(K$10&gt;=$D12,K$10&lt;=$E12)*(K$10-$D12+1)/($F12*($F12+1)/2)*$C12</f>
        <v>0</v>
      </c>
      <c r="L12" s="256">
        <f>AND(L$10&gt;=$D12,L$10&lt;=$E12)*(L$10-$D12+1)/($F12*($F12+1)/2)*$C12</f>
        <v>0</v>
      </c>
      <c r="M12" s="256">
        <f>AND(M$10&gt;=$D12,M$10&lt;=$E12)*(M$10-$D12+1)/($F12*($F12+1)/2)*$C12</f>
        <v>100000</v>
      </c>
      <c r="N12" s="256">
        <f>AND(N$10&gt;=$D12,N$10&lt;=$E12)*(N$10-$D12+1)/($F12*($F12+1)/2)*$C12</f>
        <v>200000</v>
      </c>
      <c r="O12" s="256">
        <f>AND(O$10&gt;=$D12,O$10&lt;=$E12)*(O$10-$D12+1)/($F12*($F12+1)/2)*$C12</f>
        <v>300000</v>
      </c>
      <c r="P12" s="256">
        <f>AND(P$10&gt;=$D12,P$10&lt;=$E12)*(P$10-$D12+1)/($F12*($F12+1)/2)*$C12</f>
        <v>400000</v>
      </c>
      <c r="Q12" s="256">
        <f>AND(Q$10&gt;=$D12,Q$10&lt;=$E12)*(Q$10-$D12+1)/($F12*($F12+1)/2)*$C12</f>
        <v>0</v>
      </c>
      <c r="R12" s="270">
        <f>AND(R$10&gt;=$D12,R$10&lt;=$E12)*(R$10-$D12+1)/($F12*($F12+1)/2)*$C12</f>
        <v>0</v>
      </c>
    </row>
    <row r="14" spans="2:18" x14ac:dyDescent="0.2">
      <c r="B14" s="269" t="s">
        <v>112</v>
      </c>
    </row>
    <row r="16" spans="2:18" ht="16" x14ac:dyDescent="0.2">
      <c r="B16" s="268"/>
      <c r="C16" s="265" t="s">
        <v>92</v>
      </c>
      <c r="D16" s="247" t="s">
        <v>101</v>
      </c>
      <c r="E16" s="267" t="s">
        <v>100</v>
      </c>
      <c r="F16" s="265" t="s">
        <v>88</v>
      </c>
      <c r="G16" s="60" t="s">
        <v>99</v>
      </c>
      <c r="H16" s="266"/>
      <c r="I16" s="265">
        <v>1</v>
      </c>
      <c r="J16" s="265">
        <v>2</v>
      </c>
      <c r="K16" s="265">
        <v>3</v>
      </c>
      <c r="L16" s="265">
        <v>4</v>
      </c>
      <c r="M16" s="265">
        <v>5</v>
      </c>
      <c r="N16" s="265">
        <v>6</v>
      </c>
      <c r="O16" s="265">
        <v>7</v>
      </c>
      <c r="P16" s="265">
        <v>8</v>
      </c>
      <c r="Q16" s="265">
        <v>9</v>
      </c>
      <c r="R16" s="264">
        <v>10</v>
      </c>
    </row>
    <row r="17" spans="2:30" ht="40" x14ac:dyDescent="0.25">
      <c r="B17" s="263" t="s">
        <v>111</v>
      </c>
      <c r="C17" s="262">
        <v>250000</v>
      </c>
      <c r="D17" s="261">
        <v>1</v>
      </c>
      <c r="E17" s="261">
        <v>3</v>
      </c>
      <c r="F17" s="260">
        <f>E17-D17+1</f>
        <v>3</v>
      </c>
      <c r="G17" s="259">
        <f>SUM(I17:R17)</f>
        <v>250000</v>
      </c>
      <c r="H17" s="259"/>
      <c r="I17" s="258">
        <f>AND(I$16&gt;=$D17,I$10&lt;=$E17)*(I$10-$D17+1)/($F17*($F17+1)/2)*$C17</f>
        <v>41666.666666666664</v>
      </c>
      <c r="J17" s="258">
        <f>AND(J$16&gt;=$D17,J$10&lt;=$E17)*(J$10-$D17+1)/($F17*($F17+1)/2)*$C17</f>
        <v>83333.333333333328</v>
      </c>
      <c r="K17" s="258">
        <f>AND(K$16&gt;=$D17,K$10&lt;=$E17)*(K$10-$D17+1)/($F17*($F17+1)/2)*$C17</f>
        <v>125000</v>
      </c>
      <c r="L17" s="258">
        <f>AND(L$16&gt;=$D17,L$10&lt;=$E17)*(L$10-$D17+1)/($F17*($F17+1)/2)*$C17</f>
        <v>0</v>
      </c>
      <c r="M17" s="258">
        <f>AND(M$16&gt;=$D17,M$10&lt;=$E17)*(M$10-$D17+1)/($F17*($F17+1)/2)*$C17</f>
        <v>0</v>
      </c>
      <c r="N17" s="258">
        <f>AND(N$16&gt;=$D17,N$10&lt;=$E17)*(N$10-$D17+1)/($F17*($F17+1)/2)*$C17</f>
        <v>0</v>
      </c>
      <c r="O17" s="258">
        <f>AND(O$16&gt;=$D17,O$10&lt;=$E17)*(O$10-$D17+1)/($F17*($F17+1)/2)*$C17</f>
        <v>0</v>
      </c>
      <c r="P17" s="258">
        <f>AND(P$16&gt;=$D17,P$10&lt;=$E17)*(P$10-$D17+1)/($F17*($F17+1)/2)*$C17</f>
        <v>0</v>
      </c>
      <c r="Q17" s="258">
        <f>AND(Q$16&gt;=$D17,Q$10&lt;=$E17)*(Q$10-$D17+1)/($F17*($F17+1)/2)*$C17</f>
        <v>0</v>
      </c>
      <c r="R17" s="257">
        <f>AND(R$16&gt;=$D17,R$10&lt;=$E17)*(R$10-$D17+1)/($F17*($F17+1)/2)*$C17</f>
        <v>0</v>
      </c>
    </row>
    <row r="18" spans="2:30" ht="20" x14ac:dyDescent="0.25">
      <c r="B18" s="211" t="s">
        <v>64</v>
      </c>
      <c r="C18" s="210">
        <v>1000000</v>
      </c>
      <c r="D18" s="207">
        <v>7</v>
      </c>
      <c r="E18" s="207">
        <v>10</v>
      </c>
      <c r="F18" s="208">
        <f>E18-D18+1</f>
        <v>4</v>
      </c>
      <c r="G18" s="256">
        <f>SUM(I18:R18)</f>
        <v>1000000</v>
      </c>
      <c r="H18" s="256"/>
      <c r="I18" s="255">
        <f>AND(I$16&gt;=$D18,I$10&lt;=$E18)*(I$10-$D18+1)/($F18*($F18+1)/2)*$C18</f>
        <v>0</v>
      </c>
      <c r="J18" s="255">
        <f>AND(J$16&gt;=$D18,J$10&lt;=$E18)*(J$10-$D18+1)/($F18*($F18+1)/2)*$C18</f>
        <v>0</v>
      </c>
      <c r="K18" s="255">
        <f>AND(K$16&gt;=$D18,K$10&lt;=$E18)*(K$10-$D18+1)/($F18*($F18+1)/2)*$C18</f>
        <v>0</v>
      </c>
      <c r="L18" s="255">
        <f>AND(L$16&gt;=$D18,L$10&lt;=$E18)*(L$10-$D18+1)/($F18*($F18+1)/2)*$C18</f>
        <v>0</v>
      </c>
      <c r="M18" s="255">
        <f>AND(M$16&gt;=$D18,M$10&lt;=$E18)*(M$10-$D18+1)/($F18*($F18+1)/2)*$C18</f>
        <v>0</v>
      </c>
      <c r="N18" s="255">
        <f>AND(N$16&gt;=$D18,N$10&lt;=$E18)*(N$10-$D18+1)/($F18*($F18+1)/2)*$C18</f>
        <v>0</v>
      </c>
      <c r="O18" s="255">
        <f>AND(O$16&gt;=$D18,O$10&lt;=$E18)*(O$10-$D18+1)/($F18*($F18+1)/2)*$C18</f>
        <v>100000</v>
      </c>
      <c r="P18" s="255">
        <f>AND(P$16&gt;=$D18,P$10&lt;=$E18)*(P$10-$D18+1)/($F18*($F18+1)/2)*$C18</f>
        <v>200000</v>
      </c>
      <c r="Q18" s="255">
        <f>AND(Q$16&gt;=$D18,Q$10&lt;=$E18)*(Q$10-$D18+1)/($F18*($F18+1)/2)*$C18</f>
        <v>300000</v>
      </c>
      <c r="R18" s="255">
        <f>AND(R$16&gt;=$D18,R$10&lt;=$E18)*(R$10-$D18+1)/($F18*($F18+1)/2)*$C18</f>
        <v>400000</v>
      </c>
    </row>
    <row r="28" spans="2:30" x14ac:dyDescent="0.2">
      <c r="U28" s="201"/>
      <c r="V28" s="201"/>
      <c r="W28" s="201"/>
      <c r="X28" s="201"/>
      <c r="Y28" s="201"/>
      <c r="Z28" s="201"/>
      <c r="AA28" s="201"/>
      <c r="AB28" s="201"/>
      <c r="AC28" s="201"/>
      <c r="AD28" s="201"/>
    </row>
    <row r="29" spans="2:30" x14ac:dyDescent="0.2">
      <c r="U29" s="201"/>
      <c r="V29" s="201"/>
      <c r="W29" s="201"/>
      <c r="X29" s="201"/>
      <c r="Y29" s="201"/>
      <c r="Z29" s="201"/>
      <c r="AA29" s="201"/>
      <c r="AB29" s="201"/>
      <c r="AC29" s="201"/>
      <c r="AD29" s="201"/>
    </row>
    <row r="30" spans="2:30" x14ac:dyDescent="0.2">
      <c r="U30" s="201"/>
      <c r="V30" s="201"/>
      <c r="W30" s="201"/>
      <c r="X30" s="201"/>
      <c r="Y30" s="201"/>
      <c r="Z30" s="201"/>
      <c r="AA30" s="201"/>
      <c r="AB30" s="201"/>
      <c r="AC30" s="201"/>
      <c r="AD30" s="201"/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89FA-A147-0F48-A4F1-BBAA376ABC64}">
  <dimension ref="A1:BM67"/>
  <sheetViews>
    <sheetView topLeftCell="A44" zoomScale="70" zoomScaleNormal="70" workbookViewId="0">
      <selection activeCell="E66" sqref="E66"/>
    </sheetView>
  </sheetViews>
  <sheetFormatPr baseColWidth="10" defaultColWidth="0" defaultRowHeight="15" zeroHeight="1" x14ac:dyDescent="0.2"/>
  <cols>
    <col min="1" max="1" width="2.6640625" style="25" customWidth="1"/>
    <col min="2" max="2" width="18.33203125" style="25" bestFit="1" customWidth="1"/>
    <col min="3" max="4" width="18.33203125" style="25" customWidth="1"/>
    <col min="5" max="14" width="13.6640625" style="25" customWidth="1"/>
    <col min="15" max="15" width="2.6640625" style="25" customWidth="1"/>
    <col min="16" max="30" width="9.1640625" style="25" hidden="1" customWidth="1"/>
    <col min="31" max="65" width="0" style="25" hidden="1" customWidth="1"/>
    <col min="66" max="16384" width="9.1640625" style="25" hidden="1"/>
  </cols>
  <sheetData>
    <row r="1" spans="2:14" x14ac:dyDescent="0.2"/>
    <row r="2" spans="2:14" x14ac:dyDescent="0.2"/>
    <row r="3" spans="2:14" x14ac:dyDescent="0.2"/>
    <row r="4" spans="2:14" x14ac:dyDescent="0.2"/>
    <row r="5" spans="2:14" x14ac:dyDescent="0.2"/>
    <row r="6" spans="2:14" x14ac:dyDescent="0.2">
      <c r="B6" s="304" t="s">
        <v>130</v>
      </c>
      <c r="C6" s="304"/>
      <c r="D6" s="304"/>
      <c r="E6" s="303"/>
      <c r="F6" s="303"/>
      <c r="G6" s="303"/>
      <c r="H6" s="303"/>
      <c r="I6" s="303"/>
      <c r="J6" s="303"/>
      <c r="K6" s="303"/>
      <c r="L6" s="303"/>
      <c r="M6" s="303"/>
      <c r="N6" s="303"/>
    </row>
    <row r="7" spans="2:14" x14ac:dyDescent="0.2"/>
    <row r="8" spans="2:14" x14ac:dyDescent="0.2"/>
    <row r="9" spans="2:14" x14ac:dyDescent="0.2">
      <c r="B9" s="268" t="s">
        <v>122</v>
      </c>
      <c r="C9" s="266"/>
      <c r="D9" s="266"/>
      <c r="E9" s="266"/>
      <c r="F9" s="266"/>
      <c r="G9" s="266"/>
      <c r="H9" s="266"/>
      <c r="I9" s="266"/>
      <c r="J9" s="266"/>
      <c r="K9" s="266"/>
      <c r="L9" s="266"/>
      <c r="M9" s="266"/>
      <c r="N9" s="286"/>
    </row>
    <row r="10" spans="2:14" ht="16" x14ac:dyDescent="0.2">
      <c r="B10" s="126" t="s">
        <v>129</v>
      </c>
      <c r="C10" s="70"/>
      <c r="D10" s="70"/>
      <c r="E10" s="302" t="s">
        <v>128</v>
      </c>
      <c r="F10" s="301"/>
      <c r="G10" s="301"/>
      <c r="H10" s="301"/>
      <c r="I10" s="301"/>
      <c r="J10" s="301"/>
      <c r="K10" s="301"/>
      <c r="L10" s="301"/>
      <c r="M10" s="301"/>
      <c r="N10" s="300"/>
    </row>
    <row r="11" spans="2:14" ht="16" x14ac:dyDescent="0.2">
      <c r="B11" s="47" t="s">
        <v>127</v>
      </c>
      <c r="C11" s="44"/>
      <c r="D11" s="44"/>
      <c r="E11" s="299" t="s">
        <v>126</v>
      </c>
      <c r="F11" s="298"/>
      <c r="G11" s="298"/>
      <c r="H11" s="298"/>
      <c r="I11" s="298"/>
      <c r="J11" s="298"/>
      <c r="K11" s="298"/>
      <c r="L11" s="298"/>
      <c r="M11" s="298"/>
      <c r="N11" s="297"/>
    </row>
    <row r="12" spans="2:14" x14ac:dyDescent="0.2"/>
    <row r="13" spans="2:14" x14ac:dyDescent="0.2">
      <c r="B13" s="268"/>
      <c r="C13" s="266"/>
      <c r="D13" s="266"/>
      <c r="E13" s="286"/>
    </row>
    <row r="14" spans="2:14" x14ac:dyDescent="0.2">
      <c r="B14" s="126" t="s">
        <v>117</v>
      </c>
      <c r="C14" s="70"/>
      <c r="D14" s="70"/>
      <c r="E14" s="285">
        <v>5</v>
      </c>
    </row>
    <row r="15" spans="2:14" x14ac:dyDescent="0.2">
      <c r="B15" s="47" t="s">
        <v>94</v>
      </c>
      <c r="C15" s="44"/>
      <c r="D15" s="44"/>
      <c r="E15" s="284">
        <v>2</v>
      </c>
    </row>
    <row r="16" spans="2:14" x14ac:dyDescent="0.2"/>
    <row r="17" spans="2:14" x14ac:dyDescent="0.2">
      <c r="B17" s="196" t="s">
        <v>116</v>
      </c>
      <c r="C17" s="283"/>
      <c r="D17" s="283"/>
      <c r="E17" s="283"/>
      <c r="F17" s="283"/>
      <c r="G17" s="283"/>
      <c r="H17" s="283"/>
      <c r="I17" s="283"/>
      <c r="J17" s="283"/>
      <c r="K17" s="283"/>
      <c r="L17" s="283"/>
      <c r="M17" s="283"/>
      <c r="N17" s="282"/>
    </row>
    <row r="18" spans="2:14" x14ac:dyDescent="0.2">
      <c r="B18" s="196"/>
      <c r="C18" s="283"/>
      <c r="D18" s="283"/>
      <c r="E18" s="283">
        <v>1</v>
      </c>
      <c r="F18" s="283">
        <v>2</v>
      </c>
      <c r="G18" s="283">
        <v>3</v>
      </c>
      <c r="H18" s="283">
        <v>4</v>
      </c>
      <c r="I18" s="283">
        <v>5</v>
      </c>
      <c r="J18" s="283">
        <v>6</v>
      </c>
      <c r="K18" s="283">
        <v>7</v>
      </c>
      <c r="L18" s="283">
        <v>8</v>
      </c>
      <c r="M18" s="283">
        <v>9</v>
      </c>
      <c r="N18" s="282">
        <v>10</v>
      </c>
    </row>
    <row r="19" spans="2:14" x14ac:dyDescent="0.2">
      <c r="B19" s="47" t="s">
        <v>125</v>
      </c>
      <c r="C19" s="44"/>
      <c r="D19" s="296">
        <f>SUM(E19:N19)</f>
        <v>0.98758066934844768</v>
      </c>
      <c r="E19" s="295">
        <f>_xlfn.NORM.DIST(E18,$E$14,$E$15,TRUE)-_xlfn.NORM.DIST(D18,$E$14,$E$15,TRUE)</f>
        <v>1.6540466622403056E-2</v>
      </c>
      <c r="F19" s="295">
        <f>_xlfn.NORM.DIST(F18,$E$14,$E$15,TRUE)-_xlfn.NORM.DIST(E18,$E$14,$E$15,TRUE)</f>
        <v>4.4057069320678863E-2</v>
      </c>
      <c r="G19" s="295">
        <f>_xlfn.NORM.DIST(G18,$E$14,$E$15,TRUE)-_xlfn.NORM.DIST(F18,$E$14,$E$15,TRUE)</f>
        <v>9.1848052662598934E-2</v>
      </c>
      <c r="H19" s="295">
        <f>_xlfn.NORM.DIST(H18,$E$14,$E$15,TRUE)-_xlfn.NORM.DIST(G18,$E$14,$E$15,TRUE)</f>
        <v>0.14988228479452989</v>
      </c>
      <c r="I19" s="295">
        <f>_xlfn.NORM.DIST(I18,$E$14,$E$15,TRUE)-_xlfn.NORM.DIST(H18,$E$14,$E$15,TRUE)</f>
        <v>0.19146246127401312</v>
      </c>
      <c r="J19" s="295">
        <f>_xlfn.NORM.DIST(J18,$E$14,$E$15,TRUE)-_xlfn.NORM.DIST(I18,$E$14,$E$15,TRUE)</f>
        <v>0.19146246127401312</v>
      </c>
      <c r="K19" s="295">
        <f>_xlfn.NORM.DIST(K18,$E$14,$E$15,TRUE)-_xlfn.NORM.DIST(J18,$E$14,$E$15,TRUE)</f>
        <v>0.14988228479452992</v>
      </c>
      <c r="L19" s="295">
        <f>_xlfn.NORM.DIST(L18,$E$14,$E$15,TRUE)-_xlfn.NORM.DIST(K18,$E$14,$E$15,TRUE)</f>
        <v>9.1848052662598878E-2</v>
      </c>
      <c r="M19" s="295">
        <f>_xlfn.NORM.DIST(M18,$E$14,$E$15,TRUE)-_xlfn.NORM.DIST(L18,$E$14,$E$15,TRUE)</f>
        <v>4.4057069320678877E-2</v>
      </c>
      <c r="N19" s="294">
        <f>_xlfn.NORM.DIST(N18,$E$14,$E$15,TRUE)-_xlfn.NORM.DIST(M18,$E$14,$E$15,TRUE)</f>
        <v>1.6540466622403049E-2</v>
      </c>
    </row>
    <row r="20" spans="2:14" x14ac:dyDescent="0.2">
      <c r="B20" s="126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293"/>
    </row>
    <row r="21" spans="2:14" x14ac:dyDescent="0.2">
      <c r="B21" s="52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8"/>
    </row>
    <row r="22" spans="2:14" x14ac:dyDescent="0.2">
      <c r="B22" s="52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8"/>
    </row>
    <row r="23" spans="2:14" x14ac:dyDescent="0.2">
      <c r="B23" s="52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8"/>
    </row>
    <row r="24" spans="2:14" x14ac:dyDescent="0.2">
      <c r="B24" s="52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8"/>
    </row>
    <row r="25" spans="2:14" x14ac:dyDescent="0.2">
      <c r="B25" s="52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8"/>
    </row>
    <row r="26" spans="2:14" x14ac:dyDescent="0.2">
      <c r="B26" s="52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8"/>
    </row>
    <row r="27" spans="2:14" x14ac:dyDescent="0.2">
      <c r="B27" s="52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8"/>
    </row>
    <row r="28" spans="2:14" x14ac:dyDescent="0.2">
      <c r="B28" s="52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8"/>
    </row>
    <row r="29" spans="2:14" x14ac:dyDescent="0.2">
      <c r="B29" s="52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8"/>
    </row>
    <row r="30" spans="2:14" x14ac:dyDescent="0.2">
      <c r="B30" s="52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8"/>
    </row>
    <row r="31" spans="2:14" x14ac:dyDescent="0.2">
      <c r="B31" s="52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8"/>
    </row>
    <row r="32" spans="2:14" x14ac:dyDescent="0.2">
      <c r="B32" s="52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8"/>
    </row>
    <row r="33" spans="2:14" x14ac:dyDescent="0.2">
      <c r="B33" s="52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8"/>
    </row>
    <row r="34" spans="2:14" x14ac:dyDescent="0.2">
      <c r="B34" s="52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8"/>
    </row>
    <row r="35" spans="2:14" x14ac:dyDescent="0.2">
      <c r="B35" s="47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3"/>
    </row>
    <row r="36" spans="2:14" x14ac:dyDescent="0.2"/>
    <row r="37" spans="2:14" x14ac:dyDescent="0.2">
      <c r="B37" s="292" t="s">
        <v>124</v>
      </c>
    </row>
    <row r="38" spans="2:14" x14ac:dyDescent="0.2"/>
    <row r="39" spans="2:14" x14ac:dyDescent="0.2">
      <c r="B39" s="196"/>
      <c r="C39" s="192" t="s">
        <v>115</v>
      </c>
      <c r="D39" s="192" t="s">
        <v>99</v>
      </c>
      <c r="E39" s="283"/>
      <c r="F39" s="283"/>
      <c r="G39" s="283"/>
      <c r="H39" s="283"/>
      <c r="I39" s="283"/>
      <c r="J39" s="283"/>
      <c r="K39" s="283"/>
      <c r="L39" s="283"/>
      <c r="M39" s="283"/>
      <c r="N39" s="282"/>
    </row>
    <row r="40" spans="2:14" x14ac:dyDescent="0.2">
      <c r="B40" s="196"/>
      <c r="C40" s="192"/>
      <c r="D40" s="192"/>
      <c r="E40" s="283">
        <v>1</v>
      </c>
      <c r="F40" s="283">
        <v>2</v>
      </c>
      <c r="G40" s="283">
        <v>3</v>
      </c>
      <c r="H40" s="283">
        <v>4</v>
      </c>
      <c r="I40" s="283">
        <v>5</v>
      </c>
      <c r="J40" s="283">
        <v>6</v>
      </c>
      <c r="K40" s="283">
        <v>7</v>
      </c>
      <c r="L40" s="283">
        <v>8</v>
      </c>
      <c r="M40" s="283">
        <v>9</v>
      </c>
      <c r="N40" s="282">
        <v>10</v>
      </c>
    </row>
    <row r="41" spans="2:14" x14ac:dyDescent="0.2">
      <c r="B41" s="281" t="s">
        <v>77</v>
      </c>
      <c r="C41" s="280">
        <v>1000000</v>
      </c>
      <c r="D41" s="280">
        <f>SUM(E41:N41)</f>
        <v>987580.6693484477</v>
      </c>
      <c r="E41" s="278">
        <f>$C$41*E19</f>
        <v>16540.466622403055</v>
      </c>
      <c r="F41" s="278">
        <f>$C$41*F19</f>
        <v>44057.069320678864</v>
      </c>
      <c r="G41" s="278">
        <f>$C$41*G19</f>
        <v>91848.05266259893</v>
      </c>
      <c r="H41" s="278">
        <f>$C$41*H19</f>
        <v>149882.2847945299</v>
      </c>
      <c r="I41" s="278">
        <f>$C$41*I19</f>
        <v>191462.46127401313</v>
      </c>
      <c r="J41" s="278">
        <f>$C$41*J19</f>
        <v>191462.46127401313</v>
      </c>
      <c r="K41" s="278">
        <f>$C$41*K19</f>
        <v>149882.28479452993</v>
      </c>
      <c r="L41" s="278">
        <f>$C$41*L19</f>
        <v>91848.052662598871</v>
      </c>
      <c r="M41" s="278">
        <f>$C$41*M19</f>
        <v>44057.069320678878</v>
      </c>
      <c r="N41" s="277">
        <f>$C$41*N19</f>
        <v>16540.466622403048</v>
      </c>
    </row>
    <row r="42" spans="2:14" x14ac:dyDescent="0.2"/>
    <row r="43" spans="2:14" x14ac:dyDescent="0.2">
      <c r="B43" s="269" t="s">
        <v>123</v>
      </c>
    </row>
    <row r="44" spans="2:14" x14ac:dyDescent="0.2"/>
    <row r="45" spans="2:14" x14ac:dyDescent="0.2">
      <c r="B45" s="268" t="s">
        <v>122</v>
      </c>
      <c r="C45" s="266"/>
      <c r="D45" s="266"/>
      <c r="E45" s="266"/>
      <c r="F45" s="266"/>
      <c r="G45" s="266"/>
      <c r="H45" s="266"/>
      <c r="I45" s="266"/>
      <c r="J45" s="266"/>
      <c r="K45" s="266"/>
      <c r="L45" s="266"/>
      <c r="M45" s="266"/>
      <c r="N45" s="286"/>
    </row>
    <row r="46" spans="2:14" ht="16" x14ac:dyDescent="0.2">
      <c r="B46" s="281" t="s">
        <v>121</v>
      </c>
      <c r="C46" s="179"/>
      <c r="D46" s="179"/>
      <c r="E46" s="291" t="s">
        <v>120</v>
      </c>
      <c r="F46" s="290"/>
      <c r="G46" s="290"/>
      <c r="H46" s="290"/>
      <c r="I46" s="290"/>
      <c r="J46" s="290"/>
      <c r="K46" s="290"/>
      <c r="L46" s="290"/>
      <c r="M46" s="290"/>
      <c r="N46" s="289"/>
    </row>
    <row r="47" spans="2:14" x14ac:dyDescent="0.2"/>
    <row r="48" spans="2:14" x14ac:dyDescent="0.2">
      <c r="B48" s="196" t="s">
        <v>116</v>
      </c>
      <c r="C48" s="283"/>
      <c r="D48" s="192" t="s">
        <v>99</v>
      </c>
      <c r="E48" s="283"/>
      <c r="F48" s="283"/>
      <c r="G48" s="283"/>
      <c r="H48" s="283"/>
      <c r="I48" s="283"/>
      <c r="J48" s="283"/>
      <c r="K48" s="283"/>
      <c r="L48" s="283"/>
      <c r="M48" s="283"/>
      <c r="N48" s="282"/>
    </row>
    <row r="49" spans="2:14" x14ac:dyDescent="0.2">
      <c r="B49" s="196"/>
      <c r="C49" s="192"/>
      <c r="D49" s="192"/>
      <c r="E49" s="283">
        <v>1</v>
      </c>
      <c r="F49" s="283">
        <v>2</v>
      </c>
      <c r="G49" s="283">
        <v>3</v>
      </c>
      <c r="H49" s="283">
        <v>4</v>
      </c>
      <c r="I49" s="283">
        <v>5</v>
      </c>
      <c r="J49" s="283">
        <v>6</v>
      </c>
      <c r="K49" s="283">
        <v>7</v>
      </c>
      <c r="L49" s="283">
        <v>8</v>
      </c>
      <c r="M49" s="283">
        <v>9</v>
      </c>
      <c r="N49" s="282">
        <v>10</v>
      </c>
    </row>
    <row r="50" spans="2:14" x14ac:dyDescent="0.2">
      <c r="B50" s="281" t="s">
        <v>119</v>
      </c>
      <c r="C50" s="280"/>
      <c r="D50" s="288">
        <f>SUM(E50:N50)</f>
        <v>1</v>
      </c>
      <c r="E50" s="287">
        <f>E19/(1-2*_xlfn.NORM.DIST(0,$E$14,$E$15,TRUE))</f>
        <v>1.6748471426962581E-2</v>
      </c>
      <c r="F50" s="287">
        <f>F19/(1-2*_xlfn.NORM.DIST(0,$E$14,$E$15,TRUE))</f>
        <v>4.4611109439541108E-2</v>
      </c>
      <c r="G50" s="287">
        <f>G19/(1-2*_xlfn.NORM.DIST(0,$E$14,$E$15,TRUE))</f>
        <v>9.3003088773695133E-2</v>
      </c>
      <c r="H50" s="287">
        <f>H19/(1-2*_xlfn.NORM.DIST(0,$E$14,$E$15,TRUE))</f>
        <v>0.15176713097616026</v>
      </c>
      <c r="I50" s="287">
        <f>I19/(1-2*_xlfn.NORM.DIST(0,$E$14,$E$15,TRUE))</f>
        <v>0.19387019938364092</v>
      </c>
      <c r="J50" s="287">
        <f>J19/(1-2*_xlfn.NORM.DIST(0,$E$14,$E$15,TRUE))</f>
        <v>0.19387019938364092</v>
      </c>
      <c r="K50" s="287">
        <f>K19/(1-2*_xlfn.NORM.DIST(0,$E$14,$E$15,TRUE))</f>
        <v>0.15176713097616029</v>
      </c>
      <c r="L50" s="287">
        <f>L19/(1-2*_xlfn.NORM.DIST(0,$E$14,$E$15,TRUE))</f>
        <v>9.3003088773695064E-2</v>
      </c>
      <c r="M50" s="287">
        <f>M19/(1-2*_xlfn.NORM.DIST(0,$E$14,$E$15,TRUE))</f>
        <v>4.4611109439541122E-2</v>
      </c>
      <c r="N50" s="287">
        <f>N19/(1-2*_xlfn.NORM.DIST(0,$E$14,$E$15,TRUE))</f>
        <v>1.6748471426962574E-2</v>
      </c>
    </row>
    <row r="51" spans="2:14" x14ac:dyDescent="0.2"/>
    <row r="52" spans="2:14" x14ac:dyDescent="0.2">
      <c r="B52" s="269" t="s">
        <v>119</v>
      </c>
    </row>
    <row r="53" spans="2:14" x14ac:dyDescent="0.2"/>
    <row r="54" spans="2:14" x14ac:dyDescent="0.2">
      <c r="B54" s="196" t="s">
        <v>116</v>
      </c>
      <c r="C54" s="192" t="s">
        <v>115</v>
      </c>
      <c r="D54" s="192" t="s">
        <v>99</v>
      </c>
      <c r="E54" s="283"/>
      <c r="F54" s="283"/>
      <c r="G54" s="283"/>
      <c r="H54" s="283"/>
      <c r="I54" s="283"/>
      <c r="J54" s="283"/>
      <c r="K54" s="283"/>
      <c r="L54" s="283"/>
      <c r="M54" s="283"/>
      <c r="N54" s="282"/>
    </row>
    <row r="55" spans="2:14" x14ac:dyDescent="0.2">
      <c r="B55" s="196"/>
      <c r="C55" s="192"/>
      <c r="D55" s="192"/>
      <c r="E55" s="283">
        <v>1</v>
      </c>
      <c r="F55" s="283">
        <v>2</v>
      </c>
      <c r="G55" s="283">
        <v>3</v>
      </c>
      <c r="H55" s="283">
        <v>4</v>
      </c>
      <c r="I55" s="283">
        <v>5</v>
      </c>
      <c r="J55" s="283">
        <v>6</v>
      </c>
      <c r="K55" s="283">
        <v>7</v>
      </c>
      <c r="L55" s="283">
        <v>8</v>
      </c>
      <c r="M55" s="283">
        <v>9</v>
      </c>
      <c r="N55" s="282">
        <v>10</v>
      </c>
    </row>
    <row r="56" spans="2:14" x14ac:dyDescent="0.2">
      <c r="B56" s="281" t="s">
        <v>77</v>
      </c>
      <c r="C56" s="280">
        <v>1000000</v>
      </c>
      <c r="D56" s="280">
        <f>SUM(E56:N56)</f>
        <v>999999.99999999988</v>
      </c>
      <c r="E56" s="278">
        <f>E50*$C$56</f>
        <v>16748.47142696258</v>
      </c>
      <c r="F56" s="278">
        <f>F50*$C$56</f>
        <v>44611.109439541106</v>
      </c>
      <c r="G56" s="278">
        <f>G50*$C$56</f>
        <v>93003.088773695126</v>
      </c>
      <c r="H56" s="278">
        <f>H50*$C$56</f>
        <v>151767.13097616026</v>
      </c>
      <c r="I56" s="278">
        <f>I50*$C$56</f>
        <v>193870.19938364092</v>
      </c>
      <c r="J56" s="278">
        <f>J50*$C$56</f>
        <v>193870.19938364092</v>
      </c>
      <c r="K56" s="278">
        <f>K50*$C$56</f>
        <v>151767.13097616029</v>
      </c>
      <c r="L56" s="278">
        <f>L50*$C$56</f>
        <v>93003.088773695068</v>
      </c>
      <c r="M56" s="278">
        <f>M50*$C$56</f>
        <v>44611.10943954112</v>
      </c>
      <c r="N56" s="277">
        <f>N50*$C$56</f>
        <v>16748.471426962573</v>
      </c>
    </row>
    <row r="57" spans="2:14" x14ac:dyDescent="0.2"/>
    <row r="58" spans="2:14" x14ac:dyDescent="0.2">
      <c r="B58" s="269" t="s">
        <v>118</v>
      </c>
    </row>
    <row r="59" spans="2:14" x14ac:dyDescent="0.2"/>
    <row r="60" spans="2:14" x14ac:dyDescent="0.2">
      <c r="B60" s="268"/>
      <c r="C60" s="266"/>
      <c r="D60" s="266"/>
      <c r="E60" s="286"/>
    </row>
    <row r="61" spans="2:14" x14ac:dyDescent="0.2">
      <c r="B61" s="126" t="s">
        <v>117</v>
      </c>
      <c r="C61" s="70"/>
      <c r="D61" s="70"/>
      <c r="E61" s="285">
        <v>5</v>
      </c>
    </row>
    <row r="62" spans="2:14" x14ac:dyDescent="0.2">
      <c r="B62" s="47" t="s">
        <v>94</v>
      </c>
      <c r="C62" s="44"/>
      <c r="D62" s="44"/>
      <c r="E62" s="284">
        <v>2</v>
      </c>
    </row>
    <row r="63" spans="2:14" x14ac:dyDescent="0.2"/>
    <row r="64" spans="2:14" x14ac:dyDescent="0.2">
      <c r="B64" s="196" t="s">
        <v>116</v>
      </c>
      <c r="C64" s="192" t="s">
        <v>115</v>
      </c>
      <c r="D64" s="192" t="s">
        <v>99</v>
      </c>
      <c r="E64" s="283"/>
      <c r="F64" s="283"/>
      <c r="G64" s="283"/>
      <c r="H64" s="283"/>
      <c r="I64" s="283"/>
      <c r="J64" s="283"/>
      <c r="K64" s="283"/>
      <c r="L64" s="283"/>
      <c r="M64" s="283"/>
      <c r="N64" s="282"/>
    </row>
    <row r="65" spans="2:14" x14ac:dyDescent="0.2">
      <c r="B65" s="196"/>
      <c r="C65" s="192"/>
      <c r="D65" s="192"/>
      <c r="E65" s="283">
        <v>1</v>
      </c>
      <c r="F65" s="283">
        <v>2</v>
      </c>
      <c r="G65" s="283">
        <v>3</v>
      </c>
      <c r="H65" s="283">
        <v>4</v>
      </c>
      <c r="I65" s="283">
        <v>5</v>
      </c>
      <c r="J65" s="283">
        <v>6</v>
      </c>
      <c r="K65" s="283">
        <v>7</v>
      </c>
      <c r="L65" s="283">
        <v>8</v>
      </c>
      <c r="M65" s="283">
        <v>9</v>
      </c>
      <c r="N65" s="282">
        <v>10</v>
      </c>
    </row>
    <row r="66" spans="2:14" x14ac:dyDescent="0.2">
      <c r="B66" s="281" t="s">
        <v>77</v>
      </c>
      <c r="C66" s="280">
        <v>1000000</v>
      </c>
      <c r="D66" s="280">
        <f>SUM(E66:N66)</f>
        <v>999999.99999999988</v>
      </c>
      <c r="E66" s="279">
        <f>(_xlfn.NORM.DIST(E65,$E$61,$E$62,TRUE)-_xlfn.NORM.DIST(D65,$E$61,$E$62,TRUE))/(1-2*_xlfn.NORM.DIST(0,$E$61,$E$62,TRUE))*$C$66</f>
        <v>16748.47142696258</v>
      </c>
      <c r="F66" s="278">
        <f>(_xlfn.NORM.DIST(F65,$E$61,$E$62,TRUE)-_xlfn.NORM.DIST(E65,$E$61,$E$62,TRUE))/(1-2*_xlfn.NORM.DIST(0,$E$61,$E$62,TRUE))*$C$66</f>
        <v>44611.109439541106</v>
      </c>
      <c r="G66" s="278">
        <f>(_xlfn.NORM.DIST(G65,$E$61,$E$62,TRUE)-_xlfn.NORM.DIST(F65,$E$61,$E$62,TRUE))/(1-2*_xlfn.NORM.DIST(0,$E$61,$E$62,TRUE))*$C$66</f>
        <v>93003.088773695126</v>
      </c>
      <c r="H66" s="278">
        <f>(_xlfn.NORM.DIST(H65,$E$61,$E$62,TRUE)-_xlfn.NORM.DIST(G65,$E$61,$E$62,TRUE))/(1-2*_xlfn.NORM.DIST(0,$E$61,$E$62,TRUE))*$C$66</f>
        <v>151767.13097616026</v>
      </c>
      <c r="I66" s="278">
        <f>(_xlfn.NORM.DIST(I65,$E$61,$E$62,TRUE)-_xlfn.NORM.DIST(H65,$E$61,$E$62,TRUE))/(1-2*_xlfn.NORM.DIST(0,$E$61,$E$62,TRUE))*$C$66</f>
        <v>193870.19938364092</v>
      </c>
      <c r="J66" s="278">
        <f>(_xlfn.NORM.DIST(J65,$E$61,$E$62,TRUE)-_xlfn.NORM.DIST(I65,$E$61,$E$62,TRUE))/(1-2*_xlfn.NORM.DIST(0,$E$61,$E$62,TRUE))*$C$66</f>
        <v>193870.19938364092</v>
      </c>
      <c r="K66" s="278">
        <f>(_xlfn.NORM.DIST(K65,$E$61,$E$62,TRUE)-_xlfn.NORM.DIST(J65,$E$61,$E$62,TRUE))/(1-2*_xlfn.NORM.DIST(0,$E$61,$E$62,TRUE))*$C$66</f>
        <v>151767.13097616029</v>
      </c>
      <c r="L66" s="278">
        <f>(_xlfn.NORM.DIST(L65,$E$61,$E$62,TRUE)-_xlfn.NORM.DIST(K65,$E$61,$E$62,TRUE))/(1-2*_xlfn.NORM.DIST(0,$E$61,$E$62,TRUE))*$C$66</f>
        <v>93003.088773695068</v>
      </c>
      <c r="M66" s="278">
        <f>(_xlfn.NORM.DIST(M65,$E$61,$E$62,TRUE)-_xlfn.NORM.DIST(L65,$E$61,$E$62,TRUE))/(1-2*_xlfn.NORM.DIST(0,$E$61,$E$62,TRUE))*$C$66</f>
        <v>44611.10943954112</v>
      </c>
      <c r="N66" s="277">
        <f>(_xlfn.NORM.DIST(N65,$E$61,$E$62,TRUE)-_xlfn.NORM.DIST(M65,$E$61,$E$62,TRUE))/(1-2*_xlfn.NORM.DIST(0,$E$61,$E$62,TRUE))*$C$66</f>
        <v>16748.471426962573</v>
      </c>
    </row>
    <row r="67" spans="2:14" x14ac:dyDescent="0.2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D095-2C0C-4E47-B63B-7A8B013F84DC}">
  <dimension ref="A1:PZ30"/>
  <sheetViews>
    <sheetView workbookViewId="0">
      <selection activeCell="E9" sqref="E9"/>
    </sheetView>
  </sheetViews>
  <sheetFormatPr baseColWidth="10" defaultColWidth="0" defaultRowHeight="15" zeroHeight="1" x14ac:dyDescent="0.2"/>
  <cols>
    <col min="1" max="1" width="2.6640625" customWidth="1"/>
    <col min="2" max="2" width="19.1640625" bestFit="1" customWidth="1"/>
    <col min="3" max="4" width="9.83203125" bestFit="1" customWidth="1"/>
    <col min="5" max="5" width="11.5" bestFit="1" customWidth="1"/>
    <col min="6" max="63" width="9.83203125" bestFit="1" customWidth="1"/>
    <col min="64" max="403" width="8.83203125" bestFit="1" customWidth="1"/>
    <col min="404" max="421" width="7.5" bestFit="1" customWidth="1"/>
    <col min="422" max="422" width="6.5" bestFit="1" customWidth="1"/>
    <col min="423" max="423" width="4" bestFit="1" customWidth="1"/>
    <col min="424" max="424" width="9.1640625" customWidth="1"/>
    <col min="425" max="442" width="0" hidden="1" customWidth="1"/>
    <col min="443" max="16384" width="9.1640625" hidden="1"/>
  </cols>
  <sheetData>
    <row r="1" spans="2:423" x14ac:dyDescent="0.2"/>
    <row r="2" spans="2:423" x14ac:dyDescent="0.2">
      <c r="B2" s="312" t="s">
        <v>136</v>
      </c>
      <c r="C2" s="311"/>
      <c r="D2" s="311"/>
      <c r="E2" s="311"/>
      <c r="F2" s="310"/>
    </row>
    <row r="3" spans="2:423" x14ac:dyDescent="0.2"/>
    <row r="4" spans="2:423" x14ac:dyDescent="0.2">
      <c r="B4" t="s">
        <v>135</v>
      </c>
      <c r="E4" s="308">
        <v>10000000</v>
      </c>
    </row>
    <row r="5" spans="2:423" x14ac:dyDescent="0.2">
      <c r="B5" t="s">
        <v>134</v>
      </c>
      <c r="E5" s="309">
        <v>0.05</v>
      </c>
    </row>
    <row r="6" spans="2:423" x14ac:dyDescent="0.2">
      <c r="B6" t="s">
        <v>8</v>
      </c>
      <c r="E6" s="308">
        <v>120</v>
      </c>
    </row>
    <row r="7" spans="2:423" x14ac:dyDescent="0.2">
      <c r="B7" t="s">
        <v>7</v>
      </c>
      <c r="E7" s="308">
        <v>360</v>
      </c>
    </row>
    <row r="8" spans="2:423" x14ac:dyDescent="0.2">
      <c r="B8" t="s">
        <v>133</v>
      </c>
      <c r="E8" s="308">
        <v>60</v>
      </c>
    </row>
    <row r="9" spans="2:423" x14ac:dyDescent="0.2">
      <c r="B9" t="s">
        <v>11</v>
      </c>
      <c r="E9" s="305">
        <f>E4*E5/12</f>
        <v>41666.666666666664</v>
      </c>
    </row>
    <row r="10" spans="2:423" x14ac:dyDescent="0.2">
      <c r="B10" t="s">
        <v>10</v>
      </c>
      <c r="E10" s="305">
        <f>PMT(E5/12,E7,-E4)</f>
        <v>53682.16230121391</v>
      </c>
    </row>
    <row r="11" spans="2:423" x14ac:dyDescent="0.2"/>
    <row r="12" spans="2:423" x14ac:dyDescent="0.2">
      <c r="C12">
        <v>0</v>
      </c>
      <c r="D12">
        <f>+C12+1</f>
        <v>1</v>
      </c>
      <c r="E12">
        <f>+D12+1</f>
        <v>2</v>
      </c>
      <c r="F12">
        <f>+E12+1</f>
        <v>3</v>
      </c>
      <c r="G12">
        <f>+F12+1</f>
        <v>4</v>
      </c>
      <c r="H12">
        <f>+G12+1</f>
        <v>5</v>
      </c>
      <c r="I12">
        <f>+H12+1</f>
        <v>6</v>
      </c>
      <c r="J12">
        <f>+I12+1</f>
        <v>7</v>
      </c>
      <c r="K12">
        <f>+J12+1</f>
        <v>8</v>
      </c>
      <c r="L12">
        <f>+K12+1</f>
        <v>9</v>
      </c>
      <c r="M12">
        <f>+L12+1</f>
        <v>10</v>
      </c>
      <c r="N12">
        <f>+M12+1</f>
        <v>11</v>
      </c>
      <c r="O12">
        <f>+N12+1</f>
        <v>12</v>
      </c>
      <c r="P12">
        <f>+O12+1</f>
        <v>13</v>
      </c>
      <c r="Q12">
        <f>+P12+1</f>
        <v>14</v>
      </c>
      <c r="R12">
        <f>+Q12+1</f>
        <v>15</v>
      </c>
      <c r="S12">
        <f>+R12+1</f>
        <v>16</v>
      </c>
      <c r="T12">
        <f>+S12+1</f>
        <v>17</v>
      </c>
      <c r="U12">
        <f>+T12+1</f>
        <v>18</v>
      </c>
      <c r="V12">
        <f>+U12+1</f>
        <v>19</v>
      </c>
      <c r="W12">
        <f>+V12+1</f>
        <v>20</v>
      </c>
      <c r="X12">
        <f>+W12+1</f>
        <v>21</v>
      </c>
      <c r="Y12">
        <f>+X12+1</f>
        <v>22</v>
      </c>
      <c r="Z12">
        <f>+Y12+1</f>
        <v>23</v>
      </c>
      <c r="AA12">
        <f>+Z12+1</f>
        <v>24</v>
      </c>
      <c r="AB12">
        <f>+AA12+1</f>
        <v>25</v>
      </c>
      <c r="AC12">
        <f>+AB12+1</f>
        <v>26</v>
      </c>
      <c r="AD12">
        <f>+AC12+1</f>
        <v>27</v>
      </c>
      <c r="AE12">
        <f>+AD12+1</f>
        <v>28</v>
      </c>
      <c r="AF12">
        <f>+AE12+1</f>
        <v>29</v>
      </c>
      <c r="AG12">
        <f>+AF12+1</f>
        <v>30</v>
      </c>
      <c r="AH12">
        <f>+AG12+1</f>
        <v>31</v>
      </c>
      <c r="AI12">
        <f>+AH12+1</f>
        <v>32</v>
      </c>
      <c r="AJ12">
        <f>+AI12+1</f>
        <v>33</v>
      </c>
      <c r="AK12">
        <f>+AJ12+1</f>
        <v>34</v>
      </c>
      <c r="AL12">
        <f>+AK12+1</f>
        <v>35</v>
      </c>
      <c r="AM12">
        <f>+AL12+1</f>
        <v>36</v>
      </c>
      <c r="AN12">
        <f>+AM12+1</f>
        <v>37</v>
      </c>
      <c r="AO12">
        <f>+AN12+1</f>
        <v>38</v>
      </c>
      <c r="AP12">
        <f>+AO12+1</f>
        <v>39</v>
      </c>
      <c r="AQ12">
        <f>+AP12+1</f>
        <v>40</v>
      </c>
      <c r="AR12">
        <f>+AQ12+1</f>
        <v>41</v>
      </c>
      <c r="AS12">
        <f>+AR12+1</f>
        <v>42</v>
      </c>
      <c r="AT12">
        <f>+AS12+1</f>
        <v>43</v>
      </c>
      <c r="AU12">
        <f>+AT12+1</f>
        <v>44</v>
      </c>
      <c r="AV12">
        <f>+AU12+1</f>
        <v>45</v>
      </c>
      <c r="AW12">
        <f>+AV12+1</f>
        <v>46</v>
      </c>
      <c r="AX12">
        <f>+AW12+1</f>
        <v>47</v>
      </c>
      <c r="AY12">
        <f>+AX12+1</f>
        <v>48</v>
      </c>
      <c r="AZ12">
        <f>+AY12+1</f>
        <v>49</v>
      </c>
      <c r="BA12">
        <f>+AZ12+1</f>
        <v>50</v>
      </c>
      <c r="BB12">
        <f>+BA12+1</f>
        <v>51</v>
      </c>
      <c r="BC12">
        <f>+BB12+1</f>
        <v>52</v>
      </c>
      <c r="BD12">
        <f>+BC12+1</f>
        <v>53</v>
      </c>
      <c r="BE12">
        <f>+BD12+1</f>
        <v>54</v>
      </c>
      <c r="BF12">
        <f>+BE12+1</f>
        <v>55</v>
      </c>
      <c r="BG12">
        <f>+BF12+1</f>
        <v>56</v>
      </c>
      <c r="BH12">
        <f>+BG12+1</f>
        <v>57</v>
      </c>
      <c r="BI12">
        <f>+BH12+1</f>
        <v>58</v>
      </c>
      <c r="BJ12">
        <f>+BI12+1</f>
        <v>59</v>
      </c>
      <c r="BK12">
        <f>+BJ12+1</f>
        <v>60</v>
      </c>
      <c r="BL12">
        <f>+BK12+1</f>
        <v>61</v>
      </c>
      <c r="BM12">
        <f>+BL12+1</f>
        <v>62</v>
      </c>
      <c r="BN12">
        <f>+BM12+1</f>
        <v>63</v>
      </c>
      <c r="BO12">
        <f>+BN12+1</f>
        <v>64</v>
      </c>
      <c r="BP12">
        <f>+BO12+1</f>
        <v>65</v>
      </c>
      <c r="BQ12">
        <f>+BP12+1</f>
        <v>66</v>
      </c>
      <c r="BR12">
        <f>+BQ12+1</f>
        <v>67</v>
      </c>
      <c r="BS12">
        <f>+BR12+1</f>
        <v>68</v>
      </c>
      <c r="BT12">
        <f>+BS12+1</f>
        <v>69</v>
      </c>
      <c r="BU12">
        <f>+BT12+1</f>
        <v>70</v>
      </c>
      <c r="BV12">
        <f>+BU12+1</f>
        <v>71</v>
      </c>
      <c r="BW12">
        <f>+BV12+1</f>
        <v>72</v>
      </c>
      <c r="BX12">
        <f>+BW12+1</f>
        <v>73</v>
      </c>
      <c r="BY12">
        <f>+BX12+1</f>
        <v>74</v>
      </c>
      <c r="BZ12">
        <f>+BY12+1</f>
        <v>75</v>
      </c>
      <c r="CA12">
        <f>+BZ12+1</f>
        <v>76</v>
      </c>
      <c r="CB12">
        <f>+CA12+1</f>
        <v>77</v>
      </c>
      <c r="CC12">
        <f>+CB12+1</f>
        <v>78</v>
      </c>
      <c r="CD12">
        <f>+CC12+1</f>
        <v>79</v>
      </c>
      <c r="CE12">
        <f>+CD12+1</f>
        <v>80</v>
      </c>
      <c r="CF12">
        <f>+CE12+1</f>
        <v>81</v>
      </c>
      <c r="CG12">
        <f>+CF12+1</f>
        <v>82</v>
      </c>
      <c r="CH12">
        <f>+CG12+1</f>
        <v>83</v>
      </c>
      <c r="CI12">
        <f>+CH12+1</f>
        <v>84</v>
      </c>
      <c r="CJ12">
        <f>+CI12+1</f>
        <v>85</v>
      </c>
      <c r="CK12">
        <f>+CJ12+1</f>
        <v>86</v>
      </c>
      <c r="CL12">
        <f>+CK12+1</f>
        <v>87</v>
      </c>
      <c r="CM12">
        <f>+CL12+1</f>
        <v>88</v>
      </c>
      <c r="CN12">
        <f>+CM12+1</f>
        <v>89</v>
      </c>
      <c r="CO12">
        <f>+CN12+1</f>
        <v>90</v>
      </c>
      <c r="CP12">
        <f>+CO12+1</f>
        <v>91</v>
      </c>
      <c r="CQ12">
        <f>+CP12+1</f>
        <v>92</v>
      </c>
      <c r="CR12">
        <f>+CQ12+1</f>
        <v>93</v>
      </c>
      <c r="CS12">
        <f>+CR12+1</f>
        <v>94</v>
      </c>
      <c r="CT12">
        <f>+CS12+1</f>
        <v>95</v>
      </c>
      <c r="CU12">
        <f>+CT12+1</f>
        <v>96</v>
      </c>
      <c r="CV12">
        <f>+CU12+1</f>
        <v>97</v>
      </c>
      <c r="CW12">
        <f>+CV12+1</f>
        <v>98</v>
      </c>
      <c r="CX12">
        <f>+CW12+1</f>
        <v>99</v>
      </c>
      <c r="CY12">
        <f>+CX12+1</f>
        <v>100</v>
      </c>
      <c r="CZ12">
        <f>+CY12+1</f>
        <v>101</v>
      </c>
      <c r="DA12">
        <f>+CZ12+1</f>
        <v>102</v>
      </c>
      <c r="DB12">
        <f>+DA12+1</f>
        <v>103</v>
      </c>
      <c r="DC12">
        <f>+DB12+1</f>
        <v>104</v>
      </c>
      <c r="DD12">
        <f>+DC12+1</f>
        <v>105</v>
      </c>
      <c r="DE12">
        <f>+DD12+1</f>
        <v>106</v>
      </c>
      <c r="DF12">
        <f>+DE12+1</f>
        <v>107</v>
      </c>
      <c r="DG12">
        <f>+DF12+1</f>
        <v>108</v>
      </c>
      <c r="DH12">
        <f>+DG12+1</f>
        <v>109</v>
      </c>
      <c r="DI12">
        <f>+DH12+1</f>
        <v>110</v>
      </c>
      <c r="DJ12">
        <f>+DI12+1</f>
        <v>111</v>
      </c>
      <c r="DK12">
        <f>+DJ12+1</f>
        <v>112</v>
      </c>
      <c r="DL12">
        <f>+DK12+1</f>
        <v>113</v>
      </c>
      <c r="DM12">
        <f>+DL12+1</f>
        <v>114</v>
      </c>
      <c r="DN12">
        <f>+DM12+1</f>
        <v>115</v>
      </c>
      <c r="DO12">
        <f>+DN12+1</f>
        <v>116</v>
      </c>
      <c r="DP12">
        <f>+DO12+1</f>
        <v>117</v>
      </c>
      <c r="DQ12">
        <f>+DP12+1</f>
        <v>118</v>
      </c>
      <c r="DR12">
        <f>+DQ12+1</f>
        <v>119</v>
      </c>
      <c r="DS12">
        <f>+DR12+1</f>
        <v>120</v>
      </c>
      <c r="DT12">
        <f>+DS12+1</f>
        <v>121</v>
      </c>
      <c r="DU12">
        <f>+DT12+1</f>
        <v>122</v>
      </c>
      <c r="DV12">
        <f>+DU12+1</f>
        <v>123</v>
      </c>
      <c r="DW12">
        <f>+DV12+1</f>
        <v>124</v>
      </c>
      <c r="DX12">
        <f>+DW12+1</f>
        <v>125</v>
      </c>
      <c r="DY12">
        <f>+DX12+1</f>
        <v>126</v>
      </c>
      <c r="DZ12">
        <f>+DY12+1</f>
        <v>127</v>
      </c>
      <c r="EA12">
        <f>+DZ12+1</f>
        <v>128</v>
      </c>
      <c r="EB12">
        <f>+EA12+1</f>
        <v>129</v>
      </c>
      <c r="EC12">
        <f>+EB12+1</f>
        <v>130</v>
      </c>
      <c r="ED12">
        <f>+EC12+1</f>
        <v>131</v>
      </c>
      <c r="EE12">
        <f>+ED12+1</f>
        <v>132</v>
      </c>
      <c r="EF12">
        <f>+EE12+1</f>
        <v>133</v>
      </c>
      <c r="EG12">
        <f>+EF12+1</f>
        <v>134</v>
      </c>
      <c r="EH12">
        <f>+EG12+1</f>
        <v>135</v>
      </c>
      <c r="EI12">
        <f>+EH12+1</f>
        <v>136</v>
      </c>
      <c r="EJ12">
        <f>+EI12+1</f>
        <v>137</v>
      </c>
      <c r="EK12">
        <f>+EJ12+1</f>
        <v>138</v>
      </c>
      <c r="EL12">
        <f>+EK12+1</f>
        <v>139</v>
      </c>
      <c r="EM12">
        <f>+EL12+1</f>
        <v>140</v>
      </c>
      <c r="EN12">
        <f>+EM12+1</f>
        <v>141</v>
      </c>
      <c r="EO12">
        <f>+EN12+1</f>
        <v>142</v>
      </c>
      <c r="EP12">
        <f>+EO12+1</f>
        <v>143</v>
      </c>
      <c r="EQ12">
        <f>+EP12+1</f>
        <v>144</v>
      </c>
      <c r="ER12">
        <f>+EQ12+1</f>
        <v>145</v>
      </c>
      <c r="ES12">
        <f>+ER12+1</f>
        <v>146</v>
      </c>
      <c r="ET12">
        <f>+ES12+1</f>
        <v>147</v>
      </c>
      <c r="EU12">
        <f>+ET12+1</f>
        <v>148</v>
      </c>
      <c r="EV12">
        <f>+EU12+1</f>
        <v>149</v>
      </c>
      <c r="EW12">
        <f>+EV12+1</f>
        <v>150</v>
      </c>
      <c r="EX12">
        <f>+EW12+1</f>
        <v>151</v>
      </c>
      <c r="EY12">
        <f>+EX12+1</f>
        <v>152</v>
      </c>
      <c r="EZ12">
        <f>+EY12+1</f>
        <v>153</v>
      </c>
      <c r="FA12">
        <f>+EZ12+1</f>
        <v>154</v>
      </c>
      <c r="FB12">
        <f>+FA12+1</f>
        <v>155</v>
      </c>
      <c r="FC12">
        <f>+FB12+1</f>
        <v>156</v>
      </c>
      <c r="FD12">
        <f>+FC12+1</f>
        <v>157</v>
      </c>
      <c r="FE12">
        <f>+FD12+1</f>
        <v>158</v>
      </c>
      <c r="FF12">
        <f>+FE12+1</f>
        <v>159</v>
      </c>
      <c r="FG12">
        <f>+FF12+1</f>
        <v>160</v>
      </c>
      <c r="FH12">
        <f>+FG12+1</f>
        <v>161</v>
      </c>
      <c r="FI12">
        <f>+FH12+1</f>
        <v>162</v>
      </c>
      <c r="FJ12">
        <f>+FI12+1</f>
        <v>163</v>
      </c>
      <c r="FK12">
        <f>+FJ12+1</f>
        <v>164</v>
      </c>
      <c r="FL12">
        <f>+FK12+1</f>
        <v>165</v>
      </c>
      <c r="FM12">
        <f>+FL12+1</f>
        <v>166</v>
      </c>
      <c r="FN12">
        <f>+FM12+1</f>
        <v>167</v>
      </c>
      <c r="FO12">
        <f>+FN12+1</f>
        <v>168</v>
      </c>
      <c r="FP12">
        <f>+FO12+1</f>
        <v>169</v>
      </c>
      <c r="FQ12">
        <f>+FP12+1</f>
        <v>170</v>
      </c>
      <c r="FR12">
        <f>+FQ12+1</f>
        <v>171</v>
      </c>
      <c r="FS12">
        <f>+FR12+1</f>
        <v>172</v>
      </c>
      <c r="FT12">
        <f>+FS12+1</f>
        <v>173</v>
      </c>
      <c r="FU12">
        <f>+FT12+1</f>
        <v>174</v>
      </c>
      <c r="FV12">
        <f>+FU12+1</f>
        <v>175</v>
      </c>
      <c r="FW12">
        <f>+FV12+1</f>
        <v>176</v>
      </c>
      <c r="FX12">
        <f>+FW12+1</f>
        <v>177</v>
      </c>
      <c r="FY12">
        <f>+FX12+1</f>
        <v>178</v>
      </c>
      <c r="FZ12">
        <f>+FY12+1</f>
        <v>179</v>
      </c>
      <c r="GA12">
        <f>+FZ12+1</f>
        <v>180</v>
      </c>
      <c r="GB12">
        <f>+GA12+1</f>
        <v>181</v>
      </c>
      <c r="GC12">
        <f>+GB12+1</f>
        <v>182</v>
      </c>
      <c r="GD12">
        <f>+GC12+1</f>
        <v>183</v>
      </c>
      <c r="GE12">
        <f>+GD12+1</f>
        <v>184</v>
      </c>
      <c r="GF12">
        <f>+GE12+1</f>
        <v>185</v>
      </c>
      <c r="GG12">
        <f>+GF12+1</f>
        <v>186</v>
      </c>
      <c r="GH12">
        <f>+GG12+1</f>
        <v>187</v>
      </c>
      <c r="GI12">
        <f>+GH12+1</f>
        <v>188</v>
      </c>
      <c r="GJ12">
        <f>+GI12+1</f>
        <v>189</v>
      </c>
      <c r="GK12">
        <f>+GJ12+1</f>
        <v>190</v>
      </c>
      <c r="GL12">
        <f>+GK12+1</f>
        <v>191</v>
      </c>
      <c r="GM12">
        <f>+GL12+1</f>
        <v>192</v>
      </c>
      <c r="GN12">
        <f>+GM12+1</f>
        <v>193</v>
      </c>
      <c r="GO12">
        <f>+GN12+1</f>
        <v>194</v>
      </c>
      <c r="GP12">
        <f>+GO12+1</f>
        <v>195</v>
      </c>
      <c r="GQ12">
        <f>+GP12+1</f>
        <v>196</v>
      </c>
      <c r="GR12">
        <f>+GQ12+1</f>
        <v>197</v>
      </c>
      <c r="GS12">
        <f>+GR12+1</f>
        <v>198</v>
      </c>
      <c r="GT12">
        <f>+GS12+1</f>
        <v>199</v>
      </c>
      <c r="GU12">
        <f>+GT12+1</f>
        <v>200</v>
      </c>
      <c r="GV12">
        <f>+GU12+1</f>
        <v>201</v>
      </c>
      <c r="GW12">
        <f>+GV12+1</f>
        <v>202</v>
      </c>
      <c r="GX12">
        <f>+GW12+1</f>
        <v>203</v>
      </c>
      <c r="GY12">
        <f>+GX12+1</f>
        <v>204</v>
      </c>
      <c r="GZ12">
        <f>+GY12+1</f>
        <v>205</v>
      </c>
      <c r="HA12">
        <f>+GZ12+1</f>
        <v>206</v>
      </c>
      <c r="HB12">
        <f>+HA12+1</f>
        <v>207</v>
      </c>
      <c r="HC12">
        <f>+HB12+1</f>
        <v>208</v>
      </c>
      <c r="HD12">
        <f>+HC12+1</f>
        <v>209</v>
      </c>
      <c r="HE12">
        <f>+HD12+1</f>
        <v>210</v>
      </c>
      <c r="HF12">
        <f>+HE12+1</f>
        <v>211</v>
      </c>
      <c r="HG12">
        <f>+HF12+1</f>
        <v>212</v>
      </c>
      <c r="HH12">
        <f>+HG12+1</f>
        <v>213</v>
      </c>
      <c r="HI12">
        <f>+HH12+1</f>
        <v>214</v>
      </c>
      <c r="HJ12">
        <f>+HI12+1</f>
        <v>215</v>
      </c>
      <c r="HK12">
        <f>+HJ12+1</f>
        <v>216</v>
      </c>
      <c r="HL12">
        <f>+HK12+1</f>
        <v>217</v>
      </c>
      <c r="HM12">
        <f>+HL12+1</f>
        <v>218</v>
      </c>
      <c r="HN12">
        <f>+HM12+1</f>
        <v>219</v>
      </c>
      <c r="HO12">
        <f>+HN12+1</f>
        <v>220</v>
      </c>
      <c r="HP12">
        <f>+HO12+1</f>
        <v>221</v>
      </c>
      <c r="HQ12">
        <f>+HP12+1</f>
        <v>222</v>
      </c>
      <c r="HR12">
        <f>+HQ12+1</f>
        <v>223</v>
      </c>
      <c r="HS12">
        <f>+HR12+1</f>
        <v>224</v>
      </c>
      <c r="HT12">
        <f>+HS12+1</f>
        <v>225</v>
      </c>
      <c r="HU12">
        <f>+HT12+1</f>
        <v>226</v>
      </c>
      <c r="HV12">
        <f>+HU12+1</f>
        <v>227</v>
      </c>
      <c r="HW12">
        <f>+HV12+1</f>
        <v>228</v>
      </c>
      <c r="HX12">
        <f>+HW12+1</f>
        <v>229</v>
      </c>
      <c r="HY12">
        <f>+HX12+1</f>
        <v>230</v>
      </c>
      <c r="HZ12">
        <f>+HY12+1</f>
        <v>231</v>
      </c>
      <c r="IA12">
        <f>+HZ12+1</f>
        <v>232</v>
      </c>
      <c r="IB12">
        <f>+IA12+1</f>
        <v>233</v>
      </c>
      <c r="IC12">
        <f>+IB12+1</f>
        <v>234</v>
      </c>
      <c r="ID12">
        <f>+IC12+1</f>
        <v>235</v>
      </c>
      <c r="IE12">
        <f>+ID12+1</f>
        <v>236</v>
      </c>
      <c r="IF12">
        <f>+IE12+1</f>
        <v>237</v>
      </c>
      <c r="IG12">
        <f>+IF12+1</f>
        <v>238</v>
      </c>
      <c r="IH12">
        <f>+IG12+1</f>
        <v>239</v>
      </c>
      <c r="II12">
        <f>+IH12+1</f>
        <v>240</v>
      </c>
      <c r="IJ12">
        <f>+II12+1</f>
        <v>241</v>
      </c>
      <c r="IK12">
        <f>+IJ12+1</f>
        <v>242</v>
      </c>
      <c r="IL12">
        <f>+IK12+1</f>
        <v>243</v>
      </c>
      <c r="IM12">
        <f>+IL12+1</f>
        <v>244</v>
      </c>
      <c r="IN12">
        <f>+IM12+1</f>
        <v>245</v>
      </c>
      <c r="IO12">
        <f>+IN12+1</f>
        <v>246</v>
      </c>
      <c r="IP12">
        <f>+IO12+1</f>
        <v>247</v>
      </c>
      <c r="IQ12">
        <f>+IP12+1</f>
        <v>248</v>
      </c>
      <c r="IR12">
        <f>+IQ12+1</f>
        <v>249</v>
      </c>
      <c r="IS12">
        <f>+IR12+1</f>
        <v>250</v>
      </c>
      <c r="IT12">
        <f>+IS12+1</f>
        <v>251</v>
      </c>
      <c r="IU12">
        <f>+IT12+1</f>
        <v>252</v>
      </c>
      <c r="IV12">
        <f>+IU12+1</f>
        <v>253</v>
      </c>
      <c r="IW12">
        <f>+IV12+1</f>
        <v>254</v>
      </c>
      <c r="IX12">
        <f>+IW12+1</f>
        <v>255</v>
      </c>
      <c r="IY12">
        <f>+IX12+1</f>
        <v>256</v>
      </c>
      <c r="IZ12">
        <f>+IY12+1</f>
        <v>257</v>
      </c>
      <c r="JA12">
        <f>+IZ12+1</f>
        <v>258</v>
      </c>
      <c r="JB12">
        <f>+JA12+1</f>
        <v>259</v>
      </c>
      <c r="JC12">
        <f>+JB12+1</f>
        <v>260</v>
      </c>
      <c r="JD12">
        <f>+JC12+1</f>
        <v>261</v>
      </c>
      <c r="JE12">
        <f>+JD12+1</f>
        <v>262</v>
      </c>
      <c r="JF12">
        <f>+JE12+1</f>
        <v>263</v>
      </c>
      <c r="JG12">
        <f>+JF12+1</f>
        <v>264</v>
      </c>
      <c r="JH12">
        <f>+JG12+1</f>
        <v>265</v>
      </c>
      <c r="JI12">
        <f>+JH12+1</f>
        <v>266</v>
      </c>
      <c r="JJ12">
        <f>+JI12+1</f>
        <v>267</v>
      </c>
      <c r="JK12">
        <f>+JJ12+1</f>
        <v>268</v>
      </c>
      <c r="JL12">
        <f>+JK12+1</f>
        <v>269</v>
      </c>
      <c r="JM12">
        <f>+JL12+1</f>
        <v>270</v>
      </c>
      <c r="JN12">
        <f>+JM12+1</f>
        <v>271</v>
      </c>
      <c r="JO12">
        <f>+JN12+1</f>
        <v>272</v>
      </c>
      <c r="JP12">
        <f>+JO12+1</f>
        <v>273</v>
      </c>
      <c r="JQ12">
        <f>+JP12+1</f>
        <v>274</v>
      </c>
      <c r="JR12">
        <f>+JQ12+1</f>
        <v>275</v>
      </c>
      <c r="JS12">
        <f>+JR12+1</f>
        <v>276</v>
      </c>
      <c r="JT12">
        <f>+JS12+1</f>
        <v>277</v>
      </c>
      <c r="JU12">
        <f>+JT12+1</f>
        <v>278</v>
      </c>
      <c r="JV12">
        <f>+JU12+1</f>
        <v>279</v>
      </c>
      <c r="JW12">
        <f>+JV12+1</f>
        <v>280</v>
      </c>
      <c r="JX12">
        <f>+JW12+1</f>
        <v>281</v>
      </c>
      <c r="JY12">
        <f>+JX12+1</f>
        <v>282</v>
      </c>
      <c r="JZ12">
        <f>+JY12+1</f>
        <v>283</v>
      </c>
      <c r="KA12">
        <f>+JZ12+1</f>
        <v>284</v>
      </c>
      <c r="KB12">
        <f>+KA12+1</f>
        <v>285</v>
      </c>
      <c r="KC12">
        <f>+KB12+1</f>
        <v>286</v>
      </c>
      <c r="KD12">
        <f>+KC12+1</f>
        <v>287</v>
      </c>
      <c r="KE12">
        <f>+KD12+1</f>
        <v>288</v>
      </c>
      <c r="KF12">
        <f>+KE12+1</f>
        <v>289</v>
      </c>
      <c r="KG12">
        <f>+KF12+1</f>
        <v>290</v>
      </c>
      <c r="KH12">
        <f>+KG12+1</f>
        <v>291</v>
      </c>
      <c r="KI12">
        <f>+KH12+1</f>
        <v>292</v>
      </c>
      <c r="KJ12">
        <f>+KI12+1</f>
        <v>293</v>
      </c>
      <c r="KK12">
        <f>+KJ12+1</f>
        <v>294</v>
      </c>
      <c r="KL12">
        <f>+KK12+1</f>
        <v>295</v>
      </c>
      <c r="KM12">
        <f>+KL12+1</f>
        <v>296</v>
      </c>
      <c r="KN12">
        <f>+KM12+1</f>
        <v>297</v>
      </c>
      <c r="KO12">
        <f>+KN12+1</f>
        <v>298</v>
      </c>
      <c r="KP12">
        <f>+KO12+1</f>
        <v>299</v>
      </c>
      <c r="KQ12">
        <f>+KP12+1</f>
        <v>300</v>
      </c>
      <c r="KR12">
        <f>+KQ12+1</f>
        <v>301</v>
      </c>
      <c r="KS12">
        <f>+KR12+1</f>
        <v>302</v>
      </c>
      <c r="KT12">
        <f>+KS12+1</f>
        <v>303</v>
      </c>
      <c r="KU12">
        <f>+KT12+1</f>
        <v>304</v>
      </c>
      <c r="KV12">
        <f>+KU12+1</f>
        <v>305</v>
      </c>
      <c r="KW12">
        <f>+KV12+1</f>
        <v>306</v>
      </c>
      <c r="KX12">
        <f>+KW12+1</f>
        <v>307</v>
      </c>
      <c r="KY12">
        <f>+KX12+1</f>
        <v>308</v>
      </c>
      <c r="KZ12">
        <f>+KY12+1</f>
        <v>309</v>
      </c>
      <c r="LA12">
        <f>+KZ12+1</f>
        <v>310</v>
      </c>
      <c r="LB12">
        <f>+LA12+1</f>
        <v>311</v>
      </c>
      <c r="LC12">
        <f>+LB12+1</f>
        <v>312</v>
      </c>
      <c r="LD12">
        <f>+LC12+1</f>
        <v>313</v>
      </c>
      <c r="LE12">
        <f>+LD12+1</f>
        <v>314</v>
      </c>
      <c r="LF12">
        <f>+LE12+1</f>
        <v>315</v>
      </c>
      <c r="LG12">
        <f>+LF12+1</f>
        <v>316</v>
      </c>
      <c r="LH12">
        <f>+LG12+1</f>
        <v>317</v>
      </c>
      <c r="LI12">
        <f>+LH12+1</f>
        <v>318</v>
      </c>
      <c r="LJ12">
        <f>+LI12+1</f>
        <v>319</v>
      </c>
      <c r="LK12">
        <f>+LJ12+1</f>
        <v>320</v>
      </c>
      <c r="LL12">
        <f>+LK12+1</f>
        <v>321</v>
      </c>
      <c r="LM12">
        <f>+LL12+1</f>
        <v>322</v>
      </c>
      <c r="LN12">
        <f>+LM12+1</f>
        <v>323</v>
      </c>
      <c r="LO12">
        <f>+LN12+1</f>
        <v>324</v>
      </c>
      <c r="LP12">
        <f>+LO12+1</f>
        <v>325</v>
      </c>
      <c r="LQ12">
        <f>+LP12+1</f>
        <v>326</v>
      </c>
      <c r="LR12">
        <f>+LQ12+1</f>
        <v>327</v>
      </c>
      <c r="LS12">
        <f>+LR12+1</f>
        <v>328</v>
      </c>
      <c r="LT12">
        <f>+LS12+1</f>
        <v>329</v>
      </c>
      <c r="LU12">
        <f>+LT12+1</f>
        <v>330</v>
      </c>
      <c r="LV12">
        <f>+LU12+1</f>
        <v>331</v>
      </c>
      <c r="LW12">
        <f>+LV12+1</f>
        <v>332</v>
      </c>
      <c r="LX12">
        <f>+LW12+1</f>
        <v>333</v>
      </c>
      <c r="LY12">
        <f>+LX12+1</f>
        <v>334</v>
      </c>
      <c r="LZ12">
        <f>+LY12+1</f>
        <v>335</v>
      </c>
      <c r="MA12">
        <f>+LZ12+1</f>
        <v>336</v>
      </c>
      <c r="MB12">
        <f>+MA12+1</f>
        <v>337</v>
      </c>
      <c r="MC12">
        <f>+MB12+1</f>
        <v>338</v>
      </c>
      <c r="MD12">
        <f>+MC12+1</f>
        <v>339</v>
      </c>
      <c r="ME12">
        <f>+MD12+1</f>
        <v>340</v>
      </c>
      <c r="MF12">
        <f>+ME12+1</f>
        <v>341</v>
      </c>
      <c r="MG12">
        <f>+MF12+1</f>
        <v>342</v>
      </c>
      <c r="MH12">
        <f>+MG12+1</f>
        <v>343</v>
      </c>
      <c r="MI12">
        <f>+MH12+1</f>
        <v>344</v>
      </c>
      <c r="MJ12">
        <f>+MI12+1</f>
        <v>345</v>
      </c>
      <c r="MK12">
        <f>+MJ12+1</f>
        <v>346</v>
      </c>
      <c r="ML12">
        <f>+MK12+1</f>
        <v>347</v>
      </c>
      <c r="MM12">
        <f>+ML12+1</f>
        <v>348</v>
      </c>
      <c r="MN12">
        <f>+MM12+1</f>
        <v>349</v>
      </c>
      <c r="MO12">
        <f>+MN12+1</f>
        <v>350</v>
      </c>
      <c r="MP12">
        <f>+MO12+1</f>
        <v>351</v>
      </c>
      <c r="MQ12">
        <f>+MP12+1</f>
        <v>352</v>
      </c>
      <c r="MR12">
        <f>+MQ12+1</f>
        <v>353</v>
      </c>
      <c r="MS12">
        <f>+MR12+1</f>
        <v>354</v>
      </c>
      <c r="MT12">
        <f>+MS12+1</f>
        <v>355</v>
      </c>
      <c r="MU12">
        <f>+MT12+1</f>
        <v>356</v>
      </c>
      <c r="MV12">
        <f>+MU12+1</f>
        <v>357</v>
      </c>
      <c r="MW12">
        <f>+MV12+1</f>
        <v>358</v>
      </c>
      <c r="MX12">
        <f>+MW12+1</f>
        <v>359</v>
      </c>
      <c r="MY12">
        <f>+MX12+1</f>
        <v>360</v>
      </c>
      <c r="MZ12">
        <f>+MY12+1</f>
        <v>361</v>
      </c>
      <c r="NA12">
        <f>+MZ12+1</f>
        <v>362</v>
      </c>
      <c r="NB12">
        <f>+NA12+1</f>
        <v>363</v>
      </c>
      <c r="NC12">
        <f>+NB12+1</f>
        <v>364</v>
      </c>
      <c r="ND12">
        <f>+NC12+1</f>
        <v>365</v>
      </c>
      <c r="NE12">
        <f>+ND12+1</f>
        <v>366</v>
      </c>
      <c r="NF12">
        <f>+NE12+1</f>
        <v>367</v>
      </c>
      <c r="NG12">
        <f>+NF12+1</f>
        <v>368</v>
      </c>
      <c r="NH12">
        <f>+NG12+1</f>
        <v>369</v>
      </c>
      <c r="NI12">
        <f>+NH12+1</f>
        <v>370</v>
      </c>
      <c r="NJ12">
        <f>+NI12+1</f>
        <v>371</v>
      </c>
      <c r="NK12">
        <f>+NJ12+1</f>
        <v>372</v>
      </c>
      <c r="NL12">
        <f>+NK12+1</f>
        <v>373</v>
      </c>
      <c r="NM12">
        <f>+NL12+1</f>
        <v>374</v>
      </c>
      <c r="NN12">
        <f>+NM12+1</f>
        <v>375</v>
      </c>
      <c r="NO12">
        <f>+NN12+1</f>
        <v>376</v>
      </c>
      <c r="NP12">
        <f>+NO12+1</f>
        <v>377</v>
      </c>
      <c r="NQ12">
        <f>+NP12+1</f>
        <v>378</v>
      </c>
      <c r="NR12">
        <f>+NQ12+1</f>
        <v>379</v>
      </c>
      <c r="NS12">
        <f>+NR12+1</f>
        <v>380</v>
      </c>
      <c r="NT12">
        <f>+NS12+1</f>
        <v>381</v>
      </c>
      <c r="NU12">
        <f>+NT12+1</f>
        <v>382</v>
      </c>
      <c r="NV12">
        <f>+NU12+1</f>
        <v>383</v>
      </c>
      <c r="NW12">
        <f>+NV12+1</f>
        <v>384</v>
      </c>
      <c r="NX12">
        <f>+NW12+1</f>
        <v>385</v>
      </c>
      <c r="NY12">
        <f>+NX12+1</f>
        <v>386</v>
      </c>
      <c r="NZ12">
        <f>+NY12+1</f>
        <v>387</v>
      </c>
      <c r="OA12">
        <f>+NZ12+1</f>
        <v>388</v>
      </c>
      <c r="OB12">
        <f>+OA12+1</f>
        <v>389</v>
      </c>
      <c r="OC12">
        <f>+OB12+1</f>
        <v>390</v>
      </c>
      <c r="OD12">
        <f>+OC12+1</f>
        <v>391</v>
      </c>
      <c r="OE12">
        <f>+OD12+1</f>
        <v>392</v>
      </c>
      <c r="OF12">
        <f>+OE12+1</f>
        <v>393</v>
      </c>
      <c r="OG12">
        <f>+OF12+1</f>
        <v>394</v>
      </c>
      <c r="OH12">
        <f>+OG12+1</f>
        <v>395</v>
      </c>
      <c r="OI12">
        <f>+OH12+1</f>
        <v>396</v>
      </c>
      <c r="OJ12">
        <f>+OI12+1</f>
        <v>397</v>
      </c>
      <c r="OK12">
        <f>+OJ12+1</f>
        <v>398</v>
      </c>
      <c r="OL12">
        <f>+OK12+1</f>
        <v>399</v>
      </c>
      <c r="OM12">
        <f>+OL12+1</f>
        <v>400</v>
      </c>
      <c r="ON12">
        <f>+OM12+1</f>
        <v>401</v>
      </c>
      <c r="OO12">
        <f>+ON12+1</f>
        <v>402</v>
      </c>
      <c r="OP12">
        <f>+OO12+1</f>
        <v>403</v>
      </c>
      <c r="OQ12">
        <f>+OP12+1</f>
        <v>404</v>
      </c>
      <c r="OR12">
        <f>+OQ12+1</f>
        <v>405</v>
      </c>
      <c r="OS12">
        <f>+OR12+1</f>
        <v>406</v>
      </c>
      <c r="OT12">
        <f>+OS12+1</f>
        <v>407</v>
      </c>
      <c r="OU12">
        <f>+OT12+1</f>
        <v>408</v>
      </c>
      <c r="OV12">
        <f>+OU12+1</f>
        <v>409</v>
      </c>
      <c r="OW12">
        <f>+OV12+1</f>
        <v>410</v>
      </c>
      <c r="OX12">
        <f>+OW12+1</f>
        <v>411</v>
      </c>
      <c r="OY12">
        <f>+OX12+1</f>
        <v>412</v>
      </c>
      <c r="OZ12">
        <f>+OY12+1</f>
        <v>413</v>
      </c>
      <c r="PA12">
        <f>+OZ12+1</f>
        <v>414</v>
      </c>
      <c r="PB12">
        <f>+PA12+1</f>
        <v>415</v>
      </c>
      <c r="PC12">
        <f>+PB12+1</f>
        <v>416</v>
      </c>
      <c r="PD12">
        <f>+PC12+1</f>
        <v>417</v>
      </c>
      <c r="PE12">
        <f>+PD12+1</f>
        <v>418</v>
      </c>
      <c r="PF12">
        <f>+PE12+1</f>
        <v>419</v>
      </c>
      <c r="PG12">
        <f>+PF12+1</f>
        <v>420</v>
      </c>
    </row>
    <row r="13" spans="2:423" x14ac:dyDescent="0.2">
      <c r="B13" t="s">
        <v>132</v>
      </c>
      <c r="C13" s="305">
        <f>PV($E$5/12,$E$7+MIN(C12,$E$8)-C12,-$E$10)</f>
        <v>10000000.000000019</v>
      </c>
      <c r="D13" s="305">
        <f>PV($E$5/12,$E$7+MIN(D12,$E$8)-D12,-$E$10)</f>
        <v>10000000.000000019</v>
      </c>
      <c r="E13" s="305">
        <f>PV($E$5/12,$E$7+MIN(E12,$E$8)-E12,-$E$10)</f>
        <v>10000000.000000019</v>
      </c>
      <c r="F13" s="305">
        <f>PV($E$5/12,$E$7+MIN(F12,$E$8)-F12,-$E$10)</f>
        <v>10000000.000000019</v>
      </c>
      <c r="G13" s="305">
        <f>PV($E$5/12,$E$7+MIN(G12,$E$8)-G12,-$E$10)</f>
        <v>10000000.000000019</v>
      </c>
      <c r="H13" s="305">
        <f>PV($E$5/12,$E$7+MIN(H12,$E$8)-H12,-$E$10)</f>
        <v>10000000.000000019</v>
      </c>
      <c r="I13" s="305">
        <f>PV($E$5/12,$E$7+MIN(I12,$E$8)-I12,-$E$10)</f>
        <v>10000000.000000019</v>
      </c>
      <c r="J13" s="305">
        <f>PV($E$5/12,$E$7+MIN(J12,$E$8)-J12,-$E$10)</f>
        <v>10000000.000000019</v>
      </c>
      <c r="K13" s="305">
        <f>PV($E$5/12,$E$7+MIN(K12,$E$8)-K12,-$E$10)</f>
        <v>10000000.000000019</v>
      </c>
      <c r="L13" s="305">
        <f>PV($E$5/12,$E$7+MIN(L12,$E$8)-L12,-$E$10)</f>
        <v>10000000.000000019</v>
      </c>
      <c r="M13" s="305">
        <f>PV($E$5/12,$E$7+MIN(M12,$E$8)-M12,-$E$10)</f>
        <v>10000000.000000019</v>
      </c>
      <c r="N13" s="305">
        <f>PV($E$5/12,$E$7+MIN(N12,$E$8)-N12,-$E$10)</f>
        <v>10000000.000000019</v>
      </c>
      <c r="O13" s="305">
        <f>PV($E$5/12,$E$7+MIN(O12,$E$8)-O12,-$E$10)</f>
        <v>10000000.000000019</v>
      </c>
      <c r="P13" s="305">
        <f>PV($E$5/12,$E$7+MIN(P12,$E$8)-P12,-$E$10)</f>
        <v>10000000.000000019</v>
      </c>
      <c r="Q13" s="305">
        <f>PV($E$5/12,$E$7+MIN(Q12,$E$8)-Q12,-$E$10)</f>
        <v>10000000.000000019</v>
      </c>
      <c r="R13" s="305">
        <f>PV($E$5/12,$E$7+MIN(R12,$E$8)-R12,-$E$10)</f>
        <v>10000000.000000019</v>
      </c>
      <c r="S13" s="305">
        <f>PV($E$5/12,$E$7+MIN(S12,$E$8)-S12,-$E$10)</f>
        <v>10000000.000000019</v>
      </c>
      <c r="T13" s="305">
        <f>PV($E$5/12,$E$7+MIN(T12,$E$8)-T12,-$E$10)</f>
        <v>10000000.000000019</v>
      </c>
      <c r="U13" s="305">
        <f>PV($E$5/12,$E$7+MIN(U12,$E$8)-U12,-$E$10)</f>
        <v>10000000.000000019</v>
      </c>
      <c r="V13" s="305">
        <f>PV($E$5/12,$E$7+MIN(V12,$E$8)-V12,-$E$10)</f>
        <v>10000000.000000019</v>
      </c>
      <c r="W13" s="305">
        <f>PV($E$5/12,$E$7+MIN(W12,$E$8)-W12,-$E$10)</f>
        <v>10000000.000000019</v>
      </c>
      <c r="X13" s="305">
        <f>PV($E$5/12,$E$7+MIN(X12,$E$8)-X12,-$E$10)</f>
        <v>10000000.000000019</v>
      </c>
      <c r="Y13" s="305">
        <f>PV($E$5/12,$E$7+MIN(Y12,$E$8)-Y12,-$E$10)</f>
        <v>10000000.000000019</v>
      </c>
      <c r="Z13" s="305">
        <f>PV($E$5/12,$E$7+MIN(Z12,$E$8)-Z12,-$E$10)</f>
        <v>10000000.000000019</v>
      </c>
      <c r="AA13" s="305">
        <f>PV($E$5/12,$E$7+MIN(AA12,$E$8)-AA12,-$E$10)</f>
        <v>10000000.000000019</v>
      </c>
      <c r="AB13" s="305">
        <f>PV($E$5/12,$E$7+MIN(AB12,$E$8)-AB12,-$E$10)</f>
        <v>10000000.000000019</v>
      </c>
      <c r="AC13" s="305">
        <f>PV($E$5/12,$E$7+MIN(AC12,$E$8)-AC12,-$E$10)</f>
        <v>10000000.000000019</v>
      </c>
      <c r="AD13" s="305">
        <f>PV($E$5/12,$E$7+MIN(AD12,$E$8)-AD12,-$E$10)</f>
        <v>10000000.000000019</v>
      </c>
      <c r="AE13" s="305">
        <f>PV($E$5/12,$E$7+MIN(AE12,$E$8)-AE12,-$E$10)</f>
        <v>10000000.000000019</v>
      </c>
      <c r="AF13" s="305">
        <f>PV($E$5/12,$E$7+MIN(AF12,$E$8)-AF12,-$E$10)</f>
        <v>10000000.000000019</v>
      </c>
      <c r="AG13" s="305">
        <f>PV($E$5/12,$E$7+MIN(AG12,$E$8)-AG12,-$E$10)</f>
        <v>10000000.000000019</v>
      </c>
      <c r="AH13" s="305">
        <f>PV($E$5/12,$E$7+MIN(AH12,$E$8)-AH12,-$E$10)</f>
        <v>10000000.000000019</v>
      </c>
      <c r="AI13" s="305">
        <f>PV($E$5/12,$E$7+MIN(AI12,$E$8)-AI12,-$E$10)</f>
        <v>10000000.000000019</v>
      </c>
      <c r="AJ13" s="305">
        <f>PV($E$5/12,$E$7+MIN(AJ12,$E$8)-AJ12,-$E$10)</f>
        <v>10000000.000000019</v>
      </c>
      <c r="AK13" s="305">
        <f>PV($E$5/12,$E$7+MIN(AK12,$E$8)-AK12,-$E$10)</f>
        <v>10000000.000000019</v>
      </c>
      <c r="AL13" s="305">
        <f>PV($E$5/12,$E$7+MIN(AL12,$E$8)-AL12,-$E$10)</f>
        <v>10000000.000000019</v>
      </c>
      <c r="AM13" s="305">
        <f>PV($E$5/12,$E$7+MIN(AM12,$E$8)-AM12,-$E$10)</f>
        <v>10000000.000000019</v>
      </c>
      <c r="AN13" s="305">
        <f>PV($E$5/12,$E$7+MIN(AN12,$E$8)-AN12,-$E$10)</f>
        <v>10000000.000000019</v>
      </c>
      <c r="AO13" s="305">
        <f>PV($E$5/12,$E$7+MIN(AO12,$E$8)-AO12,-$E$10)</f>
        <v>10000000.000000019</v>
      </c>
      <c r="AP13" s="305">
        <f>PV($E$5/12,$E$7+MIN(AP12,$E$8)-AP12,-$E$10)</f>
        <v>10000000.000000019</v>
      </c>
      <c r="AQ13" s="305">
        <f>PV($E$5/12,$E$7+MIN(AQ12,$E$8)-AQ12,-$E$10)</f>
        <v>10000000.000000019</v>
      </c>
      <c r="AR13" s="305">
        <f>PV($E$5/12,$E$7+MIN(AR12,$E$8)-AR12,-$E$10)</f>
        <v>10000000.000000019</v>
      </c>
      <c r="AS13" s="305">
        <f>PV($E$5/12,$E$7+MIN(AS12,$E$8)-AS12,-$E$10)</f>
        <v>10000000.000000019</v>
      </c>
      <c r="AT13" s="305">
        <f>PV($E$5/12,$E$7+MIN(AT12,$E$8)-AT12,-$E$10)</f>
        <v>10000000.000000019</v>
      </c>
      <c r="AU13" s="305">
        <f>PV($E$5/12,$E$7+MIN(AU12,$E$8)-AU12,-$E$10)</f>
        <v>10000000.000000019</v>
      </c>
      <c r="AV13" s="305">
        <f>PV($E$5/12,$E$7+MIN(AV12,$E$8)-AV12,-$E$10)</f>
        <v>10000000.000000019</v>
      </c>
      <c r="AW13" s="305">
        <f>PV($E$5/12,$E$7+MIN(AW12,$E$8)-AW12,-$E$10)</f>
        <v>10000000.000000019</v>
      </c>
      <c r="AX13" s="305">
        <f>PV($E$5/12,$E$7+MIN(AX12,$E$8)-AX12,-$E$10)</f>
        <v>10000000.000000019</v>
      </c>
      <c r="AY13" s="305">
        <f>PV($E$5/12,$E$7+MIN(AY12,$E$8)-AY12,-$E$10)</f>
        <v>10000000.000000019</v>
      </c>
      <c r="AZ13" s="305">
        <f>PV($E$5/12,$E$7+MIN(AZ12,$E$8)-AZ12,-$E$10)</f>
        <v>10000000.000000019</v>
      </c>
      <c r="BA13" s="305">
        <f>PV($E$5/12,$E$7+MIN(BA12,$E$8)-BA12,-$E$10)</f>
        <v>10000000.000000019</v>
      </c>
      <c r="BB13" s="305">
        <f>PV($E$5/12,$E$7+MIN(BB12,$E$8)-BB12,-$E$10)</f>
        <v>10000000.000000019</v>
      </c>
      <c r="BC13" s="305">
        <f>PV($E$5/12,$E$7+MIN(BC12,$E$8)-BC12,-$E$10)</f>
        <v>10000000.000000019</v>
      </c>
      <c r="BD13" s="305">
        <f>PV($E$5/12,$E$7+MIN(BD12,$E$8)-BD12,-$E$10)</f>
        <v>10000000.000000019</v>
      </c>
      <c r="BE13" s="305">
        <f>PV($E$5/12,$E$7+MIN(BE12,$E$8)-BE12,-$E$10)</f>
        <v>10000000.000000019</v>
      </c>
      <c r="BF13" s="305">
        <f>PV($E$5/12,$E$7+MIN(BF12,$E$8)-BF12,-$E$10)</f>
        <v>10000000.000000019</v>
      </c>
      <c r="BG13" s="305">
        <f>PV($E$5/12,$E$7+MIN(BG12,$E$8)-BG12,-$E$10)</f>
        <v>10000000.000000019</v>
      </c>
      <c r="BH13" s="305">
        <f>PV($E$5/12,$E$7+MIN(BH12,$E$8)-BH12,-$E$10)</f>
        <v>10000000.000000019</v>
      </c>
      <c r="BI13" s="305">
        <f>PV($E$5/12,$E$7+MIN(BI12,$E$8)-BI12,-$E$10)</f>
        <v>10000000.000000019</v>
      </c>
      <c r="BJ13" s="305">
        <f>PV($E$5/12,$E$7+MIN(BJ12,$E$8)-BJ12,-$E$10)</f>
        <v>10000000.000000019</v>
      </c>
      <c r="BK13" s="305">
        <f>PV($E$5/12,$E$7+MIN(BK12,$E$8)-BK12,-$E$10)</f>
        <v>10000000.000000019</v>
      </c>
      <c r="BL13" s="305">
        <f>PV($E$5/12,$E$7+MIN(BL12,$E$8)-BL12,-$E$10)</f>
        <v>9987984.5043654703</v>
      </c>
      <c r="BM13" s="305">
        <f>PV($E$5/12,$E$7+MIN(BM12,$E$8)-BM12,-$E$10)</f>
        <v>9975918.9441657811</v>
      </c>
      <c r="BN13" s="305">
        <f>PV($E$5/12,$E$7+MIN(BN12,$E$8)-BN12,-$E$10)</f>
        <v>9963803.1107985899</v>
      </c>
      <c r="BO13" s="305">
        <f>PV($E$5/12,$E$7+MIN(BO12,$E$8)-BO12,-$E$10)</f>
        <v>9951636.7947923709</v>
      </c>
      <c r="BP13" s="305">
        <f>PV($E$5/12,$E$7+MIN(BP12,$E$8)-BP12,-$E$10)</f>
        <v>9939419.7858027909</v>
      </c>
      <c r="BQ13" s="305">
        <f>PV($E$5/12,$E$7+MIN(BQ12,$E$8)-BQ12,-$E$10)</f>
        <v>9927151.8726090882</v>
      </c>
      <c r="BR13" s="305">
        <f>PV($E$5/12,$E$7+MIN(BR12,$E$8)-BR12,-$E$10)</f>
        <v>9914832.8431104124</v>
      </c>
      <c r="BS13" s="305">
        <f>PV($E$5/12,$E$7+MIN(BS12,$E$8)-BS12,-$E$10)</f>
        <v>9902462.4843221586</v>
      </c>
      <c r="BT13" s="305">
        <f>PV($E$5/12,$E$7+MIN(BT12,$E$8)-BT12,-$E$10)</f>
        <v>9890040.5823722873</v>
      </c>
      <c r="BU13" s="305">
        <f>PV($E$5/12,$E$7+MIN(BU12,$E$8)-BU12,-$E$10)</f>
        <v>9877566.9224976245</v>
      </c>
      <c r="BV13" s="305">
        <f>PV($E$5/12,$E$7+MIN(BV12,$E$8)-BV12,-$E$10)</f>
        <v>9865041.2890401501</v>
      </c>
      <c r="BW13" s="305">
        <f>PV($E$5/12,$E$7+MIN(BW12,$E$8)-BW12,-$E$10)</f>
        <v>9852463.4654432684</v>
      </c>
      <c r="BX13" s="305">
        <f>PV($E$5/12,$E$7+MIN(BX12,$E$8)-BX12,-$E$10)</f>
        <v>9839833.23424807</v>
      </c>
      <c r="BY13" s="305">
        <f>PV($E$5/12,$E$7+MIN(BY12,$E$8)-BY12,-$E$10)</f>
        <v>9827150.3770895563</v>
      </c>
      <c r="BZ13" s="305">
        <f>PV($E$5/12,$E$7+MIN(BZ12,$E$8)-BZ12,-$E$10)</f>
        <v>9814414.6746928822</v>
      </c>
      <c r="CA13" s="305">
        <f>PV($E$5/12,$E$7+MIN(CA12,$E$8)-CA12,-$E$10)</f>
        <v>9801625.9068695549</v>
      </c>
      <c r="CB13" s="305">
        <f>PV($E$5/12,$E$7+MIN(CB12,$E$8)-CB12,-$E$10)</f>
        <v>9788783.8525136299</v>
      </c>
      <c r="CC13" s="305">
        <f>PV($E$5/12,$E$7+MIN(CC12,$E$8)-CC12,-$E$10)</f>
        <v>9775888.2895978913</v>
      </c>
      <c r="CD13" s="305">
        <f>PV($E$5/12,$E$7+MIN(CD12,$E$8)-CD12,-$E$10)</f>
        <v>9762938.9951700009</v>
      </c>
      <c r="CE13" s="305">
        <f>PV($E$5/12,$E$7+MIN(CE12,$E$8)-CE12,-$E$10)</f>
        <v>9749935.7453486621</v>
      </c>
      <c r="CF13" s="305">
        <f>PV($E$5/12,$E$7+MIN(CF12,$E$8)-CF12,-$E$10)</f>
        <v>9736878.3153197337</v>
      </c>
      <c r="CG13" s="305">
        <f>PV($E$5/12,$E$7+MIN(CG12,$E$8)-CG12,-$E$10)</f>
        <v>9723766.4793323521</v>
      </c>
      <c r="CH13" s="305">
        <f>PV($E$5/12,$E$7+MIN(CH12,$E$8)-CH12,-$E$10)</f>
        <v>9710600.0106950216</v>
      </c>
      <c r="CI13" s="305">
        <f>PV($E$5/12,$E$7+MIN(CI12,$E$8)-CI12,-$E$10)</f>
        <v>9697378.6817717049</v>
      </c>
      <c r="CJ13" s="305">
        <f>PV($E$5/12,$E$7+MIN(CJ12,$E$8)-CJ12,-$E$10)</f>
        <v>9684102.2639778741</v>
      </c>
      <c r="CK13" s="305">
        <f>PV($E$5/12,$E$7+MIN(CK12,$E$8)-CK12,-$E$10)</f>
        <v>9670770.5277765673</v>
      </c>
      <c r="CL13" s="305">
        <f>PV($E$5/12,$E$7+MIN(CL12,$E$8)-CL12,-$E$10)</f>
        <v>9657383.2426744234</v>
      </c>
      <c r="CM13" s="305">
        <f>PV($E$5/12,$E$7+MIN(CM12,$E$8)-CM12,-$E$10)</f>
        <v>9643940.1772176865</v>
      </c>
      <c r="CN13" s="305">
        <f>PV($E$5/12,$E$7+MIN(CN12,$E$8)-CN12,-$E$10)</f>
        <v>9630441.0989882108</v>
      </c>
      <c r="CO13" s="305">
        <f>PV($E$5/12,$E$7+MIN(CO12,$E$8)-CO12,-$E$10)</f>
        <v>9616885.7745994478</v>
      </c>
      <c r="CP13" s="305">
        <f>PV($E$5/12,$E$7+MIN(CP12,$E$8)-CP12,-$E$10)</f>
        <v>9603273.9696923979</v>
      </c>
      <c r="CQ13" s="305">
        <f>PV($E$5/12,$E$7+MIN(CQ12,$E$8)-CQ12,-$E$10)</f>
        <v>9589605.4489315674</v>
      </c>
      <c r="CR13" s="305">
        <f>PV($E$5/12,$E$7+MIN(CR12,$E$8)-CR12,-$E$10)</f>
        <v>9575879.9760009032</v>
      </c>
      <c r="CS13" s="305">
        <f>PV($E$5/12,$E$7+MIN(CS12,$E$8)-CS12,-$E$10)</f>
        <v>9562097.3135996927</v>
      </c>
      <c r="CT13" s="305">
        <f>PV($E$5/12,$E$7+MIN(CT12,$E$8)-CT12,-$E$10)</f>
        <v>9548257.223438479</v>
      </c>
      <c r="CU13" s="305">
        <f>PV($E$5/12,$E$7+MIN(CU12,$E$8)-CU12,-$E$10)</f>
        <v>9534359.4662349243</v>
      </c>
      <c r="CV13" s="305">
        <f>PV($E$5/12,$E$7+MIN(CV12,$E$8)-CV12,-$E$10)</f>
        <v>9520403.8017096911</v>
      </c>
      <c r="CW13" s="305">
        <f>PV($E$5/12,$E$7+MIN(CW12,$E$8)-CW12,-$E$10)</f>
        <v>9506389.9885822665</v>
      </c>
      <c r="CX13" s="305">
        <f>PV($E$5/12,$E$7+MIN(CX12,$E$8)-CX12,-$E$10)</f>
        <v>9492317.7845668122</v>
      </c>
      <c r="CY13" s="305">
        <f>PV($E$5/12,$E$7+MIN(CY12,$E$8)-CY12,-$E$10)</f>
        <v>9478186.9463679586</v>
      </c>
      <c r="CZ13" s="305">
        <f>PV($E$5/12,$E$7+MIN(CZ12,$E$8)-CZ12,-$E$10)</f>
        <v>9463997.2296766136</v>
      </c>
      <c r="DA13" s="305">
        <f>PV($E$5/12,$E$7+MIN(DA12,$E$8)-DA12,-$E$10)</f>
        <v>9449748.3891657162</v>
      </c>
      <c r="DB13" s="305">
        <f>PV($E$5/12,$E$7+MIN(DB12,$E$8)-DB12,-$E$10)</f>
        <v>9435440.1784860268</v>
      </c>
      <c r="DC13" s="305">
        <f>PV($E$5/12,$E$7+MIN(DC12,$E$8)-DC12,-$E$10)</f>
        <v>9421072.3502618372</v>
      </c>
      <c r="DD13" s="305">
        <f>PV($E$5/12,$E$7+MIN(DD12,$E$8)-DD12,-$E$10)</f>
        <v>9406644.6560867149</v>
      </c>
      <c r="DE13" s="305">
        <f>PV($E$5/12,$E$7+MIN(DE12,$E$8)-DE12,-$E$10)</f>
        <v>9392156.8465191964</v>
      </c>
      <c r="DF13" s="305">
        <f>PV($E$5/12,$E$7+MIN(DF12,$E$8)-DF12,-$E$10)</f>
        <v>9377608.6710784771</v>
      </c>
      <c r="DG13" s="305">
        <f>PV($E$5/12,$E$7+MIN(DG12,$E$8)-DG12,-$E$10)</f>
        <v>9362999.8782400917</v>
      </c>
      <c r="DH13" s="305">
        <f>PV($E$5/12,$E$7+MIN(DH12,$E$8)-DH12,-$E$10)</f>
        <v>9348330.2154315449</v>
      </c>
      <c r="DI13" s="305">
        <f>PV($E$5/12,$E$7+MIN(DI12,$E$8)-DI12,-$E$10)</f>
        <v>9333599.4290279634</v>
      </c>
      <c r="DJ13" s="305">
        <f>PV($E$5/12,$E$7+MIN(DJ12,$E$8)-DJ12,-$E$10)</f>
        <v>9318807.2643476985</v>
      </c>
      <c r="DK13" s="305">
        <f>PV($E$5/12,$E$7+MIN(DK12,$E$8)-DK12,-$E$10)</f>
        <v>9303953.465647934</v>
      </c>
      <c r="DL13" s="305">
        <f>PV($E$5/12,$E$7+MIN(DL12,$E$8)-DL12,-$E$10)</f>
        <v>9289037.776120251</v>
      </c>
      <c r="DM13" s="305">
        <f>PV($E$5/12,$E$7+MIN(DM12,$E$8)-DM12,-$E$10)</f>
        <v>9274059.9378862046</v>
      </c>
      <c r="DN13" s="305">
        <f>PV($E$5/12,$E$7+MIN(DN12,$E$8)-DN12,-$E$10)</f>
        <v>9259019.691992851</v>
      </c>
      <c r="DO13" s="305">
        <f>PV($E$5/12,$E$7+MIN(DO12,$E$8)-DO12,-$E$10)</f>
        <v>9243916.7784082722</v>
      </c>
      <c r="DP13" s="305">
        <f>PV($E$5/12,$E$7+MIN(DP12,$E$8)-DP12,-$E$10)</f>
        <v>9228750.936017096</v>
      </c>
      <c r="DQ13" s="305">
        <f>PV($E$5/12,$E$7+MIN(DQ12,$E$8)-DQ12,-$E$10)</f>
        <v>9213521.9026159514</v>
      </c>
      <c r="DR13" s="305">
        <f>PV($E$5/12,$E$7+MIN(DR12,$E$8)-DR12,-$E$10)</f>
        <v>9198229.4149089698</v>
      </c>
      <c r="DS13" s="305">
        <f>PV($E$5/12,$E$7+MIN(DS12,$E$8)-DS12,-$E$10)</f>
        <v>9182873.2085032109</v>
      </c>
      <c r="DT13" s="305">
        <f>PV($E$5/12,$E$7+MIN(DT12,$E$8)-DT12,-$E$10)</f>
        <v>9167453.0179040935</v>
      </c>
      <c r="DU13" s="305">
        <f>PV($E$5/12,$E$7+MIN(DU12,$E$8)-DU12,-$E$10)</f>
        <v>9151968.5765108149</v>
      </c>
      <c r="DV13" s="305">
        <f>PV($E$5/12,$E$7+MIN(DV12,$E$8)-DV12,-$E$10)</f>
        <v>9136419.6166117266</v>
      </c>
      <c r="DW13" s="305">
        <f>PV($E$5/12,$E$7+MIN(DW12,$E$8)-DW12,-$E$10)</f>
        <v>9120805.869379729</v>
      </c>
      <c r="DX13" s="305">
        <f>PV($E$5/12,$E$7+MIN(DX12,$E$8)-DX12,-$E$10)</f>
        <v>9105127.0648675971</v>
      </c>
      <c r="DY13" s="305">
        <f>PV($E$5/12,$E$7+MIN(DY12,$E$8)-DY12,-$E$10)</f>
        <v>9089382.9320033323</v>
      </c>
      <c r="DZ13" s="305">
        <f>PV($E$5/12,$E$7+MIN(DZ12,$E$8)-DZ12,-$E$10)</f>
        <v>9073573.1985854656</v>
      </c>
      <c r="EA13" s="305">
        <f>PV($E$5/12,$E$7+MIN(EA12,$E$8)-EA12,-$E$10)</f>
        <v>9057697.5912783574</v>
      </c>
      <c r="EB13" s="305">
        <f>PV($E$5/12,$E$7+MIN(EB12,$E$8)-EB12,-$E$10)</f>
        <v>9041755.8356074691</v>
      </c>
      <c r="EC13" s="305">
        <f>PV($E$5/12,$E$7+MIN(EC12,$E$8)-EC12,-$E$10)</f>
        <v>9025747.6559546217</v>
      </c>
      <c r="ED13" s="305">
        <f>PV($E$5/12,$E$7+MIN(ED12,$E$8)-ED12,-$E$10)</f>
        <v>9009672.7755532172</v>
      </c>
      <c r="EE13" s="305">
        <f>PV($E$5/12,$E$7+MIN(EE12,$E$8)-EE12,-$E$10)</f>
        <v>8993530.9164834749</v>
      </c>
      <c r="EF13" s="305">
        <f>PV($E$5/12,$E$7+MIN(EF12,$E$8)-EF12,-$E$10)</f>
        <v>8977321.7996676099</v>
      </c>
      <c r="EG13" s="305">
        <f>PV($E$5/12,$E$7+MIN(EG12,$E$8)-EG12,-$E$10)</f>
        <v>8961045.1448650099</v>
      </c>
      <c r="EH13" s="305">
        <f>PV($E$5/12,$E$7+MIN(EH12,$E$8)-EH12,-$E$10)</f>
        <v>8944700.6706674006</v>
      </c>
      <c r="EI13" s="305">
        <f>PV($E$5/12,$E$7+MIN(EI12,$E$8)-EI12,-$E$10)</f>
        <v>8928288.0944939665</v>
      </c>
      <c r="EJ13" s="305">
        <f>PV($E$5/12,$E$7+MIN(EJ12,$E$8)-EJ12,-$E$10)</f>
        <v>8911807.1325864792</v>
      </c>
      <c r="EK13" s="305">
        <f>PV($E$5/12,$E$7+MIN(EK12,$E$8)-EK12,-$E$10)</f>
        <v>8895257.5000043754</v>
      </c>
      <c r="EL13" s="305">
        <f>PV($E$5/12,$E$7+MIN(EL12,$E$8)-EL12,-$E$10)</f>
        <v>8878638.9106198456</v>
      </c>
      <c r="EM13" s="305">
        <f>PV($E$5/12,$E$7+MIN(EM12,$E$8)-EM12,-$E$10)</f>
        <v>8861951.0771128796</v>
      </c>
      <c r="EN13" s="305">
        <f>PV($E$5/12,$E$7+MIN(EN12,$E$8)-EN12,-$E$10)</f>
        <v>8845193.7109663039</v>
      </c>
      <c r="EO13" s="305">
        <f>PV($E$5/12,$E$7+MIN(EO12,$E$8)-EO12,-$E$10)</f>
        <v>8828366.522460781</v>
      </c>
      <c r="EP13" s="305">
        <f>PV($E$5/12,$E$7+MIN(EP12,$E$8)-EP12,-$E$10)</f>
        <v>8811469.2206698228</v>
      </c>
      <c r="EQ13" s="305">
        <f>PV($E$5/12,$E$7+MIN(EQ12,$E$8)-EQ12,-$E$10)</f>
        <v>8794501.5134547316</v>
      </c>
      <c r="ER13" s="305">
        <f>PV($E$5/12,$E$7+MIN(ER12,$E$8)-ER12,-$E$10)</f>
        <v>8777463.1074595805</v>
      </c>
      <c r="ES13" s="305">
        <f>PV($E$5/12,$E$7+MIN(ES12,$E$8)-ES12,-$E$10)</f>
        <v>8760353.7081061117</v>
      </c>
      <c r="ET13" s="305">
        <f>PV($E$5/12,$E$7+MIN(ET12,$E$8)-ET12,-$E$10)</f>
        <v>8743173.0195886753</v>
      </c>
      <c r="EU13" s="305">
        <f>PV($E$5/12,$E$7+MIN(EU12,$E$8)-EU12,-$E$10)</f>
        <v>8725920.7448690813</v>
      </c>
      <c r="EV13" s="305">
        <f>PV($E$5/12,$E$7+MIN(EV12,$E$8)-EV12,-$E$10)</f>
        <v>8708596.5856714882</v>
      </c>
      <c r="EW13" s="305">
        <f>PV($E$5/12,$E$7+MIN(EW12,$E$8)-EW12,-$E$10)</f>
        <v>8691200.2424772382</v>
      </c>
      <c r="EX13" s="305">
        <f>PV($E$5/12,$E$7+MIN(EX12,$E$8)-EX12,-$E$10)</f>
        <v>8673731.4145196788</v>
      </c>
      <c r="EY13" s="305">
        <f>PV($E$5/12,$E$7+MIN(EY12,$E$8)-EY12,-$E$10)</f>
        <v>8656189.7997789644</v>
      </c>
      <c r="EZ13" s="305">
        <f>PV($E$5/12,$E$7+MIN(EZ12,$E$8)-EZ12,-$E$10)</f>
        <v>8638575.0949768294</v>
      </c>
      <c r="FA13" s="305">
        <f>PV($E$5/12,$E$7+MIN(FA12,$E$8)-FA12,-$E$10)</f>
        <v>8620886.9955713525</v>
      </c>
      <c r="FB13" s="305">
        <f>PV($E$5/12,$E$7+MIN(FB12,$E$8)-FB12,-$E$10)</f>
        <v>8603125.1957516856</v>
      </c>
      <c r="FC13" s="305">
        <f>PV($E$5/12,$E$7+MIN(FC12,$E$8)-FC12,-$E$10)</f>
        <v>8585289.388432771</v>
      </c>
      <c r="FD13" s="305">
        <f>PV($E$5/12,$E$7+MIN(FD12,$E$8)-FD12,-$E$10)</f>
        <v>8567379.2652500272</v>
      </c>
      <c r="FE13" s="305">
        <f>PV($E$5/12,$E$7+MIN(FE12,$E$8)-FE12,-$E$10)</f>
        <v>8549394.5165540203</v>
      </c>
      <c r="FF13" s="305">
        <f>PV($E$5/12,$E$7+MIN(FF12,$E$8)-FF12,-$E$10)</f>
        <v>8531334.8314051144</v>
      </c>
      <c r="FG13" s="305">
        <f>PV($E$5/12,$E$7+MIN(FG12,$E$8)-FG12,-$E$10)</f>
        <v>8513199.897568088</v>
      </c>
      <c r="FH13" s="305">
        <f>PV($E$5/12,$E$7+MIN(FH12,$E$8)-FH12,-$E$10)</f>
        <v>8494989.4015067425</v>
      </c>
      <c r="FI13" s="305">
        <f>PV($E$5/12,$E$7+MIN(FI12,$E$8)-FI12,-$E$10)</f>
        <v>8476703.0283784736</v>
      </c>
      <c r="FJ13" s="305">
        <f>PV($E$5/12,$E$7+MIN(FJ12,$E$8)-FJ12,-$E$10)</f>
        <v>8458340.462028835</v>
      </c>
      <c r="FK13" s="305">
        <f>PV($E$5/12,$E$7+MIN(FK12,$E$8)-FK12,-$E$10)</f>
        <v>8439901.3849860746</v>
      </c>
      <c r="FL13" s="305">
        <f>PV($E$5/12,$E$7+MIN(FL12,$E$8)-FL12,-$E$10)</f>
        <v>8421385.4784556385</v>
      </c>
      <c r="FM13" s="305">
        <f>PV($E$5/12,$E$7+MIN(FM12,$E$8)-FM12,-$E$10)</f>
        <v>8402792.4223146532</v>
      </c>
      <c r="FN13" s="305">
        <f>PV($E$5/12,$E$7+MIN(FN12,$E$8)-FN12,-$E$10)</f>
        <v>8384121.8951064181</v>
      </c>
      <c r="FO13" s="305">
        <f>PV($E$5/12,$E$7+MIN(FO12,$E$8)-FO12,-$E$10)</f>
        <v>8365373.5740348138</v>
      </c>
      <c r="FP13" s="305">
        <f>PV($E$5/12,$E$7+MIN(FP12,$E$8)-FP12,-$E$10)</f>
        <v>8346547.134958745</v>
      </c>
      <c r="FQ13" s="305">
        <f>PV($E$5/12,$E$7+MIN(FQ12,$E$8)-FQ12,-$E$10)</f>
        <v>8327642.2523865262</v>
      </c>
      <c r="FR13" s="305">
        <f>PV($E$5/12,$E$7+MIN(FR12,$E$8)-FR12,-$E$10)</f>
        <v>8308658.5994702559</v>
      </c>
      <c r="FS13" s="305">
        <f>PV($E$5/12,$E$7+MIN(FS12,$E$8)-FS12,-$E$10)</f>
        <v>8289595.8480001688</v>
      </c>
      <c r="FT13" s="305">
        <f>PV($E$5/12,$E$7+MIN(FT12,$E$8)-FT12,-$E$10)</f>
        <v>8270453.6683989568</v>
      </c>
      <c r="FU13" s="305">
        <f>PV($E$5/12,$E$7+MIN(FU12,$E$8)-FU12,-$E$10)</f>
        <v>8251231.7297160709</v>
      </c>
      <c r="FV13" s="305">
        <f>PV($E$5/12,$E$7+MIN(FV12,$E$8)-FV12,-$E$10)</f>
        <v>8231929.6996220062</v>
      </c>
      <c r="FW13" s="305">
        <f>PV($E$5/12,$E$7+MIN(FW12,$E$8)-FW12,-$E$10)</f>
        <v>8212547.244402552</v>
      </c>
      <c r="FX13" s="305">
        <f>PV($E$5/12,$E$7+MIN(FX12,$E$8)-FX12,-$E$10)</f>
        <v>8193084.0289530139</v>
      </c>
      <c r="FY13" s="305">
        <f>PV($E$5/12,$E$7+MIN(FY12,$E$8)-FY12,-$E$10)</f>
        <v>8173539.7167724371</v>
      </c>
      <c r="FZ13" s="305">
        <f>PV($E$5/12,$E$7+MIN(FZ12,$E$8)-FZ12,-$E$10)</f>
        <v>8153913.9699577745</v>
      </c>
      <c r="GA13" s="305">
        <f>PV($E$5/12,$E$7+MIN(GA12,$E$8)-GA12,-$E$10)</f>
        <v>8134206.4491980532</v>
      </c>
      <c r="GB13" s="305">
        <f>PV($E$5/12,$E$7+MIN(GB12,$E$8)-GB12,-$E$10)</f>
        <v>8114416.8137684977</v>
      </c>
      <c r="GC13" s="305">
        <f>PV($E$5/12,$E$7+MIN(GC12,$E$8)-GC12,-$E$10)</f>
        <v>8094544.7215246512</v>
      </c>
      <c r="GD13" s="305">
        <f>PV($E$5/12,$E$7+MIN(GD12,$E$8)-GD12,-$E$10)</f>
        <v>8074589.8288964564</v>
      </c>
      <c r="GE13" s="305">
        <f>PV($E$5/12,$E$7+MIN(GE12,$E$8)-GE12,-$E$10)</f>
        <v>8054551.7908823118</v>
      </c>
      <c r="GF13" s="305">
        <f>PV($E$5/12,$E$7+MIN(GF12,$E$8)-GF12,-$E$10)</f>
        <v>8034430.2610431081</v>
      </c>
      <c r="GG13" s="305">
        <f>PV($E$5/12,$E$7+MIN(GG12,$E$8)-GG12,-$E$10)</f>
        <v>8014224.891496242</v>
      </c>
      <c r="GH13" s="305">
        <f>PV($E$5/12,$E$7+MIN(GH12,$E$8)-GH12,-$E$10)</f>
        <v>7993935.3329095934</v>
      </c>
      <c r="GI13" s="305">
        <f>PV($E$5/12,$E$7+MIN(GI12,$E$8)-GI12,-$E$10)</f>
        <v>7973561.2344955038</v>
      </c>
      <c r="GJ13" s="305">
        <f>PV($E$5/12,$E$7+MIN(GJ12,$E$8)-GJ12,-$E$10)</f>
        <v>7953102.2440046873</v>
      </c>
      <c r="GK13" s="305">
        <f>PV($E$5/12,$E$7+MIN(GK12,$E$8)-GK12,-$E$10)</f>
        <v>7932558.0077201584</v>
      </c>
      <c r="GL13" s="305">
        <f>PV($E$5/12,$E$7+MIN(GL12,$E$8)-GL12,-$E$10)</f>
        <v>7911928.1704511121</v>
      </c>
      <c r="GM13" s="305">
        <f>PV($E$5/12,$E$7+MIN(GM12,$E$8)-GM12,-$E$10)</f>
        <v>7891212.3755267775</v>
      </c>
      <c r="GN13" s="305">
        <f>PV($E$5/12,$E$7+MIN(GN12,$E$8)-GN12,-$E$10)</f>
        <v>7870410.2647902593</v>
      </c>
      <c r="GO13" s="305">
        <f>PV($E$5/12,$E$7+MIN(GO12,$E$8)-GO12,-$E$10)</f>
        <v>7849521.478592338</v>
      </c>
      <c r="GP13" s="305">
        <f>PV($E$5/12,$E$7+MIN(GP12,$E$8)-GP12,-$E$10)</f>
        <v>7828545.6557852589</v>
      </c>
      <c r="GQ13" s="305">
        <f>PV($E$5/12,$E$7+MIN(GQ12,$E$8)-GQ12,-$E$10)</f>
        <v>7807482.4337164825</v>
      </c>
      <c r="GR13" s="305">
        <f>PV($E$5/12,$E$7+MIN(GR12,$E$8)-GR12,-$E$10)</f>
        <v>7786331.448222423</v>
      </c>
      <c r="GS13" s="305">
        <f>PV($E$5/12,$E$7+MIN(GS12,$E$8)-GS12,-$E$10)</f>
        <v>7765092.3336221324</v>
      </c>
      <c r="GT13" s="305">
        <f>PV($E$5/12,$E$7+MIN(GT12,$E$8)-GT12,-$E$10)</f>
        <v>7743764.7227110118</v>
      </c>
      <c r="GU13" s="305">
        <f>PV($E$5/12,$E$7+MIN(GU12,$E$8)-GU12,-$E$10)</f>
        <v>7722348.2467544265</v>
      </c>
      <c r="GV13" s="305">
        <f>PV($E$5/12,$E$7+MIN(GV12,$E$8)-GV12,-$E$10)</f>
        <v>7700842.5354813561</v>
      </c>
      <c r="GW13" s="305">
        <f>PV($E$5/12,$E$7+MIN(GW12,$E$8)-GW12,-$E$10)</f>
        <v>7679247.2170779835</v>
      </c>
      <c r="GX13" s="305">
        <f>PV($E$5/12,$E$7+MIN(GX12,$E$8)-GX12,-$E$10)</f>
        <v>7657561.9181812601</v>
      </c>
      <c r="GY13" s="305">
        <f>PV($E$5/12,$E$7+MIN(GY12,$E$8)-GY12,-$E$10)</f>
        <v>7635786.2638724679</v>
      </c>
      <c r="GZ13" s="305">
        <f>PV($E$5/12,$E$7+MIN(GZ12,$E$8)-GZ12,-$E$10)</f>
        <v>7613919.8776707239</v>
      </c>
      <c r="HA13" s="305">
        <f>PV($E$5/12,$E$7+MIN(HA12,$E$8)-HA12,-$E$10)</f>
        <v>7591962.3815264683</v>
      </c>
      <c r="HB13" s="305">
        <f>PV($E$5/12,$E$7+MIN(HB12,$E$8)-HB12,-$E$10)</f>
        <v>7569913.3958149487</v>
      </c>
      <c r="HC13" s="305">
        <f>PV($E$5/12,$E$7+MIN(HC12,$E$8)-HC12,-$E$10)</f>
        <v>7547772.5393296313</v>
      </c>
      <c r="HD13" s="305">
        <f>PV($E$5/12,$E$7+MIN(HD12,$E$8)-HD12,-$E$10)</f>
        <v>7525539.4292756235</v>
      </c>
      <c r="HE13" s="305">
        <f>PV($E$5/12,$E$7+MIN(HE12,$E$8)-HE12,-$E$10)</f>
        <v>7503213.6812630557</v>
      </c>
      <c r="HF13" s="305">
        <f>PV($E$5/12,$E$7+MIN(HF12,$E$8)-HF12,-$E$10)</f>
        <v>7480794.9093004391</v>
      </c>
      <c r="HG13" s="305">
        <f>PV($E$5/12,$E$7+MIN(HG12,$E$8)-HG12,-$E$10)</f>
        <v>7458282.7257879786</v>
      </c>
      <c r="HH13" s="305">
        <f>PV($E$5/12,$E$7+MIN(HH12,$E$8)-HH12,-$E$10)</f>
        <v>7435676.7415108811</v>
      </c>
      <c r="HI13" s="305">
        <f>PV($E$5/12,$E$7+MIN(HI12,$E$8)-HI12,-$E$10)</f>
        <v>7412976.5656326283</v>
      </c>
      <c r="HJ13" s="305">
        <f>PV($E$5/12,$E$7+MIN(HJ12,$E$8)-HJ12,-$E$10)</f>
        <v>7390181.8056882173</v>
      </c>
      <c r="HK13" s="305">
        <f>PV($E$5/12,$E$7+MIN(HK12,$E$8)-HK12,-$E$10)</f>
        <v>7367292.0675773704</v>
      </c>
      <c r="HL13" s="305">
        <f>PV($E$5/12,$E$7+MIN(HL12,$E$8)-HL12,-$E$10)</f>
        <v>7344306.9555577282</v>
      </c>
      <c r="HM13" s="305">
        <f>PV($E$5/12,$E$7+MIN(HM12,$E$8)-HM12,-$E$10)</f>
        <v>7321226.0722380066</v>
      </c>
      <c r="HN13" s="305">
        <f>PV($E$5/12,$E$7+MIN(HN12,$E$8)-HN12,-$E$10)</f>
        <v>7298049.018571117</v>
      </c>
      <c r="HO13" s="305">
        <f>PV($E$5/12,$E$7+MIN(HO12,$E$8)-HO12,-$E$10)</f>
        <v>7274775.393847282</v>
      </c>
      <c r="HP13" s="305">
        <f>PV($E$5/12,$E$7+MIN(HP12,$E$8)-HP12,-$E$10)</f>
        <v>7251404.795687099</v>
      </c>
      <c r="HQ13" s="305">
        <f>PV($E$5/12,$E$7+MIN(HQ12,$E$8)-HQ12,-$E$10)</f>
        <v>7227936.8200345803</v>
      </c>
      <c r="HR13" s="305">
        <f>PV($E$5/12,$E$7+MIN(HR12,$E$8)-HR12,-$E$10)</f>
        <v>7204371.0611501774</v>
      </c>
      <c r="HS13" s="305">
        <f>PV($E$5/12,$E$7+MIN(HS12,$E$8)-HS12,-$E$10)</f>
        <v>7180707.1116037555</v>
      </c>
      <c r="HT13" s="305">
        <f>PV($E$5/12,$E$7+MIN(HT12,$E$8)-HT12,-$E$10)</f>
        <v>7156944.5622675577</v>
      </c>
      <c r="HU13" s="305">
        <f>PV($E$5/12,$E$7+MIN(HU12,$E$8)-HU12,-$E$10)</f>
        <v>7133083.0023091249</v>
      </c>
      <c r="HV13" s="305">
        <f>PV($E$5/12,$E$7+MIN(HV12,$E$8)-HV12,-$E$10)</f>
        <v>7109122.0191841992</v>
      </c>
      <c r="HW13" s="305">
        <f>PV($E$5/12,$E$7+MIN(HW12,$E$8)-HW12,-$E$10)</f>
        <v>7085061.1986295851</v>
      </c>
      <c r="HX13" s="305">
        <f>PV($E$5/12,$E$7+MIN(HX12,$E$8)-HX12,-$E$10)</f>
        <v>7060900.1246559983</v>
      </c>
      <c r="HY13" s="305">
        <f>PV($E$5/12,$E$7+MIN(HY12,$E$8)-HY12,-$E$10)</f>
        <v>7036638.3795408458</v>
      </c>
      <c r="HZ13" s="305">
        <f>PV($E$5/12,$E$7+MIN(HZ12,$E$8)-HZ12,-$E$10)</f>
        <v>7012275.5438210526</v>
      </c>
      <c r="IA13" s="305">
        <f>PV($E$5/12,$E$7+MIN(IA12,$E$8)-IA12,-$E$10)</f>
        <v>6987811.1962857619</v>
      </c>
      <c r="IB13" s="305">
        <f>PV($E$5/12,$E$7+MIN(IB12,$E$8)-IB12,-$E$10)</f>
        <v>6963244.9139690707</v>
      </c>
      <c r="IC13" s="305">
        <f>PV($E$5/12,$E$7+MIN(IC12,$E$8)-IC12,-$E$10)</f>
        <v>6938576.2721427297</v>
      </c>
      <c r="ID13" s="305">
        <f>PV($E$5/12,$E$7+MIN(ID12,$E$8)-ID12,-$E$10)</f>
        <v>6913804.8443087749</v>
      </c>
      <c r="IE13" s="305">
        <f>PV($E$5/12,$E$7+MIN(IE12,$E$8)-IE12,-$E$10)</f>
        <v>6888930.2021921808</v>
      </c>
      <c r="IF13" s="305">
        <f>PV($E$5/12,$E$7+MIN(IF12,$E$8)-IF12,-$E$10)</f>
        <v>6863951.9157334371</v>
      </c>
      <c r="IG13" s="305">
        <f>PV($E$5/12,$E$7+MIN(IG12,$E$8)-IG12,-$E$10)</f>
        <v>6838869.5530811101</v>
      </c>
      <c r="IH13" s="305">
        <f>PV($E$5/12,$E$7+MIN(IH12,$E$8)-IH12,-$E$10)</f>
        <v>6813682.6805844009</v>
      </c>
      <c r="II13" s="305">
        <f>PV($E$5/12,$E$7+MIN(II12,$E$8)-II12,-$E$10)</f>
        <v>6788390.8627856215</v>
      </c>
      <c r="IJ13" s="305">
        <f>PV($E$5/12,$E$7+MIN(IJ12,$E$8)-IJ12,-$E$10)</f>
        <v>6762993.6624126807</v>
      </c>
      <c r="IK13" s="305">
        <f>PV($E$5/12,$E$7+MIN(IK12,$E$8)-IK12,-$E$10)</f>
        <v>6737490.6403715201</v>
      </c>
      <c r="IL13" s="305">
        <f>PV($E$5/12,$E$7+MIN(IL12,$E$8)-IL12,-$E$10)</f>
        <v>6711881.3557385216</v>
      </c>
      <c r="IM13" s="305">
        <f>PV($E$5/12,$E$7+MIN(IM12,$E$8)-IM12,-$E$10)</f>
        <v>6686165.3657528833</v>
      </c>
      <c r="IN13" s="305">
        <f>PV($E$5/12,$E$7+MIN(IN12,$E$8)-IN12,-$E$10)</f>
        <v>6660342.2258089753</v>
      </c>
      <c r="IO13" s="305">
        <f>PV($E$5/12,$E$7+MIN(IO12,$E$8)-IO12,-$E$10)</f>
        <v>6634411.4894486303</v>
      </c>
      <c r="IP13" s="305">
        <f>PV($E$5/12,$E$7+MIN(IP12,$E$8)-IP12,-$E$10)</f>
        <v>6608372.7083534515</v>
      </c>
      <c r="IQ13" s="305">
        <f>PV($E$5/12,$E$7+MIN(IQ12,$E$8)-IQ12,-$E$10)</f>
        <v>6582225.4323370438</v>
      </c>
      <c r="IR13" s="305">
        <f>PV($E$5/12,$E$7+MIN(IR12,$E$8)-IR12,-$E$10)</f>
        <v>6555969.2093372354</v>
      </c>
      <c r="IS13" s="305">
        <f>PV($E$5/12,$E$7+MIN(IS12,$E$8)-IS12,-$E$10)</f>
        <v>6529603.5854082601</v>
      </c>
      <c r="IT13" s="305">
        <f>PV($E$5/12,$E$7+MIN(IT12,$E$8)-IT12,-$E$10)</f>
        <v>6503128.1047129128</v>
      </c>
      <c r="IU13" s="305">
        <f>PV($E$5/12,$E$7+MIN(IU12,$E$8)-IU12,-$E$10)</f>
        <v>6476542.3095146688</v>
      </c>
      <c r="IV13" s="305">
        <f>PV($E$5/12,$E$7+MIN(IV12,$E$8)-IV12,-$E$10)</f>
        <v>6449845.7401697673</v>
      </c>
      <c r="IW13" s="305">
        <f>PV($E$5/12,$E$7+MIN(IW12,$E$8)-IW12,-$E$10)</f>
        <v>6423037.9351192592</v>
      </c>
      <c r="IX13" s="305">
        <f>PV($E$5/12,$E$7+MIN(IX12,$E$8)-IX12,-$E$10)</f>
        <v>6396118.430881042</v>
      </c>
      <c r="IY13" s="305">
        <f>PV($E$5/12,$E$7+MIN(IY12,$E$8)-IY12,-$E$10)</f>
        <v>6369086.7620418333</v>
      </c>
      <c r="IZ13" s="305">
        <f>PV($E$5/12,$E$7+MIN(IZ12,$E$8)-IZ12,-$E$10)</f>
        <v>6341942.461249128</v>
      </c>
      <c r="JA13" s="305">
        <f>PV($E$5/12,$E$7+MIN(JA12,$E$8)-JA12,-$E$10)</f>
        <v>6314685.0592031181</v>
      </c>
      <c r="JB13" s="305">
        <f>PV($E$5/12,$E$7+MIN(JB12,$E$8)-JB12,-$E$10)</f>
        <v>6287314.0846485831</v>
      </c>
      <c r="JC13" s="305">
        <f>PV($E$5/12,$E$7+MIN(JC12,$E$8)-JC12,-$E$10)</f>
        <v>6259829.0643667383</v>
      </c>
      <c r="JD13" s="305">
        <f>PV($E$5/12,$E$7+MIN(JD12,$E$8)-JD12,-$E$10)</f>
        <v>6232229.5231670542</v>
      </c>
      <c r="JE13" s="305">
        <f>PV($E$5/12,$E$7+MIN(JE12,$E$8)-JE12,-$E$10)</f>
        <v>6204514.9838790325</v>
      </c>
      <c r="JF13" s="305">
        <f>PV($E$5/12,$E$7+MIN(JF12,$E$8)-JF12,-$E$10)</f>
        <v>6176684.9673439832</v>
      </c>
      <c r="JG13" s="305">
        <f>PV($E$5/12,$E$7+MIN(JG12,$E$8)-JG12,-$E$10)</f>
        <v>6148738.9924067017</v>
      </c>
      <c r="JH13" s="305">
        <f>PV($E$5/12,$E$7+MIN(JH12,$E$8)-JH12,-$E$10)</f>
        <v>6120676.5759071819</v>
      </c>
      <c r="JI13" s="305">
        <f>PV($E$5/12,$E$7+MIN(JI12,$E$8)-JI12,-$E$10)</f>
        <v>6092497.2326722499</v>
      </c>
      <c r="JJ13" s="305">
        <f>PV($E$5/12,$E$7+MIN(JJ12,$E$8)-JJ12,-$E$10)</f>
        <v>6064200.4755071681</v>
      </c>
      <c r="JK13" s="305">
        <f>PV($E$5/12,$E$7+MIN(JK12,$E$8)-JK12,-$E$10)</f>
        <v>6035785.8151872354</v>
      </c>
      <c r="JL13" s="305">
        <f>PV($E$5/12,$E$7+MIN(JL12,$E$8)-JL12,-$E$10)</f>
        <v>6007252.7604493024</v>
      </c>
      <c r="JM13" s="305">
        <f>PV($E$5/12,$E$7+MIN(JM12,$E$8)-JM12,-$E$10)</f>
        <v>5978600.8179832911</v>
      </c>
      <c r="JN13" s="305">
        <f>PV($E$5/12,$E$7+MIN(JN12,$E$8)-JN12,-$E$10)</f>
        <v>5949829.492423676</v>
      </c>
      <c r="JO13" s="305">
        <f>PV($E$5/12,$E$7+MIN(JO12,$E$8)-JO12,-$E$10)</f>
        <v>5920938.2863408932</v>
      </c>
      <c r="JP13" s="305">
        <f>PV($E$5/12,$E$7+MIN(JP12,$E$8)-JP12,-$E$10)</f>
        <v>5891926.7002327666</v>
      </c>
      <c r="JQ13" s="305">
        <f>PV($E$5/12,$E$7+MIN(JQ12,$E$8)-JQ12,-$E$10)</f>
        <v>5862794.2325158548</v>
      </c>
      <c r="JR13" s="305">
        <f>PV($E$5/12,$E$7+MIN(JR12,$E$8)-JR12,-$E$10)</f>
        <v>5833540.3795167916</v>
      </c>
      <c r="JS13" s="305">
        <f>PV($E$5/12,$E$7+MIN(JS12,$E$8)-JS12,-$E$10)</f>
        <v>5804164.6354635628</v>
      </c>
      <c r="JT13" s="305">
        <f>PV($E$5/12,$E$7+MIN(JT12,$E$8)-JT12,-$E$10)</f>
        <v>5774666.4924767837</v>
      </c>
      <c r="JU13" s="305">
        <f>PV($E$5/12,$E$7+MIN(JU12,$E$8)-JU12,-$E$10)</f>
        <v>5745045.4405608857</v>
      </c>
      <c r="JV13" s="305">
        <f>PV($E$5/12,$E$7+MIN(JV12,$E$8)-JV12,-$E$10)</f>
        <v>5715300.9675953416</v>
      </c>
      <c r="JW13" s="305">
        <f>PV($E$5/12,$E$7+MIN(JW12,$E$8)-JW12,-$E$10)</f>
        <v>5685432.5593257761</v>
      </c>
      <c r="JX13" s="305">
        <f>PV($E$5/12,$E$7+MIN(JX12,$E$8)-JX12,-$E$10)</f>
        <v>5655439.6993550854</v>
      </c>
      <c r="JY13" s="305">
        <f>PV($E$5/12,$E$7+MIN(JY12,$E$8)-JY12,-$E$10)</f>
        <v>5625321.8691345192</v>
      </c>
      <c r="JZ13" s="305">
        <f>PV($E$5/12,$E$7+MIN(JZ12,$E$8)-JZ12,-$E$10)</f>
        <v>5595078.5479546981</v>
      </c>
      <c r="KA13" s="305">
        <f>PV($E$5/12,$E$7+MIN(KA12,$E$8)-KA12,-$E$10)</f>
        <v>5564709.2129366295</v>
      </c>
      <c r="KB13" s="305">
        <f>PV($E$5/12,$E$7+MIN(KB12,$E$8)-KB12,-$E$10)</f>
        <v>5534213.3390226522</v>
      </c>
      <c r="KC13" s="305">
        <f>PV($E$5/12,$E$7+MIN(KC12,$E$8)-KC12,-$E$10)</f>
        <v>5503590.3989673639</v>
      </c>
      <c r="KD13" s="305">
        <f>PV($E$5/12,$E$7+MIN(KD12,$E$8)-KD12,-$E$10)</f>
        <v>5472839.8633285137</v>
      </c>
      <c r="KE13" s="305">
        <f>PV($E$5/12,$E$7+MIN(KE12,$E$8)-KE12,-$E$10)</f>
        <v>5441961.2004578356</v>
      </c>
      <c r="KF13" s="305">
        <f>PV($E$5/12,$E$7+MIN(KF12,$E$8)-KF12,-$E$10)</f>
        <v>5410953.8764918623</v>
      </c>
      <c r="KG13" s="305">
        <f>PV($E$5/12,$E$7+MIN(KG12,$E$8)-KG12,-$E$10)</f>
        <v>5379817.3553426983</v>
      </c>
      <c r="KH13" s="305">
        <f>PV($E$5/12,$E$7+MIN(KH12,$E$8)-KH12,-$E$10)</f>
        <v>5348551.098688744</v>
      </c>
      <c r="KI13" s="305">
        <f>PV($E$5/12,$E$7+MIN(KI12,$E$8)-KI12,-$E$10)</f>
        <v>5317154.565965401</v>
      </c>
      <c r="KJ13" s="305">
        <f>PV($E$5/12,$E$7+MIN(KJ12,$E$8)-KJ12,-$E$10)</f>
        <v>5285627.2143557128</v>
      </c>
      <c r="KK13" s="305">
        <f>PV($E$5/12,$E$7+MIN(KK12,$E$8)-KK12,-$E$10)</f>
        <v>5253968.498780976</v>
      </c>
      <c r="KL13" s="305">
        <f>PV($E$5/12,$E$7+MIN(KL12,$E$8)-KL12,-$E$10)</f>
        <v>5222177.8718913514</v>
      </c>
      <c r="KM13" s="305">
        <f>PV($E$5/12,$E$7+MIN(KM12,$E$8)-KM12,-$E$10)</f>
        <v>5190254.7840563515</v>
      </c>
      <c r="KN13" s="305">
        <f>PV($E$5/12,$E$7+MIN(KN12,$E$8)-KN12,-$E$10)</f>
        <v>5158198.6833553715</v>
      </c>
      <c r="KO13" s="305">
        <f>PV($E$5/12,$E$7+MIN(KO12,$E$8)-KO12,-$E$10)</f>
        <v>5126009.01556814</v>
      </c>
      <c r="KP13" s="305">
        <f>PV($E$5/12,$E$7+MIN(KP12,$E$8)-KP12,-$E$10)</f>
        <v>5093685.2241651239</v>
      </c>
      <c r="KQ13" s="305">
        <f>PV($E$5/12,$E$7+MIN(KQ12,$E$8)-KQ12,-$E$10)</f>
        <v>5061226.7502979329</v>
      </c>
      <c r="KR13" s="305">
        <f>PV($E$5/12,$E$7+MIN(KR12,$E$8)-KR12,-$E$10)</f>
        <v>5028633.032789629</v>
      </c>
      <c r="KS13" s="305">
        <f>PV($E$5/12,$E$7+MIN(KS12,$E$8)-KS12,-$E$10)</f>
        <v>4995903.508125036</v>
      </c>
      <c r="KT13" s="305">
        <f>PV($E$5/12,$E$7+MIN(KT12,$E$8)-KT12,-$E$10)</f>
        <v>4963037.6104410104</v>
      </c>
      <c r="KU13" s="305">
        <f>PV($E$5/12,$E$7+MIN(KU12,$E$8)-KU12,-$E$10)</f>
        <v>4930034.7715166351</v>
      </c>
      <c r="KV13" s="305">
        <f>PV($E$5/12,$E$7+MIN(KV12,$E$8)-KV12,-$E$10)</f>
        <v>4896894.420763405</v>
      </c>
      <c r="KW13" s="305">
        <f>PV($E$5/12,$E$7+MIN(KW12,$E$8)-KW12,-$E$10)</f>
        <v>4863615.9852153715</v>
      </c>
      <c r="KX13" s="305">
        <f>PV($E$5/12,$E$7+MIN(KX12,$E$8)-KX12,-$E$10)</f>
        <v>4830198.8895192211</v>
      </c>
      <c r="KY13" s="305">
        <f>PV($E$5/12,$E$7+MIN(KY12,$E$8)-KY12,-$E$10)</f>
        <v>4796642.5559243392</v>
      </c>
      <c r="KZ13" s="305">
        <f>PV($E$5/12,$E$7+MIN(KZ12,$E$8)-KZ12,-$E$10)</f>
        <v>4762946.4042728106</v>
      </c>
      <c r="LA13" s="305">
        <f>PV($E$5/12,$E$7+MIN(LA12,$E$8)-LA12,-$E$10)</f>
        <v>4729109.8519893978</v>
      </c>
      <c r="LB13" s="305">
        <f>PV($E$5/12,$E$7+MIN(LB12,$E$8)-LB12,-$E$10)</f>
        <v>4695132.3140714727</v>
      </c>
      <c r="LC13" s="305">
        <f>PV($E$5/12,$E$7+MIN(LC12,$E$8)-LC12,-$E$10)</f>
        <v>4661013.2030788902</v>
      </c>
      <c r="LD13" s="305">
        <f>PV($E$5/12,$E$7+MIN(LD12,$E$8)-LD12,-$E$10)</f>
        <v>4626751.9291238384</v>
      </c>
      <c r="LE13" s="305">
        <f>PV($E$5/12,$E$7+MIN(LE12,$E$8)-LE12,-$E$10)</f>
        <v>4592347.8998606429</v>
      </c>
      <c r="LF13" s="305">
        <f>PV($E$5/12,$E$7+MIN(LF12,$E$8)-LF12,-$E$10)</f>
        <v>4557800.5204755114</v>
      </c>
      <c r="LG13" s="305">
        <f>PV($E$5/12,$E$7+MIN(LG12,$E$8)-LG12,-$E$10)</f>
        <v>4523109.1936762799</v>
      </c>
      <c r="LH13" s="305">
        <f>PV($E$5/12,$E$7+MIN(LH12,$E$8)-LH12,-$E$10)</f>
        <v>4488273.3196820514</v>
      </c>
      <c r="LI13" s="305">
        <f>PV($E$5/12,$E$7+MIN(LI12,$E$8)-LI12,-$E$10)</f>
        <v>4453292.2962128446</v>
      </c>
      <c r="LJ13" s="305">
        <f>PV($E$5/12,$E$7+MIN(LJ12,$E$8)-LJ12,-$E$10)</f>
        <v>4418165.5184791833</v>
      </c>
      <c r="LK13" s="305">
        <f>PV($E$5/12,$E$7+MIN(LK12,$E$8)-LK12,-$E$10)</f>
        <v>4382892.3791716322</v>
      </c>
      <c r="LL13" s="305">
        <f>PV($E$5/12,$E$7+MIN(LL12,$E$8)-LL12,-$E$10)</f>
        <v>4347472.2684503021</v>
      </c>
      <c r="LM13" s="305">
        <f>PV($E$5/12,$E$7+MIN(LM12,$E$8)-LM12,-$E$10)</f>
        <v>4311904.5739342961</v>
      </c>
      <c r="LN13" s="305">
        <f>PV($E$5/12,$E$7+MIN(LN12,$E$8)-LN12,-$E$10)</f>
        <v>4276188.6806911426</v>
      </c>
      <c r="LO13" s="305">
        <f>PV($E$5/12,$E$7+MIN(LO12,$E$8)-LO12,-$E$10)</f>
        <v>4240323.9712261409</v>
      </c>
      <c r="LP13" s="305">
        <f>PV($E$5/12,$E$7+MIN(LP12,$E$8)-LP12,-$E$10)</f>
        <v>4204309.8254717058</v>
      </c>
      <c r="LQ13" s="305">
        <f>PV($E$5/12,$E$7+MIN(LQ12,$E$8)-LQ12,-$E$10)</f>
        <v>4168145.6207766193</v>
      </c>
      <c r="LR13" s="305">
        <f>PV($E$5/12,$E$7+MIN(LR12,$E$8)-LR12,-$E$10)</f>
        <v>4131830.7318953085</v>
      </c>
      <c r="LS13" s="305">
        <f>PV($E$5/12,$E$7+MIN(LS12,$E$8)-LS12,-$E$10)</f>
        <v>4095364.5309769921</v>
      </c>
      <c r="LT13" s="305">
        <f>PV($E$5/12,$E$7+MIN(LT12,$E$8)-LT12,-$E$10)</f>
        <v>4058746.3875548486</v>
      </c>
      <c r="LU13" s="305">
        <f>PV($E$5/12,$E$7+MIN(LU12,$E$8)-LU12,-$E$10)</f>
        <v>4021975.6685351152</v>
      </c>
      <c r="LV13" s="305">
        <f>PV($E$5/12,$E$7+MIN(LV12,$E$8)-LV12,-$E$10)</f>
        <v>3985051.738186128</v>
      </c>
      <c r="LW13" s="305">
        <f>PV($E$5/12,$E$7+MIN(LW12,$E$8)-LW12,-$E$10)</f>
        <v>3947973.9581273585</v>
      </c>
      <c r="LX13" s="305">
        <f>PV($E$5/12,$E$7+MIN(LX12,$E$8)-LX12,-$E$10)</f>
        <v>3910741.6873183437</v>
      </c>
      <c r="LY13" s="305">
        <f>PV($E$5/12,$E$7+MIN(LY12,$E$8)-LY12,-$E$10)</f>
        <v>3873354.2820476191</v>
      </c>
      <c r="LZ13" s="305">
        <f>PV($E$5/12,$E$7+MIN(LZ12,$E$8)-LZ12,-$E$10)</f>
        <v>3835811.0959216049</v>
      </c>
      <c r="MA13" s="305">
        <f>PV($E$5/12,$E$7+MIN(MA12,$E$8)-MA12,-$E$10)</f>
        <v>3798111.4798533972</v>
      </c>
      <c r="MB13" s="305">
        <f>PV($E$5/12,$E$7+MIN(MB12,$E$8)-MB12,-$E$10)</f>
        <v>3760254.7820515726</v>
      </c>
      <c r="MC13" s="305">
        <f>PV($E$5/12,$E$7+MIN(MC12,$E$8)-MC12,-$E$10)</f>
        <v>3722240.3480089055</v>
      </c>
      <c r="MD13" s="305">
        <f>PV($E$5/12,$E$7+MIN(MD12,$E$8)-MD12,-$E$10)</f>
        <v>3684067.5204910622</v>
      </c>
      <c r="ME13" s="305">
        <f>PV($E$5/12,$E$7+MIN(ME12,$E$8)-ME12,-$E$10)</f>
        <v>3645735.6395252282</v>
      </c>
      <c r="MF13" s="305">
        <f>PV($E$5/12,$E$7+MIN(MF12,$E$8)-MF12,-$E$10)</f>
        <v>3607244.0423887032</v>
      </c>
      <c r="MG13" s="305">
        <f>PV($E$5/12,$E$7+MIN(MG12,$E$8)-MG12,-$E$10)</f>
        <v>3568592.0635974403</v>
      </c>
      <c r="MH13" s="305">
        <f>PV($E$5/12,$E$7+MIN(MH12,$E$8)-MH12,-$E$10)</f>
        <v>3529779.0348945479</v>
      </c>
      <c r="MI13" s="305">
        <f>PV($E$5/12,$E$7+MIN(MI12,$E$8)-MI12,-$E$10)</f>
        <v>3490804.2852387289</v>
      </c>
      <c r="MJ13" s="305">
        <f>PV($E$5/12,$E$7+MIN(MJ12,$E$8)-MJ12,-$E$10)</f>
        <v>3451667.1407926762</v>
      </c>
      <c r="MK13" s="305">
        <f>PV($E$5/12,$E$7+MIN(MK12,$E$8)-MK12,-$E$10)</f>
        <v>3412366.9249114334</v>
      </c>
      <c r="ML13" s="305">
        <f>PV($E$5/12,$E$7+MIN(ML12,$E$8)-ML12,-$E$10)</f>
        <v>3372902.9581306828</v>
      </c>
      <c r="MM13" s="305">
        <f>PV($E$5/12,$E$7+MIN(MM12,$E$8)-MM12,-$E$10)</f>
        <v>3333274.5581550132</v>
      </c>
      <c r="MN13" s="305">
        <f>PV($E$5/12,$E$7+MIN(MN12,$E$8)-MN12,-$E$10)</f>
        <v>3293481.039846113</v>
      </c>
      <c r="MO13" s="305">
        <f>PV($E$5/12,$E$7+MIN(MO12,$E$8)-MO12,-$E$10)</f>
        <v>3253521.7152109225</v>
      </c>
      <c r="MP13" s="305">
        <f>PV($E$5/12,$E$7+MIN(MP12,$E$8)-MP12,-$E$10)</f>
        <v>3213395.8933897535</v>
      </c>
      <c r="MQ13" s="305">
        <f>PV($E$5/12,$E$7+MIN(MQ12,$E$8)-MQ12,-$E$10)</f>
        <v>3173102.8806443317</v>
      </c>
      <c r="MR13" s="305">
        <f>PV($E$5/12,$E$7+MIN(MR12,$E$8)-MR12,-$E$10)</f>
        <v>3132641.9803458028</v>
      </c>
      <c r="MS13" s="305">
        <f>PV($E$5/12,$E$7+MIN(MS12,$E$8)-MS12,-$E$10)</f>
        <v>3092012.4929626957</v>
      </c>
      <c r="MT13" s="305">
        <f>PV($E$5/12,$E$7+MIN(MT12,$E$8)-MT12,-$E$10)</f>
        <v>3051213.716048826</v>
      </c>
      <c r="MU13" s="305">
        <f>PV($E$5/12,$E$7+MIN(MU12,$E$8)-MU12,-$E$10)</f>
        <v>3010244.9442311483</v>
      </c>
      <c r="MV13" s="305">
        <f>PV($E$5/12,$E$7+MIN(MV12,$E$8)-MV12,-$E$10)</f>
        <v>2969105.469197568</v>
      </c>
      <c r="MW13" s="305">
        <f>PV($E$5/12,$E$7+MIN(MW12,$E$8)-MW12,-$E$10)</f>
        <v>2927794.579684671</v>
      </c>
      <c r="MX13" s="305">
        <f>PV($E$5/12,$E$7+MIN(MX12,$E$8)-MX12,-$E$10)</f>
        <v>2886311.5614654776</v>
      </c>
      <c r="MY13" s="305">
        <f>PV($E$5/12,$E$7+MIN(MY12,$E$8)-MY12,-$E$10)</f>
        <v>2844655.6973370374</v>
      </c>
      <c r="MZ13" s="305">
        <f>PV($E$5/12,$E$7+MIN(MZ12,$E$8)-MZ12,-$E$10)</f>
        <v>2802826.26710806</v>
      </c>
      <c r="NA13" s="305">
        <f>PV($E$5/12,$E$7+MIN(NA12,$E$8)-NA12,-$E$10)</f>
        <v>2760822.5475864653</v>
      </c>
      <c r="NB13" s="305">
        <f>PV($E$5/12,$E$7+MIN(NB12,$E$8)-NB12,-$E$10)</f>
        <v>2718643.8125668587</v>
      </c>
      <c r="NC13" s="305">
        <f>PV($E$5/12,$E$7+MIN(NC12,$E$8)-NC12,-$E$10)</f>
        <v>2676289.332818008</v>
      </c>
      <c r="ND13" s="305">
        <f>PV($E$5/12,$E$7+MIN(ND12,$E$8)-ND12,-$E$10)</f>
        <v>2633758.3760702047</v>
      </c>
      <c r="NE13" s="305">
        <f>PV($E$5/12,$E$7+MIN(NE12,$E$8)-NE12,-$E$10)</f>
        <v>2591050.2070026142</v>
      </c>
      <c r="NF13" s="305">
        <f>PV($E$5/12,$E$7+MIN(NF12,$E$8)-NF12,-$E$10)</f>
        <v>2548164.0872305776</v>
      </c>
      <c r="NG13" s="305">
        <f>PV($E$5/12,$E$7+MIN(NG12,$E$8)-NG12,-$E$10)</f>
        <v>2505099.2752928259</v>
      </c>
      <c r="NH13" s="305">
        <f>PV($E$5/12,$E$7+MIN(NH12,$E$8)-NH12,-$E$10)</f>
        <v>2461855.0266386634</v>
      </c>
      <c r="NI13" s="305">
        <f>PV($E$5/12,$E$7+MIN(NI12,$E$8)-NI12,-$E$10)</f>
        <v>2418430.5936151096</v>
      </c>
      <c r="NJ13" s="305">
        <f>PV($E$5/12,$E$7+MIN(NJ12,$E$8)-NJ12,-$E$10)</f>
        <v>2374825.2254539598</v>
      </c>
      <c r="NK13" s="305">
        <f>PV($E$5/12,$E$7+MIN(NK12,$E$8)-NK12,-$E$10)</f>
        <v>2331038.1682588039</v>
      </c>
      <c r="NL13" s="305">
        <f>PV($E$5/12,$E$7+MIN(NL12,$E$8)-NL12,-$E$10)</f>
        <v>2287068.6649920032</v>
      </c>
      <c r="NM13" s="305">
        <f>PV($E$5/12,$E$7+MIN(NM12,$E$8)-NM12,-$E$10)</f>
        <v>2242915.9554615859</v>
      </c>
      <c r="NN13" s="305">
        <f>PV($E$5/12,$E$7+MIN(NN12,$E$8)-NN12,-$E$10)</f>
        <v>2198579.2763081281</v>
      </c>
      <c r="NO13" s="305">
        <f>PV($E$5/12,$E$7+MIN(NO12,$E$8)-NO12,-$E$10)</f>
        <v>2154057.8609915334</v>
      </c>
      <c r="NP13" s="305">
        <f>PV($E$5/12,$E$7+MIN(NP12,$E$8)-NP12,-$E$10)</f>
        <v>2109350.9397777827</v>
      </c>
      <c r="NQ13" s="305">
        <f>PV($E$5/12,$E$7+MIN(NQ12,$E$8)-NQ12,-$E$10)</f>
        <v>2064457.7397256454</v>
      </c>
      <c r="NR13" s="305">
        <f>PV($E$5/12,$E$7+MIN(NR12,$E$8)-NR12,-$E$10)</f>
        <v>2019377.4846732849</v>
      </c>
      <c r="NS13" s="305">
        <f>PV($E$5/12,$E$7+MIN(NS12,$E$8)-NS12,-$E$10)</f>
        <v>1974109.3952248776</v>
      </c>
      <c r="NT13" s="305">
        <f>PV($E$5/12,$E$7+MIN(NT12,$E$8)-NT12,-$E$10)</f>
        <v>1928652.6887371016</v>
      </c>
      <c r="NU13" s="305">
        <f>PV($E$5/12,$E$7+MIN(NU12,$E$8)-NU12,-$E$10)</f>
        <v>1883006.5793056239</v>
      </c>
      <c r="NV13" s="305">
        <f>PV($E$5/12,$E$7+MIN(NV12,$E$8)-NV12,-$E$10)</f>
        <v>1837170.2777515163</v>
      </c>
      <c r="NW13" s="305">
        <f>PV($E$5/12,$E$7+MIN(NW12,$E$8)-NW12,-$E$10)</f>
        <v>1791142.9916076006</v>
      </c>
      <c r="NX13" s="305">
        <f>PV($E$5/12,$E$7+MIN(NX12,$E$8)-NX12,-$E$10)</f>
        <v>1744923.9251047536</v>
      </c>
      <c r="NY13" s="305">
        <f>PV($E$5/12,$E$7+MIN(NY12,$E$8)-NY12,-$E$10)</f>
        <v>1698512.2791581408</v>
      </c>
      <c r="NZ13" s="305">
        <f>PV($E$5/12,$E$7+MIN(NZ12,$E$8)-NZ12,-$E$10)</f>
        <v>1651907.2513534201</v>
      </c>
      <c r="OA13" s="305">
        <f>PV($E$5/12,$E$7+MIN(OA12,$E$8)-OA12,-$E$10)</f>
        <v>1605108.0359328445</v>
      </c>
      <c r="OB13" s="305">
        <f>PV($E$5/12,$E$7+MIN(OB12,$E$8)-OB12,-$E$10)</f>
        <v>1558113.8237813537</v>
      </c>
      <c r="OC13" s="305">
        <f>PV($E$5/12,$E$7+MIN(OC12,$E$8)-OC12,-$E$10)</f>
        <v>1510923.8024125567</v>
      </c>
      <c r="OD13" s="305">
        <f>PV($E$5/12,$E$7+MIN(OD12,$E$8)-OD12,-$E$10)</f>
        <v>1463537.1559547291</v>
      </c>
      <c r="OE13" s="305">
        <f>PV($E$5/12,$E$7+MIN(OE12,$E$8)-OE12,-$E$10)</f>
        <v>1415953.0651366604</v>
      </c>
      <c r="OF13" s="305">
        <f>PV($E$5/12,$E$7+MIN(OF12,$E$8)-OF12,-$E$10)</f>
        <v>1368170.7072735152</v>
      </c>
      <c r="OG13" s="305">
        <f>PV($E$5/12,$E$7+MIN(OG12,$E$8)-OG12,-$E$10)</f>
        <v>1320189.2562526101</v>
      </c>
      <c r="OH13" s="305">
        <f>PV($E$5/12,$E$7+MIN(OH12,$E$8)-OH12,-$E$10)</f>
        <v>1272007.8825191122</v>
      </c>
      <c r="OI13" s="305">
        <f>PV($E$5/12,$E$7+MIN(OI12,$E$8)-OI12,-$E$10)</f>
        <v>1223625.7530617297</v>
      </c>
      <c r="OJ13" s="305">
        <f>PV($E$5/12,$E$7+MIN(OJ12,$E$8)-OJ12,-$E$10)</f>
        <v>1175042.0313982747</v>
      </c>
      <c r="OK13" s="305">
        <f>PV($E$5/12,$E$7+MIN(OK12,$E$8)-OK12,-$E$10)</f>
        <v>1126255.8775612165</v>
      </c>
      <c r="OL13" s="305">
        <f>PV($E$5/12,$E$7+MIN(OL12,$E$8)-OL12,-$E$10)</f>
        <v>1077266.4480831756</v>
      </c>
      <c r="OM13" s="305">
        <f>PV($E$5/12,$E$7+MIN(OM12,$E$8)-OM12,-$E$10)</f>
        <v>1028072.8959823087</v>
      </c>
      <c r="ON13" s="305">
        <f>PV($E$5/12,$E$7+MIN(ON12,$E$8)-ON12,-$E$10)</f>
        <v>978674.37074768683</v>
      </c>
      <c r="OO13" s="305">
        <f>PV($E$5/12,$E$7+MIN(OO12,$E$8)-OO12,-$E$10)</f>
        <v>929070.01832458703</v>
      </c>
      <c r="OP13" s="305">
        <f>PV($E$5/12,$E$7+MIN(OP12,$E$8)-OP12,-$E$10)</f>
        <v>879258.98109972628</v>
      </c>
      <c r="OQ13" s="305">
        <f>PV($E$5/12,$E$7+MIN(OQ12,$E$8)-OQ12,-$E$10)</f>
        <v>829240.39788642759</v>
      </c>
      <c r="OR13" s="305">
        <f>PV($E$5/12,$E$7+MIN(OR12,$E$8)-OR12,-$E$10)</f>
        <v>779013.40390974295</v>
      </c>
      <c r="OS13" s="305">
        <f>PV($E$5/12,$E$7+MIN(OS12,$E$8)-OS12,-$E$10)</f>
        <v>728577.13079148158</v>
      </c>
      <c r="OT13" s="305">
        <f>PV($E$5/12,$E$7+MIN(OT12,$E$8)-OT12,-$E$10)</f>
        <v>677930.70653523237</v>
      </c>
      <c r="OU13" s="305">
        <f>PV($E$5/12,$E$7+MIN(OU12,$E$8)-OU12,-$E$10)</f>
        <v>627073.25551125023</v>
      </c>
      <c r="OV13" s="305">
        <f>PV($E$5/12,$E$7+MIN(OV12,$E$8)-OV12,-$E$10)</f>
        <v>576003.89844133204</v>
      </c>
      <c r="OW13" s="305">
        <f>PV($E$5/12,$E$7+MIN(OW12,$E$8)-OW12,-$E$10)</f>
        <v>524721.75238362479</v>
      </c>
      <c r="OX13" s="305">
        <f>PV($E$5/12,$E$7+MIN(OX12,$E$8)-OX12,-$E$10)</f>
        <v>473225.93071734114</v>
      </c>
      <c r="OY13" s="305">
        <f>PV($E$5/12,$E$7+MIN(OY12,$E$8)-OY12,-$E$10)</f>
        <v>421515.54312744975</v>
      </c>
      <c r="OZ13" s="305">
        <f>PV($E$5/12,$E$7+MIN(OZ12,$E$8)-OZ12,-$E$10)</f>
        <v>369589.69558926899</v>
      </c>
      <c r="PA13" s="305">
        <f>PV($E$5/12,$E$7+MIN(PA12,$E$8)-PA12,-$E$10)</f>
        <v>317447.49035300704</v>
      </c>
      <c r="PB13" s="305">
        <f>PV($E$5/12,$E$7+MIN(PB12,$E$8)-PB12,-$E$10)</f>
        <v>265088.02592826408</v>
      </c>
      <c r="PC13" s="305">
        <f>PV($E$5/12,$E$7+MIN(PC12,$E$8)-PC12,-$E$10)</f>
        <v>212510.39706841865</v>
      </c>
      <c r="PD13" s="305">
        <f>PV($E$5/12,$E$7+MIN(PD12,$E$8)-PD12,-$E$10)</f>
        <v>159713.69475499031</v>
      </c>
      <c r="PE13" s="305">
        <f>PV($E$5/12,$E$7+MIN(PE12,$E$8)-PE12,-$E$10)</f>
        <v>106697.00618192102</v>
      </c>
      <c r="PF13" s="305">
        <f>PV($E$5/12,$E$7+MIN(PF12,$E$8)-PF12,-$E$10)</f>
        <v>53459.414739797896</v>
      </c>
      <c r="PG13" s="305">
        <f>PV($E$5/12,$E$7+MIN(PG12,$E$8)-PG12,-$E$10)</f>
        <v>0</v>
      </c>
    </row>
    <row r="14" spans="2:423" x14ac:dyDescent="0.2"/>
    <row r="15" spans="2:423" x14ac:dyDescent="0.2">
      <c r="B15" t="s">
        <v>13</v>
      </c>
      <c r="E15" s="307">
        <f>PV(E5/12,E7-E6+E8,-E10)</f>
        <v>9182873.2085032109</v>
      </c>
    </row>
    <row r="16" spans="2:423" x14ac:dyDescent="0.2">
      <c r="B16" s="306" t="s">
        <v>131</v>
      </c>
      <c r="E16" s="305" cm="1">
        <f t="array" ref="E16">INDEX(D13:PG13,1,E6)</f>
        <v>9182873.2085032109</v>
      </c>
    </row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7" customFormat="1" x14ac:dyDescent="0.2"/>
    <row r="28" customFormat="1" x14ac:dyDescent="0.2"/>
    <row r="29" customFormat="1" x14ac:dyDescent="0.2"/>
    <row r="30" customFormat="1" x14ac:dyDescent="0.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35ED-8570-FF42-A370-97BCF3728277}">
  <dimension ref="B2:M30"/>
  <sheetViews>
    <sheetView showGridLines="0" workbookViewId="0">
      <selection activeCell="R13" sqref="R13"/>
    </sheetView>
  </sheetViews>
  <sheetFormatPr baseColWidth="10" defaultColWidth="9.1640625" defaultRowHeight="15" x14ac:dyDescent="0.2"/>
  <cols>
    <col min="1" max="1" width="2.83203125" customWidth="1"/>
    <col min="2" max="2" width="14.83203125" bestFit="1" customWidth="1"/>
    <col min="3" max="3" width="9.6640625" style="1" bestFit="1" customWidth="1"/>
    <col min="4" max="4" width="9.83203125" style="1" bestFit="1" customWidth="1"/>
    <col min="5" max="5" width="9.33203125" style="1" bestFit="1" customWidth="1"/>
    <col min="6" max="6" width="8.33203125" style="1" bestFit="1" customWidth="1"/>
    <col min="7" max="7" width="9.33203125" style="1" bestFit="1" customWidth="1"/>
    <col min="8" max="8" width="9" style="1" bestFit="1" customWidth="1"/>
    <col min="9" max="10" width="8" style="1" bestFit="1" customWidth="1"/>
    <col min="11" max="11" width="9" style="1" bestFit="1" customWidth="1"/>
    <col min="12" max="12" width="9.33203125" style="1" bestFit="1" customWidth="1"/>
    <col min="13" max="13" width="9.6640625" style="1" bestFit="1" customWidth="1"/>
  </cols>
  <sheetData>
    <row r="2" spans="2:13" x14ac:dyDescent="0.2">
      <c r="B2" s="332" t="s">
        <v>145</v>
      </c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</row>
    <row r="4" spans="2:13" x14ac:dyDescent="0.2">
      <c r="B4" s="321" t="s">
        <v>16</v>
      </c>
      <c r="C4" s="321">
        <v>0</v>
      </c>
      <c r="D4" s="321">
        <f>C4+1</f>
        <v>1</v>
      </c>
      <c r="E4" s="321">
        <f>D4+1</f>
        <v>2</v>
      </c>
      <c r="F4" s="321">
        <f>E4+1</f>
        <v>3</v>
      </c>
      <c r="G4" s="321">
        <f>F4+1</f>
        <v>4</v>
      </c>
      <c r="H4" s="321">
        <f>G4+1</f>
        <v>5</v>
      </c>
      <c r="I4" s="321">
        <f>H4+1</f>
        <v>6</v>
      </c>
      <c r="J4" s="321">
        <f>I4+1</f>
        <v>7</v>
      </c>
      <c r="K4" s="321">
        <f>J4+1</f>
        <v>8</v>
      </c>
      <c r="L4" s="321">
        <f>K4+1</f>
        <v>9</v>
      </c>
      <c r="M4" s="321">
        <f>L4+1</f>
        <v>10</v>
      </c>
    </row>
    <row r="5" spans="2:13" x14ac:dyDescent="0.2">
      <c r="B5" s="1" t="s">
        <v>144</v>
      </c>
      <c r="C5" s="24">
        <v>-100000</v>
      </c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2:13" x14ac:dyDescent="0.2">
      <c r="B6" s="1" t="s">
        <v>138</v>
      </c>
      <c r="C6" s="24"/>
      <c r="D6" s="24">
        <v>10000</v>
      </c>
      <c r="E6" s="24">
        <f>D6*(1.03)</f>
        <v>10300</v>
      </c>
      <c r="F6" s="24">
        <f>E6*(1.03)</f>
        <v>10609</v>
      </c>
      <c r="G6" s="24">
        <f>F6*(1.03)</f>
        <v>10927.27</v>
      </c>
      <c r="H6" s="24">
        <f>G6*(1.03)</f>
        <v>11255.088100000001</v>
      </c>
      <c r="I6" s="24">
        <f>H6*(1.03)</f>
        <v>11592.740743</v>
      </c>
      <c r="J6" s="24">
        <f>I6*(1.03)</f>
        <v>11940.52296529</v>
      </c>
      <c r="K6" s="24">
        <f>J6*(1.03)</f>
        <v>12298.7386542487</v>
      </c>
      <c r="L6" s="24">
        <f>K6*(1.03)</f>
        <v>12667.700813876161</v>
      </c>
      <c r="M6" s="24">
        <f>L6*(1.03)</f>
        <v>13047.731838292446</v>
      </c>
    </row>
    <row r="7" spans="2:13" x14ac:dyDescent="0.2">
      <c r="B7" s="321" t="s">
        <v>143</v>
      </c>
      <c r="C7" s="320"/>
      <c r="D7" s="320"/>
      <c r="E7" s="320"/>
      <c r="F7" s="320"/>
      <c r="G7" s="320"/>
      <c r="H7" s="320"/>
      <c r="I7" s="320"/>
      <c r="J7" s="320"/>
      <c r="K7" s="320"/>
      <c r="L7" s="320"/>
      <c r="M7" s="320">
        <v>125000</v>
      </c>
    </row>
    <row r="8" spans="2:13" x14ac:dyDescent="0.2">
      <c r="B8" s="1" t="s">
        <v>142</v>
      </c>
      <c r="C8" s="24">
        <f>SUM(C5:C7)</f>
        <v>-100000</v>
      </c>
      <c r="D8" s="24">
        <f>SUM(D5:D7)</f>
        <v>10000</v>
      </c>
      <c r="E8" s="24">
        <f>SUM(E5:E7)</f>
        <v>10300</v>
      </c>
      <c r="F8" s="24">
        <f>SUM(F5:F7)</f>
        <v>10609</v>
      </c>
      <c r="G8" s="24">
        <f>SUM(G5:G7)</f>
        <v>10927.27</v>
      </c>
      <c r="H8" s="24">
        <f>SUM(H5:H7)</f>
        <v>11255.088100000001</v>
      </c>
      <c r="I8" s="24">
        <f>SUM(I5:I7)</f>
        <v>11592.740743</v>
      </c>
      <c r="J8" s="24">
        <f>SUM(J5:J7)</f>
        <v>11940.52296529</v>
      </c>
      <c r="K8" s="24">
        <f>SUM(K5:K7)</f>
        <v>12298.7386542487</v>
      </c>
      <c r="L8" s="24">
        <f>SUM(L5:L7)</f>
        <v>12667.700813876161</v>
      </c>
      <c r="M8" s="24">
        <f>SUM(M5:M7)</f>
        <v>138047.73183829244</v>
      </c>
    </row>
    <row r="9" spans="2:13" x14ac:dyDescent="0.2">
      <c r="B9" s="1" t="s">
        <v>25</v>
      </c>
      <c r="C9" s="315">
        <f>IRR(C8:M8)</f>
        <v>0.12531952337486696</v>
      </c>
    </row>
    <row r="10" spans="2:13" x14ac:dyDescent="0.2">
      <c r="B10" s="1" t="s">
        <v>24</v>
      </c>
      <c r="C10" s="330">
        <f>SUM($D$8:$M$8)/-SUM($C$5:$M$5)</f>
        <v>2.3963879311470726</v>
      </c>
    </row>
    <row r="11" spans="2:13" ht="16" thickBot="1" x14ac:dyDescent="0.25">
      <c r="B11" s="329"/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</row>
    <row r="12" spans="2:13" ht="16" thickTop="1" x14ac:dyDescent="0.2">
      <c r="B12" s="327" t="s">
        <v>141</v>
      </c>
      <c r="J12" s="326" t="s">
        <v>140</v>
      </c>
    </row>
    <row r="13" spans="2:13" x14ac:dyDescent="0.2">
      <c r="B13" s="324" t="s">
        <v>16</v>
      </c>
      <c r="C13" s="324" t="s">
        <v>138</v>
      </c>
      <c r="D13" s="325" t="s">
        <v>139</v>
      </c>
      <c r="E13" s="323" t="s">
        <v>137</v>
      </c>
      <c r="F13" s="325" t="s">
        <v>139</v>
      </c>
      <c r="G13" s="324" t="s">
        <v>99</v>
      </c>
      <c r="H13" s="324" t="s">
        <v>139</v>
      </c>
      <c r="I13" s="324"/>
      <c r="J13" s="324" t="s">
        <v>16</v>
      </c>
      <c r="K13" s="324" t="s">
        <v>138</v>
      </c>
      <c r="L13" s="324" t="s">
        <v>137</v>
      </c>
      <c r="M13" s="323" t="s">
        <v>99</v>
      </c>
    </row>
    <row r="14" spans="2:13" x14ac:dyDescent="0.2">
      <c r="B14" s="1">
        <v>1</v>
      </c>
      <c r="C14" s="24">
        <f ca="1">OFFSET($C$6,,B14,1,1)</f>
        <v>10000</v>
      </c>
      <c r="D14" s="318">
        <f ca="1">-PV($C$9,$B14,,C14)</f>
        <v>8886.3649765976697</v>
      </c>
      <c r="E14" s="317">
        <f ca="1">OFFSET($C$7,,B14,1,1)</f>
        <v>0</v>
      </c>
      <c r="F14" s="318">
        <f ca="1">-PV($C$9,$B14,,E14)</f>
        <v>0</v>
      </c>
      <c r="G14" s="24">
        <f ca="1">C14+E14</f>
        <v>10000</v>
      </c>
      <c r="H14" s="24">
        <f ca="1">SUM(D14+F14)</f>
        <v>8886.3649765976697</v>
      </c>
      <c r="J14" s="1">
        <f>B14</f>
        <v>1</v>
      </c>
      <c r="K14" s="24">
        <f ca="1">C14</f>
        <v>10000</v>
      </c>
      <c r="L14" s="24">
        <f ca="1">E14</f>
        <v>0</v>
      </c>
      <c r="M14" s="317">
        <f ca="1">SUM(K14:L14)</f>
        <v>10000</v>
      </c>
    </row>
    <row r="15" spans="2:13" x14ac:dyDescent="0.2">
      <c r="B15" s="1">
        <f>B14+1</f>
        <v>2</v>
      </c>
      <c r="C15" s="24">
        <f ca="1">OFFSET($C$6,,B15,1,1)</f>
        <v>10300</v>
      </c>
      <c r="D15" s="318">
        <f ca="1">-PV($C$9,$B15,,C15)</f>
        <v>8133.650697222075</v>
      </c>
      <c r="E15" s="317">
        <f ca="1">OFFSET($C$7,,B15,1,1)</f>
        <v>0</v>
      </c>
      <c r="F15" s="318">
        <f ca="1">-PV($C$9,$B15,,E15)</f>
        <v>0</v>
      </c>
      <c r="G15" s="24">
        <f ca="1">C15+E15</f>
        <v>10300</v>
      </c>
      <c r="H15" s="24">
        <f ca="1">SUM(D15+F15)</f>
        <v>8133.650697222075</v>
      </c>
      <c r="J15" s="1">
        <f>B15</f>
        <v>2</v>
      </c>
      <c r="K15" s="24">
        <f ca="1">C15</f>
        <v>10300</v>
      </c>
      <c r="L15" s="24">
        <f ca="1">E15</f>
        <v>0</v>
      </c>
      <c r="M15" s="317">
        <f ca="1">SUM(K15:L15)</f>
        <v>10300</v>
      </c>
    </row>
    <row r="16" spans="2:13" x14ac:dyDescent="0.2">
      <c r="B16" s="1">
        <f>B15+1</f>
        <v>3</v>
      </c>
      <c r="C16" s="24">
        <f ca="1">OFFSET($C$6,,B16,1,1)</f>
        <v>10609</v>
      </c>
      <c r="D16" s="318">
        <f ca="1">-PV($C$9,$B16,,C16)</f>
        <v>7444.6946348303663</v>
      </c>
      <c r="E16" s="317">
        <f ca="1">OFFSET($C$7,,B16,1,1)</f>
        <v>0</v>
      </c>
      <c r="F16" s="318">
        <f ca="1">-PV($C$9,$B16,,E16)</f>
        <v>0</v>
      </c>
      <c r="G16" s="24">
        <f ca="1">C16+E16</f>
        <v>10609</v>
      </c>
      <c r="H16" s="24">
        <f ca="1">SUM(D16+F16)</f>
        <v>7444.6946348303663</v>
      </c>
      <c r="J16" s="1">
        <f>B16</f>
        <v>3</v>
      </c>
      <c r="K16" s="24">
        <f ca="1">C16</f>
        <v>10609</v>
      </c>
      <c r="L16" s="24">
        <f ca="1">E16</f>
        <v>0</v>
      </c>
      <c r="M16" s="317">
        <f ca="1">SUM(K16:L16)</f>
        <v>10609</v>
      </c>
    </row>
    <row r="17" spans="2:13" x14ac:dyDescent="0.2">
      <c r="B17" s="1">
        <f>B16+1</f>
        <v>4</v>
      </c>
      <c r="C17" s="24">
        <f ca="1">OFFSET($C$6,,B17,1,1)</f>
        <v>10927.27</v>
      </c>
      <c r="D17" s="318">
        <f ca="1">-PV($C$9,$B17,,C17)</f>
        <v>6814.0961874353789</v>
      </c>
      <c r="E17" s="317">
        <f ca="1">OFFSET($C$7,,B17,1,1)</f>
        <v>0</v>
      </c>
      <c r="F17" s="318">
        <f ca="1">-PV($C$9,$B17,,E17)</f>
        <v>0</v>
      </c>
      <c r="G17" s="24">
        <f ca="1">C17+E17</f>
        <v>10927.27</v>
      </c>
      <c r="H17" s="24">
        <f ca="1">SUM(D17+F17)</f>
        <v>6814.0961874353789</v>
      </c>
      <c r="J17" s="1">
        <f>B17</f>
        <v>4</v>
      </c>
      <c r="K17" s="24">
        <f ca="1">C17</f>
        <v>10927.27</v>
      </c>
      <c r="L17" s="24">
        <f ca="1">E17</f>
        <v>0</v>
      </c>
      <c r="M17" s="317">
        <f ca="1">SUM(K17:L17)</f>
        <v>10927.27</v>
      </c>
    </row>
    <row r="18" spans="2:13" x14ac:dyDescent="0.2">
      <c r="B18" s="1">
        <f>B17+1</f>
        <v>5</v>
      </c>
      <c r="C18" s="24">
        <f ca="1">OFFSET($C$6,,B18,1,1)</f>
        <v>11255.088100000001</v>
      </c>
      <c r="D18" s="318">
        <f ca="1">-PV($C$9,$B18,,C18)</f>
        <v>6236.9122078409255</v>
      </c>
      <c r="E18" s="317">
        <f ca="1">OFFSET($C$7,,B18,1,1)</f>
        <v>0</v>
      </c>
      <c r="F18" s="318">
        <f ca="1">-PV($C$9,$B18,,E18)</f>
        <v>0</v>
      </c>
      <c r="G18" s="24">
        <f ca="1">C18+E18</f>
        <v>11255.088100000001</v>
      </c>
      <c r="H18" s="24">
        <f ca="1">SUM(D18+F18)</f>
        <v>6236.9122078409255</v>
      </c>
      <c r="J18" s="1">
        <f>B18</f>
        <v>5</v>
      </c>
      <c r="K18" s="24">
        <f ca="1">C18</f>
        <v>11255.088100000001</v>
      </c>
      <c r="L18" s="24">
        <f ca="1">E18</f>
        <v>0</v>
      </c>
      <c r="M18" s="317">
        <f ca="1">SUM(K18:L18)</f>
        <v>11255.088100000001</v>
      </c>
    </row>
    <row r="19" spans="2:13" x14ac:dyDescent="0.2">
      <c r="B19" s="1">
        <f>B18+1</f>
        <v>6</v>
      </c>
      <c r="C19" s="24">
        <f ca="1">OFFSET($C$6,,B19,1,1)</f>
        <v>11592.740743</v>
      </c>
      <c r="D19" s="318">
        <f ca="1">-PV($C$9,$B19,,C19)</f>
        <v>5708.6182552048213</v>
      </c>
      <c r="E19" s="317">
        <f ca="1">OFFSET($C$7,,B19,1,1)</f>
        <v>0</v>
      </c>
      <c r="F19" s="318">
        <f ca="1">-PV($C$9,$B19,,E19)</f>
        <v>0</v>
      </c>
      <c r="G19" s="24">
        <f ca="1">C19+E19</f>
        <v>11592.740743</v>
      </c>
      <c r="H19" s="24">
        <f ca="1">SUM(D19+F19)</f>
        <v>5708.6182552048213</v>
      </c>
      <c r="J19" s="1">
        <f>B19</f>
        <v>6</v>
      </c>
      <c r="K19" s="24">
        <f ca="1">C19</f>
        <v>11592.740743</v>
      </c>
      <c r="L19" s="24">
        <f ca="1">E19</f>
        <v>0</v>
      </c>
      <c r="M19" s="317">
        <f ca="1">SUM(K19:L19)</f>
        <v>11592.740743</v>
      </c>
    </row>
    <row r="20" spans="2:13" x14ac:dyDescent="0.2">
      <c r="B20" s="1">
        <f>B19+1</f>
        <v>7</v>
      </c>
      <c r="C20" s="24">
        <f ca="1">OFFSET($C$6,,B20,1,1)</f>
        <v>11940.52296529</v>
      </c>
      <c r="D20" s="318">
        <f ca="1">-PV($C$9,$B20,,C20)</f>
        <v>5225.0731287652761</v>
      </c>
      <c r="E20" s="317">
        <f ca="1">OFFSET($C$7,,B20,1,1)</f>
        <v>0</v>
      </c>
      <c r="F20" s="318">
        <f ca="1">-PV($C$9,$B20,,E20)</f>
        <v>0</v>
      </c>
      <c r="G20" s="24">
        <f ca="1">C20+E20</f>
        <v>11940.52296529</v>
      </c>
      <c r="H20" s="24">
        <f ca="1">SUM(D20+F20)</f>
        <v>5225.0731287652761</v>
      </c>
      <c r="J20" s="1">
        <f>B20</f>
        <v>7</v>
      </c>
      <c r="K20" s="24">
        <f ca="1">C20</f>
        <v>11940.52296529</v>
      </c>
      <c r="L20" s="24">
        <f ca="1">E20</f>
        <v>0</v>
      </c>
      <c r="M20" s="317">
        <f ca="1">SUM(K20:L20)</f>
        <v>11940.52296529</v>
      </c>
    </row>
    <row r="21" spans="2:13" x14ac:dyDescent="0.2">
      <c r="B21" s="1">
        <f>B20+1</f>
        <v>8</v>
      </c>
      <c r="C21" s="24">
        <f ca="1">OFFSET($C$6,,B21,1,1)</f>
        <v>12298.7386542487</v>
      </c>
      <c r="D21" s="318">
        <f ca="1">-PV($C$9,$B21,,C21)</f>
        <v>4782.4864057169998</v>
      </c>
      <c r="E21" s="317">
        <f ca="1">OFFSET($C$7,,B21,1,1)</f>
        <v>0</v>
      </c>
      <c r="F21" s="318">
        <f ca="1">-PV($C$9,$B21,,E21)</f>
        <v>0</v>
      </c>
      <c r="G21" s="24">
        <f ca="1">C21+E21</f>
        <v>12298.7386542487</v>
      </c>
      <c r="H21" s="24">
        <f ca="1">SUM(D21+F21)</f>
        <v>4782.4864057169998</v>
      </c>
      <c r="J21" s="1">
        <f>B21</f>
        <v>8</v>
      </c>
      <c r="K21" s="24">
        <f ca="1">C21</f>
        <v>12298.7386542487</v>
      </c>
      <c r="L21" s="24">
        <f ca="1">E21</f>
        <v>0</v>
      </c>
      <c r="M21" s="317">
        <f ca="1">SUM(K21:L21)</f>
        <v>12298.7386542487</v>
      </c>
    </row>
    <row r="22" spans="2:13" x14ac:dyDescent="0.2">
      <c r="B22" s="1">
        <f>B21+1</f>
        <v>9</v>
      </c>
      <c r="C22" s="24">
        <f ca="1">OFFSET($C$6,,B22,1,1)</f>
        <v>12667.700813876161</v>
      </c>
      <c r="D22" s="318">
        <f ca="1">-PV($C$9,$B22,,C22)</f>
        <v>4377.3887287722564</v>
      </c>
      <c r="E22" s="317">
        <f ca="1">OFFSET($C$7,,B22,1,1)</f>
        <v>0</v>
      </c>
      <c r="F22" s="318">
        <f ca="1">-PV($C$9,$B22,,E22)</f>
        <v>0</v>
      </c>
      <c r="G22" s="24">
        <f ca="1">C22+E22</f>
        <v>12667.700813876161</v>
      </c>
      <c r="H22" s="24">
        <f ca="1">SUM(D22+F22)</f>
        <v>4377.3887287722564</v>
      </c>
      <c r="J22" s="1">
        <f>B22</f>
        <v>9</v>
      </c>
      <c r="K22" s="24">
        <f ca="1">C22</f>
        <v>12667.700813876161</v>
      </c>
      <c r="L22" s="24">
        <f ca="1">E22</f>
        <v>0</v>
      </c>
      <c r="M22" s="317">
        <f ca="1">SUM(K22:L22)</f>
        <v>12667.700813876161</v>
      </c>
    </row>
    <row r="23" spans="2:13" x14ac:dyDescent="0.2">
      <c r="B23" s="321">
        <f>B22+1</f>
        <v>10</v>
      </c>
      <c r="C23" s="320">
        <f ca="1">OFFSET($C$6,,B23,1,1)</f>
        <v>13047.731838292446</v>
      </c>
      <c r="D23" s="322">
        <f ca="1">-PV($C$9,$B23,,C23)</f>
        <v>4006.604610496463</v>
      </c>
      <c r="E23" s="319">
        <f ca="1">OFFSET($C$7,,B23,1,1)</f>
        <v>125000</v>
      </c>
      <c r="F23" s="322">
        <f ca="1">-PV($C$9,$B23,,E23)</f>
        <v>38384.11016712011</v>
      </c>
      <c r="G23" s="320">
        <f ca="1">C23+E23</f>
        <v>138047.73183829244</v>
      </c>
      <c r="H23" s="320">
        <f ca="1">SUM(D23+F23)</f>
        <v>42390.714777616573</v>
      </c>
      <c r="J23" s="321">
        <f>B23</f>
        <v>10</v>
      </c>
      <c r="K23" s="320">
        <f ca="1">C23</f>
        <v>13047.731838292446</v>
      </c>
      <c r="L23" s="320">
        <f ca="1">E23</f>
        <v>125000</v>
      </c>
      <c r="M23" s="319">
        <f ca="1">SUM(K23:L23)</f>
        <v>138047.73183829244</v>
      </c>
    </row>
    <row r="24" spans="2:13" x14ac:dyDescent="0.2">
      <c r="B24" s="1"/>
      <c r="C24" s="24">
        <f ca="1">SUM(C14:C23)</f>
        <v>114638.7931147073</v>
      </c>
      <c r="D24" s="318">
        <f ca="1">SUM(D14:D23)</f>
        <v>61615.889832882218</v>
      </c>
      <c r="E24" s="317">
        <f ca="1">SUM(E14:E23)</f>
        <v>125000</v>
      </c>
      <c r="F24" s="318">
        <f ca="1">SUM(F14:F23)</f>
        <v>38384.11016712011</v>
      </c>
      <c r="G24" s="24">
        <f ca="1">SUM(G14:G23)</f>
        <v>239638.79311470728</v>
      </c>
      <c r="H24" s="24">
        <f ca="1">SUM(H14:H23)</f>
        <v>100000.00000000233</v>
      </c>
      <c r="K24" s="24">
        <f ca="1">SUM(K14:K23)</f>
        <v>114638.7931147073</v>
      </c>
      <c r="L24" s="24">
        <f ca="1">SUM(L14:L23)</f>
        <v>125000</v>
      </c>
      <c r="M24" s="317">
        <f ca="1">SUM(M14:M23)</f>
        <v>239638.79311470728</v>
      </c>
    </row>
    <row r="25" spans="2:13" x14ac:dyDescent="0.2">
      <c r="B25" s="1"/>
      <c r="D25" s="313">
        <f ca="1">D24/$H$24</f>
        <v>0.61615889832880788</v>
      </c>
      <c r="E25" s="314"/>
      <c r="F25" s="313">
        <f ca="1">F24/$H$24</f>
        <v>0.38384110167119218</v>
      </c>
      <c r="H25" s="316"/>
      <c r="K25" s="315">
        <f ca="1">K24/$M$24</f>
        <v>0.47838161603423468</v>
      </c>
      <c r="L25" s="315">
        <f ca="1">L24/$M$24</f>
        <v>0.52161838396576543</v>
      </c>
      <c r="M25" s="314"/>
    </row>
    <row r="30" spans="2:13" x14ac:dyDescent="0.2">
      <c r="E30" s="313"/>
    </row>
  </sheetData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5CD8-DD0C-7143-B2FB-0791A85B95F2}">
  <dimension ref="B2:I17"/>
  <sheetViews>
    <sheetView workbookViewId="0">
      <selection activeCell="I17" sqref="I17"/>
    </sheetView>
  </sheetViews>
  <sheetFormatPr baseColWidth="10" defaultColWidth="8.83203125" defaultRowHeight="15" x14ac:dyDescent="0.2"/>
  <cols>
    <col min="1" max="1" width="3.33203125" customWidth="1"/>
    <col min="2" max="3" width="10.6640625" customWidth="1"/>
    <col min="4" max="6" width="10.6640625" style="1" customWidth="1"/>
  </cols>
  <sheetData>
    <row r="2" spans="2:9" ht="16" x14ac:dyDescent="0.2">
      <c r="B2" s="346" t="s">
        <v>159</v>
      </c>
      <c r="C2" s="346"/>
      <c r="D2" s="345"/>
      <c r="E2" s="345"/>
      <c r="F2" s="345"/>
    </row>
    <row r="4" spans="2:9" x14ac:dyDescent="0.2">
      <c r="B4" s="340" t="s">
        <v>158</v>
      </c>
      <c r="C4" s="339"/>
      <c r="D4" s="338"/>
      <c r="E4" s="338"/>
      <c r="F4" s="344"/>
    </row>
    <row r="5" spans="2:9" x14ac:dyDescent="0.2">
      <c r="B5" s="342" t="s">
        <v>157</v>
      </c>
      <c r="F5" s="343">
        <v>0.1</v>
      </c>
    </row>
    <row r="6" spans="2:9" x14ac:dyDescent="0.2">
      <c r="B6" s="342" t="s">
        <v>156</v>
      </c>
      <c r="F6" s="341">
        <f>1-F5</f>
        <v>0.9</v>
      </c>
    </row>
    <row r="7" spans="2:9" x14ac:dyDescent="0.2">
      <c r="B7" t="s">
        <v>155</v>
      </c>
      <c r="F7" s="316">
        <f>SUM(F5:F6)</f>
        <v>1</v>
      </c>
    </row>
    <row r="10" spans="2:9" x14ac:dyDescent="0.2">
      <c r="B10" s="340" t="s">
        <v>154</v>
      </c>
      <c r="C10" s="339"/>
      <c r="D10" s="338"/>
      <c r="E10" s="338"/>
      <c r="F10" s="338"/>
    </row>
    <row r="11" spans="2:9" x14ac:dyDescent="0.2">
      <c r="B11" s="310" t="s">
        <v>153</v>
      </c>
      <c r="D11" s="337" t="s">
        <v>152</v>
      </c>
      <c r="E11" s="337" t="s">
        <v>151</v>
      </c>
      <c r="F11" s="337" t="s">
        <v>150</v>
      </c>
    </row>
    <row r="12" spans="2:9" x14ac:dyDescent="0.2">
      <c r="B12" t="s">
        <v>149</v>
      </c>
      <c r="D12" s="336">
        <v>0</v>
      </c>
      <c r="E12" s="334">
        <f>1-F12</f>
        <v>0.9</v>
      </c>
      <c r="F12" s="335">
        <f>D12+$F$5*(1-D12)</f>
        <v>0.1</v>
      </c>
    </row>
    <row r="13" spans="2:9" x14ac:dyDescent="0.2">
      <c r="D13" s="336"/>
      <c r="E13" s="334"/>
      <c r="F13" s="334"/>
    </row>
    <row r="14" spans="2:9" x14ac:dyDescent="0.2">
      <c r="B14" s="310" t="s">
        <v>148</v>
      </c>
      <c r="D14" s="336"/>
      <c r="E14" s="334"/>
      <c r="F14" s="334"/>
    </row>
    <row r="15" spans="2:9" x14ac:dyDescent="0.2">
      <c r="B15" t="s">
        <v>147</v>
      </c>
      <c r="D15" s="336">
        <v>0.2</v>
      </c>
      <c r="E15" s="334">
        <f>1-F15</f>
        <v>0.72</v>
      </c>
      <c r="F15" s="335">
        <f>D15+$F$5*(1-D15)</f>
        <v>0.28000000000000003</v>
      </c>
    </row>
    <row r="16" spans="2:9" x14ac:dyDescent="0.2">
      <c r="I16" s="334"/>
    </row>
    <row r="17" spans="2:2" x14ac:dyDescent="0.2">
      <c r="B17" s="333" t="s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8EADA-706F-4449-9911-EB2E32895E90}">
  <dimension ref="A1:BM38"/>
  <sheetViews>
    <sheetView tabSelected="1" zoomScale="70" zoomScaleNormal="70" workbookViewId="0">
      <selection activeCell="J33" sqref="J33:S33"/>
    </sheetView>
  </sheetViews>
  <sheetFormatPr baseColWidth="10" defaultColWidth="0" defaultRowHeight="15" zeroHeight="1" x14ac:dyDescent="0.2"/>
  <cols>
    <col min="1" max="1" width="2.6640625" style="25" customWidth="1"/>
    <col min="2" max="2" width="24.1640625" style="25" customWidth="1"/>
    <col min="3" max="5" width="15.6640625" style="25" customWidth="1"/>
    <col min="6" max="6" width="9.83203125" style="25" bestFit="1" customWidth="1"/>
    <col min="7" max="7" width="15.6640625" style="25" customWidth="1"/>
    <col min="8" max="8" width="14.5" style="25" bestFit="1" customWidth="1"/>
    <col min="9" max="9" width="2.6640625" style="25" customWidth="1"/>
    <col min="10" max="19" width="15.6640625" style="25" customWidth="1"/>
    <col min="20" max="20" width="2.6640625" style="25" customWidth="1"/>
    <col min="21" max="21" width="18.33203125" style="25" hidden="1" customWidth="1"/>
    <col min="22" max="22" width="9.1640625" style="25" hidden="1" customWidth="1"/>
    <col min="23" max="23" width="11.1640625" style="25" hidden="1" customWidth="1"/>
    <col min="24" max="24" width="9.1640625" style="25" hidden="1" customWidth="1"/>
    <col min="25" max="65" width="0" style="25" hidden="1" customWidth="1"/>
    <col min="66" max="16384" width="9.1640625" style="25" hidden="1"/>
  </cols>
  <sheetData>
    <row r="1" spans="2:19" x14ac:dyDescent="0.2"/>
    <row r="2" spans="2:19" x14ac:dyDescent="0.2"/>
    <row r="3" spans="2:19" x14ac:dyDescent="0.2"/>
    <row r="4" spans="2:19" x14ac:dyDescent="0.2"/>
    <row r="5" spans="2:19" x14ac:dyDescent="0.2"/>
    <row r="6" spans="2:19" ht="19" x14ac:dyDescent="0.25">
      <c r="B6" s="276" t="s">
        <v>165</v>
      </c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</row>
    <row r="7" spans="2:19" x14ac:dyDescent="0.2"/>
    <row r="8" spans="2:19" x14ac:dyDescent="0.2">
      <c r="B8" s="269" t="s">
        <v>113</v>
      </c>
    </row>
    <row r="9" spans="2:19" x14ac:dyDescent="0.2"/>
    <row r="10" spans="2:19" ht="32" x14ac:dyDescent="0.2">
      <c r="B10" s="268"/>
      <c r="C10" s="265" t="s">
        <v>92</v>
      </c>
      <c r="D10" s="247" t="s">
        <v>101</v>
      </c>
      <c r="E10" s="267" t="s">
        <v>100</v>
      </c>
      <c r="F10" s="265" t="s">
        <v>88</v>
      </c>
      <c r="G10" s="247" t="s">
        <v>94</v>
      </c>
      <c r="H10" s="60" t="s">
        <v>99</v>
      </c>
      <c r="I10" s="266"/>
      <c r="J10" s="265">
        <v>1</v>
      </c>
      <c r="K10" s="265">
        <v>2</v>
      </c>
      <c r="L10" s="265">
        <v>3</v>
      </c>
      <c r="M10" s="265">
        <v>4</v>
      </c>
      <c r="N10" s="265">
        <v>5</v>
      </c>
      <c r="O10" s="265">
        <v>6</v>
      </c>
      <c r="P10" s="265">
        <v>7</v>
      </c>
      <c r="Q10" s="265">
        <v>8</v>
      </c>
      <c r="R10" s="265">
        <v>9</v>
      </c>
      <c r="S10" s="264">
        <v>10</v>
      </c>
    </row>
    <row r="11" spans="2:19" ht="20" x14ac:dyDescent="0.25">
      <c r="B11" s="229" t="s">
        <v>164</v>
      </c>
      <c r="C11" s="350">
        <v>1000000</v>
      </c>
      <c r="D11" s="225">
        <v>2</v>
      </c>
      <c r="E11" s="225">
        <v>8</v>
      </c>
      <c r="F11" s="349">
        <f>E11-D11+1</f>
        <v>7</v>
      </c>
      <c r="G11" s="225">
        <v>2</v>
      </c>
      <c r="H11" s="224">
        <f>SUM(J11:S11)</f>
        <v>1000000</v>
      </c>
      <c r="I11" s="348"/>
      <c r="J11" s="347">
        <f>(_xlfn.NORM.DIST(AND(J$10&gt;=$D11,J$10&lt;=$E11)*(J$10-$D11+1),$F11/2,$G11,TRUE)-_xlfn.NORM.DIST(AND(J$10&gt;=$D11,J$10&lt;=$E11)*(I$10-$D11+1),$F11/2,$G11,TRUE))/(1-2*_xlfn.NORM.DIST(0,$F11/2,$G11,TRUE))*$C11</f>
        <v>0</v>
      </c>
      <c r="K11" s="347">
        <f>(_xlfn.NORM.DIST(AND(K$10&gt;=$D11,K$10&lt;=$E11)*(K$10-$D11+1),$F11/2,$G11,TRUE)-_xlfn.NORM.DIST(AND(K$10&gt;=$D11,K$10&lt;=$E11)*(J$10-$D11+1),$F11/2,$G11,TRUE))/(1-2*_xlfn.NORM.DIST(0,$F11/2,$G11,TRUE))*$C11</f>
        <v>71303.31843960374</v>
      </c>
      <c r="L11" s="347">
        <f>(_xlfn.NORM.DIST(AND(L$10&gt;=$D11,L$10&lt;=$E11)*(L$10-$D11+1),$F11/2,$G11,TRUE)-_xlfn.NORM.DIST(AND(L$10&gt;=$D11,L$10&lt;=$E11)*(K$10-$D11+1),$F11/2,$G11,TRUE))/(1-2*_xlfn.NORM.DIST(0,$F11/2,$G11,TRUE))*$C11</f>
        <v>131514.28114657884</v>
      </c>
      <c r="M11" s="347">
        <f>(_xlfn.NORM.DIST(AND(M$10&gt;=$D11,M$10&lt;=$E11)*(M$10-$D11+1),$F11/2,$G11,TRUE)-_xlfn.NORM.DIST(AND(M$10&gt;=$D11,M$10&lt;=$E11)*(L$10-$D11+1),$F11/2,$G11,TRUE))/(1-2*_xlfn.NORM.DIST(0,$F11/2,$G11,TRUE))*$C11</f>
        <v>189879.11657205396</v>
      </c>
      <c r="N11" s="347">
        <f>(_xlfn.NORM.DIST(AND(N$10&gt;=$D11,N$10&lt;=$E11)*(N$10-$D11+1),$F11/2,$G11,TRUE)-_xlfn.NORM.DIST(AND(N$10&gt;=$D11,N$10&lt;=$E11)*(M$10-$D11+1),$F11/2,$G11,TRUE))/(1-2*_xlfn.NORM.DIST(0,$F11/2,$G11,TRUE))*$C11</f>
        <v>214606.56768352698</v>
      </c>
      <c r="O11" s="347">
        <f>(_xlfn.NORM.DIST(AND(O$10&gt;=$D11,O$10&lt;=$E11)*(O$10-$D11+1),$F11/2,$G11,TRUE)-_xlfn.NORM.DIST(AND(O$10&gt;=$D11,O$10&lt;=$E11)*(N$10-$D11+1),$F11/2,$G11,TRUE))/(1-2*_xlfn.NORM.DIST(0,$F11/2,$G11,TRUE))*$C11</f>
        <v>189879.1165720539</v>
      </c>
      <c r="P11" s="347">
        <f>(_xlfn.NORM.DIST(AND(P$10&gt;=$D11,P$10&lt;=$E11)*(P$10-$D11+1),$F11/2,$G11,TRUE)-_xlfn.NORM.DIST(AND(P$10&gt;=$D11,P$10&lt;=$E11)*(O$10-$D11+1),$F11/2,$G11,TRUE))/(1-2*_xlfn.NORM.DIST(0,$F11/2,$G11,TRUE))*$C11</f>
        <v>131514.28114657893</v>
      </c>
      <c r="Q11" s="347">
        <f>(_xlfn.NORM.DIST(AND(Q$10&gt;=$D11,Q$10&lt;=$E11)*(Q$10-$D11+1),$F11/2,$G11,TRUE)-_xlfn.NORM.DIST(AND(Q$10&gt;=$D11,Q$10&lt;=$E11)*(P$10-$D11+1),$F11/2,$G11,TRUE))/(1-2*_xlfn.NORM.DIST(0,$F11/2,$G11,TRUE))*$C11</f>
        <v>71303.31843960371</v>
      </c>
      <c r="R11" s="347">
        <f>(_xlfn.NORM.DIST(AND(R$10&gt;=$D11,R$10&lt;=$E11)*(R$10-$D11+1),$F11/2,$G11,TRUE)-_xlfn.NORM.DIST(AND(R$10&gt;=$D11,R$10&lt;=$E11)*(Q$10-$D11+1),$F11/2,$G11,TRUE))/(1-2*_xlfn.NORM.DIST(0,$F11/2,$G11,TRUE))*$C11</f>
        <v>0</v>
      </c>
      <c r="S11" s="352">
        <f>(_xlfn.NORM.DIST(AND(S$10&gt;=$D11,S$10&lt;=$E11)*(S$10-$D11+1),$F11/2,$G11,TRUE)-_xlfn.NORM.DIST(AND(S$10&gt;=$D11,S$10&lt;=$E11)*(R$10-$D11+1),$F11/2,$G11,TRUE))/(1-2*_xlfn.NORM.DIST(0,$F11/2,$G11,TRUE))*$C11</f>
        <v>0</v>
      </c>
    </row>
    <row r="12" spans="2:19" x14ac:dyDescent="0.2"/>
    <row r="13" spans="2:19" ht="19" x14ac:dyDescent="0.25">
      <c r="B13" s="351" t="s">
        <v>163</v>
      </c>
    </row>
    <row r="14" spans="2:19" ht="5" customHeight="1" x14ac:dyDescent="0.2"/>
    <row r="15" spans="2:19" ht="40" x14ac:dyDescent="0.25">
      <c r="B15" s="229" t="s">
        <v>162</v>
      </c>
      <c r="C15" s="350">
        <v>500000</v>
      </c>
      <c r="D15" s="225">
        <v>2</v>
      </c>
      <c r="E15" s="225">
        <v>10</v>
      </c>
      <c r="F15" s="349">
        <f>E15-D15+1</f>
        <v>9</v>
      </c>
      <c r="G15" s="225">
        <v>1000000</v>
      </c>
      <c r="H15" s="224">
        <f>SUM(J15:S15)</f>
        <v>499999.99999999994</v>
      </c>
      <c r="I15" s="348"/>
      <c r="J15" s="347">
        <f>(_xlfn.NORM.DIST(AND(J$10&gt;=$D15,J$10&lt;=$E15)*(J$10-$D15+1),$F15/2,$G15,TRUE)-_xlfn.NORM.DIST(AND(J$10&gt;=$D15,J$10&lt;=$E15)*(I$10-$D15+1),$F15/2,$G15,TRUE))/(1-2*_xlfn.NORM.DIST(0,$F15/2,$G15,TRUE))*$C15</f>
        <v>0</v>
      </c>
      <c r="K15" s="347">
        <f>(_xlfn.NORM.DIST(AND(K$10&gt;=$D15,K$10&lt;=$E15)*(K$10-$D15+1),$F15/2,$G15,TRUE)-_xlfn.NORM.DIST(AND(K$10&gt;=$D15,K$10&lt;=$E15)*(J$10-$D15+1),$F15/2,$G15,TRUE))/(1-2*_xlfn.NORM.DIST(0,$F15/2,$G15,TRUE))*$C15</f>
        <v>55555.555552978782</v>
      </c>
      <c r="L15" s="347">
        <f>(_xlfn.NORM.DIST(AND(L$10&gt;=$D15,L$10&lt;=$E15)*(L$10-$D15+1),$F15/2,$G15,TRUE)-_xlfn.NORM.DIST(AND(L$10&gt;=$D15,L$10&lt;=$E15)*(K$10-$D15+1),$F15/2,$G15,TRUE))/(1-2*_xlfn.NORM.DIST(0,$F15/2,$G15,TRUE))*$C15</f>
        <v>55555.555552978782</v>
      </c>
      <c r="M15" s="347">
        <f>(_xlfn.NORM.DIST(AND(M$10&gt;=$D15,M$10&lt;=$E15)*(M$10-$D15+1),$F15/2,$G15,TRUE)-_xlfn.NORM.DIST(AND(M$10&gt;=$D15,M$10&lt;=$E15)*(L$10-$D15+1),$F15/2,$G15,TRUE))/(1-2*_xlfn.NORM.DIST(0,$F15/2,$G15,TRUE))*$C15</f>
        <v>55555.555560709101</v>
      </c>
      <c r="N15" s="347">
        <f>(_xlfn.NORM.DIST(AND(N$10&gt;=$D15,N$10&lt;=$E15)*(N$10-$D15+1),$F15/2,$G15,TRUE)-_xlfn.NORM.DIST(AND(N$10&gt;=$D15,N$10&lt;=$E15)*(M$10-$D15+1),$F15/2,$G15,TRUE))/(1-2*_xlfn.NORM.DIST(0,$F15/2,$G15,TRUE))*$C15</f>
        <v>55555.555552978782</v>
      </c>
      <c r="O15" s="347">
        <f>(_xlfn.NORM.DIST(AND(O$10&gt;=$D15,O$10&lt;=$E15)*(O$10-$D15+1),$F15/2,$G15,TRUE)-_xlfn.NORM.DIST(AND(O$10&gt;=$D15,O$10&lt;=$E15)*(N$10-$D15+1),$F15/2,$G15,TRUE))/(1-2*_xlfn.NORM.DIST(0,$F15/2,$G15,TRUE))*$C15</f>
        <v>55555.555568439428</v>
      </c>
      <c r="P15" s="347">
        <f>(_xlfn.NORM.DIST(AND(P$10&gt;=$D15,P$10&lt;=$E15)*(P$10-$D15+1),$F15/2,$G15,TRUE)-_xlfn.NORM.DIST(AND(P$10&gt;=$D15,P$10&lt;=$E15)*(O$10-$D15+1),$F15/2,$G15,TRUE))/(1-2*_xlfn.NORM.DIST(0,$F15/2,$G15,TRUE))*$C15</f>
        <v>55555.555545248455</v>
      </c>
      <c r="Q15" s="347">
        <f>(_xlfn.NORM.DIST(AND(Q$10&gt;=$D15,Q$10&lt;=$E15)*(Q$10-$D15+1),$F15/2,$G15,TRUE)-_xlfn.NORM.DIST(AND(Q$10&gt;=$D15,Q$10&lt;=$E15)*(P$10-$D15+1),$F15/2,$G15,TRUE))/(1-2*_xlfn.NORM.DIST(0,$F15/2,$G15,TRUE))*$C15</f>
        <v>55555.555560709101</v>
      </c>
      <c r="R15" s="347">
        <f>(_xlfn.NORM.DIST(AND(R$10&gt;=$D15,R$10&lt;=$E15)*(R$10-$D15+1),$F15/2,$G15,TRUE)-_xlfn.NORM.DIST(AND(R$10&gt;=$D15,R$10&lt;=$E15)*(Q$10-$D15+1),$F15/2,$G15,TRUE))/(1-2*_xlfn.NORM.DIST(0,$F15/2,$G15,TRUE))*$C15</f>
        <v>55555.555560709101</v>
      </c>
      <c r="S15" s="352">
        <f>(_xlfn.NORM.DIST(AND(S$10&gt;=$D15,S$10&lt;=$E15)*(S$10-$D15+1),$F15/2,$G15,TRUE)-_xlfn.NORM.DIST(AND(S$10&gt;=$D15,S$10&lt;=$E15)*(R$10-$D15+1),$F15/2,$G15,TRUE))/(1-2*_xlfn.NORM.DIST(0,$F15/2,$G15,TRUE))*$C15</f>
        <v>55555.555545248455</v>
      </c>
    </row>
    <row r="16" spans="2:19" x14ac:dyDescent="0.2"/>
    <row r="17" spans="2:19" ht="19" x14ac:dyDescent="0.25">
      <c r="B17" s="351" t="s">
        <v>161</v>
      </c>
    </row>
    <row r="18" spans="2:19" ht="5" customHeight="1" x14ac:dyDescent="0.2"/>
    <row r="19" spans="2:19" ht="40" x14ac:dyDescent="0.25">
      <c r="B19" s="229" t="s">
        <v>160</v>
      </c>
      <c r="C19" s="350">
        <v>500000</v>
      </c>
      <c r="D19" s="225">
        <v>2</v>
      </c>
      <c r="E19" s="225">
        <v>10</v>
      </c>
      <c r="F19" s="349">
        <f>E19-D19+1</f>
        <v>9</v>
      </c>
      <c r="G19" s="349"/>
      <c r="H19" s="224">
        <f>SUM(J19:S19)</f>
        <v>500000</v>
      </c>
      <c r="I19" s="348"/>
      <c r="J19" s="347">
        <f>AND(J$10&gt;=$D19,J$10&lt;=$E19)*$C19/$F19</f>
        <v>0</v>
      </c>
      <c r="K19" s="347">
        <f>AND(K$10&gt;=$D19,K$10&lt;=$E19)*$C19/$F19</f>
        <v>55555.555555555555</v>
      </c>
      <c r="L19" s="347">
        <f>AND(L$10&gt;=$D19,L$10&lt;=$E19)*$C19/$F19</f>
        <v>55555.555555555555</v>
      </c>
      <c r="M19" s="347">
        <f>AND(M$10&gt;=$D19,M$10&lt;=$E19)*$C19/$F19</f>
        <v>55555.555555555555</v>
      </c>
      <c r="N19" s="347">
        <f>AND(N$10&gt;=$D19,N$10&lt;=$E19)*$C19/$F19</f>
        <v>55555.555555555555</v>
      </c>
      <c r="O19" s="347">
        <f>AND(O$10&gt;=$D19,O$10&lt;=$E19)*$C19/$F19</f>
        <v>55555.555555555555</v>
      </c>
      <c r="P19" s="347">
        <f>AND(P$10&gt;=$D19,P$10&lt;=$E19)*$C19/$F19</f>
        <v>55555.555555555555</v>
      </c>
      <c r="Q19" s="347">
        <f>AND(Q$10&gt;=$D19,Q$10&lt;=$E19)*$C19/$F19</f>
        <v>55555.555555555555</v>
      </c>
      <c r="R19" s="347">
        <f>AND(R$10&gt;=$D19,R$10&lt;=$E19)*$C19/$F19</f>
        <v>55555.555555555555</v>
      </c>
      <c r="S19" s="352">
        <f>AND(S$10&gt;=$D19,S$10&lt;=$E19)*$C19/$F19</f>
        <v>55555.555555555555</v>
      </c>
    </row>
    <row r="20" spans="2:19" x14ac:dyDescent="0.2"/>
    <row r="21" spans="2:19" x14ac:dyDescent="0.2"/>
    <row r="22" spans="2:19" ht="19" x14ac:dyDescent="0.25">
      <c r="B22" s="351" t="s">
        <v>112</v>
      </c>
    </row>
    <row r="23" spans="2:19" x14ac:dyDescent="0.2"/>
    <row r="24" spans="2:19" ht="32" x14ac:dyDescent="0.2">
      <c r="B24" s="268"/>
      <c r="C24" s="265" t="s">
        <v>92</v>
      </c>
      <c r="D24" s="247" t="s">
        <v>101</v>
      </c>
      <c r="E24" s="267" t="s">
        <v>100</v>
      </c>
      <c r="F24" s="265" t="s">
        <v>88</v>
      </c>
      <c r="G24" s="247" t="s">
        <v>94</v>
      </c>
      <c r="H24" s="60" t="s">
        <v>99</v>
      </c>
      <c r="I24" s="266"/>
      <c r="J24" s="265">
        <v>1</v>
      </c>
      <c r="K24" s="265">
        <v>2</v>
      </c>
      <c r="L24" s="265">
        <v>3</v>
      </c>
      <c r="M24" s="265">
        <v>4</v>
      </c>
      <c r="N24" s="265">
        <v>5</v>
      </c>
      <c r="O24" s="265">
        <v>6</v>
      </c>
      <c r="P24" s="265">
        <v>7</v>
      </c>
      <c r="Q24" s="265">
        <v>8</v>
      </c>
      <c r="R24" s="265">
        <v>9</v>
      </c>
      <c r="S24" s="264">
        <v>10</v>
      </c>
    </row>
    <row r="25" spans="2:19" ht="20" x14ac:dyDescent="0.25">
      <c r="B25" s="229" t="s">
        <v>164</v>
      </c>
      <c r="C25" s="350">
        <v>1000000</v>
      </c>
      <c r="D25" s="225">
        <v>2</v>
      </c>
      <c r="E25" s="225">
        <v>8</v>
      </c>
      <c r="F25" s="349">
        <f>E25-D25+1</f>
        <v>7</v>
      </c>
      <c r="G25" s="225">
        <v>2</v>
      </c>
      <c r="H25" s="224">
        <f>SUM(J25:S25)</f>
        <v>1000000</v>
      </c>
      <c r="I25" s="348"/>
      <c r="J25" s="347">
        <f>(_xlfn.NORM.DIST(AND(J$24&gt;=$D25,J$24&lt;=$E25)*(J$24-$D25+1),$F25/2,$G25,TRUE)-_xlfn.NORM.DIST(AND(J$24&gt;=$D25,J$24&lt;=$E25)*(I$24-$D25+1),$F25/2,$G25,TRUE))/(1-2*_xlfn.NORM.DIST(0,$F25/2,$G25,TRUE))*$C25</f>
        <v>0</v>
      </c>
      <c r="K25" s="347">
        <f>(_xlfn.NORM.DIST(AND(K$24&gt;=$D25,K$24&lt;=$E25)*(K$24-$D25+1),$F25/2,$G25,TRUE)-_xlfn.NORM.DIST(AND(K$24&gt;=$D25,K$24&lt;=$E25)*(J$24-$D25+1),$F25/2,$G25,TRUE))/(1-2*_xlfn.NORM.DIST(0,$F25/2,$G25,TRUE))*$C25</f>
        <v>71303.31843960374</v>
      </c>
      <c r="L25" s="347">
        <f>(_xlfn.NORM.DIST(AND(L$24&gt;=$D25,L$24&lt;=$E25)*(L$24-$D25+1),$F25/2,$G25,TRUE)-_xlfn.NORM.DIST(AND(L$24&gt;=$D25,L$24&lt;=$E25)*(K$24-$D25+1),$F25/2,$G25,TRUE))/(1-2*_xlfn.NORM.DIST(0,$F25/2,$G25,TRUE))*$C25</f>
        <v>131514.28114657884</v>
      </c>
      <c r="M25" s="347">
        <f>(_xlfn.NORM.DIST(AND(M$24&gt;=$D25,M$24&lt;=$E25)*(M$24-$D25+1),$F25/2,$G25,TRUE)-_xlfn.NORM.DIST(AND(M$24&gt;=$D25,M$24&lt;=$E25)*(L$24-$D25+1),$F25/2,$G25,TRUE))/(1-2*_xlfn.NORM.DIST(0,$F25/2,$G25,TRUE))*$C25</f>
        <v>189879.11657205396</v>
      </c>
      <c r="N25" s="347">
        <f>(_xlfn.NORM.DIST(AND(N$24&gt;=$D25,N$24&lt;=$E25)*(N$24-$D25+1),$F25/2,$G25,TRUE)-_xlfn.NORM.DIST(AND(N$24&gt;=$D25,N$24&lt;=$E25)*(M$24-$D25+1),$F25/2,$G25,TRUE))/(1-2*_xlfn.NORM.DIST(0,$F25/2,$G25,TRUE))*$C25</f>
        <v>214606.56768352698</v>
      </c>
      <c r="O25" s="347">
        <f>(_xlfn.NORM.DIST(AND(O$24&gt;=$D25,O$24&lt;=$E25)*(O$24-$D25+1),$F25/2,$G25,TRUE)-_xlfn.NORM.DIST(AND(O$24&gt;=$D25,O$24&lt;=$E25)*(N$24-$D25+1),$F25/2,$G25,TRUE))/(1-2*_xlfn.NORM.DIST(0,$F25/2,$G25,TRUE))*$C25</f>
        <v>189879.1165720539</v>
      </c>
      <c r="P25" s="347">
        <f>(_xlfn.NORM.DIST(AND(P$24&gt;=$D25,P$24&lt;=$E25)*(P$24-$D25+1),$F25/2,$G25,TRUE)-_xlfn.NORM.DIST(AND(P$24&gt;=$D25,P$24&lt;=$E25)*(O$24-$D25+1),$F25/2,$G25,TRUE))/(1-2*_xlfn.NORM.DIST(0,$F25/2,$G25,TRUE))*$C25</f>
        <v>131514.28114657893</v>
      </c>
      <c r="Q25" s="347">
        <f>(_xlfn.NORM.DIST(AND(Q$24&gt;=$D25,Q$24&lt;=$E25)*(Q$24-$D25+1),$F25/2,$G25,TRUE)-_xlfn.NORM.DIST(AND(Q$24&gt;=$D25,Q$24&lt;=$E25)*(P$24-$D25+1),$F25/2,$G25,TRUE))/(1-2*_xlfn.NORM.DIST(0,$F25/2,$G25,TRUE))*$C25</f>
        <v>71303.31843960371</v>
      </c>
      <c r="R25" s="347">
        <f>(_xlfn.NORM.DIST(AND(R$24&gt;=$D25,R$24&lt;=$E25)*(R$24-$D25+1),$F25/2,$G25,TRUE)-_xlfn.NORM.DIST(AND(R$24&gt;=$D25,R$24&lt;=$E25)*(Q$24-$D25+1),$F25/2,$G25,TRUE))/(1-2*_xlfn.NORM.DIST(0,$F25/2,$G25,TRUE))*$C25</f>
        <v>0</v>
      </c>
      <c r="S25" s="347">
        <f>(_xlfn.NORM.DIST(AND(S$24&gt;=$D25,S$24&lt;=$E25)*(S$24-$D25+1),$F25/2,$G25,TRUE)-_xlfn.NORM.DIST(AND(S$24&gt;=$D25,S$24&lt;=$E25)*(R$24-$D25+1),$F25/2,$G25,TRUE))/(1-2*_xlfn.NORM.DIST(0,$F25/2,$G25,TRUE))*$C25</f>
        <v>0</v>
      </c>
    </row>
    <row r="26" spans="2:19" x14ac:dyDescent="0.2"/>
    <row r="27" spans="2:19" ht="19" x14ac:dyDescent="0.25">
      <c r="B27" s="351" t="s">
        <v>163</v>
      </c>
    </row>
    <row r="28" spans="2:19" x14ac:dyDescent="0.2"/>
    <row r="29" spans="2:19" ht="40" x14ac:dyDescent="0.25">
      <c r="B29" s="229" t="s">
        <v>162</v>
      </c>
      <c r="C29" s="350">
        <v>500000</v>
      </c>
      <c r="D29" s="225">
        <v>5</v>
      </c>
      <c r="E29" s="225">
        <v>8</v>
      </c>
      <c r="F29" s="349">
        <f>E29-D29+1</f>
        <v>4</v>
      </c>
      <c r="G29" s="225">
        <v>2</v>
      </c>
      <c r="H29" s="224">
        <f>SUM(J29:S29)</f>
        <v>500000</v>
      </c>
      <c r="I29" s="348"/>
      <c r="J29" s="347">
        <f>(_xlfn.NORM.DIST(AND(J$24&gt;=$D29,J$24&lt;=$E29)*(J$24-$D29+1),$F29/2,$G29,TRUE)-_xlfn.NORM.DIST(AND(J$24&gt;=$D29,J$24&lt;=$E29)*(I$24-$D29+1),$F29/2,$G29,TRUE))/(1-2*_xlfn.NORM.DIST(0,$F29/2,$G29,TRUE))*$C29</f>
        <v>0</v>
      </c>
      <c r="K29" s="347">
        <f>(_xlfn.NORM.DIST(AND(K$24&gt;=$D29,K$24&lt;=$E29)*(K$24-$D29+1),$F29/2,$G29,TRUE)-_xlfn.NORM.DIST(AND(K$24&gt;=$D29,K$24&lt;=$E29)*(J$24-$D29+1),$F29/2,$G29,TRUE))/(1-2*_xlfn.NORM.DIST(0,$F29/2,$G29,TRUE))*$C29</f>
        <v>0</v>
      </c>
      <c r="L29" s="347">
        <f>(_xlfn.NORM.DIST(AND(L$24&gt;=$D29,L$24&lt;=$E29)*(L$24-$D29+1),$F29/2,$G29,TRUE)-_xlfn.NORM.DIST(AND(L$24&gt;=$D29,L$24&lt;=$E29)*(K$24-$D29+1),$F29/2,$G29,TRUE))/(1-2*_xlfn.NORM.DIST(0,$F29/2,$G29,TRUE))*$C29</f>
        <v>0</v>
      </c>
      <c r="M29" s="347">
        <f>(_xlfn.NORM.DIST(AND(M$24&gt;=$D29,M$24&lt;=$E29)*(M$24-$D29+1),$F29/2,$G29,TRUE)-_xlfn.NORM.DIST(AND(M$24&gt;=$D29,M$24&lt;=$E29)*(L$24-$D29+1),$F29/2,$G29,TRUE))/(1-2*_xlfn.NORM.DIST(0,$F29/2,$G29,TRUE))*$C29</f>
        <v>0</v>
      </c>
      <c r="N29" s="347">
        <f>(_xlfn.NORM.DIST(AND(N$24&gt;=$D29,N$24&lt;=$E29)*(N$24-$D29+1),$F29/2,$G29,TRUE)-_xlfn.NORM.DIST(AND(N$24&gt;=$D29,N$24&lt;=$E29)*(M$24-$D29+1),$F29/2,$G29,TRUE))/(1-2*_xlfn.NORM.DIST(0,$F29/2,$G29,TRUE))*$C29</f>
        <v>109773.39370299922</v>
      </c>
      <c r="O29" s="347">
        <f>(_xlfn.NORM.DIST(AND(O$24&gt;=$D29,O$24&lt;=$E29)*(O$24-$D29+1),$F29/2,$G29,TRUE)-_xlfn.NORM.DIST(AND(O$24&gt;=$D29,O$24&lt;=$E29)*(N$24-$D29+1),$F29/2,$G29,TRUE))/(1-2*_xlfn.NORM.DIST(0,$F29/2,$G29,TRUE))*$C29</f>
        <v>140226.60629700075</v>
      </c>
      <c r="P29" s="347">
        <f>(_xlfn.NORM.DIST(AND(P$24&gt;=$D29,P$24&lt;=$E29)*(P$24-$D29+1),$F29/2,$G29,TRUE)-_xlfn.NORM.DIST(AND(P$24&gt;=$D29,P$24&lt;=$E29)*(O$24-$D29+1),$F29/2,$G29,TRUE))/(1-2*_xlfn.NORM.DIST(0,$F29/2,$G29,TRUE))*$C29</f>
        <v>140226.60629700075</v>
      </c>
      <c r="Q29" s="347">
        <f>(_xlfn.NORM.DIST(AND(Q$24&gt;=$D29,Q$24&lt;=$E29)*(Q$24-$D29+1),$F29/2,$G29,TRUE)-_xlfn.NORM.DIST(AND(Q$24&gt;=$D29,Q$24&lt;=$E29)*(P$24-$D29+1),$F29/2,$G29,TRUE))/(1-2*_xlfn.NORM.DIST(0,$F29/2,$G29,TRUE))*$C29</f>
        <v>109773.39370299925</v>
      </c>
      <c r="R29" s="347">
        <f>(_xlfn.NORM.DIST(AND(R$24&gt;=$D29,R$24&lt;=$E29)*(R$24-$D29+1),$F29/2,$G29,TRUE)-_xlfn.NORM.DIST(AND(R$24&gt;=$D29,R$24&lt;=$E29)*(Q$24-$D29+1),$F29/2,$G29,TRUE))/(1-2*_xlfn.NORM.DIST(0,$F29/2,$G29,TRUE))*$C29</f>
        <v>0</v>
      </c>
      <c r="S29" s="347">
        <f>(_xlfn.NORM.DIST(AND(S$24&gt;=$D29,S$24&lt;=$E29)*(S$24-$D29+1),$F29/2,$G29,TRUE)-_xlfn.NORM.DIST(AND(S$24&gt;=$D29,S$24&lt;=$E29)*(R$24-$D29+1),$F29/2,$G29,TRUE))/(1-2*_xlfn.NORM.DIST(0,$F29/2,$G29,TRUE))*$C29</f>
        <v>0</v>
      </c>
    </row>
    <row r="30" spans="2:19" x14ac:dyDescent="0.2"/>
    <row r="31" spans="2:19" ht="19" x14ac:dyDescent="0.25">
      <c r="B31" s="351" t="s">
        <v>161</v>
      </c>
    </row>
    <row r="32" spans="2:19" x14ac:dyDescent="0.2"/>
    <row r="33" spans="2:31" ht="40" x14ac:dyDescent="0.25">
      <c r="B33" s="229" t="s">
        <v>160</v>
      </c>
      <c r="C33" s="350">
        <v>500000</v>
      </c>
      <c r="D33" s="225">
        <v>5</v>
      </c>
      <c r="E33" s="225">
        <v>8</v>
      </c>
      <c r="F33" s="349">
        <f>E33-D33+1</f>
        <v>4</v>
      </c>
      <c r="G33" s="349"/>
      <c r="H33" s="224">
        <f>SUM(J33:S33)</f>
        <v>500000</v>
      </c>
      <c r="I33" s="348"/>
      <c r="J33" s="347">
        <f>AND(J$24&gt;=$D33,J$24&lt;=$E33)*$C33/$F33</f>
        <v>0</v>
      </c>
      <c r="K33" s="347">
        <f>AND(K$24&gt;=$D33,K$24&lt;=$E33)*$C33/$F33</f>
        <v>0</v>
      </c>
      <c r="L33" s="347">
        <f>AND(L$24&gt;=$D33,L$24&lt;=$E33)*$C33/$F33</f>
        <v>0</v>
      </c>
      <c r="M33" s="347">
        <f>AND(M$24&gt;=$D33,M$24&lt;=$E33)*$C33/$F33</f>
        <v>0</v>
      </c>
      <c r="N33" s="347">
        <f>AND(N$24&gt;=$D33,N$24&lt;=$E33)*$C33/$F33</f>
        <v>125000</v>
      </c>
      <c r="O33" s="347">
        <f>AND(O$24&gt;=$D33,O$24&lt;=$E33)*$C33/$F33</f>
        <v>125000</v>
      </c>
      <c r="P33" s="347">
        <f>AND(P$24&gt;=$D33,P$24&lt;=$E33)*$C33/$F33</f>
        <v>125000</v>
      </c>
      <c r="Q33" s="347">
        <f>AND(Q$24&gt;=$D33,Q$24&lt;=$E33)*$C33/$F33</f>
        <v>125000</v>
      </c>
      <c r="R33" s="347">
        <f>AND(R$24&gt;=$D33,R$24&lt;=$E33)*$C33/$F33</f>
        <v>0</v>
      </c>
      <c r="S33" s="347">
        <f>AND(S$24&gt;=$D33,S$24&lt;=$E33)*$C33/$F33</f>
        <v>0</v>
      </c>
    </row>
    <row r="34" spans="2:31" x14ac:dyDescent="0.2"/>
    <row r="36" spans="2:31" hidden="1" x14ac:dyDescent="0.2">
      <c r="V36" s="201"/>
      <c r="W36" s="201"/>
      <c r="X36" s="201"/>
      <c r="Y36" s="201"/>
      <c r="Z36" s="201"/>
      <c r="AA36" s="201"/>
      <c r="AB36" s="201"/>
      <c r="AC36" s="201"/>
      <c r="AD36" s="201"/>
      <c r="AE36" s="201"/>
    </row>
    <row r="37" spans="2:31" hidden="1" x14ac:dyDescent="0.2">
      <c r="V37" s="201"/>
      <c r="W37" s="201"/>
      <c r="X37" s="201"/>
      <c r="Y37" s="201"/>
      <c r="Z37" s="201"/>
      <c r="AA37" s="201"/>
      <c r="AB37" s="201"/>
      <c r="AC37" s="201"/>
      <c r="AD37" s="201"/>
      <c r="AE37" s="201"/>
    </row>
    <row r="38" spans="2:31" hidden="1" x14ac:dyDescent="0.2">
      <c r="V38" s="201"/>
      <c r="W38" s="201"/>
      <c r="X38" s="201"/>
      <c r="Y38" s="201"/>
      <c r="Z38" s="201"/>
      <c r="AA38" s="201"/>
      <c r="AB38" s="201"/>
      <c r="AC38" s="201"/>
      <c r="AD38" s="201"/>
      <c r="AE38" s="201"/>
    </row>
  </sheetData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Amortization</vt:lpstr>
      <vt:lpstr>Draw Schedule Circular Ref.</vt:lpstr>
      <vt:lpstr>Custom Formulas</vt:lpstr>
      <vt:lpstr>Dynamic Steady Growth</vt:lpstr>
      <vt:lpstr>Bell-Curve Calculator</vt:lpstr>
      <vt:lpstr>Loan Payoff Calculator</vt:lpstr>
      <vt:lpstr>Partitioning IRR and EMx</vt:lpstr>
      <vt:lpstr>Promote Calculator</vt:lpstr>
      <vt:lpstr>Straight Line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David Polnick</cp:lastModifiedBy>
  <dcterms:created xsi:type="dcterms:W3CDTF">2018-06-11T02:52:26Z</dcterms:created>
  <dcterms:modified xsi:type="dcterms:W3CDTF">2026-10-21T02:57:27Z</dcterms:modified>
</cp:coreProperties>
</file>