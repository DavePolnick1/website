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4. Income Statements\"/>
    </mc:Choice>
  </mc:AlternateContent>
  <xr:revisionPtr revIDLastSave="0" documentId="13_ncr:1_{6B1E62CE-CEFD-40DC-8088-CC22E73ABB85}" xr6:coauthVersionLast="47" xr6:coauthVersionMax="47" xr10:uidLastSave="{00000000-0000-0000-0000-000000000000}"/>
  <bookViews>
    <workbookView xWindow="-108" yWindow="-108" windowWidth="23256" windowHeight="12456" xr2:uid="{4999BD98-0C8E-4E6C-9489-A856829CF7A8}"/>
  </bookViews>
  <sheets>
    <sheet name="Office" sheetId="2" r:id="rId1"/>
    <sheet name="Office Detailed Op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D55" i="2"/>
  <c r="D54" i="2"/>
  <c r="D53" i="2"/>
  <c r="D52" i="2"/>
  <c r="D51" i="2"/>
  <c r="D50" i="2"/>
  <c r="D49" i="2"/>
  <c r="D48" i="2"/>
  <c r="D41" i="2"/>
  <c r="D40" i="2"/>
  <c r="D37" i="2"/>
  <c r="D36" i="2"/>
  <c r="D35" i="2"/>
  <c r="D34" i="2"/>
  <c r="D33" i="2"/>
  <c r="D32" i="2"/>
  <c r="D31" i="2"/>
  <c r="D30" i="2"/>
  <c r="D29" i="2"/>
  <c r="D19" i="2"/>
  <c r="D18" i="2"/>
  <c r="D17" i="2"/>
  <c r="D16" i="2"/>
  <c r="D15" i="2"/>
  <c r="D11" i="2"/>
  <c r="D10" i="2"/>
  <c r="D9" i="2"/>
  <c r="D8" i="2"/>
  <c r="K61" i="1"/>
  <c r="K60" i="1"/>
  <c r="H55" i="1"/>
  <c r="H54" i="1"/>
  <c r="H51" i="1"/>
  <c r="H50" i="1"/>
  <c r="H49" i="1"/>
  <c r="H48" i="1"/>
  <c r="H47" i="1"/>
  <c r="H46" i="1"/>
  <c r="H45" i="1"/>
  <c r="H44" i="1"/>
  <c r="H37" i="1"/>
  <c r="H36" i="1"/>
  <c r="H33" i="1"/>
  <c r="H32" i="1"/>
  <c r="H31" i="1"/>
  <c r="H30" i="1"/>
  <c r="H29" i="1"/>
  <c r="H28" i="1"/>
  <c r="H27" i="1"/>
  <c r="H26" i="1"/>
  <c r="H25" i="1"/>
  <c r="H15" i="1"/>
  <c r="H14" i="1"/>
  <c r="H13" i="1"/>
  <c r="H12" i="1"/>
  <c r="H11" i="1"/>
  <c r="H7" i="1"/>
  <c r="H6" i="1"/>
  <c r="H5" i="1"/>
  <c r="H4" i="1"/>
  <c r="I62" i="1"/>
  <c r="I60" i="1"/>
  <c r="I21" i="1"/>
  <c r="H56" i="1" l="1"/>
  <c r="H52" i="1"/>
  <c r="H38" i="1"/>
  <c r="H16" i="1"/>
  <c r="H8" i="1"/>
  <c r="C8" i="2"/>
  <c r="C9" i="2"/>
  <c r="C10" i="2"/>
  <c r="C11" i="2"/>
  <c r="D12" i="2"/>
  <c r="C15" i="2"/>
  <c r="C16" i="2"/>
  <c r="C17" i="2"/>
  <c r="C18" i="2"/>
  <c r="C19" i="2"/>
  <c r="D20" i="2"/>
  <c r="C20" i="2" s="1"/>
  <c r="C24" i="2"/>
  <c r="C29" i="2"/>
  <c r="C30" i="2"/>
  <c r="C31" i="2"/>
  <c r="C32" i="2"/>
  <c r="C33" i="2"/>
  <c r="C34" i="2"/>
  <c r="C36" i="2"/>
  <c r="C37" i="2"/>
  <c r="C40" i="2"/>
  <c r="C41" i="2"/>
  <c r="D42" i="2"/>
  <c r="C42" i="2" s="1"/>
  <c r="C48" i="2"/>
  <c r="C49" i="2"/>
  <c r="C50" i="2"/>
  <c r="C51" i="2"/>
  <c r="C52" i="2"/>
  <c r="C53" i="2"/>
  <c r="C54" i="2"/>
  <c r="C55" i="2"/>
  <c r="D56" i="2"/>
  <c r="C56" i="2" s="1"/>
  <c r="C58" i="2"/>
  <c r="C59" i="2"/>
  <c r="D60" i="2"/>
  <c r="C60" i="2" s="1"/>
  <c r="C68" i="2"/>
  <c r="C69" i="2"/>
  <c r="C70" i="2"/>
  <c r="C71" i="2"/>
  <c r="D72" i="2"/>
  <c r="C72" i="2" s="1"/>
  <c r="D23" i="2" l="1"/>
  <c r="D25" i="2" s="1"/>
  <c r="C12" i="2"/>
  <c r="H58" i="1"/>
  <c r="H19" i="1"/>
  <c r="H21" i="1"/>
  <c r="C23" i="2"/>
  <c r="D62" i="2"/>
  <c r="C25" i="2" l="1"/>
  <c r="C62" i="2"/>
  <c r="C35" i="2" l="1"/>
  <c r="D38" i="2"/>
  <c r="H34" i="1"/>
  <c r="D44" i="2" l="1"/>
  <c r="C38" i="2"/>
  <c r="H40" i="1"/>
  <c r="C44" i="2" l="1"/>
  <c r="D64" i="2"/>
  <c r="H60" i="1"/>
  <c r="C64" i="2" l="1"/>
  <c r="D66" i="2"/>
  <c r="H62" i="1"/>
  <c r="C66" i="2" l="1"/>
  <c r="D74" i="2"/>
  <c r="D78" i="2" s="1"/>
</calcChain>
</file>

<file path=xl/sharedStrings.xml><?xml version="1.0" encoding="utf-8"?>
<sst xmlns="http://schemas.openxmlformats.org/spreadsheetml/2006/main" count="333" uniqueCount="208">
  <si>
    <t xml:space="preserve">Office Park </t>
  </si>
  <si>
    <t>YTD Operating Statement</t>
  </si>
  <si>
    <r>
      <rPr>
        <b/>
        <u/>
        <sz val="9"/>
        <rFont val="Calibri"/>
        <family val="2"/>
        <scheme val="minor"/>
      </rPr>
      <t>Income</t>
    </r>
  </si>
  <si>
    <t>Rental Income</t>
  </si>
  <si>
    <t>Base Rent</t>
  </si>
  <si>
    <t>Escalations</t>
  </si>
  <si>
    <t>Free Rent</t>
  </si>
  <si>
    <t>Total Rental Income</t>
  </si>
  <si>
    <t>CAM Expense Recoveries</t>
  </si>
  <si>
    <t>CAM Expense Recovery</t>
  </si>
  <si>
    <t>Total CAM Expense Recoveries</t>
  </si>
  <si>
    <t>Utility Recoveries</t>
  </si>
  <si>
    <t>Utility Recovery</t>
  </si>
  <si>
    <t>Other Income-Building Related</t>
  </si>
  <si>
    <t>Parking Rent</t>
  </si>
  <si>
    <t>Late Fees</t>
  </si>
  <si>
    <t>Other Reimbursements</t>
  </si>
  <si>
    <t>Tenant Work Orders</t>
  </si>
  <si>
    <t>Other Income</t>
  </si>
  <si>
    <t>Telecom/Antenna</t>
  </si>
  <si>
    <t>Building Amenity Income</t>
  </si>
  <si>
    <t>Total Other Income</t>
  </si>
  <si>
    <t>Total Income</t>
  </si>
  <si>
    <t>Operating Expenses</t>
  </si>
  <si>
    <t/>
  </si>
  <si>
    <t>Recoverable Expenses</t>
  </si>
  <si>
    <t>Utilities</t>
  </si>
  <si>
    <t>Utilities-Water/Sewer</t>
  </si>
  <si>
    <t>Utilities-Electric</t>
  </si>
  <si>
    <t>Tenant Reimb-Sub-Meter</t>
  </si>
  <si>
    <t>Total Utilities</t>
  </si>
  <si>
    <t>Repairs &amp; Maintenance</t>
  </si>
  <si>
    <t>Payroll &amp; Related</t>
  </si>
  <si>
    <t>HVAC</t>
  </si>
  <si>
    <t>Elevator</t>
  </si>
  <si>
    <t>Janitorial</t>
  </si>
  <si>
    <t>Grounds</t>
  </si>
  <si>
    <t>Garage/Parking</t>
  </si>
  <si>
    <t>Fire/Life Safety</t>
  </si>
  <si>
    <t>Security</t>
  </si>
  <si>
    <t>Plumbing</t>
  </si>
  <si>
    <t>Electrical</t>
  </si>
  <si>
    <t>Exterior Maintenance</t>
  </si>
  <si>
    <t>Interior Maintenance</t>
  </si>
  <si>
    <t>General Maintenance</t>
  </si>
  <si>
    <t>Total Repairs &amp; Maintenance</t>
  </si>
  <si>
    <t>Administrative Expenses</t>
  </si>
  <si>
    <t>Management Fees</t>
  </si>
  <si>
    <t>Accounting Fees</t>
  </si>
  <si>
    <t>Payroll and Related</t>
  </si>
  <si>
    <t>Office Expenses</t>
  </si>
  <si>
    <t>Tenant Relations</t>
  </si>
  <si>
    <t>Total Administrative Expenses</t>
  </si>
  <si>
    <t>Property Taxes</t>
  </si>
  <si>
    <t>Other Taxes</t>
  </si>
  <si>
    <t>Prop. Tax Consultant</t>
  </si>
  <si>
    <t>Margin Tax</t>
  </si>
  <si>
    <t>Total Property Taxes</t>
  </si>
  <si>
    <t>Insurance</t>
  </si>
  <si>
    <t>Liability</t>
  </si>
  <si>
    <t>Property</t>
  </si>
  <si>
    <t>Total Insurance</t>
  </si>
  <si>
    <t>Total Recoverable Expenses</t>
  </si>
  <si>
    <t>Non-Recoverable Expenses</t>
  </si>
  <si>
    <t>Non-Recoverable Bldg Related</t>
  </si>
  <si>
    <t>Legal &amp; Professional Fees</t>
  </si>
  <si>
    <t>Consultant</t>
  </si>
  <si>
    <t>Telecom Management Fee</t>
  </si>
  <si>
    <t>Non-CAM Administrative</t>
  </si>
  <si>
    <t>Non-CAM Tenant Related</t>
  </si>
  <si>
    <t>Tenant Signage</t>
  </si>
  <si>
    <t>Locks and Keys</t>
  </si>
  <si>
    <t>Misc. - R&amp;M</t>
  </si>
  <si>
    <t>Building Conf. Room</t>
  </si>
  <si>
    <t>Bad Debt</t>
  </si>
  <si>
    <t>Total Non-Recoverable-Bldg Related</t>
  </si>
  <si>
    <t>Other Non-Recoverable Expenses</t>
  </si>
  <si>
    <t>Advertising</t>
  </si>
  <si>
    <t>Tenant Related</t>
  </si>
  <si>
    <t>Dead Deals-Tenants / Test Fits</t>
  </si>
  <si>
    <t>General Architect/Engin</t>
  </si>
  <si>
    <t>Franchise and Other Taxes</t>
  </si>
  <si>
    <t>Total Other Non-Recoverable Expenses</t>
  </si>
  <si>
    <t>Total Non-Recoverable Expenses</t>
  </si>
  <si>
    <t>Total Expenses</t>
  </si>
  <si>
    <t>Net Operating Income</t>
  </si>
  <si>
    <t>EOY 2019</t>
  </si>
  <si>
    <t>Total Utility Recoveries</t>
  </si>
  <si>
    <t>Cash flow from operations minus debt service and any ground lease payments, if applicable; commonly referred to as CFAF</t>
  </si>
  <si>
    <t>CASH FLOW AFTER FINANCING</t>
  </si>
  <si>
    <t>Payment to lender(s) - either principal + interest, or interest-only; commonly referred to as DS</t>
  </si>
  <si>
    <t>DEBT SERVICE</t>
  </si>
  <si>
    <t>Net operating income minus total capital expenditures; commonly referred to as CFO</t>
  </si>
  <si>
    <t>CASH FLOW FROM OPERATIONS</t>
  </si>
  <si>
    <t>Total Capital Expenditures</t>
  </si>
  <si>
    <t>Amount set aside for future capital improvements and/or leasing costs</t>
  </si>
  <si>
    <t>Capital Reserve</t>
  </si>
  <si>
    <t>Expenditures with a depreciable life greater than one year (e.g. roof repair, structural repairs, etc)</t>
  </si>
  <si>
    <t>Capital Improvements</t>
  </si>
  <si>
    <t>Allowances offered to tenants upon signing a new lease or lease renewal; used to improve the tenant's physical space</t>
  </si>
  <si>
    <t>Tenant Improvements</t>
  </si>
  <si>
    <t>Commissions paid to leasing brokers</t>
  </si>
  <si>
    <t>Leasing Commissions</t>
  </si>
  <si>
    <t>CAPITAL EXPENDITURES</t>
  </si>
  <si>
    <t>Effective gross income minus total operating expenses; commonly referred to as NOI</t>
  </si>
  <si>
    <t>NET OPERATING INCOME</t>
  </si>
  <si>
    <t>Sum of reimbursable and non-reimbursable operating expenses; commonly referred to as OpEx</t>
  </si>
  <si>
    <t>Total Operating Expenses</t>
  </si>
  <si>
    <t>Total operating expenses that are not reimbursable</t>
  </si>
  <si>
    <t>Total Non-Reimbursable OpEx</t>
  </si>
  <si>
    <t>Total Fixed Operating Expenses</t>
  </si>
  <si>
    <t>Property and casualty insurance</t>
  </si>
  <si>
    <t>Real estate taxes levied by the local government</t>
  </si>
  <si>
    <t>Real Estate Taxes</t>
  </si>
  <si>
    <t>Expense that are fixed regardless of occupancy</t>
  </si>
  <si>
    <t>Fixed Expenses</t>
  </si>
  <si>
    <t>Total Variable Expenses</t>
  </si>
  <si>
    <t>Other variable expenses that are not reimbursable</t>
  </si>
  <si>
    <t>Other Variable Expenses</t>
  </si>
  <si>
    <t>Costs related to marketing the property; does NOT include leasing commissions</t>
  </si>
  <si>
    <t>Marketing</t>
  </si>
  <si>
    <t>Payroll</t>
  </si>
  <si>
    <t>Electricity, gas, water, sewer, internet, and other utilities related to the common areas</t>
  </si>
  <si>
    <t>Expenses related to maintaining the landscaping in the common areas</t>
  </si>
  <si>
    <t>Landscaping</t>
  </si>
  <si>
    <t>Expenses related to securing the premises</t>
  </si>
  <si>
    <t>Expenses related to maintaining the general condition of the common areas</t>
  </si>
  <si>
    <t>Repairs and Maintenance</t>
  </si>
  <si>
    <t>Expenses related to cleaning the common areas</t>
  </si>
  <si>
    <t>Cleaning</t>
  </si>
  <si>
    <t>Expenses that fluctuate based on occupancy</t>
  </si>
  <si>
    <t>Variable Operating Expenses</t>
  </si>
  <si>
    <t>Operating expenses incurred by landlord that tenants are not obligated to reimburse</t>
  </si>
  <si>
    <t>Non-Reimbursable Operating Expenses</t>
  </si>
  <si>
    <t>Total operating expenses that are reimbursable</t>
  </si>
  <si>
    <t>Total Reimbursable OpEx</t>
  </si>
  <si>
    <t>Other variable expenses that are reimbursable</t>
  </si>
  <si>
    <t>Fee paid to professional property management</t>
  </si>
  <si>
    <t>Property Management</t>
  </si>
  <si>
    <t>Operating expenses incurred by landlord that tenants have agreed to reimburse</t>
  </si>
  <si>
    <t>Reimbursable Operating Expenses</t>
  </si>
  <si>
    <t>OPERATING EXPENSES</t>
  </si>
  <si>
    <t>Gross revenue after adjusting for general vacancy and credit loss; commonly referred to as EGR</t>
  </si>
  <si>
    <t>Total Effective Gross Revenue</t>
  </si>
  <si>
    <t>Additional vacancy taken on gross Revenue to account for unforeseen vacancy or credit loss; used in forecasted periods</t>
  </si>
  <si>
    <t>General Vacancy and Credit Loss</t>
  </si>
  <si>
    <t>Sum of other income and rental revenue</t>
  </si>
  <si>
    <t>Gross Revenue</t>
  </si>
  <si>
    <t>Effective Gross Revenue</t>
  </si>
  <si>
    <t>Actual other Revenue</t>
  </si>
  <si>
    <t>Actual other income; such as telecom income, amenity fees, conference room rental, fitness center, misc income, etc</t>
  </si>
  <si>
    <t>Actual income from parking</t>
  </si>
  <si>
    <t>Parking Income</t>
  </si>
  <si>
    <t>Actual tenant reimbursement of real estate taxes</t>
  </si>
  <si>
    <t>Real Estate Tax Reimbursement</t>
  </si>
  <si>
    <t>Actual tenant reimbursement of utility expenses</t>
  </si>
  <si>
    <t>Utility Reimbursement</t>
  </si>
  <si>
    <t>Actual tenant reimbursement of common area maintenance (security, repairs and maintenance, landscaping, etc)</t>
  </si>
  <si>
    <t>CAM Reimbursement</t>
  </si>
  <si>
    <t>Actual rental Revenue in period</t>
  </si>
  <si>
    <t>Total Rental Revenue</t>
  </si>
  <si>
    <t>Concessed space (e.g. free rent) at contract rate</t>
  </si>
  <si>
    <t>Concessions</t>
  </si>
  <si>
    <t>Loss due to tenants' nonpayment of rental obligations</t>
  </si>
  <si>
    <t>Actual Credit Loss</t>
  </si>
  <si>
    <t>Vacant space at market rent</t>
  </si>
  <si>
    <t>Actual Vacancy</t>
  </si>
  <si>
    <t>Sum of all contract rent plus vacant space at market rent; concessed space at contract rate</t>
  </si>
  <si>
    <t>Potential Base Rent</t>
  </si>
  <si>
    <t>Amount</t>
  </si>
  <si>
    <t>PSF</t>
  </si>
  <si>
    <t>Rental Revenue</t>
  </si>
  <si>
    <t>REVENUE</t>
  </si>
  <si>
    <t>Period Ending</t>
  </si>
  <si>
    <t>Net Rentable Area</t>
  </si>
  <si>
    <t>OFFICE - SUMMARY INCOME STATEMENT</t>
  </si>
  <si>
    <t>Label</t>
  </si>
  <si>
    <t>Error Check</t>
  </si>
  <si>
    <t>RENT</t>
  </si>
  <si>
    <t>VAC</t>
  </si>
  <si>
    <t>CREDIT</t>
  </si>
  <si>
    <t>CONC</t>
  </si>
  <si>
    <t>CAM</t>
  </si>
  <si>
    <t>U</t>
  </si>
  <si>
    <t>RETR</t>
  </si>
  <si>
    <t>PARK</t>
  </si>
  <si>
    <t>OI</t>
  </si>
  <si>
    <t>CLEAN</t>
  </si>
  <si>
    <t>RM</t>
  </si>
  <si>
    <t>OVE</t>
  </si>
  <si>
    <t>RET</t>
  </si>
  <si>
    <t>SEC</t>
  </si>
  <si>
    <t>LAND</t>
  </si>
  <si>
    <t>UR</t>
  </si>
  <si>
    <t>PR</t>
  </si>
  <si>
    <t>PM</t>
  </si>
  <si>
    <t>MARK</t>
  </si>
  <si>
    <t>I</t>
  </si>
  <si>
    <t>CLEANN</t>
  </si>
  <si>
    <t>RMN</t>
  </si>
  <si>
    <t>SECN</t>
  </si>
  <si>
    <t>LANDN</t>
  </si>
  <si>
    <t>UN</t>
  </si>
  <si>
    <t>PRN</t>
  </si>
  <si>
    <t>MARKN</t>
  </si>
  <si>
    <t>OVEN</t>
  </si>
  <si>
    <t>RETN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</si>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</sst>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###0;###0"/>
    <numFmt numFmtId="165" formatCode="_(* #,##0_);_(* \(#,##0\);_(* &quot;-&quot;??_);_(@_)"/>
    <numFmt numFmtId="166" formatCode="_(* ###0_);_(* \(###0\);_(* &quot;-&quot;_);_(@_)"/>
  </numFmts>
  <fonts count="2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6"/>
      <name val="Calibri"/>
      <family val="2"/>
      <scheme val="minor"/>
    </font>
    <font>
      <sz val="6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 val="singleAccounting"/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u val="singleAccounting"/>
      <sz val="11"/>
      <color indexed="12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left" vertical="top"/>
    </xf>
    <xf numFmtId="0" fontId="5" fillId="0" borderId="0" xfId="1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41" fontId="6" fillId="0" borderId="0" xfId="1" applyNumberFormat="1" applyFont="1" applyAlignment="1">
      <alignment horizontal="right" vertical="top"/>
    </xf>
    <xf numFmtId="41" fontId="8" fillId="0" borderId="0" xfId="1" applyNumberFormat="1" applyFont="1" applyAlignment="1">
      <alignment horizontal="right" vertical="top"/>
    </xf>
    <xf numFmtId="41" fontId="7" fillId="0" borderId="0" xfId="1" applyNumberFormat="1" applyFont="1" applyAlignment="1">
      <alignment horizontal="right" vertical="top"/>
    </xf>
    <xf numFmtId="41" fontId="5" fillId="0" borderId="0" xfId="1" applyNumberFormat="1" applyFont="1" applyAlignment="1">
      <alignment horizontal="right" vertical="top"/>
    </xf>
    <xf numFmtId="41" fontId="7" fillId="0" borderId="1" xfId="1" applyNumberFormat="1" applyFont="1" applyBorder="1" applyAlignment="1">
      <alignment horizontal="right" vertical="top"/>
    </xf>
    <xf numFmtId="41" fontId="7" fillId="0" borderId="2" xfId="1" applyNumberFormat="1" applyFont="1" applyBorder="1" applyAlignment="1">
      <alignment horizontal="right" vertical="top"/>
    </xf>
    <xf numFmtId="0" fontId="9" fillId="0" borderId="0" xfId="1" applyFont="1" applyAlignment="1">
      <alignment horizontal="left" vertical="top"/>
    </xf>
    <xf numFmtId="41" fontId="6" fillId="0" borderId="2" xfId="1" applyNumberFormat="1" applyFont="1" applyBorder="1" applyAlignment="1">
      <alignment horizontal="right" vertical="top"/>
    </xf>
    <xf numFmtId="0" fontId="11" fillId="0" borderId="0" xfId="0" applyFont="1"/>
    <xf numFmtId="0" fontId="10" fillId="0" borderId="0" xfId="1" applyFont="1" applyAlignment="1">
      <alignment horizontal="left" vertical="top" indent="1"/>
    </xf>
    <xf numFmtId="164" fontId="7" fillId="2" borderId="0" xfId="1" applyNumberFormat="1" applyFont="1" applyFill="1" applyAlignment="1">
      <alignment horizontal="right" vertical="top"/>
    </xf>
    <xf numFmtId="0" fontId="5" fillId="0" borderId="0" xfId="1" applyFont="1" applyAlignment="1">
      <alignment horizontal="right" vertical="top"/>
    </xf>
    <xf numFmtId="0" fontId="0" fillId="0" borderId="0" xfId="0" applyAlignment="1">
      <alignment horizontal="right"/>
    </xf>
    <xf numFmtId="0" fontId="14" fillId="0" borderId="0" xfId="0" applyFont="1"/>
    <xf numFmtId="165" fontId="0" fillId="0" borderId="0" xfId="0" applyNumberFormat="1"/>
    <xf numFmtId="43" fontId="15" fillId="0" borderId="0" xfId="0" applyNumberFormat="1" applyFont="1"/>
    <xf numFmtId="43" fontId="0" fillId="0" borderId="0" xfId="0" applyNumberFormat="1"/>
    <xf numFmtId="0" fontId="12" fillId="0" borderId="0" xfId="0" applyFont="1"/>
    <xf numFmtId="0" fontId="16" fillId="0" borderId="0" xfId="0" applyFont="1"/>
    <xf numFmtId="165" fontId="12" fillId="0" borderId="0" xfId="0" applyNumberFormat="1" applyFont="1"/>
    <xf numFmtId="43" fontId="17" fillId="0" borderId="0" xfId="0" applyNumberFormat="1" applyFont="1"/>
    <xf numFmtId="165" fontId="18" fillId="0" borderId="0" xfId="0" applyNumberFormat="1" applyFont="1"/>
    <xf numFmtId="43" fontId="15" fillId="0" borderId="0" xfId="0" applyNumberFormat="1" applyFont="1" applyAlignment="1">
      <alignment horizontal="left" indent="1"/>
    </xf>
    <xf numFmtId="0" fontId="0" fillId="2" borderId="0" xfId="0" applyFill="1"/>
    <xf numFmtId="0" fontId="14" fillId="2" borderId="0" xfId="0" applyFont="1" applyFill="1"/>
    <xf numFmtId="165" fontId="0" fillId="2" borderId="0" xfId="0" applyNumberFormat="1" applyFill="1"/>
    <xf numFmtId="43" fontId="15" fillId="2" borderId="0" xfId="0" applyNumberFormat="1" applyFont="1" applyFill="1"/>
    <xf numFmtId="43" fontId="14" fillId="0" borderId="0" xfId="0" applyNumberFormat="1" applyFont="1"/>
    <xf numFmtId="0" fontId="12" fillId="0" borderId="0" xfId="0" applyFont="1" applyAlignment="1">
      <alignment horizontal="left"/>
    </xf>
    <xf numFmtId="165" fontId="19" fillId="0" borderId="0" xfId="0" applyNumberFormat="1" applyFont="1"/>
    <xf numFmtId="43" fontId="20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0" fontId="12" fillId="2" borderId="0" xfId="0" applyFont="1" applyFill="1"/>
    <xf numFmtId="0" fontId="0" fillId="0" borderId="0" xfId="0" applyAlignment="1">
      <alignment horizontal="left"/>
    </xf>
    <xf numFmtId="0" fontId="21" fillId="0" borderId="0" xfId="0" applyFont="1"/>
    <xf numFmtId="3" fontId="14" fillId="0" borderId="0" xfId="0" applyNumberFormat="1" applyFont="1"/>
    <xf numFmtId="43" fontId="17" fillId="2" borderId="0" xfId="0" applyNumberFormat="1" applyFont="1" applyFill="1"/>
    <xf numFmtId="43" fontId="17" fillId="0" borderId="0" xfId="0" applyNumberFormat="1" applyFont="1" applyAlignment="1">
      <alignment horizontal="left" indent="1"/>
    </xf>
    <xf numFmtId="165" fontId="22" fillId="0" borderId="0" xfId="0" applyNumberFormat="1" applyFont="1"/>
    <xf numFmtId="43" fontId="23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0" fontId="17" fillId="2" borderId="0" xfId="0" applyFont="1" applyFill="1"/>
    <xf numFmtId="0" fontId="17" fillId="0" borderId="0" xfId="0" applyFont="1"/>
    <xf numFmtId="166" fontId="18" fillId="0" borderId="0" xfId="0" applyNumberFormat="1" applyFont="1"/>
    <xf numFmtId="3" fontId="18" fillId="0" borderId="0" xfId="0" applyNumberFormat="1" applyFont="1"/>
    <xf numFmtId="0" fontId="15" fillId="0" borderId="0" xfId="0" applyFont="1"/>
    <xf numFmtId="0" fontId="13" fillId="3" borderId="0" xfId="0" applyFont="1" applyFill="1"/>
    <xf numFmtId="0" fontId="25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1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41" fontId="0" fillId="0" borderId="0" xfId="0" applyNumberFormat="1"/>
    <xf numFmtId="3" fontId="0" fillId="0" borderId="0" xfId="0" applyNumberFormat="1"/>
    <xf numFmtId="0" fontId="5" fillId="0" borderId="0" xfId="1" applyFont="1" applyAlignment="1">
      <alignment horizontal="center" vertical="top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2D92-90F0-451D-A828-235864BFE9E2}">
  <dimension ref="A1:O79"/>
  <sheetViews>
    <sheetView showGridLines="0" tabSelected="1" topLeftCell="A53" zoomScaleNormal="100" workbookViewId="0">
      <selection activeCell="D69" sqref="D69:D71"/>
    </sheetView>
  </sheetViews>
  <sheetFormatPr defaultColWidth="0" defaultRowHeight="14.4" zeroHeight="1" x14ac:dyDescent="0.3"/>
  <cols>
    <col min="1" max="1" width="1.6640625" customWidth="1"/>
    <col min="2" max="2" width="27.5546875" bestFit="1" customWidth="1"/>
    <col min="3" max="3" width="9.88671875" style="23" bestFit="1" customWidth="1"/>
    <col min="4" max="4" width="11" style="22" bestFit="1" customWidth="1"/>
    <col min="5" max="5" width="8.88671875" style="21" customWidth="1"/>
    <col min="6" max="14" width="8.88671875" customWidth="1"/>
    <col min="15" max="15" width="1.6640625" customWidth="1"/>
    <col min="16" max="16384" width="8.88671875" hidden="1"/>
  </cols>
  <sheetData>
    <row r="1" spans="2:14" ht="9.9" customHeight="1" x14ac:dyDescent="0.3">
      <c r="C1" s="53"/>
      <c r="D1"/>
    </row>
    <row r="2" spans="2:14" ht="15.6" x14ac:dyDescent="0.3">
      <c r="B2" s="57" t="s">
        <v>175</v>
      </c>
      <c r="C2" s="56"/>
      <c r="D2" s="54"/>
      <c r="E2" s="55"/>
      <c r="F2" s="54"/>
      <c r="G2" s="54"/>
      <c r="H2" s="54"/>
      <c r="I2" s="54"/>
      <c r="J2" s="54"/>
      <c r="K2" s="54"/>
      <c r="L2" s="54"/>
      <c r="M2" s="54"/>
      <c r="N2" s="54"/>
    </row>
    <row r="3" spans="2:14" ht="5.0999999999999996" customHeight="1" x14ac:dyDescent="0.3">
      <c r="C3" s="53"/>
      <c r="D3"/>
    </row>
    <row r="4" spans="2:14" x14ac:dyDescent="0.3">
      <c r="B4" s="50" t="s">
        <v>174</v>
      </c>
      <c r="D4" s="52">
        <v>200000</v>
      </c>
    </row>
    <row r="5" spans="2:14" s="50" customFormat="1" ht="15" customHeight="1" x14ac:dyDescent="0.3">
      <c r="B5" s="50" t="s">
        <v>173</v>
      </c>
      <c r="D5" s="51">
        <v>2019</v>
      </c>
      <c r="E5" s="26"/>
    </row>
    <row r="6" spans="2:14" x14ac:dyDescent="0.3">
      <c r="B6" s="40" t="s">
        <v>172</v>
      </c>
      <c r="C6" s="49"/>
      <c r="D6" s="31"/>
      <c r="E6" s="32"/>
      <c r="F6" s="31"/>
      <c r="G6" s="31"/>
      <c r="H6" s="31"/>
      <c r="I6" s="31"/>
      <c r="J6" s="31"/>
      <c r="K6" s="31"/>
      <c r="L6" s="31"/>
      <c r="M6" s="31"/>
      <c r="N6" s="31"/>
    </row>
    <row r="7" spans="2:14" x14ac:dyDescent="0.3">
      <c r="B7" s="25" t="s">
        <v>171</v>
      </c>
      <c r="C7" s="48" t="s">
        <v>170</v>
      </c>
      <c r="D7" s="47" t="s">
        <v>169</v>
      </c>
    </row>
    <row r="8" spans="2:14" x14ac:dyDescent="0.3">
      <c r="B8" s="39" t="s">
        <v>168</v>
      </c>
      <c r="C8" s="30">
        <f>+D8/$D$4</f>
        <v>12.532349866500001</v>
      </c>
      <c r="D8" s="29">
        <f>'Office Detailed OpSt'!H4</f>
        <v>2506469.9733000002</v>
      </c>
      <c r="E8" s="21" t="s">
        <v>167</v>
      </c>
    </row>
    <row r="9" spans="2:14" x14ac:dyDescent="0.3">
      <c r="B9" s="39" t="s">
        <v>166</v>
      </c>
      <c r="C9" s="30">
        <f>+D9/$D$4</f>
        <v>0</v>
      </c>
      <c r="D9" s="29">
        <f>'Office Detailed OpSt'!H5</f>
        <v>0</v>
      </c>
      <c r="E9" s="21" t="s">
        <v>165</v>
      </c>
    </row>
    <row r="10" spans="2:14" x14ac:dyDescent="0.3">
      <c r="B10" s="39" t="s">
        <v>164</v>
      </c>
      <c r="C10" s="30">
        <f>+D10/$D$4</f>
        <v>0</v>
      </c>
      <c r="D10" s="29">
        <f>'Office Detailed OpSt'!H6</f>
        <v>0</v>
      </c>
      <c r="E10" s="21" t="s">
        <v>163</v>
      </c>
    </row>
    <row r="11" spans="2:14" ht="16.2" x14ac:dyDescent="0.45">
      <c r="B11" s="39" t="s">
        <v>162</v>
      </c>
      <c r="C11" s="38">
        <f>+D11/$D$4</f>
        <v>0</v>
      </c>
      <c r="D11" s="46">
        <f>'Office Detailed OpSt'!H7</f>
        <v>0</v>
      </c>
      <c r="E11" s="21" t="s">
        <v>161</v>
      </c>
    </row>
    <row r="12" spans="2:14" x14ac:dyDescent="0.3">
      <c r="B12" s="41" t="s">
        <v>160</v>
      </c>
      <c r="C12" s="30">
        <f>+D12/$D$4</f>
        <v>12.532349866500001</v>
      </c>
      <c r="D12" s="22">
        <f>SUM(D8:D11)</f>
        <v>2506469.9733000002</v>
      </c>
      <c r="E12" s="21" t="s">
        <v>159</v>
      </c>
    </row>
    <row r="13" spans="2:14" ht="5.0999999999999996" customHeight="1" x14ac:dyDescent="0.3"/>
    <row r="14" spans="2:14" x14ac:dyDescent="0.3">
      <c r="B14" s="25" t="s">
        <v>18</v>
      </c>
      <c r="C14" s="28"/>
    </row>
    <row r="15" spans="2:14" x14ac:dyDescent="0.3">
      <c r="B15" s="39" t="s">
        <v>158</v>
      </c>
      <c r="C15" s="30">
        <f t="shared" ref="C15:C20" si="0">+D15/$D$4</f>
        <v>1.9339249999999999</v>
      </c>
      <c r="D15" s="29">
        <f>'Office Detailed OpSt'!H11</f>
        <v>386785</v>
      </c>
      <c r="E15" s="21" t="s">
        <v>157</v>
      </c>
    </row>
    <row r="16" spans="2:14" x14ac:dyDescent="0.3">
      <c r="B16" s="39" t="s">
        <v>156</v>
      </c>
      <c r="C16" s="30">
        <f t="shared" si="0"/>
        <v>0.30191499999999999</v>
      </c>
      <c r="D16" s="29">
        <f>'Office Detailed OpSt'!H12</f>
        <v>60383</v>
      </c>
      <c r="E16" s="21" t="s">
        <v>155</v>
      </c>
    </row>
    <row r="17" spans="2:14" x14ac:dyDescent="0.3">
      <c r="B17" s="39" t="s">
        <v>154</v>
      </c>
      <c r="C17" s="30">
        <f t="shared" si="0"/>
        <v>0</v>
      </c>
      <c r="D17" s="29">
        <f>'Office Detailed OpSt'!H13</f>
        <v>0</v>
      </c>
      <c r="E17" s="21" t="s">
        <v>153</v>
      </c>
    </row>
    <row r="18" spans="2:14" x14ac:dyDescent="0.3">
      <c r="B18" s="39" t="s">
        <v>152</v>
      </c>
      <c r="C18" s="30">
        <f t="shared" si="0"/>
        <v>9.6000000000000002E-2</v>
      </c>
      <c r="D18" s="29">
        <f>'Office Detailed OpSt'!H14</f>
        <v>19200</v>
      </c>
      <c r="E18" s="21" t="s">
        <v>151</v>
      </c>
    </row>
    <row r="19" spans="2:14" ht="16.2" x14ac:dyDescent="0.45">
      <c r="B19" s="39" t="s">
        <v>18</v>
      </c>
      <c r="C19" s="38">
        <f t="shared" si="0"/>
        <v>4.7465E-2</v>
      </c>
      <c r="D19" s="37">
        <f>'Office Detailed OpSt'!H15</f>
        <v>9493</v>
      </c>
      <c r="E19" s="21" t="s">
        <v>150</v>
      </c>
    </row>
    <row r="20" spans="2:14" x14ac:dyDescent="0.3">
      <c r="B20" s="41" t="s">
        <v>21</v>
      </c>
      <c r="C20" s="30">
        <f t="shared" si="0"/>
        <v>2.379305</v>
      </c>
      <c r="D20" s="22">
        <f>SUM(D15:D19)</f>
        <v>475861</v>
      </c>
      <c r="E20" s="21" t="s">
        <v>149</v>
      </c>
    </row>
    <row r="21" spans="2:14" ht="5.0999999999999996" customHeight="1" x14ac:dyDescent="0.3"/>
    <row r="22" spans="2:14" x14ac:dyDescent="0.3">
      <c r="B22" s="25" t="s">
        <v>148</v>
      </c>
      <c r="C22" s="28"/>
    </row>
    <row r="23" spans="2:14" x14ac:dyDescent="0.3">
      <c r="B23" s="39" t="s">
        <v>147</v>
      </c>
      <c r="C23" s="30">
        <f>+D23/$D$4</f>
        <v>14.911654866500001</v>
      </c>
      <c r="D23" s="22">
        <f>+D20+D12</f>
        <v>2982330.9733000002</v>
      </c>
      <c r="E23" s="21" t="s">
        <v>146</v>
      </c>
    </row>
    <row r="24" spans="2:14" ht="16.2" x14ac:dyDescent="0.45">
      <c r="B24" s="39" t="s">
        <v>145</v>
      </c>
      <c r="C24" s="38">
        <f>+D24/$D$4</f>
        <v>0</v>
      </c>
      <c r="D24" s="37">
        <v>0</v>
      </c>
      <c r="E24" s="21" t="s">
        <v>144</v>
      </c>
    </row>
    <row r="25" spans="2:14" s="25" customFormat="1" x14ac:dyDescent="0.3">
      <c r="B25" s="36" t="s">
        <v>143</v>
      </c>
      <c r="C25" s="45">
        <f>+D25/$D$4</f>
        <v>14.911654866500001</v>
      </c>
      <c r="D25" s="27">
        <f>+D23+D24</f>
        <v>2982330.9733000002</v>
      </c>
      <c r="E25" s="26" t="s">
        <v>142</v>
      </c>
    </row>
    <row r="26" spans="2:14" x14ac:dyDescent="0.3">
      <c r="B26" s="40" t="s">
        <v>141</v>
      </c>
      <c r="C26" s="44"/>
      <c r="D26" s="33"/>
      <c r="E26" s="32"/>
      <c r="F26" s="31"/>
      <c r="G26" s="31"/>
      <c r="H26" s="31"/>
      <c r="I26" s="31"/>
      <c r="J26" s="31"/>
      <c r="K26" s="31"/>
      <c r="L26" s="31"/>
      <c r="M26" s="31"/>
      <c r="N26" s="31"/>
    </row>
    <row r="27" spans="2:14" x14ac:dyDescent="0.3">
      <c r="B27" s="25" t="s">
        <v>140</v>
      </c>
      <c r="C27" s="28"/>
      <c r="E27" s="43" t="s">
        <v>139</v>
      </c>
    </row>
    <row r="28" spans="2:14" x14ac:dyDescent="0.3">
      <c r="B28" s="42" t="s">
        <v>131</v>
      </c>
      <c r="C28" s="35"/>
      <c r="E28" s="43" t="s">
        <v>130</v>
      </c>
    </row>
    <row r="29" spans="2:14" x14ac:dyDescent="0.3">
      <c r="B29" s="39" t="s">
        <v>129</v>
      </c>
      <c r="C29" s="30">
        <f t="shared" ref="C29:C38" si="1">+D29/$D$4</f>
        <v>0.58682500000000004</v>
      </c>
      <c r="D29" s="29">
        <f>'Office Detailed OpSt'!H25</f>
        <v>117365</v>
      </c>
      <c r="E29" s="43" t="s">
        <v>128</v>
      </c>
    </row>
    <row r="30" spans="2:14" x14ac:dyDescent="0.3">
      <c r="B30" s="39" t="s">
        <v>127</v>
      </c>
      <c r="C30" s="30">
        <f t="shared" si="1"/>
        <v>1.3115950000000001</v>
      </c>
      <c r="D30" s="29">
        <f>'Office Detailed OpSt'!H26</f>
        <v>262319</v>
      </c>
      <c r="E30" s="43" t="s">
        <v>126</v>
      </c>
    </row>
    <row r="31" spans="2:14" x14ac:dyDescent="0.3">
      <c r="B31" s="39" t="s">
        <v>39</v>
      </c>
      <c r="C31" s="30">
        <f t="shared" si="1"/>
        <v>0.96414999999999995</v>
      </c>
      <c r="D31" s="29">
        <f>'Office Detailed OpSt'!H27</f>
        <v>192830</v>
      </c>
      <c r="E31" s="43" t="s">
        <v>125</v>
      </c>
    </row>
    <row r="32" spans="2:14" x14ac:dyDescent="0.3">
      <c r="B32" s="39" t="s">
        <v>124</v>
      </c>
      <c r="C32" s="30">
        <f t="shared" si="1"/>
        <v>0.16409000000000001</v>
      </c>
      <c r="D32" s="29">
        <f>'Office Detailed OpSt'!H28</f>
        <v>32818</v>
      </c>
      <c r="E32" s="43" t="s">
        <v>123</v>
      </c>
    </row>
    <row r="33" spans="2:5" x14ac:dyDescent="0.3">
      <c r="B33" s="39" t="s">
        <v>26</v>
      </c>
      <c r="C33" s="30">
        <f t="shared" si="1"/>
        <v>0.92586999999999997</v>
      </c>
      <c r="D33" s="29">
        <f>'Office Detailed OpSt'!H29</f>
        <v>185174</v>
      </c>
      <c r="E33" s="43" t="s">
        <v>122</v>
      </c>
    </row>
    <row r="34" spans="2:5" x14ac:dyDescent="0.3">
      <c r="B34" s="39" t="s">
        <v>121</v>
      </c>
      <c r="C34" s="30">
        <f t="shared" si="1"/>
        <v>0.93247500000000005</v>
      </c>
      <c r="D34" s="29">
        <f>'Office Detailed OpSt'!H30</f>
        <v>186495</v>
      </c>
      <c r="E34" s="43"/>
    </row>
    <row r="35" spans="2:5" x14ac:dyDescent="0.3">
      <c r="B35" s="39" t="s">
        <v>138</v>
      </c>
      <c r="C35" s="30">
        <f t="shared" si="1"/>
        <v>0</v>
      </c>
      <c r="D35" s="29">
        <f>'Office Detailed OpSt'!H31</f>
        <v>0</v>
      </c>
      <c r="E35" s="43" t="s">
        <v>137</v>
      </c>
    </row>
    <row r="36" spans="2:5" x14ac:dyDescent="0.3">
      <c r="B36" s="39" t="s">
        <v>120</v>
      </c>
      <c r="C36" s="30">
        <f t="shared" si="1"/>
        <v>0</v>
      </c>
      <c r="D36" s="29">
        <f>'Office Detailed OpSt'!H32</f>
        <v>0</v>
      </c>
      <c r="E36" s="43" t="s">
        <v>119</v>
      </c>
    </row>
    <row r="37" spans="2:5" ht="16.2" x14ac:dyDescent="0.45">
      <c r="B37" s="39" t="s">
        <v>118</v>
      </c>
      <c r="C37" s="38">
        <f t="shared" si="1"/>
        <v>1.426885</v>
      </c>
      <c r="D37" s="37">
        <f>'Office Detailed OpSt'!H33</f>
        <v>285377</v>
      </c>
      <c r="E37" s="43" t="s">
        <v>136</v>
      </c>
    </row>
    <row r="38" spans="2:5" x14ac:dyDescent="0.3">
      <c r="B38" s="41" t="s">
        <v>116</v>
      </c>
      <c r="C38" s="30">
        <f t="shared" si="1"/>
        <v>6.31189</v>
      </c>
      <c r="D38" s="22">
        <f>SUM(D29:D37)</f>
        <v>1262378</v>
      </c>
    </row>
    <row r="39" spans="2:5" x14ac:dyDescent="0.3">
      <c r="B39" s="42" t="s">
        <v>115</v>
      </c>
      <c r="C39" s="35"/>
      <c r="E39" s="21" t="s">
        <v>114</v>
      </c>
    </row>
    <row r="40" spans="2:5" x14ac:dyDescent="0.3">
      <c r="B40" s="39" t="s">
        <v>113</v>
      </c>
      <c r="C40" s="30">
        <f>+D40/$D$4</f>
        <v>6.2455249999999998</v>
      </c>
      <c r="D40" s="29">
        <f>'Office Detailed OpSt'!H36</f>
        <v>1249105</v>
      </c>
      <c r="E40" s="21" t="s">
        <v>112</v>
      </c>
    </row>
    <row r="41" spans="2:5" ht="16.2" x14ac:dyDescent="0.45">
      <c r="B41" s="39" t="s">
        <v>58</v>
      </c>
      <c r="C41" s="38">
        <f>+D41/$D$4</f>
        <v>3.832E-2</v>
      </c>
      <c r="D41" s="37">
        <f>'Office Detailed OpSt'!H37</f>
        <v>7664</v>
      </c>
      <c r="E41" s="21" t="s">
        <v>111</v>
      </c>
    </row>
    <row r="42" spans="2:5" x14ac:dyDescent="0.3">
      <c r="B42" s="41" t="s">
        <v>110</v>
      </c>
      <c r="C42" s="30">
        <f>+D42/$D$4</f>
        <v>6.2838450000000003</v>
      </c>
      <c r="D42" s="22">
        <f>SUM(D40:D41)</f>
        <v>1256769</v>
      </c>
    </row>
    <row r="43" spans="2:5" ht="5.0999999999999996" customHeight="1" x14ac:dyDescent="0.3"/>
    <row r="44" spans="2:5" x14ac:dyDescent="0.3">
      <c r="B44" t="s">
        <v>135</v>
      </c>
      <c r="C44" s="30">
        <f>+D44/$D$4</f>
        <v>12.595734999999999</v>
      </c>
      <c r="D44" s="22">
        <f>+D42+D38</f>
        <v>2519147</v>
      </c>
      <c r="E44" s="21" t="s">
        <v>134</v>
      </c>
    </row>
    <row r="45" spans="2:5" ht="5.0999999999999996" customHeight="1" x14ac:dyDescent="0.3">
      <c r="C45" s="30"/>
    </row>
    <row r="46" spans="2:5" x14ac:dyDescent="0.3">
      <c r="B46" s="25" t="s">
        <v>133</v>
      </c>
      <c r="E46" s="21" t="s">
        <v>132</v>
      </c>
    </row>
    <row r="47" spans="2:5" x14ac:dyDescent="0.3">
      <c r="B47" s="42" t="s">
        <v>131</v>
      </c>
      <c r="E47" s="21" t="s">
        <v>130</v>
      </c>
    </row>
    <row r="48" spans="2:5" x14ac:dyDescent="0.3">
      <c r="B48" s="39" t="s">
        <v>129</v>
      </c>
      <c r="C48" s="30">
        <f t="shared" ref="C48:C56" si="2">+D48/$D$4</f>
        <v>0</v>
      </c>
      <c r="D48" s="29">
        <f>'Office Detailed OpSt'!H44</f>
        <v>0</v>
      </c>
      <c r="E48" s="43" t="s">
        <v>128</v>
      </c>
    </row>
    <row r="49" spans="2:5" x14ac:dyDescent="0.3">
      <c r="B49" s="39" t="s">
        <v>127</v>
      </c>
      <c r="C49" s="30">
        <f t="shared" si="2"/>
        <v>0</v>
      </c>
      <c r="D49" s="29">
        <f>'Office Detailed OpSt'!H45</f>
        <v>0</v>
      </c>
      <c r="E49" s="43" t="s">
        <v>126</v>
      </c>
    </row>
    <row r="50" spans="2:5" x14ac:dyDescent="0.3">
      <c r="B50" s="39" t="s">
        <v>39</v>
      </c>
      <c r="C50" s="30">
        <f t="shared" si="2"/>
        <v>0</v>
      </c>
      <c r="D50" s="29">
        <f>'Office Detailed OpSt'!H46</f>
        <v>0</v>
      </c>
      <c r="E50" s="43" t="s">
        <v>125</v>
      </c>
    </row>
    <row r="51" spans="2:5" x14ac:dyDescent="0.3">
      <c r="B51" s="39" t="s">
        <v>124</v>
      </c>
      <c r="C51" s="30">
        <f t="shared" si="2"/>
        <v>0</v>
      </c>
      <c r="D51" s="29">
        <f>'Office Detailed OpSt'!H47</f>
        <v>0</v>
      </c>
      <c r="E51" s="43" t="s">
        <v>123</v>
      </c>
    </row>
    <row r="52" spans="2:5" x14ac:dyDescent="0.3">
      <c r="B52" s="39" t="s">
        <v>26</v>
      </c>
      <c r="C52" s="30">
        <f t="shared" si="2"/>
        <v>0</v>
      </c>
      <c r="D52" s="29">
        <f>'Office Detailed OpSt'!H48</f>
        <v>0</v>
      </c>
      <c r="E52" s="43" t="s">
        <v>122</v>
      </c>
    </row>
    <row r="53" spans="2:5" x14ac:dyDescent="0.3">
      <c r="B53" s="39" t="s">
        <v>121</v>
      </c>
      <c r="C53" s="30">
        <f t="shared" si="2"/>
        <v>0</v>
      </c>
      <c r="D53" s="29">
        <f>'Office Detailed OpSt'!H49</f>
        <v>0</v>
      </c>
      <c r="E53" s="43"/>
    </row>
    <row r="54" spans="2:5" x14ac:dyDescent="0.3">
      <c r="B54" s="39" t="s">
        <v>120</v>
      </c>
      <c r="C54" s="30">
        <f t="shared" si="2"/>
        <v>5.7499999999999999E-4</v>
      </c>
      <c r="D54" s="29">
        <f>'Office Detailed OpSt'!H50</f>
        <v>115</v>
      </c>
      <c r="E54" s="43" t="s">
        <v>119</v>
      </c>
    </row>
    <row r="55" spans="2:5" ht="16.2" x14ac:dyDescent="0.45">
      <c r="B55" s="39" t="s">
        <v>118</v>
      </c>
      <c r="C55" s="38">
        <f t="shared" si="2"/>
        <v>0.163635</v>
      </c>
      <c r="D55" s="37">
        <f>'Office Detailed OpSt'!H51</f>
        <v>32727</v>
      </c>
      <c r="E55" s="43" t="s">
        <v>117</v>
      </c>
    </row>
    <row r="56" spans="2:5" x14ac:dyDescent="0.3">
      <c r="B56" s="41" t="s">
        <v>116</v>
      </c>
      <c r="C56" s="30">
        <f t="shared" si="2"/>
        <v>0.16420999999999999</v>
      </c>
      <c r="D56" s="22">
        <f>SUM(D48:D55)</f>
        <v>32842</v>
      </c>
    </row>
    <row r="57" spans="2:5" x14ac:dyDescent="0.3">
      <c r="B57" s="42" t="s">
        <v>115</v>
      </c>
      <c r="C57" s="35"/>
      <c r="E57" s="21" t="s">
        <v>114</v>
      </c>
    </row>
    <row r="58" spans="2:5" x14ac:dyDescent="0.3">
      <c r="B58" s="39" t="s">
        <v>113</v>
      </c>
      <c r="C58" s="30">
        <f>+D58/$D$4</f>
        <v>0</v>
      </c>
      <c r="D58" s="29">
        <v>0</v>
      </c>
      <c r="E58" s="21" t="s">
        <v>112</v>
      </c>
    </row>
    <row r="59" spans="2:5" ht="16.2" x14ac:dyDescent="0.45">
      <c r="B59" s="39" t="s">
        <v>58</v>
      </c>
      <c r="C59" s="38">
        <f>+D59/$D$4</f>
        <v>0</v>
      </c>
      <c r="D59" s="37">
        <f>'Office Detailed OpSt'!H55</f>
        <v>0</v>
      </c>
      <c r="E59" s="21" t="s">
        <v>111</v>
      </c>
    </row>
    <row r="60" spans="2:5" x14ac:dyDescent="0.3">
      <c r="B60" s="41" t="s">
        <v>110</v>
      </c>
      <c r="C60" s="30">
        <f>+D60/$D$4</f>
        <v>0</v>
      </c>
      <c r="D60" s="22">
        <f>SUM(D58:D59)</f>
        <v>0</v>
      </c>
    </row>
    <row r="61" spans="2:5" ht="5.0999999999999996" customHeight="1" x14ac:dyDescent="0.3"/>
    <row r="62" spans="2:5" x14ac:dyDescent="0.3">
      <c r="B62" t="s">
        <v>109</v>
      </c>
      <c r="C62" s="30">
        <f>+D62/$D$4</f>
        <v>0.16420999999999999</v>
      </c>
      <c r="D62" s="22">
        <f>+D60+D56</f>
        <v>32842</v>
      </c>
      <c r="E62" s="21" t="s">
        <v>108</v>
      </c>
    </row>
    <row r="63" spans="2:5" ht="5.0999999999999996" customHeight="1" x14ac:dyDescent="0.3"/>
    <row r="64" spans="2:5" s="25" customFormat="1" x14ac:dyDescent="0.3">
      <c r="B64" s="25" t="s">
        <v>107</v>
      </c>
      <c r="C64" s="28">
        <f>+D64/$D$4</f>
        <v>12.759945</v>
      </c>
      <c r="D64" s="27">
        <f>D62+D44</f>
        <v>2551989</v>
      </c>
      <c r="E64" s="26" t="s">
        <v>106</v>
      </c>
    </row>
    <row r="65" spans="2:14" ht="5.0999999999999996" customHeight="1" x14ac:dyDescent="0.3">
      <c r="B65" s="31"/>
      <c r="C65" s="34"/>
      <c r="D65" s="33"/>
      <c r="E65" s="32"/>
      <c r="F65" s="31"/>
      <c r="G65" s="31"/>
      <c r="H65" s="31"/>
      <c r="I65" s="31"/>
      <c r="J65" s="31"/>
      <c r="K65" s="31"/>
      <c r="L65" s="31"/>
      <c r="M65" s="31"/>
      <c r="N65" s="31"/>
    </row>
    <row r="66" spans="2:14" s="25" customFormat="1" x14ac:dyDescent="0.3">
      <c r="B66" s="25" t="s">
        <v>105</v>
      </c>
      <c r="C66" s="28">
        <f>+D66/$D$4</f>
        <v>2.151709866500001</v>
      </c>
      <c r="D66" s="27">
        <f>+D25-D64</f>
        <v>430341.97330000019</v>
      </c>
      <c r="E66" s="26" t="s">
        <v>104</v>
      </c>
    </row>
    <row r="67" spans="2:14" x14ac:dyDescent="0.3">
      <c r="B67" s="40" t="s">
        <v>103</v>
      </c>
      <c r="C67" s="34"/>
      <c r="D67" s="33"/>
      <c r="E67" s="32"/>
      <c r="F67" s="31"/>
      <c r="G67" s="31"/>
      <c r="H67" s="31"/>
      <c r="I67" s="31"/>
      <c r="J67" s="31"/>
      <c r="K67" s="31"/>
      <c r="L67" s="31"/>
      <c r="M67" s="31"/>
      <c r="N67" s="31"/>
    </row>
    <row r="68" spans="2:14" x14ac:dyDescent="0.3">
      <c r="B68" s="39" t="s">
        <v>102</v>
      </c>
      <c r="C68" s="30">
        <f>+D68/$D$4</f>
        <v>0</v>
      </c>
      <c r="D68" s="29">
        <v>0</v>
      </c>
      <c r="E68" s="21" t="s">
        <v>101</v>
      </c>
    </row>
    <row r="69" spans="2:14" x14ac:dyDescent="0.3">
      <c r="B69" s="39" t="s">
        <v>100</v>
      </c>
      <c r="C69" s="30">
        <f>+D69/$D$4</f>
        <v>0</v>
      </c>
      <c r="D69" s="29">
        <v>0</v>
      </c>
      <c r="E69" s="21" t="s">
        <v>99</v>
      </c>
    </row>
    <row r="70" spans="2:14" x14ac:dyDescent="0.3">
      <c r="B70" s="39" t="s">
        <v>98</v>
      </c>
      <c r="C70" s="30">
        <f>+D70/$D$4</f>
        <v>0</v>
      </c>
      <c r="D70" s="29">
        <v>0</v>
      </c>
      <c r="E70" s="21" t="s">
        <v>97</v>
      </c>
    </row>
    <row r="71" spans="2:14" ht="16.2" x14ac:dyDescent="0.45">
      <c r="B71" s="39" t="s">
        <v>96</v>
      </c>
      <c r="C71" s="38">
        <f>+D71/$D$4</f>
        <v>0</v>
      </c>
      <c r="D71" s="37">
        <v>0</v>
      </c>
      <c r="E71" s="21" t="s">
        <v>95</v>
      </c>
    </row>
    <row r="72" spans="2:14" x14ac:dyDescent="0.3">
      <c r="B72" s="36" t="s">
        <v>94</v>
      </c>
      <c r="C72" s="30">
        <f>+D72/$D$4</f>
        <v>0</v>
      </c>
      <c r="D72" s="22">
        <f>SUM(D68:D71)</f>
        <v>0</v>
      </c>
      <c r="E72" s="35"/>
    </row>
    <row r="73" spans="2:14" ht="5.0999999999999996" customHeight="1" x14ac:dyDescent="0.3">
      <c r="B73" s="31"/>
      <c r="C73" s="34"/>
      <c r="D73" s="33"/>
      <c r="E73" s="32"/>
      <c r="F73" s="31"/>
      <c r="G73" s="31"/>
      <c r="H73" s="31"/>
      <c r="I73" s="31"/>
      <c r="J73" s="31"/>
      <c r="K73" s="31"/>
      <c r="L73" s="31"/>
      <c r="M73" s="31"/>
      <c r="N73" s="31"/>
    </row>
    <row r="74" spans="2:14" s="25" customFormat="1" x14ac:dyDescent="0.3">
      <c r="B74" s="25" t="s">
        <v>93</v>
      </c>
      <c r="C74" s="28"/>
      <c r="D74" s="27">
        <f>+D66-D72</f>
        <v>430341.97330000019</v>
      </c>
      <c r="E74" s="26" t="s">
        <v>92</v>
      </c>
    </row>
    <row r="75" spans="2:14" ht="5.0999999999999996" customHeight="1" x14ac:dyDescent="0.3"/>
    <row r="76" spans="2:14" x14ac:dyDescent="0.3">
      <c r="B76" t="s">
        <v>91</v>
      </c>
      <c r="C76" s="30"/>
      <c r="D76" s="29">
        <v>0</v>
      </c>
      <c r="E76" s="21" t="s">
        <v>90</v>
      </c>
    </row>
    <row r="77" spans="2:14" ht="5.0999999999999996" customHeight="1" x14ac:dyDescent="0.3"/>
    <row r="78" spans="2:14" s="25" customFormat="1" x14ac:dyDescent="0.3">
      <c r="B78" s="25" t="s">
        <v>89</v>
      </c>
      <c r="C78" s="28"/>
      <c r="D78" s="27">
        <f>+D74-D76</f>
        <v>430341.97330000019</v>
      </c>
      <c r="E78" s="26" t="s">
        <v>88</v>
      </c>
    </row>
    <row r="79" spans="2:14" ht="9.9" customHeight="1" x14ac:dyDescent="0.3">
      <c r="D79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DB2F-0CFC-491D-B7E1-85CE39DC4522}">
  <dimension ref="A1:K90"/>
  <sheetViews>
    <sheetView topLeftCell="A36" zoomScale="110" zoomScaleNormal="110" workbookViewId="0">
      <selection activeCell="H4" sqref="H4"/>
    </sheetView>
  </sheetViews>
  <sheetFormatPr defaultRowHeight="14.4" x14ac:dyDescent="0.3"/>
  <cols>
    <col min="1" max="1" width="58.5546875" customWidth="1"/>
    <col min="2" max="2" width="1.44140625" customWidth="1"/>
    <col min="3" max="3" width="12.6640625" style="20" customWidth="1"/>
    <col min="4" max="4" width="8.88671875" style="41"/>
    <col min="6" max="6" width="8.88671875" style="20"/>
    <col min="7" max="7" width="29.6640625" customWidth="1"/>
    <col min="8" max="8" width="10.44140625" bestFit="1" customWidth="1"/>
    <col min="9" max="9" width="10.88671875" bestFit="1" customWidth="1"/>
  </cols>
  <sheetData>
    <row r="1" spans="1:9" s="16" customFormat="1" ht="12" x14ac:dyDescent="0.25">
      <c r="A1" s="64" t="s">
        <v>0</v>
      </c>
      <c r="B1" s="64"/>
      <c r="C1" s="64"/>
      <c r="D1" s="58"/>
      <c r="F1" s="60"/>
    </row>
    <row r="2" spans="1:9" s="16" customFormat="1" ht="12" x14ac:dyDescent="0.25">
      <c r="A2" s="64" t="s">
        <v>1</v>
      </c>
      <c r="B2" s="64"/>
      <c r="C2" s="64"/>
      <c r="D2" s="58"/>
      <c r="F2" s="60"/>
    </row>
    <row r="3" spans="1:9" x14ac:dyDescent="0.3">
      <c r="A3" s="3"/>
      <c r="B3" s="4"/>
      <c r="C3" s="18" t="s">
        <v>86</v>
      </c>
      <c r="D3" s="59" t="s">
        <v>176</v>
      </c>
      <c r="F3" s="61" t="s">
        <v>176</v>
      </c>
      <c r="G3" s="25" t="s">
        <v>171</v>
      </c>
      <c r="H3" s="47" t="s">
        <v>169</v>
      </c>
      <c r="I3" s="42" t="s">
        <v>177</v>
      </c>
    </row>
    <row r="4" spans="1:9" x14ac:dyDescent="0.3">
      <c r="A4" s="5" t="s">
        <v>2</v>
      </c>
      <c r="B4" s="6"/>
      <c r="C4" s="19"/>
      <c r="F4" s="20" t="s">
        <v>178</v>
      </c>
      <c r="G4" s="39" t="s">
        <v>168</v>
      </c>
      <c r="H4" s="29">
        <f>SUMIF($D$4:$D$90,$F4,$C$4:$C$90)</f>
        <v>2506469.9733000002</v>
      </c>
    </row>
    <row r="5" spans="1:9" x14ac:dyDescent="0.3">
      <c r="A5" s="5" t="s">
        <v>3</v>
      </c>
      <c r="B5" s="6"/>
      <c r="C5" s="19"/>
      <c r="F5" s="20" t="s">
        <v>179</v>
      </c>
      <c r="G5" s="39" t="s">
        <v>166</v>
      </c>
      <c r="H5" s="29">
        <f t="shared" ref="H5:H7" si="0">SUMIF($D$4:$D$90,$F5,$C$4:$C$90)</f>
        <v>0</v>
      </c>
    </row>
    <row r="6" spans="1:9" x14ac:dyDescent="0.3">
      <c r="A6" s="17" t="s">
        <v>4</v>
      </c>
      <c r="B6" s="7"/>
      <c r="C6" s="8">
        <v>2325327</v>
      </c>
      <c r="D6" s="41" t="s">
        <v>178</v>
      </c>
      <c r="F6" s="20" t="s">
        <v>180</v>
      </c>
      <c r="G6" s="39" t="s">
        <v>164</v>
      </c>
      <c r="H6" s="29">
        <f t="shared" si="0"/>
        <v>0</v>
      </c>
    </row>
    <row r="7" spans="1:9" x14ac:dyDescent="0.3">
      <c r="A7" s="17" t="s">
        <v>5</v>
      </c>
      <c r="B7" s="7"/>
      <c r="C7" s="8">
        <v>181142.97329999998</v>
      </c>
      <c r="D7" s="41" t="s">
        <v>178</v>
      </c>
      <c r="F7" s="20" t="s">
        <v>181</v>
      </c>
      <c r="G7" s="39" t="s">
        <v>162</v>
      </c>
      <c r="H7" s="46">
        <f t="shared" si="0"/>
        <v>0</v>
      </c>
    </row>
    <row r="8" spans="1:9" x14ac:dyDescent="0.3">
      <c r="A8" s="17" t="s">
        <v>6</v>
      </c>
      <c r="B8" s="7"/>
      <c r="C8" s="9">
        <v>0</v>
      </c>
      <c r="G8" s="41" t="s">
        <v>160</v>
      </c>
      <c r="H8" s="22">
        <f>SUM(H4:H7)</f>
        <v>2506469.9733000002</v>
      </c>
    </row>
    <row r="9" spans="1:9" x14ac:dyDescent="0.3">
      <c r="A9" s="5" t="s">
        <v>7</v>
      </c>
      <c r="B9" s="6"/>
      <c r="C9" s="10">
        <v>2506469.9733000002</v>
      </c>
      <c r="H9" s="22"/>
    </row>
    <row r="10" spans="1:9" x14ac:dyDescent="0.3">
      <c r="A10" s="5" t="s">
        <v>8</v>
      </c>
      <c r="B10" s="6"/>
      <c r="C10" s="11"/>
      <c r="G10" s="25" t="s">
        <v>18</v>
      </c>
      <c r="H10" s="22"/>
    </row>
    <row r="11" spans="1:9" x14ac:dyDescent="0.3">
      <c r="A11" s="17" t="s">
        <v>9</v>
      </c>
      <c r="B11" s="7"/>
      <c r="C11" s="9">
        <v>386785</v>
      </c>
      <c r="F11" s="20" t="s">
        <v>182</v>
      </c>
      <c r="G11" s="39" t="s">
        <v>158</v>
      </c>
      <c r="H11" s="29">
        <f t="shared" ref="H11:H15" si="1">SUMIF($D$4:$D$90,$F11,$C$4:$C$90)</f>
        <v>386785</v>
      </c>
    </row>
    <row r="12" spans="1:9" x14ac:dyDescent="0.3">
      <c r="A12" s="5" t="s">
        <v>10</v>
      </c>
      <c r="B12" s="6"/>
      <c r="C12" s="10">
        <v>386785</v>
      </c>
      <c r="D12" s="41" t="s">
        <v>182</v>
      </c>
      <c r="F12" s="20" t="s">
        <v>193</v>
      </c>
      <c r="G12" s="39" t="s">
        <v>156</v>
      </c>
      <c r="H12" s="29">
        <f t="shared" si="1"/>
        <v>60383</v>
      </c>
    </row>
    <row r="13" spans="1:9" x14ac:dyDescent="0.3">
      <c r="A13" s="5" t="s">
        <v>11</v>
      </c>
      <c r="B13" s="6"/>
      <c r="C13" s="11"/>
      <c r="F13" s="20" t="s">
        <v>184</v>
      </c>
      <c r="G13" s="39" t="s">
        <v>154</v>
      </c>
      <c r="H13" s="29">
        <f t="shared" si="1"/>
        <v>0</v>
      </c>
    </row>
    <row r="14" spans="1:9" x14ac:dyDescent="0.3">
      <c r="A14" s="17" t="s">
        <v>12</v>
      </c>
      <c r="B14" s="7"/>
      <c r="C14" s="9">
        <v>60383</v>
      </c>
      <c r="F14" s="20" t="s">
        <v>185</v>
      </c>
      <c r="G14" s="39" t="s">
        <v>152</v>
      </c>
      <c r="H14" s="29">
        <f t="shared" si="1"/>
        <v>19200</v>
      </c>
    </row>
    <row r="15" spans="1:9" ht="16.2" x14ac:dyDescent="0.45">
      <c r="A15" s="5" t="s">
        <v>87</v>
      </c>
      <c r="B15" s="6"/>
      <c r="C15" s="10">
        <v>60383</v>
      </c>
      <c r="D15" s="41" t="s">
        <v>193</v>
      </c>
      <c r="F15" s="20" t="s">
        <v>186</v>
      </c>
      <c r="G15" s="39" t="s">
        <v>18</v>
      </c>
      <c r="H15" s="37">
        <f t="shared" si="1"/>
        <v>9493</v>
      </c>
    </row>
    <row r="16" spans="1:9" x14ac:dyDescent="0.3">
      <c r="A16" s="5" t="s">
        <v>13</v>
      </c>
      <c r="B16" s="6"/>
      <c r="C16" s="11"/>
      <c r="G16" s="41" t="s">
        <v>21</v>
      </c>
      <c r="H16" s="22">
        <f>SUM(H11:H15)</f>
        <v>475861</v>
      </c>
    </row>
    <row r="17" spans="1:9" x14ac:dyDescent="0.3">
      <c r="A17" s="17" t="s">
        <v>14</v>
      </c>
      <c r="B17" s="7"/>
      <c r="C17" s="8">
        <v>19200</v>
      </c>
      <c r="D17" s="41" t="s">
        <v>185</v>
      </c>
      <c r="H17" s="22"/>
    </row>
    <row r="18" spans="1:9" x14ac:dyDescent="0.3">
      <c r="A18" s="17" t="s">
        <v>15</v>
      </c>
      <c r="B18" s="7"/>
      <c r="C18" s="8">
        <v>1738</v>
      </c>
      <c r="D18" s="41" t="s">
        <v>186</v>
      </c>
      <c r="G18" s="25" t="s">
        <v>148</v>
      </c>
      <c r="H18" s="22"/>
    </row>
    <row r="19" spans="1:9" x14ac:dyDescent="0.3">
      <c r="A19" s="17" t="s">
        <v>16</v>
      </c>
      <c r="B19" s="7"/>
      <c r="C19" s="8">
        <v>3625</v>
      </c>
      <c r="D19" s="41" t="s">
        <v>186</v>
      </c>
      <c r="G19" s="39" t="s">
        <v>147</v>
      </c>
      <c r="H19" s="22">
        <f>+H16+H8</f>
        <v>2982330.9733000002</v>
      </c>
    </row>
    <row r="20" spans="1:9" ht="16.2" x14ac:dyDescent="0.45">
      <c r="A20" s="17" t="s">
        <v>17</v>
      </c>
      <c r="B20" s="7"/>
      <c r="C20" s="8">
        <v>405</v>
      </c>
      <c r="D20" s="41" t="s">
        <v>186</v>
      </c>
      <c r="G20" s="39" t="s">
        <v>145</v>
      </c>
      <c r="H20" s="37">
        <v>0</v>
      </c>
    </row>
    <row r="21" spans="1:9" x14ac:dyDescent="0.3">
      <c r="A21" s="17" t="s">
        <v>18</v>
      </c>
      <c r="B21" s="7"/>
      <c r="C21" s="8">
        <v>505</v>
      </c>
      <c r="D21" s="41" t="s">
        <v>186</v>
      </c>
      <c r="G21" s="36" t="s">
        <v>143</v>
      </c>
      <c r="H21" s="27">
        <f>+H19+H20</f>
        <v>2982330.9733000002</v>
      </c>
      <c r="I21" s="62">
        <f>C25</f>
        <v>2982330.9733000002</v>
      </c>
    </row>
    <row r="22" spans="1:9" x14ac:dyDescent="0.3">
      <c r="A22" s="17" t="s">
        <v>19</v>
      </c>
      <c r="B22" s="7"/>
      <c r="C22" s="8">
        <v>1350</v>
      </c>
      <c r="D22" s="41" t="s">
        <v>186</v>
      </c>
      <c r="G22" s="40" t="s">
        <v>141</v>
      </c>
      <c r="H22" s="33"/>
    </row>
    <row r="23" spans="1:9" x14ac:dyDescent="0.3">
      <c r="A23" s="17" t="s">
        <v>20</v>
      </c>
      <c r="B23" s="7"/>
      <c r="C23" s="9">
        <v>1870</v>
      </c>
      <c r="D23" s="41" t="s">
        <v>186</v>
      </c>
      <c r="G23" s="25" t="s">
        <v>140</v>
      </c>
      <c r="H23" s="22"/>
    </row>
    <row r="24" spans="1:9" x14ac:dyDescent="0.3">
      <c r="A24" s="5" t="s">
        <v>21</v>
      </c>
      <c r="B24" s="6"/>
      <c r="C24" s="12">
        <v>28693</v>
      </c>
      <c r="G24" s="42" t="s">
        <v>131</v>
      </c>
      <c r="H24" s="22"/>
    </row>
    <row r="25" spans="1:9" x14ac:dyDescent="0.3">
      <c r="A25" s="5" t="s">
        <v>22</v>
      </c>
      <c r="B25" s="6"/>
      <c r="C25" s="13">
        <v>2982330.9733000002</v>
      </c>
      <c r="F25" s="20" t="s">
        <v>187</v>
      </c>
      <c r="G25" s="39" t="s">
        <v>129</v>
      </c>
      <c r="H25" s="29">
        <f t="shared" ref="H25:H33" si="2">SUMIF($D$4:$D$90,$F25,$C$4:$C$90)</f>
        <v>117365</v>
      </c>
    </row>
    <row r="26" spans="1:9" x14ac:dyDescent="0.3">
      <c r="A26" s="14" t="s">
        <v>23</v>
      </c>
      <c r="B26" s="6"/>
      <c r="C26" s="11" t="s">
        <v>24</v>
      </c>
      <c r="F26" s="20" t="s">
        <v>188</v>
      </c>
      <c r="G26" s="39" t="s">
        <v>127</v>
      </c>
      <c r="H26" s="29">
        <f t="shared" si="2"/>
        <v>262319</v>
      </c>
    </row>
    <row r="27" spans="1:9" x14ac:dyDescent="0.3">
      <c r="A27" s="5" t="s">
        <v>25</v>
      </c>
      <c r="B27" s="6"/>
      <c r="C27" s="11" t="s">
        <v>24</v>
      </c>
      <c r="F27" s="20" t="s">
        <v>191</v>
      </c>
      <c r="G27" s="39" t="s">
        <v>39</v>
      </c>
      <c r="H27" s="29">
        <f t="shared" si="2"/>
        <v>192830</v>
      </c>
    </row>
    <row r="28" spans="1:9" x14ac:dyDescent="0.3">
      <c r="A28" s="5" t="s">
        <v>26</v>
      </c>
      <c r="B28" s="6"/>
      <c r="C28" s="11" t="s">
        <v>24</v>
      </c>
      <c r="F28" s="20" t="s">
        <v>192</v>
      </c>
      <c r="G28" s="39" t="s">
        <v>124</v>
      </c>
      <c r="H28" s="29">
        <f t="shared" si="2"/>
        <v>32818</v>
      </c>
    </row>
    <row r="29" spans="1:9" x14ac:dyDescent="0.3">
      <c r="A29" s="17" t="s">
        <v>27</v>
      </c>
      <c r="B29" s="7"/>
      <c r="C29" s="8">
        <v>23491</v>
      </c>
      <c r="F29" s="20" t="s">
        <v>183</v>
      </c>
      <c r="G29" s="39" t="s">
        <v>26</v>
      </c>
      <c r="H29" s="29">
        <f t="shared" si="2"/>
        <v>185174</v>
      </c>
    </row>
    <row r="30" spans="1:9" x14ac:dyDescent="0.3">
      <c r="A30" s="17" t="s">
        <v>28</v>
      </c>
      <c r="B30" s="7"/>
      <c r="C30" s="8">
        <v>161683</v>
      </c>
      <c r="F30" s="20" t="s">
        <v>194</v>
      </c>
      <c r="G30" s="39" t="s">
        <v>121</v>
      </c>
      <c r="H30" s="29">
        <f t="shared" si="2"/>
        <v>186495</v>
      </c>
    </row>
    <row r="31" spans="1:9" x14ac:dyDescent="0.3">
      <c r="A31" s="17" t="s">
        <v>29</v>
      </c>
      <c r="B31" s="7"/>
      <c r="C31" s="9">
        <v>0</v>
      </c>
      <c r="F31" s="20" t="s">
        <v>195</v>
      </c>
      <c r="G31" s="39" t="s">
        <v>138</v>
      </c>
      <c r="H31" s="29">
        <f t="shared" si="2"/>
        <v>0</v>
      </c>
    </row>
    <row r="32" spans="1:9" x14ac:dyDescent="0.3">
      <c r="A32" s="5" t="s">
        <v>30</v>
      </c>
      <c r="B32" s="6"/>
      <c r="C32" s="10">
        <v>185174</v>
      </c>
      <c r="D32" s="41" t="s">
        <v>183</v>
      </c>
      <c r="F32" s="20" t="s">
        <v>196</v>
      </c>
      <c r="G32" s="39" t="s">
        <v>120</v>
      </c>
      <c r="H32" s="29">
        <f t="shared" si="2"/>
        <v>0</v>
      </c>
    </row>
    <row r="33" spans="1:8" ht="16.2" x14ac:dyDescent="0.45">
      <c r="A33" s="5" t="s">
        <v>31</v>
      </c>
      <c r="B33" s="6"/>
      <c r="C33" s="11"/>
      <c r="F33" s="20" t="s">
        <v>189</v>
      </c>
      <c r="G33" s="39" t="s">
        <v>118</v>
      </c>
      <c r="H33" s="37">
        <f t="shared" si="2"/>
        <v>285377</v>
      </c>
    </row>
    <row r="34" spans="1:8" x14ac:dyDescent="0.3">
      <c r="A34" s="17" t="s">
        <v>32</v>
      </c>
      <c r="B34" s="7"/>
      <c r="C34" s="8">
        <v>186495</v>
      </c>
      <c r="D34" s="41" t="s">
        <v>194</v>
      </c>
      <c r="G34" s="41" t="s">
        <v>116</v>
      </c>
      <c r="H34" s="22">
        <f>SUM(H25:H33)</f>
        <v>1262378</v>
      </c>
    </row>
    <row r="35" spans="1:8" x14ac:dyDescent="0.3">
      <c r="A35" s="17" t="s">
        <v>33</v>
      </c>
      <c r="B35" s="7"/>
      <c r="C35" s="8">
        <v>5579</v>
      </c>
      <c r="D35" s="41" t="s">
        <v>188</v>
      </c>
      <c r="G35" s="42" t="s">
        <v>115</v>
      </c>
      <c r="H35" s="22"/>
    </row>
    <row r="36" spans="1:8" x14ac:dyDescent="0.3">
      <c r="A36" s="17" t="s">
        <v>34</v>
      </c>
      <c r="B36" s="7"/>
      <c r="C36" s="8">
        <v>14673</v>
      </c>
      <c r="D36" s="41" t="s">
        <v>188</v>
      </c>
      <c r="F36" s="20" t="s">
        <v>190</v>
      </c>
      <c r="G36" s="39" t="s">
        <v>113</v>
      </c>
      <c r="H36" s="29">
        <f t="shared" ref="H36:H37" si="3">SUMIF($D$4:$D$90,$F36,$C$4:$C$90)</f>
        <v>1249105</v>
      </c>
    </row>
    <row r="37" spans="1:8" ht="16.2" x14ac:dyDescent="0.45">
      <c r="A37" s="17" t="s">
        <v>35</v>
      </c>
      <c r="B37" s="7"/>
      <c r="C37" s="8">
        <v>117365</v>
      </c>
      <c r="D37" s="41" t="s">
        <v>187</v>
      </c>
      <c r="F37" s="20" t="s">
        <v>197</v>
      </c>
      <c r="G37" s="39" t="s">
        <v>58</v>
      </c>
      <c r="H37" s="37">
        <f t="shared" si="3"/>
        <v>7664</v>
      </c>
    </row>
    <row r="38" spans="1:8" x14ac:dyDescent="0.3">
      <c r="A38" s="17" t="s">
        <v>36</v>
      </c>
      <c r="B38" s="7"/>
      <c r="C38" s="8">
        <v>32818</v>
      </c>
      <c r="D38" s="41" t="s">
        <v>192</v>
      </c>
      <c r="G38" s="41" t="s">
        <v>110</v>
      </c>
      <c r="H38" s="22">
        <f>SUM(H36:H37)</f>
        <v>1256769</v>
      </c>
    </row>
    <row r="39" spans="1:8" x14ac:dyDescent="0.3">
      <c r="A39" s="17" t="s">
        <v>37</v>
      </c>
      <c r="B39" s="7"/>
      <c r="C39" s="8">
        <v>11898</v>
      </c>
      <c r="D39" s="41" t="s">
        <v>188</v>
      </c>
      <c r="H39" s="22"/>
    </row>
    <row r="40" spans="1:8" x14ac:dyDescent="0.3">
      <c r="A40" s="17" t="s">
        <v>38</v>
      </c>
      <c r="B40" s="7"/>
      <c r="C40" s="8">
        <v>6076</v>
      </c>
      <c r="D40" s="41" t="s">
        <v>191</v>
      </c>
      <c r="G40" t="s">
        <v>135</v>
      </c>
      <c r="H40" s="22">
        <f>+H38+H34</f>
        <v>2519147</v>
      </c>
    </row>
    <row r="41" spans="1:8" x14ac:dyDescent="0.3">
      <c r="A41" s="17" t="s">
        <v>39</v>
      </c>
      <c r="B41" s="7"/>
      <c r="C41" s="8">
        <v>186754</v>
      </c>
      <c r="D41" s="41" t="s">
        <v>191</v>
      </c>
      <c r="H41" s="22"/>
    </row>
    <row r="42" spans="1:8" x14ac:dyDescent="0.3">
      <c r="A42" s="17" t="s">
        <v>40</v>
      </c>
      <c r="B42" s="7"/>
      <c r="C42" s="8">
        <v>3105</v>
      </c>
      <c r="D42" s="41" t="s">
        <v>188</v>
      </c>
      <c r="G42" s="25" t="s">
        <v>133</v>
      </c>
      <c r="H42" s="22"/>
    </row>
    <row r="43" spans="1:8" x14ac:dyDescent="0.3">
      <c r="A43" s="17" t="s">
        <v>41</v>
      </c>
      <c r="B43" s="7"/>
      <c r="C43" s="8">
        <v>1430</v>
      </c>
      <c r="D43" s="41" t="s">
        <v>188</v>
      </c>
      <c r="G43" s="42" t="s">
        <v>131</v>
      </c>
      <c r="H43" s="22"/>
    </row>
    <row r="44" spans="1:8" x14ac:dyDescent="0.3">
      <c r="A44" s="17" t="s">
        <v>42</v>
      </c>
      <c r="B44" s="7"/>
      <c r="C44" s="8">
        <v>105927</v>
      </c>
      <c r="D44" s="41" t="s">
        <v>188</v>
      </c>
      <c r="F44" s="20" t="s">
        <v>198</v>
      </c>
      <c r="G44" s="39" t="s">
        <v>129</v>
      </c>
      <c r="H44" s="29">
        <f t="shared" ref="H44:H51" si="4">SUMIF($D$4:$D$90,$F44,$C$4:$C$90)</f>
        <v>0</v>
      </c>
    </row>
    <row r="45" spans="1:8" x14ac:dyDescent="0.3">
      <c r="A45" s="17" t="s">
        <v>43</v>
      </c>
      <c r="B45" s="7"/>
      <c r="C45" s="8">
        <v>119707</v>
      </c>
      <c r="D45" s="41" t="s">
        <v>188</v>
      </c>
      <c r="F45" s="20" t="s">
        <v>199</v>
      </c>
      <c r="G45" s="39" t="s">
        <v>127</v>
      </c>
      <c r="H45" s="29">
        <f t="shared" si="4"/>
        <v>0</v>
      </c>
    </row>
    <row r="46" spans="1:8" x14ac:dyDescent="0.3">
      <c r="A46" s="17" t="s">
        <v>44</v>
      </c>
      <c r="B46" s="7"/>
      <c r="C46" s="9">
        <v>0</v>
      </c>
      <c r="D46" s="41" t="s">
        <v>188</v>
      </c>
      <c r="F46" s="20" t="s">
        <v>200</v>
      </c>
      <c r="G46" s="39" t="s">
        <v>39</v>
      </c>
      <c r="H46" s="29">
        <f t="shared" si="4"/>
        <v>0</v>
      </c>
    </row>
    <row r="47" spans="1:8" x14ac:dyDescent="0.3">
      <c r="A47" s="5" t="s">
        <v>45</v>
      </c>
      <c r="B47" s="6"/>
      <c r="C47" s="10">
        <v>791827</v>
      </c>
      <c r="F47" s="20" t="s">
        <v>201</v>
      </c>
      <c r="G47" s="39" t="s">
        <v>124</v>
      </c>
      <c r="H47" s="29">
        <f t="shared" si="4"/>
        <v>0</v>
      </c>
    </row>
    <row r="48" spans="1:8" x14ac:dyDescent="0.3">
      <c r="A48" s="5" t="s">
        <v>46</v>
      </c>
      <c r="B48" s="6"/>
      <c r="C48" s="11"/>
      <c r="F48" s="20" t="s">
        <v>202</v>
      </c>
      <c r="G48" s="39" t="s">
        <v>26</v>
      </c>
      <c r="H48" s="29">
        <f t="shared" si="4"/>
        <v>0</v>
      </c>
    </row>
    <row r="49" spans="1:11" x14ac:dyDescent="0.3">
      <c r="A49" s="17" t="s">
        <v>47</v>
      </c>
      <c r="B49" s="7"/>
      <c r="C49" s="8">
        <v>44865</v>
      </c>
      <c r="F49" s="20" t="s">
        <v>203</v>
      </c>
      <c r="G49" s="39" t="s">
        <v>121</v>
      </c>
      <c r="H49" s="29">
        <f t="shared" si="4"/>
        <v>0</v>
      </c>
    </row>
    <row r="50" spans="1:11" x14ac:dyDescent="0.3">
      <c r="A50" s="17" t="s">
        <v>48</v>
      </c>
      <c r="B50" s="7"/>
      <c r="C50" s="8">
        <v>36644</v>
      </c>
      <c r="F50" s="20" t="s">
        <v>204</v>
      </c>
      <c r="G50" s="39" t="s">
        <v>120</v>
      </c>
      <c r="H50" s="29">
        <f t="shared" si="4"/>
        <v>115</v>
      </c>
    </row>
    <row r="51" spans="1:11" ht="16.2" x14ac:dyDescent="0.45">
      <c r="A51" s="17" t="s">
        <v>49</v>
      </c>
      <c r="B51" s="7"/>
      <c r="C51" s="8">
        <v>131816</v>
      </c>
      <c r="F51" s="20" t="s">
        <v>205</v>
      </c>
      <c r="G51" s="39" t="s">
        <v>118</v>
      </c>
      <c r="H51" s="37">
        <f t="shared" si="4"/>
        <v>32727</v>
      </c>
    </row>
    <row r="52" spans="1:11" x14ac:dyDescent="0.3">
      <c r="A52" s="17" t="s">
        <v>50</v>
      </c>
      <c r="B52" s="7"/>
      <c r="C52" s="8">
        <v>72052</v>
      </c>
      <c r="G52" s="41" t="s">
        <v>116</v>
      </c>
      <c r="H52" s="22">
        <f>SUM(H44:H51)</f>
        <v>32842</v>
      </c>
    </row>
    <row r="53" spans="1:11" x14ac:dyDescent="0.3">
      <c r="A53" s="17" t="s">
        <v>51</v>
      </c>
      <c r="B53" s="7"/>
      <c r="C53" s="9">
        <v>0</v>
      </c>
      <c r="G53" s="42" t="s">
        <v>115</v>
      </c>
      <c r="H53" s="22"/>
    </row>
    <row r="54" spans="1:11" x14ac:dyDescent="0.3">
      <c r="A54" s="5" t="s">
        <v>52</v>
      </c>
      <c r="B54" s="6"/>
      <c r="C54" s="10">
        <v>285377</v>
      </c>
      <c r="D54" s="41" t="s">
        <v>189</v>
      </c>
      <c r="F54" s="20" t="s">
        <v>206</v>
      </c>
      <c r="G54" s="39" t="s">
        <v>113</v>
      </c>
      <c r="H54" s="29">
        <f t="shared" ref="H54:H55" si="5">SUMIF($D$4:$D$90,$F54,$C$4:$C$90)</f>
        <v>0</v>
      </c>
    </row>
    <row r="55" spans="1:11" ht="16.2" x14ac:dyDescent="0.45">
      <c r="A55" s="5" t="s">
        <v>53</v>
      </c>
      <c r="B55" s="6"/>
      <c r="C55" s="11" t="s">
        <v>24</v>
      </c>
      <c r="F55" s="20" t="s">
        <v>207</v>
      </c>
      <c r="G55" s="39" t="s">
        <v>58</v>
      </c>
      <c r="H55" s="37">
        <f t="shared" si="5"/>
        <v>0</v>
      </c>
    </row>
    <row r="56" spans="1:11" x14ac:dyDescent="0.3">
      <c r="A56" s="17" t="s">
        <v>54</v>
      </c>
      <c r="B56" s="7"/>
      <c r="C56" s="8">
        <v>43584</v>
      </c>
      <c r="G56" s="41" t="s">
        <v>110</v>
      </c>
      <c r="H56" s="22">
        <f>SUM(H54:H55)</f>
        <v>0</v>
      </c>
    </row>
    <row r="57" spans="1:11" x14ac:dyDescent="0.3">
      <c r="A57" s="17" t="s">
        <v>53</v>
      </c>
      <c r="B57" s="7"/>
      <c r="C57" s="8">
        <v>1198650</v>
      </c>
      <c r="H57" s="22"/>
    </row>
    <row r="58" spans="1:11" x14ac:dyDescent="0.3">
      <c r="A58" s="17" t="s">
        <v>55</v>
      </c>
      <c r="B58" s="7"/>
      <c r="C58" s="8">
        <v>6871</v>
      </c>
      <c r="G58" t="s">
        <v>109</v>
      </c>
      <c r="H58" s="22">
        <f>+H56+H52</f>
        <v>32842</v>
      </c>
    </row>
    <row r="59" spans="1:11" x14ac:dyDescent="0.3">
      <c r="A59" s="17" t="s">
        <v>56</v>
      </c>
      <c r="B59" s="7"/>
      <c r="C59" s="9">
        <v>0</v>
      </c>
      <c r="H59" s="22"/>
    </row>
    <row r="60" spans="1:11" x14ac:dyDescent="0.3">
      <c r="A60" s="5" t="s">
        <v>57</v>
      </c>
      <c r="B60" s="6"/>
      <c r="C60" s="10">
        <v>1249105</v>
      </c>
      <c r="D60" s="41" t="s">
        <v>190</v>
      </c>
      <c r="G60" s="25" t="s">
        <v>107</v>
      </c>
      <c r="H60" s="27">
        <f>H58+H40</f>
        <v>2551989</v>
      </c>
      <c r="I60" s="62">
        <f>C88</f>
        <v>2551989</v>
      </c>
      <c r="K60">
        <f>H58/H60</f>
        <v>1.2869177727646945E-2</v>
      </c>
    </row>
    <row r="61" spans="1:11" x14ac:dyDescent="0.3">
      <c r="A61" s="5" t="s">
        <v>58</v>
      </c>
      <c r="B61" s="6"/>
      <c r="C61" s="11" t="s">
        <v>24</v>
      </c>
      <c r="G61" s="31"/>
      <c r="H61" s="33"/>
      <c r="K61">
        <f>H60/H21</f>
        <v>0.85570281194383346</v>
      </c>
    </row>
    <row r="62" spans="1:11" x14ac:dyDescent="0.3">
      <c r="A62" s="17" t="s">
        <v>59</v>
      </c>
      <c r="B62" s="7"/>
      <c r="C62" s="8">
        <v>7664</v>
      </c>
      <c r="G62" s="25" t="s">
        <v>105</v>
      </c>
      <c r="H62" s="27">
        <f>+H21-H60</f>
        <v>430341.97330000019</v>
      </c>
      <c r="I62" s="63">
        <f>C90</f>
        <v>430341.97330000019</v>
      </c>
    </row>
    <row r="63" spans="1:11" x14ac:dyDescent="0.3">
      <c r="A63" s="17" t="s">
        <v>60</v>
      </c>
      <c r="B63" s="7"/>
      <c r="C63" s="9">
        <v>0</v>
      </c>
    </row>
    <row r="64" spans="1:11" x14ac:dyDescent="0.3">
      <c r="A64" s="5" t="s">
        <v>61</v>
      </c>
      <c r="B64" s="6"/>
      <c r="C64" s="12">
        <v>7664</v>
      </c>
      <c r="D64" s="41" t="s">
        <v>197</v>
      </c>
    </row>
    <row r="65" spans="1:4" x14ac:dyDescent="0.3">
      <c r="A65" s="5" t="s">
        <v>62</v>
      </c>
      <c r="B65" s="6"/>
      <c r="C65" s="13">
        <v>2519147</v>
      </c>
    </row>
    <row r="66" spans="1:4" x14ac:dyDescent="0.3">
      <c r="A66" s="5" t="s">
        <v>63</v>
      </c>
      <c r="B66" s="6"/>
      <c r="C66" s="10"/>
    </row>
    <row r="67" spans="1:4" x14ac:dyDescent="0.3">
      <c r="A67" s="5" t="s">
        <v>64</v>
      </c>
      <c r="B67" s="6"/>
      <c r="C67" s="11" t="s">
        <v>24</v>
      </c>
    </row>
    <row r="68" spans="1:4" x14ac:dyDescent="0.3">
      <c r="A68" s="17" t="s">
        <v>65</v>
      </c>
      <c r="B68" s="7"/>
      <c r="C68" s="8">
        <v>2636</v>
      </c>
    </row>
    <row r="69" spans="1:4" x14ac:dyDescent="0.3">
      <c r="A69" s="17" t="s">
        <v>66</v>
      </c>
      <c r="B69" s="7"/>
      <c r="C69" s="8">
        <v>12160</v>
      </c>
    </row>
    <row r="70" spans="1:4" x14ac:dyDescent="0.3">
      <c r="A70" s="17" t="s">
        <v>67</v>
      </c>
      <c r="B70" s="7"/>
      <c r="C70" s="8">
        <v>166</v>
      </c>
    </row>
    <row r="71" spans="1:4" x14ac:dyDescent="0.3">
      <c r="A71" s="17" t="s">
        <v>68</v>
      </c>
      <c r="B71" s="7"/>
      <c r="C71" s="8">
        <v>3634</v>
      </c>
    </row>
    <row r="72" spans="1:4" x14ac:dyDescent="0.3">
      <c r="A72" s="17" t="s">
        <v>69</v>
      </c>
      <c r="B72" s="7"/>
      <c r="C72" s="8">
        <v>2910</v>
      </c>
    </row>
    <row r="73" spans="1:4" x14ac:dyDescent="0.3">
      <c r="A73" s="17" t="s">
        <v>70</v>
      </c>
      <c r="B73" s="7"/>
      <c r="C73" s="8">
        <v>1166</v>
      </c>
    </row>
    <row r="74" spans="1:4" x14ac:dyDescent="0.3">
      <c r="A74" s="17" t="s">
        <v>71</v>
      </c>
      <c r="B74" s="7"/>
      <c r="C74" s="8">
        <v>2554</v>
      </c>
    </row>
    <row r="75" spans="1:4" x14ac:dyDescent="0.3">
      <c r="A75" s="17" t="s">
        <v>72</v>
      </c>
      <c r="B75" s="7"/>
      <c r="C75" s="8">
        <v>145</v>
      </c>
    </row>
    <row r="76" spans="1:4" x14ac:dyDescent="0.3">
      <c r="A76" s="17" t="s">
        <v>73</v>
      </c>
      <c r="B76" s="7"/>
      <c r="C76" s="8">
        <v>3669</v>
      </c>
    </row>
    <row r="77" spans="1:4" x14ac:dyDescent="0.3">
      <c r="A77" s="17" t="s">
        <v>74</v>
      </c>
      <c r="B77" s="7"/>
      <c r="C77" s="9">
        <v>0</v>
      </c>
    </row>
    <row r="78" spans="1:4" x14ac:dyDescent="0.3">
      <c r="A78" s="5" t="s">
        <v>75</v>
      </c>
      <c r="B78" s="6"/>
      <c r="C78" s="10">
        <v>29040</v>
      </c>
      <c r="D78" s="41" t="s">
        <v>205</v>
      </c>
    </row>
    <row r="79" spans="1:4" x14ac:dyDescent="0.3">
      <c r="A79" s="5" t="s">
        <v>76</v>
      </c>
      <c r="B79" s="6"/>
      <c r="C79" s="11"/>
    </row>
    <row r="80" spans="1:4" x14ac:dyDescent="0.3">
      <c r="A80" s="17" t="s">
        <v>77</v>
      </c>
      <c r="B80" s="7"/>
      <c r="C80" s="8">
        <v>115</v>
      </c>
      <c r="D80" s="41" t="s">
        <v>204</v>
      </c>
    </row>
    <row r="81" spans="1:4" x14ac:dyDescent="0.3">
      <c r="A81" s="17" t="s">
        <v>78</v>
      </c>
      <c r="B81" s="7"/>
      <c r="C81" s="8">
        <v>750</v>
      </c>
      <c r="D81" s="41" t="s">
        <v>205</v>
      </c>
    </row>
    <row r="82" spans="1:4" x14ac:dyDescent="0.3">
      <c r="A82" s="17" t="s">
        <v>79</v>
      </c>
      <c r="B82" s="7"/>
      <c r="C82" s="8">
        <v>1510</v>
      </c>
      <c r="D82" s="41" t="s">
        <v>205</v>
      </c>
    </row>
    <row r="83" spans="1:4" x14ac:dyDescent="0.3">
      <c r="A83" s="17" t="s">
        <v>80</v>
      </c>
      <c r="B83" s="7"/>
      <c r="C83" s="8">
        <v>1427</v>
      </c>
      <c r="D83" s="41" t="s">
        <v>205</v>
      </c>
    </row>
    <row r="84" spans="1:4" x14ac:dyDescent="0.3">
      <c r="A84" s="17" t="s">
        <v>81</v>
      </c>
      <c r="B84" s="7"/>
      <c r="C84" s="9">
        <v>0</v>
      </c>
    </row>
    <row r="85" spans="1:4" x14ac:dyDescent="0.3">
      <c r="A85" s="5" t="s">
        <v>82</v>
      </c>
      <c r="B85" s="6"/>
      <c r="C85" s="12">
        <v>3802</v>
      </c>
    </row>
    <row r="86" spans="1:4" x14ac:dyDescent="0.3">
      <c r="A86" s="5" t="s">
        <v>83</v>
      </c>
      <c r="B86" s="6"/>
      <c r="C86" s="13">
        <v>32842</v>
      </c>
    </row>
    <row r="87" spans="1:4" x14ac:dyDescent="0.3">
      <c r="A87" s="5"/>
      <c r="B87" s="6"/>
      <c r="C87" s="12"/>
    </row>
    <row r="88" spans="1:4" x14ac:dyDescent="0.3">
      <c r="A88" s="5" t="s">
        <v>84</v>
      </c>
      <c r="B88" s="6"/>
      <c r="C88" s="13">
        <v>2551989</v>
      </c>
    </row>
    <row r="89" spans="1:4" x14ac:dyDescent="0.3">
      <c r="A89" s="2"/>
      <c r="B89" s="1"/>
      <c r="C89" s="15" t="s">
        <v>24</v>
      </c>
    </row>
    <row r="90" spans="1:4" x14ac:dyDescent="0.3">
      <c r="A90" s="5" t="s">
        <v>85</v>
      </c>
      <c r="B90" s="6"/>
      <c r="C90" s="13">
        <v>430341.97330000019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</vt:lpstr>
      <vt:lpstr>Office Detailed OpSt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Burton</dc:creator>
  <cp:lastModifiedBy>David Polnick</cp:lastModifiedBy>
  <dcterms:created xsi:type="dcterms:W3CDTF">2019-02-12T23:02:36Z</dcterms:created>
  <dcterms:modified xsi:type="dcterms:W3CDTF">2026-10-20T15:29:13Z</dcterms:modified>
</cp:coreProperties>
</file>