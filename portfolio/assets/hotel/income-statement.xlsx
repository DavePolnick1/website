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eP\Downloads\CRE Analyst Portfolio\4. Income Statements\"/>
    </mc:Choice>
  </mc:AlternateContent>
  <xr:revisionPtr revIDLastSave="0" documentId="8_{5099B892-D0D1-47A6-BBDE-B4C8890765BF}" xr6:coauthVersionLast="47" xr6:coauthVersionMax="47" xr10:uidLastSave="{00000000-0000-0000-0000-000000000000}"/>
  <bookViews>
    <workbookView xWindow="-108" yWindow="-108" windowWidth="23256" windowHeight="12456" xr2:uid="{AAE730FD-A742-42C0-B590-9796B4782798}"/>
  </bookViews>
  <sheets>
    <sheet name="A.CRE - Hot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6" i="1" l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8" i="1"/>
  <c r="M28" i="1"/>
  <c r="N27" i="1"/>
  <c r="M27" i="1"/>
  <c r="N26" i="1"/>
  <c r="M26" i="1"/>
  <c r="N25" i="1"/>
  <c r="M25" i="1"/>
  <c r="N24" i="1"/>
  <c r="M24" i="1"/>
  <c r="N22" i="1"/>
  <c r="M22" i="1"/>
  <c r="N21" i="1"/>
  <c r="M21" i="1"/>
  <c r="N20" i="1"/>
  <c r="M20" i="1"/>
  <c r="N19" i="1"/>
  <c r="M19" i="1"/>
  <c r="N18" i="1"/>
  <c r="M18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8" i="1"/>
  <c r="I28" i="1"/>
  <c r="J27" i="1"/>
  <c r="I27" i="1"/>
  <c r="J26" i="1"/>
  <c r="I26" i="1"/>
  <c r="J25" i="1"/>
  <c r="I25" i="1"/>
  <c r="J24" i="1"/>
  <c r="I24" i="1"/>
  <c r="J22" i="1"/>
  <c r="I22" i="1"/>
  <c r="J21" i="1"/>
  <c r="I21" i="1"/>
  <c r="J20" i="1"/>
  <c r="I20" i="1"/>
  <c r="J19" i="1"/>
  <c r="I19" i="1"/>
  <c r="J18" i="1"/>
  <c r="I18" i="1"/>
  <c r="F46" i="1"/>
  <c r="F45" i="1"/>
  <c r="F44" i="1"/>
  <c r="F43" i="1"/>
  <c r="F42" i="1"/>
  <c r="F41" i="1"/>
  <c r="F40" i="1"/>
  <c r="F38" i="1"/>
  <c r="F37" i="1"/>
  <c r="F36" i="1"/>
  <c r="F35" i="1"/>
  <c r="F34" i="1"/>
  <c r="F33" i="1"/>
  <c r="F32" i="1"/>
  <c r="F31" i="1"/>
  <c r="F30" i="1"/>
  <c r="F28" i="1"/>
  <c r="F27" i="1"/>
  <c r="F26" i="1"/>
  <c r="F25" i="1"/>
  <c r="F24" i="1"/>
  <c r="F22" i="1"/>
  <c r="F21" i="1"/>
  <c r="F20" i="1"/>
  <c r="F19" i="1"/>
  <c r="F18" i="1"/>
  <c r="E26" i="1"/>
  <c r="E25" i="1"/>
  <c r="E24" i="1"/>
  <c r="E46" i="1"/>
  <c r="E45" i="1"/>
  <c r="E44" i="1"/>
  <c r="E43" i="1"/>
  <c r="E42" i="1"/>
  <c r="E41" i="1"/>
  <c r="E40" i="1"/>
  <c r="E38" i="1"/>
  <c r="E37" i="1"/>
  <c r="E36" i="1"/>
  <c r="E35" i="1"/>
  <c r="E34" i="1"/>
  <c r="E33" i="1"/>
  <c r="E32" i="1"/>
  <c r="E31" i="1"/>
  <c r="E30" i="1"/>
  <c r="E28" i="1"/>
  <c r="E27" i="1"/>
  <c r="E22" i="1"/>
  <c r="E21" i="1"/>
  <c r="E20" i="1"/>
  <c r="E19" i="1"/>
  <c r="E18" i="1"/>
  <c r="L46" i="1"/>
  <c r="L45" i="1"/>
  <c r="L44" i="1"/>
  <c r="L43" i="1"/>
  <c r="L42" i="1"/>
  <c r="L41" i="1"/>
  <c r="L40" i="1"/>
  <c r="L38" i="1"/>
  <c r="L37" i="1"/>
  <c r="L36" i="1"/>
  <c r="L35" i="1"/>
  <c r="L34" i="1"/>
  <c r="L33" i="1"/>
  <c r="L32" i="1"/>
  <c r="L31" i="1"/>
  <c r="L30" i="1"/>
  <c r="L28" i="1"/>
  <c r="L27" i="1"/>
  <c r="L22" i="1"/>
  <c r="L21" i="1"/>
  <c r="L20" i="1"/>
  <c r="L19" i="1"/>
  <c r="L18" i="1"/>
  <c r="H46" i="1"/>
  <c r="H45" i="1"/>
  <c r="H44" i="1"/>
  <c r="H43" i="1"/>
  <c r="H42" i="1"/>
  <c r="H41" i="1"/>
  <c r="H40" i="1"/>
  <c r="H38" i="1"/>
  <c r="H37" i="1"/>
  <c r="H36" i="1"/>
  <c r="H35" i="1"/>
  <c r="H34" i="1"/>
  <c r="H33" i="1"/>
  <c r="H32" i="1"/>
  <c r="H31" i="1"/>
  <c r="H30" i="1"/>
  <c r="H28" i="1"/>
  <c r="H27" i="1"/>
  <c r="H22" i="1"/>
  <c r="H21" i="1"/>
  <c r="H20" i="1"/>
  <c r="H19" i="1"/>
  <c r="H18" i="1"/>
  <c r="D46" i="1"/>
  <c r="D45" i="1"/>
  <c r="D44" i="1"/>
  <c r="D43" i="1"/>
  <c r="D42" i="1"/>
  <c r="D41" i="1"/>
  <c r="D40" i="1"/>
  <c r="D38" i="1"/>
  <c r="D37" i="1"/>
  <c r="D36" i="1"/>
  <c r="D35" i="1"/>
  <c r="D34" i="1"/>
  <c r="D33" i="1"/>
  <c r="D32" i="1"/>
  <c r="D31" i="1"/>
  <c r="D30" i="1"/>
  <c r="D28" i="1"/>
  <c r="D27" i="1"/>
  <c r="D26" i="1"/>
  <c r="D25" i="1"/>
  <c r="D24" i="1"/>
  <c r="D22" i="1"/>
  <c r="D21" i="1"/>
  <c r="D20" i="1"/>
  <c r="D19" i="1"/>
  <c r="D18" i="1"/>
  <c r="K15" i="1"/>
  <c r="G15" i="1"/>
  <c r="K14" i="1"/>
  <c r="G14" i="1"/>
  <c r="K13" i="1"/>
  <c r="G13" i="1"/>
  <c r="K12" i="1"/>
  <c r="K11" i="1"/>
  <c r="G11" i="1"/>
  <c r="G10" i="1"/>
  <c r="K7" i="1"/>
  <c r="K8" i="1" s="1"/>
  <c r="G7" i="1"/>
  <c r="G8" i="1" s="1"/>
  <c r="C14" i="1"/>
  <c r="C8" i="1"/>
  <c r="C7" i="1"/>
  <c r="G4" i="1"/>
  <c r="G6" i="1" s="1"/>
  <c r="C22" i="1"/>
  <c r="G22" i="1"/>
  <c r="K22" i="1"/>
  <c r="K28" i="1" s="1"/>
  <c r="K36" i="1" s="1"/>
  <c r="K38" i="1" s="1"/>
  <c r="C27" i="1"/>
  <c r="G27" i="1"/>
  <c r="K27" i="1"/>
  <c r="C28" i="1"/>
  <c r="G28" i="1"/>
  <c r="G36" i="1" s="1"/>
  <c r="G38" i="1" s="1"/>
  <c r="C35" i="1"/>
  <c r="G35" i="1"/>
  <c r="K35" i="1"/>
  <c r="C36" i="1"/>
  <c r="C38" i="1" s="1"/>
  <c r="C37" i="1"/>
  <c r="C43" i="1"/>
  <c r="G43" i="1"/>
  <c r="K43" i="1"/>
  <c r="C45" i="1"/>
  <c r="K4" i="1" l="1"/>
  <c r="K6" i="1" s="1"/>
  <c r="K44" i="1"/>
  <c r="G44" i="1"/>
  <c r="C44" i="1"/>
  <c r="C46" i="1" l="1"/>
  <c r="K46" i="1"/>
  <c r="G46" i="1"/>
</calcChain>
</file>

<file path=xl/sharedStrings.xml><?xml version="1.0" encoding="utf-8"?>
<sst xmlns="http://schemas.openxmlformats.org/spreadsheetml/2006/main" count="57" uniqueCount="43">
  <si>
    <t xml:space="preserve">NET OPERATING INCOME </t>
  </si>
  <si>
    <t xml:space="preserve">Reserve for Replacement </t>
  </si>
  <si>
    <t xml:space="preserve">EBITDA </t>
  </si>
  <si>
    <t xml:space="preserve">Total </t>
  </si>
  <si>
    <t xml:space="preserve">Lease &amp; Rental Expense </t>
  </si>
  <si>
    <t xml:space="preserve">Insurance </t>
  </si>
  <si>
    <t xml:space="preserve">Property Taxes </t>
  </si>
  <si>
    <t xml:space="preserve">Fixed Expenses </t>
  </si>
  <si>
    <t>INCOME BEFORE FIXED EXPENSES</t>
  </si>
  <si>
    <t xml:space="preserve">Management Fee </t>
  </si>
  <si>
    <t xml:space="preserve">GROSS OPERATING PROFIT </t>
  </si>
  <si>
    <t>Total Undistributed Expenses</t>
  </si>
  <si>
    <t xml:space="preserve">Utilities </t>
  </si>
  <si>
    <t xml:space="preserve">Prop. Op. &amp; Maintenance </t>
  </si>
  <si>
    <t xml:space="preserve">Sales &amp; Marketing </t>
  </si>
  <si>
    <t>Information and Telecommunications Systems</t>
  </si>
  <si>
    <t xml:space="preserve">Admin. &amp; General </t>
  </si>
  <si>
    <t xml:space="preserve">Undistributed Expenses </t>
  </si>
  <si>
    <t xml:space="preserve">DEPARTMENTAL PROFIT </t>
  </si>
  <si>
    <t xml:space="preserve">Total Departmental Expenses </t>
  </si>
  <si>
    <t xml:space="preserve">Other Operated Departments </t>
  </si>
  <si>
    <t xml:space="preserve">Food &amp; Beverage </t>
  </si>
  <si>
    <t xml:space="preserve">Rooms </t>
  </si>
  <si>
    <t xml:space="preserve">Departmental Expenses </t>
  </si>
  <si>
    <t xml:space="preserve">Total Revenue </t>
  </si>
  <si>
    <t>Misc. Income</t>
  </si>
  <si>
    <t xml:space="preserve">Departmental Revenues </t>
  </si>
  <si>
    <r>
      <rPr>
        <sz val="9"/>
        <color rgb="FFFFFFFF"/>
        <rFont val="Times New Roman"/>
        <family val="1"/>
      </rPr>
      <t xml:space="preserve">PAR </t>
    </r>
  </si>
  <si>
    <r>
      <rPr>
        <sz val="9"/>
        <color rgb="FFFFFFFF"/>
        <rFont val="Times New Roman"/>
        <family val="1"/>
      </rPr>
      <t xml:space="preserve">POR </t>
    </r>
  </si>
  <si>
    <r>
      <rPr>
        <sz val="9"/>
        <color rgb="FFFFFFFF"/>
        <rFont val="Times New Roman"/>
        <family val="1"/>
      </rPr>
      <t xml:space="preserve">% </t>
    </r>
  </si>
  <si>
    <r>
      <rPr>
        <sz val="9"/>
        <color rgb="FFFFFFFF"/>
        <rFont val="Times New Roman"/>
        <family val="1"/>
      </rPr>
      <t xml:space="preserve">$ </t>
    </r>
  </si>
  <si>
    <t>-</t>
  </si>
  <si>
    <t>TRevPAR Growth</t>
  </si>
  <si>
    <t>TRevPAR</t>
  </si>
  <si>
    <t xml:space="preserve">RevPAR Growth </t>
  </si>
  <si>
    <t xml:space="preserve">RevPAR </t>
  </si>
  <si>
    <t xml:space="preserve">ADR Growth </t>
  </si>
  <si>
    <t xml:space="preserve">ADR </t>
  </si>
  <si>
    <t xml:space="preserve">Occupancy </t>
  </si>
  <si>
    <t xml:space="preserve">Occupied Rooms </t>
  </si>
  <si>
    <t xml:space="preserve">Available Rooms </t>
  </si>
  <si>
    <t xml:space="preserve">Days </t>
  </si>
  <si>
    <t>Historical Operating Statements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</si>
</sst>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&quot;$&quot;#,##0.00"/>
    <numFmt numFmtId="167" formatCode="General\ &quot;Actual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</font>
    <font>
      <b/>
      <sz val="9"/>
      <color rgb="FF0000FF"/>
      <name val="Times New Roman"/>
      <family val="1"/>
    </font>
    <font>
      <b/>
      <sz val="9"/>
      <color theme="1"/>
      <name val="Times New Roman"/>
      <family val="1"/>
    </font>
    <font>
      <sz val="9"/>
      <color rgb="FF0000FF"/>
      <name val="Times New Roman"/>
      <family val="1"/>
    </font>
    <font>
      <sz val="9"/>
      <color theme="1"/>
      <name val="Times New Roman"/>
      <family val="1"/>
    </font>
    <font>
      <u/>
      <sz val="9"/>
      <color rgb="FF0000FF"/>
      <name val="Times New Roman"/>
      <family val="1"/>
    </font>
    <font>
      <u/>
      <sz val="9"/>
      <color rgb="FF000000"/>
      <name val="Times New Roman"/>
      <family val="1"/>
    </font>
    <font>
      <u/>
      <sz val="9"/>
      <color theme="1"/>
      <name val="Times New Roman"/>
      <family val="1"/>
    </font>
    <font>
      <sz val="9"/>
      <color rgb="FF000000"/>
      <name val="Times New Roman"/>
      <family val="1"/>
    </font>
    <font>
      <u val="singleAccounting"/>
      <sz val="9"/>
      <color rgb="FF0000FF"/>
      <name val="Times New Roman"/>
      <family val="1"/>
    </font>
    <font>
      <u val="singleAccounting"/>
      <sz val="9"/>
      <color theme="1"/>
      <name val="Times New Roman"/>
      <family val="1"/>
    </font>
    <font>
      <sz val="9"/>
      <color rgb="FFFFFFFF"/>
      <name val="Times New Roman"/>
      <family val="1"/>
    </font>
    <font>
      <sz val="9"/>
      <name val="Times New Roman"/>
      <family val="1"/>
    </font>
    <font>
      <sz val="9"/>
      <color theme="0"/>
      <name val="Times New Roman"/>
      <family val="1"/>
    </font>
    <font>
      <b/>
      <sz val="18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0E1E7"/>
      </patternFill>
    </fill>
    <fill>
      <patternFill patternType="solid">
        <fgColor theme="9" tint="-0.499984740745262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385778"/>
      </right>
      <top style="thin">
        <color rgb="FF8B96AD"/>
      </top>
      <bottom style="thin">
        <color rgb="FF8B96AD"/>
      </bottom>
      <diagonal/>
    </border>
    <border>
      <left style="thin">
        <color rgb="FF385778"/>
      </left>
      <right/>
      <top style="thin">
        <color rgb="FF8B96AD"/>
      </top>
      <bottom style="thin">
        <color rgb="FF8B96AD"/>
      </bottom>
      <diagonal/>
    </border>
    <border>
      <left style="thin">
        <color indexed="64"/>
      </left>
      <right/>
      <top style="thin">
        <color rgb="FF8B96AD"/>
      </top>
      <bottom style="thin">
        <color rgb="FF8B96AD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FFFFFF"/>
      </top>
      <bottom style="thin">
        <color rgb="FF8B96AD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FFFFFF"/>
      </top>
      <bottom style="thin">
        <color rgb="FFFFFFFF"/>
      </bottom>
      <diagonal/>
    </border>
    <border>
      <left style="thin">
        <color indexed="64"/>
      </left>
      <right/>
      <top/>
      <bottom style="thin">
        <color rgb="FFFFFFFF"/>
      </bottom>
      <diagonal/>
    </border>
    <border>
      <left style="thin">
        <color rgb="FFE0E1E7"/>
      </left>
      <right style="thin">
        <color rgb="FF385778"/>
      </right>
      <top/>
      <bottom/>
      <diagonal/>
    </border>
    <border>
      <left style="thin">
        <color rgb="FFE0E1E7"/>
      </left>
      <right style="thin">
        <color rgb="FFE0E1E7"/>
      </right>
      <top/>
      <bottom/>
      <diagonal/>
    </border>
    <border>
      <left style="thin">
        <color rgb="FF385778"/>
      </left>
      <right style="thin">
        <color rgb="FFE0E1E7"/>
      </right>
      <top/>
      <bottom/>
      <diagonal/>
    </border>
    <border>
      <left style="thin">
        <color indexed="64"/>
      </left>
      <right/>
      <top style="thin">
        <color rgb="FFFFFFFF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85">
    <xf numFmtId="0" fontId="0" fillId="0" borderId="0" xfId="0"/>
    <xf numFmtId="0" fontId="3" fillId="2" borderId="0" xfId="2" applyFont="1" applyFill="1"/>
    <xf numFmtId="0" fontId="3" fillId="2" borderId="0" xfId="2" applyFont="1" applyFill="1" applyAlignment="1">
      <alignment horizontal="left" vertical="top" wrapText="1"/>
    </xf>
    <xf numFmtId="43" fontId="3" fillId="2" borderId="0" xfId="2" applyNumberFormat="1" applyFont="1" applyFill="1" applyAlignment="1">
      <alignment vertical="top" wrapText="1"/>
    </xf>
    <xf numFmtId="0" fontId="3" fillId="2" borderId="0" xfId="2" applyFont="1" applyFill="1" applyAlignment="1">
      <alignment vertical="center"/>
    </xf>
    <xf numFmtId="0" fontId="3" fillId="2" borderId="0" xfId="2" applyFont="1" applyFill="1" applyAlignment="1">
      <alignment vertical="top" wrapText="1"/>
    </xf>
    <xf numFmtId="0" fontId="3" fillId="0" borderId="0" xfId="2" applyFont="1"/>
    <xf numFmtId="2" fontId="4" fillId="3" borderId="2" xfId="2" applyNumberFormat="1" applyFont="1" applyFill="1" applyBorder="1" applyAlignment="1">
      <alignment horizontal="right" vertical="top" wrapText="1"/>
    </xf>
    <xf numFmtId="164" fontId="4" fillId="3" borderId="2" xfId="3" applyNumberFormat="1" applyFont="1" applyFill="1" applyBorder="1" applyAlignment="1">
      <alignment horizontal="right" vertical="top" wrapText="1"/>
    </xf>
    <xf numFmtId="41" fontId="5" fillId="2" borderId="3" xfId="2" applyNumberFormat="1" applyFont="1" applyFill="1" applyBorder="1" applyAlignment="1">
      <alignment horizontal="right" vertical="top" wrapText="1"/>
    </xf>
    <xf numFmtId="0" fontId="5" fillId="2" borderId="3" xfId="2" applyFont="1" applyFill="1" applyBorder="1" applyAlignment="1">
      <alignment vertical="top"/>
    </xf>
    <xf numFmtId="2" fontId="6" fillId="3" borderId="0" xfId="2" applyNumberFormat="1" applyFont="1" applyFill="1" applyAlignment="1">
      <alignment horizontal="right" vertical="top" wrapText="1"/>
    </xf>
    <xf numFmtId="164" fontId="6" fillId="3" borderId="0" xfId="3" applyNumberFormat="1" applyFont="1" applyFill="1" applyAlignment="1">
      <alignment horizontal="right" vertical="top" wrapText="1"/>
    </xf>
    <xf numFmtId="41" fontId="7" fillId="2" borderId="5" xfId="2" applyNumberFormat="1" applyFont="1" applyFill="1" applyBorder="1" applyAlignment="1">
      <alignment horizontal="right" vertical="top" wrapText="1"/>
    </xf>
    <xf numFmtId="0" fontId="7" fillId="2" borderId="6" xfId="2" applyFont="1" applyFill="1" applyBorder="1" applyAlignment="1">
      <alignment horizontal="left" vertical="top" indent="1"/>
    </xf>
    <xf numFmtId="2" fontId="6" fillId="3" borderId="8" xfId="2" applyNumberFormat="1" applyFont="1" applyFill="1" applyBorder="1" applyAlignment="1">
      <alignment horizontal="right" vertical="top" wrapText="1"/>
    </xf>
    <xf numFmtId="164" fontId="6" fillId="3" borderId="8" xfId="3" applyNumberFormat="1" applyFont="1" applyFill="1" applyBorder="1" applyAlignment="1">
      <alignment horizontal="right" vertical="top" wrapText="1"/>
    </xf>
    <xf numFmtId="41" fontId="7" fillId="2" borderId="9" xfId="2" applyNumberFormat="1" applyFont="1" applyFill="1" applyBorder="1" applyAlignment="1">
      <alignment horizontal="right" vertical="top" wrapText="1"/>
    </xf>
    <xf numFmtId="0" fontId="7" fillId="2" borderId="10" xfId="2" applyFont="1" applyFill="1" applyBorder="1" applyAlignment="1">
      <alignment horizontal="left" vertical="top" indent="2"/>
    </xf>
    <xf numFmtId="2" fontId="8" fillId="3" borderId="0" xfId="2" applyNumberFormat="1" applyFont="1" applyFill="1" applyAlignment="1">
      <alignment horizontal="right" vertical="top" wrapText="1"/>
    </xf>
    <xf numFmtId="164" fontId="8" fillId="3" borderId="0" xfId="3" applyNumberFormat="1" applyFont="1" applyFill="1" applyAlignment="1">
      <alignment horizontal="right" vertical="top" wrapText="1"/>
    </xf>
    <xf numFmtId="41" fontId="9" fillId="2" borderId="9" xfId="2" applyNumberFormat="1" applyFont="1" applyFill="1" applyBorder="1" applyAlignment="1">
      <alignment horizontal="right" vertical="top" wrapText="1"/>
    </xf>
    <xf numFmtId="0" fontId="10" fillId="2" borderId="12" xfId="2" applyFont="1" applyFill="1" applyBorder="1" applyAlignment="1">
      <alignment horizontal="left" vertical="top" indent="1"/>
    </xf>
    <xf numFmtId="41" fontId="11" fillId="2" borderId="9" xfId="2" applyNumberFormat="1" applyFont="1" applyFill="1" applyBorder="1" applyAlignment="1">
      <alignment horizontal="right" vertical="top" wrapText="1"/>
    </xf>
    <xf numFmtId="0" fontId="7" fillId="2" borderId="12" xfId="2" applyFont="1" applyFill="1" applyBorder="1" applyAlignment="1">
      <alignment horizontal="left" vertical="top" indent="1"/>
    </xf>
    <xf numFmtId="0" fontId="7" fillId="4" borderId="0" xfId="2" applyFont="1" applyFill="1" applyAlignment="1">
      <alignment horizontal="left" vertical="top" wrapText="1"/>
    </xf>
    <xf numFmtId="0" fontId="7" fillId="4" borderId="9" xfId="2" applyFont="1" applyFill="1" applyBorder="1" applyAlignment="1">
      <alignment horizontal="right" vertical="top" wrapText="1"/>
    </xf>
    <xf numFmtId="0" fontId="5" fillId="4" borderId="13" xfId="2" applyFont="1" applyFill="1" applyBorder="1" applyAlignment="1">
      <alignment vertical="top"/>
    </xf>
    <xf numFmtId="165" fontId="7" fillId="2" borderId="5" xfId="2" applyNumberFormat="1" applyFont="1" applyFill="1" applyBorder="1" applyAlignment="1">
      <alignment horizontal="right" vertical="top" wrapText="1"/>
    </xf>
    <xf numFmtId="0" fontId="7" fillId="2" borderId="9" xfId="2" applyFont="1" applyFill="1" applyBorder="1" applyAlignment="1">
      <alignment horizontal="left" vertical="top" indent="2"/>
    </xf>
    <xf numFmtId="0" fontId="10" fillId="2" borderId="9" xfId="2" applyFont="1" applyFill="1" applyBorder="1" applyAlignment="1">
      <alignment horizontal="left" vertical="top" indent="1"/>
    </xf>
    <xf numFmtId="43" fontId="3" fillId="2" borderId="0" xfId="2" applyNumberFormat="1" applyFont="1" applyFill="1" applyAlignment="1">
      <alignment horizontal="left" vertical="top" wrapText="1"/>
    </xf>
    <xf numFmtId="0" fontId="7" fillId="2" borderId="9" xfId="2" applyFont="1" applyFill="1" applyBorder="1" applyAlignment="1">
      <alignment horizontal="left" vertical="top" indent="1"/>
    </xf>
    <xf numFmtId="0" fontId="7" fillId="4" borderId="15" xfId="2" applyFont="1" applyFill="1" applyBorder="1" applyAlignment="1">
      <alignment horizontal="left" vertical="top" wrapText="1"/>
    </xf>
    <xf numFmtId="41" fontId="7" fillId="4" borderId="16" xfId="2" applyNumberFormat="1" applyFont="1" applyFill="1" applyBorder="1" applyAlignment="1">
      <alignment horizontal="right" vertical="top" wrapText="1"/>
    </xf>
    <xf numFmtId="0" fontId="5" fillId="4" borderId="9" xfId="2" applyFont="1" applyFill="1" applyBorder="1" applyAlignment="1">
      <alignment vertical="top"/>
    </xf>
    <xf numFmtId="0" fontId="7" fillId="2" borderId="17" xfId="2" applyFont="1" applyFill="1" applyBorder="1" applyAlignment="1">
      <alignment horizontal="left" vertical="top" indent="2"/>
    </xf>
    <xf numFmtId="2" fontId="12" fillId="3" borderId="0" xfId="2" applyNumberFormat="1" applyFont="1" applyFill="1" applyAlignment="1">
      <alignment horizontal="right" vertical="top" wrapText="1"/>
    </xf>
    <xf numFmtId="41" fontId="13" fillId="2" borderId="9" xfId="2" applyNumberFormat="1" applyFont="1" applyFill="1" applyBorder="1" applyAlignment="1">
      <alignment horizontal="right" vertical="top" wrapText="1"/>
    </xf>
    <xf numFmtId="165" fontId="7" fillId="2" borderId="9" xfId="2" applyNumberFormat="1" applyFont="1" applyFill="1" applyBorder="1" applyAlignment="1">
      <alignment horizontal="right" vertical="top" wrapText="1"/>
    </xf>
    <xf numFmtId="41" fontId="7" fillId="4" borderId="9" xfId="2" applyNumberFormat="1" applyFont="1" applyFill="1" applyBorder="1" applyAlignment="1">
      <alignment horizontal="right" vertical="top" wrapText="1"/>
    </xf>
    <xf numFmtId="164" fontId="6" fillId="3" borderId="0" xfId="2" applyNumberFormat="1" applyFont="1" applyFill="1" applyAlignment="1">
      <alignment horizontal="right" vertical="top" wrapText="1"/>
    </xf>
    <xf numFmtId="0" fontId="7" fillId="4" borderId="14" xfId="2" applyFont="1" applyFill="1" applyBorder="1" applyAlignment="1">
      <alignment horizontal="left" vertical="top" wrapText="1"/>
    </xf>
    <xf numFmtId="0" fontId="7" fillId="4" borderId="16" xfId="2" applyFont="1" applyFill="1" applyBorder="1" applyAlignment="1">
      <alignment horizontal="right" vertical="top" wrapText="1"/>
    </xf>
    <xf numFmtId="0" fontId="7" fillId="2" borderId="11" xfId="2" applyFont="1" applyFill="1" applyBorder="1" applyAlignment="1">
      <alignment horizontal="centerContinuous" vertical="top" wrapText="1"/>
    </xf>
    <xf numFmtId="0" fontId="7" fillId="2" borderId="0" xfId="2" applyFont="1" applyFill="1" applyAlignment="1">
      <alignment horizontal="centerContinuous" vertical="top" wrapText="1"/>
    </xf>
    <xf numFmtId="10" fontId="6" fillId="3" borderId="9" xfId="3" applyNumberFormat="1" applyFont="1" applyFill="1" applyBorder="1" applyAlignment="1">
      <alignment horizontal="center" vertical="top" wrapText="1"/>
    </xf>
    <xf numFmtId="166" fontId="7" fillId="2" borderId="0" xfId="2" applyNumberFormat="1" applyFont="1" applyFill="1" applyAlignment="1">
      <alignment horizontal="centerContinuous" vertical="top" wrapText="1"/>
    </xf>
    <xf numFmtId="0" fontId="15" fillId="2" borderId="9" xfId="2" applyFont="1" applyFill="1" applyBorder="1" applyAlignment="1">
      <alignment horizontal="center" vertical="top" wrapText="1"/>
    </xf>
    <xf numFmtId="0" fontId="7" fillId="2" borderId="9" xfId="2" applyFont="1" applyFill="1" applyBorder="1" applyAlignment="1">
      <alignment horizontal="left" vertical="top" wrapText="1" indent="2"/>
    </xf>
    <xf numFmtId="166" fontId="6" fillId="3" borderId="9" xfId="2" applyNumberFormat="1" applyFont="1" applyFill="1" applyBorder="1" applyAlignment="1">
      <alignment horizontal="center" vertical="top" wrapText="1"/>
    </xf>
    <xf numFmtId="0" fontId="7" fillId="2" borderId="9" xfId="2" applyFont="1" applyFill="1" applyBorder="1" applyAlignment="1">
      <alignment horizontal="left" vertical="top" wrapText="1"/>
    </xf>
    <xf numFmtId="0" fontId="7" fillId="2" borderId="9" xfId="2" applyFont="1" applyFill="1" applyBorder="1" applyAlignment="1">
      <alignment horizontal="left" vertical="top" wrapText="1" indent="1"/>
    </xf>
    <xf numFmtId="166" fontId="7" fillId="2" borderId="9" xfId="2" applyNumberFormat="1" applyFont="1" applyFill="1" applyBorder="1" applyAlignment="1">
      <alignment horizontal="center" vertical="top" wrapText="1"/>
    </xf>
    <xf numFmtId="0" fontId="7" fillId="2" borderId="9" xfId="2" applyFont="1" applyFill="1" applyBorder="1" applyAlignment="1">
      <alignment vertical="top" wrapText="1"/>
    </xf>
    <xf numFmtId="9" fontId="15" fillId="2" borderId="9" xfId="1" applyFont="1" applyFill="1" applyBorder="1" applyAlignment="1">
      <alignment horizontal="center" vertical="top" wrapText="1"/>
    </xf>
    <xf numFmtId="166" fontId="7" fillId="2" borderId="9" xfId="4" applyNumberFormat="1" applyFont="1" applyFill="1" applyBorder="1" applyAlignment="1">
      <alignment horizontal="center" vertical="top" wrapText="1"/>
    </xf>
    <xf numFmtId="166" fontId="6" fillId="3" borderId="9" xfId="4" applyNumberFormat="1" applyFont="1" applyFill="1" applyBorder="1" applyAlignment="1">
      <alignment horizontal="center" vertical="top" wrapText="1"/>
    </xf>
    <xf numFmtId="10" fontId="7" fillId="2" borderId="9" xfId="2" applyNumberFormat="1" applyFont="1" applyFill="1" applyBorder="1" applyAlignment="1">
      <alignment horizontal="center" vertical="top" wrapText="1"/>
    </xf>
    <xf numFmtId="164" fontId="7" fillId="2" borderId="9" xfId="2" applyNumberFormat="1" applyFont="1" applyFill="1" applyBorder="1" applyAlignment="1">
      <alignment horizontal="center" vertical="top" wrapText="1"/>
    </xf>
    <xf numFmtId="3" fontId="6" fillId="3" borderId="9" xfId="2" applyNumberFormat="1" applyFont="1" applyFill="1" applyBorder="1" applyAlignment="1">
      <alignment horizontal="center" vertical="top" wrapText="1"/>
    </xf>
    <xf numFmtId="0" fontId="11" fillId="2" borderId="9" xfId="2" applyFont="1" applyFill="1" applyBorder="1" applyAlignment="1">
      <alignment horizontal="center" vertical="top" wrapText="1"/>
    </xf>
    <xf numFmtId="0" fontId="7" fillId="2" borderId="18" xfId="2" applyFont="1" applyFill="1" applyBorder="1" applyAlignment="1">
      <alignment horizontal="centerContinuous" vertical="top" wrapText="1"/>
    </xf>
    <xf numFmtId="0" fontId="7" fillId="2" borderId="19" xfId="2" applyFont="1" applyFill="1" applyBorder="1" applyAlignment="1">
      <alignment horizontal="centerContinuous" vertical="top" wrapText="1"/>
    </xf>
    <xf numFmtId="0" fontId="11" fillId="2" borderId="20" xfId="2" applyFont="1" applyFill="1" applyBorder="1" applyAlignment="1">
      <alignment horizontal="center" vertical="top" wrapText="1"/>
    </xf>
    <xf numFmtId="0" fontId="7" fillId="2" borderId="20" xfId="2" applyFont="1" applyFill="1" applyBorder="1" applyAlignment="1">
      <alignment vertical="top" wrapText="1"/>
    </xf>
    <xf numFmtId="0" fontId="17" fillId="2" borderId="0" xfId="2" applyFont="1" applyFill="1" applyAlignment="1">
      <alignment vertical="top"/>
    </xf>
    <xf numFmtId="9" fontId="3" fillId="2" borderId="0" xfId="1" applyFont="1" applyFill="1" applyAlignment="1">
      <alignment horizontal="left" vertical="top" wrapText="1"/>
    </xf>
    <xf numFmtId="0" fontId="7" fillId="5" borderId="20" xfId="2" applyFont="1" applyFill="1" applyBorder="1" applyAlignment="1">
      <alignment vertical="top" wrapText="1"/>
    </xf>
    <xf numFmtId="167" fontId="16" fillId="5" borderId="20" xfId="2" applyNumberFormat="1" applyFont="1" applyFill="1" applyBorder="1" applyAlignment="1">
      <alignment horizontal="centerContinuous" vertical="top" wrapText="1"/>
    </xf>
    <xf numFmtId="167" fontId="7" fillId="5" borderId="19" xfId="2" applyNumberFormat="1" applyFont="1" applyFill="1" applyBorder="1" applyAlignment="1">
      <alignment horizontal="centerContinuous" vertical="top" wrapText="1"/>
    </xf>
    <xf numFmtId="167" fontId="7" fillId="5" borderId="18" xfId="2" applyNumberFormat="1" applyFont="1" applyFill="1" applyBorder="1" applyAlignment="1">
      <alignment horizontal="centerContinuous" vertical="top" wrapText="1"/>
    </xf>
    <xf numFmtId="0" fontId="7" fillId="5" borderId="9" xfId="2" applyFont="1" applyFill="1" applyBorder="1" applyAlignment="1">
      <alignment vertical="top" wrapText="1"/>
    </xf>
    <xf numFmtId="0" fontId="7" fillId="5" borderId="9" xfId="2" applyFont="1" applyFill="1" applyBorder="1" applyAlignment="1">
      <alignment horizontal="right" vertical="center" wrapText="1"/>
    </xf>
    <xf numFmtId="0" fontId="7" fillId="5" borderId="0" xfId="2" applyFont="1" applyFill="1" applyAlignment="1">
      <alignment horizontal="right" vertical="center" wrapText="1"/>
    </xf>
    <xf numFmtId="0" fontId="7" fillId="5" borderId="11" xfId="2" applyFont="1" applyFill="1" applyBorder="1" applyAlignment="1">
      <alignment horizontal="right" vertical="center" wrapText="1"/>
    </xf>
    <xf numFmtId="3" fontId="6" fillId="3" borderId="11" xfId="2" applyNumberFormat="1" applyFont="1" applyFill="1" applyBorder="1" applyAlignment="1">
      <alignment horizontal="right" vertical="top" wrapText="1"/>
    </xf>
    <xf numFmtId="3" fontId="8" fillId="3" borderId="11" xfId="2" applyNumberFormat="1" applyFont="1" applyFill="1" applyBorder="1" applyAlignment="1">
      <alignment horizontal="right" vertical="top" wrapText="1"/>
    </xf>
    <xf numFmtId="3" fontId="7" fillId="4" borderId="11" xfId="2" applyNumberFormat="1" applyFont="1" applyFill="1" applyBorder="1" applyAlignment="1">
      <alignment horizontal="left" vertical="top" wrapText="1"/>
    </xf>
    <xf numFmtId="3" fontId="12" fillId="3" borderId="11" xfId="2" applyNumberFormat="1" applyFont="1" applyFill="1" applyBorder="1" applyAlignment="1">
      <alignment horizontal="right" vertical="top" wrapText="1"/>
    </xf>
    <xf numFmtId="3" fontId="6" fillId="3" borderId="0" xfId="2" applyNumberFormat="1" applyFont="1" applyFill="1" applyAlignment="1">
      <alignment horizontal="right" vertical="top" wrapText="1"/>
    </xf>
    <xf numFmtId="3" fontId="4" fillId="3" borderId="1" xfId="2" applyNumberFormat="1" applyFont="1" applyFill="1" applyBorder="1" applyAlignment="1">
      <alignment horizontal="right" vertical="top" wrapText="1"/>
    </xf>
    <xf numFmtId="3" fontId="7" fillId="4" borderId="14" xfId="2" applyNumberFormat="1" applyFont="1" applyFill="1" applyBorder="1" applyAlignment="1">
      <alignment horizontal="left" vertical="top" wrapText="1"/>
    </xf>
    <xf numFmtId="3" fontId="6" fillId="3" borderId="4" xfId="2" applyNumberFormat="1" applyFont="1" applyFill="1" applyBorder="1" applyAlignment="1">
      <alignment horizontal="right" vertical="top" wrapText="1"/>
    </xf>
    <xf numFmtId="3" fontId="6" fillId="3" borderId="7" xfId="2" applyNumberFormat="1" applyFont="1" applyFill="1" applyBorder="1" applyAlignment="1">
      <alignment horizontal="right" vertical="top" wrapText="1"/>
    </xf>
  </cellXfs>
  <cellStyles count="5">
    <cellStyle name="Currency 2" xfId="4" xr:uid="{8F638FDB-91D4-4334-97BB-BFA2B09BCF71}"/>
    <cellStyle name="Normal" xfId="0" builtinId="0"/>
    <cellStyle name="Normal 2" xfId="2" xr:uid="{45A73FFA-77A0-444B-B338-1C10D358C28B}"/>
    <cellStyle name="Percent" xfId="1" builtinId="5"/>
    <cellStyle name="Percent 2" xfId="3" xr:uid="{2BEEDC3C-0DAB-4177-8557-1E64C151C4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E6BA8-D303-4BFB-9859-4D8266C6DC4F}">
  <sheetPr>
    <pageSetUpPr fitToPage="1"/>
  </sheetPr>
  <dimension ref="A1:U56"/>
  <sheetViews>
    <sheetView tabSelected="1" zoomScale="90" zoomScaleNormal="90" zoomScaleSheetLayoutView="100" workbookViewId="0">
      <selection activeCell="L39" sqref="L39:N39"/>
    </sheetView>
  </sheetViews>
  <sheetFormatPr defaultColWidth="0" defaultRowHeight="15" customHeight="1" zeroHeight="1" x14ac:dyDescent="0.25"/>
  <cols>
    <col min="1" max="1" width="2.6640625" style="1" customWidth="1"/>
    <col min="2" max="2" width="41.33203125" style="1" bestFit="1" customWidth="1"/>
    <col min="3" max="3" width="13.109375" style="1" bestFit="1" customWidth="1"/>
    <col min="4" max="6" width="8.33203125" style="1" customWidth="1"/>
    <col min="7" max="7" width="12.88671875" style="1" bestFit="1" customWidth="1"/>
    <col min="8" max="8" width="8.33203125" style="1" customWidth="1"/>
    <col min="9" max="9" width="10" style="1" bestFit="1" customWidth="1"/>
    <col min="10" max="10" width="8.33203125" style="1" bestFit="1" customWidth="1"/>
    <col min="11" max="11" width="13.109375" style="1" bestFit="1" customWidth="1"/>
    <col min="12" max="12" width="8.33203125" style="1" customWidth="1"/>
    <col min="13" max="13" width="7.88671875" style="1" customWidth="1"/>
    <col min="14" max="14" width="8.33203125" style="1" customWidth="1"/>
    <col min="15" max="15" width="2.6640625" style="1" customWidth="1"/>
    <col min="16" max="21" width="0" style="1" hidden="1" customWidth="1"/>
    <col min="22" max="16384" width="9.109375" style="1" hidden="1"/>
  </cols>
  <sheetData>
    <row r="1" spans="1:15" ht="12.75" customHeight="1" x14ac:dyDescent="0.25">
      <c r="A1" s="2"/>
      <c r="B1" s="67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2.8" x14ac:dyDescent="0.25">
      <c r="B2" s="66" t="s">
        <v>42</v>
      </c>
      <c r="C2" s="5"/>
      <c r="D2" s="5"/>
      <c r="E2" s="5"/>
      <c r="F2" s="3"/>
      <c r="G2" s="5"/>
      <c r="H2" s="5"/>
      <c r="I2" s="5"/>
      <c r="J2" s="5"/>
      <c r="K2" s="2"/>
      <c r="L2" s="2"/>
      <c r="M2" s="2"/>
      <c r="N2" s="2"/>
      <c r="O2" s="2"/>
    </row>
    <row r="3" spans="1:15" ht="6.4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s="6" customFormat="1" ht="15.9" customHeight="1" x14ac:dyDescent="0.25">
      <c r="A4" s="2"/>
      <c r="B4" s="68"/>
      <c r="C4" s="69">
        <v>2016</v>
      </c>
      <c r="D4" s="70"/>
      <c r="E4" s="70"/>
      <c r="F4" s="71"/>
      <c r="G4" s="69">
        <f>C4+1</f>
        <v>2017</v>
      </c>
      <c r="H4" s="70"/>
      <c r="I4" s="70"/>
      <c r="J4" s="71"/>
      <c r="K4" s="69">
        <f>G4+1</f>
        <v>2018</v>
      </c>
      <c r="L4" s="70"/>
      <c r="M4" s="70"/>
      <c r="N4" s="71"/>
      <c r="O4" s="2"/>
    </row>
    <row r="5" spans="1:15" s="6" customFormat="1" ht="13.95" customHeight="1" x14ac:dyDescent="0.25">
      <c r="A5" s="2"/>
      <c r="B5" s="65" t="s">
        <v>22</v>
      </c>
      <c r="C5" s="64">
        <v>309</v>
      </c>
      <c r="D5" s="63"/>
      <c r="E5" s="63"/>
      <c r="F5" s="62"/>
      <c r="G5" s="64">
        <v>309</v>
      </c>
      <c r="H5" s="63"/>
      <c r="I5" s="63"/>
      <c r="J5" s="62"/>
      <c r="K5" s="64">
        <v>309</v>
      </c>
      <c r="L5" s="63"/>
      <c r="M5" s="63"/>
      <c r="N5" s="62"/>
      <c r="O5" s="2"/>
    </row>
    <row r="6" spans="1:15" s="6" customFormat="1" ht="13.95" customHeight="1" x14ac:dyDescent="0.25">
      <c r="A6" s="2"/>
      <c r="B6" s="54" t="s">
        <v>41</v>
      </c>
      <c r="C6" s="61">
        <v>366</v>
      </c>
      <c r="D6" s="45"/>
      <c r="E6" s="45"/>
      <c r="F6" s="44"/>
      <c r="G6" s="61">
        <f>_xlfn.DAYS(DATE(G4,12,31),DATE(G4,1,1))+1</f>
        <v>365</v>
      </c>
      <c r="H6" s="45"/>
      <c r="I6" s="45"/>
      <c r="J6" s="44"/>
      <c r="K6" s="61">
        <f>_xlfn.DAYS(DATE(K4,12,31),DATE(K4,1,1))+1</f>
        <v>365</v>
      </c>
      <c r="L6" s="45"/>
      <c r="M6" s="45"/>
      <c r="N6" s="44"/>
      <c r="O6" s="2"/>
    </row>
    <row r="7" spans="1:15" s="6" customFormat="1" ht="13.95" customHeight="1" x14ac:dyDescent="0.25">
      <c r="A7" s="2"/>
      <c r="B7" s="54" t="s">
        <v>40</v>
      </c>
      <c r="C7" s="60">
        <f>C5*C6</f>
        <v>113094</v>
      </c>
      <c r="D7" s="45"/>
      <c r="E7" s="45"/>
      <c r="F7" s="44"/>
      <c r="G7" s="60">
        <f>G5*G6</f>
        <v>112785</v>
      </c>
      <c r="H7" s="45"/>
      <c r="I7" s="45"/>
      <c r="J7" s="44"/>
      <c r="K7" s="60">
        <f>K5*K6</f>
        <v>112785</v>
      </c>
      <c r="L7" s="45"/>
      <c r="M7" s="45"/>
      <c r="N7" s="44"/>
      <c r="O7" s="2"/>
    </row>
    <row r="8" spans="1:15" s="6" customFormat="1" ht="13.95" customHeight="1" x14ac:dyDescent="0.25">
      <c r="A8" s="2"/>
      <c r="B8" s="54" t="s">
        <v>39</v>
      </c>
      <c r="C8" s="60">
        <f>C7*C9</f>
        <v>77130.108000000007</v>
      </c>
      <c r="D8" s="45"/>
      <c r="E8" s="45"/>
      <c r="F8" s="44"/>
      <c r="G8" s="60">
        <f>G7*G9</f>
        <v>78949.5</v>
      </c>
      <c r="H8" s="45"/>
      <c r="I8" s="45"/>
      <c r="J8" s="44"/>
      <c r="K8" s="60">
        <f>K7*K9</f>
        <v>77821.649999999994</v>
      </c>
      <c r="L8" s="45"/>
      <c r="M8" s="45"/>
      <c r="N8" s="44"/>
      <c r="O8" s="2"/>
    </row>
    <row r="9" spans="1:15" s="6" customFormat="1" ht="13.95" customHeight="1" x14ac:dyDescent="0.25">
      <c r="A9" s="2"/>
      <c r="B9" s="54" t="s">
        <v>38</v>
      </c>
      <c r="C9" s="59">
        <v>0.68200000000000005</v>
      </c>
      <c r="D9" s="45"/>
      <c r="E9" s="45"/>
      <c r="F9" s="44"/>
      <c r="G9" s="58">
        <v>0.7</v>
      </c>
      <c r="H9" s="45"/>
      <c r="I9" s="45"/>
      <c r="J9" s="44"/>
      <c r="K9" s="58">
        <v>0.69</v>
      </c>
      <c r="L9" s="45"/>
      <c r="M9" s="45"/>
      <c r="N9" s="44"/>
      <c r="O9" s="2"/>
    </row>
    <row r="10" spans="1:15" s="6" customFormat="1" ht="13.95" customHeight="1" x14ac:dyDescent="0.25">
      <c r="A10" s="2"/>
      <c r="B10" s="54" t="s">
        <v>37</v>
      </c>
      <c r="C10" s="56">
        <v>190.21487432930866</v>
      </c>
      <c r="D10" s="45"/>
      <c r="E10" s="45"/>
      <c r="F10" s="44"/>
      <c r="G10" s="57">
        <f>G18/G8</f>
        <v>193.39025034815293</v>
      </c>
      <c r="H10" s="45"/>
      <c r="I10" s="45"/>
      <c r="J10" s="44"/>
      <c r="K10" s="56">
        <v>207.63657031116384</v>
      </c>
      <c r="L10" s="45"/>
      <c r="M10" s="45"/>
      <c r="N10" s="44"/>
      <c r="O10" s="2"/>
    </row>
    <row r="11" spans="1:15" s="6" customFormat="1" ht="13.95" customHeight="1" x14ac:dyDescent="0.25">
      <c r="A11" s="2"/>
      <c r="B11" s="52" t="s">
        <v>36</v>
      </c>
      <c r="C11" s="55" t="s">
        <v>31</v>
      </c>
      <c r="D11" s="47"/>
      <c r="E11" s="45"/>
      <c r="F11" s="44"/>
      <c r="G11" s="46">
        <f>(G10/C10)-1</f>
        <v>1.6693626247897608E-2</v>
      </c>
      <c r="H11" s="45"/>
      <c r="I11" s="47"/>
      <c r="J11" s="44"/>
      <c r="K11" s="46">
        <f>(K10/G10)-1</f>
        <v>7.3666174677181617E-2</v>
      </c>
      <c r="L11" s="45"/>
      <c r="M11" s="45"/>
      <c r="N11" s="44"/>
      <c r="O11" s="2"/>
    </row>
    <row r="12" spans="1:15" s="6" customFormat="1" ht="13.95" customHeight="1" x14ac:dyDescent="0.25">
      <c r="A12" s="2"/>
      <c r="B12" s="54" t="s">
        <v>35</v>
      </c>
      <c r="C12" s="53">
        <v>129.7265442925885</v>
      </c>
      <c r="D12" s="47"/>
      <c r="E12" s="47"/>
      <c r="F12" s="44"/>
      <c r="G12" s="53">
        <v>135.37317524370704</v>
      </c>
      <c r="H12" s="45"/>
      <c r="I12" s="47"/>
      <c r="J12" s="44"/>
      <c r="K12" s="50">
        <f>K18/K7</f>
        <v>143.26923351470305</v>
      </c>
      <c r="L12" s="45"/>
      <c r="M12" s="45"/>
      <c r="N12" s="44"/>
      <c r="O12" s="2"/>
    </row>
    <row r="13" spans="1:15" s="6" customFormat="1" ht="13.95" customHeight="1" x14ac:dyDescent="0.25">
      <c r="A13" s="2"/>
      <c r="B13" s="52" t="s">
        <v>34</v>
      </c>
      <c r="C13" s="48" t="s">
        <v>31</v>
      </c>
      <c r="D13" s="45"/>
      <c r="E13" s="47"/>
      <c r="F13" s="44"/>
      <c r="G13" s="46">
        <f>(G12/C12)-1</f>
        <v>4.3527182365877159E-2</v>
      </c>
      <c r="H13" s="45"/>
      <c r="I13" s="47"/>
      <c r="J13" s="44"/>
      <c r="K13" s="46">
        <f>(K12/G12)-1</f>
        <v>5.8328086467507534E-2</v>
      </c>
      <c r="L13" s="45"/>
      <c r="M13" s="45"/>
      <c r="N13" s="44"/>
      <c r="O13" s="2"/>
    </row>
    <row r="14" spans="1:15" s="6" customFormat="1" ht="13.95" customHeight="1" x14ac:dyDescent="0.25">
      <c r="A14" s="2"/>
      <c r="B14" s="51" t="s">
        <v>33</v>
      </c>
      <c r="C14" s="50">
        <f>C22/C7</f>
        <v>176.9902884326313</v>
      </c>
      <c r="D14" s="45"/>
      <c r="E14" s="45"/>
      <c r="F14" s="44"/>
      <c r="G14" s="50">
        <f>G22/G7</f>
        <v>182.38133617059006</v>
      </c>
      <c r="H14" s="45"/>
      <c r="I14" s="45"/>
      <c r="J14" s="44"/>
      <c r="K14" s="50">
        <f>K22/K7</f>
        <v>191.97639757059892</v>
      </c>
      <c r="L14" s="45"/>
      <c r="M14" s="45"/>
      <c r="N14" s="44"/>
      <c r="O14" s="2"/>
    </row>
    <row r="15" spans="1:15" s="6" customFormat="1" ht="13.95" customHeight="1" x14ac:dyDescent="0.25">
      <c r="A15" s="2"/>
      <c r="B15" s="49" t="s">
        <v>32</v>
      </c>
      <c r="C15" s="48" t="s">
        <v>31</v>
      </c>
      <c r="D15" s="45"/>
      <c r="E15" s="45"/>
      <c r="F15" s="44"/>
      <c r="G15" s="46">
        <f>(G14/C14)-1</f>
        <v>3.0459568068395892E-2</v>
      </c>
      <c r="H15" s="45"/>
      <c r="I15" s="47"/>
      <c r="J15" s="44"/>
      <c r="K15" s="46">
        <f>(K14/G14)-1</f>
        <v>5.2609886523882876E-2</v>
      </c>
      <c r="L15" s="45"/>
      <c r="M15" s="45"/>
      <c r="N15" s="44"/>
      <c r="O15" s="2"/>
    </row>
    <row r="16" spans="1:15" s="6" customFormat="1" ht="13.95" customHeight="1" x14ac:dyDescent="0.25">
      <c r="A16" s="2"/>
      <c r="B16" s="72"/>
      <c r="C16" s="73" t="s">
        <v>30</v>
      </c>
      <c r="D16" s="74" t="s">
        <v>29</v>
      </c>
      <c r="E16" s="74" t="s">
        <v>28</v>
      </c>
      <c r="F16" s="75" t="s">
        <v>27</v>
      </c>
      <c r="G16" s="73" t="s">
        <v>30</v>
      </c>
      <c r="H16" s="74" t="s">
        <v>29</v>
      </c>
      <c r="I16" s="74" t="s">
        <v>28</v>
      </c>
      <c r="J16" s="75" t="s">
        <v>27</v>
      </c>
      <c r="K16" s="73" t="s">
        <v>30</v>
      </c>
      <c r="L16" s="74" t="s">
        <v>29</v>
      </c>
      <c r="M16" s="74" t="s">
        <v>28</v>
      </c>
      <c r="N16" s="75" t="s">
        <v>27</v>
      </c>
      <c r="O16" s="2"/>
    </row>
    <row r="17" spans="1:15" s="6" customFormat="1" ht="13.95" customHeight="1" x14ac:dyDescent="0.25">
      <c r="A17" s="2"/>
      <c r="B17" s="35" t="s">
        <v>26</v>
      </c>
      <c r="C17" s="43"/>
      <c r="D17" s="33"/>
      <c r="E17" s="33"/>
      <c r="F17" s="42"/>
      <c r="G17" s="43"/>
      <c r="H17" s="33"/>
      <c r="I17" s="33"/>
      <c r="J17" s="42"/>
      <c r="K17" s="43"/>
      <c r="L17" s="33"/>
      <c r="M17" s="33"/>
      <c r="N17" s="42"/>
      <c r="O17" s="2"/>
    </row>
    <row r="18" spans="1:15" s="6" customFormat="1" ht="13.95" customHeight="1" x14ac:dyDescent="0.25">
      <c r="A18" s="2"/>
      <c r="B18" s="32" t="s">
        <v>22</v>
      </c>
      <c r="C18" s="39">
        <v>14671293.800226007</v>
      </c>
      <c r="D18" s="12">
        <f>C18/C$22</f>
        <v>0.73295854502190383</v>
      </c>
      <c r="E18" s="11">
        <f>C18/C$8</f>
        <v>190.21487432930866</v>
      </c>
      <c r="F18" s="76">
        <f>C18/C$5</f>
        <v>47479.915211087398</v>
      </c>
      <c r="G18" s="39">
        <v>15268063.5698615</v>
      </c>
      <c r="H18" s="12">
        <f>G18/G$22</f>
        <v>0.74225344591776643</v>
      </c>
      <c r="I18" s="11">
        <f t="shared" ref="I18:I46" si="0">G18/G$8</f>
        <v>193.39025034815293</v>
      </c>
      <c r="J18" s="76">
        <f t="shared" ref="J18:J46" si="1">G18/G$5</f>
        <v>49411.208963953075</v>
      </c>
      <c r="K18" s="39">
        <v>16158620.501955783</v>
      </c>
      <c r="L18" s="12">
        <f t="shared" ref="L18:L22" si="2">K18/K$22</f>
        <v>0.74628566494491111</v>
      </c>
      <c r="M18" s="11">
        <f t="shared" ref="M18:M46" si="3">K18/K$8</f>
        <v>207.63657031116384</v>
      </c>
      <c r="N18" s="76">
        <f t="shared" ref="N18:N46" si="4">K18/K$5</f>
        <v>52293.270232866613</v>
      </c>
      <c r="O18" s="2"/>
    </row>
    <row r="19" spans="1:15" s="6" customFormat="1" ht="13.95" customHeight="1" x14ac:dyDescent="0.25">
      <c r="A19" s="2"/>
      <c r="B19" s="32" t="s">
        <v>21</v>
      </c>
      <c r="C19" s="17">
        <v>4394469.7281036703</v>
      </c>
      <c r="D19" s="12">
        <f t="shared" ref="D19:D22" si="5">C19/C$22</f>
        <v>0.21954192874278405</v>
      </c>
      <c r="E19" s="11">
        <f t="shared" ref="E19:E22" si="6">C19/C$8</f>
        <v>56.974764356659136</v>
      </c>
      <c r="F19" s="76">
        <f t="shared" ref="F19:F46" si="7">C19/C$5</f>
        <v>14221.584880594402</v>
      </c>
      <c r="G19" s="17">
        <v>4366835.8811046518</v>
      </c>
      <c r="H19" s="12">
        <f t="shared" ref="H19:H22" si="8">G19/G$22</f>
        <v>0.21229273546551497</v>
      </c>
      <c r="I19" s="11">
        <f t="shared" si="0"/>
        <v>55.31176107644319</v>
      </c>
      <c r="J19" s="76">
        <f t="shared" si="1"/>
        <v>14132.154955031236</v>
      </c>
      <c r="K19" s="17">
        <v>4519530.3902716674</v>
      </c>
      <c r="L19" s="12">
        <f t="shared" si="2"/>
        <v>0.2087344487194551</v>
      </c>
      <c r="M19" s="11">
        <f t="shared" si="3"/>
        <v>58.075489150791171</v>
      </c>
      <c r="N19" s="76">
        <f t="shared" si="4"/>
        <v>14626.311942626755</v>
      </c>
      <c r="O19" s="2"/>
    </row>
    <row r="20" spans="1:15" s="6" customFormat="1" ht="13.95" customHeight="1" x14ac:dyDescent="0.25">
      <c r="A20" s="2"/>
      <c r="B20" s="32" t="s">
        <v>20</v>
      </c>
      <c r="C20" s="23">
        <v>635563.01190108724</v>
      </c>
      <c r="D20" s="12">
        <f t="shared" si="5"/>
        <v>3.1751892288162324E-2</v>
      </c>
      <c r="E20" s="11">
        <f t="shared" si="6"/>
        <v>8.2401416046388416</v>
      </c>
      <c r="F20" s="76">
        <f t="shared" si="7"/>
        <v>2056.8382262171108</v>
      </c>
      <c r="G20" s="23">
        <v>625003.49551880942</v>
      </c>
      <c r="H20" s="12">
        <f t="shared" si="8"/>
        <v>3.0384403112862717E-2</v>
      </c>
      <c r="I20" s="11">
        <f t="shared" si="0"/>
        <v>7.9164971978139116</v>
      </c>
      <c r="J20" s="76">
        <f t="shared" si="1"/>
        <v>2022.6650340414544</v>
      </c>
      <c r="K20" s="23">
        <v>653650.27521968936</v>
      </c>
      <c r="L20" s="12">
        <f t="shared" si="2"/>
        <v>3.0188828942712482E-2</v>
      </c>
      <c r="M20" s="11">
        <f t="shared" si="3"/>
        <v>8.3993371410101094</v>
      </c>
      <c r="N20" s="76">
        <f t="shared" si="4"/>
        <v>2115.373058963396</v>
      </c>
      <c r="O20" s="2"/>
    </row>
    <row r="21" spans="1:15" s="6" customFormat="1" ht="13.95" customHeight="1" x14ac:dyDescent="0.25">
      <c r="A21" s="2"/>
      <c r="B21" s="30" t="s">
        <v>25</v>
      </c>
      <c r="C21" s="21">
        <v>315213.13976923632</v>
      </c>
      <c r="D21" s="12">
        <f t="shared" si="5"/>
        <v>1.5747633947149665E-2</v>
      </c>
      <c r="E21" s="11">
        <f t="shared" si="6"/>
        <v>4.0867716633981157</v>
      </c>
      <c r="F21" s="76">
        <f t="shared" si="7"/>
        <v>1020.1072484441305</v>
      </c>
      <c r="G21" s="21">
        <v>309976.05351504049</v>
      </c>
      <c r="H21" s="20">
        <f t="shared" si="8"/>
        <v>1.5069415503855928E-2</v>
      </c>
      <c r="I21" s="19">
        <f t="shared" si="0"/>
        <v>3.9262573355757855</v>
      </c>
      <c r="J21" s="77">
        <f t="shared" si="1"/>
        <v>1003.1587492396133</v>
      </c>
      <c r="K21" s="21">
        <v>320256.83255286078</v>
      </c>
      <c r="L21" s="20">
        <f t="shared" si="2"/>
        <v>1.4791057392921299E-2</v>
      </c>
      <c r="M21" s="19">
        <f t="shared" si="3"/>
        <v>4.1152665428304438</v>
      </c>
      <c r="N21" s="77">
        <f t="shared" si="4"/>
        <v>1036.4298788118472</v>
      </c>
      <c r="O21" s="2"/>
    </row>
    <row r="22" spans="1:15" s="6" customFormat="1" ht="13.95" customHeight="1" x14ac:dyDescent="0.25">
      <c r="A22" s="2"/>
      <c r="B22" s="29" t="s">
        <v>24</v>
      </c>
      <c r="C22" s="17">
        <f>SUM(C18:C21)</f>
        <v>20016539.680000003</v>
      </c>
      <c r="D22" s="12">
        <f t="shared" si="5"/>
        <v>1</v>
      </c>
      <c r="E22" s="11">
        <f t="shared" si="6"/>
        <v>259.5165519540048</v>
      </c>
      <c r="F22" s="76">
        <f t="shared" si="7"/>
        <v>64778.445566343056</v>
      </c>
      <c r="G22" s="17">
        <f>SUM(G18:G21)</f>
        <v>20569879</v>
      </c>
      <c r="H22" s="41">
        <f t="shared" si="8"/>
        <v>1</v>
      </c>
      <c r="I22" s="11">
        <f t="shared" si="0"/>
        <v>260.54476595798582</v>
      </c>
      <c r="J22" s="76">
        <f t="shared" si="1"/>
        <v>66569.187702265379</v>
      </c>
      <c r="K22" s="17">
        <f>SUM(K18:K21)</f>
        <v>21652058</v>
      </c>
      <c r="L22" s="41">
        <f t="shared" si="2"/>
        <v>1</v>
      </c>
      <c r="M22" s="11">
        <f t="shared" si="3"/>
        <v>278.22666314579556</v>
      </c>
      <c r="N22" s="76">
        <f t="shared" si="4"/>
        <v>70071.38511326861</v>
      </c>
      <c r="O22" s="2"/>
    </row>
    <row r="23" spans="1:15" s="6" customFormat="1" ht="13.95" customHeight="1" x14ac:dyDescent="0.25">
      <c r="A23" s="2"/>
      <c r="B23" s="27" t="s">
        <v>23</v>
      </c>
      <c r="C23" s="40"/>
      <c r="D23" s="25"/>
      <c r="E23" s="25"/>
      <c r="F23" s="78"/>
      <c r="G23" s="40"/>
      <c r="H23" s="25"/>
      <c r="I23" s="25"/>
      <c r="J23" s="78"/>
      <c r="K23" s="40"/>
      <c r="L23" s="25"/>
      <c r="M23" s="25"/>
      <c r="N23" s="78"/>
      <c r="O23" s="2"/>
    </row>
    <row r="24" spans="1:15" s="6" customFormat="1" ht="13.95" customHeight="1" x14ac:dyDescent="0.25">
      <c r="A24" s="2"/>
      <c r="B24" s="24" t="s">
        <v>22</v>
      </c>
      <c r="C24" s="17">
        <v>5142021.1535135144</v>
      </c>
      <c r="D24" s="12">
        <f>C24/C18</f>
        <v>0.35048177914849632</v>
      </c>
      <c r="E24" s="11">
        <f t="shared" ref="E24:E26" si="9">C24/C$8</f>
        <v>66.66684757544374</v>
      </c>
      <c r="F24" s="76">
        <f t="shared" si="7"/>
        <v>16640.845157001666</v>
      </c>
      <c r="G24" s="17">
        <v>5157063.8409522669</v>
      </c>
      <c r="H24" s="12"/>
      <c r="I24" s="11">
        <f t="shared" si="0"/>
        <v>65.321044983847486</v>
      </c>
      <c r="J24" s="76">
        <f t="shared" si="1"/>
        <v>16689.526993373031</v>
      </c>
      <c r="K24" s="39">
        <v>5332344.765645409</v>
      </c>
      <c r="L24" s="12"/>
      <c r="M24" s="11">
        <f t="shared" si="3"/>
        <v>68.520068202684072</v>
      </c>
      <c r="N24" s="76">
        <f t="shared" si="4"/>
        <v>17256.779176845983</v>
      </c>
      <c r="O24" s="2"/>
    </row>
    <row r="25" spans="1:15" s="6" customFormat="1" ht="13.95" customHeight="1" x14ac:dyDescent="0.25">
      <c r="A25" s="2"/>
      <c r="B25" s="24" t="s">
        <v>21</v>
      </c>
      <c r="C25" s="17">
        <v>4286668.5517565859</v>
      </c>
      <c r="D25" s="12">
        <f t="shared" ref="D25:D26" si="10">C25/C19</f>
        <v>0.97546889999999986</v>
      </c>
      <c r="E25" s="11">
        <f t="shared" si="9"/>
        <v>55.577110714749494</v>
      </c>
      <c r="F25" s="76">
        <f t="shared" si="7"/>
        <v>13872.713759730052</v>
      </c>
      <c r="G25" s="39">
        <v>4215757.9441149682</v>
      </c>
      <c r="H25" s="12"/>
      <c r="I25" s="11">
        <f t="shared" si="0"/>
        <v>53.398158875166637</v>
      </c>
      <c r="J25" s="76">
        <f t="shared" si="1"/>
        <v>13643.229592605076</v>
      </c>
      <c r="K25" s="17">
        <v>4315533.9236765197</v>
      </c>
      <c r="L25" s="12"/>
      <c r="M25" s="11">
        <f t="shared" si="3"/>
        <v>55.454156056528227</v>
      </c>
      <c r="N25" s="76">
        <f t="shared" si="4"/>
        <v>13966.129202836633</v>
      </c>
      <c r="O25" s="2"/>
    </row>
    <row r="26" spans="1:15" s="6" customFormat="1" ht="13.95" customHeight="1" x14ac:dyDescent="0.25">
      <c r="A26" s="2"/>
      <c r="B26" s="22" t="s">
        <v>20</v>
      </c>
      <c r="C26" s="38">
        <v>286003.35535548924</v>
      </c>
      <c r="D26" s="20">
        <f t="shared" si="10"/>
        <v>0.44999999999999996</v>
      </c>
      <c r="E26" s="37">
        <f t="shared" si="9"/>
        <v>3.7080637220874788</v>
      </c>
      <c r="F26" s="79">
        <f t="shared" si="7"/>
        <v>925.57720179769979</v>
      </c>
      <c r="G26" s="39">
        <v>281069.04477725836</v>
      </c>
      <c r="H26" s="20"/>
      <c r="I26" s="37">
        <f t="shared" si="0"/>
        <v>3.560111777493947</v>
      </c>
      <c r="J26" s="79">
        <f t="shared" si="1"/>
        <v>909.60855914970341</v>
      </c>
      <c r="K26" s="38">
        <v>393285.62579783768</v>
      </c>
      <c r="L26" s="20"/>
      <c r="M26" s="37">
        <f t="shared" si="3"/>
        <v>5.0536788387015399</v>
      </c>
      <c r="N26" s="79">
        <f t="shared" si="4"/>
        <v>1272.7690155269827</v>
      </c>
      <c r="O26" s="2"/>
    </row>
    <row r="27" spans="1:15" s="6" customFormat="1" ht="13.95" customHeight="1" x14ac:dyDescent="0.25">
      <c r="A27" s="2"/>
      <c r="B27" s="36" t="s">
        <v>19</v>
      </c>
      <c r="C27" s="17">
        <f>SUM(C24:C26)</f>
        <v>9714693.0606255904</v>
      </c>
      <c r="D27" s="12">
        <f>C27/C$22</f>
        <v>0.48533329016564508</v>
      </c>
      <c r="E27" s="11">
        <f t="shared" ref="E27:E46" si="11">C27/C$8</f>
        <v>125.95202201228072</v>
      </c>
      <c r="F27" s="80">
        <f t="shared" si="7"/>
        <v>31439.136118529419</v>
      </c>
      <c r="G27" s="17">
        <f>SUM(G24:G26)</f>
        <v>9653890.8298444934</v>
      </c>
      <c r="H27" s="12">
        <f t="shared" ref="H27:H46" si="12">G27/G$22</f>
        <v>0.4693217120939065</v>
      </c>
      <c r="I27" s="11">
        <f t="shared" si="0"/>
        <v>122.27931563650806</v>
      </c>
      <c r="J27" s="80">
        <f t="shared" si="1"/>
        <v>31242.365145127809</v>
      </c>
      <c r="K27" s="17">
        <f>SUM(K24:K26)</f>
        <v>10041164.315119766</v>
      </c>
      <c r="L27" s="12">
        <f t="shared" ref="L27:L46" si="13">K27/K$22</f>
        <v>0.4637510353574596</v>
      </c>
      <c r="M27" s="11">
        <f t="shared" si="3"/>
        <v>129.02790309791385</v>
      </c>
      <c r="N27" s="84">
        <f t="shared" si="4"/>
        <v>32495.677395209597</v>
      </c>
      <c r="O27" s="2"/>
    </row>
    <row r="28" spans="1:15" s="6" customFormat="1" ht="13.95" customHeight="1" x14ac:dyDescent="0.25">
      <c r="A28" s="2"/>
      <c r="B28" s="10" t="s">
        <v>18</v>
      </c>
      <c r="C28" s="9">
        <f>C22-C27</f>
        <v>10301846.619374413</v>
      </c>
      <c r="D28" s="8">
        <f>C28/C$22</f>
        <v>0.51466670983435492</v>
      </c>
      <c r="E28" s="7">
        <f t="shared" si="11"/>
        <v>133.56452994172409</v>
      </c>
      <c r="F28" s="81">
        <f t="shared" si="7"/>
        <v>33339.309447813634</v>
      </c>
      <c r="G28" s="9">
        <f>G22-G27</f>
        <v>10915988.170155507</v>
      </c>
      <c r="H28" s="8">
        <f t="shared" si="12"/>
        <v>0.5306782879060935</v>
      </c>
      <c r="I28" s="7">
        <f t="shared" si="0"/>
        <v>138.26545032147774</v>
      </c>
      <c r="J28" s="81">
        <f t="shared" si="1"/>
        <v>35326.822557137559</v>
      </c>
      <c r="K28" s="9">
        <f>+K22-K27</f>
        <v>11610893.684880234</v>
      </c>
      <c r="L28" s="8">
        <f t="shared" si="13"/>
        <v>0.53624896464254046</v>
      </c>
      <c r="M28" s="7">
        <f t="shared" si="3"/>
        <v>149.19876004788173</v>
      </c>
      <c r="N28" s="81">
        <f t="shared" si="4"/>
        <v>37575.707718059013</v>
      </c>
      <c r="O28" s="2"/>
    </row>
    <row r="29" spans="1:15" s="6" customFormat="1" ht="13.95" customHeight="1" x14ac:dyDescent="0.25">
      <c r="A29" s="2"/>
      <c r="B29" s="35" t="s">
        <v>17</v>
      </c>
      <c r="C29" s="34"/>
      <c r="D29" s="33"/>
      <c r="E29" s="33"/>
      <c r="F29" s="82"/>
      <c r="G29" s="34"/>
      <c r="H29" s="33"/>
      <c r="I29" s="33"/>
      <c r="J29" s="82"/>
      <c r="K29" s="34"/>
      <c r="L29" s="33"/>
      <c r="M29" s="33"/>
      <c r="N29" s="82"/>
      <c r="O29" s="2"/>
    </row>
    <row r="30" spans="1:15" s="6" customFormat="1" ht="13.95" customHeight="1" x14ac:dyDescent="0.25">
      <c r="A30" s="2"/>
      <c r="B30" s="32" t="s">
        <v>16</v>
      </c>
      <c r="C30" s="17">
        <v>1606544.4739389536</v>
      </c>
      <c r="D30" s="12">
        <f t="shared" ref="D30:D38" si="14">C30/C$22</f>
        <v>8.0260849258784239E-2</v>
      </c>
      <c r="E30" s="11">
        <f t="shared" si="11"/>
        <v>20.829018856539829</v>
      </c>
      <c r="F30" s="76">
        <f t="shared" si="7"/>
        <v>5199.1730548186197</v>
      </c>
      <c r="G30" s="17">
        <v>1552493.7985046261</v>
      </c>
      <c r="H30" s="12">
        <f t="shared" si="12"/>
        <v>7.5474133732367901E-2</v>
      </c>
      <c r="I30" s="11">
        <f t="shared" si="0"/>
        <v>19.664390509181516</v>
      </c>
      <c r="J30" s="76">
        <f t="shared" si="1"/>
        <v>5024.2517750958777</v>
      </c>
      <c r="K30" s="17">
        <v>1589108.382121061</v>
      </c>
      <c r="L30" s="12">
        <f t="shared" si="13"/>
        <v>7.3392948703585634E-2</v>
      </c>
      <c r="M30" s="11">
        <f t="shared" si="3"/>
        <v>20.419875216229173</v>
      </c>
      <c r="N30" s="76">
        <f t="shared" si="4"/>
        <v>5142.7455732073167</v>
      </c>
      <c r="O30" s="2"/>
    </row>
    <row r="31" spans="1:15" s="6" customFormat="1" ht="13.95" customHeight="1" x14ac:dyDescent="0.25">
      <c r="A31" s="2"/>
      <c r="B31" s="32" t="s">
        <v>15</v>
      </c>
      <c r="C31" s="17">
        <v>405334.92852000002</v>
      </c>
      <c r="D31" s="12">
        <f t="shared" si="14"/>
        <v>2.0249999999999997E-2</v>
      </c>
      <c r="E31" s="11">
        <f t="shared" si="11"/>
        <v>5.2552101770685962</v>
      </c>
      <c r="F31" s="76">
        <f t="shared" si="7"/>
        <v>1311.7635227184467</v>
      </c>
      <c r="G31" s="17">
        <v>400104.71642899996</v>
      </c>
      <c r="H31" s="12">
        <f t="shared" si="12"/>
        <v>1.9451E-2</v>
      </c>
      <c r="I31" s="11">
        <f t="shared" si="0"/>
        <v>5.067856242648781</v>
      </c>
      <c r="J31" s="76">
        <f t="shared" si="1"/>
        <v>1294.8372699967636</v>
      </c>
      <c r="K31" s="17">
        <v>286889.76850000001</v>
      </c>
      <c r="L31" s="12">
        <f t="shared" si="13"/>
        <v>1.325E-2</v>
      </c>
      <c r="M31" s="11">
        <f t="shared" si="3"/>
        <v>3.6865032866817913</v>
      </c>
      <c r="N31" s="76">
        <f t="shared" si="4"/>
        <v>928.44585275080908</v>
      </c>
      <c r="O31" s="2"/>
    </row>
    <row r="32" spans="1:15" s="6" customFormat="1" ht="13.95" customHeight="1" x14ac:dyDescent="0.25">
      <c r="A32" s="2"/>
      <c r="B32" s="32" t="s">
        <v>14</v>
      </c>
      <c r="C32" s="17">
        <v>1512277.8194131972</v>
      </c>
      <c r="D32" s="12">
        <f t="shared" si="14"/>
        <v>7.5551411162451079E-2</v>
      </c>
      <c r="E32" s="11">
        <f t="shared" si="11"/>
        <v>19.606841720138615</v>
      </c>
      <c r="F32" s="76">
        <f t="shared" si="7"/>
        <v>4894.1029754472402</v>
      </c>
      <c r="G32" s="17">
        <v>1461960.2235227525</v>
      </c>
      <c r="H32" s="12">
        <f t="shared" si="12"/>
        <v>7.1072864527922233E-2</v>
      </c>
      <c r="I32" s="11">
        <f t="shared" si="0"/>
        <v>18.51766285439113</v>
      </c>
      <c r="J32" s="76">
        <f t="shared" si="1"/>
        <v>4731.262859296934</v>
      </c>
      <c r="K32" s="17">
        <v>1591799.5676595732</v>
      </c>
      <c r="L32" s="12">
        <f t="shared" si="13"/>
        <v>7.3517241070551964E-2</v>
      </c>
      <c r="M32" s="11">
        <f t="shared" si="3"/>
        <v>20.454456666744708</v>
      </c>
      <c r="N32" s="76">
        <f t="shared" si="4"/>
        <v>5151.4549115196542</v>
      </c>
      <c r="O32" s="2"/>
    </row>
    <row r="33" spans="1:15" s="6" customFormat="1" ht="13.95" customHeight="1" x14ac:dyDescent="0.25">
      <c r="A33" s="2"/>
      <c r="B33" s="32" t="s">
        <v>13</v>
      </c>
      <c r="C33" s="23">
        <v>1403971.450383605</v>
      </c>
      <c r="D33" s="12">
        <f t="shared" si="14"/>
        <v>7.0140567392195971E-2</v>
      </c>
      <c r="E33" s="11">
        <f t="shared" si="11"/>
        <v>18.202638201720202</v>
      </c>
      <c r="F33" s="76">
        <f t="shared" si="7"/>
        <v>4543.5969268077833</v>
      </c>
      <c r="G33" s="23">
        <v>1159223.8301918444</v>
      </c>
      <c r="H33" s="12">
        <f t="shared" si="12"/>
        <v>5.6355403461140652E-2</v>
      </c>
      <c r="I33" s="11">
        <f t="shared" si="0"/>
        <v>14.683105405250753</v>
      </c>
      <c r="J33" s="76">
        <f t="shared" si="1"/>
        <v>3751.5334310415674</v>
      </c>
      <c r="K33" s="23">
        <v>943675.50026402331</v>
      </c>
      <c r="L33" s="12">
        <f t="shared" si="13"/>
        <v>4.3583639959953152E-2</v>
      </c>
      <c r="M33" s="11">
        <f t="shared" si="3"/>
        <v>12.126130713805521</v>
      </c>
      <c r="N33" s="76">
        <f t="shared" si="4"/>
        <v>3053.9660202719201</v>
      </c>
      <c r="O33" s="31"/>
    </row>
    <row r="34" spans="1:15" s="6" customFormat="1" ht="13.95" customHeight="1" x14ac:dyDescent="0.25">
      <c r="A34" s="2"/>
      <c r="B34" s="30" t="s">
        <v>12</v>
      </c>
      <c r="C34" s="21">
        <v>902553.075246603</v>
      </c>
      <c r="D34" s="20">
        <f t="shared" si="14"/>
        <v>4.5090364752125967E-2</v>
      </c>
      <c r="E34" s="19">
        <f t="shared" si="11"/>
        <v>11.701695986820127</v>
      </c>
      <c r="F34" s="77">
        <f t="shared" si="7"/>
        <v>2920.8837386621458</v>
      </c>
      <c r="G34" s="21">
        <v>886658.45368781278</v>
      </c>
      <c r="H34" s="20">
        <f t="shared" si="12"/>
        <v>4.3104699531184058E-2</v>
      </c>
      <c r="I34" s="19">
        <f t="shared" si="0"/>
        <v>11.23070385104165</v>
      </c>
      <c r="J34" s="77">
        <f t="shared" si="1"/>
        <v>2869.4448339411415</v>
      </c>
      <c r="K34" s="21">
        <v>870816.43438064144</v>
      </c>
      <c r="L34" s="20">
        <f t="shared" si="13"/>
        <v>4.0218645007354101E-2</v>
      </c>
      <c r="M34" s="19">
        <f t="shared" si="3"/>
        <v>11.189899396641442</v>
      </c>
      <c r="N34" s="77">
        <f t="shared" si="4"/>
        <v>2818.176163044147</v>
      </c>
      <c r="O34" s="2"/>
    </row>
    <row r="35" spans="1:15" s="6" customFormat="1" ht="13.95" customHeight="1" x14ac:dyDescent="0.25">
      <c r="A35" s="2"/>
      <c r="B35" s="29" t="s">
        <v>11</v>
      </c>
      <c r="C35" s="17">
        <f>SUM(C30:C34)</f>
        <v>5830681.7475023596</v>
      </c>
      <c r="D35" s="12">
        <f t="shared" si="14"/>
        <v>0.2912931925655573</v>
      </c>
      <c r="E35" s="11">
        <f t="shared" si="11"/>
        <v>75.595404942287374</v>
      </c>
      <c r="F35" s="76">
        <f t="shared" si="7"/>
        <v>18869.52021845424</v>
      </c>
      <c r="G35" s="17">
        <f>SUM(G30:G34)</f>
        <v>5460441.022336036</v>
      </c>
      <c r="H35" s="12">
        <f t="shared" si="12"/>
        <v>0.26545810125261488</v>
      </c>
      <c r="I35" s="11">
        <f t="shared" si="0"/>
        <v>69.163718862513832</v>
      </c>
      <c r="J35" s="76">
        <f t="shared" si="1"/>
        <v>17671.330169372286</v>
      </c>
      <c r="K35" s="17">
        <f>SUM(K30:K34)</f>
        <v>5282289.6529252985</v>
      </c>
      <c r="L35" s="12">
        <f t="shared" si="13"/>
        <v>0.24396247474144483</v>
      </c>
      <c r="M35" s="11">
        <f t="shared" si="3"/>
        <v>67.876865280102635</v>
      </c>
      <c r="N35" s="76">
        <f t="shared" si="4"/>
        <v>17094.788520793845</v>
      </c>
      <c r="O35" s="2"/>
    </row>
    <row r="36" spans="1:15" s="6" customFormat="1" ht="13.95" customHeight="1" x14ac:dyDescent="0.25">
      <c r="A36" s="2"/>
      <c r="B36" s="10" t="s">
        <v>10</v>
      </c>
      <c r="C36" s="9">
        <f>C28-C35</f>
        <v>4471164.8718720535</v>
      </c>
      <c r="D36" s="8">
        <f t="shared" si="14"/>
        <v>0.22337351726879762</v>
      </c>
      <c r="E36" s="7">
        <f t="shared" si="11"/>
        <v>57.969124999436708</v>
      </c>
      <c r="F36" s="81">
        <f t="shared" si="7"/>
        <v>14469.789229359396</v>
      </c>
      <c r="G36" s="9">
        <f>G28-G35</f>
        <v>5455547.1478194706</v>
      </c>
      <c r="H36" s="8">
        <f t="shared" si="12"/>
        <v>0.26522018665347863</v>
      </c>
      <c r="I36" s="7">
        <f t="shared" si="0"/>
        <v>69.101731458963897</v>
      </c>
      <c r="J36" s="81">
        <f t="shared" si="1"/>
        <v>17655.492387765276</v>
      </c>
      <c r="K36" s="9">
        <f>K28-K35</f>
        <v>6328604.0319549358</v>
      </c>
      <c r="L36" s="8">
        <f t="shared" si="13"/>
        <v>0.29228648990109557</v>
      </c>
      <c r="M36" s="7">
        <f t="shared" si="3"/>
        <v>81.321894767779099</v>
      </c>
      <c r="N36" s="81">
        <f t="shared" si="4"/>
        <v>20480.919197265164</v>
      </c>
      <c r="O36" s="2"/>
    </row>
    <row r="37" spans="1:15" s="6" customFormat="1" ht="13.95" customHeight="1" x14ac:dyDescent="0.25">
      <c r="A37" s="2"/>
      <c r="B37" s="14" t="s">
        <v>9</v>
      </c>
      <c r="C37" s="28">
        <f>C22*0.03</f>
        <v>600496.19040000008</v>
      </c>
      <c r="D37" s="12">
        <f t="shared" si="14"/>
        <v>0.03</v>
      </c>
      <c r="E37" s="11">
        <f t="shared" si="11"/>
        <v>7.7854965586201441</v>
      </c>
      <c r="F37" s="83">
        <f t="shared" si="7"/>
        <v>1943.3533669902915</v>
      </c>
      <c r="G37" s="28">
        <v>617096.37</v>
      </c>
      <c r="H37" s="12">
        <f t="shared" si="12"/>
        <v>0.03</v>
      </c>
      <c r="I37" s="11">
        <f t="shared" si="0"/>
        <v>7.8163429787395744</v>
      </c>
      <c r="J37" s="83">
        <f t="shared" si="1"/>
        <v>1997.0756310679612</v>
      </c>
      <c r="K37" s="28">
        <v>649561.74</v>
      </c>
      <c r="L37" s="12">
        <f t="shared" si="13"/>
        <v>0.03</v>
      </c>
      <c r="M37" s="11">
        <f t="shared" si="3"/>
        <v>8.3467998943738664</v>
      </c>
      <c r="N37" s="83">
        <f t="shared" si="4"/>
        <v>2102.141553398058</v>
      </c>
      <c r="O37" s="2"/>
    </row>
    <row r="38" spans="1:15" s="6" customFormat="1" ht="13.95" customHeight="1" x14ac:dyDescent="0.25">
      <c r="A38" s="2"/>
      <c r="B38" s="10" t="s">
        <v>8</v>
      </c>
      <c r="C38" s="9">
        <f>C36-C37</f>
        <v>3870668.6814720533</v>
      </c>
      <c r="D38" s="8">
        <f t="shared" si="14"/>
        <v>0.19337351726879762</v>
      </c>
      <c r="E38" s="7">
        <f t="shared" si="11"/>
        <v>50.183628440816562</v>
      </c>
      <c r="F38" s="81">
        <f t="shared" si="7"/>
        <v>12526.435862369104</v>
      </c>
      <c r="G38" s="9">
        <f>G36-G37</f>
        <v>4838450.7778194705</v>
      </c>
      <c r="H38" s="8">
        <f t="shared" si="12"/>
        <v>0.23522018665347863</v>
      </c>
      <c r="I38" s="7">
        <f t="shared" si="0"/>
        <v>61.285388480224327</v>
      </c>
      <c r="J38" s="81">
        <f t="shared" si="1"/>
        <v>15658.416756697316</v>
      </c>
      <c r="K38" s="9">
        <f>K36-K37</f>
        <v>5679042.2919549355</v>
      </c>
      <c r="L38" s="8">
        <f t="shared" si="13"/>
        <v>0.26228648990109554</v>
      </c>
      <c r="M38" s="7">
        <f t="shared" si="3"/>
        <v>72.975094873405226</v>
      </c>
      <c r="N38" s="81">
        <f t="shared" si="4"/>
        <v>18378.777643867106</v>
      </c>
      <c r="O38" s="2"/>
    </row>
    <row r="39" spans="1:15" s="6" customFormat="1" ht="13.95" customHeight="1" x14ac:dyDescent="0.25">
      <c r="A39" s="2"/>
      <c r="B39" s="27" t="s">
        <v>7</v>
      </c>
      <c r="C39" s="26"/>
      <c r="D39" s="25"/>
      <c r="E39" s="25"/>
      <c r="F39" s="78"/>
      <c r="G39" s="26"/>
      <c r="H39" s="25"/>
      <c r="I39" s="25"/>
      <c r="J39" s="78"/>
      <c r="K39" s="26"/>
      <c r="L39" s="25"/>
      <c r="M39" s="25"/>
      <c r="N39" s="78"/>
      <c r="O39" s="2"/>
    </row>
    <row r="40" spans="1:15" s="6" customFormat="1" ht="13.95" customHeight="1" x14ac:dyDescent="0.25">
      <c r="A40" s="2"/>
      <c r="B40" s="24" t="s">
        <v>6</v>
      </c>
      <c r="C40" s="23">
        <v>644870.65353039035</v>
      </c>
      <c r="D40" s="12">
        <f t="shared" ref="D40:D46" si="15">C40/C$22</f>
        <v>3.2216889824105213E-2</v>
      </c>
      <c r="E40" s="11">
        <f t="shared" si="11"/>
        <v>8.3608161618338492</v>
      </c>
      <c r="F40" s="76">
        <f t="shared" si="7"/>
        <v>2086.9600437876711</v>
      </c>
      <c r="G40" s="23">
        <v>650010.40839934396</v>
      </c>
      <c r="H40" s="12">
        <f t="shared" si="12"/>
        <v>3.1600108508141635E-2</v>
      </c>
      <c r="I40" s="11">
        <f t="shared" si="0"/>
        <v>8.2332428755007179</v>
      </c>
      <c r="J40" s="76">
        <f t="shared" si="1"/>
        <v>2103.5935546904334</v>
      </c>
      <c r="K40" s="23">
        <v>608803.41583685752</v>
      </c>
      <c r="L40" s="12">
        <f t="shared" si="13"/>
        <v>2.811757736086138E-2</v>
      </c>
      <c r="M40" s="11">
        <f t="shared" si="3"/>
        <v>7.8230597248562264</v>
      </c>
      <c r="N40" s="76">
        <f t="shared" si="4"/>
        <v>1970.2375917050406</v>
      </c>
      <c r="O40" s="2"/>
    </row>
    <row r="41" spans="1:15" s="6" customFormat="1" ht="13.95" customHeight="1" x14ac:dyDescent="0.25">
      <c r="A41" s="2"/>
      <c r="B41" s="24" t="s">
        <v>5</v>
      </c>
      <c r="C41" s="23">
        <v>580401.29143875802</v>
      </c>
      <c r="D41" s="12">
        <f t="shared" si="15"/>
        <v>2.8996085273354198E-2</v>
      </c>
      <c r="E41" s="11">
        <f t="shared" si="11"/>
        <v>7.5249640703051783</v>
      </c>
      <c r="F41" s="76">
        <f t="shared" si="7"/>
        <v>1878.3213315170162</v>
      </c>
      <c r="G41" s="23">
        <v>582173.42064188037</v>
      </c>
      <c r="H41" s="12">
        <f t="shared" si="12"/>
        <v>2.8302228741446674E-2</v>
      </c>
      <c r="I41" s="11">
        <f t="shared" si="0"/>
        <v>7.3739975635296027</v>
      </c>
      <c r="J41" s="76">
        <f t="shared" si="1"/>
        <v>1884.0563774818136</v>
      </c>
      <c r="K41" s="23">
        <v>550625.76673145336</v>
      </c>
      <c r="L41" s="12">
        <f t="shared" si="13"/>
        <v>2.543064343959606E-2</v>
      </c>
      <c r="M41" s="11">
        <f t="shared" si="3"/>
        <v>7.0754830658493288</v>
      </c>
      <c r="N41" s="76">
        <f t="shared" si="4"/>
        <v>1781.9604101341533</v>
      </c>
      <c r="O41" s="2"/>
    </row>
    <row r="42" spans="1:15" s="6" customFormat="1" ht="13.95" customHeight="1" x14ac:dyDescent="0.25">
      <c r="A42" s="2"/>
      <c r="B42" s="22" t="s">
        <v>4</v>
      </c>
      <c r="C42" s="21">
        <v>20056.73500548007</v>
      </c>
      <c r="D42" s="20">
        <f t="shared" si="15"/>
        <v>1.0020081056027995E-3</v>
      </c>
      <c r="E42" s="19">
        <f t="shared" si="11"/>
        <v>0.26003768859600285</v>
      </c>
      <c r="F42" s="77">
        <f t="shared" si="7"/>
        <v>64.908527525825463</v>
      </c>
      <c r="G42" s="21">
        <v>20524.501242773444</v>
      </c>
      <c r="H42" s="20">
        <f t="shared" si="12"/>
        <v>9.9779397062926063E-4</v>
      </c>
      <c r="I42" s="19">
        <f t="shared" si="0"/>
        <v>0.25996999655189007</v>
      </c>
      <c r="J42" s="77">
        <f t="shared" si="1"/>
        <v>66.422334119007914</v>
      </c>
      <c r="K42" s="21">
        <v>22524.83459813162</v>
      </c>
      <c r="L42" s="20">
        <f t="shared" si="13"/>
        <v>1.040309175143149E-3</v>
      </c>
      <c r="M42" s="19">
        <f t="shared" si="3"/>
        <v>0.28944175044003334</v>
      </c>
      <c r="N42" s="77">
        <f t="shared" si="4"/>
        <v>72.895904848322388</v>
      </c>
      <c r="O42" s="2"/>
    </row>
    <row r="43" spans="1:15" s="6" customFormat="1" ht="13.95" customHeight="1" x14ac:dyDescent="0.25">
      <c r="A43" s="2"/>
      <c r="B43" s="18" t="s">
        <v>3</v>
      </c>
      <c r="C43" s="17">
        <f>SUM(C40:C42)</f>
        <v>1245328.6799746284</v>
      </c>
      <c r="D43" s="16">
        <f t="shared" si="15"/>
        <v>6.2214983203062207E-2</v>
      </c>
      <c r="E43" s="15">
        <f t="shared" si="11"/>
        <v>16.145817920735031</v>
      </c>
      <c r="F43" s="84">
        <f t="shared" si="7"/>
        <v>4030.1899028305124</v>
      </c>
      <c r="G43" s="17">
        <f>SUM(G40:G42)</f>
        <v>1252708.3302839978</v>
      </c>
      <c r="H43" s="16">
        <f t="shared" si="12"/>
        <v>6.090013122021757E-2</v>
      </c>
      <c r="I43" s="15">
        <f t="shared" si="0"/>
        <v>15.867210435582212</v>
      </c>
      <c r="J43" s="84">
        <f t="shared" si="1"/>
        <v>4054.0722662912549</v>
      </c>
      <c r="K43" s="17">
        <f>SUM(K40:K42)</f>
        <v>1181954.0171664425</v>
      </c>
      <c r="L43" s="16">
        <f t="shared" si="13"/>
        <v>5.4588529975600583E-2</v>
      </c>
      <c r="M43" s="15">
        <f t="shared" si="3"/>
        <v>15.187984541145589</v>
      </c>
      <c r="N43" s="84">
        <f t="shared" si="4"/>
        <v>3825.0939066875162</v>
      </c>
      <c r="O43" s="2"/>
    </row>
    <row r="44" spans="1:15" s="6" customFormat="1" ht="13.95" customHeight="1" x14ac:dyDescent="0.25">
      <c r="A44" s="2"/>
      <c r="B44" s="10" t="s">
        <v>2</v>
      </c>
      <c r="C44" s="9">
        <f>C38-C43</f>
        <v>2625340.0014974251</v>
      </c>
      <c r="D44" s="8">
        <f t="shared" si="15"/>
        <v>0.13115853406573541</v>
      </c>
      <c r="E44" s="7">
        <f t="shared" si="11"/>
        <v>34.037810520081536</v>
      </c>
      <c r="F44" s="81">
        <f t="shared" si="7"/>
        <v>8496.2459595385935</v>
      </c>
      <c r="G44" s="9">
        <f>G38-G43</f>
        <v>3585742.4475354729</v>
      </c>
      <c r="H44" s="8">
        <f t="shared" si="12"/>
        <v>0.17432005543326107</v>
      </c>
      <c r="I44" s="7">
        <f t="shared" si="0"/>
        <v>45.418178044642119</v>
      </c>
      <c r="J44" s="81">
        <f t="shared" si="1"/>
        <v>11604.344490406062</v>
      </c>
      <c r="K44" s="9">
        <f>K38-K43</f>
        <v>4497088.2747884933</v>
      </c>
      <c r="L44" s="8">
        <f t="shared" si="13"/>
        <v>0.207697959925495</v>
      </c>
      <c r="M44" s="7">
        <f t="shared" si="3"/>
        <v>57.787110332259644</v>
      </c>
      <c r="N44" s="81">
        <f t="shared" si="4"/>
        <v>14553.68373717959</v>
      </c>
      <c r="O44" s="2"/>
    </row>
    <row r="45" spans="1:15" s="6" customFormat="1" ht="13.95" customHeight="1" x14ac:dyDescent="0.25">
      <c r="A45" s="2"/>
      <c r="B45" s="14" t="s">
        <v>1</v>
      </c>
      <c r="C45" s="13">
        <f>C22*0.04</f>
        <v>800661.58720000018</v>
      </c>
      <c r="D45" s="12">
        <f t="shared" si="15"/>
        <v>0.04</v>
      </c>
      <c r="E45" s="11">
        <f t="shared" si="11"/>
        <v>10.380662078160192</v>
      </c>
      <c r="F45" s="83">
        <f t="shared" si="7"/>
        <v>2591.1378226537222</v>
      </c>
      <c r="G45" s="13">
        <v>822795.16</v>
      </c>
      <c r="H45" s="12">
        <f t="shared" si="12"/>
        <v>0.04</v>
      </c>
      <c r="I45" s="11">
        <f t="shared" si="0"/>
        <v>10.421790638319433</v>
      </c>
      <c r="J45" s="83">
        <f t="shared" si="1"/>
        <v>2662.7675080906151</v>
      </c>
      <c r="K45" s="13">
        <v>866082.32000000007</v>
      </c>
      <c r="L45" s="12">
        <f t="shared" si="13"/>
        <v>0.04</v>
      </c>
      <c r="M45" s="11">
        <f t="shared" si="3"/>
        <v>11.129066525831824</v>
      </c>
      <c r="N45" s="83">
        <f t="shared" si="4"/>
        <v>2802.8554045307446</v>
      </c>
      <c r="O45" s="2"/>
    </row>
    <row r="46" spans="1:15" s="6" customFormat="1" ht="13.5" customHeight="1" x14ac:dyDescent="0.25">
      <c r="A46" s="2"/>
      <c r="B46" s="10" t="s">
        <v>0</v>
      </c>
      <c r="C46" s="9">
        <f>C44-C45</f>
        <v>1824678.414297425</v>
      </c>
      <c r="D46" s="8">
        <f t="shared" si="15"/>
        <v>9.1158534065735417E-2</v>
      </c>
      <c r="E46" s="7">
        <f t="shared" si="11"/>
        <v>23.65714844192134</v>
      </c>
      <c r="F46" s="81">
        <f t="shared" si="7"/>
        <v>5905.10813688487</v>
      </c>
      <c r="G46" s="9">
        <f>G44-G45</f>
        <v>2762947.2875354728</v>
      </c>
      <c r="H46" s="8">
        <f t="shared" si="12"/>
        <v>0.13432005543326106</v>
      </c>
      <c r="I46" s="7">
        <f t="shared" si="0"/>
        <v>34.996387406322683</v>
      </c>
      <c r="J46" s="81">
        <f t="shared" si="1"/>
        <v>8941.576982315446</v>
      </c>
      <c r="K46" s="9">
        <f>K44-K45</f>
        <v>3631005.954788493</v>
      </c>
      <c r="L46" s="8">
        <f t="shared" si="13"/>
        <v>0.16769795992549499</v>
      </c>
      <c r="M46" s="7">
        <f t="shared" si="3"/>
        <v>46.658043806427813</v>
      </c>
      <c r="N46" s="81">
        <f t="shared" si="4"/>
        <v>11750.828332648845</v>
      </c>
      <c r="O46" s="2"/>
    </row>
    <row r="47" spans="1:15" ht="10.65" customHeight="1" x14ac:dyDescent="0.25">
      <c r="A47" s="2"/>
      <c r="B47" s="4"/>
      <c r="C47" s="3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spans="1:15" ht="21.45" hidden="1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1.7" hidden="1" customHeight="1" x14ac:dyDescent="0.25">
      <c r="A49" s="2"/>
      <c r="B49" s="4"/>
      <c r="D49" s="2"/>
      <c r="E49" s="2"/>
      <c r="F49" s="2"/>
      <c r="G49" s="3"/>
      <c r="H49" s="2"/>
      <c r="I49" s="2"/>
      <c r="J49" s="2"/>
      <c r="K49" s="2"/>
      <c r="L49" s="2"/>
      <c r="M49" s="2"/>
      <c r="N49" s="2"/>
      <c r="O49" s="2"/>
    </row>
    <row r="50" spans="1:15" ht="15.15" hidden="1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3.8" hidden="1" x14ac:dyDescent="0.25"/>
    <row r="52" spans="1:15" ht="13.8" hidden="1" x14ac:dyDescent="0.25"/>
    <row r="53" spans="1:15" ht="13.8" hidden="1" x14ac:dyDescent="0.25"/>
    <row r="54" spans="1:15" ht="13.8" hidden="1" x14ac:dyDescent="0.25"/>
    <row r="55" spans="1:15" ht="13.8" hidden="1" x14ac:dyDescent="0.25"/>
    <row r="56" spans="1:15" ht="13.8" hidden="1" x14ac:dyDescent="0.25"/>
  </sheetData>
  <pageMargins left="0.25" right="0.25" top="0.75" bottom="0.75" header="0.3" footer="0.3"/>
  <pageSetup scale="80" fitToWidth="0" orientation="landscape" horizontalDpi="4294967293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A.CRE - Hotel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David Polnick</cp:lastModifiedBy>
  <dcterms:created xsi:type="dcterms:W3CDTF">2019-02-12T10:25:52Z</dcterms:created>
  <dcterms:modified xsi:type="dcterms:W3CDTF">2026-10-06T21:52:16Z</dcterms:modified>
</cp:coreProperties>
</file>