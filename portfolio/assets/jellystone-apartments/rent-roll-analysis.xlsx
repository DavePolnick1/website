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4. Income Statements\"/>
    </mc:Choice>
  </mc:AlternateContent>
  <xr:revisionPtr revIDLastSave="0" documentId="8_{E566AF33-F934-4C2C-A5E3-F9333C47C0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ultifamily" sheetId="4" r:id="rId1"/>
    <sheet name="OpSt" sheetId="5" r:id="rId2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6" i="5" l="1"/>
  <c r="AC36" i="5"/>
  <c r="AB36" i="5"/>
  <c r="AD34" i="5"/>
  <c r="AC34" i="5"/>
  <c r="AB34" i="5"/>
  <c r="AD21" i="5"/>
  <c r="AC21" i="5"/>
  <c r="AB21" i="5"/>
  <c r="Z33" i="5"/>
  <c r="Y33" i="5"/>
  <c r="X33" i="5"/>
  <c r="Z32" i="5"/>
  <c r="Y32" i="5"/>
  <c r="X32" i="5"/>
  <c r="Z31" i="5"/>
  <c r="Y31" i="5"/>
  <c r="X31" i="5"/>
  <c r="Z30" i="5"/>
  <c r="Y30" i="5"/>
  <c r="X30" i="5"/>
  <c r="Z29" i="5"/>
  <c r="Y29" i="5"/>
  <c r="X29" i="5"/>
  <c r="Z28" i="5"/>
  <c r="Y28" i="5"/>
  <c r="X28" i="5"/>
  <c r="Z27" i="5"/>
  <c r="Y27" i="5"/>
  <c r="X27" i="5"/>
  <c r="Z26" i="5"/>
  <c r="Y26" i="5"/>
  <c r="X26" i="5"/>
  <c r="Z25" i="5"/>
  <c r="Y25" i="5"/>
  <c r="X25" i="5"/>
  <c r="Z24" i="5"/>
  <c r="Z34" i="5" s="1"/>
  <c r="Y24" i="5"/>
  <c r="Y34" i="5" s="1"/>
  <c r="X24" i="5"/>
  <c r="X34" i="5" s="1"/>
  <c r="Z15" i="5"/>
  <c r="Y15" i="5"/>
  <c r="X15" i="5"/>
  <c r="X16" i="5" s="1"/>
  <c r="Z14" i="5"/>
  <c r="Y14" i="5"/>
  <c r="X14" i="5"/>
  <c r="Z13" i="5"/>
  <c r="Z16" i="5" s="1"/>
  <c r="Z19" i="5" s="1"/>
  <c r="Z21" i="5" s="1"/>
  <c r="Y13" i="5"/>
  <c r="X13" i="5"/>
  <c r="Z12" i="5"/>
  <c r="Y12" i="5"/>
  <c r="Y16" i="5" s="1"/>
  <c r="Y19" i="5" s="1"/>
  <c r="Y21" i="5" s="1"/>
  <c r="X12" i="5"/>
  <c r="Z8" i="5"/>
  <c r="Y8" i="5"/>
  <c r="X8" i="5"/>
  <c r="Z7" i="5"/>
  <c r="Y7" i="5"/>
  <c r="X7" i="5"/>
  <c r="Z6" i="5"/>
  <c r="Y6" i="5"/>
  <c r="X6" i="5"/>
  <c r="Z5" i="5"/>
  <c r="Z9" i="5" s="1"/>
  <c r="Y5" i="5"/>
  <c r="Y9" i="5" s="1"/>
  <c r="X5" i="5"/>
  <c r="X9" i="5" s="1"/>
  <c r="Q263" i="5"/>
  <c r="P263" i="5"/>
  <c r="O263" i="5"/>
  <c r="Q262" i="5"/>
  <c r="P262" i="5"/>
  <c r="O262" i="5"/>
  <c r="Q261" i="5"/>
  <c r="P261" i="5"/>
  <c r="O261" i="5"/>
  <c r="Q260" i="5"/>
  <c r="P260" i="5"/>
  <c r="O260" i="5"/>
  <c r="Q259" i="5"/>
  <c r="P259" i="5"/>
  <c r="O259" i="5"/>
  <c r="Q258" i="5"/>
  <c r="P258" i="5"/>
  <c r="O258" i="5"/>
  <c r="Q257" i="5"/>
  <c r="P257" i="5"/>
  <c r="O257" i="5"/>
  <c r="Q256" i="5"/>
  <c r="P256" i="5"/>
  <c r="O256" i="5"/>
  <c r="Q255" i="5"/>
  <c r="P255" i="5"/>
  <c r="O255" i="5"/>
  <c r="Q254" i="5"/>
  <c r="P254" i="5"/>
  <c r="O254" i="5"/>
  <c r="Q253" i="5"/>
  <c r="P253" i="5"/>
  <c r="O253" i="5"/>
  <c r="Q252" i="5"/>
  <c r="P252" i="5"/>
  <c r="O252" i="5"/>
  <c r="Q251" i="5"/>
  <c r="P251" i="5"/>
  <c r="O251" i="5"/>
  <c r="Q250" i="5"/>
  <c r="P250" i="5"/>
  <c r="O250" i="5"/>
  <c r="Q249" i="5"/>
  <c r="P249" i="5"/>
  <c r="O249" i="5"/>
  <c r="Q248" i="5"/>
  <c r="P248" i="5"/>
  <c r="O248" i="5"/>
  <c r="Q247" i="5"/>
  <c r="P247" i="5"/>
  <c r="O247" i="5"/>
  <c r="Q246" i="5"/>
  <c r="P246" i="5"/>
  <c r="O246" i="5"/>
  <c r="Q245" i="5"/>
  <c r="P245" i="5"/>
  <c r="O245" i="5"/>
  <c r="Q244" i="5"/>
  <c r="P244" i="5"/>
  <c r="O244" i="5"/>
  <c r="Q243" i="5"/>
  <c r="P243" i="5"/>
  <c r="O243" i="5"/>
  <c r="Q242" i="5"/>
  <c r="P242" i="5"/>
  <c r="O242" i="5"/>
  <c r="Q241" i="5"/>
  <c r="P241" i="5"/>
  <c r="O241" i="5"/>
  <c r="Q240" i="5"/>
  <c r="P240" i="5"/>
  <c r="O240" i="5"/>
  <c r="Q239" i="5"/>
  <c r="P239" i="5"/>
  <c r="O239" i="5"/>
  <c r="Q238" i="5"/>
  <c r="P238" i="5"/>
  <c r="O238" i="5"/>
  <c r="Q237" i="5"/>
  <c r="P237" i="5"/>
  <c r="O237" i="5"/>
  <c r="Q236" i="5"/>
  <c r="P236" i="5"/>
  <c r="O236" i="5"/>
  <c r="Q235" i="5"/>
  <c r="P235" i="5"/>
  <c r="O235" i="5"/>
  <c r="Q234" i="5"/>
  <c r="P234" i="5"/>
  <c r="O234" i="5"/>
  <c r="Q233" i="5"/>
  <c r="P233" i="5"/>
  <c r="O233" i="5"/>
  <c r="Q232" i="5"/>
  <c r="P232" i="5"/>
  <c r="O232" i="5"/>
  <c r="Q231" i="5"/>
  <c r="P231" i="5"/>
  <c r="O231" i="5"/>
  <c r="Q230" i="5"/>
  <c r="P230" i="5"/>
  <c r="O230" i="5"/>
  <c r="Q229" i="5"/>
  <c r="P229" i="5"/>
  <c r="O229" i="5"/>
  <c r="Q228" i="5"/>
  <c r="P228" i="5"/>
  <c r="O228" i="5"/>
  <c r="Q227" i="5"/>
  <c r="P227" i="5"/>
  <c r="O227" i="5"/>
  <c r="Q226" i="5"/>
  <c r="P226" i="5"/>
  <c r="O226" i="5"/>
  <c r="Q225" i="5"/>
  <c r="P225" i="5"/>
  <c r="O225" i="5"/>
  <c r="Q224" i="5"/>
  <c r="P224" i="5"/>
  <c r="O224" i="5"/>
  <c r="Q223" i="5"/>
  <c r="P223" i="5"/>
  <c r="O223" i="5"/>
  <c r="Q222" i="5"/>
  <c r="P222" i="5"/>
  <c r="O222" i="5"/>
  <c r="Q221" i="5"/>
  <c r="P221" i="5"/>
  <c r="O221" i="5"/>
  <c r="Q220" i="5"/>
  <c r="P220" i="5"/>
  <c r="O220" i="5"/>
  <c r="Q219" i="5"/>
  <c r="P219" i="5"/>
  <c r="O219" i="5"/>
  <c r="Q218" i="5"/>
  <c r="P218" i="5"/>
  <c r="O218" i="5"/>
  <c r="Q217" i="5"/>
  <c r="P217" i="5"/>
  <c r="O217" i="5"/>
  <c r="Q216" i="5"/>
  <c r="P216" i="5"/>
  <c r="O216" i="5"/>
  <c r="Q215" i="5"/>
  <c r="P215" i="5"/>
  <c r="O215" i="5"/>
  <c r="Q214" i="5"/>
  <c r="P214" i="5"/>
  <c r="O214" i="5"/>
  <c r="Q213" i="5"/>
  <c r="P213" i="5"/>
  <c r="O213" i="5"/>
  <c r="Q212" i="5"/>
  <c r="P212" i="5"/>
  <c r="O212" i="5"/>
  <c r="Q211" i="5"/>
  <c r="P211" i="5"/>
  <c r="O211" i="5"/>
  <c r="Q210" i="5"/>
  <c r="P210" i="5"/>
  <c r="O210" i="5"/>
  <c r="Q209" i="5"/>
  <c r="P209" i="5"/>
  <c r="O209" i="5"/>
  <c r="Q208" i="5"/>
  <c r="P208" i="5"/>
  <c r="O208" i="5"/>
  <c r="Q207" i="5"/>
  <c r="P207" i="5"/>
  <c r="O207" i="5"/>
  <c r="Q206" i="5"/>
  <c r="P206" i="5"/>
  <c r="O206" i="5"/>
  <c r="Q205" i="5"/>
  <c r="P205" i="5"/>
  <c r="O205" i="5"/>
  <c r="Q204" i="5"/>
  <c r="P204" i="5"/>
  <c r="O204" i="5"/>
  <c r="Q203" i="5"/>
  <c r="P203" i="5"/>
  <c r="O203" i="5"/>
  <c r="Q202" i="5"/>
  <c r="P202" i="5"/>
  <c r="O202" i="5"/>
  <c r="Q201" i="5"/>
  <c r="P201" i="5"/>
  <c r="O201" i="5"/>
  <c r="Q200" i="5"/>
  <c r="P200" i="5"/>
  <c r="O200" i="5"/>
  <c r="Q199" i="5"/>
  <c r="P199" i="5"/>
  <c r="O199" i="5"/>
  <c r="Q198" i="5"/>
  <c r="P198" i="5"/>
  <c r="O198" i="5"/>
  <c r="Q197" i="5"/>
  <c r="P197" i="5"/>
  <c r="O197" i="5"/>
  <c r="Q196" i="5"/>
  <c r="P196" i="5"/>
  <c r="O196" i="5"/>
  <c r="Q195" i="5"/>
  <c r="P195" i="5"/>
  <c r="O195" i="5"/>
  <c r="Q194" i="5"/>
  <c r="P194" i="5"/>
  <c r="O194" i="5"/>
  <c r="Q193" i="5"/>
  <c r="P193" i="5"/>
  <c r="O193" i="5"/>
  <c r="Q192" i="5"/>
  <c r="P192" i="5"/>
  <c r="O192" i="5"/>
  <c r="Q191" i="5"/>
  <c r="P191" i="5"/>
  <c r="O191" i="5"/>
  <c r="Q190" i="5"/>
  <c r="P190" i="5"/>
  <c r="O190" i="5"/>
  <c r="Q189" i="5"/>
  <c r="P189" i="5"/>
  <c r="O189" i="5"/>
  <c r="Q188" i="5"/>
  <c r="P188" i="5"/>
  <c r="O188" i="5"/>
  <c r="Q187" i="5"/>
  <c r="P187" i="5"/>
  <c r="O187" i="5"/>
  <c r="Q186" i="5"/>
  <c r="P186" i="5"/>
  <c r="O186" i="5"/>
  <c r="Q185" i="5"/>
  <c r="P185" i="5"/>
  <c r="O185" i="5"/>
  <c r="Q184" i="5"/>
  <c r="P184" i="5"/>
  <c r="O184" i="5"/>
  <c r="Q183" i="5"/>
  <c r="P183" i="5"/>
  <c r="O183" i="5"/>
  <c r="Q182" i="5"/>
  <c r="P182" i="5"/>
  <c r="O182" i="5"/>
  <c r="Q181" i="5"/>
  <c r="P181" i="5"/>
  <c r="O181" i="5"/>
  <c r="Q180" i="5"/>
  <c r="P180" i="5"/>
  <c r="O180" i="5"/>
  <c r="Q179" i="5"/>
  <c r="P179" i="5"/>
  <c r="O179" i="5"/>
  <c r="Q178" i="5"/>
  <c r="P178" i="5"/>
  <c r="O178" i="5"/>
  <c r="Q177" i="5"/>
  <c r="P177" i="5"/>
  <c r="O177" i="5"/>
  <c r="Q176" i="5"/>
  <c r="P176" i="5"/>
  <c r="O176" i="5"/>
  <c r="Q175" i="5"/>
  <c r="P175" i="5"/>
  <c r="O175" i="5"/>
  <c r="Q174" i="5"/>
  <c r="P174" i="5"/>
  <c r="O174" i="5"/>
  <c r="Q173" i="5"/>
  <c r="P173" i="5"/>
  <c r="O173" i="5"/>
  <c r="Q172" i="5"/>
  <c r="P172" i="5"/>
  <c r="O172" i="5"/>
  <c r="Q171" i="5"/>
  <c r="P171" i="5"/>
  <c r="O171" i="5"/>
  <c r="Q170" i="5"/>
  <c r="P170" i="5"/>
  <c r="O170" i="5"/>
  <c r="Q169" i="5"/>
  <c r="P169" i="5"/>
  <c r="O169" i="5"/>
  <c r="Q168" i="5"/>
  <c r="P168" i="5"/>
  <c r="O168" i="5"/>
  <c r="Q167" i="5"/>
  <c r="P167" i="5"/>
  <c r="O167" i="5"/>
  <c r="Q166" i="5"/>
  <c r="P166" i="5"/>
  <c r="O166" i="5"/>
  <c r="Q165" i="5"/>
  <c r="P165" i="5"/>
  <c r="O165" i="5"/>
  <c r="Q164" i="5"/>
  <c r="P164" i="5"/>
  <c r="O164" i="5"/>
  <c r="Q163" i="5"/>
  <c r="P163" i="5"/>
  <c r="O163" i="5"/>
  <c r="Q162" i="5"/>
  <c r="P162" i="5"/>
  <c r="O162" i="5"/>
  <c r="Q161" i="5"/>
  <c r="P161" i="5"/>
  <c r="O161" i="5"/>
  <c r="Q160" i="5"/>
  <c r="P160" i="5"/>
  <c r="O160" i="5"/>
  <c r="Q159" i="5"/>
  <c r="P159" i="5"/>
  <c r="O159" i="5"/>
  <c r="Q158" i="5"/>
  <c r="P158" i="5"/>
  <c r="O158" i="5"/>
  <c r="Q157" i="5"/>
  <c r="P157" i="5"/>
  <c r="O157" i="5"/>
  <c r="Q156" i="5"/>
  <c r="P156" i="5"/>
  <c r="O156" i="5"/>
  <c r="Q155" i="5"/>
  <c r="P155" i="5"/>
  <c r="O155" i="5"/>
  <c r="Q154" i="5"/>
  <c r="P154" i="5"/>
  <c r="O154" i="5"/>
  <c r="Q153" i="5"/>
  <c r="P153" i="5"/>
  <c r="O153" i="5"/>
  <c r="Q152" i="5"/>
  <c r="P152" i="5"/>
  <c r="O152" i="5"/>
  <c r="Q151" i="5"/>
  <c r="P151" i="5"/>
  <c r="O151" i="5"/>
  <c r="Q150" i="5"/>
  <c r="P150" i="5"/>
  <c r="O150" i="5"/>
  <c r="Q149" i="5"/>
  <c r="P149" i="5"/>
  <c r="O149" i="5"/>
  <c r="Q148" i="5"/>
  <c r="P148" i="5"/>
  <c r="O148" i="5"/>
  <c r="Q147" i="5"/>
  <c r="P147" i="5"/>
  <c r="O147" i="5"/>
  <c r="Q146" i="5"/>
  <c r="P146" i="5"/>
  <c r="O146" i="5"/>
  <c r="Q145" i="5"/>
  <c r="P145" i="5"/>
  <c r="O145" i="5"/>
  <c r="Q144" i="5"/>
  <c r="P144" i="5"/>
  <c r="O144" i="5"/>
  <c r="Q143" i="5"/>
  <c r="P143" i="5"/>
  <c r="O143" i="5"/>
  <c r="Q142" i="5"/>
  <c r="P142" i="5"/>
  <c r="O142" i="5"/>
  <c r="Q141" i="5"/>
  <c r="P141" i="5"/>
  <c r="O141" i="5"/>
  <c r="Q140" i="5"/>
  <c r="P140" i="5"/>
  <c r="O140" i="5"/>
  <c r="Q139" i="5"/>
  <c r="P139" i="5"/>
  <c r="O139" i="5"/>
  <c r="Q138" i="5"/>
  <c r="P138" i="5"/>
  <c r="O138" i="5"/>
  <c r="Q137" i="5"/>
  <c r="P137" i="5"/>
  <c r="O137" i="5"/>
  <c r="Q136" i="5"/>
  <c r="P136" i="5"/>
  <c r="O136" i="5"/>
  <c r="Q135" i="5"/>
  <c r="P135" i="5"/>
  <c r="O135" i="5"/>
  <c r="Q134" i="5"/>
  <c r="P134" i="5"/>
  <c r="O134" i="5"/>
  <c r="Q133" i="5"/>
  <c r="P133" i="5"/>
  <c r="O133" i="5"/>
  <c r="Q132" i="5"/>
  <c r="P132" i="5"/>
  <c r="O132" i="5"/>
  <c r="Q131" i="5"/>
  <c r="P131" i="5"/>
  <c r="O131" i="5"/>
  <c r="Q130" i="5"/>
  <c r="P130" i="5"/>
  <c r="O130" i="5"/>
  <c r="Q129" i="5"/>
  <c r="P129" i="5"/>
  <c r="O129" i="5"/>
  <c r="Q128" i="5"/>
  <c r="P128" i="5"/>
  <c r="O128" i="5"/>
  <c r="Q127" i="5"/>
  <c r="P127" i="5"/>
  <c r="O127" i="5"/>
  <c r="Q126" i="5"/>
  <c r="P126" i="5"/>
  <c r="O126" i="5"/>
  <c r="Q125" i="5"/>
  <c r="P125" i="5"/>
  <c r="O125" i="5"/>
  <c r="Q124" i="5"/>
  <c r="P124" i="5"/>
  <c r="O124" i="5"/>
  <c r="Q123" i="5"/>
  <c r="P123" i="5"/>
  <c r="O123" i="5"/>
  <c r="Q122" i="5"/>
  <c r="P122" i="5"/>
  <c r="O122" i="5"/>
  <c r="Q121" i="5"/>
  <c r="P121" i="5"/>
  <c r="O121" i="5"/>
  <c r="Q120" i="5"/>
  <c r="P120" i="5"/>
  <c r="O120" i="5"/>
  <c r="Q119" i="5"/>
  <c r="P119" i="5"/>
  <c r="O119" i="5"/>
  <c r="Q118" i="5"/>
  <c r="P118" i="5"/>
  <c r="O118" i="5"/>
  <c r="Q117" i="5"/>
  <c r="P117" i="5"/>
  <c r="O117" i="5"/>
  <c r="Q116" i="5"/>
  <c r="P116" i="5"/>
  <c r="O116" i="5"/>
  <c r="Q115" i="5"/>
  <c r="P115" i="5"/>
  <c r="O115" i="5"/>
  <c r="Q114" i="5"/>
  <c r="P114" i="5"/>
  <c r="O114" i="5"/>
  <c r="Q113" i="5"/>
  <c r="P113" i="5"/>
  <c r="O113" i="5"/>
  <c r="Q112" i="5"/>
  <c r="P112" i="5"/>
  <c r="O112" i="5"/>
  <c r="Q111" i="5"/>
  <c r="P111" i="5"/>
  <c r="O111" i="5"/>
  <c r="Q110" i="5"/>
  <c r="P110" i="5"/>
  <c r="O110" i="5"/>
  <c r="Q109" i="5"/>
  <c r="P109" i="5"/>
  <c r="O109" i="5"/>
  <c r="Q108" i="5"/>
  <c r="P108" i="5"/>
  <c r="O108" i="5"/>
  <c r="Q107" i="5"/>
  <c r="P107" i="5"/>
  <c r="O107" i="5"/>
  <c r="Q106" i="5"/>
  <c r="P106" i="5"/>
  <c r="O106" i="5"/>
  <c r="Q105" i="5"/>
  <c r="P105" i="5"/>
  <c r="O105" i="5"/>
  <c r="Q104" i="5"/>
  <c r="P104" i="5"/>
  <c r="O104" i="5"/>
  <c r="Q103" i="5"/>
  <c r="P103" i="5"/>
  <c r="O103" i="5"/>
  <c r="Q102" i="5"/>
  <c r="P102" i="5"/>
  <c r="O102" i="5"/>
  <c r="Q101" i="5"/>
  <c r="P101" i="5"/>
  <c r="O101" i="5"/>
  <c r="Q100" i="5"/>
  <c r="P100" i="5"/>
  <c r="O100" i="5"/>
  <c r="Q99" i="5"/>
  <c r="P99" i="5"/>
  <c r="O99" i="5"/>
  <c r="Q98" i="5"/>
  <c r="P98" i="5"/>
  <c r="O98" i="5"/>
  <c r="Q97" i="5"/>
  <c r="P97" i="5"/>
  <c r="O97" i="5"/>
  <c r="Q96" i="5"/>
  <c r="P96" i="5"/>
  <c r="O96" i="5"/>
  <c r="Q95" i="5"/>
  <c r="P95" i="5"/>
  <c r="O95" i="5"/>
  <c r="Q94" i="5"/>
  <c r="P94" i="5"/>
  <c r="O94" i="5"/>
  <c r="Q93" i="5"/>
  <c r="P93" i="5"/>
  <c r="O93" i="5"/>
  <c r="Q92" i="5"/>
  <c r="P92" i="5"/>
  <c r="O92" i="5"/>
  <c r="Q91" i="5"/>
  <c r="P91" i="5"/>
  <c r="O91" i="5"/>
  <c r="Q90" i="5"/>
  <c r="P90" i="5"/>
  <c r="O90" i="5"/>
  <c r="Q89" i="5"/>
  <c r="P89" i="5"/>
  <c r="O89" i="5"/>
  <c r="Q88" i="5"/>
  <c r="P88" i="5"/>
  <c r="O88" i="5"/>
  <c r="Q87" i="5"/>
  <c r="P87" i="5"/>
  <c r="O87" i="5"/>
  <c r="Q86" i="5"/>
  <c r="P86" i="5"/>
  <c r="O86" i="5"/>
  <c r="Q85" i="5"/>
  <c r="P85" i="5"/>
  <c r="O85" i="5"/>
  <c r="Q84" i="5"/>
  <c r="P84" i="5"/>
  <c r="O84" i="5"/>
  <c r="Q83" i="5"/>
  <c r="P83" i="5"/>
  <c r="O83" i="5"/>
  <c r="Q82" i="5"/>
  <c r="P82" i="5"/>
  <c r="O82" i="5"/>
  <c r="Q81" i="5"/>
  <c r="P81" i="5"/>
  <c r="O81" i="5"/>
  <c r="Q80" i="5"/>
  <c r="P80" i="5"/>
  <c r="O80" i="5"/>
  <c r="Q79" i="5"/>
  <c r="P79" i="5"/>
  <c r="O79" i="5"/>
  <c r="Q78" i="5"/>
  <c r="P78" i="5"/>
  <c r="O78" i="5"/>
  <c r="Q77" i="5"/>
  <c r="P77" i="5"/>
  <c r="O77" i="5"/>
  <c r="Q76" i="5"/>
  <c r="P76" i="5"/>
  <c r="O76" i="5"/>
  <c r="Q75" i="5"/>
  <c r="P75" i="5"/>
  <c r="O75" i="5"/>
  <c r="Q74" i="5"/>
  <c r="P74" i="5"/>
  <c r="O74" i="5"/>
  <c r="Q73" i="5"/>
  <c r="P73" i="5"/>
  <c r="O73" i="5"/>
  <c r="Q72" i="5"/>
  <c r="P72" i="5"/>
  <c r="O72" i="5"/>
  <c r="Q71" i="5"/>
  <c r="P71" i="5"/>
  <c r="O71" i="5"/>
  <c r="Q70" i="5"/>
  <c r="P70" i="5"/>
  <c r="O70" i="5"/>
  <c r="Q69" i="5"/>
  <c r="P69" i="5"/>
  <c r="O69" i="5"/>
  <c r="Q68" i="5"/>
  <c r="P68" i="5"/>
  <c r="O68" i="5"/>
  <c r="Q67" i="5"/>
  <c r="P67" i="5"/>
  <c r="O67" i="5"/>
  <c r="Q66" i="5"/>
  <c r="P66" i="5"/>
  <c r="O66" i="5"/>
  <c r="Q65" i="5"/>
  <c r="P65" i="5"/>
  <c r="O65" i="5"/>
  <c r="Q64" i="5"/>
  <c r="P64" i="5"/>
  <c r="O64" i="5"/>
  <c r="Q63" i="5"/>
  <c r="P63" i="5"/>
  <c r="O63" i="5"/>
  <c r="Q62" i="5"/>
  <c r="P62" i="5"/>
  <c r="O62" i="5"/>
  <c r="Q61" i="5"/>
  <c r="P61" i="5"/>
  <c r="O61" i="5"/>
  <c r="Q60" i="5"/>
  <c r="P60" i="5"/>
  <c r="O60" i="5"/>
  <c r="Q59" i="5"/>
  <c r="P59" i="5"/>
  <c r="O59" i="5"/>
  <c r="Q58" i="5"/>
  <c r="P58" i="5"/>
  <c r="O58" i="5"/>
  <c r="Q57" i="5"/>
  <c r="P57" i="5"/>
  <c r="O57" i="5"/>
  <c r="Q56" i="5"/>
  <c r="P56" i="5"/>
  <c r="O56" i="5"/>
  <c r="Q55" i="5"/>
  <c r="P55" i="5"/>
  <c r="O55" i="5"/>
  <c r="Q54" i="5"/>
  <c r="P54" i="5"/>
  <c r="O54" i="5"/>
  <c r="Q53" i="5"/>
  <c r="P53" i="5"/>
  <c r="O53" i="5"/>
  <c r="Q52" i="5"/>
  <c r="P52" i="5"/>
  <c r="O52" i="5"/>
  <c r="Q51" i="5"/>
  <c r="P51" i="5"/>
  <c r="O51" i="5"/>
  <c r="Q50" i="5"/>
  <c r="P50" i="5"/>
  <c r="O50" i="5"/>
  <c r="Q49" i="5"/>
  <c r="P49" i="5"/>
  <c r="O49" i="5"/>
  <c r="Q48" i="5"/>
  <c r="P48" i="5"/>
  <c r="O48" i="5"/>
  <c r="Q47" i="5"/>
  <c r="P47" i="5"/>
  <c r="O47" i="5"/>
  <c r="Q46" i="5"/>
  <c r="P46" i="5"/>
  <c r="O46" i="5"/>
  <c r="Q45" i="5"/>
  <c r="P45" i="5"/>
  <c r="O45" i="5"/>
  <c r="Q44" i="5"/>
  <c r="P44" i="5"/>
  <c r="O44" i="5"/>
  <c r="Q43" i="5"/>
  <c r="P43" i="5"/>
  <c r="O43" i="5"/>
  <c r="Q42" i="5"/>
  <c r="P42" i="5"/>
  <c r="O42" i="5"/>
  <c r="Q41" i="5"/>
  <c r="P41" i="5"/>
  <c r="O41" i="5"/>
  <c r="Q40" i="5"/>
  <c r="P40" i="5"/>
  <c r="O40" i="5"/>
  <c r="Q39" i="5"/>
  <c r="P39" i="5"/>
  <c r="O39" i="5"/>
  <c r="Q38" i="5"/>
  <c r="P38" i="5"/>
  <c r="O38" i="5"/>
  <c r="Q37" i="5"/>
  <c r="P37" i="5"/>
  <c r="O37" i="5"/>
  <c r="Q36" i="5"/>
  <c r="P36" i="5"/>
  <c r="O36" i="5"/>
  <c r="Q35" i="5"/>
  <c r="P35" i="5"/>
  <c r="O35" i="5"/>
  <c r="Q34" i="5"/>
  <c r="P34" i="5"/>
  <c r="O34" i="5"/>
  <c r="Q33" i="5"/>
  <c r="P33" i="5"/>
  <c r="O33" i="5"/>
  <c r="Q32" i="5"/>
  <c r="P32" i="5"/>
  <c r="O32" i="5"/>
  <c r="Q31" i="5"/>
  <c r="P31" i="5"/>
  <c r="O31" i="5"/>
  <c r="Q30" i="5"/>
  <c r="P30" i="5"/>
  <c r="O30" i="5"/>
  <c r="Q29" i="5"/>
  <c r="P29" i="5"/>
  <c r="O29" i="5"/>
  <c r="Q28" i="5"/>
  <c r="P28" i="5"/>
  <c r="O28" i="5"/>
  <c r="Q27" i="5"/>
  <c r="P27" i="5"/>
  <c r="O27" i="5"/>
  <c r="Q26" i="5"/>
  <c r="P26" i="5"/>
  <c r="O26" i="5"/>
  <c r="Q25" i="5"/>
  <c r="P25" i="5"/>
  <c r="O25" i="5"/>
  <c r="Q24" i="5"/>
  <c r="P24" i="5"/>
  <c r="O24" i="5"/>
  <c r="Q23" i="5"/>
  <c r="P23" i="5"/>
  <c r="O23" i="5"/>
  <c r="Q22" i="5"/>
  <c r="P22" i="5"/>
  <c r="O22" i="5"/>
  <c r="Q21" i="5"/>
  <c r="P21" i="5"/>
  <c r="O21" i="5"/>
  <c r="Q20" i="5"/>
  <c r="P20" i="5"/>
  <c r="O20" i="5"/>
  <c r="Q19" i="5"/>
  <c r="P19" i="5"/>
  <c r="O19" i="5"/>
  <c r="Q18" i="5"/>
  <c r="P18" i="5"/>
  <c r="O18" i="5"/>
  <c r="Q17" i="5"/>
  <c r="P17" i="5"/>
  <c r="O17" i="5"/>
  <c r="Q16" i="5"/>
  <c r="P16" i="5"/>
  <c r="O16" i="5"/>
  <c r="Q15" i="5"/>
  <c r="P15" i="5"/>
  <c r="O15" i="5"/>
  <c r="Q14" i="5"/>
  <c r="P14" i="5"/>
  <c r="O14" i="5"/>
  <c r="Q13" i="5"/>
  <c r="P13" i="5"/>
  <c r="O13" i="5"/>
  <c r="Q12" i="5"/>
  <c r="P12" i="5"/>
  <c r="O12" i="5"/>
  <c r="Q11" i="5"/>
  <c r="P11" i="5"/>
  <c r="O11" i="5"/>
  <c r="Q10" i="5"/>
  <c r="P10" i="5"/>
  <c r="O10" i="5"/>
  <c r="Q9" i="5"/>
  <c r="P9" i="5"/>
  <c r="O9" i="5"/>
  <c r="Q8" i="5"/>
  <c r="P8" i="5"/>
  <c r="O8" i="5"/>
  <c r="Q7" i="5"/>
  <c r="P7" i="5"/>
  <c r="O7" i="5"/>
  <c r="Q6" i="5"/>
  <c r="P6" i="5"/>
  <c r="O6" i="5"/>
  <c r="Q5" i="5"/>
  <c r="P5" i="5"/>
  <c r="O5" i="5"/>
  <c r="D42" i="4"/>
  <c r="D41" i="4"/>
  <c r="W33" i="5"/>
  <c r="D36" i="4" s="1"/>
  <c r="C36" i="4" s="1"/>
  <c r="W32" i="5"/>
  <c r="D35" i="4" s="1"/>
  <c r="W31" i="5"/>
  <c r="D34" i="4" s="1"/>
  <c r="W30" i="5"/>
  <c r="D33" i="4" s="1"/>
  <c r="W29" i="5"/>
  <c r="D32" i="4" s="1"/>
  <c r="W28" i="5"/>
  <c r="D31" i="4" s="1"/>
  <c r="W27" i="5"/>
  <c r="D30" i="4" s="1"/>
  <c r="W26" i="5"/>
  <c r="D29" i="4" s="1"/>
  <c r="W25" i="5"/>
  <c r="D28" i="4" s="1"/>
  <c r="W24" i="5"/>
  <c r="D27" i="4" s="1"/>
  <c r="AA21" i="5"/>
  <c r="W15" i="5"/>
  <c r="D18" i="4" s="1"/>
  <c r="C18" i="4" s="1"/>
  <c r="W14" i="5"/>
  <c r="D17" i="4" s="1"/>
  <c r="W13" i="5"/>
  <c r="D16" i="4" s="1"/>
  <c r="W12" i="5"/>
  <c r="D15" i="4" s="1"/>
  <c r="W8" i="5"/>
  <c r="D11" i="4" s="1"/>
  <c r="W7" i="5"/>
  <c r="D10" i="4" s="1"/>
  <c r="W6" i="5"/>
  <c r="D9" i="4" s="1"/>
  <c r="W5" i="5"/>
  <c r="D8" i="4" s="1"/>
  <c r="C8" i="4" s="1"/>
  <c r="AA36" i="5"/>
  <c r="AA34" i="5"/>
  <c r="C41" i="4"/>
  <c r="C23" i="4"/>
  <c r="Y36" i="5" l="1"/>
  <c r="Z36" i="5"/>
  <c r="X19" i="5"/>
  <c r="X21" i="5" s="1"/>
  <c r="X36" i="5" s="1"/>
  <c r="W16" i="5"/>
  <c r="C42" i="4"/>
  <c r="C43" i="4" s="1"/>
  <c r="D43" i="4"/>
  <c r="C27" i="4"/>
  <c r="C28" i="4"/>
  <c r="C29" i="4"/>
  <c r="C30" i="4"/>
  <c r="C15" i="4"/>
  <c r="C16" i="4"/>
  <c r="C17" i="4"/>
  <c r="D19" i="4"/>
  <c r="C9" i="4"/>
  <c r="C10" i="4"/>
  <c r="C11" i="4"/>
  <c r="C32" i="4"/>
  <c r="C33" i="4"/>
  <c r="C34" i="4"/>
  <c r="C35" i="4"/>
  <c r="C12" i="4" l="1"/>
  <c r="W9" i="5"/>
  <c r="W19" i="5" s="1"/>
  <c r="D12" i="4"/>
  <c r="D22" i="4" s="1"/>
  <c r="C19" i="4"/>
  <c r="W21" i="5" l="1"/>
  <c r="C22" i="4"/>
  <c r="C24" i="4" s="1"/>
  <c r="D24" i="4"/>
  <c r="W34" i="5" l="1"/>
  <c r="W36" i="5" s="1"/>
  <c r="C31" i="4"/>
  <c r="C37" i="4" s="1"/>
  <c r="D37" i="4"/>
  <c r="D39" i="4" s="1"/>
  <c r="D45" i="4" s="1"/>
  <c r="D4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Spencer Burton</author>
  </authors>
  <commentList>
    <comment ref="B167" authorId="0" shapeId="0" xr:uid="{BEC4A0CB-F15F-4BF3-8B20-D468F3D94180}">
      <text>
        <r>
          <rPr>
            <b/>
            <sz val="9"/>
            <color indexed="81"/>
            <rFont val="Tahoma"/>
            <family val="2"/>
          </rPr>
          <t>Spencer Burton:</t>
        </r>
        <r>
          <rPr>
            <sz val="9"/>
            <color indexed="81"/>
            <rFont val="Tahoma"/>
            <family val="2"/>
          </rPr>
          <t xml:space="preserve">
Bonus points to anyone who's ever heard of this site!</t>
        </r>
      </text>
    </comment>
  </commentList>
</comments>
</file>

<file path=xl/sharedStrings.xml><?xml version="1.0" encoding="utf-8"?>
<sst xmlns="http://schemas.openxmlformats.org/spreadsheetml/2006/main" count="656" uniqueCount="547">
  <si>
    <t>Period Ending</t>
  </si>
  <si>
    <t>REVENUE</t>
  </si>
  <si>
    <t>Rental Revenue</t>
  </si>
  <si>
    <t>Amount</t>
  </si>
  <si>
    <t>Vacant space at market rent</t>
  </si>
  <si>
    <t>Concessions</t>
  </si>
  <si>
    <t>Total Rental Revenue</t>
  </si>
  <si>
    <t>Actual rental Revenue in period</t>
  </si>
  <si>
    <t>Other Income</t>
  </si>
  <si>
    <t>Parking Income</t>
  </si>
  <si>
    <t>Total Other Income</t>
  </si>
  <si>
    <t>Effective Gross Revenue</t>
  </si>
  <si>
    <t>Gross Revenue</t>
  </si>
  <si>
    <t>Sum of other income and rental revenue</t>
  </si>
  <si>
    <t>General Vacancy and Credit Loss</t>
  </si>
  <si>
    <t>Additional vacancy taken on gross Revenue to account for unforeseen vacancy or credit loss; used in forecasted periods</t>
  </si>
  <si>
    <t>Total Effective Gross Revenue</t>
  </si>
  <si>
    <t>Gross revenue after adjusting for general vacancy and credit loss; commonly referred to as EGR</t>
  </si>
  <si>
    <t>OPERATING EXPENSES</t>
  </si>
  <si>
    <t>Repairs and Maintenance</t>
  </si>
  <si>
    <t>Expenses related to maintaining the general condition of the common areas</t>
  </si>
  <si>
    <t>Security</t>
  </si>
  <si>
    <t>Expenses related to securing the premises</t>
  </si>
  <si>
    <t>Landscaping</t>
  </si>
  <si>
    <t>Expenses related to maintaining the landscaping in the common areas</t>
  </si>
  <si>
    <t>Utilities</t>
  </si>
  <si>
    <t>Property Management</t>
  </si>
  <si>
    <t>Real Estate Taxes</t>
  </si>
  <si>
    <t>Real estate taxes levied by the local government</t>
  </si>
  <si>
    <t>Property and casualty insurance</t>
  </si>
  <si>
    <t>Total Operating Expenses</t>
  </si>
  <si>
    <t>NET OPERATING INCOME</t>
  </si>
  <si>
    <t>Effective gross income minus total operating expenses; commonly referred to as NOI</t>
  </si>
  <si>
    <t>CAPITAL EXPENDITURES</t>
  </si>
  <si>
    <t>Capital Improvements</t>
  </si>
  <si>
    <t>Expenditures with a depreciable life greater than one year (e.g. roof repair, structural repairs, etc)</t>
  </si>
  <si>
    <t>Capital Reserve</t>
  </si>
  <si>
    <t>Amount set aside for future capital improvements and/or leasing costs</t>
  </si>
  <si>
    <t>Total Capital Expenditures</t>
  </si>
  <si>
    <t>CASH FLOW FROM OPERATIONS</t>
  </si>
  <si>
    <t>Net operating income minus total capital expenditures; commonly referred to as CFO</t>
  </si>
  <si>
    <t>CASH FLOW AFTER FINANCING</t>
  </si>
  <si>
    <t>Cash flow from operations minus debt service and any ground lease payments, if applicable; commonly referred to as CFAF</t>
  </si>
  <si>
    <t>Debt Service</t>
  </si>
  <si>
    <t>Payment to lender(s); payment is principal + interest unless loan is interest-only; commonly referred to as DS</t>
  </si>
  <si>
    <t>Actual other income</t>
  </si>
  <si>
    <t>/Unit/Mo.</t>
  </si>
  <si>
    <t>Market Rent</t>
  </si>
  <si>
    <t>Total market rent</t>
  </si>
  <si>
    <t>Loss-to-Lease</t>
  </si>
  <si>
    <t>Difference between market rent and in-place rent</t>
  </si>
  <si>
    <t>Actual Vacancy &amp; Credit Loss</t>
  </si>
  <si>
    <t>Concessed space (e.g. free rent) at in-place rent</t>
  </si>
  <si>
    <t>RUBS</t>
  </si>
  <si>
    <t>Ratio Utility Billing; a method by which the landlord bills residents for the residents' pro rata share of utility costs</t>
  </si>
  <si>
    <t>Net income derived from charging residents for parking</t>
  </si>
  <si>
    <t>Storage Income</t>
  </si>
  <si>
    <t>Net income derived from renting on-site storage units</t>
  </si>
  <si>
    <t>Operating Expenses</t>
  </si>
  <si>
    <t>/Unit/Yr.</t>
  </si>
  <si>
    <t>Administrative</t>
  </si>
  <si>
    <t>Fee paid to professional property management; generally a percentage of EGR</t>
  </si>
  <si>
    <t>Advertising/Marketing</t>
  </si>
  <si>
    <t>Payroll</t>
  </si>
  <si>
    <t>Expenses related to salary and benefits for property management personnel</t>
  </si>
  <si>
    <t>Property Insurance</t>
  </si>
  <si>
    <t>Sum of operating expenses; commonly referred to as OpEx</t>
  </si>
  <si>
    <t>Electricity, gas, water, sewer, internet, and other utilities; generally only related to the common areas</t>
  </si>
  <si>
    <t>Other income including pet rent, application fees, amenities fees, cable and internet income, etc.</t>
  </si>
  <si>
    <t>Expenses related to the administration of the property</t>
  </si>
  <si>
    <t>Expenses related to marketing and advertising the property; may include locator fees</t>
  </si>
  <si>
    <t>Units</t>
  </si>
  <si>
    <t>MULTIFAMILY (STANDARD) - SUMMARY INCOME STATEMENT</t>
  </si>
  <si>
    <t>7999-9999</t>
  </si>
  <si>
    <t>TOTAL OPERATING EXPENSES</t>
  </si>
  <si>
    <t>7999-9998</t>
  </si>
  <si>
    <t xml:space="preserve">   Total Professional Services</t>
  </si>
  <si>
    <t>7399-9999</t>
  </si>
  <si>
    <t xml:space="preserve">      Employment Recruiting</t>
  </si>
  <si>
    <t>7300-0100</t>
  </si>
  <si>
    <t xml:space="preserve">      Eviction Legal Fees</t>
  </si>
  <si>
    <t>7300-0050</t>
  </si>
  <si>
    <t xml:space="preserve">   Professional Services</t>
  </si>
  <si>
    <t>7300-0000</t>
  </si>
  <si>
    <t xml:space="preserve">   Total Taxes</t>
  </si>
  <si>
    <t>7299-9999</t>
  </si>
  <si>
    <t xml:space="preserve">      Real Estate Taxes</t>
  </si>
  <si>
    <t>7200-0010</t>
  </si>
  <si>
    <t xml:space="preserve">   Taxes</t>
  </si>
  <si>
    <t>7200-0000</t>
  </si>
  <si>
    <t xml:space="preserve">   Total Management Fees</t>
  </si>
  <si>
    <t>7099-9999</t>
  </si>
  <si>
    <t xml:space="preserve">      Management Fees - #1</t>
  </si>
  <si>
    <t>7000-0010</t>
  </si>
  <si>
    <t xml:space="preserve">   Management Fees</t>
  </si>
  <si>
    <t>7000-0000</t>
  </si>
  <si>
    <t xml:space="preserve">   Total Redecorating</t>
  </si>
  <si>
    <t>6699-9999</t>
  </si>
  <si>
    <t xml:space="preserve">      Redec-Doors/Cabinets</t>
  </si>
  <si>
    <t>6600-0230</t>
  </si>
  <si>
    <t xml:space="preserve">      Redec-Carpet Replacement</t>
  </si>
  <si>
    <t>6600-0140</t>
  </si>
  <si>
    <t xml:space="preserve">      Redec-Carpet Cleaning</t>
  </si>
  <si>
    <t>6600-0130</t>
  </si>
  <si>
    <t xml:space="preserve">      Redec-Carpet/Tile</t>
  </si>
  <si>
    <t>6600-0110</t>
  </si>
  <si>
    <t xml:space="preserve">      Redec-Painting Contract</t>
  </si>
  <si>
    <t>6600-0050</t>
  </si>
  <si>
    <t xml:space="preserve">      Redec-Painting Supplies</t>
  </si>
  <si>
    <t>6600-0040</t>
  </si>
  <si>
    <t xml:space="preserve">      Redec-General Cleaning</t>
  </si>
  <si>
    <t>6600-0010</t>
  </si>
  <si>
    <t xml:space="preserve">   Redecorating</t>
  </si>
  <si>
    <t>6600-0000</t>
  </si>
  <si>
    <t xml:space="preserve">   Total Maintenance</t>
  </si>
  <si>
    <t>6599-9999</t>
  </si>
  <si>
    <t xml:space="preserve">      Uniforms - Maintenance</t>
  </si>
  <si>
    <t>6500-1550</t>
  </si>
  <si>
    <t xml:space="preserve">      Carpet Replacement</t>
  </si>
  <si>
    <t>6500-1500</t>
  </si>
  <si>
    <t xml:space="preserve">      Appliance Repair</t>
  </si>
  <si>
    <t>6500-1480</t>
  </si>
  <si>
    <t xml:space="preserve">      Appliance Supplies</t>
  </si>
  <si>
    <t>6500-1370</t>
  </si>
  <si>
    <t xml:space="preserve">      Appliances</t>
  </si>
  <si>
    <t>6500-1360</t>
  </si>
  <si>
    <t xml:space="preserve">      Alarm Expense</t>
  </si>
  <si>
    <t>6500-1110</t>
  </si>
  <si>
    <t xml:space="preserve">      Locks</t>
  </si>
  <si>
    <t>6500-1050</t>
  </si>
  <si>
    <t xml:space="preserve">      Keys</t>
  </si>
  <si>
    <t>6500-1040</t>
  </si>
  <si>
    <t xml:space="preserve">      Snow Removal/Parking Lot</t>
  </si>
  <si>
    <t>6500-0990</t>
  </si>
  <si>
    <t xml:space="preserve">      Security Life Safety</t>
  </si>
  <si>
    <t>6500-0930</t>
  </si>
  <si>
    <t xml:space="preserve">      Grounds</t>
  </si>
  <si>
    <t>6500-0830</t>
  </si>
  <si>
    <t xml:space="preserve">      Swimming Pool Supplies</t>
  </si>
  <si>
    <t>6500-0720</t>
  </si>
  <si>
    <t xml:space="preserve">      Swimming Pool</t>
  </si>
  <si>
    <t>6500-0710</t>
  </si>
  <si>
    <t xml:space="preserve">      Pest Control</t>
  </si>
  <si>
    <t>6500-0690</t>
  </si>
  <si>
    <t xml:space="preserve">      Small Equipment</t>
  </si>
  <si>
    <t>6500-0680</t>
  </si>
  <si>
    <t xml:space="preserve">      Cleaning Supplies - Interior</t>
  </si>
  <si>
    <t>6500-0630</t>
  </si>
  <si>
    <t xml:space="preserve">      Cleaning Supplies</t>
  </si>
  <si>
    <t>6500-0620</t>
  </si>
  <si>
    <t xml:space="preserve">      Housekeeping</t>
  </si>
  <si>
    <t>6500-0610</t>
  </si>
  <si>
    <t xml:space="preserve">      Misc. Supplies</t>
  </si>
  <si>
    <t>6500-0600</t>
  </si>
  <si>
    <t xml:space="preserve">      Signage Supplies</t>
  </si>
  <si>
    <t>6500-0590</t>
  </si>
  <si>
    <t xml:space="preserve">      Plumbing Supplies</t>
  </si>
  <si>
    <t>6500-0410</t>
  </si>
  <si>
    <t xml:space="preserve">      Plumbing</t>
  </si>
  <si>
    <t>6500-0400</t>
  </si>
  <si>
    <t xml:space="preserve">      Electrical Supplies</t>
  </si>
  <si>
    <t>6500-0380</t>
  </si>
  <si>
    <t xml:space="preserve">      Electrical</t>
  </si>
  <si>
    <t>6500-0360</t>
  </si>
  <si>
    <t xml:space="preserve">      Elevator Inspection Fees</t>
  </si>
  <si>
    <t>6500-0340</t>
  </si>
  <si>
    <t xml:space="preserve">      Garage</t>
  </si>
  <si>
    <t>6500-0150</t>
  </si>
  <si>
    <t xml:space="preserve">      General Property Supplies</t>
  </si>
  <si>
    <t>6500-0080</t>
  </si>
  <si>
    <t xml:space="preserve">      Lighting</t>
  </si>
  <si>
    <t>6500-0060</t>
  </si>
  <si>
    <t xml:space="preserve">      Building &amp; Structure</t>
  </si>
  <si>
    <t>6500-0010</t>
  </si>
  <si>
    <t xml:space="preserve">   Maintenance</t>
  </si>
  <si>
    <t>6500-0000</t>
  </si>
  <si>
    <t xml:space="preserve">   Total Administrative</t>
  </si>
  <si>
    <t>6499-9999</t>
  </si>
  <si>
    <t xml:space="preserve">      Uniforms - Administrative</t>
  </si>
  <si>
    <t>6400-0800</t>
  </si>
  <si>
    <t xml:space="preserve">      Computer Software</t>
  </si>
  <si>
    <t>6400-0480</t>
  </si>
  <si>
    <t xml:space="preserve">      Computer Expense</t>
  </si>
  <si>
    <t>6400-0470</t>
  </si>
  <si>
    <t xml:space="preserve">      Meals - Non Travel</t>
  </si>
  <si>
    <t>6400-0410</t>
  </si>
  <si>
    <t xml:space="preserve">      Travel &amp; Entertainment</t>
  </si>
  <si>
    <t>6400-0360</t>
  </si>
  <si>
    <t xml:space="preserve">      Employee Recognition</t>
  </si>
  <si>
    <t>6400-0320</t>
  </si>
  <si>
    <t xml:space="preserve">      Yardi CHECKscan</t>
  </si>
  <si>
    <t>6400-0312</t>
  </si>
  <si>
    <t xml:space="preserve">      Bank Charges/Credit Card Fees</t>
  </si>
  <si>
    <t>6400-0310</t>
  </si>
  <si>
    <t xml:space="preserve">      Credit Check</t>
  </si>
  <si>
    <t>6400-0270</t>
  </si>
  <si>
    <t xml:space="preserve">      Credit Bureau Fees</t>
  </si>
  <si>
    <t>6400-0260</t>
  </si>
  <si>
    <t xml:space="preserve">      Eviction/Legal Fees</t>
  </si>
  <si>
    <t>6400-0250</t>
  </si>
  <si>
    <t xml:space="preserve">      Training Travel</t>
  </si>
  <si>
    <t>6400-0240</t>
  </si>
  <si>
    <t xml:space="preserve">      Training &amp; Education</t>
  </si>
  <si>
    <t>6400-0230</t>
  </si>
  <si>
    <t xml:space="preserve">      Courtesy Patrol</t>
  </si>
  <si>
    <t>6400-0220</t>
  </si>
  <si>
    <t xml:space="preserve">      Copier Expense</t>
  </si>
  <si>
    <t>6400-0180</t>
  </si>
  <si>
    <t xml:space="preserve">      Printing</t>
  </si>
  <si>
    <t>6400-0170</t>
  </si>
  <si>
    <t xml:space="preserve">      Postage</t>
  </si>
  <si>
    <t>6400-0120</t>
  </si>
  <si>
    <t xml:space="preserve">      Office Equipment</t>
  </si>
  <si>
    <t>6400-0080</t>
  </si>
  <si>
    <t xml:space="preserve">      Office Supplies</t>
  </si>
  <si>
    <t>6400-0070</t>
  </si>
  <si>
    <t xml:space="preserve">      Answering Service</t>
  </si>
  <si>
    <t>6400-0040</t>
  </si>
  <si>
    <t xml:space="preserve">      Telephone</t>
  </si>
  <si>
    <t>6400-0010</t>
  </si>
  <si>
    <t xml:space="preserve">   Administrative</t>
  </si>
  <si>
    <t>6400-0000</t>
  </si>
  <si>
    <t xml:space="preserve">   Total Marketing</t>
  </si>
  <si>
    <t>6399-9999</t>
  </si>
  <si>
    <t xml:space="preserve">      SEO Program</t>
  </si>
  <si>
    <t>6300-0542</t>
  </si>
  <si>
    <t xml:space="preserve">      Other Mktg. - Non Adv.</t>
  </si>
  <si>
    <t>6300-0540</t>
  </si>
  <si>
    <t xml:space="preserve">      Model Maintenance</t>
  </si>
  <si>
    <t>6300-0460</t>
  </si>
  <si>
    <t xml:space="preserve">      Resident Retention</t>
  </si>
  <si>
    <t>6300-0420</t>
  </si>
  <si>
    <t xml:space="preserve">      Resident Referrals</t>
  </si>
  <si>
    <t>6300-0400</t>
  </si>
  <si>
    <t xml:space="preserve">      Prospect Refreshments</t>
  </si>
  <si>
    <t>6300-0390</t>
  </si>
  <si>
    <t xml:space="preserve">      Locator/Broker Fees</t>
  </si>
  <si>
    <t>6300-0370</t>
  </si>
  <si>
    <t xml:space="preserve">      PPC</t>
  </si>
  <si>
    <t>6300-0346</t>
  </si>
  <si>
    <t xml:space="preserve">      Marketing Promotions</t>
  </si>
  <si>
    <t>6300-0340</t>
  </si>
  <si>
    <t xml:space="preserve">      Marketing Supplies</t>
  </si>
  <si>
    <t>6300-0280</t>
  </si>
  <si>
    <t xml:space="preserve">      Resident Functions</t>
  </si>
  <si>
    <t>6300-0230</t>
  </si>
  <si>
    <t xml:space="preserve">      Dues, Memberships &amp; Sub.</t>
  </si>
  <si>
    <t>6300-0220</t>
  </si>
  <si>
    <t xml:space="preserve">      Inmuebles24.com</t>
  </si>
  <si>
    <t>6300-0210</t>
  </si>
  <si>
    <t xml:space="preserve">      Accounting Software</t>
  </si>
  <si>
    <t>6300-0160</t>
  </si>
  <si>
    <t xml:space="preserve">      Postage/Stationery/Miscellaneous</t>
  </si>
  <si>
    <t>6300-0110</t>
  </si>
  <si>
    <t xml:space="preserve">      Marketing - Radio</t>
  </si>
  <si>
    <t>6300-0060</t>
  </si>
  <si>
    <t xml:space="preserve">      Marketing - Internet</t>
  </si>
  <si>
    <t>6300-0050</t>
  </si>
  <si>
    <t xml:space="preserve">      Apt. Magazines/Guides</t>
  </si>
  <si>
    <t>6300-0030</t>
  </si>
  <si>
    <t xml:space="preserve">   Marketing</t>
  </si>
  <si>
    <t>6300-0000</t>
  </si>
  <si>
    <t xml:space="preserve">   Total Utility Expense</t>
  </si>
  <si>
    <t>6199-9999</t>
  </si>
  <si>
    <t xml:space="preserve">      Contract Utility Admin</t>
  </si>
  <si>
    <t>6100-0430</t>
  </si>
  <si>
    <t xml:space="preserve">      Reimbursed Trash Removal</t>
  </si>
  <si>
    <t>6100-0390</t>
  </si>
  <si>
    <t xml:space="preserve">      Reimbursed Electricity</t>
  </si>
  <si>
    <t>6100-0350</t>
  </si>
  <si>
    <t xml:space="preserve">      Cable Expense</t>
  </si>
  <si>
    <t>6100-0310</t>
  </si>
  <si>
    <t xml:space="preserve">      Trash Removal</t>
  </si>
  <si>
    <t>6100-0280</t>
  </si>
  <si>
    <t xml:space="preserve">      Water</t>
  </si>
  <si>
    <t>6100-0150</t>
  </si>
  <si>
    <t xml:space="preserve">      Gas - Model</t>
  </si>
  <si>
    <t>6100-0100</t>
  </si>
  <si>
    <t xml:space="preserve">      Gas</t>
  </si>
  <si>
    <t>6100-0080</t>
  </si>
  <si>
    <t xml:space="preserve">      Electricity - Model</t>
  </si>
  <si>
    <t>6100-0030</t>
  </si>
  <si>
    <t xml:space="preserve">      Electricity</t>
  </si>
  <si>
    <t>6100-0010</t>
  </si>
  <si>
    <t xml:space="preserve">   Utility Expense</t>
  </si>
  <si>
    <t>6100-0000</t>
  </si>
  <si>
    <t xml:space="preserve">   Total Property Insurance</t>
  </si>
  <si>
    <t>6099-9999</t>
  </si>
  <si>
    <t xml:space="preserve">      Property Insurance</t>
  </si>
  <si>
    <t>6000-0100</t>
  </si>
  <si>
    <t>Insurance</t>
  </si>
  <si>
    <t>6000-0000</t>
  </si>
  <si>
    <t xml:space="preserve">   Total Payroll</t>
  </si>
  <si>
    <t>5999-9999</t>
  </si>
  <si>
    <t xml:space="preserve">   Total Payroll Other</t>
  </si>
  <si>
    <t>5699-9999</t>
  </si>
  <si>
    <t xml:space="preserve">      New Hire Expense - Other</t>
  </si>
  <si>
    <t>5650-0060</t>
  </si>
  <si>
    <t xml:space="preserve">      Temporary Labor - Maint</t>
  </si>
  <si>
    <t>5650-0030</t>
  </si>
  <si>
    <t xml:space="preserve">   Payroll Other</t>
  </si>
  <si>
    <t>5650-0000</t>
  </si>
  <si>
    <t xml:space="preserve">   Total Workers Compensation</t>
  </si>
  <si>
    <t>5649-9999</t>
  </si>
  <si>
    <t xml:space="preserve">      Workers Comp - Grounds</t>
  </si>
  <si>
    <t>5600-0050</t>
  </si>
  <si>
    <t xml:space="preserve">      Workers Comp - Maintenance</t>
  </si>
  <si>
    <t>5600-0030</t>
  </si>
  <si>
    <t xml:space="preserve">      Workers Comp - Leasing</t>
  </si>
  <si>
    <t>5600-0020</t>
  </si>
  <si>
    <t xml:space="preserve">      Workers Comp - Administrative</t>
  </si>
  <si>
    <t>5600-0010</t>
  </si>
  <si>
    <t xml:space="preserve">   Workers Compensation</t>
  </si>
  <si>
    <t>5600-0000</t>
  </si>
  <si>
    <t xml:space="preserve">   Total 401K Contribution</t>
  </si>
  <si>
    <t>5599-9999</t>
  </si>
  <si>
    <t xml:space="preserve">      401k - Grounds</t>
  </si>
  <si>
    <t>5550-0050</t>
  </si>
  <si>
    <t xml:space="preserve">      401k - Maintenance</t>
  </si>
  <si>
    <t>5550-0030</t>
  </si>
  <si>
    <t xml:space="preserve">      401k - Leasing</t>
  </si>
  <si>
    <t>5550-0020</t>
  </si>
  <si>
    <t xml:space="preserve">      401k - Administrative</t>
  </si>
  <si>
    <t>5550-0010</t>
  </si>
  <si>
    <t xml:space="preserve">   401k Contribution</t>
  </si>
  <si>
    <t>5550-0000</t>
  </si>
  <si>
    <t xml:space="preserve">   Total Insurance Benefits</t>
  </si>
  <si>
    <t>5549-9999</t>
  </si>
  <si>
    <t xml:space="preserve">      Insurance Benefits - Maintenance</t>
  </si>
  <si>
    <t>5500-0030</t>
  </si>
  <si>
    <t xml:space="preserve">      Insurance Benefits - Administrative</t>
  </si>
  <si>
    <t>5500-0010</t>
  </si>
  <si>
    <t xml:space="preserve">   Insurance Benefits</t>
  </si>
  <si>
    <t>5500-0000</t>
  </si>
  <si>
    <t xml:space="preserve">   Total Payroll Taxes</t>
  </si>
  <si>
    <t>5499-9999</t>
  </si>
  <si>
    <t xml:space="preserve">      Grounds - SUTA</t>
  </si>
  <si>
    <t>5450-0150</t>
  </si>
  <si>
    <t xml:space="preserve">      Grounds - FICA</t>
  </si>
  <si>
    <t>5450-0130</t>
  </si>
  <si>
    <t xml:space="preserve">      Maintenance - SUTA</t>
  </si>
  <si>
    <t>5450-0090</t>
  </si>
  <si>
    <t xml:space="preserve">      Maintenance - FUTA</t>
  </si>
  <si>
    <t>5450-0080</t>
  </si>
  <si>
    <t xml:space="preserve">      Maintenance - FICA</t>
  </si>
  <si>
    <t>5450-0070</t>
  </si>
  <si>
    <t xml:space="preserve">      Leasing - SUTA</t>
  </si>
  <si>
    <t>5450-0060</t>
  </si>
  <si>
    <t xml:space="preserve">      Leasing - FUTA</t>
  </si>
  <si>
    <t>5450-0050</t>
  </si>
  <si>
    <t xml:space="preserve">      Leasing - FICA</t>
  </si>
  <si>
    <t>5450-0040</t>
  </si>
  <si>
    <t xml:space="preserve">      Administrative - SUTA</t>
  </si>
  <si>
    <t>5450-0030</t>
  </si>
  <si>
    <t xml:space="preserve">      Administrative - FUTA</t>
  </si>
  <si>
    <t>5450-0020</t>
  </si>
  <si>
    <t xml:space="preserve">      Administrative - FICA</t>
  </si>
  <si>
    <t>5450-0010</t>
  </si>
  <si>
    <t xml:space="preserve">   Payroll Taxes</t>
  </si>
  <si>
    <t>5450-0000</t>
  </si>
  <si>
    <t xml:space="preserve">   Total Check Processing Fees</t>
  </si>
  <si>
    <t>5449-9999</t>
  </si>
  <si>
    <t xml:space="preserve">      Ck Processing - Grounds</t>
  </si>
  <si>
    <t>5400-0050</t>
  </si>
  <si>
    <t xml:space="preserve">      Ck Processing - Maintenance</t>
  </si>
  <si>
    <t>5400-0030</t>
  </si>
  <si>
    <t xml:space="preserve">      Ck Processing - Leasing</t>
  </si>
  <si>
    <t>5400-0020</t>
  </si>
  <si>
    <t xml:space="preserve">      Ck Processing - Administrative</t>
  </si>
  <si>
    <t>5400-0010</t>
  </si>
  <si>
    <t xml:space="preserve">   Check Processing Fees</t>
  </si>
  <si>
    <t>5400-0000</t>
  </si>
  <si>
    <t xml:space="preserve">   Total Bonus</t>
  </si>
  <si>
    <t>5299-9999</t>
  </si>
  <si>
    <t xml:space="preserve">      Bonus - Maintenance - Quarterly</t>
  </si>
  <si>
    <t>5250-0110</t>
  </si>
  <si>
    <t xml:space="preserve">      Bonus - Maintenance - Monthly</t>
  </si>
  <si>
    <t>5250-0090</t>
  </si>
  <si>
    <t xml:space="preserve">      Bonus - Leasing - Quarterly</t>
  </si>
  <si>
    <t>5250-0070</t>
  </si>
  <si>
    <t xml:space="preserve">      Bonus - Leasing - Commissions</t>
  </si>
  <si>
    <t>5250-0060</t>
  </si>
  <si>
    <t xml:space="preserve">      Bonus - Administrative - Quarterly</t>
  </si>
  <si>
    <t>5250-0030</t>
  </si>
  <si>
    <t xml:space="preserve">      Bonus - Administrative - Commissions</t>
  </si>
  <si>
    <t>5250-0020</t>
  </si>
  <si>
    <t xml:space="preserve">      Bonus - Administrative - Monthly</t>
  </si>
  <si>
    <t>5250-0010</t>
  </si>
  <si>
    <t xml:space="preserve">   Bonus</t>
  </si>
  <si>
    <t>5250-0000</t>
  </si>
  <si>
    <t xml:space="preserve">   Total Overtime</t>
  </si>
  <si>
    <t>5249-9999</t>
  </si>
  <si>
    <t xml:space="preserve">      Overtime - Maintenance</t>
  </si>
  <si>
    <t>5200-0030</t>
  </si>
  <si>
    <t xml:space="preserve">      Overtime - Leasing</t>
  </si>
  <si>
    <t>5200-0020</t>
  </si>
  <si>
    <t xml:space="preserve">      Overtime - Administrative</t>
  </si>
  <si>
    <t>5200-0010</t>
  </si>
  <si>
    <t xml:space="preserve">   Overtime</t>
  </si>
  <si>
    <t>5200-0000</t>
  </si>
  <si>
    <t xml:space="preserve">   Total Marketing Payroll</t>
  </si>
  <si>
    <t>5100-6999</t>
  </si>
  <si>
    <t xml:space="preserve">      Marketing</t>
  </si>
  <si>
    <t>5100-6010</t>
  </si>
  <si>
    <t xml:space="preserve">   Marketing Payroll</t>
  </si>
  <si>
    <t>5100-6000</t>
  </si>
  <si>
    <t xml:space="preserve">   Total Maintenance Payroll</t>
  </si>
  <si>
    <t>5100-3999</t>
  </si>
  <si>
    <t xml:space="preserve">      Maintenance Person</t>
  </si>
  <si>
    <t>5100-3050</t>
  </si>
  <si>
    <t xml:space="preserve">      Asst. Maintenance Manager</t>
  </si>
  <si>
    <t>5100-3040</t>
  </si>
  <si>
    <t xml:space="preserve">      Maintenance Manager</t>
  </si>
  <si>
    <t>5100-3030</t>
  </si>
  <si>
    <t xml:space="preserve">      Sr. Maintenance Manager</t>
  </si>
  <si>
    <t>5100-3020</t>
  </si>
  <si>
    <t xml:space="preserve">   Maintenance Payroll</t>
  </si>
  <si>
    <t>5100-3000</t>
  </si>
  <si>
    <t xml:space="preserve">   Total Leasing Payroll</t>
  </si>
  <si>
    <t>5100-2999</t>
  </si>
  <si>
    <t xml:space="preserve">      Leasing Consultant</t>
  </si>
  <si>
    <t>5100-2020</t>
  </si>
  <si>
    <t xml:space="preserve">      Leasing Manager</t>
  </si>
  <si>
    <t>5100-2010</t>
  </si>
  <si>
    <t xml:space="preserve">   Leasing Payroll</t>
  </si>
  <si>
    <t>5100-2000</t>
  </si>
  <si>
    <t xml:space="preserve">   Total Administrative Payroll</t>
  </si>
  <si>
    <t>5100-1999</t>
  </si>
  <si>
    <t xml:space="preserve">      Other Admin Payroll</t>
  </si>
  <si>
    <t>5100-1100</t>
  </si>
  <si>
    <t xml:space="preserve">      Assistant Manager</t>
  </si>
  <si>
    <t>5100-1040</t>
  </si>
  <si>
    <t xml:space="preserve">      On-Site Manager</t>
  </si>
  <si>
    <t>5100-1030</t>
  </si>
  <si>
    <t xml:space="preserve">      Regional Manager</t>
  </si>
  <si>
    <t>5100-1010</t>
  </si>
  <si>
    <t xml:space="preserve">   Administrative Payroll</t>
  </si>
  <si>
    <t>5100-1000</t>
  </si>
  <si>
    <t xml:space="preserve">   Payroll</t>
  </si>
  <si>
    <t>5100-0000</t>
  </si>
  <si>
    <t>5000-0000</t>
  </si>
  <si>
    <t>TOTAL INCOME</t>
  </si>
  <si>
    <t>4999-9999</t>
  </si>
  <si>
    <t xml:space="preserve">   Total Other Income</t>
  </si>
  <si>
    <t>4999-9998</t>
  </si>
  <si>
    <t xml:space="preserve">   Total Utility Reimbursement Income</t>
  </si>
  <si>
    <t>4799-9999</t>
  </si>
  <si>
    <t>4700-0100</t>
  </si>
  <si>
    <t>4700-0050</t>
  </si>
  <si>
    <t>4700-0010</t>
  </si>
  <si>
    <t xml:space="preserve">   Utility Reimbursement Income</t>
  </si>
  <si>
    <t>4700-0000</t>
  </si>
  <si>
    <t xml:space="preserve">   Total Miscellaneous Income</t>
  </si>
  <si>
    <t>4399-9999</t>
  </si>
  <si>
    <t xml:space="preserve">      Bad Debt Income</t>
  </si>
  <si>
    <t>4300-0150</t>
  </si>
  <si>
    <t xml:space="preserve">      Collection Income</t>
  </si>
  <si>
    <t>4300-0130</t>
  </si>
  <si>
    <t xml:space="preserve">      Cable Income</t>
  </si>
  <si>
    <t>4300-0120</t>
  </si>
  <si>
    <t xml:space="preserve">      Clubhouse Income</t>
  </si>
  <si>
    <t>4300-0030</t>
  </si>
  <si>
    <t xml:space="preserve">      Miscellaneous Income</t>
  </si>
  <si>
    <t>4300-0010</t>
  </si>
  <si>
    <t xml:space="preserve">   Miscellaneous Income</t>
  </si>
  <si>
    <t>4300-0000</t>
  </si>
  <si>
    <t>4299-9999</t>
  </si>
  <si>
    <t xml:space="preserve">      Forfeited Deposit</t>
  </si>
  <si>
    <t>4200-0400</t>
  </si>
  <si>
    <t xml:space="preserve">      Administrative Fees</t>
  </si>
  <si>
    <t>4200-0380</t>
  </si>
  <si>
    <t xml:space="preserve">      Late Fees</t>
  </si>
  <si>
    <t>4200-0370</t>
  </si>
  <si>
    <t xml:space="preserve">      Amenity Fees</t>
  </si>
  <si>
    <t>4200-0360</t>
  </si>
  <si>
    <t xml:space="preserve">      Pet Rent</t>
  </si>
  <si>
    <t>4200-0340</t>
  </si>
  <si>
    <t xml:space="preserve">      Transfer Fees</t>
  </si>
  <si>
    <t>4200-0300</t>
  </si>
  <si>
    <t xml:space="preserve">      Short Term Lease Premium</t>
  </si>
  <si>
    <t>4200-0280</t>
  </si>
  <si>
    <t xml:space="preserve">      MTM Premium</t>
  </si>
  <si>
    <t>4200-0270</t>
  </si>
  <si>
    <t xml:space="preserve">      Termination Fees</t>
  </si>
  <si>
    <t>4200-0230</t>
  </si>
  <si>
    <t xml:space="preserve">      Damage Fees</t>
  </si>
  <si>
    <t>4200-0180</t>
  </si>
  <si>
    <t xml:space="preserve">      Storage Concession</t>
  </si>
  <si>
    <t>4200-0170</t>
  </si>
  <si>
    <t xml:space="preserve">      Storage Income</t>
  </si>
  <si>
    <t>4200-0160</t>
  </si>
  <si>
    <t xml:space="preserve">      Garage Income</t>
  </si>
  <si>
    <t>4200-0110</t>
  </si>
  <si>
    <t xml:space="preserve">      Application Fees</t>
  </si>
  <si>
    <t>4200-0060</t>
  </si>
  <si>
    <t xml:space="preserve">      Resident Fees</t>
  </si>
  <si>
    <t>4200-0050</t>
  </si>
  <si>
    <t xml:space="preserve">   Other Income</t>
  </si>
  <si>
    <t>4200-0001</t>
  </si>
  <si>
    <t>4200-0000</t>
  </si>
  <si>
    <t xml:space="preserve">   Total Gross Potential Mkt Rent</t>
  </si>
  <si>
    <t>4199-9999</t>
  </si>
  <si>
    <t xml:space="preserve">      Bad Debt Expense</t>
  </si>
  <si>
    <t>4100-0320</t>
  </si>
  <si>
    <t xml:space="preserve">      Other Month Rent/Past Due</t>
  </si>
  <si>
    <t>4100-0240</t>
  </si>
  <si>
    <t xml:space="preserve">      Rental Concessions</t>
  </si>
  <si>
    <t>4100-0150</t>
  </si>
  <si>
    <t xml:space="preserve">      Employee Units</t>
  </si>
  <si>
    <t>4100-0100</t>
  </si>
  <si>
    <t xml:space="preserve">      Non Rev Producing Units</t>
  </si>
  <si>
    <t xml:space="preserve">      Vacancy Loss</t>
  </si>
  <si>
    <t>4100-0060</t>
  </si>
  <si>
    <t xml:space="preserve">      Actual Potential Rent</t>
  </si>
  <si>
    <t>4100-0055</t>
  </si>
  <si>
    <t xml:space="preserve">      Loss to Lease</t>
  </si>
  <si>
    <t>4100-0030</t>
  </si>
  <si>
    <t xml:space="preserve">      Gross Potential Mkt Rent</t>
  </si>
  <si>
    <t>4100-0010</t>
  </si>
  <si>
    <t>Total</t>
  </si>
  <si>
    <t>Period = Dec 2018 through Oct 2019; Book = Accrual</t>
  </si>
  <si>
    <t>Period = Dec 2018-Oct 2019</t>
  </si>
  <si>
    <t>STATEMENT (12 MONTHS)</t>
  </si>
  <si>
    <t>Statement (12 months)</t>
  </si>
  <si>
    <t>Jellystone Apartments</t>
  </si>
  <si>
    <t>Label</t>
  </si>
  <si>
    <t>RENT</t>
  </si>
  <si>
    <t>L2L</t>
  </si>
  <si>
    <t>ACTVAC</t>
  </si>
  <si>
    <t>CONC</t>
  </si>
  <si>
    <t>PARK</t>
  </si>
  <si>
    <t>STORAGE</t>
  </si>
  <si>
    <t>OI</t>
  </si>
  <si>
    <t>RM</t>
  </si>
  <si>
    <t>SEC</t>
  </si>
  <si>
    <t>LAND</t>
  </si>
  <si>
    <t>ADMIN</t>
  </si>
  <si>
    <t>PM</t>
  </si>
  <si>
    <t>MARK</t>
  </si>
  <si>
    <t>P</t>
  </si>
  <si>
    <t>U</t>
  </si>
  <si>
    <t>I</t>
  </si>
  <si>
    <t>RET</t>
  </si>
  <si>
    <t>Error Check</t>
  </si>
  <si>
    <t>T1</t>
  </si>
  <si>
    <t>T3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</si>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</sst>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##0_);_(* \(###0\);_(* &quot;-&quot;_);_(@_)"/>
    <numFmt numFmtId="166" formatCode="mmm\-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u/>
      <sz val="11"/>
      <color indexed="12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50505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3" fillId="0" borderId="0" xfId="0" applyFont="1"/>
    <xf numFmtId="0" fontId="4" fillId="0" borderId="0" xfId="0" applyFont="1"/>
    <xf numFmtId="43" fontId="0" fillId="0" borderId="0" xfId="0" applyNumberFormat="1"/>
    <xf numFmtId="0" fontId="5" fillId="0" borderId="0" xfId="0" applyFont="1"/>
    <xf numFmtId="0" fontId="6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43" fontId="7" fillId="0" borderId="0" xfId="0" applyNumberFormat="1" applyFont="1" applyAlignment="1">
      <alignment horizontal="right"/>
    </xf>
    <xf numFmtId="43" fontId="4" fillId="0" borderId="0" xfId="0" applyNumberFormat="1" applyFont="1"/>
    <xf numFmtId="43" fontId="3" fillId="0" borderId="0" xfId="0" applyNumberFormat="1" applyFont="1"/>
    <xf numFmtId="43" fontId="5" fillId="0" borderId="0" xfId="0" applyNumberFormat="1" applyFont="1"/>
    <xf numFmtId="164" fontId="1" fillId="0" borderId="0" xfId="0" applyNumberFormat="1" applyFont="1"/>
    <xf numFmtId="3" fontId="5" fillId="0" borderId="0" xfId="0" applyNumberFormat="1" applyFont="1"/>
    <xf numFmtId="0" fontId="1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  <xf numFmtId="0" fontId="5" fillId="2" borderId="0" xfId="0" applyFont="1" applyFill="1"/>
    <xf numFmtId="0" fontId="10" fillId="3" borderId="0" xfId="0" applyFont="1" applyFill="1"/>
    <xf numFmtId="0" fontId="11" fillId="3" borderId="0" xfId="0" applyFont="1" applyFill="1"/>
    <xf numFmtId="0" fontId="2" fillId="3" borderId="0" xfId="0" applyFont="1" applyFill="1"/>
    <xf numFmtId="0" fontId="12" fillId="3" borderId="0" xfId="0" applyFont="1" applyFill="1"/>
    <xf numFmtId="0" fontId="1" fillId="2" borderId="0" xfId="0" applyFont="1" applyFill="1"/>
    <xf numFmtId="0" fontId="4" fillId="2" borderId="0" xfId="0" applyFont="1" applyFill="1"/>
    <xf numFmtId="0" fontId="8" fillId="0" borderId="0" xfId="0" quotePrefix="1" applyFont="1" applyAlignment="1">
      <alignment horizontal="right"/>
    </xf>
    <xf numFmtId="164" fontId="3" fillId="0" borderId="0" xfId="0" applyNumberFormat="1" applyFont="1" applyAlignment="1">
      <alignment horizontal="left" indent="1"/>
    </xf>
    <xf numFmtId="164" fontId="9" fillId="0" borderId="0" xfId="0" applyNumberFormat="1" applyFont="1" applyAlignment="1">
      <alignment horizontal="left" indent="1"/>
    </xf>
    <xf numFmtId="164" fontId="3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left" indent="1"/>
    </xf>
    <xf numFmtId="164" fontId="4" fillId="2" borderId="0" xfId="0" applyNumberFormat="1" applyFont="1" applyFill="1"/>
    <xf numFmtId="164" fontId="3" fillId="2" borderId="0" xfId="0" applyNumberFormat="1" applyFont="1" applyFill="1"/>
    <xf numFmtId="164" fontId="13" fillId="0" borderId="0" xfId="0" applyNumberFormat="1" applyFont="1"/>
    <xf numFmtId="164" fontId="14" fillId="0" borderId="0" xfId="0" applyNumberFormat="1" applyFont="1"/>
    <xf numFmtId="164" fontId="15" fillId="0" borderId="0" xfId="0" applyNumberFormat="1" applyFont="1"/>
    <xf numFmtId="165" fontId="13" fillId="0" borderId="0" xfId="0" applyNumberFormat="1" applyFont="1"/>
    <xf numFmtId="0" fontId="13" fillId="0" borderId="0" xfId="0" applyFont="1"/>
    <xf numFmtId="4" fontId="16" fillId="0" borderId="1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4" fontId="16" fillId="0" borderId="3" xfId="0" applyNumberFormat="1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4" fontId="17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4" fontId="17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right" vertical="center"/>
    </xf>
    <xf numFmtId="4" fontId="17" fillId="0" borderId="3" xfId="0" applyNumberFormat="1" applyFont="1" applyBorder="1" applyAlignment="1">
      <alignment horizontal="right" vertic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66" fontId="16" fillId="4" borderId="4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2" fillId="0" borderId="0" xfId="0" applyFont="1" applyAlignment="1">
      <alignment horizontal="right"/>
    </xf>
    <xf numFmtId="0" fontId="22" fillId="0" borderId="0" xfId="0" applyFont="1"/>
    <xf numFmtId="4" fontId="0" fillId="0" borderId="0" xfId="0" applyNumberFormat="1"/>
    <xf numFmtId="0" fontId="23" fillId="0" borderId="0" xfId="0" applyFont="1"/>
    <xf numFmtId="3" fontId="0" fillId="0" borderId="0" xfId="0" applyNumberFormat="1"/>
    <xf numFmtId="0" fontId="16" fillId="4" borderId="0" xfId="0" applyFont="1" applyFill="1" applyBorder="1" applyAlignment="1">
      <alignment horizontal="center" vertical="center"/>
    </xf>
    <xf numFmtId="4" fontId="17" fillId="0" borderId="0" xfId="0" applyNumberFormat="1" applyFont="1" applyBorder="1" applyAlignment="1">
      <alignment horizontal="right" vertical="center"/>
    </xf>
    <xf numFmtId="4" fontId="16" fillId="0" borderId="0" xfId="0" applyNumberFormat="1" applyFont="1" applyBorder="1" applyAlignment="1">
      <alignment horizontal="right" vertical="center"/>
    </xf>
    <xf numFmtId="0" fontId="1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showGridLines="0" zoomScaleNormal="100" workbookViewId="0">
      <selection activeCell="D45" sqref="D45"/>
    </sheetView>
  </sheetViews>
  <sheetFormatPr defaultColWidth="0" defaultRowHeight="14.4" zeroHeight="1" x14ac:dyDescent="0.3"/>
  <cols>
    <col min="1" max="1" width="1.6640625" customWidth="1"/>
    <col min="2" max="2" width="27.5546875" bestFit="1" customWidth="1"/>
    <col min="3" max="3" width="9" style="12" bestFit="1" customWidth="1"/>
    <col min="4" max="4" width="11" style="8" bestFit="1" customWidth="1"/>
    <col min="5" max="5" width="8.88671875" style="6" customWidth="1"/>
    <col min="6" max="14" width="8.88671875" customWidth="1"/>
    <col min="15" max="15" width="1.6640625" customWidth="1"/>
    <col min="16" max="16384" width="8.88671875" hidden="1"/>
  </cols>
  <sheetData>
    <row r="1" spans="2:14" ht="9.9" customHeight="1" x14ac:dyDescent="0.3">
      <c r="C1" s="3"/>
      <c r="D1"/>
    </row>
    <row r="2" spans="2:14" ht="15.6" x14ac:dyDescent="0.3">
      <c r="B2" s="20" t="s">
        <v>72</v>
      </c>
      <c r="C2" s="21"/>
      <c r="D2" s="22"/>
      <c r="E2" s="23"/>
      <c r="F2" s="22"/>
      <c r="G2" s="22"/>
      <c r="H2" s="22"/>
      <c r="I2" s="22"/>
      <c r="J2" s="22"/>
      <c r="K2" s="22"/>
      <c r="L2" s="22"/>
      <c r="M2" s="22"/>
      <c r="N2" s="22"/>
    </row>
    <row r="3" spans="2:14" ht="5.0999999999999996" customHeight="1" x14ac:dyDescent="0.3">
      <c r="C3" s="3"/>
      <c r="D3"/>
    </row>
    <row r="4" spans="2:14" x14ac:dyDescent="0.3">
      <c r="B4" s="4" t="s">
        <v>71</v>
      </c>
      <c r="C4" s="3"/>
      <c r="D4" s="38">
        <v>300</v>
      </c>
    </row>
    <row r="5" spans="2:14" s="4" customFormat="1" ht="15" customHeight="1" x14ac:dyDescent="0.3">
      <c r="B5" s="4" t="s">
        <v>0</v>
      </c>
      <c r="D5" s="37">
        <v>2019</v>
      </c>
      <c r="E5" s="7"/>
    </row>
    <row r="6" spans="2:14" x14ac:dyDescent="0.3">
      <c r="B6" s="24" t="s">
        <v>1</v>
      </c>
      <c r="C6" s="25"/>
      <c r="D6" s="17"/>
      <c r="E6" s="19"/>
      <c r="F6" s="17"/>
      <c r="G6" s="17"/>
      <c r="H6" s="17"/>
      <c r="I6" s="17"/>
      <c r="J6" s="17"/>
      <c r="K6" s="17"/>
      <c r="L6" s="17"/>
      <c r="M6" s="17"/>
      <c r="N6" s="17"/>
    </row>
    <row r="7" spans="2:14" x14ac:dyDescent="0.3">
      <c r="B7" s="1" t="s">
        <v>2</v>
      </c>
      <c r="C7" s="26" t="s">
        <v>46</v>
      </c>
      <c r="D7" s="10" t="s">
        <v>3</v>
      </c>
    </row>
    <row r="8" spans="2:14" x14ac:dyDescent="0.3">
      <c r="B8" s="2" t="s">
        <v>47</v>
      </c>
      <c r="C8" s="27">
        <f>D8/$D$4/12</f>
        <v>2090.8169444444443</v>
      </c>
      <c r="D8" s="34">
        <f>OpSt!W5</f>
        <v>7526941</v>
      </c>
      <c r="E8" s="6" t="s">
        <v>48</v>
      </c>
    </row>
    <row r="9" spans="2:14" x14ac:dyDescent="0.3">
      <c r="B9" s="2" t="s">
        <v>49</v>
      </c>
      <c r="C9" s="27">
        <f t="shared" ref="C9:C11" si="0">D9/$D$4/12</f>
        <v>-28.745000000000001</v>
      </c>
      <c r="D9" s="34">
        <f>OpSt!W6</f>
        <v>-103482</v>
      </c>
      <c r="E9" s="6" t="s">
        <v>50</v>
      </c>
    </row>
    <row r="10" spans="2:14" x14ac:dyDescent="0.3">
      <c r="B10" s="2" t="s">
        <v>51</v>
      </c>
      <c r="C10" s="27">
        <f t="shared" si="0"/>
        <v>-1560.879016666667</v>
      </c>
      <c r="D10" s="34">
        <f>OpSt!W7</f>
        <v>-5619164.4600000009</v>
      </c>
      <c r="E10" s="6" t="s">
        <v>4</v>
      </c>
    </row>
    <row r="11" spans="2:14" ht="16.2" x14ac:dyDescent="0.45">
      <c r="B11" s="2" t="s">
        <v>5</v>
      </c>
      <c r="C11" s="28">
        <f t="shared" si="0"/>
        <v>-83.289994444444446</v>
      </c>
      <c r="D11" s="35">
        <f>OpSt!W8</f>
        <v>-299843.98</v>
      </c>
      <c r="E11" s="6" t="s">
        <v>52</v>
      </c>
    </row>
    <row r="12" spans="2:14" x14ac:dyDescent="0.3">
      <c r="B12" s="9" t="s">
        <v>6</v>
      </c>
      <c r="C12" s="27">
        <f>SUM(C8:C11)</f>
        <v>417.90293333333295</v>
      </c>
      <c r="D12" s="8">
        <f>SUM(D8:D11)</f>
        <v>1504450.5599999991</v>
      </c>
      <c r="E12" s="6" t="s">
        <v>7</v>
      </c>
    </row>
    <row r="13" spans="2:14" ht="5.0999999999999996" customHeight="1" x14ac:dyDescent="0.3">
      <c r="C13" s="29"/>
    </row>
    <row r="14" spans="2:14" x14ac:dyDescent="0.3">
      <c r="B14" s="1" t="s">
        <v>8</v>
      </c>
      <c r="C14" s="30"/>
    </row>
    <row r="15" spans="2:14" x14ac:dyDescent="0.3">
      <c r="B15" s="2" t="s">
        <v>53</v>
      </c>
      <c r="C15" s="27">
        <f t="shared" ref="C15:C18" si="1">D15/$D$4/12</f>
        <v>14.169086111111111</v>
      </c>
      <c r="D15" s="34">
        <f>OpSt!W12</f>
        <v>51008.71</v>
      </c>
      <c r="E15" s="6" t="s">
        <v>54</v>
      </c>
    </row>
    <row r="16" spans="2:14" x14ac:dyDescent="0.3">
      <c r="B16" s="2" t="s">
        <v>9</v>
      </c>
      <c r="C16" s="27">
        <f t="shared" si="1"/>
        <v>16.424708333333331</v>
      </c>
      <c r="D16" s="34">
        <f>OpSt!W13</f>
        <v>59128.95</v>
      </c>
      <c r="E16" s="6" t="s">
        <v>55</v>
      </c>
    </row>
    <row r="17" spans="2:14" x14ac:dyDescent="0.3">
      <c r="B17" s="2" t="s">
        <v>56</v>
      </c>
      <c r="C17" s="27">
        <f t="shared" si="1"/>
        <v>1.4020305555555554</v>
      </c>
      <c r="D17" s="34">
        <f>OpSt!W14</f>
        <v>5047.3100000000004</v>
      </c>
      <c r="E17" s="6" t="s">
        <v>57</v>
      </c>
    </row>
    <row r="18" spans="2:14" ht="16.2" x14ac:dyDescent="0.45">
      <c r="B18" s="2" t="s">
        <v>8</v>
      </c>
      <c r="C18" s="28">
        <f t="shared" si="1"/>
        <v>45.432122222222226</v>
      </c>
      <c r="D18" s="36">
        <f>OpSt!W15</f>
        <v>163555.64000000001</v>
      </c>
      <c r="E18" s="6" t="s">
        <v>68</v>
      </c>
    </row>
    <row r="19" spans="2:14" x14ac:dyDescent="0.3">
      <c r="B19" s="9" t="s">
        <v>10</v>
      </c>
      <c r="C19" s="27">
        <f>SUM(C15:C18)</f>
        <v>77.42794722222223</v>
      </c>
      <c r="D19" s="8">
        <f>SUM(D15:D18)</f>
        <v>278740.61</v>
      </c>
      <c r="E19" s="6" t="s">
        <v>45</v>
      </c>
    </row>
    <row r="20" spans="2:14" ht="5.0999999999999996" customHeight="1" x14ac:dyDescent="0.3">
      <c r="C20" s="29"/>
    </row>
    <row r="21" spans="2:14" x14ac:dyDescent="0.3">
      <c r="B21" s="1" t="s">
        <v>11</v>
      </c>
      <c r="C21" s="30"/>
    </row>
    <row r="22" spans="2:14" x14ac:dyDescent="0.3">
      <c r="B22" s="2" t="s">
        <v>12</v>
      </c>
      <c r="C22" s="27">
        <f t="shared" ref="C22:C23" si="2">D22/$D$4/12</f>
        <v>495.33088055555527</v>
      </c>
      <c r="D22" s="8">
        <f>+D19+D12</f>
        <v>1783191.169999999</v>
      </c>
      <c r="E22" s="6" t="s">
        <v>13</v>
      </c>
    </row>
    <row r="23" spans="2:14" ht="16.2" x14ac:dyDescent="0.45">
      <c r="B23" s="2" t="s">
        <v>14</v>
      </c>
      <c r="C23" s="28">
        <f t="shared" si="2"/>
        <v>0</v>
      </c>
      <c r="D23" s="36">
        <v>0</v>
      </c>
      <c r="E23" s="6" t="s">
        <v>15</v>
      </c>
    </row>
    <row r="24" spans="2:14" s="1" customFormat="1" x14ac:dyDescent="0.3">
      <c r="B24" s="16" t="s">
        <v>16</v>
      </c>
      <c r="C24" s="31">
        <f>SUM(C22:C23)</f>
        <v>495.33088055555527</v>
      </c>
      <c r="D24" s="14">
        <f>+D22+D23</f>
        <v>1783191.169999999</v>
      </c>
      <c r="E24" s="7" t="s">
        <v>17</v>
      </c>
    </row>
    <row r="25" spans="2:14" x14ac:dyDescent="0.3">
      <c r="B25" s="24" t="s">
        <v>18</v>
      </c>
      <c r="C25" s="32"/>
      <c r="D25" s="18"/>
      <c r="E25" s="19"/>
      <c r="F25" s="17"/>
      <c r="G25" s="17"/>
      <c r="H25" s="17"/>
      <c r="I25" s="17"/>
      <c r="J25" s="17"/>
      <c r="K25" s="17"/>
      <c r="L25" s="17"/>
      <c r="M25" s="17"/>
      <c r="N25" s="17"/>
    </row>
    <row r="26" spans="2:14" x14ac:dyDescent="0.3">
      <c r="B26" s="1" t="s">
        <v>58</v>
      </c>
      <c r="C26" s="26" t="s">
        <v>59</v>
      </c>
      <c r="E26" s="15"/>
    </row>
    <row r="27" spans="2:14" x14ac:dyDescent="0.3">
      <c r="B27" s="2" t="s">
        <v>19</v>
      </c>
      <c r="C27" s="27">
        <f>D27/$D$4</f>
        <v>212.21686666666665</v>
      </c>
      <c r="D27" s="34">
        <f>OpSt!W24</f>
        <v>63665.06</v>
      </c>
      <c r="E27" s="15" t="s">
        <v>20</v>
      </c>
    </row>
    <row r="28" spans="2:14" x14ac:dyDescent="0.3">
      <c r="B28" s="2" t="s">
        <v>21</v>
      </c>
      <c r="C28" s="27">
        <f t="shared" ref="C28:C36" si="3">D28/$D$4</f>
        <v>6.825333333333333</v>
      </c>
      <c r="D28" s="34">
        <f>OpSt!W25</f>
        <v>2047.6</v>
      </c>
      <c r="E28" s="15" t="s">
        <v>22</v>
      </c>
    </row>
    <row r="29" spans="2:14" x14ac:dyDescent="0.3">
      <c r="B29" s="2" t="s">
        <v>23</v>
      </c>
      <c r="C29" s="27">
        <f t="shared" si="3"/>
        <v>1.4557666666666667</v>
      </c>
      <c r="D29" s="34">
        <f>OpSt!W26</f>
        <v>436.73</v>
      </c>
      <c r="E29" s="15" t="s">
        <v>24</v>
      </c>
    </row>
    <row r="30" spans="2:14" x14ac:dyDescent="0.3">
      <c r="B30" s="2" t="s">
        <v>60</v>
      </c>
      <c r="C30" s="27">
        <f t="shared" si="3"/>
        <v>230.62193333333335</v>
      </c>
      <c r="D30" s="34">
        <f>OpSt!W27</f>
        <v>69186.58</v>
      </c>
      <c r="E30" s="15" t="s">
        <v>69</v>
      </c>
    </row>
    <row r="31" spans="2:14" x14ac:dyDescent="0.3">
      <c r="B31" s="2" t="s">
        <v>26</v>
      </c>
      <c r="C31" s="27">
        <f t="shared" si="3"/>
        <v>377.03333333333336</v>
      </c>
      <c r="D31" s="34">
        <f>OpSt!W28</f>
        <v>113110</v>
      </c>
      <c r="E31" s="15" t="s">
        <v>61</v>
      </c>
    </row>
    <row r="32" spans="2:14" x14ac:dyDescent="0.3">
      <c r="B32" s="2" t="s">
        <v>62</v>
      </c>
      <c r="C32" s="27">
        <f t="shared" si="3"/>
        <v>596.79393333333326</v>
      </c>
      <c r="D32" s="34">
        <f>OpSt!W29</f>
        <v>179038.18</v>
      </c>
      <c r="E32" s="15" t="s">
        <v>70</v>
      </c>
    </row>
    <row r="33" spans="2:14" x14ac:dyDescent="0.3">
      <c r="B33" s="2" t="s">
        <v>63</v>
      </c>
      <c r="C33" s="27">
        <f t="shared" si="3"/>
        <v>1729.1561000000002</v>
      </c>
      <c r="D33" s="34">
        <f>OpSt!W30</f>
        <v>518746.83</v>
      </c>
      <c r="E33" s="15" t="s">
        <v>64</v>
      </c>
    </row>
    <row r="34" spans="2:14" x14ac:dyDescent="0.3">
      <c r="B34" s="2" t="s">
        <v>25</v>
      </c>
      <c r="C34" s="27">
        <f t="shared" si="3"/>
        <v>682.67163333333326</v>
      </c>
      <c r="D34" s="34">
        <f>OpSt!W31</f>
        <v>204801.49</v>
      </c>
      <c r="E34" s="15" t="s">
        <v>67</v>
      </c>
    </row>
    <row r="35" spans="2:14" x14ac:dyDescent="0.3">
      <c r="B35" s="2" t="s">
        <v>65</v>
      </c>
      <c r="C35" s="27">
        <f t="shared" si="3"/>
        <v>39.869933333333329</v>
      </c>
      <c r="D35" s="34">
        <f>OpSt!W32</f>
        <v>11960.98</v>
      </c>
      <c r="E35" s="15" t="s">
        <v>29</v>
      </c>
    </row>
    <row r="36" spans="2:14" ht="16.2" x14ac:dyDescent="0.45">
      <c r="B36" s="2" t="s">
        <v>27</v>
      </c>
      <c r="C36" s="28">
        <f t="shared" si="3"/>
        <v>85.340433333333337</v>
      </c>
      <c r="D36" s="36">
        <f>OpSt!W33</f>
        <v>25602.13</v>
      </c>
      <c r="E36" s="15" t="s">
        <v>28</v>
      </c>
    </row>
    <row r="37" spans="2:14" s="1" customFormat="1" x14ac:dyDescent="0.3">
      <c r="B37" s="1" t="s">
        <v>30</v>
      </c>
      <c r="C37" s="30">
        <f>SUM(C27:C36)</f>
        <v>3961.985266666667</v>
      </c>
      <c r="D37" s="14">
        <f>SUM(D27:D36)</f>
        <v>1188595.5799999998</v>
      </c>
      <c r="E37" s="7" t="s">
        <v>66</v>
      </c>
    </row>
    <row r="38" spans="2:14" ht="5.0999999999999996" customHeight="1" x14ac:dyDescent="0.3">
      <c r="B38" s="17"/>
      <c r="C38" s="33"/>
      <c r="D38" s="18"/>
      <c r="E38" s="19"/>
      <c r="F38" s="17"/>
      <c r="G38" s="17"/>
      <c r="H38" s="17"/>
      <c r="I38" s="17"/>
      <c r="J38" s="17"/>
      <c r="K38" s="17"/>
      <c r="L38" s="17"/>
      <c r="M38" s="17"/>
      <c r="N38" s="17"/>
    </row>
    <row r="39" spans="2:14" s="1" customFormat="1" x14ac:dyDescent="0.3">
      <c r="B39" s="1" t="s">
        <v>31</v>
      </c>
      <c r="C39" s="30"/>
      <c r="D39" s="14">
        <f>+D24-D37</f>
        <v>594595.58999999915</v>
      </c>
      <c r="E39" s="7" t="s">
        <v>32</v>
      </c>
    </row>
    <row r="40" spans="2:14" x14ac:dyDescent="0.3">
      <c r="B40" s="24" t="s">
        <v>33</v>
      </c>
      <c r="C40" s="33"/>
      <c r="D40" s="18"/>
      <c r="E40" s="19"/>
      <c r="F40" s="17"/>
      <c r="G40" s="17"/>
      <c r="H40" s="17"/>
      <c r="I40" s="17"/>
      <c r="J40" s="17"/>
      <c r="K40" s="17"/>
      <c r="L40" s="17"/>
      <c r="M40" s="17"/>
      <c r="N40" s="17"/>
    </row>
    <row r="41" spans="2:14" x14ac:dyDescent="0.3">
      <c r="B41" s="2" t="s">
        <v>34</v>
      </c>
      <c r="C41" s="27">
        <f t="shared" ref="C41:C42" si="4">D41/$D$4</f>
        <v>0</v>
      </c>
      <c r="D41" s="34">
        <f>OpSt!W38</f>
        <v>0</v>
      </c>
      <c r="E41" s="6" t="s">
        <v>35</v>
      </c>
    </row>
    <row r="42" spans="2:14" ht="16.2" x14ac:dyDescent="0.45">
      <c r="B42" s="2" t="s">
        <v>36</v>
      </c>
      <c r="C42" s="28">
        <f t="shared" si="4"/>
        <v>0</v>
      </c>
      <c r="D42" s="36">
        <f>OpSt!W39</f>
        <v>0</v>
      </c>
      <c r="E42" s="6" t="s">
        <v>37</v>
      </c>
    </row>
    <row r="43" spans="2:14" x14ac:dyDescent="0.3">
      <c r="B43" s="16" t="s">
        <v>38</v>
      </c>
      <c r="C43" s="27">
        <f>SUM(C41:C42)</f>
        <v>0</v>
      </c>
      <c r="D43" s="8">
        <f>SUM(D41:D42)</f>
        <v>0</v>
      </c>
      <c r="E43" s="13"/>
    </row>
    <row r="44" spans="2:14" ht="5.0999999999999996" customHeight="1" x14ac:dyDescent="0.3">
      <c r="B44" s="17"/>
      <c r="C44" s="33"/>
      <c r="D44" s="18"/>
      <c r="E44" s="19"/>
      <c r="F44" s="17"/>
      <c r="G44" s="17"/>
      <c r="H44" s="17"/>
      <c r="I44" s="17"/>
      <c r="J44" s="17"/>
      <c r="K44" s="17"/>
      <c r="L44" s="17"/>
      <c r="M44" s="17"/>
      <c r="N44" s="17"/>
    </row>
    <row r="45" spans="2:14" s="1" customFormat="1" x14ac:dyDescent="0.3">
      <c r="B45" s="1" t="s">
        <v>39</v>
      </c>
      <c r="C45" s="30"/>
      <c r="D45" s="14">
        <f>+D39-D43</f>
        <v>594595.58999999915</v>
      </c>
      <c r="E45" s="7" t="s">
        <v>40</v>
      </c>
    </row>
    <row r="46" spans="2:14" ht="5.0999999999999996" customHeight="1" x14ac:dyDescent="0.3">
      <c r="C46" s="29"/>
    </row>
    <row r="47" spans="2:14" x14ac:dyDescent="0.3">
      <c r="B47" t="s">
        <v>43</v>
      </c>
      <c r="C47" s="27"/>
      <c r="D47" s="34"/>
      <c r="E47" s="6" t="s">
        <v>44</v>
      </c>
    </row>
    <row r="48" spans="2:14" ht="5.0999999999999996" customHeight="1" x14ac:dyDescent="0.3"/>
    <row r="49" spans="2:5" s="1" customFormat="1" x14ac:dyDescent="0.3">
      <c r="B49" s="1" t="s">
        <v>41</v>
      </c>
      <c r="C49" s="11"/>
      <c r="D49" s="14">
        <f>+D45-D47</f>
        <v>594595.58999999915</v>
      </c>
      <c r="E49" s="7" t="s">
        <v>42</v>
      </c>
    </row>
    <row r="50" spans="2:5" ht="9.9" customHeight="1" x14ac:dyDescent="0.3">
      <c r="D50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4633-2CD3-4F15-995F-DD3911A291D1}">
  <dimension ref="A1:AD264"/>
  <sheetViews>
    <sheetView tabSelected="1" topLeftCell="B1" zoomScale="110" zoomScaleNormal="110" workbookViewId="0">
      <selection activeCell="AF34" sqref="AF34"/>
    </sheetView>
  </sheetViews>
  <sheetFormatPr defaultColWidth="9.109375" defaultRowHeight="14.4" x14ac:dyDescent="0.3"/>
  <cols>
    <col min="1" max="1" width="11.44140625" hidden="1" customWidth="1"/>
    <col min="2" max="2" width="28.6640625" bestFit="1" customWidth="1"/>
    <col min="3" max="3" width="11.33203125" hidden="1" customWidth="1"/>
    <col min="4" max="6" width="10.44140625" hidden="1" customWidth="1"/>
    <col min="7" max="7" width="11.33203125" hidden="1" customWidth="1"/>
    <col min="8" max="12" width="10.44140625" bestFit="1" customWidth="1"/>
    <col min="13" max="13" width="9.109375" bestFit="1" customWidth="1"/>
    <col min="14" max="14" width="11.33203125" bestFit="1" customWidth="1"/>
    <col min="15" max="17" width="11.33203125" customWidth="1"/>
    <col min="19" max="19" width="1" customWidth="1"/>
    <col min="20" max="20" width="0.88671875" customWidth="1"/>
    <col min="21" max="21" width="9.109375" style="62"/>
    <col min="22" max="22" width="29.109375" bestFit="1" customWidth="1"/>
    <col min="23" max="26" width="12.77734375" customWidth="1"/>
    <col min="27" max="30" width="12.5546875" bestFit="1" customWidth="1"/>
  </cols>
  <sheetData>
    <row r="1" spans="1:27" ht="15" customHeight="1" x14ac:dyDescent="0.3">
      <c r="A1" s="59" t="s">
        <v>524</v>
      </c>
      <c r="B1" s="58" t="s">
        <v>524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P1" s="59"/>
      <c r="Q1" s="59"/>
    </row>
    <row r="2" spans="1:27" ht="15.75" customHeight="1" x14ac:dyDescent="0.3">
      <c r="A2" s="61" t="s">
        <v>523</v>
      </c>
      <c r="B2" s="60" t="s">
        <v>522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  <c r="P2" s="61"/>
      <c r="Q2" s="61"/>
    </row>
    <row r="3" spans="1:27" ht="15" customHeight="1" x14ac:dyDescent="0.3">
      <c r="A3" s="59" t="s">
        <v>521</v>
      </c>
      <c r="B3" s="58" t="s">
        <v>520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9"/>
      <c r="P3" s="59"/>
      <c r="Q3" s="59"/>
    </row>
    <row r="4" spans="1:27" ht="15" customHeight="1" x14ac:dyDescent="0.3">
      <c r="A4" s="55"/>
      <c r="B4" s="57"/>
      <c r="C4" s="56">
        <v>43435</v>
      </c>
      <c r="D4" s="56">
        <v>43466</v>
      </c>
      <c r="E4" s="56">
        <v>43497</v>
      </c>
      <c r="F4" s="56">
        <v>43525</v>
      </c>
      <c r="G4" s="56">
        <v>43556</v>
      </c>
      <c r="H4" s="56">
        <v>43586</v>
      </c>
      <c r="I4" s="56">
        <v>43617</v>
      </c>
      <c r="J4" s="56">
        <v>43647</v>
      </c>
      <c r="K4" s="56">
        <v>43678</v>
      </c>
      <c r="L4" s="56">
        <v>43709</v>
      </c>
      <c r="M4" s="56">
        <v>43739</v>
      </c>
      <c r="N4" s="55" t="s">
        <v>519</v>
      </c>
      <c r="O4" s="68" t="s">
        <v>544</v>
      </c>
      <c r="P4" s="68" t="s">
        <v>545</v>
      </c>
      <c r="Q4" s="68" t="s">
        <v>546</v>
      </c>
      <c r="R4" s="64" t="s">
        <v>525</v>
      </c>
      <c r="U4" s="63" t="s">
        <v>525</v>
      </c>
      <c r="V4" s="1" t="s">
        <v>2</v>
      </c>
      <c r="W4" s="10" t="s">
        <v>3</v>
      </c>
      <c r="X4" s="10" t="s">
        <v>544</v>
      </c>
      <c r="Y4" s="10" t="s">
        <v>545</v>
      </c>
      <c r="Z4" s="10" t="s">
        <v>546</v>
      </c>
      <c r="AA4" s="66" t="s">
        <v>543</v>
      </c>
    </row>
    <row r="5" spans="1:27" ht="15" customHeight="1" x14ac:dyDescent="0.3">
      <c r="A5" s="54" t="s">
        <v>518</v>
      </c>
      <c r="B5" s="53" t="s">
        <v>517</v>
      </c>
      <c r="C5" s="52">
        <v>678055</v>
      </c>
      <c r="D5" s="52">
        <v>678055</v>
      </c>
      <c r="E5" s="52">
        <v>678055</v>
      </c>
      <c r="F5" s="52">
        <v>686597</v>
      </c>
      <c r="G5" s="52">
        <v>686597</v>
      </c>
      <c r="H5" s="52">
        <v>686597</v>
      </c>
      <c r="I5" s="52">
        <v>686597</v>
      </c>
      <c r="J5" s="52">
        <v>686597</v>
      </c>
      <c r="K5" s="52">
        <v>686597</v>
      </c>
      <c r="L5" s="52">
        <v>686597</v>
      </c>
      <c r="M5" s="52">
        <v>686597</v>
      </c>
      <c r="N5" s="52">
        <v>7526941</v>
      </c>
      <c r="O5" s="69">
        <f>IF($N$5="","",M5*12)</f>
        <v>8239164</v>
      </c>
      <c r="P5" s="69">
        <f>IF($N$5="","",SUM(K5:M5)*4)</f>
        <v>8239164</v>
      </c>
      <c r="Q5" s="69">
        <f>IF($N$5="","",SUM(H5:M5)*2)</f>
        <v>8239164</v>
      </c>
      <c r="R5" t="s">
        <v>526</v>
      </c>
      <c r="U5" s="62" t="s">
        <v>526</v>
      </c>
      <c r="V5" s="2" t="s">
        <v>47</v>
      </c>
      <c r="W5" s="34">
        <f>SUMIF($R$5:$R$263,$U5,N$5:N$263)</f>
        <v>7526941</v>
      </c>
      <c r="X5" s="34">
        <f t="shared" ref="X5:Z8" si="0">SUMIF($R$5:$R$263,$U5,O$5:O$263)</f>
        <v>8239164</v>
      </c>
      <c r="Y5" s="34">
        <f t="shared" si="0"/>
        <v>8239164</v>
      </c>
      <c r="Z5" s="34">
        <f t="shared" si="0"/>
        <v>8239164</v>
      </c>
    </row>
    <row r="6" spans="1:27" ht="15" customHeight="1" x14ac:dyDescent="0.3">
      <c r="A6" s="44" t="s">
        <v>516</v>
      </c>
      <c r="B6" s="43" t="s">
        <v>515</v>
      </c>
      <c r="C6" s="47">
        <v>-2590</v>
      </c>
      <c r="D6" s="47">
        <v>-1158</v>
      </c>
      <c r="E6" s="47">
        <v>-2041</v>
      </c>
      <c r="F6" s="47">
        <v>-4581</v>
      </c>
      <c r="G6" s="47">
        <v>-5800</v>
      </c>
      <c r="H6" s="47">
        <v>-7372</v>
      </c>
      <c r="I6" s="47">
        <v>-9334</v>
      </c>
      <c r="J6" s="47">
        <v>-13830</v>
      </c>
      <c r="K6" s="47">
        <v>-16809</v>
      </c>
      <c r="L6" s="47">
        <v>-19517</v>
      </c>
      <c r="M6" s="47">
        <v>-20450</v>
      </c>
      <c r="N6" s="47">
        <v>-103482</v>
      </c>
      <c r="O6" s="69">
        <f t="shared" ref="O6:O69" si="1">IF($N$5="","",M6*12)</f>
        <v>-245400</v>
      </c>
      <c r="P6" s="69">
        <f t="shared" ref="P6:P69" si="2">IF($N$5="","",SUM(K6:M6)*4)</f>
        <v>-227104</v>
      </c>
      <c r="Q6" s="69">
        <f t="shared" ref="Q6:Q69" si="3">IF($N$5="","",SUM(H6:M6)*2)</f>
        <v>-174624</v>
      </c>
      <c r="R6" t="s">
        <v>527</v>
      </c>
      <c r="U6" s="62" t="s">
        <v>527</v>
      </c>
      <c r="V6" s="2" t="s">
        <v>49</v>
      </c>
      <c r="W6" s="34">
        <f t="shared" ref="W6:W8" si="4">SUMIF($R$5:$R$263,$U6,N$5:N$263)</f>
        <v>-103482</v>
      </c>
      <c r="X6" s="34">
        <f t="shared" si="0"/>
        <v>-245400</v>
      </c>
      <c r="Y6" s="34">
        <f t="shared" si="0"/>
        <v>-227104</v>
      </c>
      <c r="Z6" s="34">
        <f t="shared" si="0"/>
        <v>-174624</v>
      </c>
    </row>
    <row r="7" spans="1:27" ht="15" customHeight="1" x14ac:dyDescent="0.3">
      <c r="A7" s="41" t="s">
        <v>514</v>
      </c>
      <c r="B7" s="40" t="s">
        <v>513</v>
      </c>
      <c r="C7" s="45">
        <v>675465</v>
      </c>
      <c r="D7" s="45">
        <v>676897</v>
      </c>
      <c r="E7" s="45">
        <v>676014</v>
      </c>
      <c r="F7" s="45">
        <v>682016</v>
      </c>
      <c r="G7" s="45">
        <v>680797</v>
      </c>
      <c r="H7" s="45">
        <v>679225</v>
      </c>
      <c r="I7" s="45">
        <v>677263</v>
      </c>
      <c r="J7" s="45">
        <v>672767</v>
      </c>
      <c r="K7" s="45">
        <v>669788</v>
      </c>
      <c r="L7" s="45">
        <v>667080</v>
      </c>
      <c r="M7" s="45">
        <v>666147</v>
      </c>
      <c r="N7" s="45">
        <v>7423459</v>
      </c>
      <c r="O7" s="70">
        <f t="shared" si="1"/>
        <v>7993764</v>
      </c>
      <c r="P7" s="70">
        <f t="shared" si="2"/>
        <v>8012060</v>
      </c>
      <c r="Q7" s="70">
        <f t="shared" si="3"/>
        <v>8064540</v>
      </c>
      <c r="U7" s="62" t="s">
        <v>528</v>
      </c>
      <c r="V7" s="2" t="s">
        <v>51</v>
      </c>
      <c r="W7" s="34">
        <f t="shared" si="4"/>
        <v>-5619164.4600000009</v>
      </c>
      <c r="X7" s="34">
        <f t="shared" si="0"/>
        <v>-3051387.4800000004</v>
      </c>
      <c r="Y7" s="34">
        <f t="shared" si="0"/>
        <v>-3719700.2</v>
      </c>
      <c r="Z7" s="34">
        <f t="shared" si="0"/>
        <v>-4847017.4400000004</v>
      </c>
    </row>
    <row r="8" spans="1:27" ht="15" customHeight="1" x14ac:dyDescent="0.3">
      <c r="A8" s="44" t="s">
        <v>512</v>
      </c>
      <c r="B8" s="43" t="s">
        <v>511</v>
      </c>
      <c r="C8" s="48">
        <v>-670605</v>
      </c>
      <c r="D8" s="48">
        <v>-657652.11</v>
      </c>
      <c r="E8" s="48">
        <v>-640847.17000000004</v>
      </c>
      <c r="F8" s="48">
        <v>-612927.63</v>
      </c>
      <c r="G8" s="48">
        <v>-575232.23</v>
      </c>
      <c r="H8" s="48">
        <v>-540221.89</v>
      </c>
      <c r="I8" s="48">
        <v>-491103.12</v>
      </c>
      <c r="J8" s="48">
        <v>-425980.43</v>
      </c>
      <c r="K8" s="48">
        <v>-363138.66</v>
      </c>
      <c r="L8" s="48">
        <v>-296985.82</v>
      </c>
      <c r="M8" s="48">
        <v>-246702.19</v>
      </c>
      <c r="N8" s="48">
        <v>-5521396.25</v>
      </c>
      <c r="O8" s="48">
        <f t="shared" si="1"/>
        <v>-2960426.2800000003</v>
      </c>
      <c r="P8" s="48">
        <f t="shared" si="2"/>
        <v>-3627306.6799999997</v>
      </c>
      <c r="Q8" s="48">
        <f t="shared" si="3"/>
        <v>-4728264.22</v>
      </c>
      <c r="R8" t="s">
        <v>528</v>
      </c>
      <c r="U8" s="62" t="s">
        <v>529</v>
      </c>
      <c r="V8" s="2" t="s">
        <v>5</v>
      </c>
      <c r="W8" s="35">
        <f t="shared" si="4"/>
        <v>-299843.98</v>
      </c>
      <c r="X8" s="35">
        <f t="shared" si="0"/>
        <v>-486204</v>
      </c>
      <c r="Y8" s="35">
        <f t="shared" si="0"/>
        <v>-490800.48</v>
      </c>
      <c r="Z8" s="35">
        <f t="shared" si="0"/>
        <v>-434467.14</v>
      </c>
    </row>
    <row r="9" spans="1:27" ht="15" customHeight="1" x14ac:dyDescent="0.3">
      <c r="A9" s="44"/>
      <c r="B9" s="43" t="s">
        <v>510</v>
      </c>
      <c r="C9" s="48">
        <v>-4860</v>
      </c>
      <c r="D9" s="48">
        <v>-8154.35</v>
      </c>
      <c r="E9" s="48">
        <v>-1297.5</v>
      </c>
      <c r="F9" s="48">
        <v>-8422.5</v>
      </c>
      <c r="G9" s="48">
        <v>-9602.7000000000007</v>
      </c>
      <c r="H9" s="48">
        <v>-10115.1</v>
      </c>
      <c r="I9" s="48">
        <v>-10115.1</v>
      </c>
      <c r="J9" s="48">
        <v>-7580.1</v>
      </c>
      <c r="K9" s="48">
        <v>-7580.1</v>
      </c>
      <c r="L9" s="48">
        <v>-7580.1</v>
      </c>
      <c r="M9" s="48">
        <v>-7580.1</v>
      </c>
      <c r="N9" s="48">
        <v>-82887.649999999994</v>
      </c>
      <c r="O9" s="48">
        <f t="shared" si="1"/>
        <v>-90961.200000000012</v>
      </c>
      <c r="P9" s="48">
        <f t="shared" si="2"/>
        <v>-90961.200000000012</v>
      </c>
      <c r="Q9" s="48">
        <f t="shared" si="3"/>
        <v>-101101.2</v>
      </c>
      <c r="R9" t="s">
        <v>528</v>
      </c>
      <c r="V9" s="9" t="s">
        <v>6</v>
      </c>
      <c r="W9" s="8">
        <f>SUM(W5:W8)</f>
        <v>1504450.5599999991</v>
      </c>
      <c r="X9" s="8">
        <f t="shared" ref="X9:Z9" si="5">SUM(X5:X8)</f>
        <v>4456172.5199999996</v>
      </c>
      <c r="Y9" s="8">
        <f t="shared" si="5"/>
        <v>3801559.32</v>
      </c>
      <c r="Z9" s="8">
        <f t="shared" si="5"/>
        <v>2783055.4199999995</v>
      </c>
    </row>
    <row r="10" spans="1:27" ht="15" customHeight="1" x14ac:dyDescent="0.3">
      <c r="A10" s="44" t="s">
        <v>509</v>
      </c>
      <c r="B10" s="43" t="s">
        <v>508</v>
      </c>
      <c r="C10" s="48">
        <v>-1350</v>
      </c>
      <c r="D10" s="48">
        <v>0</v>
      </c>
      <c r="E10" s="48">
        <v>-7125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-8475</v>
      </c>
      <c r="O10" s="48">
        <f t="shared" si="1"/>
        <v>0</v>
      </c>
      <c r="P10" s="48">
        <f t="shared" si="2"/>
        <v>0</v>
      </c>
      <c r="Q10" s="48">
        <f t="shared" si="3"/>
        <v>0</v>
      </c>
      <c r="R10" t="s">
        <v>528</v>
      </c>
      <c r="W10" s="8"/>
      <c r="X10" s="8"/>
      <c r="Y10" s="8"/>
      <c r="Z10" s="8"/>
    </row>
    <row r="11" spans="1:27" ht="15" customHeight="1" x14ac:dyDescent="0.3">
      <c r="A11" s="44" t="s">
        <v>507</v>
      </c>
      <c r="B11" s="43" t="s">
        <v>506</v>
      </c>
      <c r="C11" s="48">
        <v>0</v>
      </c>
      <c r="D11" s="48">
        <v>-10222.5</v>
      </c>
      <c r="E11" s="48">
        <v>-20272.5</v>
      </c>
      <c r="F11" s="48">
        <v>-21453.75</v>
      </c>
      <c r="G11" s="48">
        <v>-30661.66</v>
      </c>
      <c r="H11" s="48">
        <v>-25113.66</v>
      </c>
      <c r="I11" s="48">
        <v>-43684.02</v>
      </c>
      <c r="J11" s="48">
        <v>-25735.77</v>
      </c>
      <c r="K11" s="48">
        <v>-37623.5</v>
      </c>
      <c r="L11" s="48">
        <v>-44559.62</v>
      </c>
      <c r="M11" s="48">
        <v>-40517</v>
      </c>
      <c r="N11" s="48">
        <v>-299843.98</v>
      </c>
      <c r="O11" s="48">
        <f t="shared" si="1"/>
        <v>-486204</v>
      </c>
      <c r="P11" s="48">
        <f t="shared" si="2"/>
        <v>-490800.48</v>
      </c>
      <c r="Q11" s="48">
        <f t="shared" si="3"/>
        <v>-434467.14</v>
      </c>
      <c r="R11" t="s">
        <v>529</v>
      </c>
      <c r="V11" s="1" t="s">
        <v>8</v>
      </c>
      <c r="W11" s="8"/>
      <c r="X11" s="8"/>
      <c r="Y11" s="8"/>
      <c r="Z11" s="8"/>
    </row>
    <row r="12" spans="1:27" ht="15" customHeight="1" x14ac:dyDescent="0.3">
      <c r="A12" s="44" t="s">
        <v>505</v>
      </c>
      <c r="B12" s="43" t="s">
        <v>504</v>
      </c>
      <c r="C12" s="48">
        <v>0</v>
      </c>
      <c r="D12" s="48">
        <v>51.61</v>
      </c>
      <c r="E12" s="48">
        <v>0</v>
      </c>
      <c r="F12" s="48">
        <v>2439.56</v>
      </c>
      <c r="G12" s="48">
        <v>-70.72</v>
      </c>
      <c r="H12" s="48">
        <v>159.80000000000001</v>
      </c>
      <c r="I12" s="48">
        <v>0</v>
      </c>
      <c r="J12" s="48">
        <v>-12.4</v>
      </c>
      <c r="K12" s="48">
        <v>0</v>
      </c>
      <c r="L12" s="48">
        <v>358.08</v>
      </c>
      <c r="M12" s="48">
        <v>0</v>
      </c>
      <c r="N12" s="48">
        <v>2925.93</v>
      </c>
      <c r="O12" s="48">
        <f t="shared" si="1"/>
        <v>0</v>
      </c>
      <c r="P12" s="48">
        <f t="shared" si="2"/>
        <v>1432.32</v>
      </c>
      <c r="Q12" s="48">
        <f t="shared" si="3"/>
        <v>1010.96</v>
      </c>
      <c r="R12" t="s">
        <v>528</v>
      </c>
      <c r="U12" s="62" t="s">
        <v>53</v>
      </c>
      <c r="V12" s="2" t="s">
        <v>53</v>
      </c>
      <c r="W12" s="34">
        <f t="shared" ref="W12:W15" si="6">SUMIF($R$5:$R$263,$U12,N$5:N$263)</f>
        <v>51008.71</v>
      </c>
      <c r="X12" s="34">
        <f t="shared" ref="X12:X15" si="7">SUMIF($R$5:$R$263,$U12,O$5:O$263)</f>
        <v>167265.48000000001</v>
      </c>
      <c r="Y12" s="34">
        <f t="shared" ref="Y12:Y15" si="8">SUMIF($R$5:$R$263,$U12,P$5:P$263)</f>
        <v>130625.68000000001</v>
      </c>
      <c r="Z12" s="34">
        <f t="shared" ref="Z12:Z15" si="9">SUMIF($R$5:$R$263,$U12,Q$5:Q$263)</f>
        <v>95777.400000000009</v>
      </c>
    </row>
    <row r="13" spans="1:27" ht="15" customHeight="1" x14ac:dyDescent="0.3">
      <c r="A13" s="44" t="s">
        <v>503</v>
      </c>
      <c r="B13" s="43" t="s">
        <v>502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-6769.04</v>
      </c>
      <c r="I13" s="48">
        <v>-1846.29</v>
      </c>
      <c r="J13" s="48">
        <v>0</v>
      </c>
      <c r="K13" s="48">
        <v>0</v>
      </c>
      <c r="L13" s="48">
        <v>-716.16</v>
      </c>
      <c r="M13" s="48">
        <v>0</v>
      </c>
      <c r="N13" s="48">
        <v>-9331.49</v>
      </c>
      <c r="O13" s="48">
        <f t="shared" si="1"/>
        <v>0</v>
      </c>
      <c r="P13" s="48">
        <f t="shared" si="2"/>
        <v>-2864.64</v>
      </c>
      <c r="Q13" s="48">
        <f t="shared" si="3"/>
        <v>-18662.98</v>
      </c>
      <c r="R13" t="s">
        <v>528</v>
      </c>
      <c r="U13" s="62" t="s">
        <v>530</v>
      </c>
      <c r="V13" s="2" t="s">
        <v>9</v>
      </c>
      <c r="W13" s="34">
        <f t="shared" si="6"/>
        <v>59128.95</v>
      </c>
      <c r="X13" s="34">
        <f t="shared" si="7"/>
        <v>179659.44</v>
      </c>
      <c r="Y13" s="34">
        <f t="shared" si="8"/>
        <v>152795.48000000001</v>
      </c>
      <c r="Z13" s="34">
        <f t="shared" si="9"/>
        <v>107948.34000000001</v>
      </c>
    </row>
    <row r="14" spans="1:27" ht="15" customHeight="1" x14ac:dyDescent="0.3">
      <c r="A14" s="41" t="s">
        <v>501</v>
      </c>
      <c r="B14" s="40" t="s">
        <v>500</v>
      </c>
      <c r="C14" s="51">
        <v>-1350</v>
      </c>
      <c r="D14" s="51">
        <v>919.65</v>
      </c>
      <c r="E14" s="51">
        <v>6471.83</v>
      </c>
      <c r="F14" s="51">
        <v>41651.68</v>
      </c>
      <c r="G14" s="51">
        <v>65229.69</v>
      </c>
      <c r="H14" s="51">
        <v>97165.11</v>
      </c>
      <c r="I14" s="51">
        <v>130514.47</v>
      </c>
      <c r="J14" s="51">
        <v>213458.3</v>
      </c>
      <c r="K14" s="51">
        <v>261445.74</v>
      </c>
      <c r="L14" s="51">
        <v>317596.38</v>
      </c>
      <c r="M14" s="51">
        <v>371347.71</v>
      </c>
      <c r="N14" s="51">
        <v>1504450.5600000001</v>
      </c>
      <c r="O14" s="51">
        <f t="shared" si="1"/>
        <v>4456172.5200000005</v>
      </c>
      <c r="P14" s="51">
        <f t="shared" si="2"/>
        <v>3801559.3200000003</v>
      </c>
      <c r="Q14" s="51">
        <f t="shared" si="3"/>
        <v>2783055.42</v>
      </c>
      <c r="U14" s="62" t="s">
        <v>531</v>
      </c>
      <c r="V14" s="2" t="s">
        <v>56</v>
      </c>
      <c r="W14" s="34">
        <f t="shared" si="6"/>
        <v>5047.3100000000004</v>
      </c>
      <c r="X14" s="34">
        <f t="shared" si="7"/>
        <v>15772.079999999998</v>
      </c>
      <c r="Y14" s="34">
        <f t="shared" si="8"/>
        <v>13499.679999999998</v>
      </c>
      <c r="Z14" s="34">
        <f t="shared" si="9"/>
        <v>9430.66</v>
      </c>
    </row>
    <row r="15" spans="1:27" ht="15" customHeight="1" x14ac:dyDescent="0.45">
      <c r="A15" s="44"/>
      <c r="B15" s="43"/>
      <c r="C15" s="50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>
        <f t="shared" si="1"/>
        <v>0</v>
      </c>
      <c r="P15" s="44">
        <f t="shared" si="2"/>
        <v>0</v>
      </c>
      <c r="Q15" s="44">
        <f t="shared" si="3"/>
        <v>0</v>
      </c>
      <c r="U15" s="62" t="s">
        <v>532</v>
      </c>
      <c r="V15" s="2" t="s">
        <v>8</v>
      </c>
      <c r="W15" s="36">
        <f t="shared" si="6"/>
        <v>163555.64000000001</v>
      </c>
      <c r="X15" s="36">
        <f t="shared" si="7"/>
        <v>329736.48000000004</v>
      </c>
      <c r="Y15" s="36">
        <f t="shared" si="8"/>
        <v>281372.48000000004</v>
      </c>
      <c r="Z15" s="36">
        <f t="shared" si="9"/>
        <v>230061.31999999998</v>
      </c>
    </row>
    <row r="16" spans="1:27" ht="15" customHeight="1" x14ac:dyDescent="0.3">
      <c r="A16" s="41" t="s">
        <v>499</v>
      </c>
      <c r="B16" s="40" t="s">
        <v>497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>
        <f t="shared" si="1"/>
        <v>0</v>
      </c>
      <c r="P16" s="49">
        <f t="shared" si="2"/>
        <v>0</v>
      </c>
      <c r="Q16" s="49">
        <f t="shared" si="3"/>
        <v>0</v>
      </c>
      <c r="V16" s="9" t="s">
        <v>10</v>
      </c>
      <c r="W16" s="8">
        <f>SUM(W12:W15)</f>
        <v>278740.61</v>
      </c>
      <c r="X16" s="8">
        <f t="shared" ref="X16:Z16" si="10">SUM(X12:X15)</f>
        <v>692433.4800000001</v>
      </c>
      <c r="Y16" s="8">
        <f t="shared" si="10"/>
        <v>578293.32000000007</v>
      </c>
      <c r="Z16" s="8">
        <f t="shared" si="10"/>
        <v>443217.72</v>
      </c>
    </row>
    <row r="17" spans="1:30" ht="15" customHeight="1" x14ac:dyDescent="0.3">
      <c r="A17" s="44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>
        <f t="shared" si="1"/>
        <v>0</v>
      </c>
      <c r="P17" s="44">
        <f t="shared" si="2"/>
        <v>0</v>
      </c>
      <c r="Q17" s="44">
        <f t="shared" si="3"/>
        <v>0</v>
      </c>
      <c r="W17" s="8"/>
      <c r="X17" s="8"/>
      <c r="Y17" s="8"/>
      <c r="Z17" s="8"/>
    </row>
    <row r="18" spans="1:30" ht="15" customHeight="1" x14ac:dyDescent="0.3">
      <c r="A18" s="41" t="s">
        <v>498</v>
      </c>
      <c r="B18" s="40" t="s">
        <v>497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>
        <f t="shared" si="1"/>
        <v>0</v>
      </c>
      <c r="P18" s="49">
        <f t="shared" si="2"/>
        <v>0</v>
      </c>
      <c r="Q18" s="49">
        <f t="shared" si="3"/>
        <v>0</v>
      </c>
      <c r="V18" s="1" t="s">
        <v>11</v>
      </c>
      <c r="W18" s="8"/>
      <c r="X18" s="8"/>
      <c r="Y18" s="8"/>
      <c r="Z18" s="8"/>
      <c r="AA18" s="67"/>
    </row>
    <row r="19" spans="1:30" ht="15" customHeight="1" x14ac:dyDescent="0.3">
      <c r="A19" s="44" t="s">
        <v>496</v>
      </c>
      <c r="B19" s="43" t="s">
        <v>495</v>
      </c>
      <c r="C19" s="48">
        <v>0</v>
      </c>
      <c r="D19" s="48">
        <v>3600</v>
      </c>
      <c r="E19" s="48">
        <v>10000</v>
      </c>
      <c r="F19" s="48">
        <v>10100</v>
      </c>
      <c r="G19" s="48">
        <v>6040</v>
      </c>
      <c r="H19" s="48">
        <v>6000</v>
      </c>
      <c r="I19" s="48">
        <v>5300</v>
      </c>
      <c r="J19" s="48">
        <v>5100</v>
      </c>
      <c r="K19" s="48">
        <v>8200</v>
      </c>
      <c r="L19" s="48">
        <v>3200</v>
      </c>
      <c r="M19" s="48">
        <v>3000</v>
      </c>
      <c r="N19" s="48">
        <v>60540</v>
      </c>
      <c r="O19" s="48">
        <f t="shared" si="1"/>
        <v>36000</v>
      </c>
      <c r="P19" s="48">
        <f t="shared" si="2"/>
        <v>57600</v>
      </c>
      <c r="Q19" s="48">
        <f t="shared" si="3"/>
        <v>61600</v>
      </c>
      <c r="R19" t="s">
        <v>532</v>
      </c>
      <c r="V19" s="2" t="s">
        <v>12</v>
      </c>
      <c r="W19" s="8">
        <f>+W16+W9</f>
        <v>1783191.169999999</v>
      </c>
      <c r="X19" s="8">
        <f t="shared" ref="X19:Z19" si="11">+X16+X9</f>
        <v>5148606</v>
      </c>
      <c r="Y19" s="8">
        <f t="shared" si="11"/>
        <v>4379852.6399999997</v>
      </c>
      <c r="Z19" s="8">
        <f t="shared" si="11"/>
        <v>3226273.1399999997</v>
      </c>
    </row>
    <row r="20" spans="1:30" ht="15" customHeight="1" x14ac:dyDescent="0.45">
      <c r="A20" s="44" t="s">
        <v>494</v>
      </c>
      <c r="B20" s="43" t="s">
        <v>493</v>
      </c>
      <c r="C20" s="48">
        <v>120</v>
      </c>
      <c r="D20" s="48">
        <v>2185</v>
      </c>
      <c r="E20" s="48">
        <v>2370</v>
      </c>
      <c r="F20" s="48">
        <v>3835</v>
      </c>
      <c r="G20" s="48">
        <v>2720</v>
      </c>
      <c r="H20" s="48">
        <v>3900</v>
      </c>
      <c r="I20" s="48">
        <v>4260</v>
      </c>
      <c r="J20" s="48">
        <v>4080</v>
      </c>
      <c r="K20" s="48">
        <v>4275</v>
      </c>
      <c r="L20" s="48">
        <v>3405</v>
      </c>
      <c r="M20" s="48">
        <v>3240</v>
      </c>
      <c r="N20" s="48">
        <v>34390</v>
      </c>
      <c r="O20" s="48">
        <f t="shared" si="1"/>
        <v>38880</v>
      </c>
      <c r="P20" s="48">
        <f t="shared" si="2"/>
        <v>43680</v>
      </c>
      <c r="Q20" s="48">
        <f t="shared" si="3"/>
        <v>46320</v>
      </c>
      <c r="R20" t="s">
        <v>532</v>
      </c>
      <c r="V20" s="2" t="s">
        <v>14</v>
      </c>
      <c r="W20" s="36">
        <v>0</v>
      </c>
      <c r="X20" s="36">
        <v>0</v>
      </c>
      <c r="Y20" s="36">
        <v>0</v>
      </c>
      <c r="Z20" s="36">
        <v>0</v>
      </c>
    </row>
    <row r="21" spans="1:30" ht="15" customHeight="1" x14ac:dyDescent="0.3">
      <c r="A21" s="44" t="s">
        <v>492</v>
      </c>
      <c r="B21" s="43" t="s">
        <v>491</v>
      </c>
      <c r="C21" s="48">
        <v>0</v>
      </c>
      <c r="D21" s="48">
        <v>304.83999999999997</v>
      </c>
      <c r="E21" s="48">
        <v>637.49</v>
      </c>
      <c r="F21" s="48">
        <v>1021.48</v>
      </c>
      <c r="G21" s="48">
        <v>3190.97</v>
      </c>
      <c r="H21" s="48">
        <v>3596.13</v>
      </c>
      <c r="I21" s="48">
        <v>4731.93</v>
      </c>
      <c r="J21" s="48">
        <v>7447.24</v>
      </c>
      <c r="K21" s="48">
        <v>10364.51</v>
      </c>
      <c r="L21" s="48">
        <v>12862.74</v>
      </c>
      <c r="M21" s="48">
        <v>14971.62</v>
      </c>
      <c r="N21" s="48">
        <v>59128.95</v>
      </c>
      <c r="O21" s="48">
        <f t="shared" si="1"/>
        <v>179659.44</v>
      </c>
      <c r="P21" s="48">
        <f t="shared" si="2"/>
        <v>152795.48000000001</v>
      </c>
      <c r="Q21" s="48">
        <f t="shared" si="3"/>
        <v>107948.34000000001</v>
      </c>
      <c r="R21" t="s">
        <v>530</v>
      </c>
      <c r="V21" s="16" t="s">
        <v>16</v>
      </c>
      <c r="W21" s="14">
        <f>+W19+W20</f>
        <v>1783191.169999999</v>
      </c>
      <c r="X21" s="14">
        <f t="shared" ref="X21:Z21" si="12">+X19+X20</f>
        <v>5148606</v>
      </c>
      <c r="Y21" s="14">
        <f t="shared" si="12"/>
        <v>4379852.6399999997</v>
      </c>
      <c r="Z21" s="14">
        <f t="shared" si="12"/>
        <v>3226273.1399999997</v>
      </c>
      <c r="AA21" s="65">
        <f>N52</f>
        <v>1783191.17</v>
      </c>
      <c r="AB21" s="65">
        <f t="shared" ref="AB21:AD21" si="13">O52</f>
        <v>5148606</v>
      </c>
      <c r="AC21" s="65">
        <f t="shared" si="13"/>
        <v>4379852.6400000006</v>
      </c>
      <c r="AD21" s="65">
        <f t="shared" si="13"/>
        <v>3226273.14</v>
      </c>
    </row>
    <row r="22" spans="1:30" ht="15" customHeight="1" x14ac:dyDescent="0.3">
      <c r="A22" s="44" t="s">
        <v>490</v>
      </c>
      <c r="B22" s="43" t="s">
        <v>489</v>
      </c>
      <c r="C22" s="48">
        <v>0</v>
      </c>
      <c r="D22" s="48">
        <v>0</v>
      </c>
      <c r="E22" s="48">
        <v>32.14</v>
      </c>
      <c r="F22" s="48">
        <v>87.1</v>
      </c>
      <c r="G22" s="48">
        <v>224.84</v>
      </c>
      <c r="H22" s="48">
        <v>317.02</v>
      </c>
      <c r="I22" s="48">
        <v>300</v>
      </c>
      <c r="J22" s="48">
        <v>723.39</v>
      </c>
      <c r="K22" s="48">
        <v>1012.9</v>
      </c>
      <c r="L22" s="48">
        <v>1059.78</v>
      </c>
      <c r="M22" s="48">
        <v>1314.34</v>
      </c>
      <c r="N22" s="48">
        <v>5071.51</v>
      </c>
      <c r="O22" s="48">
        <f t="shared" si="1"/>
        <v>15772.079999999998</v>
      </c>
      <c r="P22" s="48">
        <f t="shared" si="2"/>
        <v>13548.079999999998</v>
      </c>
      <c r="Q22" s="48">
        <f t="shared" si="3"/>
        <v>9454.86</v>
      </c>
      <c r="R22" t="s">
        <v>531</v>
      </c>
      <c r="V22" s="24" t="s">
        <v>18</v>
      </c>
      <c r="W22" s="18"/>
      <c r="X22" s="18"/>
      <c r="Y22" s="18"/>
      <c r="Z22" s="18"/>
    </row>
    <row r="23" spans="1:30" ht="15" customHeight="1" x14ac:dyDescent="0.3">
      <c r="A23" s="44" t="s">
        <v>488</v>
      </c>
      <c r="B23" s="43" t="s">
        <v>487</v>
      </c>
      <c r="C23" s="48">
        <v>0</v>
      </c>
      <c r="D23" s="48">
        <v>0</v>
      </c>
      <c r="E23" s="48">
        <v>0</v>
      </c>
      <c r="F23" s="48">
        <v>-12.1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-12.1</v>
      </c>
      <c r="M23" s="48">
        <v>0</v>
      </c>
      <c r="N23" s="48">
        <v>-24.2</v>
      </c>
      <c r="O23" s="48">
        <f t="shared" si="1"/>
        <v>0</v>
      </c>
      <c r="P23" s="48">
        <f t="shared" si="2"/>
        <v>-48.4</v>
      </c>
      <c r="Q23" s="48">
        <f t="shared" si="3"/>
        <v>-24.2</v>
      </c>
      <c r="R23" t="s">
        <v>531</v>
      </c>
      <c r="V23" s="1" t="s">
        <v>58</v>
      </c>
      <c r="W23" s="8"/>
      <c r="X23" s="8"/>
      <c r="Y23" s="8"/>
      <c r="Z23" s="8"/>
    </row>
    <row r="24" spans="1:30" ht="15" customHeight="1" x14ac:dyDescent="0.3">
      <c r="A24" s="44" t="s">
        <v>486</v>
      </c>
      <c r="B24" s="43" t="s">
        <v>485</v>
      </c>
      <c r="C24" s="48">
        <v>0</v>
      </c>
      <c r="D24" s="48">
        <v>0</v>
      </c>
      <c r="E24" s="48">
        <v>150</v>
      </c>
      <c r="F24" s="48">
        <v>0</v>
      </c>
      <c r="G24" s="48">
        <v>0</v>
      </c>
      <c r="H24" s="48">
        <v>540</v>
      </c>
      <c r="I24" s="48">
        <v>0</v>
      </c>
      <c r="J24" s="48">
        <v>110</v>
      </c>
      <c r="K24" s="48">
        <v>839</v>
      </c>
      <c r="L24" s="48">
        <v>-147</v>
      </c>
      <c r="M24" s="48">
        <v>3767.77</v>
      </c>
      <c r="N24" s="48">
        <v>5259.77</v>
      </c>
      <c r="O24" s="48">
        <f t="shared" si="1"/>
        <v>45213.24</v>
      </c>
      <c r="P24" s="48">
        <f t="shared" si="2"/>
        <v>17839.080000000002</v>
      </c>
      <c r="Q24" s="48">
        <f t="shared" si="3"/>
        <v>10219.540000000001</v>
      </c>
      <c r="R24" t="s">
        <v>532</v>
      </c>
      <c r="U24" s="62" t="s">
        <v>533</v>
      </c>
      <c r="V24" s="2" t="s">
        <v>19</v>
      </c>
      <c r="W24" s="34">
        <f t="shared" ref="W24:W33" si="14">SUMIF($R$5:$R$263,$U24,N$5:N$263)</f>
        <v>63665.06</v>
      </c>
      <c r="X24" s="34">
        <f t="shared" ref="X24:X33" si="15">SUMIF($R$5:$R$263,$U24,O$5:O$263)</f>
        <v>137846.39999999999</v>
      </c>
      <c r="Y24" s="34">
        <f t="shared" ref="Y24:Y33" si="16">SUMIF($R$5:$R$263,$U24,P$5:P$263)</f>
        <v>149230.91999999998</v>
      </c>
      <c r="Z24" s="34">
        <f t="shared" ref="Z24:Z33" si="17">SUMIF($R$5:$R$263,$U24,Q$5:Q$263)</f>
        <v>112242.98</v>
      </c>
    </row>
    <row r="25" spans="1:30" ht="15" customHeight="1" x14ac:dyDescent="0.3">
      <c r="A25" s="44" t="s">
        <v>484</v>
      </c>
      <c r="B25" s="43" t="s">
        <v>483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3700</v>
      </c>
      <c r="L25" s="48">
        <v>-1430</v>
      </c>
      <c r="M25" s="48">
        <v>10243.09</v>
      </c>
      <c r="N25" s="48">
        <v>12513.09</v>
      </c>
      <c r="O25" s="48">
        <f t="shared" si="1"/>
        <v>122917.08</v>
      </c>
      <c r="P25" s="48">
        <f t="shared" si="2"/>
        <v>50052.36</v>
      </c>
      <c r="Q25" s="48">
        <f t="shared" si="3"/>
        <v>25026.18</v>
      </c>
      <c r="R25" t="s">
        <v>532</v>
      </c>
      <c r="U25" s="62" t="s">
        <v>534</v>
      </c>
      <c r="V25" s="2" t="s">
        <v>21</v>
      </c>
      <c r="W25" s="34">
        <f t="shared" si="14"/>
        <v>2047.6</v>
      </c>
      <c r="X25" s="34">
        <f t="shared" si="15"/>
        <v>0</v>
      </c>
      <c r="Y25" s="34">
        <f t="shared" si="16"/>
        <v>2094</v>
      </c>
      <c r="Z25" s="34">
        <f t="shared" si="17"/>
        <v>4005.2</v>
      </c>
    </row>
    <row r="26" spans="1:30" ht="15" customHeight="1" x14ac:dyDescent="0.3">
      <c r="A26" s="44" t="s">
        <v>482</v>
      </c>
      <c r="B26" s="43" t="s">
        <v>481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760</v>
      </c>
      <c r="M26" s="48">
        <v>241.94</v>
      </c>
      <c r="N26" s="48">
        <v>1001.94</v>
      </c>
      <c r="O26" s="48">
        <f t="shared" si="1"/>
        <v>2903.2799999999997</v>
      </c>
      <c r="P26" s="48">
        <f t="shared" si="2"/>
        <v>4007.76</v>
      </c>
      <c r="Q26" s="48">
        <f t="shared" si="3"/>
        <v>2003.88</v>
      </c>
      <c r="R26" t="s">
        <v>532</v>
      </c>
      <c r="U26" s="62" t="s">
        <v>535</v>
      </c>
      <c r="V26" s="2" t="s">
        <v>23</v>
      </c>
      <c r="W26" s="34">
        <f t="shared" si="14"/>
        <v>436.73</v>
      </c>
      <c r="X26" s="34">
        <f t="shared" si="15"/>
        <v>5240.76</v>
      </c>
      <c r="Y26" s="34">
        <f t="shared" si="16"/>
        <v>1746.92</v>
      </c>
      <c r="Z26" s="34">
        <f t="shared" si="17"/>
        <v>873.46</v>
      </c>
    </row>
    <row r="27" spans="1:30" ht="15" customHeight="1" x14ac:dyDescent="0.3">
      <c r="A27" s="44" t="s">
        <v>480</v>
      </c>
      <c r="B27" s="43" t="s">
        <v>479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541.94000000000005</v>
      </c>
      <c r="N27" s="48">
        <v>541.94000000000005</v>
      </c>
      <c r="O27" s="48">
        <f t="shared" si="1"/>
        <v>6503.2800000000007</v>
      </c>
      <c r="P27" s="48">
        <f t="shared" si="2"/>
        <v>2167.7600000000002</v>
      </c>
      <c r="Q27" s="48">
        <f t="shared" si="3"/>
        <v>1083.8800000000001</v>
      </c>
      <c r="R27" t="s">
        <v>532</v>
      </c>
      <c r="U27" s="62" t="s">
        <v>536</v>
      </c>
      <c r="V27" s="2" t="s">
        <v>60</v>
      </c>
      <c r="W27" s="34">
        <f t="shared" si="14"/>
        <v>69186.58</v>
      </c>
      <c r="X27" s="34">
        <f t="shared" si="15"/>
        <v>72994.680000000008</v>
      </c>
      <c r="Y27" s="34">
        <f t="shared" si="16"/>
        <v>79125.2</v>
      </c>
      <c r="Z27" s="34">
        <f t="shared" si="17"/>
        <v>79953.579999999987</v>
      </c>
    </row>
    <row r="28" spans="1:30" ht="15" customHeight="1" x14ac:dyDescent="0.3">
      <c r="A28" s="44" t="s">
        <v>478</v>
      </c>
      <c r="B28" s="43" t="s">
        <v>477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500</v>
      </c>
      <c r="M28" s="48">
        <v>0</v>
      </c>
      <c r="N28" s="48">
        <v>500</v>
      </c>
      <c r="O28" s="48">
        <f t="shared" si="1"/>
        <v>0</v>
      </c>
      <c r="P28" s="48">
        <f t="shared" si="2"/>
        <v>2000</v>
      </c>
      <c r="Q28" s="48">
        <f t="shared" si="3"/>
        <v>1000</v>
      </c>
      <c r="R28" t="s">
        <v>532</v>
      </c>
      <c r="U28" s="62" t="s">
        <v>537</v>
      </c>
      <c r="V28" s="2" t="s">
        <v>26</v>
      </c>
      <c r="W28" s="34">
        <f t="shared" si="14"/>
        <v>113110</v>
      </c>
      <c r="X28" s="34">
        <f t="shared" si="15"/>
        <v>147612</v>
      </c>
      <c r="Y28" s="34">
        <f t="shared" si="16"/>
        <v>132440</v>
      </c>
      <c r="Z28" s="34">
        <f t="shared" si="17"/>
        <v>126220</v>
      </c>
    </row>
    <row r="29" spans="1:30" ht="15" customHeight="1" x14ac:dyDescent="0.3">
      <c r="A29" s="44" t="s">
        <v>476</v>
      </c>
      <c r="B29" s="43" t="s">
        <v>475</v>
      </c>
      <c r="C29" s="48">
        <v>0</v>
      </c>
      <c r="D29" s="48">
        <v>635.48</v>
      </c>
      <c r="E29" s="48">
        <v>1025.54</v>
      </c>
      <c r="F29" s="48">
        <v>1126.5</v>
      </c>
      <c r="G29" s="48">
        <v>1911.46</v>
      </c>
      <c r="H29" s="48">
        <v>2029.36</v>
      </c>
      <c r="I29" s="48">
        <v>3394.5</v>
      </c>
      <c r="J29" s="48">
        <v>4597.42</v>
      </c>
      <c r="K29" s="48">
        <v>4795.16</v>
      </c>
      <c r="L29" s="48">
        <v>4860.46</v>
      </c>
      <c r="M29" s="48">
        <v>4889.7</v>
      </c>
      <c r="N29" s="48">
        <v>29265.58</v>
      </c>
      <c r="O29" s="48">
        <f t="shared" si="1"/>
        <v>58676.399999999994</v>
      </c>
      <c r="P29" s="48">
        <f t="shared" si="2"/>
        <v>58181.279999999999</v>
      </c>
      <c r="Q29" s="48">
        <f t="shared" si="3"/>
        <v>49133.2</v>
      </c>
      <c r="R29" t="s">
        <v>532</v>
      </c>
      <c r="U29" s="62" t="s">
        <v>538</v>
      </c>
      <c r="V29" s="2" t="s">
        <v>62</v>
      </c>
      <c r="W29" s="34">
        <f t="shared" si="14"/>
        <v>179038.18</v>
      </c>
      <c r="X29" s="34">
        <f t="shared" si="15"/>
        <v>181175.28</v>
      </c>
      <c r="Y29" s="34">
        <f t="shared" si="16"/>
        <v>194429.72</v>
      </c>
      <c r="Z29" s="34">
        <f t="shared" si="17"/>
        <v>238100.82</v>
      </c>
    </row>
    <row r="30" spans="1:30" ht="15" customHeight="1" x14ac:dyDescent="0.3">
      <c r="A30" s="44" t="s">
        <v>474</v>
      </c>
      <c r="B30" s="43" t="s">
        <v>473</v>
      </c>
      <c r="C30" s="48">
        <v>150</v>
      </c>
      <c r="D30" s="48">
        <v>20</v>
      </c>
      <c r="E30" s="48">
        <v>670</v>
      </c>
      <c r="F30" s="48">
        <v>700</v>
      </c>
      <c r="G30" s="48">
        <v>706</v>
      </c>
      <c r="H30" s="48">
        <v>-158.33000000000001</v>
      </c>
      <c r="I30" s="48">
        <v>1098</v>
      </c>
      <c r="J30" s="48">
        <v>662</v>
      </c>
      <c r="K30" s="48">
        <v>-150</v>
      </c>
      <c r="L30" s="48">
        <v>1030.5999999999999</v>
      </c>
      <c r="M30" s="48">
        <v>1534.9</v>
      </c>
      <c r="N30" s="48">
        <v>6263.17</v>
      </c>
      <c r="O30" s="48">
        <f t="shared" si="1"/>
        <v>18418.800000000003</v>
      </c>
      <c r="P30" s="48">
        <f t="shared" si="2"/>
        <v>9662</v>
      </c>
      <c r="Q30" s="48">
        <f t="shared" si="3"/>
        <v>8034.34</v>
      </c>
      <c r="R30" t="s">
        <v>532</v>
      </c>
      <c r="U30" s="62" t="s">
        <v>539</v>
      </c>
      <c r="V30" s="2" t="s">
        <v>63</v>
      </c>
      <c r="W30" s="34">
        <f t="shared" si="14"/>
        <v>518746.83</v>
      </c>
      <c r="X30" s="34">
        <f t="shared" si="15"/>
        <v>521369.39999999997</v>
      </c>
      <c r="Y30" s="34">
        <f t="shared" si="16"/>
        <v>739625.15999999992</v>
      </c>
      <c r="Z30" s="34">
        <f t="shared" si="17"/>
        <v>691009.9</v>
      </c>
    </row>
    <row r="31" spans="1:30" ht="15" customHeight="1" x14ac:dyDescent="0.3">
      <c r="A31" s="44" t="s">
        <v>472</v>
      </c>
      <c r="B31" s="43" t="s">
        <v>471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48">
        <v>503.8</v>
      </c>
      <c r="L31" s="48">
        <v>0</v>
      </c>
      <c r="M31" s="48">
        <v>-503.8</v>
      </c>
      <c r="N31" s="48">
        <v>0</v>
      </c>
      <c r="O31" s="48">
        <f t="shared" si="1"/>
        <v>-6045.6</v>
      </c>
      <c r="P31" s="48">
        <f t="shared" si="2"/>
        <v>0</v>
      </c>
      <c r="Q31" s="48">
        <f t="shared" si="3"/>
        <v>0</v>
      </c>
      <c r="R31" t="s">
        <v>532</v>
      </c>
      <c r="U31" s="62" t="s">
        <v>540</v>
      </c>
      <c r="V31" s="2" t="s">
        <v>25</v>
      </c>
      <c r="W31" s="34">
        <f t="shared" si="14"/>
        <v>204801.49</v>
      </c>
      <c r="X31" s="34">
        <f t="shared" si="15"/>
        <v>410916.36</v>
      </c>
      <c r="Y31" s="34">
        <f t="shared" si="16"/>
        <v>270746.95999999996</v>
      </c>
      <c r="Z31" s="34">
        <f t="shared" si="17"/>
        <v>334543.72000000003</v>
      </c>
    </row>
    <row r="32" spans="1:30" ht="15" customHeight="1" x14ac:dyDescent="0.3">
      <c r="A32" s="44" t="s">
        <v>470</v>
      </c>
      <c r="B32" s="43" t="s">
        <v>469</v>
      </c>
      <c r="C32" s="48">
        <v>200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200</v>
      </c>
      <c r="O32" s="48">
        <f t="shared" si="1"/>
        <v>0</v>
      </c>
      <c r="P32" s="48">
        <f t="shared" si="2"/>
        <v>0</v>
      </c>
      <c r="Q32" s="48">
        <f t="shared" si="3"/>
        <v>0</v>
      </c>
      <c r="R32" t="s">
        <v>532</v>
      </c>
      <c r="U32" s="62" t="s">
        <v>541</v>
      </c>
      <c r="V32" s="2" t="s">
        <v>65</v>
      </c>
      <c r="W32" s="34">
        <f t="shared" si="14"/>
        <v>11960.98</v>
      </c>
      <c r="X32" s="34">
        <f t="shared" si="15"/>
        <v>0</v>
      </c>
      <c r="Y32" s="34">
        <f t="shared" si="16"/>
        <v>11739.439999999999</v>
      </c>
      <c r="Z32" s="34">
        <f t="shared" si="17"/>
        <v>14832</v>
      </c>
    </row>
    <row r="33" spans="1:30" ht="15" customHeight="1" x14ac:dyDescent="0.45">
      <c r="A33" s="44" t="s">
        <v>468</v>
      </c>
      <c r="B33" s="43" t="s">
        <v>467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2000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2000</v>
      </c>
      <c r="O33" s="69">
        <f t="shared" si="1"/>
        <v>0</v>
      </c>
      <c r="P33" s="69">
        <f t="shared" si="2"/>
        <v>0</v>
      </c>
      <c r="Q33" s="69">
        <f t="shared" si="3"/>
        <v>4000</v>
      </c>
      <c r="R33" t="s">
        <v>532</v>
      </c>
      <c r="U33" s="62" t="s">
        <v>542</v>
      </c>
      <c r="V33" s="2" t="s">
        <v>27</v>
      </c>
      <c r="W33" s="36">
        <f t="shared" si="14"/>
        <v>25602.13</v>
      </c>
      <c r="X33" s="36">
        <f t="shared" si="15"/>
        <v>0</v>
      </c>
      <c r="Y33" s="36">
        <f t="shared" si="16"/>
        <v>40050.959999999999</v>
      </c>
      <c r="Z33" s="36">
        <f t="shared" si="17"/>
        <v>39681.920000000006</v>
      </c>
    </row>
    <row r="34" spans="1:30" ht="15" customHeight="1" x14ac:dyDescent="0.3">
      <c r="A34" s="41" t="s">
        <v>466</v>
      </c>
      <c r="B34" s="40" t="s">
        <v>443</v>
      </c>
      <c r="C34" s="45">
        <v>470</v>
      </c>
      <c r="D34" s="45">
        <v>6745.32</v>
      </c>
      <c r="E34" s="45">
        <v>14885.17</v>
      </c>
      <c r="F34" s="45">
        <v>16857.98</v>
      </c>
      <c r="G34" s="45">
        <v>14793.27</v>
      </c>
      <c r="H34" s="45">
        <v>18224.18</v>
      </c>
      <c r="I34" s="45">
        <v>19084.43</v>
      </c>
      <c r="J34" s="45">
        <v>22720.05</v>
      </c>
      <c r="K34" s="45">
        <v>33540.370000000003</v>
      </c>
      <c r="L34" s="45">
        <v>26089.48</v>
      </c>
      <c r="M34" s="45">
        <v>43241.5</v>
      </c>
      <c r="N34" s="45">
        <v>216651.75</v>
      </c>
      <c r="O34" s="70">
        <f t="shared" si="1"/>
        <v>518898</v>
      </c>
      <c r="P34" s="70">
        <f t="shared" si="2"/>
        <v>411485.4</v>
      </c>
      <c r="Q34" s="70">
        <f t="shared" si="3"/>
        <v>325800.02</v>
      </c>
      <c r="V34" s="1" t="s">
        <v>30</v>
      </c>
      <c r="W34" s="14">
        <f>SUM(W24:W33)</f>
        <v>1188595.5799999998</v>
      </c>
      <c r="X34" s="14">
        <f t="shared" ref="X34:Z34" si="18">SUM(X24:X33)</f>
        <v>1477154.88</v>
      </c>
      <c r="Y34" s="14">
        <f t="shared" si="18"/>
        <v>1621229.2799999998</v>
      </c>
      <c r="Z34" s="14">
        <f t="shared" si="18"/>
        <v>1641463.5799999998</v>
      </c>
      <c r="AA34" s="65">
        <f>N261</f>
        <v>1188595.58</v>
      </c>
      <c r="AB34" s="65">
        <f t="shared" ref="AB34:AD34" si="19">O261</f>
        <v>1477154.8800000001</v>
      </c>
      <c r="AC34" s="65">
        <f t="shared" si="19"/>
        <v>1621229.2799999998</v>
      </c>
      <c r="AD34" s="65">
        <f t="shared" si="19"/>
        <v>1641463.5799999998</v>
      </c>
    </row>
    <row r="35" spans="1:30" ht="15" customHeight="1" x14ac:dyDescent="0.3">
      <c r="A35" s="44"/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>
        <f t="shared" si="1"/>
        <v>0</v>
      </c>
      <c r="P35" s="44">
        <f t="shared" si="2"/>
        <v>0</v>
      </c>
      <c r="Q35" s="44">
        <f t="shared" si="3"/>
        <v>0</v>
      </c>
      <c r="V35" s="17"/>
      <c r="W35" s="18"/>
      <c r="X35" s="18"/>
      <c r="Y35" s="18"/>
      <c r="Z35" s="18"/>
    </row>
    <row r="36" spans="1:30" ht="15" customHeight="1" x14ac:dyDescent="0.3">
      <c r="A36" s="41" t="s">
        <v>465</v>
      </c>
      <c r="B36" s="40" t="s">
        <v>464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>
        <f t="shared" si="1"/>
        <v>0</v>
      </c>
      <c r="P36" s="49">
        <f t="shared" si="2"/>
        <v>0</v>
      </c>
      <c r="Q36" s="49">
        <f t="shared" si="3"/>
        <v>0</v>
      </c>
      <c r="V36" s="1" t="s">
        <v>31</v>
      </c>
      <c r="W36" s="14">
        <f>+W21-W34</f>
        <v>594595.58999999915</v>
      </c>
      <c r="X36" s="14">
        <f t="shared" ref="X36:Z36" si="20">+X21-X34</f>
        <v>3671451.12</v>
      </c>
      <c r="Y36" s="14">
        <f t="shared" si="20"/>
        <v>2758623.36</v>
      </c>
      <c r="Z36" s="14">
        <f t="shared" si="20"/>
        <v>1584809.5599999998</v>
      </c>
      <c r="AA36" s="65">
        <f>N263</f>
        <v>594595.59</v>
      </c>
      <c r="AB36" s="65">
        <f t="shared" ref="AB36:AD36" si="21">O263</f>
        <v>3671451.12</v>
      </c>
      <c r="AC36" s="65">
        <f t="shared" si="21"/>
        <v>2758623.3600000003</v>
      </c>
      <c r="AD36" s="65">
        <f t="shared" si="21"/>
        <v>1584809.56</v>
      </c>
    </row>
    <row r="37" spans="1:30" ht="15" customHeight="1" x14ac:dyDescent="0.3">
      <c r="A37" s="44" t="s">
        <v>463</v>
      </c>
      <c r="B37" s="43" t="s">
        <v>462</v>
      </c>
      <c r="C37" s="48">
        <v>0</v>
      </c>
      <c r="D37" s="48">
        <v>0</v>
      </c>
      <c r="E37" s="48">
        <v>0</v>
      </c>
      <c r="F37" s="48">
        <v>0</v>
      </c>
      <c r="G37" s="48">
        <v>260</v>
      </c>
      <c r="H37" s="48">
        <v>201.07</v>
      </c>
      <c r="I37" s="48">
        <v>146.04</v>
      </c>
      <c r="J37" s="48">
        <v>244.69</v>
      </c>
      <c r="K37" s="48">
        <v>400</v>
      </c>
      <c r="L37" s="48">
        <v>20</v>
      </c>
      <c r="M37" s="48">
        <v>0</v>
      </c>
      <c r="N37" s="48">
        <v>1271.8</v>
      </c>
      <c r="O37" s="48">
        <f t="shared" si="1"/>
        <v>0</v>
      </c>
      <c r="P37" s="48">
        <f t="shared" si="2"/>
        <v>1680</v>
      </c>
      <c r="Q37" s="48">
        <f t="shared" si="3"/>
        <v>2023.6</v>
      </c>
    </row>
    <row r="38" spans="1:30" ht="15" customHeight="1" x14ac:dyDescent="0.3">
      <c r="A38" s="44" t="s">
        <v>461</v>
      </c>
      <c r="B38" s="43" t="s">
        <v>460</v>
      </c>
      <c r="C38" s="48">
        <v>0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1200</v>
      </c>
      <c r="K38" s="48">
        <v>125</v>
      </c>
      <c r="L38" s="48">
        <v>0</v>
      </c>
      <c r="M38" s="48">
        <v>0</v>
      </c>
      <c r="N38" s="48">
        <v>1325</v>
      </c>
      <c r="O38" s="48">
        <f t="shared" si="1"/>
        <v>0</v>
      </c>
      <c r="P38" s="48">
        <f t="shared" si="2"/>
        <v>500</v>
      </c>
      <c r="Q38" s="48">
        <f t="shared" si="3"/>
        <v>2650</v>
      </c>
    </row>
    <row r="39" spans="1:30" ht="15" customHeight="1" x14ac:dyDescent="0.3">
      <c r="A39" s="44" t="s">
        <v>459</v>
      </c>
      <c r="B39" s="43" t="s">
        <v>458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-17.21</v>
      </c>
      <c r="I39" s="48">
        <v>0</v>
      </c>
      <c r="J39" s="48">
        <v>0</v>
      </c>
      <c r="K39" s="48">
        <v>290.73</v>
      </c>
      <c r="L39" s="48">
        <v>0</v>
      </c>
      <c r="M39" s="48">
        <v>625</v>
      </c>
      <c r="N39" s="48">
        <v>898.52</v>
      </c>
      <c r="O39" s="48">
        <f t="shared" si="1"/>
        <v>7500</v>
      </c>
      <c r="P39" s="48">
        <f t="shared" si="2"/>
        <v>3662.92</v>
      </c>
      <c r="Q39" s="48">
        <f t="shared" si="3"/>
        <v>1797.04</v>
      </c>
    </row>
    <row r="40" spans="1:30" ht="15" customHeight="1" x14ac:dyDescent="0.3">
      <c r="A40" s="44" t="s">
        <v>457</v>
      </c>
      <c r="B40" s="43" t="s">
        <v>456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2092.42</v>
      </c>
      <c r="L40" s="48">
        <v>5594.91</v>
      </c>
      <c r="M40" s="48">
        <v>-102.5</v>
      </c>
      <c r="N40" s="48">
        <v>7584.83</v>
      </c>
      <c r="O40" s="48">
        <f t="shared" si="1"/>
        <v>-1230</v>
      </c>
      <c r="P40" s="48">
        <f t="shared" si="2"/>
        <v>30339.32</v>
      </c>
      <c r="Q40" s="48">
        <f t="shared" si="3"/>
        <v>15169.66</v>
      </c>
    </row>
    <row r="41" spans="1:30" ht="15" customHeight="1" x14ac:dyDescent="0.3">
      <c r="A41" s="44" t="s">
        <v>455</v>
      </c>
      <c r="B41" s="43" t="s">
        <v>454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6250</v>
      </c>
      <c r="L41" s="47">
        <v>-6250</v>
      </c>
      <c r="M41" s="47">
        <v>0</v>
      </c>
      <c r="N41" s="47">
        <v>0</v>
      </c>
      <c r="O41" s="69">
        <f t="shared" si="1"/>
        <v>0</v>
      </c>
      <c r="P41" s="69">
        <f t="shared" si="2"/>
        <v>0</v>
      </c>
      <c r="Q41" s="69">
        <f t="shared" si="3"/>
        <v>0</v>
      </c>
    </row>
    <row r="42" spans="1:30" ht="15" customHeight="1" x14ac:dyDescent="0.3">
      <c r="A42" s="41" t="s">
        <v>453</v>
      </c>
      <c r="B42" s="40" t="s">
        <v>452</v>
      </c>
      <c r="C42" s="45">
        <v>0</v>
      </c>
      <c r="D42" s="45">
        <v>0</v>
      </c>
      <c r="E42" s="45">
        <v>0</v>
      </c>
      <c r="F42" s="45">
        <v>0</v>
      </c>
      <c r="G42" s="45">
        <v>260</v>
      </c>
      <c r="H42" s="45">
        <v>183.86</v>
      </c>
      <c r="I42" s="45">
        <v>146.04</v>
      </c>
      <c r="J42" s="45">
        <v>1444.69</v>
      </c>
      <c r="K42" s="45">
        <v>9158.15</v>
      </c>
      <c r="L42" s="45">
        <v>-635.09</v>
      </c>
      <c r="M42" s="45">
        <v>522.5</v>
      </c>
      <c r="N42" s="45">
        <v>11080.15</v>
      </c>
      <c r="O42" s="70">
        <f t="shared" si="1"/>
        <v>6270</v>
      </c>
      <c r="P42" s="70">
        <f t="shared" si="2"/>
        <v>36182.239999999998</v>
      </c>
      <c r="Q42" s="70">
        <f t="shared" si="3"/>
        <v>21640.3</v>
      </c>
      <c r="R42" t="s">
        <v>532</v>
      </c>
    </row>
    <row r="43" spans="1:30" ht="15" customHeight="1" x14ac:dyDescent="0.3">
      <c r="A43" s="44"/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>
        <f t="shared" si="1"/>
        <v>0</v>
      </c>
      <c r="P43" s="44">
        <f t="shared" si="2"/>
        <v>0</v>
      </c>
      <c r="Q43" s="44">
        <f t="shared" si="3"/>
        <v>0</v>
      </c>
    </row>
    <row r="44" spans="1:30" ht="15" customHeight="1" x14ac:dyDescent="0.3">
      <c r="A44" s="41" t="s">
        <v>451</v>
      </c>
      <c r="B44" s="40" t="s">
        <v>450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>
        <f t="shared" si="1"/>
        <v>0</v>
      </c>
      <c r="P44" s="49">
        <f t="shared" si="2"/>
        <v>0</v>
      </c>
      <c r="Q44" s="49">
        <f t="shared" si="3"/>
        <v>0</v>
      </c>
    </row>
    <row r="45" spans="1:30" ht="15" customHeight="1" x14ac:dyDescent="0.3">
      <c r="A45" s="44" t="s">
        <v>449</v>
      </c>
      <c r="B45" s="43" t="s">
        <v>268</v>
      </c>
      <c r="C45" s="48">
        <v>0</v>
      </c>
      <c r="D45" s="48">
        <v>68</v>
      </c>
      <c r="E45" s="48">
        <v>148</v>
      </c>
      <c r="F45" s="48">
        <v>928</v>
      </c>
      <c r="G45" s="48">
        <v>1976.01</v>
      </c>
      <c r="H45" s="48">
        <v>3648.92</v>
      </c>
      <c r="I45" s="48">
        <v>4855.2299999999996</v>
      </c>
      <c r="J45" s="48">
        <v>6486.03</v>
      </c>
      <c r="K45" s="48">
        <v>7905.12</v>
      </c>
      <c r="L45" s="48">
        <v>11089.61</v>
      </c>
      <c r="M45" s="48">
        <v>13938.79</v>
      </c>
      <c r="N45" s="48">
        <v>51043.71</v>
      </c>
      <c r="O45" s="48">
        <f t="shared" si="1"/>
        <v>167265.48000000001</v>
      </c>
      <c r="P45" s="48">
        <f t="shared" si="2"/>
        <v>131734.08000000002</v>
      </c>
      <c r="Q45" s="48">
        <f t="shared" si="3"/>
        <v>95847.400000000009</v>
      </c>
    </row>
    <row r="46" spans="1:30" ht="15" customHeight="1" x14ac:dyDescent="0.3">
      <c r="A46" s="44" t="s">
        <v>448</v>
      </c>
      <c r="B46" s="43" t="s">
        <v>266</v>
      </c>
      <c r="C46" s="48">
        <v>0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-35</v>
      </c>
      <c r="M46" s="48">
        <v>0</v>
      </c>
      <c r="N46" s="48">
        <v>-35</v>
      </c>
      <c r="O46" s="48">
        <f t="shared" si="1"/>
        <v>0</v>
      </c>
      <c r="P46" s="48">
        <f t="shared" si="2"/>
        <v>-140</v>
      </c>
      <c r="Q46" s="48">
        <f t="shared" si="3"/>
        <v>-70</v>
      </c>
    </row>
    <row r="47" spans="1:30" ht="15" customHeight="1" x14ac:dyDescent="0.3">
      <c r="A47" s="44" t="s">
        <v>447</v>
      </c>
      <c r="B47" s="43" t="s">
        <v>264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-143.85</v>
      </c>
      <c r="J47" s="47">
        <v>385.95</v>
      </c>
      <c r="K47" s="47">
        <v>-760.6</v>
      </c>
      <c r="L47" s="47">
        <v>518.5</v>
      </c>
      <c r="M47" s="47">
        <v>0</v>
      </c>
      <c r="N47" s="47">
        <v>0</v>
      </c>
      <c r="O47" s="69">
        <f t="shared" si="1"/>
        <v>0</v>
      </c>
      <c r="P47" s="69">
        <f t="shared" si="2"/>
        <v>-968.40000000000009</v>
      </c>
      <c r="Q47" s="69">
        <f t="shared" si="3"/>
        <v>0</v>
      </c>
    </row>
    <row r="48" spans="1:30" ht="15" customHeight="1" x14ac:dyDescent="0.3">
      <c r="A48" s="41" t="s">
        <v>446</v>
      </c>
      <c r="B48" s="40" t="s">
        <v>445</v>
      </c>
      <c r="C48" s="45">
        <v>0</v>
      </c>
      <c r="D48" s="45">
        <v>68</v>
      </c>
      <c r="E48" s="45">
        <v>148</v>
      </c>
      <c r="F48" s="45">
        <v>928</v>
      </c>
      <c r="G48" s="45">
        <v>1976.01</v>
      </c>
      <c r="H48" s="45">
        <v>3648.92</v>
      </c>
      <c r="I48" s="45">
        <v>4711.38</v>
      </c>
      <c r="J48" s="45">
        <v>6871.98</v>
      </c>
      <c r="K48" s="45">
        <v>7144.52</v>
      </c>
      <c r="L48" s="45">
        <v>11573.11</v>
      </c>
      <c r="M48" s="45">
        <v>13938.79</v>
      </c>
      <c r="N48" s="45">
        <v>51008.71</v>
      </c>
      <c r="O48" s="70">
        <f t="shared" si="1"/>
        <v>167265.48000000001</v>
      </c>
      <c r="P48" s="70">
        <f t="shared" si="2"/>
        <v>130625.68000000001</v>
      </c>
      <c r="Q48" s="70">
        <f t="shared" si="3"/>
        <v>95777.400000000009</v>
      </c>
      <c r="R48" t="s">
        <v>53</v>
      </c>
    </row>
    <row r="49" spans="1:17" ht="15" customHeight="1" x14ac:dyDescent="0.3">
      <c r="A49" s="44"/>
      <c r="B49" s="43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71">
        <f t="shared" si="1"/>
        <v>0</v>
      </c>
      <c r="P49" s="71">
        <f t="shared" si="2"/>
        <v>0</v>
      </c>
      <c r="Q49" s="71">
        <f t="shared" si="3"/>
        <v>0</v>
      </c>
    </row>
    <row r="50" spans="1:17" ht="15" customHeight="1" x14ac:dyDescent="0.3">
      <c r="A50" s="41" t="s">
        <v>444</v>
      </c>
      <c r="B50" s="40" t="s">
        <v>443</v>
      </c>
      <c r="C50" s="45">
        <v>470</v>
      </c>
      <c r="D50" s="45">
        <v>6813.32</v>
      </c>
      <c r="E50" s="45">
        <v>15033.17</v>
      </c>
      <c r="F50" s="45">
        <v>17785.98</v>
      </c>
      <c r="G50" s="45">
        <v>17029.28</v>
      </c>
      <c r="H50" s="45">
        <v>22056.959999999999</v>
      </c>
      <c r="I50" s="45">
        <v>23941.85</v>
      </c>
      <c r="J50" s="45">
        <v>31036.720000000001</v>
      </c>
      <c r="K50" s="45">
        <v>49843.040000000001</v>
      </c>
      <c r="L50" s="45">
        <v>37027.5</v>
      </c>
      <c r="M50" s="45">
        <v>57702.79</v>
      </c>
      <c r="N50" s="45">
        <v>278740.61</v>
      </c>
      <c r="O50" s="70">
        <f t="shared" si="1"/>
        <v>692433.48</v>
      </c>
      <c r="P50" s="70">
        <f t="shared" si="2"/>
        <v>578293.32000000007</v>
      </c>
      <c r="Q50" s="70">
        <f t="shared" si="3"/>
        <v>443217.72000000003</v>
      </c>
    </row>
    <row r="51" spans="1:17" ht="15" customHeight="1" x14ac:dyDescent="0.3">
      <c r="A51" s="44"/>
      <c r="B51" s="43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71">
        <f t="shared" si="1"/>
        <v>0</v>
      </c>
      <c r="P51" s="71">
        <f t="shared" si="2"/>
        <v>0</v>
      </c>
      <c r="Q51" s="71">
        <f t="shared" si="3"/>
        <v>0</v>
      </c>
    </row>
    <row r="52" spans="1:17" ht="15" customHeight="1" x14ac:dyDescent="0.3">
      <c r="A52" s="41" t="s">
        <v>442</v>
      </c>
      <c r="B52" s="40" t="s">
        <v>441</v>
      </c>
      <c r="C52" s="45">
        <v>-880</v>
      </c>
      <c r="D52" s="45">
        <v>7732.97</v>
      </c>
      <c r="E52" s="45">
        <v>21505</v>
      </c>
      <c r="F52" s="45">
        <v>59437.66</v>
      </c>
      <c r="G52" s="45">
        <v>82258.97</v>
      </c>
      <c r="H52" s="45">
        <v>119222.07</v>
      </c>
      <c r="I52" s="45">
        <v>154456.32000000001</v>
      </c>
      <c r="J52" s="45">
        <v>244495.02</v>
      </c>
      <c r="K52" s="45">
        <v>311288.78000000003</v>
      </c>
      <c r="L52" s="45">
        <v>354623.88</v>
      </c>
      <c r="M52" s="45">
        <v>429050.5</v>
      </c>
      <c r="N52" s="45">
        <v>1783191.17</v>
      </c>
      <c r="O52" s="70">
        <f t="shared" si="1"/>
        <v>5148606</v>
      </c>
      <c r="P52" s="70">
        <f t="shared" si="2"/>
        <v>4379852.6400000006</v>
      </c>
      <c r="Q52" s="70">
        <f t="shared" si="3"/>
        <v>3226273.14</v>
      </c>
    </row>
    <row r="53" spans="1:17" ht="15" customHeight="1" x14ac:dyDescent="0.3">
      <c r="A53" s="44"/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>
        <f t="shared" si="1"/>
        <v>0</v>
      </c>
      <c r="P53" s="44">
        <f t="shared" si="2"/>
        <v>0</v>
      </c>
      <c r="Q53" s="44">
        <f t="shared" si="3"/>
        <v>0</v>
      </c>
    </row>
    <row r="54" spans="1:17" ht="15" customHeight="1" x14ac:dyDescent="0.3">
      <c r="A54" s="41" t="s">
        <v>440</v>
      </c>
      <c r="B54" s="40" t="s">
        <v>18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>
        <f t="shared" si="1"/>
        <v>0</v>
      </c>
      <c r="P54" s="49">
        <f t="shared" si="2"/>
        <v>0</v>
      </c>
      <c r="Q54" s="49">
        <f t="shared" si="3"/>
        <v>0</v>
      </c>
    </row>
    <row r="55" spans="1:17" ht="15" customHeight="1" x14ac:dyDescent="0.3">
      <c r="A55" s="4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>
        <f t="shared" si="1"/>
        <v>0</v>
      </c>
      <c r="P55" s="44">
        <f t="shared" si="2"/>
        <v>0</v>
      </c>
      <c r="Q55" s="44">
        <f t="shared" si="3"/>
        <v>0</v>
      </c>
    </row>
    <row r="56" spans="1:17" ht="15" customHeight="1" x14ac:dyDescent="0.3">
      <c r="A56" s="41" t="s">
        <v>439</v>
      </c>
      <c r="B56" s="40" t="s">
        <v>438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>
        <f t="shared" si="1"/>
        <v>0</v>
      </c>
      <c r="P56" s="49">
        <f t="shared" si="2"/>
        <v>0</v>
      </c>
      <c r="Q56" s="49">
        <f t="shared" si="3"/>
        <v>0</v>
      </c>
    </row>
    <row r="57" spans="1:17" ht="15" customHeight="1" x14ac:dyDescent="0.3">
      <c r="A57" s="44"/>
      <c r="B57" s="4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>
        <f t="shared" si="1"/>
        <v>0</v>
      </c>
      <c r="P57" s="44">
        <f t="shared" si="2"/>
        <v>0</v>
      </c>
      <c r="Q57" s="44">
        <f t="shared" si="3"/>
        <v>0</v>
      </c>
    </row>
    <row r="58" spans="1:17" ht="15" customHeight="1" x14ac:dyDescent="0.3">
      <c r="A58" s="41" t="s">
        <v>437</v>
      </c>
      <c r="B58" s="40" t="s">
        <v>436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>
        <f t="shared" si="1"/>
        <v>0</v>
      </c>
      <c r="P58" s="49">
        <f t="shared" si="2"/>
        <v>0</v>
      </c>
      <c r="Q58" s="49">
        <f t="shared" si="3"/>
        <v>0</v>
      </c>
    </row>
    <row r="59" spans="1:17" ht="15" customHeight="1" x14ac:dyDescent="0.3">
      <c r="A59" s="44" t="s">
        <v>435</v>
      </c>
      <c r="B59" s="43" t="s">
        <v>434</v>
      </c>
      <c r="C59" s="48">
        <v>0</v>
      </c>
      <c r="D59" s="48">
        <v>0</v>
      </c>
      <c r="E59" s="48">
        <v>567.70000000000005</v>
      </c>
      <c r="F59" s="48">
        <v>567.70000000000005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1135.4000000000001</v>
      </c>
      <c r="O59" s="48">
        <f t="shared" si="1"/>
        <v>0</v>
      </c>
      <c r="P59" s="48">
        <f t="shared" si="2"/>
        <v>0</v>
      </c>
      <c r="Q59" s="48">
        <f t="shared" si="3"/>
        <v>0</v>
      </c>
    </row>
    <row r="60" spans="1:17" ht="15" customHeight="1" x14ac:dyDescent="0.3">
      <c r="A60" s="44" t="s">
        <v>433</v>
      </c>
      <c r="B60" s="43" t="s">
        <v>432</v>
      </c>
      <c r="C60" s="48">
        <v>2570.9299999999998</v>
      </c>
      <c r="D60" s="48">
        <v>7617.99</v>
      </c>
      <c r="E60" s="48">
        <v>5447.76</v>
      </c>
      <c r="F60" s="48">
        <v>5519.76</v>
      </c>
      <c r="G60" s="48">
        <v>5663.76</v>
      </c>
      <c r="H60" s="48">
        <v>5946.45</v>
      </c>
      <c r="I60" s="48">
        <v>5718.38</v>
      </c>
      <c r="J60" s="48">
        <v>5796.38</v>
      </c>
      <c r="K60" s="48">
        <v>5841.38</v>
      </c>
      <c r="L60" s="48">
        <v>5818.38</v>
      </c>
      <c r="M60" s="48">
        <v>6166.65</v>
      </c>
      <c r="N60" s="48">
        <v>62107.82</v>
      </c>
      <c r="O60" s="48">
        <f t="shared" si="1"/>
        <v>73999.799999999988</v>
      </c>
      <c r="P60" s="48">
        <f t="shared" si="2"/>
        <v>71305.64</v>
      </c>
      <c r="Q60" s="48">
        <f t="shared" si="3"/>
        <v>70575.240000000005</v>
      </c>
    </row>
    <row r="61" spans="1:17" ht="15" customHeight="1" x14ac:dyDescent="0.3">
      <c r="A61" s="44" t="s">
        <v>431</v>
      </c>
      <c r="B61" s="43" t="s">
        <v>430</v>
      </c>
      <c r="C61" s="48">
        <v>0</v>
      </c>
      <c r="D61" s="48">
        <v>0</v>
      </c>
      <c r="E61" s="48">
        <v>0</v>
      </c>
      <c r="F61" s="48">
        <v>4964.3</v>
      </c>
      <c r="G61" s="48">
        <v>3172.8</v>
      </c>
      <c r="H61" s="48">
        <v>5474.83</v>
      </c>
      <c r="I61" s="48">
        <v>3551.01</v>
      </c>
      <c r="J61" s="48">
        <v>3654.63</v>
      </c>
      <c r="K61" s="48">
        <v>3550.8</v>
      </c>
      <c r="L61" s="48">
        <v>3596.85</v>
      </c>
      <c r="M61" s="48">
        <v>3499.7</v>
      </c>
      <c r="N61" s="48">
        <v>31464.92</v>
      </c>
      <c r="O61" s="48">
        <f t="shared" si="1"/>
        <v>41996.399999999994</v>
      </c>
      <c r="P61" s="48">
        <f t="shared" si="2"/>
        <v>42589.399999999994</v>
      </c>
      <c r="Q61" s="48">
        <f t="shared" si="3"/>
        <v>46655.64</v>
      </c>
    </row>
    <row r="62" spans="1:17" ht="15" customHeight="1" x14ac:dyDescent="0.3">
      <c r="A62" s="44" t="s">
        <v>429</v>
      </c>
      <c r="B62" s="43" t="s">
        <v>428</v>
      </c>
      <c r="C62" s="47">
        <v>0</v>
      </c>
      <c r="D62" s="47">
        <v>0</v>
      </c>
      <c r="E62" s="47">
        <v>1007.71</v>
      </c>
      <c r="F62" s="47">
        <v>0</v>
      </c>
      <c r="G62" s="47">
        <v>0</v>
      </c>
      <c r="H62" s="47">
        <v>28.66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1036.3699999999999</v>
      </c>
      <c r="O62" s="69">
        <f t="shared" si="1"/>
        <v>0</v>
      </c>
      <c r="P62" s="69">
        <f t="shared" si="2"/>
        <v>0</v>
      </c>
      <c r="Q62" s="69">
        <f t="shared" si="3"/>
        <v>57.32</v>
      </c>
    </row>
    <row r="63" spans="1:17" ht="15" customHeight="1" x14ac:dyDescent="0.3">
      <c r="A63" s="41" t="s">
        <v>427</v>
      </c>
      <c r="B63" s="40" t="s">
        <v>426</v>
      </c>
      <c r="C63" s="45">
        <v>2570.9299999999998</v>
      </c>
      <c r="D63" s="45">
        <v>7617.99</v>
      </c>
      <c r="E63" s="45">
        <v>7023.17</v>
      </c>
      <c r="F63" s="45">
        <v>11051.76</v>
      </c>
      <c r="G63" s="45">
        <v>8836.56</v>
      </c>
      <c r="H63" s="45">
        <v>11449.94</v>
      </c>
      <c r="I63" s="45">
        <v>9269.39</v>
      </c>
      <c r="J63" s="45">
        <v>9451.01</v>
      </c>
      <c r="K63" s="45">
        <v>9392.18</v>
      </c>
      <c r="L63" s="45">
        <v>9415.23</v>
      </c>
      <c r="M63" s="45">
        <v>9666.35</v>
      </c>
      <c r="N63" s="45">
        <v>95744.51</v>
      </c>
      <c r="O63" s="70">
        <f t="shared" si="1"/>
        <v>115996.20000000001</v>
      </c>
      <c r="P63" s="70">
        <f t="shared" si="2"/>
        <v>113895.04000000001</v>
      </c>
      <c r="Q63" s="70">
        <f t="shared" si="3"/>
        <v>117288.2</v>
      </c>
    </row>
    <row r="64" spans="1:17" ht="15" customHeight="1" x14ac:dyDescent="0.3">
      <c r="A64" s="44"/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>
        <f t="shared" si="1"/>
        <v>0</v>
      </c>
      <c r="P64" s="44">
        <f t="shared" si="2"/>
        <v>0</v>
      </c>
      <c r="Q64" s="44">
        <f t="shared" si="3"/>
        <v>0</v>
      </c>
    </row>
    <row r="65" spans="1:17" ht="15" customHeight="1" x14ac:dyDescent="0.3">
      <c r="A65" s="41" t="s">
        <v>425</v>
      </c>
      <c r="B65" s="40" t="s">
        <v>424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>
        <f t="shared" si="1"/>
        <v>0</v>
      </c>
      <c r="P65" s="49">
        <f t="shared" si="2"/>
        <v>0</v>
      </c>
      <c r="Q65" s="49">
        <f t="shared" si="3"/>
        <v>0</v>
      </c>
    </row>
    <row r="66" spans="1:17" ht="15" customHeight="1" x14ac:dyDescent="0.3">
      <c r="A66" s="44" t="s">
        <v>423</v>
      </c>
      <c r="B66" s="43" t="s">
        <v>422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3809.6</v>
      </c>
      <c r="I66" s="48">
        <v>3399.71</v>
      </c>
      <c r="J66" s="48">
        <v>1682.82</v>
      </c>
      <c r="K66" s="48">
        <v>2973.31</v>
      </c>
      <c r="L66" s="48">
        <v>3000.29</v>
      </c>
      <c r="M66" s="48">
        <v>2892.65</v>
      </c>
      <c r="N66" s="48">
        <v>17758.38</v>
      </c>
      <c r="O66" s="48">
        <f t="shared" si="1"/>
        <v>34711.800000000003</v>
      </c>
      <c r="P66" s="48">
        <f t="shared" si="2"/>
        <v>35465</v>
      </c>
      <c r="Q66" s="48">
        <f t="shared" si="3"/>
        <v>35516.76</v>
      </c>
    </row>
    <row r="67" spans="1:17" ht="15" customHeight="1" x14ac:dyDescent="0.3">
      <c r="A67" s="44" t="s">
        <v>421</v>
      </c>
      <c r="B67" s="43" t="s">
        <v>420</v>
      </c>
      <c r="C67" s="47">
        <v>4815.55</v>
      </c>
      <c r="D67" s="47">
        <v>6790.48</v>
      </c>
      <c r="E67" s="47">
        <v>5005.97</v>
      </c>
      <c r="F67" s="47">
        <v>5478.7</v>
      </c>
      <c r="G67" s="47">
        <v>5731.53</v>
      </c>
      <c r="H67" s="47">
        <v>3562.48</v>
      </c>
      <c r="I67" s="47">
        <v>4584.72</v>
      </c>
      <c r="J67" s="47">
        <v>6754.59</v>
      </c>
      <c r="K67" s="47">
        <v>5385.06</v>
      </c>
      <c r="L67" s="47">
        <v>5248.63</v>
      </c>
      <c r="M67" s="47">
        <v>5502.44</v>
      </c>
      <c r="N67" s="47">
        <v>58860.15</v>
      </c>
      <c r="O67" s="69">
        <f t="shared" si="1"/>
        <v>66029.279999999999</v>
      </c>
      <c r="P67" s="69">
        <f t="shared" si="2"/>
        <v>64544.520000000004</v>
      </c>
      <c r="Q67" s="69">
        <f t="shared" si="3"/>
        <v>62075.840000000004</v>
      </c>
    </row>
    <row r="68" spans="1:17" ht="15" customHeight="1" x14ac:dyDescent="0.3">
      <c r="A68" s="41" t="s">
        <v>419</v>
      </c>
      <c r="B68" s="40" t="s">
        <v>418</v>
      </c>
      <c r="C68" s="45">
        <v>4815.55</v>
      </c>
      <c r="D68" s="45">
        <v>6790.48</v>
      </c>
      <c r="E68" s="45">
        <v>5005.97</v>
      </c>
      <c r="F68" s="45">
        <v>5478.7</v>
      </c>
      <c r="G68" s="45">
        <v>5731.53</v>
      </c>
      <c r="H68" s="45">
        <v>7372.08</v>
      </c>
      <c r="I68" s="45">
        <v>7984.43</v>
      </c>
      <c r="J68" s="45">
        <v>8437.41</v>
      </c>
      <c r="K68" s="45">
        <v>8358.3700000000008</v>
      </c>
      <c r="L68" s="45">
        <v>8248.92</v>
      </c>
      <c r="M68" s="45">
        <v>8395.09</v>
      </c>
      <c r="N68" s="45">
        <v>76618.53</v>
      </c>
      <c r="O68" s="70">
        <f t="shared" si="1"/>
        <v>100741.08</v>
      </c>
      <c r="P68" s="70">
        <f t="shared" si="2"/>
        <v>100009.52</v>
      </c>
      <c r="Q68" s="70">
        <f t="shared" si="3"/>
        <v>97592.6</v>
      </c>
    </row>
    <row r="69" spans="1:17" ht="15" customHeight="1" x14ac:dyDescent="0.3">
      <c r="A69" s="44"/>
      <c r="B69" s="43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>
        <f t="shared" si="1"/>
        <v>0</v>
      </c>
      <c r="P69" s="44">
        <f t="shared" si="2"/>
        <v>0</v>
      </c>
      <c r="Q69" s="44">
        <f t="shared" si="3"/>
        <v>0</v>
      </c>
    </row>
    <row r="70" spans="1:17" ht="15" customHeight="1" x14ac:dyDescent="0.3">
      <c r="A70" s="41" t="s">
        <v>417</v>
      </c>
      <c r="B70" s="40" t="s">
        <v>416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>
        <f t="shared" ref="O70:O133" si="22">IF($N$5="","",M70*12)</f>
        <v>0</v>
      </c>
      <c r="P70" s="49">
        <f t="shared" ref="P70:P133" si="23">IF($N$5="","",SUM(K70:M70)*4)</f>
        <v>0</v>
      </c>
      <c r="Q70" s="49">
        <f t="shared" ref="Q70:Q133" si="24">IF($N$5="","",SUM(H70:M70)*2)</f>
        <v>0</v>
      </c>
    </row>
    <row r="71" spans="1:17" ht="15" customHeight="1" x14ac:dyDescent="0.3">
      <c r="A71" s="44" t="s">
        <v>415</v>
      </c>
      <c r="B71" s="43" t="s">
        <v>414</v>
      </c>
      <c r="C71" s="48">
        <v>0</v>
      </c>
      <c r="D71" s="48">
        <v>7888.68</v>
      </c>
      <c r="E71" s="48">
        <v>5768.27</v>
      </c>
      <c r="F71" s="48">
        <v>5874.16</v>
      </c>
      <c r="G71" s="48">
        <v>6043.05</v>
      </c>
      <c r="H71" s="48">
        <v>6339</v>
      </c>
      <c r="I71" s="48">
        <v>6287.34</v>
      </c>
      <c r="J71" s="48">
        <v>4711.47</v>
      </c>
      <c r="K71" s="48">
        <v>5795</v>
      </c>
      <c r="L71" s="48">
        <v>8026.89</v>
      </c>
      <c r="M71" s="48">
        <v>6099.64</v>
      </c>
      <c r="N71" s="48">
        <v>62833.5</v>
      </c>
      <c r="O71" s="48">
        <f t="shared" si="22"/>
        <v>73195.680000000008</v>
      </c>
      <c r="P71" s="48">
        <f t="shared" si="23"/>
        <v>79686.12</v>
      </c>
      <c r="Q71" s="48">
        <f t="shared" si="24"/>
        <v>74518.680000000008</v>
      </c>
    </row>
    <row r="72" spans="1:17" ht="15" customHeight="1" x14ac:dyDescent="0.3">
      <c r="A72" s="44" t="s">
        <v>413</v>
      </c>
      <c r="B72" s="43" t="s">
        <v>412</v>
      </c>
      <c r="C72" s="48">
        <v>370.26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0</v>
      </c>
      <c r="M72" s="48">
        <v>0</v>
      </c>
      <c r="N72" s="48">
        <v>370.26</v>
      </c>
      <c r="O72" s="48">
        <f t="shared" si="22"/>
        <v>0</v>
      </c>
      <c r="P72" s="48">
        <f t="shared" si="23"/>
        <v>0</v>
      </c>
      <c r="Q72" s="48">
        <f t="shared" si="24"/>
        <v>0</v>
      </c>
    </row>
    <row r="73" spans="1:17" ht="15" customHeight="1" x14ac:dyDescent="0.3">
      <c r="A73" s="44" t="s">
        <v>411</v>
      </c>
      <c r="B73" s="43" t="s">
        <v>410</v>
      </c>
      <c r="C73" s="48">
        <v>0</v>
      </c>
      <c r="D73" s="48">
        <v>0</v>
      </c>
      <c r="E73" s="48">
        <v>0</v>
      </c>
      <c r="F73" s="48">
        <v>0</v>
      </c>
      <c r="G73" s="48">
        <v>304.95</v>
      </c>
      <c r="H73" s="48">
        <v>290.89</v>
      </c>
      <c r="I73" s="48">
        <v>0</v>
      </c>
      <c r="J73" s="48">
        <v>0</v>
      </c>
      <c r="K73" s="48">
        <v>0</v>
      </c>
      <c r="L73" s="48">
        <v>0</v>
      </c>
      <c r="M73" s="48">
        <v>0</v>
      </c>
      <c r="N73" s="48">
        <v>595.84</v>
      </c>
      <c r="O73" s="48">
        <f t="shared" si="22"/>
        <v>0</v>
      </c>
      <c r="P73" s="48">
        <f t="shared" si="23"/>
        <v>0</v>
      </c>
      <c r="Q73" s="48">
        <f t="shared" si="24"/>
        <v>581.78</v>
      </c>
    </row>
    <row r="74" spans="1:17" ht="15" customHeight="1" x14ac:dyDescent="0.3">
      <c r="A74" s="44" t="s">
        <v>409</v>
      </c>
      <c r="B74" s="43" t="s">
        <v>408</v>
      </c>
      <c r="C74" s="47">
        <v>-369.16</v>
      </c>
      <c r="D74" s="47">
        <v>3184.13</v>
      </c>
      <c r="E74" s="47">
        <v>2411.4899999999998</v>
      </c>
      <c r="F74" s="47">
        <v>2630.22</v>
      </c>
      <c r="G74" s="47">
        <v>2634.69</v>
      </c>
      <c r="H74" s="47">
        <v>3006.82</v>
      </c>
      <c r="I74" s="47">
        <v>2785.18</v>
      </c>
      <c r="J74" s="47">
        <v>4532.0200000000004</v>
      </c>
      <c r="K74" s="47">
        <v>6152.46</v>
      </c>
      <c r="L74" s="47">
        <v>6409.49</v>
      </c>
      <c r="M74" s="47">
        <v>6174.74</v>
      </c>
      <c r="N74" s="47">
        <v>39552.080000000002</v>
      </c>
      <c r="O74" s="69">
        <f t="shared" si="22"/>
        <v>74096.88</v>
      </c>
      <c r="P74" s="69">
        <f t="shared" si="23"/>
        <v>74946.760000000009</v>
      </c>
      <c r="Q74" s="69">
        <f t="shared" si="24"/>
        <v>58121.42</v>
      </c>
    </row>
    <row r="75" spans="1:17" ht="15" customHeight="1" x14ac:dyDescent="0.3">
      <c r="A75" s="41" t="s">
        <v>407</v>
      </c>
      <c r="B75" s="40" t="s">
        <v>406</v>
      </c>
      <c r="C75" s="45">
        <v>1.1000000000000001</v>
      </c>
      <c r="D75" s="45">
        <v>11072.81</v>
      </c>
      <c r="E75" s="45">
        <v>8179.76</v>
      </c>
      <c r="F75" s="45">
        <v>8504.3799999999992</v>
      </c>
      <c r="G75" s="45">
        <v>8982.69</v>
      </c>
      <c r="H75" s="45">
        <v>9636.7099999999991</v>
      </c>
      <c r="I75" s="45">
        <v>9072.52</v>
      </c>
      <c r="J75" s="45">
        <v>9243.49</v>
      </c>
      <c r="K75" s="45">
        <v>11947.46</v>
      </c>
      <c r="L75" s="45">
        <v>14436.38</v>
      </c>
      <c r="M75" s="45">
        <v>12274.38</v>
      </c>
      <c r="N75" s="45">
        <v>103351.67999999999</v>
      </c>
      <c r="O75" s="70">
        <f t="shared" si="22"/>
        <v>147292.56</v>
      </c>
      <c r="P75" s="70">
        <f t="shared" si="23"/>
        <v>154632.87999999998</v>
      </c>
      <c r="Q75" s="70">
        <f t="shared" si="24"/>
        <v>133221.88</v>
      </c>
    </row>
    <row r="76" spans="1:17" ht="15" customHeight="1" x14ac:dyDescent="0.3">
      <c r="A76" s="44"/>
      <c r="B76" s="43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>
        <f t="shared" si="22"/>
        <v>0</v>
      </c>
      <c r="P76" s="44">
        <f t="shared" si="23"/>
        <v>0</v>
      </c>
      <c r="Q76" s="44">
        <f t="shared" si="24"/>
        <v>0</v>
      </c>
    </row>
    <row r="77" spans="1:17" ht="15" customHeight="1" x14ac:dyDescent="0.3">
      <c r="A77" s="41" t="s">
        <v>405</v>
      </c>
      <c r="B77" s="40" t="s">
        <v>404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>
        <f t="shared" si="22"/>
        <v>0</v>
      </c>
      <c r="P77" s="49">
        <f t="shared" si="23"/>
        <v>0</v>
      </c>
      <c r="Q77" s="49">
        <f t="shared" si="24"/>
        <v>0</v>
      </c>
    </row>
    <row r="78" spans="1:17" ht="15" customHeight="1" x14ac:dyDescent="0.3">
      <c r="A78" s="44" t="s">
        <v>403</v>
      </c>
      <c r="B78" s="43" t="s">
        <v>402</v>
      </c>
      <c r="C78" s="47">
        <v>0</v>
      </c>
      <c r="D78" s="47">
        <v>0</v>
      </c>
      <c r="E78" s="47">
        <v>212.42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-212.42</v>
      </c>
      <c r="L78" s="47">
        <v>0</v>
      </c>
      <c r="M78" s="47">
        <v>0</v>
      </c>
      <c r="N78" s="47">
        <v>0</v>
      </c>
      <c r="O78" s="69">
        <f t="shared" si="22"/>
        <v>0</v>
      </c>
      <c r="P78" s="69">
        <f t="shared" si="23"/>
        <v>-849.68</v>
      </c>
      <c r="Q78" s="69">
        <f t="shared" si="24"/>
        <v>-424.84</v>
      </c>
    </row>
    <row r="79" spans="1:17" ht="15" customHeight="1" x14ac:dyDescent="0.3">
      <c r="A79" s="41" t="s">
        <v>401</v>
      </c>
      <c r="B79" s="40" t="s">
        <v>400</v>
      </c>
      <c r="C79" s="45">
        <v>0</v>
      </c>
      <c r="D79" s="45">
        <v>0</v>
      </c>
      <c r="E79" s="45">
        <v>212.42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-212.42</v>
      </c>
      <c r="L79" s="45">
        <v>0</v>
      </c>
      <c r="M79" s="45">
        <v>0</v>
      </c>
      <c r="N79" s="45">
        <v>0</v>
      </c>
      <c r="O79" s="70">
        <f t="shared" si="22"/>
        <v>0</v>
      </c>
      <c r="P79" s="70">
        <f t="shared" si="23"/>
        <v>-849.68</v>
      </c>
      <c r="Q79" s="70">
        <f t="shared" si="24"/>
        <v>-424.84</v>
      </c>
    </row>
    <row r="80" spans="1:17" ht="15" customHeight="1" x14ac:dyDescent="0.3">
      <c r="A80" s="44"/>
      <c r="B80" s="43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>
        <f t="shared" si="22"/>
        <v>0</v>
      </c>
      <c r="P80" s="44">
        <f t="shared" si="23"/>
        <v>0</v>
      </c>
      <c r="Q80" s="44">
        <f t="shared" si="24"/>
        <v>0</v>
      </c>
    </row>
    <row r="81" spans="1:17" ht="15" customHeight="1" x14ac:dyDescent="0.3">
      <c r="A81" s="41" t="s">
        <v>399</v>
      </c>
      <c r="B81" s="40" t="s">
        <v>398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>
        <f t="shared" si="22"/>
        <v>0</v>
      </c>
      <c r="P81" s="49">
        <f t="shared" si="23"/>
        <v>0</v>
      </c>
      <c r="Q81" s="49">
        <f t="shared" si="24"/>
        <v>0</v>
      </c>
    </row>
    <row r="82" spans="1:17" ht="15" customHeight="1" x14ac:dyDescent="0.3">
      <c r="A82" s="44" t="s">
        <v>397</v>
      </c>
      <c r="B82" s="43" t="s">
        <v>396</v>
      </c>
      <c r="C82" s="48">
        <v>0</v>
      </c>
      <c r="D82" s="48">
        <v>0</v>
      </c>
      <c r="E82" s="48">
        <v>70.61</v>
      </c>
      <c r="F82" s="48">
        <v>217.37</v>
      </c>
      <c r="G82" s="48">
        <v>0</v>
      </c>
      <c r="H82" s="48">
        <v>161.22</v>
      </c>
      <c r="I82" s="48">
        <v>193.35</v>
      </c>
      <c r="J82" s="48">
        <v>97.55</v>
      </c>
      <c r="K82" s="48">
        <v>137.31</v>
      </c>
      <c r="L82" s="48">
        <v>116.63</v>
      </c>
      <c r="M82" s="48">
        <v>156.88999999999999</v>
      </c>
      <c r="N82" s="48">
        <v>1150.93</v>
      </c>
      <c r="O82" s="48">
        <f t="shared" si="22"/>
        <v>1882.6799999999998</v>
      </c>
      <c r="P82" s="48">
        <f t="shared" si="23"/>
        <v>1643.32</v>
      </c>
      <c r="Q82" s="48">
        <f t="shared" si="24"/>
        <v>1725.9</v>
      </c>
    </row>
    <row r="83" spans="1:17" ht="15" customHeight="1" x14ac:dyDescent="0.3">
      <c r="A83" s="44" t="s">
        <v>395</v>
      </c>
      <c r="B83" s="43" t="s">
        <v>394</v>
      </c>
      <c r="C83" s="48">
        <v>62.12</v>
      </c>
      <c r="D83" s="48">
        <v>0</v>
      </c>
      <c r="E83" s="48">
        <v>9.1199999999999992</v>
      </c>
      <c r="F83" s="48">
        <v>1.1299999999999999</v>
      </c>
      <c r="G83" s="48">
        <v>203.42</v>
      </c>
      <c r="H83" s="48">
        <v>221.11</v>
      </c>
      <c r="I83" s="48">
        <v>398.36</v>
      </c>
      <c r="J83" s="48">
        <v>448.97</v>
      </c>
      <c r="K83" s="48">
        <v>181.99</v>
      </c>
      <c r="L83" s="48">
        <v>85.71</v>
      </c>
      <c r="M83" s="48">
        <v>131.96</v>
      </c>
      <c r="N83" s="48">
        <v>1743.89</v>
      </c>
      <c r="O83" s="48">
        <f t="shared" si="22"/>
        <v>1583.52</v>
      </c>
      <c r="P83" s="48">
        <f t="shared" si="23"/>
        <v>1598.6399999999999</v>
      </c>
      <c r="Q83" s="48">
        <f t="shared" si="24"/>
        <v>2936.2000000000003</v>
      </c>
    </row>
    <row r="84" spans="1:17" ht="15" customHeight="1" x14ac:dyDescent="0.3">
      <c r="A84" s="44" t="s">
        <v>393</v>
      </c>
      <c r="B84" s="43" t="s">
        <v>392</v>
      </c>
      <c r="C84" s="47">
        <v>2.31</v>
      </c>
      <c r="D84" s="47">
        <v>38.54</v>
      </c>
      <c r="E84" s="47">
        <v>209.83</v>
      </c>
      <c r="F84" s="47">
        <v>176.78</v>
      </c>
      <c r="G84" s="47">
        <v>144.99</v>
      </c>
      <c r="H84" s="47">
        <v>698.86</v>
      </c>
      <c r="I84" s="47">
        <v>394.21</v>
      </c>
      <c r="J84" s="47">
        <v>208.51</v>
      </c>
      <c r="K84" s="47">
        <v>474.87</v>
      </c>
      <c r="L84" s="47">
        <v>269.69</v>
      </c>
      <c r="M84" s="47">
        <v>457.37</v>
      </c>
      <c r="N84" s="47">
        <v>3075.96</v>
      </c>
      <c r="O84" s="69">
        <f t="shared" si="22"/>
        <v>5488.4400000000005</v>
      </c>
      <c r="P84" s="69">
        <f t="shared" si="23"/>
        <v>4807.7199999999993</v>
      </c>
      <c r="Q84" s="69">
        <f t="shared" si="24"/>
        <v>5007.0199999999995</v>
      </c>
    </row>
    <row r="85" spans="1:17" ht="15" customHeight="1" x14ac:dyDescent="0.3">
      <c r="A85" s="41" t="s">
        <v>391</v>
      </c>
      <c r="B85" s="40" t="s">
        <v>390</v>
      </c>
      <c r="C85" s="45">
        <v>64.430000000000007</v>
      </c>
      <c r="D85" s="45">
        <v>38.54</v>
      </c>
      <c r="E85" s="45">
        <v>289.56</v>
      </c>
      <c r="F85" s="45">
        <v>395.28</v>
      </c>
      <c r="G85" s="45">
        <v>348.41</v>
      </c>
      <c r="H85" s="45">
        <v>1081.19</v>
      </c>
      <c r="I85" s="45">
        <v>985.92</v>
      </c>
      <c r="J85" s="45">
        <v>755.03</v>
      </c>
      <c r="K85" s="45">
        <v>794.17</v>
      </c>
      <c r="L85" s="45">
        <v>472.03</v>
      </c>
      <c r="M85" s="45">
        <v>746.22</v>
      </c>
      <c r="N85" s="45">
        <v>5970.78</v>
      </c>
      <c r="O85" s="70">
        <f t="shared" si="22"/>
        <v>8954.64</v>
      </c>
      <c r="P85" s="70">
        <f t="shared" si="23"/>
        <v>8049.6799999999994</v>
      </c>
      <c r="Q85" s="70">
        <f t="shared" si="24"/>
        <v>9669.1200000000008</v>
      </c>
    </row>
    <row r="86" spans="1:17" ht="15" customHeight="1" x14ac:dyDescent="0.3">
      <c r="A86" s="44"/>
      <c r="B86" s="43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>
        <f t="shared" si="22"/>
        <v>0</v>
      </c>
      <c r="P86" s="44">
        <f t="shared" si="23"/>
        <v>0</v>
      </c>
      <c r="Q86" s="44">
        <f t="shared" si="24"/>
        <v>0</v>
      </c>
    </row>
    <row r="87" spans="1:17" ht="15" customHeight="1" x14ac:dyDescent="0.3">
      <c r="A87" s="41" t="s">
        <v>389</v>
      </c>
      <c r="B87" s="40" t="s">
        <v>388</v>
      </c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>
        <f t="shared" si="22"/>
        <v>0</v>
      </c>
      <c r="P87" s="49">
        <f t="shared" si="23"/>
        <v>0</v>
      </c>
      <c r="Q87" s="49">
        <f t="shared" si="24"/>
        <v>0</v>
      </c>
    </row>
    <row r="88" spans="1:17" ht="15" customHeight="1" x14ac:dyDescent="0.3">
      <c r="A88" s="44" t="s">
        <v>387</v>
      </c>
      <c r="B88" s="43" t="s">
        <v>386</v>
      </c>
      <c r="C88" s="48">
        <v>0</v>
      </c>
      <c r="D88" s="48">
        <v>1395</v>
      </c>
      <c r="E88" s="48">
        <v>1267</v>
      </c>
      <c r="F88" s="48">
        <v>5900.32</v>
      </c>
      <c r="G88" s="48">
        <v>2914</v>
      </c>
      <c r="H88" s="48">
        <v>9884.15</v>
      </c>
      <c r="I88" s="48">
        <v>12087.47</v>
      </c>
      <c r="J88" s="48">
        <v>13616.44</v>
      </c>
      <c r="K88" s="48">
        <v>9500.4</v>
      </c>
      <c r="L88" s="48">
        <v>10453.280000000001</v>
      </c>
      <c r="M88" s="48">
        <v>3633.83</v>
      </c>
      <c r="N88" s="48">
        <v>70651.89</v>
      </c>
      <c r="O88" s="48">
        <f t="shared" si="22"/>
        <v>43605.96</v>
      </c>
      <c r="P88" s="48">
        <f t="shared" si="23"/>
        <v>94350.040000000008</v>
      </c>
      <c r="Q88" s="48">
        <f t="shared" si="24"/>
        <v>118351.14</v>
      </c>
    </row>
    <row r="89" spans="1:17" ht="15" customHeight="1" x14ac:dyDescent="0.3">
      <c r="A89" s="44" t="s">
        <v>385</v>
      </c>
      <c r="B89" s="43" t="s">
        <v>384</v>
      </c>
      <c r="C89" s="48">
        <v>8270.89</v>
      </c>
      <c r="D89" s="48">
        <v>0</v>
      </c>
      <c r="E89" s="48">
        <v>0</v>
      </c>
      <c r="F89" s="48">
        <v>550</v>
      </c>
      <c r="G89" s="48">
        <v>0</v>
      </c>
      <c r="H89" s="48">
        <v>-550</v>
      </c>
      <c r="I89" s="48">
        <v>0</v>
      </c>
      <c r="J89" s="48">
        <v>0</v>
      </c>
      <c r="K89" s="48">
        <v>0</v>
      </c>
      <c r="L89" s="48">
        <v>0</v>
      </c>
      <c r="M89" s="48">
        <v>0</v>
      </c>
      <c r="N89" s="48">
        <v>8270.89</v>
      </c>
      <c r="O89" s="48">
        <f t="shared" si="22"/>
        <v>0</v>
      </c>
      <c r="P89" s="48">
        <f t="shared" si="23"/>
        <v>0</v>
      </c>
      <c r="Q89" s="48">
        <f t="shared" si="24"/>
        <v>-1100</v>
      </c>
    </row>
    <row r="90" spans="1:17" ht="15" customHeight="1" x14ac:dyDescent="0.3">
      <c r="A90" s="44" t="s">
        <v>383</v>
      </c>
      <c r="B90" s="43" t="s">
        <v>382</v>
      </c>
      <c r="C90" s="48">
        <v>0</v>
      </c>
      <c r="D90" s="48">
        <v>0</v>
      </c>
      <c r="E90" s="48">
        <v>4250</v>
      </c>
      <c r="F90" s="48">
        <v>507.4</v>
      </c>
      <c r="G90" s="48">
        <v>0</v>
      </c>
      <c r="H90" s="48">
        <v>5636.66</v>
      </c>
      <c r="I90" s="48">
        <v>0</v>
      </c>
      <c r="J90" s="48">
        <v>0</v>
      </c>
      <c r="K90" s="48">
        <v>6477.39</v>
      </c>
      <c r="L90" s="48">
        <v>0</v>
      </c>
      <c r="M90" s="48">
        <v>0</v>
      </c>
      <c r="N90" s="48">
        <v>16871.45</v>
      </c>
      <c r="O90" s="48">
        <f t="shared" si="22"/>
        <v>0</v>
      </c>
      <c r="P90" s="48">
        <f t="shared" si="23"/>
        <v>25909.56</v>
      </c>
      <c r="Q90" s="48">
        <f t="shared" si="24"/>
        <v>24228.1</v>
      </c>
    </row>
    <row r="91" spans="1:17" ht="15" customHeight="1" x14ac:dyDescent="0.3">
      <c r="A91" s="44" t="s">
        <v>381</v>
      </c>
      <c r="B91" s="43" t="s">
        <v>380</v>
      </c>
      <c r="C91" s="48">
        <v>0</v>
      </c>
      <c r="D91" s="48">
        <v>0</v>
      </c>
      <c r="E91" s="48">
        <v>0</v>
      </c>
      <c r="F91" s="48">
        <v>3056.34</v>
      </c>
      <c r="G91" s="48">
        <v>5078.26</v>
      </c>
      <c r="H91" s="48">
        <v>1112.44</v>
      </c>
      <c r="I91" s="48">
        <v>0</v>
      </c>
      <c r="J91" s="48">
        <v>0</v>
      </c>
      <c r="K91" s="48">
        <v>0</v>
      </c>
      <c r="L91" s="48">
        <v>19263</v>
      </c>
      <c r="M91" s="48">
        <v>0</v>
      </c>
      <c r="N91" s="48">
        <v>28510.04</v>
      </c>
      <c r="O91" s="48">
        <f t="shared" si="22"/>
        <v>0</v>
      </c>
      <c r="P91" s="48">
        <f t="shared" si="23"/>
        <v>77052</v>
      </c>
      <c r="Q91" s="48">
        <f t="shared" si="24"/>
        <v>40750.879999999997</v>
      </c>
    </row>
    <row r="92" spans="1:17" ht="15" customHeight="1" x14ac:dyDescent="0.3">
      <c r="A92" s="44" t="s">
        <v>379</v>
      </c>
      <c r="B92" s="43" t="s">
        <v>378</v>
      </c>
      <c r="C92" s="48">
        <v>0</v>
      </c>
      <c r="D92" s="48">
        <v>0</v>
      </c>
      <c r="E92" s="48">
        <v>780</v>
      </c>
      <c r="F92" s="48">
        <v>0</v>
      </c>
      <c r="G92" s="48">
        <v>0</v>
      </c>
      <c r="H92" s="48">
        <v>1716</v>
      </c>
      <c r="I92" s="48">
        <v>0</v>
      </c>
      <c r="J92" s="48">
        <v>0</v>
      </c>
      <c r="K92" s="48">
        <v>2332.39</v>
      </c>
      <c r="L92" s="48">
        <v>0</v>
      </c>
      <c r="M92" s="48">
        <v>0</v>
      </c>
      <c r="N92" s="48">
        <v>4828.3900000000003</v>
      </c>
      <c r="O92" s="48">
        <f t="shared" si="22"/>
        <v>0</v>
      </c>
      <c r="P92" s="48">
        <f t="shared" si="23"/>
        <v>9329.56</v>
      </c>
      <c r="Q92" s="48">
        <f t="shared" si="24"/>
        <v>8096.78</v>
      </c>
    </row>
    <row r="93" spans="1:17" ht="15" customHeight="1" x14ac:dyDescent="0.3">
      <c r="A93" s="44" t="s">
        <v>377</v>
      </c>
      <c r="B93" s="43" t="s">
        <v>376</v>
      </c>
      <c r="C93" s="48">
        <v>91.67</v>
      </c>
      <c r="D93" s="48">
        <v>0</v>
      </c>
      <c r="E93" s="48">
        <v>0</v>
      </c>
      <c r="F93" s="48">
        <v>225</v>
      </c>
      <c r="G93" s="48">
        <v>625</v>
      </c>
      <c r="H93" s="48">
        <v>91.67</v>
      </c>
      <c r="I93" s="48">
        <v>0</v>
      </c>
      <c r="J93" s="48">
        <v>0</v>
      </c>
      <c r="K93" s="48">
        <v>0</v>
      </c>
      <c r="L93" s="48">
        <v>1923</v>
      </c>
      <c r="M93" s="48">
        <v>0</v>
      </c>
      <c r="N93" s="48">
        <v>2956.34</v>
      </c>
      <c r="O93" s="48">
        <f t="shared" si="22"/>
        <v>0</v>
      </c>
      <c r="P93" s="48">
        <f t="shared" si="23"/>
        <v>7692</v>
      </c>
      <c r="Q93" s="48">
        <f t="shared" si="24"/>
        <v>4029.34</v>
      </c>
    </row>
    <row r="94" spans="1:17" ht="15" customHeight="1" x14ac:dyDescent="0.3">
      <c r="A94" s="44" t="s">
        <v>375</v>
      </c>
      <c r="B94" s="43" t="s">
        <v>374</v>
      </c>
      <c r="C94" s="47">
        <v>0</v>
      </c>
      <c r="D94" s="47">
        <v>0</v>
      </c>
      <c r="E94" s="47">
        <v>3720.6</v>
      </c>
      <c r="F94" s="47">
        <v>0</v>
      </c>
      <c r="G94" s="47">
        <v>0</v>
      </c>
      <c r="H94" s="47">
        <v>3640</v>
      </c>
      <c r="I94" s="47">
        <v>0</v>
      </c>
      <c r="J94" s="47">
        <v>0</v>
      </c>
      <c r="K94" s="47">
        <v>3676.4</v>
      </c>
      <c r="L94" s="47">
        <v>0</v>
      </c>
      <c r="M94" s="47">
        <v>0</v>
      </c>
      <c r="N94" s="47">
        <v>11037</v>
      </c>
      <c r="O94" s="69">
        <f t="shared" si="22"/>
        <v>0</v>
      </c>
      <c r="P94" s="69">
        <f t="shared" si="23"/>
        <v>14705.6</v>
      </c>
      <c r="Q94" s="69">
        <f t="shared" si="24"/>
        <v>14632.8</v>
      </c>
    </row>
    <row r="95" spans="1:17" ht="15" customHeight="1" x14ac:dyDescent="0.3">
      <c r="A95" s="41" t="s">
        <v>373</v>
      </c>
      <c r="B95" s="40" t="s">
        <v>372</v>
      </c>
      <c r="C95" s="45">
        <v>8362.56</v>
      </c>
      <c r="D95" s="45">
        <v>1395</v>
      </c>
      <c r="E95" s="45">
        <v>10017.6</v>
      </c>
      <c r="F95" s="45">
        <v>10239.06</v>
      </c>
      <c r="G95" s="45">
        <v>8617.26</v>
      </c>
      <c r="H95" s="45">
        <v>21530.92</v>
      </c>
      <c r="I95" s="45">
        <v>12087.47</v>
      </c>
      <c r="J95" s="45">
        <v>13616.44</v>
      </c>
      <c r="K95" s="45">
        <v>21986.58</v>
      </c>
      <c r="L95" s="45">
        <v>31639.279999999999</v>
      </c>
      <c r="M95" s="45">
        <v>3633.83</v>
      </c>
      <c r="N95" s="45">
        <v>143126</v>
      </c>
      <c r="O95" s="70">
        <f t="shared" si="22"/>
        <v>43605.96</v>
      </c>
      <c r="P95" s="70">
        <f t="shared" si="23"/>
        <v>229038.76</v>
      </c>
      <c r="Q95" s="70">
        <f t="shared" si="24"/>
        <v>208989.04</v>
      </c>
    </row>
    <row r="96" spans="1:17" ht="15" customHeight="1" x14ac:dyDescent="0.3">
      <c r="A96" s="44"/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>
        <f t="shared" si="22"/>
        <v>0</v>
      </c>
      <c r="P96" s="44">
        <f t="shared" si="23"/>
        <v>0</v>
      </c>
      <c r="Q96" s="44">
        <f t="shared" si="24"/>
        <v>0</v>
      </c>
    </row>
    <row r="97" spans="1:17" ht="15" customHeight="1" x14ac:dyDescent="0.3">
      <c r="A97" s="41" t="s">
        <v>371</v>
      </c>
      <c r="B97" s="40" t="s">
        <v>370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>
        <f t="shared" si="22"/>
        <v>0</v>
      </c>
      <c r="P97" s="49">
        <f t="shared" si="23"/>
        <v>0</v>
      </c>
      <c r="Q97" s="49">
        <f t="shared" si="24"/>
        <v>0</v>
      </c>
    </row>
    <row r="98" spans="1:17" ht="15" customHeight="1" x14ac:dyDescent="0.3">
      <c r="A98" s="44" t="s">
        <v>369</v>
      </c>
      <c r="B98" s="43" t="s">
        <v>368</v>
      </c>
      <c r="C98" s="48">
        <v>43.12</v>
      </c>
      <c r="D98" s="48">
        <v>56</v>
      </c>
      <c r="E98" s="48">
        <v>64.760000000000005</v>
      </c>
      <c r="F98" s="48">
        <v>120.76</v>
      </c>
      <c r="G98" s="48">
        <v>56</v>
      </c>
      <c r="H98" s="48">
        <v>168</v>
      </c>
      <c r="I98" s="48">
        <v>112</v>
      </c>
      <c r="J98" s="48">
        <v>112</v>
      </c>
      <c r="K98" s="48">
        <v>112</v>
      </c>
      <c r="L98" s="48">
        <v>112</v>
      </c>
      <c r="M98" s="48">
        <v>112</v>
      </c>
      <c r="N98" s="48">
        <v>1068.6400000000001</v>
      </c>
      <c r="O98" s="48">
        <f t="shared" si="22"/>
        <v>1344</v>
      </c>
      <c r="P98" s="48">
        <f t="shared" si="23"/>
        <v>1344</v>
      </c>
      <c r="Q98" s="48">
        <f t="shared" si="24"/>
        <v>1456</v>
      </c>
    </row>
    <row r="99" spans="1:17" ht="15" customHeight="1" x14ac:dyDescent="0.3">
      <c r="A99" s="44" t="s">
        <v>367</v>
      </c>
      <c r="B99" s="43" t="s">
        <v>366</v>
      </c>
      <c r="C99" s="48">
        <v>114.52</v>
      </c>
      <c r="D99" s="48">
        <v>112</v>
      </c>
      <c r="E99" s="48">
        <v>112</v>
      </c>
      <c r="F99" s="48">
        <v>112</v>
      </c>
      <c r="G99" s="48">
        <v>168</v>
      </c>
      <c r="H99" s="48">
        <v>177.52</v>
      </c>
      <c r="I99" s="48">
        <v>168</v>
      </c>
      <c r="J99" s="48">
        <v>168</v>
      </c>
      <c r="K99" s="48">
        <v>168</v>
      </c>
      <c r="L99" s="48">
        <v>168</v>
      </c>
      <c r="M99" s="48">
        <v>168</v>
      </c>
      <c r="N99" s="48">
        <v>1636.04</v>
      </c>
      <c r="O99" s="48">
        <f t="shared" si="22"/>
        <v>2016</v>
      </c>
      <c r="P99" s="48">
        <f t="shared" si="23"/>
        <v>2016</v>
      </c>
      <c r="Q99" s="48">
        <f t="shared" si="24"/>
        <v>2035.04</v>
      </c>
    </row>
    <row r="100" spans="1:17" ht="15" customHeight="1" x14ac:dyDescent="0.3">
      <c r="A100" s="44" t="s">
        <v>365</v>
      </c>
      <c r="B100" s="43" t="s">
        <v>364</v>
      </c>
      <c r="C100" s="48">
        <v>49.84</v>
      </c>
      <c r="D100" s="48">
        <v>112</v>
      </c>
      <c r="E100" s="48">
        <v>112</v>
      </c>
      <c r="F100" s="48">
        <v>112</v>
      </c>
      <c r="G100" s="48">
        <v>56</v>
      </c>
      <c r="H100" s="48">
        <v>175</v>
      </c>
      <c r="I100" s="48">
        <v>112</v>
      </c>
      <c r="J100" s="48">
        <v>140</v>
      </c>
      <c r="K100" s="48">
        <v>168</v>
      </c>
      <c r="L100" s="48">
        <v>168</v>
      </c>
      <c r="M100" s="48">
        <v>168</v>
      </c>
      <c r="N100" s="48">
        <v>1372.84</v>
      </c>
      <c r="O100" s="48">
        <f t="shared" si="22"/>
        <v>2016</v>
      </c>
      <c r="P100" s="48">
        <f t="shared" si="23"/>
        <v>2016</v>
      </c>
      <c r="Q100" s="48">
        <f t="shared" si="24"/>
        <v>1862</v>
      </c>
    </row>
    <row r="101" spans="1:17" ht="15" customHeight="1" x14ac:dyDescent="0.3">
      <c r="A101" s="44" t="s">
        <v>363</v>
      </c>
      <c r="B101" s="43" t="s">
        <v>362</v>
      </c>
      <c r="C101" s="47">
        <v>0</v>
      </c>
      <c r="D101" s="47">
        <v>0</v>
      </c>
      <c r="E101" s="47">
        <v>0</v>
      </c>
      <c r="F101" s="47">
        <v>0</v>
      </c>
      <c r="G101" s="47">
        <v>56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56</v>
      </c>
      <c r="O101" s="69">
        <f t="shared" si="22"/>
        <v>0</v>
      </c>
      <c r="P101" s="69">
        <f t="shared" si="23"/>
        <v>0</v>
      </c>
      <c r="Q101" s="69">
        <f t="shared" si="24"/>
        <v>0</v>
      </c>
    </row>
    <row r="102" spans="1:17" ht="15" customHeight="1" x14ac:dyDescent="0.3">
      <c r="A102" s="41" t="s">
        <v>361</v>
      </c>
      <c r="B102" s="40" t="s">
        <v>360</v>
      </c>
      <c r="C102" s="45">
        <v>207.48</v>
      </c>
      <c r="D102" s="45">
        <v>280</v>
      </c>
      <c r="E102" s="45">
        <v>288.76</v>
      </c>
      <c r="F102" s="45">
        <v>344.76</v>
      </c>
      <c r="G102" s="45">
        <v>336</v>
      </c>
      <c r="H102" s="45">
        <v>520.52</v>
      </c>
      <c r="I102" s="45">
        <v>392</v>
      </c>
      <c r="J102" s="45">
        <v>420</v>
      </c>
      <c r="K102" s="45">
        <v>448</v>
      </c>
      <c r="L102" s="45">
        <v>448</v>
      </c>
      <c r="M102" s="45">
        <v>448</v>
      </c>
      <c r="N102" s="45">
        <v>4133.5200000000004</v>
      </c>
      <c r="O102" s="70">
        <f t="shared" si="22"/>
        <v>5376</v>
      </c>
      <c r="P102" s="70">
        <f t="shared" si="23"/>
        <v>5376</v>
      </c>
      <c r="Q102" s="70">
        <f t="shared" si="24"/>
        <v>5353.04</v>
      </c>
    </row>
    <row r="103" spans="1:17" ht="15" customHeight="1" x14ac:dyDescent="0.3">
      <c r="A103" s="44"/>
      <c r="B103" s="43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>
        <f t="shared" si="22"/>
        <v>0</v>
      </c>
      <c r="P103" s="44">
        <f t="shared" si="23"/>
        <v>0</v>
      </c>
      <c r="Q103" s="44">
        <f t="shared" si="24"/>
        <v>0</v>
      </c>
    </row>
    <row r="104" spans="1:17" ht="15" customHeight="1" x14ac:dyDescent="0.3">
      <c r="A104" s="41" t="s">
        <v>359</v>
      </c>
      <c r="B104" s="40" t="s">
        <v>358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>
        <f t="shared" si="22"/>
        <v>0</v>
      </c>
      <c r="P104" s="49">
        <f t="shared" si="23"/>
        <v>0</v>
      </c>
      <c r="Q104" s="49">
        <f t="shared" si="24"/>
        <v>0</v>
      </c>
    </row>
    <row r="105" spans="1:17" ht="15" customHeight="1" x14ac:dyDescent="0.3">
      <c r="A105" s="44" t="s">
        <v>357</v>
      </c>
      <c r="B105" s="43" t="s">
        <v>356</v>
      </c>
      <c r="C105" s="48">
        <v>815.17</v>
      </c>
      <c r="D105" s="48">
        <v>705.49</v>
      </c>
      <c r="E105" s="48">
        <v>1000.69</v>
      </c>
      <c r="F105" s="48">
        <v>1046.8800000000001</v>
      </c>
      <c r="G105" s="48">
        <v>707.49</v>
      </c>
      <c r="H105" s="48">
        <v>1547.33</v>
      </c>
      <c r="I105" s="48">
        <v>916.84</v>
      </c>
      <c r="J105" s="48">
        <v>1004.46</v>
      </c>
      <c r="K105" s="48">
        <v>979.22</v>
      </c>
      <c r="L105" s="48">
        <v>1571.53</v>
      </c>
      <c r="M105" s="48">
        <v>215.46</v>
      </c>
      <c r="N105" s="48">
        <v>10510.56</v>
      </c>
      <c r="O105" s="48">
        <f t="shared" si="22"/>
        <v>2585.52</v>
      </c>
      <c r="P105" s="48">
        <f t="shared" si="23"/>
        <v>11064.84</v>
      </c>
      <c r="Q105" s="48">
        <f t="shared" si="24"/>
        <v>12469.68</v>
      </c>
    </row>
    <row r="106" spans="1:17" ht="15" customHeight="1" x14ac:dyDescent="0.3">
      <c r="A106" s="44" t="s">
        <v>355</v>
      </c>
      <c r="B106" s="43" t="s">
        <v>354</v>
      </c>
      <c r="C106" s="48">
        <v>0</v>
      </c>
      <c r="D106" s="48">
        <v>34.78</v>
      </c>
      <c r="E106" s="48">
        <v>5.58</v>
      </c>
      <c r="F106" s="48">
        <v>1.0900000000000001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41.45</v>
      </c>
      <c r="O106" s="48">
        <f t="shared" si="22"/>
        <v>0</v>
      </c>
      <c r="P106" s="48">
        <f t="shared" si="23"/>
        <v>0</v>
      </c>
      <c r="Q106" s="48">
        <f t="shared" si="24"/>
        <v>0</v>
      </c>
    </row>
    <row r="107" spans="1:17" ht="15" customHeight="1" x14ac:dyDescent="0.3">
      <c r="A107" s="44" t="s">
        <v>353</v>
      </c>
      <c r="B107" s="43" t="s">
        <v>352</v>
      </c>
      <c r="C107" s="48">
        <v>0</v>
      </c>
      <c r="D107" s="48">
        <v>126.96</v>
      </c>
      <c r="E107" s="48">
        <v>31.57</v>
      </c>
      <c r="F107" s="48">
        <v>80.37</v>
      </c>
      <c r="G107" s="48">
        <v>0</v>
      </c>
      <c r="H107" s="48">
        <v>19.5</v>
      </c>
      <c r="I107" s="48">
        <v>0</v>
      </c>
      <c r="J107" s="48">
        <v>9.75</v>
      </c>
      <c r="K107" s="48">
        <v>9.75</v>
      </c>
      <c r="L107" s="48">
        <v>9.75</v>
      </c>
      <c r="M107" s="48">
        <v>9.75</v>
      </c>
      <c r="N107" s="48">
        <v>297.39999999999998</v>
      </c>
      <c r="O107" s="48">
        <f t="shared" si="22"/>
        <v>117</v>
      </c>
      <c r="P107" s="48">
        <f t="shared" si="23"/>
        <v>117</v>
      </c>
      <c r="Q107" s="48">
        <f t="shared" si="24"/>
        <v>117</v>
      </c>
    </row>
    <row r="108" spans="1:17" ht="15" customHeight="1" x14ac:dyDescent="0.3">
      <c r="A108" s="44" t="s">
        <v>351</v>
      </c>
      <c r="B108" s="43" t="s">
        <v>350</v>
      </c>
      <c r="C108" s="48">
        <v>367.58</v>
      </c>
      <c r="D108" s="48">
        <v>490.54</v>
      </c>
      <c r="E108" s="48">
        <v>474.57</v>
      </c>
      <c r="F108" s="48">
        <v>815.58</v>
      </c>
      <c r="G108" s="48">
        <v>1028.02</v>
      </c>
      <c r="H108" s="48">
        <v>1215.32</v>
      </c>
      <c r="I108" s="48">
        <v>1298.33</v>
      </c>
      <c r="J108" s="48">
        <v>1412.77</v>
      </c>
      <c r="K108" s="48">
        <v>1596.31</v>
      </c>
      <c r="L108" s="48">
        <v>2504.35</v>
      </c>
      <c r="M108" s="48">
        <v>1236.01</v>
      </c>
      <c r="N108" s="48">
        <v>12439.38</v>
      </c>
      <c r="O108" s="48">
        <f t="shared" si="22"/>
        <v>14832.119999999999</v>
      </c>
      <c r="P108" s="48">
        <f t="shared" si="23"/>
        <v>21346.68</v>
      </c>
      <c r="Q108" s="48">
        <f t="shared" si="24"/>
        <v>18526.18</v>
      </c>
    </row>
    <row r="109" spans="1:17" ht="15" customHeight="1" x14ac:dyDescent="0.3">
      <c r="A109" s="44" t="s">
        <v>349</v>
      </c>
      <c r="B109" s="43" t="s">
        <v>348</v>
      </c>
      <c r="C109" s="48">
        <v>20.97</v>
      </c>
      <c r="D109" s="48">
        <v>26.24</v>
      </c>
      <c r="E109" s="48">
        <v>35.880000000000003</v>
      </c>
      <c r="F109" s="48">
        <v>14.08</v>
      </c>
      <c r="G109" s="48">
        <v>0</v>
      </c>
      <c r="H109" s="48">
        <v>0</v>
      </c>
      <c r="I109" s="48">
        <v>0</v>
      </c>
      <c r="J109" s="48">
        <v>0</v>
      </c>
      <c r="K109" s="48">
        <v>0</v>
      </c>
      <c r="L109" s="48">
        <v>0</v>
      </c>
      <c r="M109" s="48">
        <v>0</v>
      </c>
      <c r="N109" s="48">
        <v>97.17</v>
      </c>
      <c r="O109" s="48">
        <f t="shared" si="22"/>
        <v>0</v>
      </c>
      <c r="P109" s="48">
        <f t="shared" si="23"/>
        <v>0</v>
      </c>
      <c r="Q109" s="48">
        <f t="shared" si="24"/>
        <v>0</v>
      </c>
    </row>
    <row r="110" spans="1:17" ht="15" customHeight="1" x14ac:dyDescent="0.3">
      <c r="A110" s="44" t="s">
        <v>347</v>
      </c>
      <c r="B110" s="43" t="s">
        <v>346</v>
      </c>
      <c r="C110" s="48">
        <v>76.53</v>
      </c>
      <c r="D110" s="48">
        <v>95.77</v>
      </c>
      <c r="E110" s="48">
        <v>130.99</v>
      </c>
      <c r="F110" s="48">
        <v>227.19</v>
      </c>
      <c r="G110" s="48">
        <v>126.9</v>
      </c>
      <c r="H110" s="48">
        <v>5.44</v>
      </c>
      <c r="I110" s="48">
        <v>0</v>
      </c>
      <c r="J110" s="48">
        <v>0</v>
      </c>
      <c r="K110" s="48">
        <v>0</v>
      </c>
      <c r="L110" s="48">
        <v>0</v>
      </c>
      <c r="M110" s="48">
        <v>0</v>
      </c>
      <c r="N110" s="48">
        <v>662.82</v>
      </c>
      <c r="O110" s="48">
        <f t="shared" si="22"/>
        <v>0</v>
      </c>
      <c r="P110" s="48">
        <f t="shared" si="23"/>
        <v>0</v>
      </c>
      <c r="Q110" s="48">
        <f t="shared" si="24"/>
        <v>10.88</v>
      </c>
    </row>
    <row r="111" spans="1:17" ht="15" customHeight="1" x14ac:dyDescent="0.3">
      <c r="A111" s="44" t="s">
        <v>345</v>
      </c>
      <c r="B111" s="43" t="s">
        <v>344</v>
      </c>
      <c r="C111" s="48">
        <v>7.27</v>
      </c>
      <c r="D111" s="48">
        <v>800.08</v>
      </c>
      <c r="E111" s="48">
        <v>888.06</v>
      </c>
      <c r="F111" s="48">
        <v>671.37</v>
      </c>
      <c r="G111" s="48">
        <v>527.03</v>
      </c>
      <c r="H111" s="48">
        <v>1056.57</v>
      </c>
      <c r="I111" s="48">
        <v>757.05</v>
      </c>
      <c r="J111" s="48">
        <v>679.42</v>
      </c>
      <c r="K111" s="48">
        <v>1362.15</v>
      </c>
      <c r="L111" s="48">
        <v>1233.76</v>
      </c>
      <c r="M111" s="48">
        <v>1009.76</v>
      </c>
      <c r="N111" s="48">
        <v>8992.52</v>
      </c>
      <c r="O111" s="48">
        <f t="shared" si="22"/>
        <v>12117.119999999999</v>
      </c>
      <c r="P111" s="48">
        <f t="shared" si="23"/>
        <v>14422.68</v>
      </c>
      <c r="Q111" s="48">
        <f t="shared" si="24"/>
        <v>12197.42</v>
      </c>
    </row>
    <row r="112" spans="1:17" ht="15" customHeight="1" x14ac:dyDescent="0.3">
      <c r="A112" s="44" t="s">
        <v>343</v>
      </c>
      <c r="B112" s="43" t="s">
        <v>342</v>
      </c>
      <c r="C112" s="48">
        <v>0</v>
      </c>
      <c r="D112" s="48">
        <v>44.71</v>
      </c>
      <c r="E112" s="48">
        <v>14.12</v>
      </c>
      <c r="F112" s="48">
        <v>9.31</v>
      </c>
      <c r="G112" s="48">
        <v>0</v>
      </c>
      <c r="H112" s="48">
        <v>0</v>
      </c>
      <c r="I112" s="48">
        <v>0</v>
      </c>
      <c r="J112" s="48">
        <v>3.76</v>
      </c>
      <c r="K112" s="48">
        <v>19.600000000000001</v>
      </c>
      <c r="L112" s="48">
        <v>18.64</v>
      </c>
      <c r="M112" s="48">
        <v>0</v>
      </c>
      <c r="N112" s="48">
        <v>110.14</v>
      </c>
      <c r="O112" s="48">
        <f t="shared" si="22"/>
        <v>0</v>
      </c>
      <c r="P112" s="48">
        <f t="shared" si="23"/>
        <v>152.96</v>
      </c>
      <c r="Q112" s="48">
        <f t="shared" si="24"/>
        <v>84</v>
      </c>
    </row>
    <row r="113" spans="1:17" ht="15" customHeight="1" x14ac:dyDescent="0.3">
      <c r="A113" s="44" t="s">
        <v>341</v>
      </c>
      <c r="B113" s="43" t="s">
        <v>340</v>
      </c>
      <c r="C113" s="48">
        <v>0</v>
      </c>
      <c r="D113" s="48">
        <v>163.19999999999999</v>
      </c>
      <c r="E113" s="48">
        <v>158.04</v>
      </c>
      <c r="F113" s="48">
        <v>52.48</v>
      </c>
      <c r="G113" s="48">
        <v>6.68</v>
      </c>
      <c r="H113" s="48">
        <v>55.34</v>
      </c>
      <c r="I113" s="48">
        <v>0</v>
      </c>
      <c r="J113" s="48">
        <v>13.71</v>
      </c>
      <c r="K113" s="48">
        <v>71.569999999999993</v>
      </c>
      <c r="L113" s="48">
        <v>62.16</v>
      </c>
      <c r="M113" s="48">
        <v>63.93</v>
      </c>
      <c r="N113" s="48">
        <v>647.11</v>
      </c>
      <c r="O113" s="48">
        <f t="shared" si="22"/>
        <v>767.16</v>
      </c>
      <c r="P113" s="48">
        <f t="shared" si="23"/>
        <v>790.64</v>
      </c>
      <c r="Q113" s="48">
        <f t="shared" si="24"/>
        <v>533.41999999999996</v>
      </c>
    </row>
    <row r="114" spans="1:17" ht="15" customHeight="1" x14ac:dyDescent="0.3">
      <c r="A114" s="44" t="s">
        <v>339</v>
      </c>
      <c r="B114" s="43" t="s">
        <v>338</v>
      </c>
      <c r="C114" s="48">
        <v>0</v>
      </c>
      <c r="D114" s="48">
        <v>0</v>
      </c>
      <c r="E114" s="48">
        <v>0</v>
      </c>
      <c r="F114" s="48">
        <v>0</v>
      </c>
      <c r="G114" s="48">
        <v>180.12</v>
      </c>
      <c r="H114" s="48">
        <v>0</v>
      </c>
      <c r="I114" s="48">
        <v>0</v>
      </c>
      <c r="J114" s="48">
        <v>0</v>
      </c>
      <c r="K114" s="48">
        <v>0</v>
      </c>
      <c r="L114" s="48">
        <v>0</v>
      </c>
      <c r="M114" s="48">
        <v>0</v>
      </c>
      <c r="N114" s="48">
        <v>180.12</v>
      </c>
      <c r="O114" s="48">
        <f t="shared" si="22"/>
        <v>0</v>
      </c>
      <c r="P114" s="48">
        <f t="shared" si="23"/>
        <v>0</v>
      </c>
      <c r="Q114" s="48">
        <f t="shared" si="24"/>
        <v>0</v>
      </c>
    </row>
    <row r="115" spans="1:17" ht="15" customHeight="1" x14ac:dyDescent="0.3">
      <c r="A115" s="44" t="s">
        <v>337</v>
      </c>
      <c r="B115" s="43" t="s">
        <v>336</v>
      </c>
      <c r="C115" s="47">
        <v>0</v>
      </c>
      <c r="D115" s="47">
        <v>0</v>
      </c>
      <c r="E115" s="47">
        <v>0</v>
      </c>
      <c r="F115" s="47">
        <v>0</v>
      </c>
      <c r="G115" s="47">
        <v>51.56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51.56</v>
      </c>
      <c r="O115" s="69">
        <f t="shared" si="22"/>
        <v>0</v>
      </c>
      <c r="P115" s="69">
        <f t="shared" si="23"/>
        <v>0</v>
      </c>
      <c r="Q115" s="69">
        <f t="shared" si="24"/>
        <v>0</v>
      </c>
    </row>
    <row r="116" spans="1:17" ht="15" customHeight="1" x14ac:dyDescent="0.3">
      <c r="A116" s="41" t="s">
        <v>335</v>
      </c>
      <c r="B116" s="40" t="s">
        <v>334</v>
      </c>
      <c r="C116" s="45">
        <v>1287.52</v>
      </c>
      <c r="D116" s="45">
        <v>2487.77</v>
      </c>
      <c r="E116" s="45">
        <v>2739.5</v>
      </c>
      <c r="F116" s="45">
        <v>2918.35</v>
      </c>
      <c r="G116" s="45">
        <v>2627.8</v>
      </c>
      <c r="H116" s="45">
        <v>3899.5</v>
      </c>
      <c r="I116" s="45">
        <v>2972.22</v>
      </c>
      <c r="J116" s="45">
        <v>3123.87</v>
      </c>
      <c r="K116" s="45">
        <v>4038.6</v>
      </c>
      <c r="L116" s="45">
        <v>5400.19</v>
      </c>
      <c r="M116" s="45">
        <v>2534.91</v>
      </c>
      <c r="N116" s="45">
        <v>34030.230000000003</v>
      </c>
      <c r="O116" s="70">
        <f t="shared" si="22"/>
        <v>30418.92</v>
      </c>
      <c r="P116" s="70">
        <f t="shared" si="23"/>
        <v>47894.799999999996</v>
      </c>
      <c r="Q116" s="70">
        <f t="shared" si="24"/>
        <v>43938.58</v>
      </c>
    </row>
    <row r="117" spans="1:17" ht="15" customHeight="1" x14ac:dyDescent="0.3">
      <c r="A117" s="44"/>
      <c r="B117" s="43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>
        <f t="shared" si="22"/>
        <v>0</v>
      </c>
      <c r="P117" s="44">
        <f t="shared" si="23"/>
        <v>0</v>
      </c>
      <c r="Q117" s="44">
        <f t="shared" si="24"/>
        <v>0</v>
      </c>
    </row>
    <row r="118" spans="1:17" ht="15" customHeight="1" x14ac:dyDescent="0.3">
      <c r="A118" s="41" t="s">
        <v>333</v>
      </c>
      <c r="B118" s="40" t="s">
        <v>332</v>
      </c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>
        <f t="shared" si="22"/>
        <v>0</v>
      </c>
      <c r="P118" s="49">
        <f t="shared" si="23"/>
        <v>0</v>
      </c>
      <c r="Q118" s="49">
        <f t="shared" si="24"/>
        <v>0</v>
      </c>
    </row>
    <row r="119" spans="1:17" ht="15" customHeight="1" x14ac:dyDescent="0.3">
      <c r="A119" s="44" t="s">
        <v>331</v>
      </c>
      <c r="B119" s="43" t="s">
        <v>330</v>
      </c>
      <c r="C119" s="48">
        <v>709.83</v>
      </c>
      <c r="D119" s="48">
        <v>808.49</v>
      </c>
      <c r="E119" s="48">
        <v>794.2</v>
      </c>
      <c r="F119" s="48">
        <v>2205.52</v>
      </c>
      <c r="G119" s="48">
        <v>1542.87</v>
      </c>
      <c r="H119" s="48">
        <v>1542.88</v>
      </c>
      <c r="I119" s="48">
        <v>1544.18</v>
      </c>
      <c r="J119" s="48">
        <v>2289.06</v>
      </c>
      <c r="K119" s="48">
        <v>2289.2600000000002</v>
      </c>
      <c r="L119" s="48">
        <v>2289.46</v>
      </c>
      <c r="M119" s="48">
        <v>2309.7399999999998</v>
      </c>
      <c r="N119" s="48">
        <v>18325.490000000002</v>
      </c>
      <c r="O119" s="48">
        <f t="shared" si="22"/>
        <v>27716.879999999997</v>
      </c>
      <c r="P119" s="48">
        <f t="shared" si="23"/>
        <v>27553.84</v>
      </c>
      <c r="Q119" s="48">
        <f t="shared" si="24"/>
        <v>24529.16</v>
      </c>
    </row>
    <row r="120" spans="1:17" ht="15" customHeight="1" x14ac:dyDescent="0.3">
      <c r="A120" s="44" t="s">
        <v>329</v>
      </c>
      <c r="B120" s="43" t="s">
        <v>328</v>
      </c>
      <c r="C120" s="47">
        <v>48.8</v>
      </c>
      <c r="D120" s="47">
        <v>1490.52</v>
      </c>
      <c r="E120" s="47">
        <v>1503.79</v>
      </c>
      <c r="F120" s="47">
        <v>1505.36</v>
      </c>
      <c r="G120" s="47">
        <v>1505.37</v>
      </c>
      <c r="H120" s="47">
        <v>1505.38</v>
      </c>
      <c r="I120" s="47">
        <v>1505.96</v>
      </c>
      <c r="J120" s="47">
        <v>1505.96</v>
      </c>
      <c r="K120" s="47">
        <v>1505.96</v>
      </c>
      <c r="L120" s="47">
        <v>1505.96</v>
      </c>
      <c r="M120" s="47">
        <v>1505.96</v>
      </c>
      <c r="N120" s="47">
        <v>15089.02</v>
      </c>
      <c r="O120" s="69">
        <f t="shared" si="22"/>
        <v>18071.52</v>
      </c>
      <c r="P120" s="69">
        <f t="shared" si="23"/>
        <v>18071.52</v>
      </c>
      <c r="Q120" s="69">
        <f t="shared" si="24"/>
        <v>18070.36</v>
      </c>
    </row>
    <row r="121" spans="1:17" ht="15" customHeight="1" x14ac:dyDescent="0.3">
      <c r="A121" s="41" t="s">
        <v>327</v>
      </c>
      <c r="B121" s="40" t="s">
        <v>326</v>
      </c>
      <c r="C121" s="45">
        <v>758.63</v>
      </c>
      <c r="D121" s="45">
        <v>2299.0100000000002</v>
      </c>
      <c r="E121" s="45">
        <v>2297.9899999999998</v>
      </c>
      <c r="F121" s="45">
        <v>3710.88</v>
      </c>
      <c r="G121" s="45">
        <v>3048.24</v>
      </c>
      <c r="H121" s="45">
        <v>3048.26</v>
      </c>
      <c r="I121" s="45">
        <v>3050.14</v>
      </c>
      <c r="J121" s="45">
        <v>3795.02</v>
      </c>
      <c r="K121" s="45">
        <v>3795.22</v>
      </c>
      <c r="L121" s="45">
        <v>3795.42</v>
      </c>
      <c r="M121" s="45">
        <v>3815.7</v>
      </c>
      <c r="N121" s="45">
        <v>33414.51</v>
      </c>
      <c r="O121" s="70">
        <f t="shared" si="22"/>
        <v>45788.399999999994</v>
      </c>
      <c r="P121" s="70">
        <f t="shared" si="23"/>
        <v>45625.36</v>
      </c>
      <c r="Q121" s="70">
        <f t="shared" si="24"/>
        <v>42599.519999999997</v>
      </c>
    </row>
    <row r="122" spans="1:17" ht="15" customHeight="1" x14ac:dyDescent="0.3">
      <c r="A122" s="44"/>
      <c r="B122" s="43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>
        <f t="shared" si="22"/>
        <v>0</v>
      </c>
      <c r="P122" s="44">
        <f t="shared" si="23"/>
        <v>0</v>
      </c>
      <c r="Q122" s="44">
        <f t="shared" si="24"/>
        <v>0</v>
      </c>
    </row>
    <row r="123" spans="1:17" ht="15" customHeight="1" x14ac:dyDescent="0.3">
      <c r="A123" s="41" t="s">
        <v>325</v>
      </c>
      <c r="B123" s="40" t="s">
        <v>324</v>
      </c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>
        <f t="shared" si="22"/>
        <v>0</v>
      </c>
      <c r="P123" s="49">
        <f t="shared" si="23"/>
        <v>0</v>
      </c>
      <c r="Q123" s="49">
        <f t="shared" si="24"/>
        <v>0</v>
      </c>
    </row>
    <row r="124" spans="1:17" ht="15" customHeight="1" x14ac:dyDescent="0.3">
      <c r="A124" s="44" t="s">
        <v>323</v>
      </c>
      <c r="B124" s="43" t="s">
        <v>322</v>
      </c>
      <c r="C124" s="48">
        <v>67.510000000000005</v>
      </c>
      <c r="D124" s="48">
        <v>54.93</v>
      </c>
      <c r="E124" s="48">
        <v>106.74</v>
      </c>
      <c r="F124" s="48">
        <v>101.62</v>
      </c>
      <c r="G124" s="48">
        <v>52.32</v>
      </c>
      <c r="H124" s="48">
        <v>209.11</v>
      </c>
      <c r="I124" s="48">
        <v>90.56</v>
      </c>
      <c r="J124" s="48">
        <v>98.98</v>
      </c>
      <c r="K124" s="48">
        <v>173.45</v>
      </c>
      <c r="L124" s="48">
        <v>108.71</v>
      </c>
      <c r="M124" s="48">
        <v>170.34</v>
      </c>
      <c r="N124" s="48">
        <v>1234.27</v>
      </c>
      <c r="O124" s="48">
        <f t="shared" si="22"/>
        <v>2044.08</v>
      </c>
      <c r="P124" s="48">
        <f t="shared" si="23"/>
        <v>1810</v>
      </c>
      <c r="Q124" s="48">
        <f t="shared" si="24"/>
        <v>1702.3000000000002</v>
      </c>
    </row>
    <row r="125" spans="1:17" ht="15" customHeight="1" x14ac:dyDescent="0.3">
      <c r="A125" s="44" t="s">
        <v>321</v>
      </c>
      <c r="B125" s="43" t="s">
        <v>320</v>
      </c>
      <c r="C125" s="48">
        <v>0</v>
      </c>
      <c r="D125" s="48">
        <v>0</v>
      </c>
      <c r="E125" s="48">
        <v>0</v>
      </c>
      <c r="F125" s="48">
        <v>0</v>
      </c>
      <c r="G125" s="48">
        <v>44.21</v>
      </c>
      <c r="H125" s="48">
        <v>0</v>
      </c>
      <c r="I125" s="48">
        <v>0</v>
      </c>
      <c r="J125" s="48">
        <v>201.41</v>
      </c>
      <c r="K125" s="48">
        <v>215.18</v>
      </c>
      <c r="L125" s="48">
        <v>158.36000000000001</v>
      </c>
      <c r="M125" s="48">
        <v>211.3</v>
      </c>
      <c r="N125" s="48">
        <v>830.46</v>
      </c>
      <c r="O125" s="48">
        <f t="shared" si="22"/>
        <v>2535.6000000000004</v>
      </c>
      <c r="P125" s="48">
        <f t="shared" si="23"/>
        <v>2339.36</v>
      </c>
      <c r="Q125" s="48">
        <f t="shared" si="24"/>
        <v>1572.5</v>
      </c>
    </row>
    <row r="126" spans="1:17" ht="15" customHeight="1" x14ac:dyDescent="0.3">
      <c r="A126" s="44" t="s">
        <v>319</v>
      </c>
      <c r="B126" s="43" t="s">
        <v>318</v>
      </c>
      <c r="C126" s="48">
        <v>36.75</v>
      </c>
      <c r="D126" s="48">
        <v>125.11</v>
      </c>
      <c r="E126" s="48">
        <v>183.95</v>
      </c>
      <c r="F126" s="48">
        <v>140</v>
      </c>
      <c r="G126" s="48">
        <v>94.49</v>
      </c>
      <c r="H126" s="48">
        <v>272.37</v>
      </c>
      <c r="I126" s="48">
        <v>151.55000000000001</v>
      </c>
      <c r="J126" s="48">
        <v>151.68</v>
      </c>
      <c r="K126" s="48">
        <v>207.11</v>
      </c>
      <c r="L126" s="48">
        <v>145.22</v>
      </c>
      <c r="M126" s="48">
        <v>144.44</v>
      </c>
      <c r="N126" s="48">
        <v>1652.67</v>
      </c>
      <c r="O126" s="48">
        <f t="shared" si="22"/>
        <v>1733.28</v>
      </c>
      <c r="P126" s="48">
        <f t="shared" si="23"/>
        <v>1987.0800000000002</v>
      </c>
      <c r="Q126" s="48">
        <f t="shared" si="24"/>
        <v>2144.7400000000002</v>
      </c>
    </row>
    <row r="127" spans="1:17" ht="15" customHeight="1" x14ac:dyDescent="0.3">
      <c r="A127" s="44" t="s">
        <v>317</v>
      </c>
      <c r="B127" s="43" t="s">
        <v>316</v>
      </c>
      <c r="C127" s="47">
        <v>0</v>
      </c>
      <c r="D127" s="47">
        <v>0</v>
      </c>
      <c r="E127" s="47">
        <v>0</v>
      </c>
      <c r="F127" s="47">
        <v>0</v>
      </c>
      <c r="G127" s="47">
        <v>50.04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50.04</v>
      </c>
      <c r="O127" s="69">
        <f t="shared" si="22"/>
        <v>0</v>
      </c>
      <c r="P127" s="69">
        <f t="shared" si="23"/>
        <v>0</v>
      </c>
      <c r="Q127" s="69">
        <f t="shared" si="24"/>
        <v>0</v>
      </c>
    </row>
    <row r="128" spans="1:17" ht="15" customHeight="1" x14ac:dyDescent="0.3">
      <c r="A128" s="41" t="s">
        <v>315</v>
      </c>
      <c r="B128" s="40" t="s">
        <v>314</v>
      </c>
      <c r="C128" s="45">
        <v>104.26</v>
      </c>
      <c r="D128" s="45">
        <v>180.04</v>
      </c>
      <c r="E128" s="45">
        <v>290.69</v>
      </c>
      <c r="F128" s="45">
        <v>241.62</v>
      </c>
      <c r="G128" s="45">
        <v>241.06</v>
      </c>
      <c r="H128" s="45">
        <v>481.48</v>
      </c>
      <c r="I128" s="45">
        <v>242.11</v>
      </c>
      <c r="J128" s="45">
        <v>452.07</v>
      </c>
      <c r="K128" s="45">
        <v>595.74</v>
      </c>
      <c r="L128" s="45">
        <v>412.29</v>
      </c>
      <c r="M128" s="45">
        <v>526.08000000000004</v>
      </c>
      <c r="N128" s="45">
        <v>3767.44</v>
      </c>
      <c r="O128" s="70">
        <f t="shared" si="22"/>
        <v>6312.9600000000009</v>
      </c>
      <c r="P128" s="70">
        <f t="shared" si="23"/>
        <v>6136.4400000000005</v>
      </c>
      <c r="Q128" s="70">
        <f t="shared" si="24"/>
        <v>5419.54</v>
      </c>
    </row>
    <row r="129" spans="1:18" ht="15" customHeight="1" x14ac:dyDescent="0.3">
      <c r="A129" s="44"/>
      <c r="B129" s="43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>
        <f t="shared" si="22"/>
        <v>0</v>
      </c>
      <c r="P129" s="44">
        <f t="shared" si="23"/>
        <v>0</v>
      </c>
      <c r="Q129" s="44">
        <f t="shared" si="24"/>
        <v>0</v>
      </c>
    </row>
    <row r="130" spans="1:18" ht="15" customHeight="1" x14ac:dyDescent="0.3">
      <c r="A130" s="41" t="s">
        <v>313</v>
      </c>
      <c r="B130" s="40" t="s">
        <v>312</v>
      </c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>
        <f t="shared" si="22"/>
        <v>0</v>
      </c>
      <c r="P130" s="49">
        <f t="shared" si="23"/>
        <v>0</v>
      </c>
      <c r="Q130" s="49">
        <f t="shared" si="24"/>
        <v>0</v>
      </c>
    </row>
    <row r="131" spans="1:18" ht="15" customHeight="1" x14ac:dyDescent="0.3">
      <c r="A131" s="44" t="s">
        <v>311</v>
      </c>
      <c r="B131" s="43" t="s">
        <v>310</v>
      </c>
      <c r="C131" s="48">
        <v>325.27</v>
      </c>
      <c r="D131" s="48">
        <v>185.54</v>
      </c>
      <c r="E131" s="48">
        <v>438.55</v>
      </c>
      <c r="F131" s="48">
        <v>523.27</v>
      </c>
      <c r="G131" s="48">
        <v>286.08</v>
      </c>
      <c r="H131" s="48">
        <v>707.84</v>
      </c>
      <c r="I131" s="48">
        <v>408.95</v>
      </c>
      <c r="J131" s="48">
        <v>439.37</v>
      </c>
      <c r="K131" s="48">
        <v>486.03</v>
      </c>
      <c r="L131" s="48">
        <v>655.96</v>
      </c>
      <c r="M131" s="48">
        <v>208.17</v>
      </c>
      <c r="N131" s="48">
        <v>4665.03</v>
      </c>
      <c r="O131" s="48">
        <f t="shared" si="22"/>
        <v>2498.04</v>
      </c>
      <c r="P131" s="48">
        <f t="shared" si="23"/>
        <v>5400.64</v>
      </c>
      <c r="Q131" s="48">
        <f t="shared" si="24"/>
        <v>5812.6399999999994</v>
      </c>
    </row>
    <row r="132" spans="1:18" ht="15" customHeight="1" x14ac:dyDescent="0.3">
      <c r="A132" s="44" t="s">
        <v>309</v>
      </c>
      <c r="B132" s="43" t="s">
        <v>308</v>
      </c>
      <c r="C132" s="48">
        <v>146.34</v>
      </c>
      <c r="D132" s="48">
        <v>140.69999999999999</v>
      </c>
      <c r="E132" s="48">
        <v>225.66</v>
      </c>
      <c r="F132" s="48">
        <v>381.39</v>
      </c>
      <c r="G132" s="48">
        <v>492.62</v>
      </c>
      <c r="H132" s="48">
        <v>580.79999999999995</v>
      </c>
      <c r="I132" s="48">
        <v>585.01</v>
      </c>
      <c r="J132" s="48">
        <v>653</v>
      </c>
      <c r="K132" s="48">
        <v>737.7</v>
      </c>
      <c r="L132" s="48">
        <v>566.38</v>
      </c>
      <c r="M132" s="48">
        <v>725.46</v>
      </c>
      <c r="N132" s="48">
        <v>5235.0600000000004</v>
      </c>
      <c r="O132" s="48">
        <f t="shared" si="22"/>
        <v>8705.52</v>
      </c>
      <c r="P132" s="48">
        <f t="shared" si="23"/>
        <v>8118.16</v>
      </c>
      <c r="Q132" s="48">
        <f t="shared" si="24"/>
        <v>7696.7000000000007</v>
      </c>
    </row>
    <row r="133" spans="1:18" ht="15" customHeight="1" x14ac:dyDescent="0.3">
      <c r="A133" s="44" t="s">
        <v>307</v>
      </c>
      <c r="B133" s="43" t="s">
        <v>306</v>
      </c>
      <c r="C133" s="48">
        <v>2.85</v>
      </c>
      <c r="D133" s="48">
        <v>220.63</v>
      </c>
      <c r="E133" s="48">
        <v>421.55</v>
      </c>
      <c r="F133" s="48">
        <v>321.76</v>
      </c>
      <c r="G133" s="48">
        <v>235.71</v>
      </c>
      <c r="H133" s="48">
        <v>531.03</v>
      </c>
      <c r="I133" s="48">
        <v>351.08</v>
      </c>
      <c r="J133" s="48">
        <v>334.44</v>
      </c>
      <c r="K133" s="48">
        <v>628.14</v>
      </c>
      <c r="L133" s="48">
        <v>551.99</v>
      </c>
      <c r="M133" s="48">
        <v>473.26</v>
      </c>
      <c r="N133" s="48">
        <v>4072.44</v>
      </c>
      <c r="O133" s="48">
        <f t="shared" si="22"/>
        <v>5679.12</v>
      </c>
      <c r="P133" s="48">
        <f t="shared" si="23"/>
        <v>6613.56</v>
      </c>
      <c r="Q133" s="48">
        <f t="shared" si="24"/>
        <v>5739.880000000001</v>
      </c>
    </row>
    <row r="134" spans="1:18" ht="15" customHeight="1" x14ac:dyDescent="0.3">
      <c r="A134" s="44" t="s">
        <v>305</v>
      </c>
      <c r="B134" s="43" t="s">
        <v>304</v>
      </c>
      <c r="C134" s="47">
        <v>0</v>
      </c>
      <c r="D134" s="47">
        <v>0</v>
      </c>
      <c r="E134" s="47">
        <v>0</v>
      </c>
      <c r="F134" s="47">
        <v>0</v>
      </c>
      <c r="G134" s="47">
        <v>100.1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100.1</v>
      </c>
      <c r="O134" s="69">
        <f t="shared" ref="O134:O197" si="25">IF($N$5="","",M134*12)</f>
        <v>0</v>
      </c>
      <c r="P134" s="69">
        <f t="shared" ref="P134:P197" si="26">IF($N$5="","",SUM(K134:M134)*4)</f>
        <v>0</v>
      </c>
      <c r="Q134" s="69">
        <f t="shared" ref="Q134:Q197" si="27">IF($N$5="","",SUM(H134:M134)*2)</f>
        <v>0</v>
      </c>
    </row>
    <row r="135" spans="1:18" ht="15" customHeight="1" x14ac:dyDescent="0.3">
      <c r="A135" s="41" t="s">
        <v>303</v>
      </c>
      <c r="B135" s="40" t="s">
        <v>302</v>
      </c>
      <c r="C135" s="45">
        <v>474.46</v>
      </c>
      <c r="D135" s="45">
        <v>546.87</v>
      </c>
      <c r="E135" s="45">
        <v>1085.76</v>
      </c>
      <c r="F135" s="45">
        <v>1226.42</v>
      </c>
      <c r="G135" s="45">
        <v>1114.51</v>
      </c>
      <c r="H135" s="45">
        <v>1819.67</v>
      </c>
      <c r="I135" s="45">
        <v>1345.04</v>
      </c>
      <c r="J135" s="45">
        <v>1426.81</v>
      </c>
      <c r="K135" s="45">
        <v>1851.87</v>
      </c>
      <c r="L135" s="45">
        <v>1774.33</v>
      </c>
      <c r="M135" s="45">
        <v>1406.89</v>
      </c>
      <c r="N135" s="45">
        <v>14072.63</v>
      </c>
      <c r="O135" s="70">
        <f t="shared" si="25"/>
        <v>16882.68</v>
      </c>
      <c r="P135" s="70">
        <f t="shared" si="26"/>
        <v>20132.36</v>
      </c>
      <c r="Q135" s="70">
        <f t="shared" si="27"/>
        <v>19249.22</v>
      </c>
    </row>
    <row r="136" spans="1:18" ht="15" customHeight="1" x14ac:dyDescent="0.3">
      <c r="A136" s="44"/>
      <c r="B136" s="43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>
        <f t="shared" si="25"/>
        <v>0</v>
      </c>
      <c r="P136" s="44">
        <f t="shared" si="26"/>
        <v>0</v>
      </c>
      <c r="Q136" s="44">
        <f t="shared" si="27"/>
        <v>0</v>
      </c>
    </row>
    <row r="137" spans="1:18" ht="15" customHeight="1" x14ac:dyDescent="0.3">
      <c r="A137" s="41" t="s">
        <v>301</v>
      </c>
      <c r="B137" s="40" t="s">
        <v>300</v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>
        <f t="shared" si="25"/>
        <v>0</v>
      </c>
      <c r="P137" s="49">
        <f t="shared" si="26"/>
        <v>0</v>
      </c>
      <c r="Q137" s="49">
        <f t="shared" si="27"/>
        <v>0</v>
      </c>
    </row>
    <row r="138" spans="1:18" ht="15" customHeight="1" x14ac:dyDescent="0.3">
      <c r="A138" s="44" t="s">
        <v>299</v>
      </c>
      <c r="B138" s="43" t="s">
        <v>298</v>
      </c>
      <c r="C138" s="48">
        <v>0</v>
      </c>
      <c r="D138" s="48">
        <v>0</v>
      </c>
      <c r="E138" s="48">
        <v>0</v>
      </c>
      <c r="F138" s="48">
        <v>0</v>
      </c>
      <c r="G138" s="48">
        <v>0</v>
      </c>
      <c r="H138" s="48">
        <v>0</v>
      </c>
      <c r="I138" s="48">
        <v>352</v>
      </c>
      <c r="J138" s="48">
        <v>704</v>
      </c>
      <c r="K138" s="48">
        <v>1056</v>
      </c>
      <c r="L138" s="48">
        <v>880</v>
      </c>
      <c r="M138" s="48">
        <v>0</v>
      </c>
      <c r="N138" s="48">
        <v>2992</v>
      </c>
      <c r="O138" s="48">
        <f t="shared" si="25"/>
        <v>0</v>
      </c>
      <c r="P138" s="48">
        <f t="shared" si="26"/>
        <v>7744</v>
      </c>
      <c r="Q138" s="48">
        <f t="shared" si="27"/>
        <v>5984</v>
      </c>
    </row>
    <row r="139" spans="1:18" ht="15" customHeight="1" x14ac:dyDescent="0.3">
      <c r="A139" s="44" t="s">
        <v>297</v>
      </c>
      <c r="B139" s="43" t="s">
        <v>296</v>
      </c>
      <c r="C139" s="47">
        <v>460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460</v>
      </c>
      <c r="O139" s="69">
        <f t="shared" si="25"/>
        <v>0</v>
      </c>
      <c r="P139" s="69">
        <f t="shared" si="26"/>
        <v>0</v>
      </c>
      <c r="Q139" s="69">
        <f t="shared" si="27"/>
        <v>0</v>
      </c>
    </row>
    <row r="140" spans="1:18" ht="15" customHeight="1" x14ac:dyDescent="0.3">
      <c r="A140" s="41" t="s">
        <v>295</v>
      </c>
      <c r="B140" s="40" t="s">
        <v>294</v>
      </c>
      <c r="C140" s="45">
        <v>460</v>
      </c>
      <c r="D140" s="45">
        <v>0</v>
      </c>
      <c r="E140" s="45">
        <v>0</v>
      </c>
      <c r="F140" s="45">
        <v>0</v>
      </c>
      <c r="G140" s="45">
        <v>0</v>
      </c>
      <c r="H140" s="45">
        <v>0</v>
      </c>
      <c r="I140" s="45">
        <v>352</v>
      </c>
      <c r="J140" s="45">
        <v>704</v>
      </c>
      <c r="K140" s="45">
        <v>1056</v>
      </c>
      <c r="L140" s="45">
        <v>880</v>
      </c>
      <c r="M140" s="45">
        <v>0</v>
      </c>
      <c r="N140" s="45">
        <v>3452</v>
      </c>
      <c r="O140" s="70">
        <f t="shared" si="25"/>
        <v>0</v>
      </c>
      <c r="P140" s="70">
        <f t="shared" si="26"/>
        <v>7744</v>
      </c>
      <c r="Q140" s="70">
        <f t="shared" si="27"/>
        <v>5984</v>
      </c>
    </row>
    <row r="141" spans="1:18" ht="15" customHeight="1" x14ac:dyDescent="0.3">
      <c r="A141" s="44"/>
      <c r="B141" s="43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71">
        <f t="shared" si="25"/>
        <v>0</v>
      </c>
      <c r="P141" s="71">
        <f t="shared" si="26"/>
        <v>0</v>
      </c>
      <c r="Q141" s="71">
        <f t="shared" si="27"/>
        <v>0</v>
      </c>
    </row>
    <row r="142" spans="1:18" ht="15" customHeight="1" x14ac:dyDescent="0.3">
      <c r="A142" s="41" t="s">
        <v>293</v>
      </c>
      <c r="B142" s="40" t="s">
        <v>292</v>
      </c>
      <c r="C142" s="45">
        <v>19106.919999999998</v>
      </c>
      <c r="D142" s="45">
        <v>32708.51</v>
      </c>
      <c r="E142" s="45">
        <v>37431.18</v>
      </c>
      <c r="F142" s="45">
        <v>44111.21</v>
      </c>
      <c r="G142" s="45">
        <v>39884.06</v>
      </c>
      <c r="H142" s="45">
        <v>60840.27</v>
      </c>
      <c r="I142" s="45">
        <v>47753.24</v>
      </c>
      <c r="J142" s="45">
        <v>51425.15</v>
      </c>
      <c r="K142" s="45">
        <v>64051.77</v>
      </c>
      <c r="L142" s="45">
        <v>76922.070000000007</v>
      </c>
      <c r="M142" s="45">
        <v>43447.45</v>
      </c>
      <c r="N142" s="45">
        <v>517681.83</v>
      </c>
      <c r="O142" s="70">
        <f t="shared" si="25"/>
        <v>521369.39999999997</v>
      </c>
      <c r="P142" s="70">
        <f t="shared" si="26"/>
        <v>737685.15999999992</v>
      </c>
      <c r="Q142" s="70">
        <f t="shared" si="27"/>
        <v>688879.9</v>
      </c>
      <c r="R142" t="s">
        <v>539</v>
      </c>
    </row>
    <row r="143" spans="1:18" ht="15" customHeight="1" x14ac:dyDescent="0.3">
      <c r="A143" s="44"/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>
        <f t="shared" si="25"/>
        <v>0</v>
      </c>
      <c r="P143" s="44">
        <f t="shared" si="26"/>
        <v>0</v>
      </c>
      <c r="Q143" s="44">
        <f t="shared" si="27"/>
        <v>0</v>
      </c>
    </row>
    <row r="144" spans="1:18" ht="15" customHeight="1" x14ac:dyDescent="0.3">
      <c r="A144" s="41" t="s">
        <v>291</v>
      </c>
      <c r="B144" s="40" t="s">
        <v>290</v>
      </c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>
        <f t="shared" si="25"/>
        <v>0</v>
      </c>
      <c r="P144" s="49">
        <f t="shared" si="26"/>
        <v>0</v>
      </c>
      <c r="Q144" s="49">
        <f t="shared" si="27"/>
        <v>0</v>
      </c>
    </row>
    <row r="145" spans="1:18" ht="15" customHeight="1" x14ac:dyDescent="0.3">
      <c r="A145" s="44" t="s">
        <v>289</v>
      </c>
      <c r="B145" s="43" t="s">
        <v>288</v>
      </c>
      <c r="C145" s="47">
        <v>0</v>
      </c>
      <c r="D145" s="47">
        <v>725</v>
      </c>
      <c r="E145" s="47">
        <v>2419.98</v>
      </c>
      <c r="F145" s="47">
        <v>200</v>
      </c>
      <c r="G145" s="47">
        <v>1200</v>
      </c>
      <c r="H145" s="47">
        <v>5600</v>
      </c>
      <c r="I145" s="47">
        <v>-1118.8599999999999</v>
      </c>
      <c r="J145" s="47">
        <v>0</v>
      </c>
      <c r="K145" s="47">
        <v>1200</v>
      </c>
      <c r="L145" s="47">
        <v>1734.86</v>
      </c>
      <c r="M145" s="47">
        <v>0</v>
      </c>
      <c r="N145" s="47">
        <v>11960.98</v>
      </c>
      <c r="O145" s="69">
        <f t="shared" si="25"/>
        <v>0</v>
      </c>
      <c r="P145" s="69">
        <f t="shared" si="26"/>
        <v>11739.439999999999</v>
      </c>
      <c r="Q145" s="69">
        <f t="shared" si="27"/>
        <v>14832</v>
      </c>
    </row>
    <row r="146" spans="1:18" ht="15" customHeight="1" x14ac:dyDescent="0.3">
      <c r="A146" s="41" t="s">
        <v>287</v>
      </c>
      <c r="B146" s="40" t="s">
        <v>286</v>
      </c>
      <c r="C146" s="45">
        <v>0</v>
      </c>
      <c r="D146" s="45">
        <v>725</v>
      </c>
      <c r="E146" s="45">
        <v>2419.98</v>
      </c>
      <c r="F146" s="45">
        <v>200</v>
      </c>
      <c r="G146" s="45">
        <v>1200</v>
      </c>
      <c r="H146" s="45">
        <v>5600</v>
      </c>
      <c r="I146" s="45">
        <v>-1118.8599999999999</v>
      </c>
      <c r="J146" s="45">
        <v>0</v>
      </c>
      <c r="K146" s="45">
        <v>1200</v>
      </c>
      <c r="L146" s="45">
        <v>1734.86</v>
      </c>
      <c r="M146" s="45">
        <v>0</v>
      </c>
      <c r="N146" s="45">
        <v>11960.98</v>
      </c>
      <c r="O146" s="70">
        <f t="shared" si="25"/>
        <v>0</v>
      </c>
      <c r="P146" s="70">
        <f t="shared" si="26"/>
        <v>11739.439999999999</v>
      </c>
      <c r="Q146" s="70">
        <f t="shared" si="27"/>
        <v>14832</v>
      </c>
      <c r="R146" t="s">
        <v>541</v>
      </c>
    </row>
    <row r="147" spans="1:18" ht="15" customHeight="1" x14ac:dyDescent="0.3">
      <c r="A147" s="44"/>
      <c r="B147" s="43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>
        <f t="shared" si="25"/>
        <v>0</v>
      </c>
      <c r="P147" s="44">
        <f t="shared" si="26"/>
        <v>0</v>
      </c>
      <c r="Q147" s="44">
        <f t="shared" si="27"/>
        <v>0</v>
      </c>
    </row>
    <row r="148" spans="1:18" ht="15" customHeight="1" x14ac:dyDescent="0.3">
      <c r="A148" s="41" t="s">
        <v>285</v>
      </c>
      <c r="B148" s="40" t="s">
        <v>284</v>
      </c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>
        <f t="shared" si="25"/>
        <v>0</v>
      </c>
      <c r="P148" s="49">
        <f t="shared" si="26"/>
        <v>0</v>
      </c>
      <c r="Q148" s="49">
        <f t="shared" si="27"/>
        <v>0</v>
      </c>
    </row>
    <row r="149" spans="1:18" ht="15" customHeight="1" x14ac:dyDescent="0.3">
      <c r="A149" s="44" t="s">
        <v>283</v>
      </c>
      <c r="B149" s="43" t="s">
        <v>282</v>
      </c>
      <c r="C149" s="48">
        <v>0</v>
      </c>
      <c r="D149" s="48">
        <v>5805</v>
      </c>
      <c r="E149" s="48">
        <v>5749</v>
      </c>
      <c r="F149" s="48">
        <v>5536</v>
      </c>
      <c r="G149" s="48">
        <v>-4446.33</v>
      </c>
      <c r="H149" s="48">
        <v>-2403.83</v>
      </c>
      <c r="I149" s="48">
        <v>3859.11</v>
      </c>
      <c r="J149" s="48">
        <v>14606.76</v>
      </c>
      <c r="K149" s="48">
        <v>-3295.75</v>
      </c>
      <c r="L149" s="48">
        <v>4543.1000000000004</v>
      </c>
      <c r="M149" s="48">
        <v>2284.6</v>
      </c>
      <c r="N149" s="48">
        <v>32237.66</v>
      </c>
      <c r="O149" s="48">
        <f t="shared" si="25"/>
        <v>27415.199999999997</v>
      </c>
      <c r="P149" s="48">
        <f t="shared" si="26"/>
        <v>14127.800000000001</v>
      </c>
      <c r="Q149" s="48">
        <f t="shared" si="27"/>
        <v>39187.979999999996</v>
      </c>
    </row>
    <row r="150" spans="1:18" ht="15" customHeight="1" x14ac:dyDescent="0.3">
      <c r="A150" s="44" t="s">
        <v>281</v>
      </c>
      <c r="B150" s="43" t="s">
        <v>280</v>
      </c>
      <c r="C150" s="48">
        <v>0</v>
      </c>
      <c r="D150" s="48">
        <v>2940</v>
      </c>
      <c r="E150" s="48">
        <v>3710</v>
      </c>
      <c r="F150" s="48">
        <v>4278.66</v>
      </c>
      <c r="G150" s="48">
        <v>-5001.67</v>
      </c>
      <c r="H150" s="48">
        <v>506.9</v>
      </c>
      <c r="I150" s="48">
        <v>1425.04</v>
      </c>
      <c r="J150" s="48">
        <v>10123.76</v>
      </c>
      <c r="K150" s="48">
        <v>-5975.7</v>
      </c>
      <c r="L150" s="48">
        <v>12389.22</v>
      </c>
      <c r="M150" s="48">
        <v>5873.21</v>
      </c>
      <c r="N150" s="48">
        <v>30269.42</v>
      </c>
      <c r="O150" s="48">
        <f t="shared" si="25"/>
        <v>70478.52</v>
      </c>
      <c r="P150" s="48">
        <f t="shared" si="26"/>
        <v>49146.92</v>
      </c>
      <c r="Q150" s="48">
        <f t="shared" si="27"/>
        <v>48684.86</v>
      </c>
    </row>
    <row r="151" spans="1:18" ht="15" customHeight="1" x14ac:dyDescent="0.3">
      <c r="A151" s="44" t="s">
        <v>279</v>
      </c>
      <c r="B151" s="43" t="s">
        <v>278</v>
      </c>
      <c r="C151" s="48">
        <v>0</v>
      </c>
      <c r="D151" s="48">
        <v>2838</v>
      </c>
      <c r="E151" s="48">
        <v>1758</v>
      </c>
      <c r="F151" s="48">
        <v>-2350.3200000000002</v>
      </c>
      <c r="G151" s="48">
        <v>70.239999999999995</v>
      </c>
      <c r="H151" s="48">
        <v>4265.63</v>
      </c>
      <c r="I151" s="48">
        <v>1870.49</v>
      </c>
      <c r="J151" s="48">
        <v>-1424.61</v>
      </c>
      <c r="K151" s="48">
        <v>8491.39</v>
      </c>
      <c r="L151" s="48">
        <v>147.94999999999999</v>
      </c>
      <c r="M151" s="48">
        <v>8911.92</v>
      </c>
      <c r="N151" s="48">
        <v>24578.69</v>
      </c>
      <c r="O151" s="48">
        <f t="shared" si="25"/>
        <v>106943.04000000001</v>
      </c>
      <c r="P151" s="48">
        <f t="shared" si="26"/>
        <v>70205.040000000008</v>
      </c>
      <c r="Q151" s="48">
        <f t="shared" si="27"/>
        <v>44525.54</v>
      </c>
    </row>
    <row r="152" spans="1:18" ht="15" customHeight="1" x14ac:dyDescent="0.3">
      <c r="A152" s="44" t="s">
        <v>277</v>
      </c>
      <c r="B152" s="43" t="s">
        <v>276</v>
      </c>
      <c r="C152" s="48">
        <v>0</v>
      </c>
      <c r="D152" s="48">
        <v>1260</v>
      </c>
      <c r="E152" s="48">
        <v>1590</v>
      </c>
      <c r="F152" s="48">
        <v>-912.06</v>
      </c>
      <c r="G152" s="48">
        <v>1078.28</v>
      </c>
      <c r="H152" s="48">
        <v>3089.59</v>
      </c>
      <c r="I152" s="48">
        <v>0</v>
      </c>
      <c r="J152" s="48">
        <v>0</v>
      </c>
      <c r="K152" s="48">
        <v>0</v>
      </c>
      <c r="L152" s="48">
        <v>0</v>
      </c>
      <c r="M152" s="48">
        <v>0</v>
      </c>
      <c r="N152" s="48">
        <v>6105.81</v>
      </c>
      <c r="O152" s="48">
        <f t="shared" si="25"/>
        <v>0</v>
      </c>
      <c r="P152" s="48">
        <f t="shared" si="26"/>
        <v>0</v>
      </c>
      <c r="Q152" s="48">
        <f t="shared" si="27"/>
        <v>6179.18</v>
      </c>
    </row>
    <row r="153" spans="1:18" ht="15" customHeight="1" x14ac:dyDescent="0.3">
      <c r="A153" s="44" t="s">
        <v>275</v>
      </c>
      <c r="B153" s="43" t="s">
        <v>274</v>
      </c>
      <c r="C153" s="48">
        <v>0</v>
      </c>
      <c r="D153" s="48">
        <v>6100</v>
      </c>
      <c r="E153" s="48">
        <v>10414</v>
      </c>
      <c r="F153" s="48">
        <v>-11758.42</v>
      </c>
      <c r="G153" s="48">
        <v>4949.1899999999996</v>
      </c>
      <c r="H153" s="48">
        <v>2617.48</v>
      </c>
      <c r="I153" s="48">
        <v>27834.17</v>
      </c>
      <c r="J153" s="48">
        <v>22287.31</v>
      </c>
      <c r="K153" s="48">
        <v>-202.48</v>
      </c>
      <c r="L153" s="48">
        <v>6220.43</v>
      </c>
      <c r="M153" s="48">
        <v>12963.2</v>
      </c>
      <c r="N153" s="48">
        <v>81424.88</v>
      </c>
      <c r="O153" s="48">
        <f t="shared" si="25"/>
        <v>155558.40000000002</v>
      </c>
      <c r="P153" s="48">
        <f t="shared" si="26"/>
        <v>75924.600000000006</v>
      </c>
      <c r="Q153" s="48">
        <f t="shared" si="27"/>
        <v>143440.22</v>
      </c>
    </row>
    <row r="154" spans="1:18" ht="15" customHeight="1" x14ac:dyDescent="0.3">
      <c r="A154" s="44" t="s">
        <v>273</v>
      </c>
      <c r="B154" s="43" t="s">
        <v>272</v>
      </c>
      <c r="C154" s="48">
        <v>0</v>
      </c>
      <c r="D154" s="48">
        <v>2150</v>
      </c>
      <c r="E154" s="48">
        <v>2821.34</v>
      </c>
      <c r="F154" s="48">
        <v>-2318.3000000000002</v>
      </c>
      <c r="G154" s="48">
        <v>1447.48</v>
      </c>
      <c r="H154" s="48">
        <v>3781.34</v>
      </c>
      <c r="I154" s="48">
        <v>2597.59</v>
      </c>
      <c r="J154" s="48">
        <v>3640.66</v>
      </c>
      <c r="K154" s="48">
        <v>4440.58</v>
      </c>
      <c r="L154" s="48">
        <v>4676.79</v>
      </c>
      <c r="M154" s="48">
        <v>5036.66</v>
      </c>
      <c r="N154" s="48">
        <v>28274.14</v>
      </c>
      <c r="O154" s="48">
        <f t="shared" si="25"/>
        <v>60439.92</v>
      </c>
      <c r="P154" s="48">
        <f t="shared" si="26"/>
        <v>56616.119999999995</v>
      </c>
      <c r="Q154" s="48">
        <f t="shared" si="27"/>
        <v>48347.24</v>
      </c>
    </row>
    <row r="155" spans="1:18" ht="15" customHeight="1" x14ac:dyDescent="0.3">
      <c r="A155" s="44" t="s">
        <v>271</v>
      </c>
      <c r="B155" s="43" t="s">
        <v>270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807.76</v>
      </c>
      <c r="I155" s="48">
        <v>0</v>
      </c>
      <c r="J155" s="48">
        <v>343.09</v>
      </c>
      <c r="K155" s="48">
        <v>1292.3599999999999</v>
      </c>
      <c r="L155" s="48">
        <v>383.09</v>
      </c>
      <c r="M155" s="48">
        <v>53.24</v>
      </c>
      <c r="N155" s="48">
        <v>2879.54</v>
      </c>
      <c r="O155" s="48">
        <f t="shared" si="25"/>
        <v>638.88</v>
      </c>
      <c r="P155" s="48">
        <f t="shared" si="26"/>
        <v>6914.7599999999993</v>
      </c>
      <c r="Q155" s="48">
        <f t="shared" si="27"/>
        <v>5759.08</v>
      </c>
    </row>
    <row r="156" spans="1:18" ht="15" customHeight="1" x14ac:dyDescent="0.3">
      <c r="A156" s="44" t="s">
        <v>269</v>
      </c>
      <c r="B156" s="43" t="s">
        <v>268</v>
      </c>
      <c r="C156" s="48">
        <v>0</v>
      </c>
      <c r="D156" s="48">
        <v>-2289</v>
      </c>
      <c r="E156" s="48">
        <v>2289</v>
      </c>
      <c r="F156" s="48">
        <v>0</v>
      </c>
      <c r="G156" s="48">
        <v>-213.46</v>
      </c>
      <c r="H156" s="48">
        <v>35.69</v>
      </c>
      <c r="I156" s="48">
        <v>-127.06</v>
      </c>
      <c r="J156" s="48">
        <v>-151.75</v>
      </c>
      <c r="K156" s="48">
        <v>-150.77000000000001</v>
      </c>
      <c r="L156" s="48">
        <v>0</v>
      </c>
      <c r="M156" s="48">
        <v>-361.3</v>
      </c>
      <c r="N156" s="48">
        <v>-968.65</v>
      </c>
      <c r="O156" s="48">
        <f t="shared" si="25"/>
        <v>-4335.6000000000004</v>
      </c>
      <c r="P156" s="48">
        <f t="shared" si="26"/>
        <v>-2048.2800000000002</v>
      </c>
      <c r="Q156" s="48">
        <f t="shared" si="27"/>
        <v>-1510.38</v>
      </c>
    </row>
    <row r="157" spans="1:18" ht="15" customHeight="1" x14ac:dyDescent="0.3">
      <c r="A157" s="44" t="s">
        <v>267</v>
      </c>
      <c r="B157" s="43" t="s">
        <v>266</v>
      </c>
      <c r="C157" s="48">
        <v>0</v>
      </c>
      <c r="D157" s="48">
        <v>0</v>
      </c>
      <c r="E157" s="48">
        <v>35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-35</v>
      </c>
      <c r="M157" s="48">
        <v>0</v>
      </c>
      <c r="N157" s="48">
        <v>0</v>
      </c>
      <c r="O157" s="48">
        <f t="shared" si="25"/>
        <v>0</v>
      </c>
      <c r="P157" s="48">
        <f t="shared" si="26"/>
        <v>-140</v>
      </c>
      <c r="Q157" s="48">
        <f t="shared" si="27"/>
        <v>-70</v>
      </c>
    </row>
    <row r="158" spans="1:18" ht="15" customHeight="1" x14ac:dyDescent="0.3">
      <c r="A158" s="44" t="s">
        <v>265</v>
      </c>
      <c r="B158" s="43" t="s">
        <v>264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518.5</v>
      </c>
      <c r="M158" s="47">
        <v>-518.5</v>
      </c>
      <c r="N158" s="47">
        <v>0</v>
      </c>
      <c r="O158" s="69">
        <f t="shared" si="25"/>
        <v>-6222</v>
      </c>
      <c r="P158" s="69">
        <f t="shared" si="26"/>
        <v>0</v>
      </c>
      <c r="Q158" s="69">
        <f t="shared" si="27"/>
        <v>0</v>
      </c>
    </row>
    <row r="159" spans="1:18" ht="15" customHeight="1" x14ac:dyDescent="0.3">
      <c r="A159" s="41" t="s">
        <v>263</v>
      </c>
      <c r="B159" s="40" t="s">
        <v>262</v>
      </c>
      <c r="C159" s="45">
        <v>0</v>
      </c>
      <c r="D159" s="45">
        <v>18804</v>
      </c>
      <c r="E159" s="45">
        <v>28366.34</v>
      </c>
      <c r="F159" s="45">
        <v>-7524.44</v>
      </c>
      <c r="G159" s="45">
        <v>-2116.27</v>
      </c>
      <c r="H159" s="45">
        <v>12700.56</v>
      </c>
      <c r="I159" s="45">
        <v>37459.339999999997</v>
      </c>
      <c r="J159" s="45">
        <v>49425.22</v>
      </c>
      <c r="K159" s="45">
        <v>4599.63</v>
      </c>
      <c r="L159" s="45">
        <v>28844.080000000002</v>
      </c>
      <c r="M159" s="45">
        <v>34243.03</v>
      </c>
      <c r="N159" s="45">
        <v>204801.49</v>
      </c>
      <c r="O159" s="70">
        <f t="shared" si="25"/>
        <v>410916.36</v>
      </c>
      <c r="P159" s="70">
        <f t="shared" si="26"/>
        <v>270746.95999999996</v>
      </c>
      <c r="Q159" s="70">
        <f t="shared" si="27"/>
        <v>334543.72000000003</v>
      </c>
      <c r="R159" t="s">
        <v>540</v>
      </c>
    </row>
    <row r="160" spans="1:18" ht="15" customHeight="1" x14ac:dyDescent="0.3">
      <c r="A160" s="44"/>
      <c r="B160" s="43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>
        <f t="shared" si="25"/>
        <v>0</v>
      </c>
      <c r="P160" s="44">
        <f t="shared" si="26"/>
        <v>0</v>
      </c>
      <c r="Q160" s="44">
        <f t="shared" si="27"/>
        <v>0</v>
      </c>
    </row>
    <row r="161" spans="1:17" ht="15" customHeight="1" x14ac:dyDescent="0.3">
      <c r="A161" s="41" t="s">
        <v>261</v>
      </c>
      <c r="B161" s="40" t="s">
        <v>260</v>
      </c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>
        <f t="shared" si="25"/>
        <v>0</v>
      </c>
      <c r="P161" s="49">
        <f t="shared" si="26"/>
        <v>0</v>
      </c>
      <c r="Q161" s="49">
        <f t="shared" si="27"/>
        <v>0</v>
      </c>
    </row>
    <row r="162" spans="1:17" ht="15" customHeight="1" x14ac:dyDescent="0.3">
      <c r="A162" s="44" t="s">
        <v>259</v>
      </c>
      <c r="B162" s="43" t="s">
        <v>258</v>
      </c>
      <c r="C162" s="48">
        <v>0</v>
      </c>
      <c r="D162" s="48">
        <v>8387.5400000000009</v>
      </c>
      <c r="E162" s="48">
        <v>7105.71</v>
      </c>
      <c r="F162" s="48">
        <v>4304</v>
      </c>
      <c r="G162" s="48">
        <v>3804</v>
      </c>
      <c r="H162" s="48">
        <v>6292.85</v>
      </c>
      <c r="I162" s="48">
        <v>3804</v>
      </c>
      <c r="J162" s="48">
        <v>2259</v>
      </c>
      <c r="K162" s="48">
        <v>2259</v>
      </c>
      <c r="L162" s="48">
        <v>6763.78</v>
      </c>
      <c r="M162" s="48">
        <v>2045</v>
      </c>
      <c r="N162" s="48">
        <v>47024.88</v>
      </c>
      <c r="O162" s="48">
        <f t="shared" si="25"/>
        <v>24540</v>
      </c>
      <c r="P162" s="48">
        <f t="shared" si="26"/>
        <v>44271.119999999995</v>
      </c>
      <c r="Q162" s="48">
        <f t="shared" si="27"/>
        <v>46847.26</v>
      </c>
    </row>
    <row r="163" spans="1:17" ht="15" customHeight="1" x14ac:dyDescent="0.3">
      <c r="A163" s="44" t="s">
        <v>257</v>
      </c>
      <c r="B163" s="43" t="s">
        <v>256</v>
      </c>
      <c r="C163" s="48">
        <v>0</v>
      </c>
      <c r="D163" s="48">
        <v>1280</v>
      </c>
      <c r="E163" s="48">
        <v>-1280</v>
      </c>
      <c r="F163" s="48">
        <v>0</v>
      </c>
      <c r="G163" s="48">
        <v>0</v>
      </c>
      <c r="H163" s="48">
        <v>0</v>
      </c>
      <c r="I163" s="48">
        <v>0</v>
      </c>
      <c r="J163" s="48">
        <v>1545</v>
      </c>
      <c r="K163" s="48">
        <v>1545</v>
      </c>
      <c r="L163" s="48">
        <v>963.17</v>
      </c>
      <c r="M163" s="48">
        <v>0</v>
      </c>
      <c r="N163" s="48">
        <v>4053.17</v>
      </c>
      <c r="O163" s="48">
        <f t="shared" si="25"/>
        <v>0</v>
      </c>
      <c r="P163" s="48">
        <f t="shared" si="26"/>
        <v>10032.68</v>
      </c>
      <c r="Q163" s="48">
        <f t="shared" si="27"/>
        <v>8106.34</v>
      </c>
    </row>
    <row r="164" spans="1:17" ht="15" customHeight="1" x14ac:dyDescent="0.3">
      <c r="A164" s="44" t="s">
        <v>255</v>
      </c>
      <c r="B164" s="43" t="s">
        <v>254</v>
      </c>
      <c r="C164" s="48">
        <v>0</v>
      </c>
      <c r="D164" s="48">
        <v>0</v>
      </c>
      <c r="E164" s="48">
        <v>229.17</v>
      </c>
      <c r="F164" s="48">
        <v>0</v>
      </c>
      <c r="G164" s="48">
        <v>0</v>
      </c>
      <c r="H164" s="48">
        <v>0</v>
      </c>
      <c r="I164" s="48">
        <v>0</v>
      </c>
      <c r="J164" s="48">
        <v>0</v>
      </c>
      <c r="K164" s="48">
        <v>0</v>
      </c>
      <c r="L164" s="48">
        <v>-229.17</v>
      </c>
      <c r="M164" s="48">
        <v>0</v>
      </c>
      <c r="N164" s="48">
        <v>0</v>
      </c>
      <c r="O164" s="48">
        <f t="shared" si="25"/>
        <v>0</v>
      </c>
      <c r="P164" s="48">
        <f t="shared" si="26"/>
        <v>-916.68</v>
      </c>
      <c r="Q164" s="48">
        <f t="shared" si="27"/>
        <v>-458.34</v>
      </c>
    </row>
    <row r="165" spans="1:17" ht="15" customHeight="1" x14ac:dyDescent="0.3">
      <c r="A165" s="44" t="s">
        <v>253</v>
      </c>
      <c r="B165" s="43" t="s">
        <v>252</v>
      </c>
      <c r="C165" s="48">
        <v>0</v>
      </c>
      <c r="D165" s="48">
        <v>0</v>
      </c>
      <c r="E165" s="48">
        <v>0</v>
      </c>
      <c r="F165" s="48">
        <v>0</v>
      </c>
      <c r="G165" s="48">
        <v>19.3</v>
      </c>
      <c r="H165" s="48">
        <v>0</v>
      </c>
      <c r="I165" s="48">
        <v>0</v>
      </c>
      <c r="J165" s="48">
        <v>0</v>
      </c>
      <c r="K165" s="48">
        <v>0</v>
      </c>
      <c r="L165" s="48">
        <v>-19.3</v>
      </c>
      <c r="M165" s="48">
        <v>0</v>
      </c>
      <c r="N165" s="48">
        <v>0</v>
      </c>
      <c r="O165" s="48">
        <f t="shared" si="25"/>
        <v>0</v>
      </c>
      <c r="P165" s="48">
        <f t="shared" si="26"/>
        <v>-77.2</v>
      </c>
      <c r="Q165" s="48">
        <f t="shared" si="27"/>
        <v>-38.6</v>
      </c>
    </row>
    <row r="166" spans="1:17" ht="15" customHeight="1" x14ac:dyDescent="0.3">
      <c r="A166" s="44" t="s">
        <v>251</v>
      </c>
      <c r="B166" s="43" t="s">
        <v>250</v>
      </c>
      <c r="C166" s="48">
        <v>0</v>
      </c>
      <c r="D166" s="48">
        <v>0</v>
      </c>
      <c r="E166" s="48">
        <v>446.16</v>
      </c>
      <c r="F166" s="48">
        <v>0</v>
      </c>
      <c r="G166" s="48">
        <v>1195.3800000000001</v>
      </c>
      <c r="H166" s="48">
        <v>10000</v>
      </c>
      <c r="I166" s="48">
        <v>3478.13</v>
      </c>
      <c r="J166" s="48">
        <v>9955.7000000000007</v>
      </c>
      <c r="K166" s="48">
        <v>1296.9100000000001</v>
      </c>
      <c r="L166" s="48">
        <v>6238.75</v>
      </c>
      <c r="M166" s="48">
        <v>1700.63</v>
      </c>
      <c r="N166" s="48">
        <v>34311.660000000003</v>
      </c>
      <c r="O166" s="48">
        <f t="shared" si="25"/>
        <v>20407.560000000001</v>
      </c>
      <c r="P166" s="48">
        <f t="shared" si="26"/>
        <v>36945.160000000003</v>
      </c>
      <c r="Q166" s="48">
        <f t="shared" si="27"/>
        <v>65340.240000000005</v>
      </c>
    </row>
    <row r="167" spans="1:17" ht="15" customHeight="1" x14ac:dyDescent="0.3">
      <c r="A167" s="44" t="s">
        <v>249</v>
      </c>
      <c r="B167" s="43" t="s">
        <v>248</v>
      </c>
      <c r="C167" s="48">
        <v>320.92</v>
      </c>
      <c r="D167" s="48">
        <v>500</v>
      </c>
      <c r="E167" s="48">
        <v>-500</v>
      </c>
      <c r="F167" s="48">
        <v>0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48">
        <v>320.92</v>
      </c>
      <c r="O167" s="48">
        <f t="shared" si="25"/>
        <v>0</v>
      </c>
      <c r="P167" s="48">
        <f t="shared" si="26"/>
        <v>0</v>
      </c>
      <c r="Q167" s="48">
        <f t="shared" si="27"/>
        <v>0</v>
      </c>
    </row>
    <row r="168" spans="1:17" ht="15" customHeight="1" x14ac:dyDescent="0.3">
      <c r="A168" s="44" t="s">
        <v>247</v>
      </c>
      <c r="B168" s="43" t="s">
        <v>246</v>
      </c>
      <c r="C168" s="48">
        <v>0</v>
      </c>
      <c r="D168" s="48">
        <v>1435</v>
      </c>
      <c r="E168" s="48">
        <v>0</v>
      </c>
      <c r="F168" s="48">
        <v>0</v>
      </c>
      <c r="G168" s="48">
        <v>0</v>
      </c>
      <c r="H168" s="48">
        <v>0</v>
      </c>
      <c r="I168" s="48">
        <v>1750.55</v>
      </c>
      <c r="J168" s="48">
        <v>0</v>
      </c>
      <c r="K168" s="48">
        <v>18.100000000000001</v>
      </c>
      <c r="L168" s="48">
        <v>66.760000000000005</v>
      </c>
      <c r="M168" s="48">
        <v>792.55</v>
      </c>
      <c r="N168" s="48">
        <v>4062.96</v>
      </c>
      <c r="O168" s="48">
        <f t="shared" si="25"/>
        <v>9510.5999999999985</v>
      </c>
      <c r="P168" s="48">
        <f t="shared" si="26"/>
        <v>3509.64</v>
      </c>
      <c r="Q168" s="48">
        <f t="shared" si="27"/>
        <v>5255.92</v>
      </c>
    </row>
    <row r="169" spans="1:17" ht="15" customHeight="1" x14ac:dyDescent="0.3">
      <c r="A169" s="44" t="s">
        <v>245</v>
      </c>
      <c r="B169" s="43" t="s">
        <v>244</v>
      </c>
      <c r="C169" s="48">
        <v>0</v>
      </c>
      <c r="D169" s="48">
        <v>0</v>
      </c>
      <c r="E169" s="48">
        <v>0</v>
      </c>
      <c r="F169" s="48">
        <v>204.27</v>
      </c>
      <c r="G169" s="48">
        <v>0</v>
      </c>
      <c r="H169" s="48">
        <v>2500</v>
      </c>
      <c r="I169" s="48">
        <v>-629.16</v>
      </c>
      <c r="J169" s="48">
        <v>502.5</v>
      </c>
      <c r="K169" s="48">
        <v>558.12</v>
      </c>
      <c r="L169" s="48">
        <v>284.44</v>
      </c>
      <c r="M169" s="48">
        <v>465.38</v>
      </c>
      <c r="N169" s="48">
        <v>3885.55</v>
      </c>
      <c r="O169" s="48">
        <f t="shared" si="25"/>
        <v>5584.5599999999995</v>
      </c>
      <c r="P169" s="48">
        <f t="shared" si="26"/>
        <v>5231.76</v>
      </c>
      <c r="Q169" s="48">
        <f t="shared" si="27"/>
        <v>7362.56</v>
      </c>
    </row>
    <row r="170" spans="1:17" ht="15" customHeight="1" x14ac:dyDescent="0.3">
      <c r="A170" s="44" t="s">
        <v>243</v>
      </c>
      <c r="B170" s="43" t="s">
        <v>242</v>
      </c>
      <c r="C170" s="48">
        <v>130</v>
      </c>
      <c r="D170" s="48">
        <v>365.86</v>
      </c>
      <c r="E170" s="48">
        <v>2065</v>
      </c>
      <c r="F170" s="48">
        <v>2235</v>
      </c>
      <c r="G170" s="48">
        <v>2253.7199999999998</v>
      </c>
      <c r="H170" s="48">
        <v>2235</v>
      </c>
      <c r="I170" s="48">
        <v>4384.2</v>
      </c>
      <c r="J170" s="48">
        <v>2235</v>
      </c>
      <c r="K170" s="48">
        <v>2009</v>
      </c>
      <c r="L170" s="48">
        <v>2216.5700000000002</v>
      </c>
      <c r="M170" s="48">
        <v>2105</v>
      </c>
      <c r="N170" s="48">
        <v>22234.35</v>
      </c>
      <c r="O170" s="48">
        <f t="shared" si="25"/>
        <v>25260</v>
      </c>
      <c r="P170" s="48">
        <f t="shared" si="26"/>
        <v>25322.28</v>
      </c>
      <c r="Q170" s="48">
        <f t="shared" si="27"/>
        <v>30369.54</v>
      </c>
    </row>
    <row r="171" spans="1:17" ht="15" customHeight="1" x14ac:dyDescent="0.3">
      <c r="A171" s="44" t="s">
        <v>241</v>
      </c>
      <c r="B171" s="43" t="s">
        <v>240</v>
      </c>
      <c r="C171" s="48">
        <v>6960</v>
      </c>
      <c r="D171" s="48">
        <v>459.72</v>
      </c>
      <c r="E171" s="48">
        <v>3483</v>
      </c>
      <c r="F171" s="48">
        <v>3483</v>
      </c>
      <c r="G171" s="48">
        <v>3691</v>
      </c>
      <c r="H171" s="48">
        <v>3528</v>
      </c>
      <c r="I171" s="48">
        <v>7779.8</v>
      </c>
      <c r="J171" s="48">
        <v>3754.72</v>
      </c>
      <c r="K171" s="48">
        <v>2850</v>
      </c>
      <c r="L171" s="48">
        <v>3415.53</v>
      </c>
      <c r="M171" s="48">
        <v>4527.3999999999996</v>
      </c>
      <c r="N171" s="48">
        <v>43932.17</v>
      </c>
      <c r="O171" s="48">
        <f t="shared" si="25"/>
        <v>54328.799999999996</v>
      </c>
      <c r="P171" s="48">
        <f t="shared" si="26"/>
        <v>43171.72</v>
      </c>
      <c r="Q171" s="48">
        <f t="shared" si="27"/>
        <v>51710.899999999994</v>
      </c>
    </row>
    <row r="172" spans="1:17" ht="15" customHeight="1" x14ac:dyDescent="0.3">
      <c r="A172" s="44" t="s">
        <v>239</v>
      </c>
      <c r="B172" s="43" t="s">
        <v>238</v>
      </c>
      <c r="C172" s="48">
        <v>0</v>
      </c>
      <c r="D172" s="48">
        <v>3350</v>
      </c>
      <c r="E172" s="48">
        <v>-3350</v>
      </c>
      <c r="F172" s="48">
        <v>0</v>
      </c>
      <c r="G172" s="48">
        <v>0</v>
      </c>
      <c r="H172" s="48">
        <v>0</v>
      </c>
      <c r="I172" s="48">
        <v>0</v>
      </c>
      <c r="J172" s="48">
        <v>0</v>
      </c>
      <c r="K172" s="48">
        <v>0</v>
      </c>
      <c r="L172" s="48">
        <v>0</v>
      </c>
      <c r="M172" s="48">
        <v>0</v>
      </c>
      <c r="N172" s="48">
        <v>0</v>
      </c>
      <c r="O172" s="48">
        <f t="shared" si="25"/>
        <v>0</v>
      </c>
      <c r="P172" s="48">
        <f t="shared" si="26"/>
        <v>0</v>
      </c>
      <c r="Q172" s="48">
        <f t="shared" si="27"/>
        <v>0</v>
      </c>
    </row>
    <row r="173" spans="1:17" ht="15" customHeight="1" x14ac:dyDescent="0.3">
      <c r="A173" s="44" t="s">
        <v>237</v>
      </c>
      <c r="B173" s="43" t="s">
        <v>236</v>
      </c>
      <c r="C173" s="48">
        <v>0</v>
      </c>
      <c r="D173" s="48">
        <v>0</v>
      </c>
      <c r="E173" s="48">
        <v>0</v>
      </c>
      <c r="F173" s="48">
        <v>0</v>
      </c>
      <c r="G173" s="48">
        <v>0</v>
      </c>
      <c r="H173" s="48">
        <v>329</v>
      </c>
      <c r="I173" s="48">
        <v>1830</v>
      </c>
      <c r="J173" s="48">
        <v>1258</v>
      </c>
      <c r="K173" s="48">
        <v>957</v>
      </c>
      <c r="L173" s="48">
        <v>0</v>
      </c>
      <c r="M173" s="48">
        <v>0</v>
      </c>
      <c r="N173" s="48">
        <v>4374</v>
      </c>
      <c r="O173" s="48">
        <f t="shared" si="25"/>
        <v>0</v>
      </c>
      <c r="P173" s="48">
        <f t="shared" si="26"/>
        <v>3828</v>
      </c>
      <c r="Q173" s="48">
        <f t="shared" si="27"/>
        <v>8748</v>
      </c>
    </row>
    <row r="174" spans="1:17" ht="15" customHeight="1" x14ac:dyDescent="0.3">
      <c r="A174" s="44" t="s">
        <v>235</v>
      </c>
      <c r="B174" s="43" t="s">
        <v>234</v>
      </c>
      <c r="C174" s="48">
        <v>0</v>
      </c>
      <c r="D174" s="48">
        <v>0</v>
      </c>
      <c r="E174" s="48">
        <v>0</v>
      </c>
      <c r="F174" s="48">
        <v>0</v>
      </c>
      <c r="G174" s="48">
        <v>0</v>
      </c>
      <c r="H174" s="48">
        <v>0</v>
      </c>
      <c r="I174" s="48">
        <v>0</v>
      </c>
      <c r="J174" s="48">
        <v>0</v>
      </c>
      <c r="K174" s="48">
        <v>77.94</v>
      </c>
      <c r="L174" s="48">
        <v>0</v>
      </c>
      <c r="M174" s="48">
        <v>0</v>
      </c>
      <c r="N174" s="48">
        <v>77.94</v>
      </c>
      <c r="O174" s="48">
        <f t="shared" si="25"/>
        <v>0</v>
      </c>
      <c r="P174" s="48">
        <f t="shared" si="26"/>
        <v>311.76</v>
      </c>
      <c r="Q174" s="48">
        <f t="shared" si="27"/>
        <v>155.88</v>
      </c>
    </row>
    <row r="175" spans="1:17" ht="15" customHeight="1" x14ac:dyDescent="0.3">
      <c r="A175" s="44" t="s">
        <v>233</v>
      </c>
      <c r="B175" s="43" t="s">
        <v>232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1000</v>
      </c>
      <c r="K175" s="48">
        <v>1180</v>
      </c>
      <c r="L175" s="48">
        <v>2000</v>
      </c>
      <c r="M175" s="48">
        <v>3000</v>
      </c>
      <c r="N175" s="48">
        <v>7180</v>
      </c>
      <c r="O175" s="48">
        <f t="shared" si="25"/>
        <v>36000</v>
      </c>
      <c r="P175" s="48">
        <f t="shared" si="26"/>
        <v>24720</v>
      </c>
      <c r="Q175" s="48">
        <f t="shared" si="27"/>
        <v>14360</v>
      </c>
    </row>
    <row r="176" spans="1:17" ht="15" customHeight="1" x14ac:dyDescent="0.3">
      <c r="A176" s="44" t="s">
        <v>231</v>
      </c>
      <c r="B176" s="43" t="s">
        <v>230</v>
      </c>
      <c r="C176" s="48">
        <v>914.67</v>
      </c>
      <c r="D176" s="48">
        <v>118.5</v>
      </c>
      <c r="E176" s="48">
        <v>192.13</v>
      </c>
      <c r="F176" s="48">
        <v>316</v>
      </c>
      <c r="G176" s="48">
        <v>158</v>
      </c>
      <c r="H176" s="48">
        <v>79</v>
      </c>
      <c r="I176" s="48">
        <v>237</v>
      </c>
      <c r="J176" s="48">
        <v>158</v>
      </c>
      <c r="K176" s="48">
        <v>224.67</v>
      </c>
      <c r="L176" s="48">
        <v>79</v>
      </c>
      <c r="M176" s="48">
        <v>382.65</v>
      </c>
      <c r="N176" s="48">
        <v>2859.62</v>
      </c>
      <c r="O176" s="48">
        <f t="shared" si="25"/>
        <v>4591.7999999999993</v>
      </c>
      <c r="P176" s="48">
        <f t="shared" si="26"/>
        <v>2745.2799999999997</v>
      </c>
      <c r="Q176" s="48">
        <f t="shared" si="27"/>
        <v>2320.64</v>
      </c>
    </row>
    <row r="177" spans="1:18" ht="15" customHeight="1" x14ac:dyDescent="0.3">
      <c r="A177" s="44" t="s">
        <v>229</v>
      </c>
      <c r="B177" s="43" t="s">
        <v>228</v>
      </c>
      <c r="C177" s="48">
        <v>0</v>
      </c>
      <c r="D177" s="48">
        <v>0</v>
      </c>
      <c r="E177" s="48">
        <v>79</v>
      </c>
      <c r="F177" s="48">
        <v>151.37</v>
      </c>
      <c r="G177" s="48">
        <v>0</v>
      </c>
      <c r="H177" s="48">
        <v>176.69</v>
      </c>
      <c r="I177" s="48">
        <v>0</v>
      </c>
      <c r="J177" s="48">
        <v>0</v>
      </c>
      <c r="K177" s="48">
        <v>0</v>
      </c>
      <c r="L177" s="48">
        <v>24.57</v>
      </c>
      <c r="M177" s="48">
        <v>79.33</v>
      </c>
      <c r="N177" s="48">
        <v>510.96</v>
      </c>
      <c r="O177" s="48">
        <f t="shared" si="25"/>
        <v>951.96</v>
      </c>
      <c r="P177" s="48">
        <f t="shared" si="26"/>
        <v>415.6</v>
      </c>
      <c r="Q177" s="48">
        <f t="shared" si="27"/>
        <v>561.17999999999995</v>
      </c>
    </row>
    <row r="178" spans="1:18" ht="15" customHeight="1" x14ac:dyDescent="0.3">
      <c r="A178" s="44" t="s">
        <v>227</v>
      </c>
      <c r="B178" s="43" t="s">
        <v>226</v>
      </c>
      <c r="C178" s="48">
        <v>4210</v>
      </c>
      <c r="D178" s="48">
        <v>536.35</v>
      </c>
      <c r="E178" s="48">
        <v>734</v>
      </c>
      <c r="F178" s="48">
        <v>0</v>
      </c>
      <c r="G178" s="48">
        <v>0</v>
      </c>
      <c r="H178" s="48">
        <v>0</v>
      </c>
      <c r="I178" s="48">
        <v>0</v>
      </c>
      <c r="J178" s="48">
        <v>0</v>
      </c>
      <c r="K178" s="48">
        <v>-150</v>
      </c>
      <c r="L178" s="48">
        <v>-1120.3499999999999</v>
      </c>
      <c r="M178" s="48">
        <v>0</v>
      </c>
      <c r="N178" s="48">
        <v>4210</v>
      </c>
      <c r="O178" s="48">
        <f t="shared" si="25"/>
        <v>0</v>
      </c>
      <c r="P178" s="48">
        <f t="shared" si="26"/>
        <v>-5081.3999999999996</v>
      </c>
      <c r="Q178" s="48">
        <f t="shared" si="27"/>
        <v>-2540.6999999999998</v>
      </c>
    </row>
    <row r="179" spans="1:18" ht="15" customHeight="1" x14ac:dyDescent="0.3">
      <c r="A179" s="44" t="s">
        <v>225</v>
      </c>
      <c r="B179" s="43" t="s">
        <v>224</v>
      </c>
      <c r="C179" s="47">
        <v>0</v>
      </c>
      <c r="D179" s="47">
        <v>825</v>
      </c>
      <c r="E179" s="47">
        <v>-825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69">
        <f t="shared" si="25"/>
        <v>0</v>
      </c>
      <c r="P179" s="69">
        <f t="shared" si="26"/>
        <v>0</v>
      </c>
      <c r="Q179" s="69">
        <f t="shared" si="27"/>
        <v>0</v>
      </c>
    </row>
    <row r="180" spans="1:18" ht="15" customHeight="1" x14ac:dyDescent="0.3">
      <c r="A180" s="41" t="s">
        <v>223</v>
      </c>
      <c r="B180" s="40" t="s">
        <v>222</v>
      </c>
      <c r="C180" s="45">
        <v>12535.59</v>
      </c>
      <c r="D180" s="45">
        <v>17257.97</v>
      </c>
      <c r="E180" s="45">
        <v>8379.17</v>
      </c>
      <c r="F180" s="45">
        <v>10693.64</v>
      </c>
      <c r="G180" s="45">
        <v>11121.4</v>
      </c>
      <c r="H180" s="45">
        <v>25140.54</v>
      </c>
      <c r="I180" s="45">
        <v>22634.52</v>
      </c>
      <c r="J180" s="45">
        <v>22667.919999999998</v>
      </c>
      <c r="K180" s="45">
        <v>12825.74</v>
      </c>
      <c r="L180" s="45">
        <v>20683.75</v>
      </c>
      <c r="M180" s="45">
        <v>15097.94</v>
      </c>
      <c r="N180" s="45">
        <v>179038.18</v>
      </c>
      <c r="O180" s="70">
        <f t="shared" si="25"/>
        <v>181175.28</v>
      </c>
      <c r="P180" s="70">
        <f t="shared" si="26"/>
        <v>194429.72</v>
      </c>
      <c r="Q180" s="70">
        <f t="shared" si="27"/>
        <v>238100.82</v>
      </c>
      <c r="R180" t="s">
        <v>538</v>
      </c>
    </row>
    <row r="181" spans="1:18" ht="15" customHeight="1" x14ac:dyDescent="0.3">
      <c r="A181" s="44"/>
      <c r="B181" s="43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>
        <f t="shared" si="25"/>
        <v>0</v>
      </c>
      <c r="P181" s="44">
        <f t="shared" si="26"/>
        <v>0</v>
      </c>
      <c r="Q181" s="44">
        <f t="shared" si="27"/>
        <v>0</v>
      </c>
    </row>
    <row r="182" spans="1:18" ht="15" customHeight="1" x14ac:dyDescent="0.3">
      <c r="A182" s="41" t="s">
        <v>221</v>
      </c>
      <c r="B182" s="40" t="s">
        <v>220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>
        <f t="shared" si="25"/>
        <v>0</v>
      </c>
      <c r="P182" s="49">
        <f t="shared" si="26"/>
        <v>0</v>
      </c>
      <c r="Q182" s="49">
        <f t="shared" si="27"/>
        <v>0</v>
      </c>
    </row>
    <row r="183" spans="1:18" ht="15" customHeight="1" x14ac:dyDescent="0.3">
      <c r="A183" s="44" t="s">
        <v>219</v>
      </c>
      <c r="B183" s="43" t="s">
        <v>218</v>
      </c>
      <c r="C183" s="48">
        <v>1980.11</v>
      </c>
      <c r="D183" s="48">
        <v>431.58</v>
      </c>
      <c r="E183" s="48">
        <v>431.16</v>
      </c>
      <c r="F183" s="48">
        <v>202.8</v>
      </c>
      <c r="G183" s="48">
        <v>502.54</v>
      </c>
      <c r="H183" s="48">
        <v>300</v>
      </c>
      <c r="I183" s="48">
        <v>913.06</v>
      </c>
      <c r="J183" s="48">
        <v>-300</v>
      </c>
      <c r="K183" s="48">
        <v>1192.57</v>
      </c>
      <c r="L183" s="48">
        <v>456.53</v>
      </c>
      <c r="M183" s="48">
        <v>464.9</v>
      </c>
      <c r="N183" s="48">
        <v>6575.25</v>
      </c>
      <c r="O183" s="48">
        <f t="shared" si="25"/>
        <v>5578.7999999999993</v>
      </c>
      <c r="P183" s="48">
        <f t="shared" si="26"/>
        <v>8456</v>
      </c>
      <c r="Q183" s="48">
        <f t="shared" si="27"/>
        <v>6054.12</v>
      </c>
    </row>
    <row r="184" spans="1:18" ht="15" customHeight="1" x14ac:dyDescent="0.3">
      <c r="A184" s="44" t="s">
        <v>217</v>
      </c>
      <c r="B184" s="43" t="s">
        <v>216</v>
      </c>
      <c r="C184" s="48">
        <v>0</v>
      </c>
      <c r="D184" s="48">
        <v>90</v>
      </c>
      <c r="E184" s="48">
        <v>148.91999999999999</v>
      </c>
      <c r="F184" s="48">
        <v>90</v>
      </c>
      <c r="G184" s="48">
        <v>64.11</v>
      </c>
      <c r="H184" s="48">
        <v>81.37</v>
      </c>
      <c r="I184" s="48">
        <v>81.37</v>
      </c>
      <c r="J184" s="48">
        <v>81.37</v>
      </c>
      <c r="K184" s="48">
        <v>81.37</v>
      </c>
      <c r="L184" s="48">
        <v>81.37</v>
      </c>
      <c r="M184" s="48">
        <v>81.37</v>
      </c>
      <c r="N184" s="48">
        <v>881.25</v>
      </c>
      <c r="O184" s="48">
        <f t="shared" si="25"/>
        <v>976.44</v>
      </c>
      <c r="P184" s="48">
        <f t="shared" si="26"/>
        <v>976.44</v>
      </c>
      <c r="Q184" s="48">
        <f t="shared" si="27"/>
        <v>976.44</v>
      </c>
    </row>
    <row r="185" spans="1:18" ht="15" customHeight="1" x14ac:dyDescent="0.3">
      <c r="A185" s="44" t="s">
        <v>215</v>
      </c>
      <c r="B185" s="43" t="s">
        <v>214</v>
      </c>
      <c r="C185" s="48">
        <v>44.9</v>
      </c>
      <c r="D185" s="48">
        <v>160.66</v>
      </c>
      <c r="E185" s="48">
        <v>467.12</v>
      </c>
      <c r="F185" s="48">
        <v>51.6</v>
      </c>
      <c r="G185" s="48">
        <v>319.64999999999998</v>
      </c>
      <c r="H185" s="48">
        <v>556.16999999999996</v>
      </c>
      <c r="I185" s="48">
        <v>811.65</v>
      </c>
      <c r="J185" s="48">
        <v>450.36</v>
      </c>
      <c r="K185" s="48">
        <v>108.97</v>
      </c>
      <c r="L185" s="48">
        <v>539.09</v>
      </c>
      <c r="M185" s="48">
        <v>219.57</v>
      </c>
      <c r="N185" s="48">
        <v>3729.74</v>
      </c>
      <c r="O185" s="48">
        <f t="shared" si="25"/>
        <v>2634.84</v>
      </c>
      <c r="P185" s="48">
        <f t="shared" si="26"/>
        <v>3470.5200000000004</v>
      </c>
      <c r="Q185" s="48">
        <f t="shared" si="27"/>
        <v>5371.62</v>
      </c>
    </row>
    <row r="186" spans="1:18" ht="15" customHeight="1" x14ac:dyDescent="0.3">
      <c r="A186" s="44" t="s">
        <v>213</v>
      </c>
      <c r="B186" s="43" t="s">
        <v>212</v>
      </c>
      <c r="C186" s="48">
        <v>0</v>
      </c>
      <c r="D186" s="48">
        <v>125</v>
      </c>
      <c r="E186" s="48">
        <v>45</v>
      </c>
      <c r="F186" s="48">
        <v>170</v>
      </c>
      <c r="G186" s="48">
        <v>340</v>
      </c>
      <c r="H186" s="48">
        <v>170</v>
      </c>
      <c r="I186" s="48">
        <v>170</v>
      </c>
      <c r="J186" s="48">
        <v>763.16</v>
      </c>
      <c r="K186" s="48">
        <v>-27.72</v>
      </c>
      <c r="L186" s="48">
        <v>565.44000000000005</v>
      </c>
      <c r="M186" s="48">
        <v>367.72</v>
      </c>
      <c r="N186" s="48">
        <v>2688.6</v>
      </c>
      <c r="O186" s="48">
        <f t="shared" si="25"/>
        <v>4412.6400000000003</v>
      </c>
      <c r="P186" s="48">
        <f t="shared" si="26"/>
        <v>3621.76</v>
      </c>
      <c r="Q186" s="48">
        <f t="shared" si="27"/>
        <v>4017.2</v>
      </c>
    </row>
    <row r="187" spans="1:18" ht="15" customHeight="1" x14ac:dyDescent="0.3">
      <c r="A187" s="44" t="s">
        <v>211</v>
      </c>
      <c r="B187" s="43" t="s">
        <v>210</v>
      </c>
      <c r="C187" s="48">
        <v>0</v>
      </c>
      <c r="D187" s="48">
        <v>13.38</v>
      </c>
      <c r="E187" s="48">
        <v>37.979999999999997</v>
      </c>
      <c r="F187" s="48">
        <v>24.47</v>
      </c>
      <c r="G187" s="48">
        <v>60.26</v>
      </c>
      <c r="H187" s="48">
        <v>21.66</v>
      </c>
      <c r="I187" s="48">
        <v>17.86</v>
      </c>
      <c r="J187" s="48">
        <v>28.67</v>
      </c>
      <c r="K187" s="48">
        <v>117.24</v>
      </c>
      <c r="L187" s="48">
        <v>41.92</v>
      </c>
      <c r="M187" s="48">
        <v>6.58</v>
      </c>
      <c r="N187" s="48">
        <v>370.02</v>
      </c>
      <c r="O187" s="48">
        <f t="shared" si="25"/>
        <v>78.960000000000008</v>
      </c>
      <c r="P187" s="48">
        <f t="shared" si="26"/>
        <v>662.96</v>
      </c>
      <c r="Q187" s="48">
        <f t="shared" si="27"/>
        <v>467.86000000000007</v>
      </c>
    </row>
    <row r="188" spans="1:18" ht="15" customHeight="1" x14ac:dyDescent="0.3">
      <c r="A188" s="44" t="s">
        <v>209</v>
      </c>
      <c r="B188" s="43" t="s">
        <v>208</v>
      </c>
      <c r="C188" s="48">
        <v>0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0</v>
      </c>
      <c r="L188" s="48">
        <v>166.07</v>
      </c>
      <c r="M188" s="48">
        <v>56.13</v>
      </c>
      <c r="N188" s="48">
        <v>222.2</v>
      </c>
      <c r="O188" s="48">
        <f t="shared" si="25"/>
        <v>673.56000000000006</v>
      </c>
      <c r="P188" s="48">
        <f t="shared" si="26"/>
        <v>888.8</v>
      </c>
      <c r="Q188" s="48">
        <f t="shared" si="27"/>
        <v>444.4</v>
      </c>
    </row>
    <row r="189" spans="1:18" ht="15" customHeight="1" x14ac:dyDescent="0.3">
      <c r="A189" s="44" t="s">
        <v>207</v>
      </c>
      <c r="B189" s="43" t="s">
        <v>206</v>
      </c>
      <c r="C189" s="48">
        <v>64.2</v>
      </c>
      <c r="D189" s="48">
        <v>38.92</v>
      </c>
      <c r="E189" s="48">
        <v>84.53</v>
      </c>
      <c r="F189" s="48">
        <v>170</v>
      </c>
      <c r="G189" s="48">
        <v>231.54</v>
      </c>
      <c r="H189" s="48">
        <v>184.8</v>
      </c>
      <c r="I189" s="48">
        <v>219.32</v>
      </c>
      <c r="J189" s="48">
        <v>184.41</v>
      </c>
      <c r="K189" s="48">
        <v>212.86</v>
      </c>
      <c r="L189" s="48">
        <v>473.16</v>
      </c>
      <c r="M189" s="48">
        <v>0</v>
      </c>
      <c r="N189" s="48">
        <v>1863.74</v>
      </c>
      <c r="O189" s="48">
        <f t="shared" si="25"/>
        <v>0</v>
      </c>
      <c r="P189" s="48">
        <f t="shared" si="26"/>
        <v>2744.08</v>
      </c>
      <c r="Q189" s="48">
        <f t="shared" si="27"/>
        <v>2549.1</v>
      </c>
    </row>
    <row r="190" spans="1:18" ht="15" customHeight="1" x14ac:dyDescent="0.3">
      <c r="A190" s="44" t="s">
        <v>205</v>
      </c>
      <c r="B190" s="43" t="s">
        <v>204</v>
      </c>
      <c r="C190" s="48">
        <v>0</v>
      </c>
      <c r="D190" s="48">
        <v>0</v>
      </c>
      <c r="E190" s="48">
        <v>0</v>
      </c>
      <c r="F190" s="48">
        <v>0</v>
      </c>
      <c r="G190" s="48">
        <v>0</v>
      </c>
      <c r="H190" s="48">
        <v>0</v>
      </c>
      <c r="I190" s="48">
        <v>1580</v>
      </c>
      <c r="J190" s="48">
        <v>0</v>
      </c>
      <c r="K190" s="48">
        <v>1200</v>
      </c>
      <c r="L190" s="48">
        <v>750</v>
      </c>
      <c r="M190" s="48">
        <v>0</v>
      </c>
      <c r="N190" s="48">
        <v>3530</v>
      </c>
      <c r="O190" s="48">
        <f t="shared" si="25"/>
        <v>0</v>
      </c>
      <c r="P190" s="48">
        <f t="shared" si="26"/>
        <v>7800</v>
      </c>
      <c r="Q190" s="48">
        <f t="shared" si="27"/>
        <v>7060</v>
      </c>
    </row>
    <row r="191" spans="1:18" ht="15" customHeight="1" x14ac:dyDescent="0.3">
      <c r="A191" s="44" t="s">
        <v>203</v>
      </c>
      <c r="B191" s="43" t="s">
        <v>202</v>
      </c>
      <c r="C191" s="48">
        <v>0</v>
      </c>
      <c r="D191" s="48">
        <v>575</v>
      </c>
      <c r="E191" s="48">
        <v>242.4</v>
      </c>
      <c r="F191" s="48">
        <v>1451.31</v>
      </c>
      <c r="G191" s="48">
        <v>425</v>
      </c>
      <c r="H191" s="48">
        <v>225</v>
      </c>
      <c r="I191" s="48">
        <v>486.79</v>
      </c>
      <c r="J191" s="48">
        <v>263.26</v>
      </c>
      <c r="K191" s="48">
        <v>75</v>
      </c>
      <c r="L191" s="48">
        <v>1777.33</v>
      </c>
      <c r="M191" s="48">
        <v>616.29999999999995</v>
      </c>
      <c r="N191" s="48">
        <v>6137.39</v>
      </c>
      <c r="O191" s="48">
        <f t="shared" si="25"/>
        <v>7395.5999999999995</v>
      </c>
      <c r="P191" s="48">
        <f t="shared" si="26"/>
        <v>9874.52</v>
      </c>
      <c r="Q191" s="48">
        <f t="shared" si="27"/>
        <v>6887.3600000000006</v>
      </c>
    </row>
    <row r="192" spans="1:18" ht="15" customHeight="1" x14ac:dyDescent="0.3">
      <c r="A192" s="44" t="s">
        <v>201</v>
      </c>
      <c r="B192" s="43" t="s">
        <v>200</v>
      </c>
      <c r="C192" s="48">
        <v>0</v>
      </c>
      <c r="D192" s="48">
        <v>0</v>
      </c>
      <c r="E192" s="48">
        <v>0</v>
      </c>
      <c r="F192" s="48">
        <v>29.3</v>
      </c>
      <c r="G192" s="48">
        <v>0</v>
      </c>
      <c r="H192" s="48">
        <v>0</v>
      </c>
      <c r="I192" s="48">
        <v>0</v>
      </c>
      <c r="J192" s="48">
        <v>0</v>
      </c>
      <c r="K192" s="48">
        <v>0</v>
      </c>
      <c r="L192" s="48">
        <v>-29.3</v>
      </c>
      <c r="M192" s="48">
        <v>0</v>
      </c>
      <c r="N192" s="48">
        <v>0</v>
      </c>
      <c r="O192" s="48">
        <f t="shared" si="25"/>
        <v>0</v>
      </c>
      <c r="P192" s="48">
        <f t="shared" si="26"/>
        <v>-117.2</v>
      </c>
      <c r="Q192" s="48">
        <f t="shared" si="27"/>
        <v>-58.6</v>
      </c>
    </row>
    <row r="193" spans="1:18" ht="15" customHeight="1" x14ac:dyDescent="0.3">
      <c r="A193" s="44" t="s">
        <v>199</v>
      </c>
      <c r="B193" s="43" t="s">
        <v>198</v>
      </c>
      <c r="C193" s="48">
        <v>0</v>
      </c>
      <c r="D193" s="48">
        <v>0</v>
      </c>
      <c r="E193" s="48">
        <v>0</v>
      </c>
      <c r="F193" s="48">
        <v>-225</v>
      </c>
      <c r="G193" s="48">
        <v>675</v>
      </c>
      <c r="H193" s="48">
        <v>318</v>
      </c>
      <c r="I193" s="48">
        <v>159</v>
      </c>
      <c r="J193" s="48">
        <v>0</v>
      </c>
      <c r="K193" s="48">
        <v>0</v>
      </c>
      <c r="L193" s="48">
        <v>-450</v>
      </c>
      <c r="M193" s="48">
        <v>106</v>
      </c>
      <c r="N193" s="48">
        <v>583</v>
      </c>
      <c r="O193" s="48">
        <f t="shared" si="25"/>
        <v>1272</v>
      </c>
      <c r="P193" s="48">
        <f t="shared" si="26"/>
        <v>-1376</v>
      </c>
      <c r="Q193" s="48">
        <f t="shared" si="27"/>
        <v>266</v>
      </c>
    </row>
    <row r="194" spans="1:18" ht="15" customHeight="1" x14ac:dyDescent="0.3">
      <c r="A194" s="44" t="s">
        <v>197</v>
      </c>
      <c r="B194" s="43" t="s">
        <v>196</v>
      </c>
      <c r="C194" s="48">
        <v>0</v>
      </c>
      <c r="D194" s="48">
        <v>0</v>
      </c>
      <c r="E194" s="48">
        <v>0</v>
      </c>
      <c r="F194" s="48">
        <v>624</v>
      </c>
      <c r="G194" s="48">
        <v>1150.94</v>
      </c>
      <c r="H194" s="48">
        <v>1800</v>
      </c>
      <c r="I194" s="48">
        <v>3891.04</v>
      </c>
      <c r="J194" s="48">
        <v>2183.91</v>
      </c>
      <c r="K194" s="48">
        <v>2673.76</v>
      </c>
      <c r="L194" s="48">
        <v>2041</v>
      </c>
      <c r="M194" s="48">
        <v>1750</v>
      </c>
      <c r="N194" s="48">
        <v>16114.65</v>
      </c>
      <c r="O194" s="48">
        <f t="shared" si="25"/>
        <v>21000</v>
      </c>
      <c r="P194" s="48">
        <f t="shared" si="26"/>
        <v>25859.040000000001</v>
      </c>
      <c r="Q194" s="48">
        <f t="shared" si="27"/>
        <v>28679.42</v>
      </c>
    </row>
    <row r="195" spans="1:18" ht="15" customHeight="1" x14ac:dyDescent="0.3">
      <c r="A195" s="44" t="s">
        <v>195</v>
      </c>
      <c r="B195" s="43" t="s">
        <v>194</v>
      </c>
      <c r="C195" s="48">
        <v>0</v>
      </c>
      <c r="D195" s="48">
        <v>528</v>
      </c>
      <c r="E195" s="48">
        <v>0</v>
      </c>
      <c r="F195" s="48">
        <v>-528</v>
      </c>
      <c r="G195" s="48">
        <v>0</v>
      </c>
      <c r="H195" s="48">
        <v>0</v>
      </c>
      <c r="I195" s="48">
        <v>0</v>
      </c>
      <c r="J195" s="48">
        <v>0</v>
      </c>
      <c r="K195" s="48">
        <v>0</v>
      </c>
      <c r="L195" s="48">
        <v>0</v>
      </c>
      <c r="M195" s="48">
        <v>0</v>
      </c>
      <c r="N195" s="48">
        <v>0</v>
      </c>
      <c r="O195" s="48">
        <f t="shared" si="25"/>
        <v>0</v>
      </c>
      <c r="P195" s="48">
        <f t="shared" si="26"/>
        <v>0</v>
      </c>
      <c r="Q195" s="48">
        <f t="shared" si="27"/>
        <v>0</v>
      </c>
    </row>
    <row r="196" spans="1:18" ht="15" customHeight="1" x14ac:dyDescent="0.3">
      <c r="A196" s="44" t="s">
        <v>193</v>
      </c>
      <c r="B196" s="43" t="s">
        <v>192</v>
      </c>
      <c r="C196" s="48">
        <v>71.98</v>
      </c>
      <c r="D196" s="48">
        <v>114.93</v>
      </c>
      <c r="E196" s="48">
        <v>229.92</v>
      </c>
      <c r="F196" s="48">
        <v>267.06</v>
      </c>
      <c r="G196" s="48">
        <v>295.95</v>
      </c>
      <c r="H196" s="48">
        <v>199.87</v>
      </c>
      <c r="I196" s="48">
        <v>258.08999999999997</v>
      </c>
      <c r="J196" s="48">
        <v>295.68</v>
      </c>
      <c r="K196" s="48">
        <v>306.13</v>
      </c>
      <c r="L196" s="48">
        <v>235.4</v>
      </c>
      <c r="M196" s="48">
        <v>141.87</v>
      </c>
      <c r="N196" s="48">
        <v>2416.88</v>
      </c>
      <c r="O196" s="48">
        <f t="shared" si="25"/>
        <v>1702.44</v>
      </c>
      <c r="P196" s="48">
        <f t="shared" si="26"/>
        <v>2733.6</v>
      </c>
      <c r="Q196" s="48">
        <f t="shared" si="27"/>
        <v>2874.08</v>
      </c>
    </row>
    <row r="197" spans="1:18" ht="15" customHeight="1" x14ac:dyDescent="0.3">
      <c r="A197" s="44" t="s">
        <v>191</v>
      </c>
      <c r="B197" s="43" t="s">
        <v>190</v>
      </c>
      <c r="C197" s="48">
        <v>0</v>
      </c>
      <c r="D197" s="48">
        <v>850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8">
        <v>0</v>
      </c>
      <c r="K197" s="48">
        <v>0</v>
      </c>
      <c r="L197" s="48">
        <v>0</v>
      </c>
      <c r="M197" s="48">
        <v>0</v>
      </c>
      <c r="N197" s="48">
        <v>850</v>
      </c>
      <c r="O197" s="48">
        <f t="shared" si="25"/>
        <v>0</v>
      </c>
      <c r="P197" s="48">
        <f t="shared" si="26"/>
        <v>0</v>
      </c>
      <c r="Q197" s="48">
        <f t="shared" si="27"/>
        <v>0</v>
      </c>
    </row>
    <row r="198" spans="1:18" ht="15" customHeight="1" x14ac:dyDescent="0.3">
      <c r="A198" s="44" t="s">
        <v>189</v>
      </c>
      <c r="B198" s="43" t="s">
        <v>188</v>
      </c>
      <c r="C198" s="48">
        <v>0</v>
      </c>
      <c r="D198" s="48">
        <v>24.48</v>
      </c>
      <c r="E198" s="48">
        <v>65.98</v>
      </c>
      <c r="F198" s="48">
        <v>0</v>
      </c>
      <c r="G198" s="48">
        <v>300</v>
      </c>
      <c r="H198" s="48">
        <v>0</v>
      </c>
      <c r="I198" s="48">
        <v>0</v>
      </c>
      <c r="J198" s="48">
        <v>369.3</v>
      </c>
      <c r="K198" s="48">
        <v>124.06</v>
      </c>
      <c r="L198" s="48">
        <v>0</v>
      </c>
      <c r="M198" s="48">
        <v>514.95000000000005</v>
      </c>
      <c r="N198" s="48">
        <v>1398.77</v>
      </c>
      <c r="O198" s="48">
        <f t="shared" ref="O198:O261" si="28">IF($N$5="","",M198*12)</f>
        <v>6179.4000000000005</v>
      </c>
      <c r="P198" s="48">
        <f t="shared" ref="P198:P261" si="29">IF($N$5="","",SUM(K198:M198)*4)</f>
        <v>2556.04</v>
      </c>
      <c r="Q198" s="48">
        <f t="shared" ref="Q198:Q261" si="30">IF($N$5="","",SUM(H198:M198)*2)</f>
        <v>2016.6200000000001</v>
      </c>
    </row>
    <row r="199" spans="1:18" ht="15" customHeight="1" x14ac:dyDescent="0.3">
      <c r="A199" s="44" t="s">
        <v>187</v>
      </c>
      <c r="B199" s="43" t="s">
        <v>186</v>
      </c>
      <c r="C199" s="48">
        <v>0</v>
      </c>
      <c r="D199" s="48">
        <v>0</v>
      </c>
      <c r="E199" s="48">
        <v>45.38</v>
      </c>
      <c r="F199" s="48">
        <v>0</v>
      </c>
      <c r="G199" s="48">
        <v>0</v>
      </c>
      <c r="H199" s="48">
        <v>0</v>
      </c>
      <c r="I199" s="48">
        <v>0</v>
      </c>
      <c r="J199" s="48">
        <v>0</v>
      </c>
      <c r="K199" s="48">
        <v>0</v>
      </c>
      <c r="L199" s="48">
        <v>-45.38</v>
      </c>
      <c r="M199" s="48">
        <v>0</v>
      </c>
      <c r="N199" s="48">
        <v>0</v>
      </c>
      <c r="O199" s="48">
        <f t="shared" si="28"/>
        <v>0</v>
      </c>
      <c r="P199" s="48">
        <f t="shared" si="29"/>
        <v>-181.52</v>
      </c>
      <c r="Q199" s="48">
        <f t="shared" si="30"/>
        <v>-90.76</v>
      </c>
    </row>
    <row r="200" spans="1:18" ht="15" customHeight="1" x14ac:dyDescent="0.3">
      <c r="A200" s="44" t="s">
        <v>185</v>
      </c>
      <c r="B200" s="43" t="s">
        <v>184</v>
      </c>
      <c r="C200" s="48">
        <v>0</v>
      </c>
      <c r="D200" s="48">
        <v>0</v>
      </c>
      <c r="E200" s="48">
        <v>0</v>
      </c>
      <c r="F200" s="48">
        <v>239.9</v>
      </c>
      <c r="G200" s="48">
        <v>316.29000000000002</v>
      </c>
      <c r="H200" s="48">
        <v>322.38</v>
      </c>
      <c r="I200" s="48">
        <v>219.47</v>
      </c>
      <c r="J200" s="48">
        <v>0</v>
      </c>
      <c r="K200" s="48">
        <v>84.78</v>
      </c>
      <c r="L200" s="48">
        <v>-1182.82</v>
      </c>
      <c r="M200" s="48">
        <v>0</v>
      </c>
      <c r="N200" s="48">
        <v>0</v>
      </c>
      <c r="O200" s="48">
        <f t="shared" si="28"/>
        <v>0</v>
      </c>
      <c r="P200" s="48">
        <f t="shared" si="29"/>
        <v>-4392.16</v>
      </c>
      <c r="Q200" s="48">
        <f t="shared" si="30"/>
        <v>-1112.3799999999999</v>
      </c>
    </row>
    <row r="201" spans="1:18" ht="15" customHeight="1" x14ac:dyDescent="0.3">
      <c r="A201" s="44" t="s">
        <v>183</v>
      </c>
      <c r="B201" s="43" t="s">
        <v>182</v>
      </c>
      <c r="C201" s="48">
        <v>0</v>
      </c>
      <c r="D201" s="48">
        <v>8950</v>
      </c>
      <c r="E201" s="48">
        <v>1530</v>
      </c>
      <c r="F201" s="48">
        <v>1374.54</v>
      </c>
      <c r="G201" s="48">
        <v>1010</v>
      </c>
      <c r="H201" s="48">
        <v>1007.72</v>
      </c>
      <c r="I201" s="48">
        <v>810</v>
      </c>
      <c r="J201" s="48">
        <v>1070.75</v>
      </c>
      <c r="K201" s="48">
        <v>2103.83</v>
      </c>
      <c r="L201" s="48">
        <v>-2077.25</v>
      </c>
      <c r="M201" s="48">
        <v>1587.5</v>
      </c>
      <c r="N201" s="48">
        <v>17367.09</v>
      </c>
      <c r="O201" s="48">
        <f t="shared" si="28"/>
        <v>19050</v>
      </c>
      <c r="P201" s="48">
        <f t="shared" si="29"/>
        <v>6456.32</v>
      </c>
      <c r="Q201" s="48">
        <f t="shared" si="30"/>
        <v>9005.1</v>
      </c>
    </row>
    <row r="202" spans="1:18" ht="15" customHeight="1" x14ac:dyDescent="0.3">
      <c r="A202" s="44" t="s">
        <v>181</v>
      </c>
      <c r="B202" s="43" t="s">
        <v>180</v>
      </c>
      <c r="C202" s="48">
        <v>560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8">
        <v>0</v>
      </c>
      <c r="J202" s="48">
        <v>0</v>
      </c>
      <c r="K202" s="48">
        <v>-2950</v>
      </c>
      <c r="L202" s="48">
        <v>2950</v>
      </c>
      <c r="M202" s="48">
        <v>0</v>
      </c>
      <c r="N202" s="48">
        <v>560</v>
      </c>
      <c r="O202" s="48">
        <f t="shared" si="28"/>
        <v>0</v>
      </c>
      <c r="P202" s="48">
        <f t="shared" si="29"/>
        <v>0</v>
      </c>
      <c r="Q202" s="48">
        <f t="shared" si="30"/>
        <v>0</v>
      </c>
    </row>
    <row r="203" spans="1:18" ht="15" customHeight="1" x14ac:dyDescent="0.3">
      <c r="A203" s="44" t="s">
        <v>179</v>
      </c>
      <c r="B203" s="43" t="s">
        <v>178</v>
      </c>
      <c r="C203" s="47">
        <v>0</v>
      </c>
      <c r="D203" s="47">
        <v>2450</v>
      </c>
      <c r="E203" s="47">
        <v>-1400</v>
      </c>
      <c r="F203" s="47">
        <v>0</v>
      </c>
      <c r="G203" s="47">
        <v>350</v>
      </c>
      <c r="H203" s="47">
        <v>0</v>
      </c>
      <c r="I203" s="47">
        <v>0</v>
      </c>
      <c r="J203" s="47">
        <v>0</v>
      </c>
      <c r="K203" s="47">
        <v>0</v>
      </c>
      <c r="L203" s="47">
        <v>1878</v>
      </c>
      <c r="M203" s="47">
        <v>170</v>
      </c>
      <c r="N203" s="47">
        <v>3448</v>
      </c>
      <c r="O203" s="69">
        <f t="shared" si="28"/>
        <v>2040</v>
      </c>
      <c r="P203" s="69">
        <f t="shared" si="29"/>
        <v>8192</v>
      </c>
      <c r="Q203" s="69">
        <f t="shared" si="30"/>
        <v>4096</v>
      </c>
    </row>
    <row r="204" spans="1:18" ht="15" customHeight="1" x14ac:dyDescent="0.3">
      <c r="A204" s="41" t="s">
        <v>177</v>
      </c>
      <c r="B204" s="40" t="s">
        <v>176</v>
      </c>
      <c r="C204" s="45">
        <v>2721.19</v>
      </c>
      <c r="D204" s="45">
        <v>14351.95</v>
      </c>
      <c r="E204" s="45">
        <v>1928.39</v>
      </c>
      <c r="F204" s="45">
        <v>3941.98</v>
      </c>
      <c r="G204" s="45">
        <v>6041.28</v>
      </c>
      <c r="H204" s="45">
        <v>5186.97</v>
      </c>
      <c r="I204" s="45">
        <v>9617.65</v>
      </c>
      <c r="J204" s="45">
        <v>5390.87</v>
      </c>
      <c r="K204" s="45">
        <v>5302.85</v>
      </c>
      <c r="L204" s="45">
        <v>8170.56</v>
      </c>
      <c r="M204" s="45">
        <v>6082.89</v>
      </c>
      <c r="N204" s="45">
        <v>68736.58</v>
      </c>
      <c r="O204" s="70">
        <f t="shared" si="28"/>
        <v>72994.680000000008</v>
      </c>
      <c r="P204" s="70">
        <f t="shared" si="29"/>
        <v>78225.2</v>
      </c>
      <c r="Q204" s="70">
        <f t="shared" si="30"/>
        <v>79503.579999999987</v>
      </c>
      <c r="R204" t="s">
        <v>536</v>
      </c>
    </row>
    <row r="205" spans="1:18" ht="15" customHeight="1" x14ac:dyDescent="0.3">
      <c r="A205" s="44"/>
      <c r="B205" s="43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>
        <f t="shared" si="28"/>
        <v>0</v>
      </c>
      <c r="P205" s="44">
        <f t="shared" si="29"/>
        <v>0</v>
      </c>
      <c r="Q205" s="44">
        <f t="shared" si="30"/>
        <v>0</v>
      </c>
    </row>
    <row r="206" spans="1:18" ht="15" customHeight="1" x14ac:dyDescent="0.3">
      <c r="A206" s="41" t="s">
        <v>175</v>
      </c>
      <c r="B206" s="40" t="s">
        <v>174</v>
      </c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>
        <f t="shared" si="28"/>
        <v>0</v>
      </c>
      <c r="P206" s="49">
        <f t="shared" si="29"/>
        <v>0</v>
      </c>
      <c r="Q206" s="49">
        <f t="shared" si="30"/>
        <v>0</v>
      </c>
    </row>
    <row r="207" spans="1:18" ht="15" customHeight="1" x14ac:dyDescent="0.3">
      <c r="A207" s="44" t="s">
        <v>173</v>
      </c>
      <c r="B207" s="43" t="s">
        <v>172</v>
      </c>
      <c r="C207" s="48">
        <v>0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  <c r="I207" s="48">
        <v>0</v>
      </c>
      <c r="J207" s="48">
        <v>0</v>
      </c>
      <c r="K207" s="48">
        <v>0</v>
      </c>
      <c r="L207" s="48">
        <v>0</v>
      </c>
      <c r="M207" s="48">
        <v>990</v>
      </c>
      <c r="N207" s="48">
        <v>990</v>
      </c>
      <c r="O207" s="48">
        <f t="shared" si="28"/>
        <v>11880</v>
      </c>
      <c r="P207" s="48">
        <f t="shared" si="29"/>
        <v>3960</v>
      </c>
      <c r="Q207" s="48">
        <f t="shared" si="30"/>
        <v>1980</v>
      </c>
      <c r="R207" t="s">
        <v>533</v>
      </c>
    </row>
    <row r="208" spans="1:18" ht="15" customHeight="1" x14ac:dyDescent="0.3">
      <c r="A208" s="44" t="s">
        <v>171</v>
      </c>
      <c r="B208" s="43" t="s">
        <v>170</v>
      </c>
      <c r="C208" s="48">
        <v>0</v>
      </c>
      <c r="D208" s="48">
        <v>0</v>
      </c>
      <c r="E208" s="48">
        <v>0</v>
      </c>
      <c r="F208" s="48">
        <v>0</v>
      </c>
      <c r="G208" s="48">
        <v>0</v>
      </c>
      <c r="H208" s="48">
        <v>40.36</v>
      </c>
      <c r="I208" s="48">
        <v>0</v>
      </c>
      <c r="J208" s="48">
        <v>0</v>
      </c>
      <c r="K208" s="48">
        <v>0</v>
      </c>
      <c r="L208" s="48">
        <v>-40.36</v>
      </c>
      <c r="M208" s="48">
        <v>0</v>
      </c>
      <c r="N208" s="48">
        <v>0</v>
      </c>
      <c r="O208" s="48">
        <f t="shared" si="28"/>
        <v>0</v>
      </c>
      <c r="P208" s="48">
        <f t="shared" si="29"/>
        <v>-161.44</v>
      </c>
      <c r="Q208" s="48">
        <f t="shared" si="30"/>
        <v>0</v>
      </c>
      <c r="R208" t="s">
        <v>533</v>
      </c>
    </row>
    <row r="209" spans="1:18" ht="15" customHeight="1" x14ac:dyDescent="0.3">
      <c r="A209" s="44" t="s">
        <v>169</v>
      </c>
      <c r="B209" s="43" t="s">
        <v>168</v>
      </c>
      <c r="C209" s="48">
        <v>0</v>
      </c>
      <c r="D209" s="48">
        <v>0</v>
      </c>
      <c r="E209" s="48">
        <v>0</v>
      </c>
      <c r="F209" s="48">
        <v>0</v>
      </c>
      <c r="G209" s="48">
        <v>0</v>
      </c>
      <c r="H209" s="48">
        <v>52.18</v>
      </c>
      <c r="I209" s="48">
        <v>0</v>
      </c>
      <c r="J209" s="48">
        <v>435.09</v>
      </c>
      <c r="K209" s="48">
        <v>288.7</v>
      </c>
      <c r="L209" s="48">
        <v>224.48</v>
      </c>
      <c r="M209" s="48">
        <v>108.65</v>
      </c>
      <c r="N209" s="48">
        <v>1109.0999999999999</v>
      </c>
      <c r="O209" s="48">
        <f t="shared" si="28"/>
        <v>1303.8000000000002</v>
      </c>
      <c r="P209" s="48">
        <f t="shared" si="29"/>
        <v>2487.3199999999997</v>
      </c>
      <c r="Q209" s="48">
        <f t="shared" si="30"/>
        <v>2218.2000000000003</v>
      </c>
      <c r="R209" t="s">
        <v>533</v>
      </c>
    </row>
    <row r="210" spans="1:18" ht="15" customHeight="1" x14ac:dyDescent="0.3">
      <c r="A210" s="44" t="s">
        <v>167</v>
      </c>
      <c r="B210" s="43" t="s">
        <v>166</v>
      </c>
      <c r="C210" s="48">
        <v>0</v>
      </c>
      <c r="D210" s="48">
        <v>0</v>
      </c>
      <c r="E210" s="48">
        <v>0</v>
      </c>
      <c r="F210" s="48">
        <v>0</v>
      </c>
      <c r="G210" s="48">
        <v>0</v>
      </c>
      <c r="H210" s="48">
        <v>0</v>
      </c>
      <c r="I210" s="48">
        <v>0</v>
      </c>
      <c r="J210" s="48">
        <v>0</v>
      </c>
      <c r="K210" s="48">
        <v>0</v>
      </c>
      <c r="L210" s="48">
        <v>0</v>
      </c>
      <c r="M210" s="48">
        <v>170</v>
      </c>
      <c r="N210" s="48">
        <v>170</v>
      </c>
      <c r="O210" s="48">
        <f t="shared" si="28"/>
        <v>2040</v>
      </c>
      <c r="P210" s="48">
        <f t="shared" si="29"/>
        <v>680</v>
      </c>
      <c r="Q210" s="48">
        <f t="shared" si="30"/>
        <v>340</v>
      </c>
      <c r="R210" t="s">
        <v>533</v>
      </c>
    </row>
    <row r="211" spans="1:18" ht="15" customHeight="1" x14ac:dyDescent="0.3">
      <c r="A211" s="44" t="s">
        <v>165</v>
      </c>
      <c r="B211" s="43" t="s">
        <v>164</v>
      </c>
      <c r="C211" s="48">
        <v>0</v>
      </c>
      <c r="D211" s="48">
        <v>0</v>
      </c>
      <c r="E211" s="48">
        <v>0</v>
      </c>
      <c r="F211" s="48">
        <v>0</v>
      </c>
      <c r="G211" s="48">
        <v>0</v>
      </c>
      <c r="H211" s="48">
        <v>0</v>
      </c>
      <c r="I211" s="48">
        <v>230</v>
      </c>
      <c r="J211" s="48">
        <v>0</v>
      </c>
      <c r="K211" s="48">
        <v>0</v>
      </c>
      <c r="L211" s="48">
        <v>0</v>
      </c>
      <c r="M211" s="48">
        <v>0</v>
      </c>
      <c r="N211" s="48">
        <v>230</v>
      </c>
      <c r="O211" s="48">
        <f t="shared" si="28"/>
        <v>0</v>
      </c>
      <c r="P211" s="48">
        <f t="shared" si="29"/>
        <v>0</v>
      </c>
      <c r="Q211" s="48">
        <f t="shared" si="30"/>
        <v>460</v>
      </c>
      <c r="R211" t="s">
        <v>533</v>
      </c>
    </row>
    <row r="212" spans="1:18" ht="15" customHeight="1" x14ac:dyDescent="0.3">
      <c r="A212" s="44" t="s">
        <v>163</v>
      </c>
      <c r="B212" s="43" t="s">
        <v>162</v>
      </c>
      <c r="C212" s="48">
        <v>0</v>
      </c>
      <c r="D212" s="48">
        <v>0</v>
      </c>
      <c r="E212" s="48">
        <v>0</v>
      </c>
      <c r="F212" s="48">
        <v>0</v>
      </c>
      <c r="G212" s="48">
        <v>0</v>
      </c>
      <c r="H212" s="48">
        <v>0</v>
      </c>
      <c r="I212" s="48">
        <v>0</v>
      </c>
      <c r="J212" s="48">
        <v>0</v>
      </c>
      <c r="K212" s="48">
        <v>0</v>
      </c>
      <c r="L212" s="48">
        <v>40.36</v>
      </c>
      <c r="M212" s="48">
        <v>0</v>
      </c>
      <c r="N212" s="48">
        <v>40.36</v>
      </c>
      <c r="O212" s="48">
        <f t="shared" si="28"/>
        <v>0</v>
      </c>
      <c r="P212" s="48">
        <f t="shared" si="29"/>
        <v>161.44</v>
      </c>
      <c r="Q212" s="48">
        <f t="shared" si="30"/>
        <v>80.72</v>
      </c>
      <c r="R212" t="s">
        <v>533</v>
      </c>
    </row>
    <row r="213" spans="1:18" ht="15" customHeight="1" x14ac:dyDescent="0.3">
      <c r="A213" s="44" t="s">
        <v>161</v>
      </c>
      <c r="B213" s="43" t="s">
        <v>160</v>
      </c>
      <c r="C213" s="48">
        <v>0</v>
      </c>
      <c r="D213" s="48">
        <v>0</v>
      </c>
      <c r="E213" s="48">
        <v>0</v>
      </c>
      <c r="F213" s="48">
        <v>0</v>
      </c>
      <c r="G213" s="48">
        <v>0</v>
      </c>
      <c r="H213" s="48">
        <v>0</v>
      </c>
      <c r="I213" s="48">
        <v>0</v>
      </c>
      <c r="J213" s="48">
        <v>0</v>
      </c>
      <c r="K213" s="48">
        <v>103.9</v>
      </c>
      <c r="L213" s="48">
        <v>0</v>
      </c>
      <c r="M213" s="48">
        <v>45.55</v>
      </c>
      <c r="N213" s="48">
        <v>149.44999999999999</v>
      </c>
      <c r="O213" s="48">
        <f t="shared" si="28"/>
        <v>546.59999999999991</v>
      </c>
      <c r="P213" s="48">
        <f t="shared" si="29"/>
        <v>597.79999999999995</v>
      </c>
      <c r="Q213" s="48">
        <f t="shared" si="30"/>
        <v>298.89999999999998</v>
      </c>
      <c r="R213" t="s">
        <v>533</v>
      </c>
    </row>
    <row r="214" spans="1:18" ht="15" customHeight="1" x14ac:dyDescent="0.3">
      <c r="A214" s="44" t="s">
        <v>159</v>
      </c>
      <c r="B214" s="43" t="s">
        <v>158</v>
      </c>
      <c r="C214" s="48">
        <v>0</v>
      </c>
      <c r="D214" s="48">
        <v>0</v>
      </c>
      <c r="E214" s="48">
        <v>0</v>
      </c>
      <c r="F214" s="48">
        <v>0</v>
      </c>
      <c r="G214" s="48">
        <v>0</v>
      </c>
      <c r="H214" s="48">
        <v>0</v>
      </c>
      <c r="I214" s="48">
        <v>0</v>
      </c>
      <c r="J214" s="48">
        <v>0</v>
      </c>
      <c r="K214" s="48">
        <v>0</v>
      </c>
      <c r="L214" s="48">
        <v>381.09</v>
      </c>
      <c r="M214" s="48">
        <v>120</v>
      </c>
      <c r="N214" s="48">
        <v>501.09</v>
      </c>
      <c r="O214" s="48">
        <f t="shared" si="28"/>
        <v>1440</v>
      </c>
      <c r="P214" s="48">
        <f t="shared" si="29"/>
        <v>2004.36</v>
      </c>
      <c r="Q214" s="48">
        <f t="shared" si="30"/>
        <v>1002.18</v>
      </c>
      <c r="R214" t="s">
        <v>533</v>
      </c>
    </row>
    <row r="215" spans="1:18" ht="15" customHeight="1" x14ac:dyDescent="0.3">
      <c r="A215" s="44" t="s">
        <v>157</v>
      </c>
      <c r="B215" s="43" t="s">
        <v>156</v>
      </c>
      <c r="C215" s="48">
        <v>0</v>
      </c>
      <c r="D215" s="48">
        <v>0</v>
      </c>
      <c r="E215" s="48">
        <v>0</v>
      </c>
      <c r="F215" s="48">
        <v>0</v>
      </c>
      <c r="G215" s="48">
        <v>47.91</v>
      </c>
      <c r="H215" s="48">
        <v>85.38</v>
      </c>
      <c r="I215" s="48">
        <v>0</v>
      </c>
      <c r="J215" s="48">
        <v>16.420000000000002</v>
      </c>
      <c r="K215" s="48">
        <v>0</v>
      </c>
      <c r="L215" s="48">
        <v>-149.71</v>
      </c>
      <c r="M215" s="48">
        <v>70.08</v>
      </c>
      <c r="N215" s="48">
        <v>70.08</v>
      </c>
      <c r="O215" s="48">
        <f t="shared" si="28"/>
        <v>840.96</v>
      </c>
      <c r="P215" s="48">
        <f t="shared" si="29"/>
        <v>-318.52000000000004</v>
      </c>
      <c r="Q215" s="48">
        <f t="shared" si="30"/>
        <v>44.339999999999975</v>
      </c>
      <c r="R215" t="s">
        <v>533</v>
      </c>
    </row>
    <row r="216" spans="1:18" ht="15" customHeight="1" x14ac:dyDescent="0.3">
      <c r="A216" s="44" t="s">
        <v>155</v>
      </c>
      <c r="B216" s="43" t="s">
        <v>154</v>
      </c>
      <c r="C216" s="48">
        <v>0</v>
      </c>
      <c r="D216" s="48">
        <v>0</v>
      </c>
      <c r="E216" s="48">
        <v>675</v>
      </c>
      <c r="F216" s="48">
        <v>0</v>
      </c>
      <c r="G216" s="48">
        <v>-675</v>
      </c>
      <c r="H216" s="48">
        <v>0</v>
      </c>
      <c r="I216" s="48">
        <v>0</v>
      </c>
      <c r="J216" s="48">
        <v>0</v>
      </c>
      <c r="K216" s="48">
        <v>0</v>
      </c>
      <c r="L216" s="48">
        <v>0</v>
      </c>
      <c r="M216" s="48">
        <v>0</v>
      </c>
      <c r="N216" s="48">
        <v>0</v>
      </c>
      <c r="O216" s="48">
        <f t="shared" si="28"/>
        <v>0</v>
      </c>
      <c r="P216" s="48">
        <f t="shared" si="29"/>
        <v>0</v>
      </c>
      <c r="Q216" s="48">
        <f t="shared" si="30"/>
        <v>0</v>
      </c>
      <c r="R216" t="s">
        <v>533</v>
      </c>
    </row>
    <row r="217" spans="1:18" ht="15" customHeight="1" x14ac:dyDescent="0.3">
      <c r="A217" s="44" t="s">
        <v>153</v>
      </c>
      <c r="B217" s="43" t="s">
        <v>152</v>
      </c>
      <c r="C217" s="48">
        <v>0</v>
      </c>
      <c r="D217" s="48">
        <v>0</v>
      </c>
      <c r="E217" s="48">
        <v>0</v>
      </c>
      <c r="F217" s="48">
        <v>0</v>
      </c>
      <c r="G217" s="48">
        <v>0</v>
      </c>
      <c r="H217" s="48">
        <v>0</v>
      </c>
      <c r="I217" s="48">
        <v>0</v>
      </c>
      <c r="J217" s="48">
        <v>0</v>
      </c>
      <c r="K217" s="48">
        <v>0</v>
      </c>
      <c r="L217" s="48">
        <v>49.55</v>
      </c>
      <c r="M217" s="48">
        <v>0</v>
      </c>
      <c r="N217" s="48">
        <v>49.55</v>
      </c>
      <c r="O217" s="48">
        <f t="shared" si="28"/>
        <v>0</v>
      </c>
      <c r="P217" s="48">
        <f t="shared" si="29"/>
        <v>198.2</v>
      </c>
      <c r="Q217" s="48">
        <f t="shared" si="30"/>
        <v>99.1</v>
      </c>
      <c r="R217" t="s">
        <v>533</v>
      </c>
    </row>
    <row r="218" spans="1:18" ht="15" customHeight="1" x14ac:dyDescent="0.3">
      <c r="A218" s="44" t="s">
        <v>151</v>
      </c>
      <c r="B218" s="43" t="s">
        <v>150</v>
      </c>
      <c r="C218" s="48">
        <v>0</v>
      </c>
      <c r="D218" s="48">
        <v>0</v>
      </c>
      <c r="E218" s="48">
        <v>0</v>
      </c>
      <c r="F218" s="48">
        <v>0</v>
      </c>
      <c r="G218" s="48">
        <v>298.29000000000002</v>
      </c>
      <c r="H218" s="48">
        <v>2400</v>
      </c>
      <c r="I218" s="48">
        <v>1200</v>
      </c>
      <c r="J218" s="48">
        <v>1325</v>
      </c>
      <c r="K218" s="48">
        <v>1200</v>
      </c>
      <c r="L218" s="48">
        <v>3695.56</v>
      </c>
      <c r="M218" s="48">
        <v>2872</v>
      </c>
      <c r="N218" s="48">
        <v>12990.85</v>
      </c>
      <c r="O218" s="48">
        <f t="shared" si="28"/>
        <v>34464</v>
      </c>
      <c r="P218" s="48">
        <f t="shared" si="29"/>
        <v>31070.239999999998</v>
      </c>
      <c r="Q218" s="48">
        <f t="shared" si="30"/>
        <v>25385.119999999999</v>
      </c>
      <c r="R218" t="s">
        <v>533</v>
      </c>
    </row>
    <row r="219" spans="1:18" ht="15" customHeight="1" x14ac:dyDescent="0.3">
      <c r="A219" s="44" t="s">
        <v>149</v>
      </c>
      <c r="B219" s="43" t="s">
        <v>148</v>
      </c>
      <c r="C219" s="48">
        <v>0</v>
      </c>
      <c r="D219" s="48">
        <v>0</v>
      </c>
      <c r="E219" s="48">
        <v>553.91</v>
      </c>
      <c r="F219" s="48">
        <v>0</v>
      </c>
      <c r="G219" s="48">
        <v>492.95</v>
      </c>
      <c r="H219" s="48">
        <v>141.1</v>
      </c>
      <c r="I219" s="48">
        <v>703.73</v>
      </c>
      <c r="J219" s="48">
        <v>0</v>
      </c>
      <c r="K219" s="48">
        <v>275.82</v>
      </c>
      <c r="L219" s="48">
        <v>16.899999999999999</v>
      </c>
      <c r="M219" s="48">
        <v>405.1</v>
      </c>
      <c r="N219" s="48">
        <v>2589.5100000000002</v>
      </c>
      <c r="O219" s="48">
        <f t="shared" si="28"/>
        <v>4861.2000000000007</v>
      </c>
      <c r="P219" s="48">
        <f t="shared" si="29"/>
        <v>2791.2799999999997</v>
      </c>
      <c r="Q219" s="48">
        <f t="shared" si="30"/>
        <v>3085.3</v>
      </c>
      <c r="R219" t="s">
        <v>533</v>
      </c>
    </row>
    <row r="220" spans="1:18" ht="15" customHeight="1" x14ac:dyDescent="0.3">
      <c r="A220" s="44" t="s">
        <v>147</v>
      </c>
      <c r="B220" s="43" t="s">
        <v>146</v>
      </c>
      <c r="C220" s="48">
        <v>0</v>
      </c>
      <c r="D220" s="48">
        <v>0</v>
      </c>
      <c r="E220" s="48">
        <v>0</v>
      </c>
      <c r="F220" s="48">
        <v>0</v>
      </c>
      <c r="G220" s="48">
        <v>0</v>
      </c>
      <c r="H220" s="48">
        <v>16.899999999999999</v>
      </c>
      <c r="I220" s="48">
        <v>0</v>
      </c>
      <c r="J220" s="48">
        <v>0</v>
      </c>
      <c r="K220" s="48">
        <v>0</v>
      </c>
      <c r="L220" s="48">
        <v>-16.899999999999999</v>
      </c>
      <c r="M220" s="48">
        <v>0</v>
      </c>
      <c r="N220" s="48">
        <v>0</v>
      </c>
      <c r="O220" s="48">
        <f t="shared" si="28"/>
        <v>0</v>
      </c>
      <c r="P220" s="48">
        <f t="shared" si="29"/>
        <v>-67.599999999999994</v>
      </c>
      <c r="Q220" s="48">
        <f t="shared" si="30"/>
        <v>0</v>
      </c>
      <c r="R220" t="s">
        <v>533</v>
      </c>
    </row>
    <row r="221" spans="1:18" ht="15" customHeight="1" x14ac:dyDescent="0.3">
      <c r="A221" s="44" t="s">
        <v>145</v>
      </c>
      <c r="B221" s="43" t="s">
        <v>144</v>
      </c>
      <c r="C221" s="48">
        <v>0</v>
      </c>
      <c r="D221" s="48">
        <v>0</v>
      </c>
      <c r="E221" s="48">
        <v>0</v>
      </c>
      <c r="F221" s="48">
        <v>0</v>
      </c>
      <c r="G221" s="48">
        <v>0</v>
      </c>
      <c r="H221" s="48">
        <v>0</v>
      </c>
      <c r="I221" s="48">
        <v>249.49</v>
      </c>
      <c r="J221" s="48">
        <v>0</v>
      </c>
      <c r="K221" s="48">
        <v>0</v>
      </c>
      <c r="L221" s="48">
        <v>52.49</v>
      </c>
      <c r="M221" s="48">
        <v>80.069999999999993</v>
      </c>
      <c r="N221" s="48">
        <v>382.05</v>
      </c>
      <c r="O221" s="48">
        <f t="shared" si="28"/>
        <v>960.83999999999992</v>
      </c>
      <c r="P221" s="48">
        <f t="shared" si="29"/>
        <v>530.24</v>
      </c>
      <c r="Q221" s="48">
        <f t="shared" si="30"/>
        <v>764.1</v>
      </c>
      <c r="R221" t="s">
        <v>533</v>
      </c>
    </row>
    <row r="222" spans="1:18" ht="15" customHeight="1" x14ac:dyDescent="0.3">
      <c r="A222" s="44" t="s">
        <v>143</v>
      </c>
      <c r="B222" s="43" t="s">
        <v>142</v>
      </c>
      <c r="C222" s="48">
        <v>0</v>
      </c>
      <c r="D222" s="48">
        <v>0</v>
      </c>
      <c r="E222" s="48">
        <v>0</v>
      </c>
      <c r="F222" s="48">
        <v>350</v>
      </c>
      <c r="G222" s="48">
        <v>0</v>
      </c>
      <c r="H222" s="48">
        <v>-155</v>
      </c>
      <c r="I222" s="48">
        <v>0</v>
      </c>
      <c r="J222" s="48">
        <v>155</v>
      </c>
      <c r="K222" s="48">
        <v>515</v>
      </c>
      <c r="L222" s="48">
        <v>40.42</v>
      </c>
      <c r="M222" s="48">
        <v>0</v>
      </c>
      <c r="N222" s="48">
        <v>905.42</v>
      </c>
      <c r="O222" s="48">
        <f t="shared" si="28"/>
        <v>0</v>
      </c>
      <c r="P222" s="48">
        <f t="shared" si="29"/>
        <v>2221.6799999999998</v>
      </c>
      <c r="Q222" s="48">
        <f t="shared" si="30"/>
        <v>1110.8399999999999</v>
      </c>
      <c r="R222" t="s">
        <v>533</v>
      </c>
    </row>
    <row r="223" spans="1:18" ht="15" customHeight="1" x14ac:dyDescent="0.3">
      <c r="A223" s="44" t="s">
        <v>141</v>
      </c>
      <c r="B223" s="43" t="s">
        <v>140</v>
      </c>
      <c r="C223" s="48">
        <v>0</v>
      </c>
      <c r="D223" s="48">
        <v>0</v>
      </c>
      <c r="E223" s="48">
        <v>0</v>
      </c>
      <c r="F223" s="48">
        <v>0</v>
      </c>
      <c r="G223" s="48">
        <v>0</v>
      </c>
      <c r="H223" s="48">
        <v>0</v>
      </c>
      <c r="I223" s="48">
        <v>794.86</v>
      </c>
      <c r="J223" s="48">
        <v>4800</v>
      </c>
      <c r="K223" s="48">
        <v>6900</v>
      </c>
      <c r="L223" s="48">
        <v>900</v>
      </c>
      <c r="M223" s="48">
        <v>3600</v>
      </c>
      <c r="N223" s="48">
        <v>16994.86</v>
      </c>
      <c r="O223" s="48">
        <f t="shared" si="28"/>
        <v>43200</v>
      </c>
      <c r="P223" s="48">
        <f t="shared" si="29"/>
        <v>45600</v>
      </c>
      <c r="Q223" s="48">
        <f t="shared" si="30"/>
        <v>33989.72</v>
      </c>
      <c r="R223" t="s">
        <v>533</v>
      </c>
    </row>
    <row r="224" spans="1:18" ht="15" customHeight="1" x14ac:dyDescent="0.3">
      <c r="A224" s="44" t="s">
        <v>139</v>
      </c>
      <c r="B224" s="43" t="s">
        <v>138</v>
      </c>
      <c r="C224" s="48">
        <v>0</v>
      </c>
      <c r="D224" s="48">
        <v>0</v>
      </c>
      <c r="E224" s="48">
        <v>0</v>
      </c>
      <c r="F224" s="48">
        <v>0</v>
      </c>
      <c r="G224" s="48">
        <v>0</v>
      </c>
      <c r="H224" s="48">
        <v>280.02999999999997</v>
      </c>
      <c r="I224" s="48">
        <v>1163.42</v>
      </c>
      <c r="J224" s="48">
        <v>978.38</v>
      </c>
      <c r="K224" s="48">
        <v>2892.24</v>
      </c>
      <c r="L224" s="48">
        <v>3821.4</v>
      </c>
      <c r="M224" s="48">
        <v>0</v>
      </c>
      <c r="N224" s="48">
        <v>9135.4699999999993</v>
      </c>
      <c r="O224" s="48">
        <f t="shared" si="28"/>
        <v>0</v>
      </c>
      <c r="P224" s="48">
        <f t="shared" si="29"/>
        <v>26854.559999999998</v>
      </c>
      <c r="Q224" s="48">
        <f t="shared" si="30"/>
        <v>18270.939999999999</v>
      </c>
      <c r="R224" t="s">
        <v>533</v>
      </c>
    </row>
    <row r="225" spans="1:18" ht="15" customHeight="1" x14ac:dyDescent="0.3">
      <c r="A225" s="44" t="s">
        <v>137</v>
      </c>
      <c r="B225" s="43" t="s">
        <v>136</v>
      </c>
      <c r="C225" s="48">
        <v>0</v>
      </c>
      <c r="D225" s="48">
        <v>0</v>
      </c>
      <c r="E225" s="48">
        <v>0</v>
      </c>
      <c r="F225" s="48">
        <v>0</v>
      </c>
      <c r="G225" s="48">
        <v>0</v>
      </c>
      <c r="H225" s="48">
        <v>0</v>
      </c>
      <c r="I225" s="48">
        <v>0</v>
      </c>
      <c r="J225" s="48">
        <v>0</v>
      </c>
      <c r="K225" s="48">
        <v>0</v>
      </c>
      <c r="L225" s="48">
        <v>0</v>
      </c>
      <c r="M225" s="48">
        <v>436.73</v>
      </c>
      <c r="N225" s="48">
        <v>436.73</v>
      </c>
      <c r="O225" s="48">
        <f t="shared" si="28"/>
        <v>5240.76</v>
      </c>
      <c r="P225" s="48">
        <f t="shared" si="29"/>
        <v>1746.92</v>
      </c>
      <c r="Q225" s="48">
        <f t="shared" si="30"/>
        <v>873.46</v>
      </c>
      <c r="R225" t="s">
        <v>535</v>
      </c>
    </row>
    <row r="226" spans="1:18" ht="15" customHeight="1" x14ac:dyDescent="0.3">
      <c r="A226" s="44" t="s">
        <v>135</v>
      </c>
      <c r="B226" s="43" t="s">
        <v>134</v>
      </c>
      <c r="C226" s="48">
        <v>0</v>
      </c>
      <c r="D226" s="48">
        <v>45</v>
      </c>
      <c r="E226" s="48">
        <v>0</v>
      </c>
      <c r="F226" s="48">
        <v>0</v>
      </c>
      <c r="G226" s="48">
        <v>0</v>
      </c>
      <c r="H226" s="48">
        <v>0</v>
      </c>
      <c r="I226" s="48">
        <v>1479.1</v>
      </c>
      <c r="J226" s="48">
        <v>0</v>
      </c>
      <c r="K226" s="48">
        <v>0</v>
      </c>
      <c r="L226" s="48">
        <v>0</v>
      </c>
      <c r="M226" s="48">
        <v>0</v>
      </c>
      <c r="N226" s="48">
        <v>1524.1</v>
      </c>
      <c r="O226" s="48">
        <f t="shared" si="28"/>
        <v>0</v>
      </c>
      <c r="P226" s="48">
        <f t="shared" si="29"/>
        <v>0</v>
      </c>
      <c r="Q226" s="48">
        <f t="shared" si="30"/>
        <v>2958.2</v>
      </c>
      <c r="R226" t="s">
        <v>534</v>
      </c>
    </row>
    <row r="227" spans="1:18" ht="15" customHeight="1" x14ac:dyDescent="0.3">
      <c r="A227" s="44" t="s">
        <v>133</v>
      </c>
      <c r="B227" s="43" t="s">
        <v>132</v>
      </c>
      <c r="C227" s="48">
        <v>0</v>
      </c>
      <c r="D227" s="48">
        <v>0</v>
      </c>
      <c r="E227" s="48">
        <v>0</v>
      </c>
      <c r="F227" s="48">
        <v>2147.5</v>
      </c>
      <c r="G227" s="48">
        <v>1987.5</v>
      </c>
      <c r="H227" s="48">
        <v>0</v>
      </c>
      <c r="I227" s="48">
        <v>0</v>
      </c>
      <c r="J227" s="48">
        <v>0</v>
      </c>
      <c r="K227" s="48">
        <v>0</v>
      </c>
      <c r="L227" s="48">
        <v>0</v>
      </c>
      <c r="M227" s="48">
        <v>0</v>
      </c>
      <c r="N227" s="48">
        <v>4135</v>
      </c>
      <c r="O227" s="48">
        <f t="shared" si="28"/>
        <v>0</v>
      </c>
      <c r="P227" s="48">
        <f t="shared" si="29"/>
        <v>0</v>
      </c>
      <c r="Q227" s="48">
        <f t="shared" si="30"/>
        <v>0</v>
      </c>
      <c r="R227" t="s">
        <v>533</v>
      </c>
    </row>
    <row r="228" spans="1:18" ht="15" customHeight="1" x14ac:dyDescent="0.3">
      <c r="A228" s="44" t="s">
        <v>131</v>
      </c>
      <c r="B228" s="43" t="s">
        <v>130</v>
      </c>
      <c r="C228" s="48">
        <v>0</v>
      </c>
      <c r="D228" s="48">
        <v>0</v>
      </c>
      <c r="E228" s="48">
        <v>0</v>
      </c>
      <c r="F228" s="48">
        <v>0</v>
      </c>
      <c r="G228" s="48">
        <v>0</v>
      </c>
      <c r="H228" s="48">
        <v>0</v>
      </c>
      <c r="I228" s="48">
        <v>-120</v>
      </c>
      <c r="J228" s="48">
        <v>40.04</v>
      </c>
      <c r="K228" s="48">
        <v>0</v>
      </c>
      <c r="L228" s="48">
        <v>196.91</v>
      </c>
      <c r="M228" s="48">
        <v>62.68</v>
      </c>
      <c r="N228" s="48">
        <v>179.63</v>
      </c>
      <c r="O228" s="48">
        <f t="shared" si="28"/>
        <v>752.16</v>
      </c>
      <c r="P228" s="48">
        <f t="shared" si="29"/>
        <v>1038.3599999999999</v>
      </c>
      <c r="Q228" s="48">
        <f t="shared" si="30"/>
        <v>359.26</v>
      </c>
      <c r="R228" t="s">
        <v>533</v>
      </c>
    </row>
    <row r="229" spans="1:18" ht="15" customHeight="1" x14ac:dyDescent="0.3">
      <c r="A229" s="44" t="s">
        <v>129</v>
      </c>
      <c r="B229" s="43" t="s">
        <v>128</v>
      </c>
      <c r="C229" s="48">
        <v>0</v>
      </c>
      <c r="D229" s="48">
        <v>0</v>
      </c>
      <c r="E229" s="48">
        <v>0</v>
      </c>
      <c r="F229" s="48">
        <v>0</v>
      </c>
      <c r="G229" s="48">
        <v>25.51</v>
      </c>
      <c r="H229" s="48">
        <v>52.68</v>
      </c>
      <c r="I229" s="48">
        <v>0</v>
      </c>
      <c r="J229" s="48">
        <v>0</v>
      </c>
      <c r="K229" s="48">
        <v>0</v>
      </c>
      <c r="L229" s="48">
        <v>-78.19</v>
      </c>
      <c r="M229" s="48">
        <v>0</v>
      </c>
      <c r="N229" s="48">
        <v>0</v>
      </c>
      <c r="O229" s="48">
        <f t="shared" si="28"/>
        <v>0</v>
      </c>
      <c r="P229" s="48">
        <f t="shared" si="29"/>
        <v>-312.76</v>
      </c>
      <c r="Q229" s="48">
        <f t="shared" si="30"/>
        <v>-51.019999999999996</v>
      </c>
      <c r="R229" t="s">
        <v>533</v>
      </c>
    </row>
    <row r="230" spans="1:18" ht="15" customHeight="1" x14ac:dyDescent="0.3">
      <c r="A230" s="44" t="s">
        <v>127</v>
      </c>
      <c r="B230" s="43" t="s">
        <v>126</v>
      </c>
      <c r="C230" s="48">
        <v>0</v>
      </c>
      <c r="D230" s="48">
        <v>0</v>
      </c>
      <c r="E230" s="48">
        <v>0</v>
      </c>
      <c r="F230" s="48">
        <v>0</v>
      </c>
      <c r="G230" s="48">
        <v>0</v>
      </c>
      <c r="H230" s="48">
        <v>0</v>
      </c>
      <c r="I230" s="48">
        <v>0</v>
      </c>
      <c r="J230" s="48">
        <v>0</v>
      </c>
      <c r="K230" s="48">
        <v>523.5</v>
      </c>
      <c r="L230" s="48">
        <v>0</v>
      </c>
      <c r="M230" s="48">
        <v>0</v>
      </c>
      <c r="N230" s="48">
        <v>523.5</v>
      </c>
      <c r="O230" s="48">
        <f t="shared" si="28"/>
        <v>0</v>
      </c>
      <c r="P230" s="48">
        <f t="shared" si="29"/>
        <v>2094</v>
      </c>
      <c r="Q230" s="48">
        <f t="shared" si="30"/>
        <v>1047</v>
      </c>
      <c r="R230" t="s">
        <v>534</v>
      </c>
    </row>
    <row r="231" spans="1:18" ht="15" customHeight="1" x14ac:dyDescent="0.3">
      <c r="A231" s="44" t="s">
        <v>125</v>
      </c>
      <c r="B231" s="43" t="s">
        <v>124</v>
      </c>
      <c r="C231" s="48">
        <v>0</v>
      </c>
      <c r="D231" s="48">
        <v>0</v>
      </c>
      <c r="E231" s="48">
        <v>0</v>
      </c>
      <c r="F231" s="48">
        <v>0</v>
      </c>
      <c r="G231" s="48">
        <v>0</v>
      </c>
      <c r="H231" s="48">
        <v>0</v>
      </c>
      <c r="I231" s="48">
        <v>0</v>
      </c>
      <c r="J231" s="48">
        <v>0</v>
      </c>
      <c r="K231" s="48">
        <v>0</v>
      </c>
      <c r="L231" s="48">
        <v>0</v>
      </c>
      <c r="M231" s="48">
        <v>310.44</v>
      </c>
      <c r="N231" s="48">
        <v>310.44</v>
      </c>
      <c r="O231" s="48">
        <f t="shared" si="28"/>
        <v>3725.2799999999997</v>
      </c>
      <c r="P231" s="48">
        <f t="shared" si="29"/>
        <v>1241.76</v>
      </c>
      <c r="Q231" s="48">
        <f t="shared" si="30"/>
        <v>620.88</v>
      </c>
      <c r="R231" t="s">
        <v>533</v>
      </c>
    </row>
    <row r="232" spans="1:18" ht="15" customHeight="1" x14ac:dyDescent="0.3">
      <c r="A232" s="44" t="s">
        <v>123</v>
      </c>
      <c r="B232" s="43" t="s">
        <v>122</v>
      </c>
      <c r="C232" s="48">
        <v>0</v>
      </c>
      <c r="D232" s="48">
        <v>0</v>
      </c>
      <c r="E232" s="48">
        <v>0</v>
      </c>
      <c r="F232" s="48">
        <v>0</v>
      </c>
      <c r="G232" s="48">
        <v>0</v>
      </c>
      <c r="H232" s="48">
        <v>0</v>
      </c>
      <c r="I232" s="48">
        <v>0</v>
      </c>
      <c r="J232" s="48">
        <v>0</v>
      </c>
      <c r="K232" s="48">
        <v>0</v>
      </c>
      <c r="L232" s="48">
        <v>0</v>
      </c>
      <c r="M232" s="48">
        <v>42.15</v>
      </c>
      <c r="N232" s="48">
        <v>42.15</v>
      </c>
      <c r="O232" s="48">
        <f t="shared" si="28"/>
        <v>505.79999999999995</v>
      </c>
      <c r="P232" s="48">
        <f t="shared" si="29"/>
        <v>168.6</v>
      </c>
      <c r="Q232" s="48">
        <f t="shared" si="30"/>
        <v>84.3</v>
      </c>
      <c r="R232" t="s">
        <v>533</v>
      </c>
    </row>
    <row r="233" spans="1:18" ht="15" customHeight="1" x14ac:dyDescent="0.3">
      <c r="A233" s="44" t="s">
        <v>121</v>
      </c>
      <c r="B233" s="43" t="s">
        <v>120</v>
      </c>
      <c r="C233" s="48">
        <v>0</v>
      </c>
      <c r="D233" s="48">
        <v>0</v>
      </c>
      <c r="E233" s="48">
        <v>0</v>
      </c>
      <c r="F233" s="48">
        <v>0</v>
      </c>
      <c r="G233" s="48">
        <v>0</v>
      </c>
      <c r="H233" s="48">
        <v>0</v>
      </c>
      <c r="I233" s="48">
        <v>0</v>
      </c>
      <c r="J233" s="48">
        <v>0</v>
      </c>
      <c r="K233" s="48">
        <v>0</v>
      </c>
      <c r="L233" s="48">
        <v>499.18</v>
      </c>
      <c r="M233" s="48">
        <v>0</v>
      </c>
      <c r="N233" s="48">
        <v>499.18</v>
      </c>
      <c r="O233" s="48">
        <f t="shared" si="28"/>
        <v>0</v>
      </c>
      <c r="P233" s="48">
        <f t="shared" si="29"/>
        <v>1996.72</v>
      </c>
      <c r="Q233" s="48">
        <f t="shared" si="30"/>
        <v>998.36</v>
      </c>
      <c r="R233" t="s">
        <v>533</v>
      </c>
    </row>
    <row r="234" spans="1:18" ht="15" customHeight="1" x14ac:dyDescent="0.3">
      <c r="A234" s="44" t="s">
        <v>119</v>
      </c>
      <c r="B234" s="43" t="s">
        <v>118</v>
      </c>
      <c r="C234" s="48">
        <v>0</v>
      </c>
      <c r="D234" s="48">
        <v>0</v>
      </c>
      <c r="E234" s="48">
        <v>0</v>
      </c>
      <c r="F234" s="48">
        <v>0</v>
      </c>
      <c r="G234" s="48">
        <v>0</v>
      </c>
      <c r="H234" s="48">
        <v>0</v>
      </c>
      <c r="I234" s="48">
        <v>0</v>
      </c>
      <c r="J234" s="48">
        <v>0</v>
      </c>
      <c r="K234" s="48">
        <v>0</v>
      </c>
      <c r="L234" s="48">
        <v>0</v>
      </c>
      <c r="M234" s="48">
        <v>1282.75</v>
      </c>
      <c r="N234" s="48">
        <v>1282.75</v>
      </c>
      <c r="O234" s="48">
        <f t="shared" si="28"/>
        <v>15393</v>
      </c>
      <c r="P234" s="48">
        <f t="shared" si="29"/>
        <v>5131</v>
      </c>
      <c r="Q234" s="48">
        <f t="shared" si="30"/>
        <v>2565.5</v>
      </c>
      <c r="R234" t="s">
        <v>533</v>
      </c>
    </row>
    <row r="235" spans="1:18" ht="15" customHeight="1" x14ac:dyDescent="0.3">
      <c r="A235" s="44" t="s">
        <v>117</v>
      </c>
      <c r="B235" s="43" t="s">
        <v>116</v>
      </c>
      <c r="C235" s="47">
        <v>0</v>
      </c>
      <c r="D235" s="47">
        <v>0</v>
      </c>
      <c r="E235" s="47">
        <v>1600</v>
      </c>
      <c r="F235" s="47">
        <v>0</v>
      </c>
      <c r="G235" s="47">
        <v>0</v>
      </c>
      <c r="H235" s="47">
        <v>0</v>
      </c>
      <c r="I235" s="47">
        <v>-1056.49</v>
      </c>
      <c r="J235" s="47">
        <v>0</v>
      </c>
      <c r="K235" s="47">
        <v>0</v>
      </c>
      <c r="L235" s="47">
        <v>1247.95</v>
      </c>
      <c r="M235" s="47">
        <v>-126.8</v>
      </c>
      <c r="N235" s="47">
        <v>1664.66</v>
      </c>
      <c r="O235" s="69">
        <f t="shared" si="28"/>
        <v>-1521.6</v>
      </c>
      <c r="P235" s="69">
        <f t="shared" si="29"/>
        <v>4484.6000000000004</v>
      </c>
      <c r="Q235" s="69">
        <f t="shared" si="30"/>
        <v>129.32000000000008</v>
      </c>
      <c r="R235" t="s">
        <v>533</v>
      </c>
    </row>
    <row r="236" spans="1:18" ht="15" customHeight="1" x14ac:dyDescent="0.3">
      <c r="A236" s="41" t="s">
        <v>115</v>
      </c>
      <c r="B236" s="40" t="s">
        <v>114</v>
      </c>
      <c r="C236" s="45">
        <v>0</v>
      </c>
      <c r="D236" s="45">
        <v>45</v>
      </c>
      <c r="E236" s="45">
        <v>2828.91</v>
      </c>
      <c r="F236" s="45">
        <v>2497.5</v>
      </c>
      <c r="G236" s="45">
        <v>2177.16</v>
      </c>
      <c r="H236" s="45">
        <v>2913.63</v>
      </c>
      <c r="I236" s="45">
        <v>4644.1099999999997</v>
      </c>
      <c r="J236" s="45">
        <v>7749.93</v>
      </c>
      <c r="K236" s="45">
        <v>12699.16</v>
      </c>
      <c r="L236" s="45">
        <v>10881.13</v>
      </c>
      <c r="M236" s="45">
        <v>10469.4</v>
      </c>
      <c r="N236" s="45">
        <v>56905.93</v>
      </c>
      <c r="O236" s="70">
        <f t="shared" si="28"/>
        <v>125632.79999999999</v>
      </c>
      <c r="P236" s="70">
        <f t="shared" si="29"/>
        <v>136198.76</v>
      </c>
      <c r="Q236" s="70">
        <f t="shared" si="30"/>
        <v>98714.72</v>
      </c>
    </row>
    <row r="237" spans="1:18" ht="15" customHeight="1" x14ac:dyDescent="0.3">
      <c r="A237" s="44"/>
      <c r="B237" s="43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>
        <f t="shared" si="28"/>
        <v>0</v>
      </c>
      <c r="P237" s="44">
        <f t="shared" si="29"/>
        <v>0</v>
      </c>
      <c r="Q237" s="44">
        <f t="shared" si="30"/>
        <v>0</v>
      </c>
    </row>
    <row r="238" spans="1:18" ht="15" customHeight="1" x14ac:dyDescent="0.3">
      <c r="A238" s="41" t="s">
        <v>113</v>
      </c>
      <c r="B238" s="40" t="s">
        <v>112</v>
      </c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>
        <f t="shared" si="28"/>
        <v>0</v>
      </c>
      <c r="P238" s="49">
        <f t="shared" si="29"/>
        <v>0</v>
      </c>
      <c r="Q238" s="49">
        <f t="shared" si="30"/>
        <v>0</v>
      </c>
    </row>
    <row r="239" spans="1:18" ht="15" customHeight="1" x14ac:dyDescent="0.3">
      <c r="A239" s="44" t="s">
        <v>111</v>
      </c>
      <c r="B239" s="43" t="s">
        <v>110</v>
      </c>
      <c r="C239" s="48">
        <v>0</v>
      </c>
      <c r="D239" s="48">
        <v>0</v>
      </c>
      <c r="E239" s="48">
        <v>0</v>
      </c>
      <c r="F239" s="48">
        <v>0</v>
      </c>
      <c r="G239" s="48">
        <v>0</v>
      </c>
      <c r="H239" s="48">
        <v>0</v>
      </c>
      <c r="I239" s="48">
        <v>220</v>
      </c>
      <c r="J239" s="48">
        <v>440</v>
      </c>
      <c r="K239" s="48">
        <v>0</v>
      </c>
      <c r="L239" s="48">
        <v>110</v>
      </c>
      <c r="M239" s="48">
        <v>210</v>
      </c>
      <c r="N239" s="48">
        <v>980</v>
      </c>
      <c r="O239" s="48">
        <f t="shared" si="28"/>
        <v>2520</v>
      </c>
      <c r="P239" s="48">
        <f t="shared" si="29"/>
        <v>1280</v>
      </c>
      <c r="Q239" s="48">
        <f t="shared" si="30"/>
        <v>1960</v>
      </c>
    </row>
    <row r="240" spans="1:18" ht="15" customHeight="1" x14ac:dyDescent="0.3">
      <c r="A240" s="44" t="s">
        <v>109</v>
      </c>
      <c r="B240" s="43" t="s">
        <v>108</v>
      </c>
      <c r="C240" s="48">
        <v>0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8">
        <v>0</v>
      </c>
      <c r="J240" s="48">
        <v>0</v>
      </c>
      <c r="K240" s="48">
        <v>972.03</v>
      </c>
      <c r="L240" s="48">
        <v>0</v>
      </c>
      <c r="M240" s="48">
        <v>714.53</v>
      </c>
      <c r="N240" s="48">
        <v>1686.56</v>
      </c>
      <c r="O240" s="48">
        <f t="shared" si="28"/>
        <v>8574.36</v>
      </c>
      <c r="P240" s="48">
        <f t="shared" si="29"/>
        <v>6746.24</v>
      </c>
      <c r="Q240" s="48">
        <f t="shared" si="30"/>
        <v>3373.12</v>
      </c>
    </row>
    <row r="241" spans="1:18" ht="15" customHeight="1" x14ac:dyDescent="0.3">
      <c r="A241" s="44" t="s">
        <v>107</v>
      </c>
      <c r="B241" s="43" t="s">
        <v>106</v>
      </c>
      <c r="C241" s="48">
        <v>0</v>
      </c>
      <c r="D241" s="48">
        <v>0</v>
      </c>
      <c r="E241" s="48">
        <v>0</v>
      </c>
      <c r="F241" s="48">
        <v>0</v>
      </c>
      <c r="G241" s="48">
        <v>0</v>
      </c>
      <c r="H241" s="48">
        <v>196.45</v>
      </c>
      <c r="I241" s="48">
        <v>776.45</v>
      </c>
      <c r="J241" s="48">
        <v>1259.42</v>
      </c>
      <c r="K241" s="48">
        <v>0</v>
      </c>
      <c r="L241" s="48">
        <v>518.80999999999995</v>
      </c>
      <c r="M241" s="48">
        <v>420</v>
      </c>
      <c r="N241" s="48">
        <v>3171.13</v>
      </c>
      <c r="O241" s="48">
        <f t="shared" si="28"/>
        <v>5040</v>
      </c>
      <c r="P241" s="48">
        <f t="shared" si="29"/>
        <v>3755.24</v>
      </c>
      <c r="Q241" s="48">
        <f t="shared" si="30"/>
        <v>6342.26</v>
      </c>
    </row>
    <row r="242" spans="1:18" ht="15" customHeight="1" x14ac:dyDescent="0.3">
      <c r="A242" s="44" t="s">
        <v>105</v>
      </c>
      <c r="B242" s="43" t="s">
        <v>104</v>
      </c>
      <c r="C242" s="48">
        <v>0</v>
      </c>
      <c r="D242" s="48">
        <v>0</v>
      </c>
      <c r="E242" s="48">
        <v>0</v>
      </c>
      <c r="F242" s="48">
        <v>0</v>
      </c>
      <c r="G242" s="48">
        <v>0</v>
      </c>
      <c r="H242" s="48">
        <v>0</v>
      </c>
      <c r="I242" s="48">
        <v>45</v>
      </c>
      <c r="J242" s="48">
        <v>0</v>
      </c>
      <c r="K242" s="48">
        <v>0</v>
      </c>
      <c r="L242" s="48">
        <v>0</v>
      </c>
      <c r="M242" s="48">
        <v>0</v>
      </c>
      <c r="N242" s="48">
        <v>45</v>
      </c>
      <c r="O242" s="48">
        <f t="shared" si="28"/>
        <v>0</v>
      </c>
      <c r="P242" s="48">
        <f t="shared" si="29"/>
        <v>0</v>
      </c>
      <c r="Q242" s="48">
        <f t="shared" si="30"/>
        <v>90</v>
      </c>
    </row>
    <row r="243" spans="1:18" ht="15" customHeight="1" x14ac:dyDescent="0.3">
      <c r="A243" s="44" t="s">
        <v>103</v>
      </c>
      <c r="B243" s="43" t="s">
        <v>102</v>
      </c>
      <c r="C243" s="48">
        <v>0</v>
      </c>
      <c r="D243" s="48">
        <v>0</v>
      </c>
      <c r="E243" s="48">
        <v>0</v>
      </c>
      <c r="F243" s="48">
        <v>0</v>
      </c>
      <c r="G243" s="48">
        <v>40</v>
      </c>
      <c r="H243" s="48">
        <v>40</v>
      </c>
      <c r="I243" s="48">
        <v>0</v>
      </c>
      <c r="J243" s="48">
        <v>365</v>
      </c>
      <c r="K243" s="48">
        <v>80</v>
      </c>
      <c r="L243" s="48">
        <v>65</v>
      </c>
      <c r="M243" s="48">
        <v>110</v>
      </c>
      <c r="N243" s="48">
        <v>700</v>
      </c>
      <c r="O243" s="48">
        <f t="shared" si="28"/>
        <v>1320</v>
      </c>
      <c r="P243" s="48">
        <f t="shared" si="29"/>
        <v>1020</v>
      </c>
      <c r="Q243" s="48">
        <f t="shared" si="30"/>
        <v>1320</v>
      </c>
    </row>
    <row r="244" spans="1:18" ht="15" customHeight="1" x14ac:dyDescent="0.3">
      <c r="A244" s="44" t="s">
        <v>101</v>
      </c>
      <c r="B244" s="43" t="s">
        <v>100</v>
      </c>
      <c r="C244" s="48">
        <v>0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8">
        <v>1559.17</v>
      </c>
      <c r="J244" s="48">
        <v>0</v>
      </c>
      <c r="K244" s="48">
        <v>1017.9</v>
      </c>
      <c r="L244" s="48">
        <v>0</v>
      </c>
      <c r="M244" s="48">
        <v>0</v>
      </c>
      <c r="N244" s="48">
        <v>2577.0700000000002</v>
      </c>
      <c r="O244" s="48">
        <f t="shared" si="28"/>
        <v>0</v>
      </c>
      <c r="P244" s="48">
        <f t="shared" si="29"/>
        <v>4071.6</v>
      </c>
      <c r="Q244" s="48">
        <f t="shared" si="30"/>
        <v>5154.1400000000003</v>
      </c>
    </row>
    <row r="245" spans="1:18" ht="15" customHeight="1" x14ac:dyDescent="0.3">
      <c r="A245" s="44" t="s">
        <v>99</v>
      </c>
      <c r="B245" s="43" t="s">
        <v>98</v>
      </c>
      <c r="C245" s="47">
        <v>0</v>
      </c>
      <c r="D245" s="47">
        <v>0</v>
      </c>
      <c r="E245" s="47">
        <v>0</v>
      </c>
      <c r="F245" s="47">
        <v>0</v>
      </c>
      <c r="G245" s="47">
        <v>0</v>
      </c>
      <c r="H245" s="47">
        <v>0</v>
      </c>
      <c r="I245" s="47">
        <v>0</v>
      </c>
      <c r="J245" s="47">
        <v>83.7</v>
      </c>
      <c r="K245" s="47">
        <v>0</v>
      </c>
      <c r="L245" s="47">
        <v>0</v>
      </c>
      <c r="M245" s="47">
        <v>0</v>
      </c>
      <c r="N245" s="47">
        <v>83.7</v>
      </c>
      <c r="O245" s="69">
        <f t="shared" si="28"/>
        <v>0</v>
      </c>
      <c r="P245" s="69">
        <f t="shared" si="29"/>
        <v>0</v>
      </c>
      <c r="Q245" s="69">
        <f t="shared" si="30"/>
        <v>167.4</v>
      </c>
    </row>
    <row r="246" spans="1:18" ht="15" customHeight="1" x14ac:dyDescent="0.3">
      <c r="A246" s="41" t="s">
        <v>97</v>
      </c>
      <c r="B246" s="40" t="s">
        <v>96</v>
      </c>
      <c r="C246" s="45">
        <v>0</v>
      </c>
      <c r="D246" s="45">
        <v>0</v>
      </c>
      <c r="E246" s="45">
        <v>0</v>
      </c>
      <c r="F246" s="45">
        <v>0</v>
      </c>
      <c r="G246" s="45">
        <v>40</v>
      </c>
      <c r="H246" s="45">
        <v>236.45</v>
      </c>
      <c r="I246" s="45">
        <v>2600.62</v>
      </c>
      <c r="J246" s="45">
        <v>2148.12</v>
      </c>
      <c r="K246" s="45">
        <v>2069.9299999999998</v>
      </c>
      <c r="L246" s="45">
        <v>693.81</v>
      </c>
      <c r="M246" s="45">
        <v>1454.53</v>
      </c>
      <c r="N246" s="45">
        <v>9243.4599999999991</v>
      </c>
      <c r="O246" s="70">
        <f t="shared" si="28"/>
        <v>17454.36</v>
      </c>
      <c r="P246" s="70">
        <f t="shared" si="29"/>
        <v>16873.079999999998</v>
      </c>
      <c r="Q246" s="70">
        <f t="shared" si="30"/>
        <v>18406.919999999998</v>
      </c>
      <c r="R246" t="s">
        <v>533</v>
      </c>
    </row>
    <row r="247" spans="1:18" ht="15" customHeight="1" x14ac:dyDescent="0.3">
      <c r="A247" s="44"/>
      <c r="B247" s="43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>
        <f t="shared" si="28"/>
        <v>0</v>
      </c>
      <c r="P247" s="44">
        <f t="shared" si="29"/>
        <v>0</v>
      </c>
      <c r="Q247" s="44">
        <f t="shared" si="30"/>
        <v>0</v>
      </c>
    </row>
    <row r="248" spans="1:18" ht="15" customHeight="1" x14ac:dyDescent="0.3">
      <c r="A248" s="41" t="s">
        <v>95</v>
      </c>
      <c r="B248" s="40" t="s">
        <v>94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>
        <f t="shared" si="28"/>
        <v>0</v>
      </c>
      <c r="P248" s="49">
        <f t="shared" si="29"/>
        <v>0</v>
      </c>
      <c r="Q248" s="49">
        <f t="shared" si="30"/>
        <v>0</v>
      </c>
    </row>
    <row r="249" spans="1:18" ht="15" customHeight="1" x14ac:dyDescent="0.3">
      <c r="A249" s="44" t="s">
        <v>93</v>
      </c>
      <c r="B249" s="43" t="s">
        <v>92</v>
      </c>
      <c r="C249" s="47">
        <v>10000</v>
      </c>
      <c r="D249" s="47">
        <v>10000</v>
      </c>
      <c r="E249" s="47">
        <v>10000</v>
      </c>
      <c r="F249" s="47">
        <v>10000</v>
      </c>
      <c r="G249" s="47">
        <v>10000</v>
      </c>
      <c r="H249" s="47">
        <v>10000</v>
      </c>
      <c r="I249" s="47">
        <v>10000</v>
      </c>
      <c r="J249" s="47">
        <v>10000</v>
      </c>
      <c r="K249" s="47">
        <v>10000</v>
      </c>
      <c r="L249" s="47">
        <v>10809</v>
      </c>
      <c r="M249" s="47">
        <v>12301</v>
      </c>
      <c r="N249" s="47">
        <v>113110</v>
      </c>
      <c r="O249" s="69">
        <f t="shared" si="28"/>
        <v>147612</v>
      </c>
      <c r="P249" s="69">
        <f t="shared" si="29"/>
        <v>132440</v>
      </c>
      <c r="Q249" s="69">
        <f t="shared" si="30"/>
        <v>126220</v>
      </c>
    </row>
    <row r="250" spans="1:18" ht="15" customHeight="1" x14ac:dyDescent="0.3">
      <c r="A250" s="41" t="s">
        <v>91</v>
      </c>
      <c r="B250" s="40" t="s">
        <v>90</v>
      </c>
      <c r="C250" s="45">
        <v>10000</v>
      </c>
      <c r="D250" s="45">
        <v>10000</v>
      </c>
      <c r="E250" s="45">
        <v>10000</v>
      </c>
      <c r="F250" s="45">
        <v>10000</v>
      </c>
      <c r="G250" s="45">
        <v>10000</v>
      </c>
      <c r="H250" s="45">
        <v>10000</v>
      </c>
      <c r="I250" s="45">
        <v>10000</v>
      </c>
      <c r="J250" s="45">
        <v>10000</v>
      </c>
      <c r="K250" s="45">
        <v>10000</v>
      </c>
      <c r="L250" s="45">
        <v>10809</v>
      </c>
      <c r="M250" s="45">
        <v>12301</v>
      </c>
      <c r="N250" s="45">
        <v>113110</v>
      </c>
      <c r="O250" s="70">
        <f t="shared" si="28"/>
        <v>147612</v>
      </c>
      <c r="P250" s="70">
        <f t="shared" si="29"/>
        <v>132440</v>
      </c>
      <c r="Q250" s="70">
        <f t="shared" si="30"/>
        <v>126220</v>
      </c>
      <c r="R250" t="s">
        <v>537</v>
      </c>
    </row>
    <row r="251" spans="1:18" ht="15" customHeight="1" x14ac:dyDescent="0.3">
      <c r="A251" s="44"/>
      <c r="B251" s="43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>
        <f t="shared" si="28"/>
        <v>0</v>
      </c>
      <c r="P251" s="44">
        <f t="shared" si="29"/>
        <v>0</v>
      </c>
      <c r="Q251" s="44">
        <f t="shared" si="30"/>
        <v>0</v>
      </c>
    </row>
    <row r="252" spans="1:18" ht="15" customHeight="1" x14ac:dyDescent="0.3">
      <c r="A252" s="41" t="s">
        <v>89</v>
      </c>
      <c r="B252" s="40" t="s">
        <v>88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>
        <f t="shared" si="28"/>
        <v>0</v>
      </c>
      <c r="P252" s="49">
        <f t="shared" si="29"/>
        <v>0</v>
      </c>
      <c r="Q252" s="49">
        <f t="shared" si="30"/>
        <v>0</v>
      </c>
    </row>
    <row r="253" spans="1:18" ht="15" customHeight="1" x14ac:dyDescent="0.3">
      <c r="A253" s="44" t="s">
        <v>87</v>
      </c>
      <c r="B253" s="43" t="s">
        <v>86</v>
      </c>
      <c r="C253" s="47">
        <v>338.89</v>
      </c>
      <c r="D253" s="47">
        <v>1016.68</v>
      </c>
      <c r="E253" s="47">
        <v>1016.68</v>
      </c>
      <c r="F253" s="47">
        <v>1355.57</v>
      </c>
      <c r="G253" s="47">
        <v>2033.35</v>
      </c>
      <c r="H253" s="47">
        <v>2372.23</v>
      </c>
      <c r="I253" s="47">
        <v>3219.47</v>
      </c>
      <c r="J253" s="47">
        <v>4236.5200000000004</v>
      </c>
      <c r="K253" s="47">
        <v>4761.29</v>
      </c>
      <c r="L253" s="47">
        <v>5251.45</v>
      </c>
      <c r="M253" s="47">
        <v>0</v>
      </c>
      <c r="N253" s="47">
        <v>25602.13</v>
      </c>
      <c r="O253" s="69">
        <f t="shared" si="28"/>
        <v>0</v>
      </c>
      <c r="P253" s="69">
        <f t="shared" si="29"/>
        <v>40050.959999999999</v>
      </c>
      <c r="Q253" s="69">
        <f t="shared" si="30"/>
        <v>39681.920000000006</v>
      </c>
    </row>
    <row r="254" spans="1:18" ht="15" customHeight="1" x14ac:dyDescent="0.3">
      <c r="A254" s="41" t="s">
        <v>85</v>
      </c>
      <c r="B254" s="40" t="s">
        <v>84</v>
      </c>
      <c r="C254" s="45">
        <v>338.89</v>
      </c>
      <c r="D254" s="45">
        <v>1016.68</v>
      </c>
      <c r="E254" s="45">
        <v>1016.68</v>
      </c>
      <c r="F254" s="45">
        <v>1355.57</v>
      </c>
      <c r="G254" s="45">
        <v>2033.35</v>
      </c>
      <c r="H254" s="45">
        <v>2372.23</v>
      </c>
      <c r="I254" s="45">
        <v>3219.47</v>
      </c>
      <c r="J254" s="45">
        <v>4236.5200000000004</v>
      </c>
      <c r="K254" s="45">
        <v>4761.29</v>
      </c>
      <c r="L254" s="45">
        <v>5251.45</v>
      </c>
      <c r="M254" s="45">
        <v>0</v>
      </c>
      <c r="N254" s="45">
        <v>25602.13</v>
      </c>
      <c r="O254" s="70">
        <f t="shared" si="28"/>
        <v>0</v>
      </c>
      <c r="P254" s="70">
        <f t="shared" si="29"/>
        <v>40050.959999999999</v>
      </c>
      <c r="Q254" s="70">
        <f t="shared" si="30"/>
        <v>39681.920000000006</v>
      </c>
      <c r="R254" t="s">
        <v>542</v>
      </c>
    </row>
    <row r="255" spans="1:18" ht="15" customHeight="1" x14ac:dyDescent="0.3">
      <c r="A255" s="44"/>
      <c r="B255" s="43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>
        <f t="shared" si="28"/>
        <v>0</v>
      </c>
      <c r="P255" s="44">
        <f t="shared" si="29"/>
        <v>0</v>
      </c>
      <c r="Q255" s="44">
        <f t="shared" si="30"/>
        <v>0</v>
      </c>
    </row>
    <row r="256" spans="1:18" ht="15" customHeight="1" x14ac:dyDescent="0.3">
      <c r="A256" s="41" t="s">
        <v>83</v>
      </c>
      <c r="B256" s="40" t="s">
        <v>82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>
        <f t="shared" si="28"/>
        <v>0</v>
      </c>
      <c r="P256" s="49">
        <f t="shared" si="29"/>
        <v>0</v>
      </c>
      <c r="Q256" s="49">
        <f t="shared" si="30"/>
        <v>0</v>
      </c>
    </row>
    <row r="257" spans="1:18" ht="15" customHeight="1" x14ac:dyDescent="0.3">
      <c r="A257" s="44" t="s">
        <v>81</v>
      </c>
      <c r="B257" s="43" t="s">
        <v>80</v>
      </c>
      <c r="C257" s="48">
        <v>0</v>
      </c>
      <c r="D257" s="48">
        <v>0</v>
      </c>
      <c r="E257" s="48">
        <v>0</v>
      </c>
      <c r="F257" s="48">
        <v>0</v>
      </c>
      <c r="G257" s="48">
        <v>225</v>
      </c>
      <c r="H257" s="48">
        <v>0</v>
      </c>
      <c r="I257" s="48">
        <v>0</v>
      </c>
      <c r="J257" s="48">
        <v>0</v>
      </c>
      <c r="K257" s="48">
        <v>0</v>
      </c>
      <c r="L257" s="48">
        <v>225</v>
      </c>
      <c r="M257" s="48">
        <v>0</v>
      </c>
      <c r="N257" s="48">
        <v>450</v>
      </c>
      <c r="O257" s="48">
        <f t="shared" si="28"/>
        <v>0</v>
      </c>
      <c r="P257" s="48">
        <f t="shared" si="29"/>
        <v>900</v>
      </c>
      <c r="Q257" s="48">
        <f t="shared" si="30"/>
        <v>450</v>
      </c>
      <c r="R257" t="s">
        <v>536</v>
      </c>
    </row>
    <row r="258" spans="1:18" ht="15" customHeight="1" x14ac:dyDescent="0.3">
      <c r="A258" s="44" t="s">
        <v>79</v>
      </c>
      <c r="B258" s="43" t="s">
        <v>78</v>
      </c>
      <c r="C258" s="47">
        <v>0</v>
      </c>
      <c r="D258" s="47">
        <v>0</v>
      </c>
      <c r="E258" s="47">
        <v>0</v>
      </c>
      <c r="F258" s="47">
        <v>0</v>
      </c>
      <c r="G258" s="47">
        <v>0</v>
      </c>
      <c r="H258" s="47">
        <v>250</v>
      </c>
      <c r="I258" s="47">
        <v>0</v>
      </c>
      <c r="J258" s="47">
        <v>330</v>
      </c>
      <c r="K258" s="47">
        <v>485</v>
      </c>
      <c r="L258" s="47">
        <v>0</v>
      </c>
      <c r="M258" s="47">
        <v>0</v>
      </c>
      <c r="N258" s="47">
        <v>1065</v>
      </c>
      <c r="O258" s="69">
        <f t="shared" si="28"/>
        <v>0</v>
      </c>
      <c r="P258" s="69">
        <f t="shared" si="29"/>
        <v>1940</v>
      </c>
      <c r="Q258" s="69">
        <f t="shared" si="30"/>
        <v>2130</v>
      </c>
      <c r="R258" t="s">
        <v>539</v>
      </c>
    </row>
    <row r="259" spans="1:18" ht="15" customHeight="1" x14ac:dyDescent="0.3">
      <c r="A259" s="41" t="s">
        <v>77</v>
      </c>
      <c r="B259" s="40" t="s">
        <v>76</v>
      </c>
      <c r="C259" s="45">
        <v>0</v>
      </c>
      <c r="D259" s="45">
        <v>0</v>
      </c>
      <c r="E259" s="45">
        <v>0</v>
      </c>
      <c r="F259" s="45">
        <v>0</v>
      </c>
      <c r="G259" s="45">
        <v>225</v>
      </c>
      <c r="H259" s="45">
        <v>250</v>
      </c>
      <c r="I259" s="45">
        <v>0</v>
      </c>
      <c r="J259" s="45">
        <v>330</v>
      </c>
      <c r="K259" s="45">
        <v>485</v>
      </c>
      <c r="L259" s="45">
        <v>225</v>
      </c>
      <c r="M259" s="45">
        <v>0</v>
      </c>
      <c r="N259" s="45">
        <v>1515</v>
      </c>
      <c r="O259" s="70">
        <f t="shared" si="28"/>
        <v>0</v>
      </c>
      <c r="P259" s="70">
        <f t="shared" si="29"/>
        <v>2840</v>
      </c>
      <c r="Q259" s="70">
        <f t="shared" si="30"/>
        <v>2580</v>
      </c>
    </row>
    <row r="260" spans="1:18" ht="15" customHeight="1" x14ac:dyDescent="0.3">
      <c r="A260" s="44"/>
      <c r="B260" s="43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71">
        <f t="shared" si="28"/>
        <v>0</v>
      </c>
      <c r="P260" s="71">
        <f t="shared" si="29"/>
        <v>0</v>
      </c>
      <c r="Q260" s="71">
        <f t="shared" si="30"/>
        <v>0</v>
      </c>
    </row>
    <row r="261" spans="1:18" ht="15" customHeight="1" x14ac:dyDescent="0.3">
      <c r="A261" s="41" t="s">
        <v>75</v>
      </c>
      <c r="B261" s="40" t="s">
        <v>74</v>
      </c>
      <c r="C261" s="45">
        <v>44702.59</v>
      </c>
      <c r="D261" s="45">
        <v>94909.11</v>
      </c>
      <c r="E261" s="45">
        <v>92370.65</v>
      </c>
      <c r="F261" s="45">
        <v>65275.46</v>
      </c>
      <c r="G261" s="45">
        <v>70605.98</v>
      </c>
      <c r="H261" s="45">
        <v>125240.65</v>
      </c>
      <c r="I261" s="45">
        <v>136810.09</v>
      </c>
      <c r="J261" s="45">
        <v>153373.73000000001</v>
      </c>
      <c r="K261" s="45">
        <v>117995.37</v>
      </c>
      <c r="L261" s="45">
        <v>164215.71</v>
      </c>
      <c r="M261" s="45">
        <v>123096.24</v>
      </c>
      <c r="N261" s="45">
        <v>1188595.58</v>
      </c>
      <c r="O261" s="70">
        <f t="shared" si="28"/>
        <v>1477154.8800000001</v>
      </c>
      <c r="P261" s="70">
        <f t="shared" si="29"/>
        <v>1621229.2799999998</v>
      </c>
      <c r="Q261" s="70">
        <f t="shared" si="30"/>
        <v>1641463.5799999998</v>
      </c>
    </row>
    <row r="262" spans="1:18" ht="15" customHeight="1" x14ac:dyDescent="0.3">
      <c r="A262" s="44"/>
      <c r="B262" s="43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71">
        <f t="shared" ref="O262:O263" si="31">IF($N$5="","",M262*12)</f>
        <v>0</v>
      </c>
      <c r="P262" s="71">
        <f t="shared" ref="P262:P263" si="32">IF($N$5="","",SUM(K262:M262)*4)</f>
        <v>0</v>
      </c>
      <c r="Q262" s="71">
        <f t="shared" ref="Q262:Q263" si="33">IF($N$5="","",SUM(H262:M262)*2)</f>
        <v>0</v>
      </c>
    </row>
    <row r="263" spans="1:18" ht="15" thickBot="1" x14ac:dyDescent="0.35">
      <c r="A263" s="41" t="s">
        <v>73</v>
      </c>
      <c r="B263" s="40" t="s">
        <v>31</v>
      </c>
      <c r="C263" s="39">
        <v>-45582.59</v>
      </c>
      <c r="D263" s="39">
        <v>-87176.14</v>
      </c>
      <c r="E263" s="39">
        <v>-70865.649999999994</v>
      </c>
      <c r="F263" s="39">
        <v>-5837.8</v>
      </c>
      <c r="G263" s="39">
        <v>11652.99</v>
      </c>
      <c r="H263" s="39">
        <v>-6018.58</v>
      </c>
      <c r="I263" s="39">
        <v>17646.23</v>
      </c>
      <c r="J263" s="39">
        <v>91121.29</v>
      </c>
      <c r="K263" s="39">
        <v>193293.41</v>
      </c>
      <c r="L263" s="39">
        <v>190408.17</v>
      </c>
      <c r="M263" s="39">
        <v>305954.26</v>
      </c>
      <c r="N263" s="39">
        <v>594595.59</v>
      </c>
      <c r="O263" s="70">
        <f t="shared" si="31"/>
        <v>3671451.12</v>
      </c>
      <c r="P263" s="70">
        <f t="shared" si="32"/>
        <v>2758623.3600000003</v>
      </c>
      <c r="Q263" s="70">
        <f t="shared" si="33"/>
        <v>1584809.56</v>
      </c>
    </row>
    <row r="264" spans="1:18" ht="15" thickTop="1" x14ac:dyDescent="0.3"/>
  </sheetData>
  <mergeCells count="3">
    <mergeCell ref="B1:N1"/>
    <mergeCell ref="B2:N2"/>
    <mergeCell ref="B3:N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Multifamily</vt:lpstr>
      <vt:lpstr>OpSt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BURTON, SPENCER</dc:creator>
  <cp:keywords/>
  <dc:description/>
  <cp:lastModifiedBy>David Polnick</cp:lastModifiedBy>
  <cp:revision/>
  <dcterms:created xsi:type="dcterms:W3CDTF">2018-05-23T16:49:31Z</dcterms:created>
  <dcterms:modified xsi:type="dcterms:W3CDTF">2026-10-06T05:48:17Z</dcterms:modified>
  <cp:category/>
  <cp:contentStatus/>
</cp:coreProperties>
</file>