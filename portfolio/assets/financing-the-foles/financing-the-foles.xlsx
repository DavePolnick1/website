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7. Modeling Real Estate Debt\"/>
    </mc:Choice>
  </mc:AlternateContent>
  <xr:revisionPtr revIDLastSave="0" documentId="8_{B1D6D356-5A8A-41EB-B9C2-1B4400409D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vered DCF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20" i="2" l="1"/>
  <c r="G19" i="2"/>
  <c r="G18" i="2"/>
  <c r="C20" i="2" l="1"/>
  <c r="I77" i="2"/>
  <c r="D31" i="2" l="1"/>
  <c r="E31" i="2"/>
  <c r="E20" i="2"/>
  <c r="D20" i="2"/>
  <c r="E81" i="2"/>
  <c r="E83" i="2" s="1"/>
  <c r="D81" i="2"/>
  <c r="D83" i="2" s="1"/>
  <c r="F77" i="2"/>
  <c r="F81" i="2" s="1"/>
  <c r="F83" i="2" s="1"/>
  <c r="I80" i="2"/>
  <c r="E36" i="2" s="1"/>
  <c r="I78" i="2"/>
  <c r="E34" i="2" s="1"/>
  <c r="D34" i="2" l="1"/>
  <c r="J78" i="2"/>
  <c r="K78" i="2" s="1"/>
  <c r="L78" i="2" s="1"/>
  <c r="M78" i="2" s="1"/>
  <c r="N78" i="2" s="1"/>
  <c r="O78" i="2" s="1"/>
  <c r="P78" i="2" s="1"/>
  <c r="Q78" i="2" s="1"/>
  <c r="R78" i="2" s="1"/>
  <c r="S78" i="2" s="1"/>
  <c r="J80" i="2"/>
  <c r="K80" i="2" s="1"/>
  <c r="L80" i="2" s="1"/>
  <c r="M80" i="2" s="1"/>
  <c r="N80" i="2" s="1"/>
  <c r="O80" i="2" s="1"/>
  <c r="P80" i="2" s="1"/>
  <c r="Q80" i="2" s="1"/>
  <c r="R80" i="2" s="1"/>
  <c r="S80" i="2" s="1"/>
  <c r="D36" i="2"/>
  <c r="J77" i="2"/>
  <c r="I53" i="2"/>
  <c r="K77" i="2" l="1"/>
  <c r="L77" i="2" l="1"/>
  <c r="M77" i="2" l="1"/>
  <c r="N77" i="2" l="1"/>
  <c r="O77" i="2" l="1"/>
  <c r="P77" i="2" l="1"/>
  <c r="Q77" i="2" l="1"/>
  <c r="R77" i="2" l="1"/>
  <c r="S77" i="2" l="1"/>
  <c r="J50" i="2" l="1"/>
  <c r="J51" i="2" s="1"/>
  <c r="K50" i="2" l="1"/>
  <c r="K51" i="2" s="1"/>
  <c r="J53" i="2"/>
  <c r="J54" i="2" l="1"/>
  <c r="L50" i="2"/>
  <c r="L51" i="2" s="1"/>
  <c r="K54" i="2"/>
  <c r="E19" i="2"/>
  <c r="D19" i="2"/>
  <c r="M50" i="2" l="1"/>
  <c r="M51" i="2" s="1"/>
  <c r="L54" i="2"/>
  <c r="I75" i="2"/>
  <c r="J75" i="2" s="1"/>
  <c r="K75" i="2" s="1"/>
  <c r="L75" i="2" s="1"/>
  <c r="M75" i="2" s="1"/>
  <c r="N75" i="2" s="1"/>
  <c r="O75" i="2" s="1"/>
  <c r="P75" i="2" s="1"/>
  <c r="Q75" i="2" s="1"/>
  <c r="R75" i="2" s="1"/>
  <c r="S75" i="2" s="1"/>
  <c r="I74" i="2"/>
  <c r="J74" i="2" s="1"/>
  <c r="K74" i="2" s="1"/>
  <c r="L74" i="2" s="1"/>
  <c r="M74" i="2" s="1"/>
  <c r="N74" i="2" s="1"/>
  <c r="O74" i="2" s="1"/>
  <c r="P74" i="2" s="1"/>
  <c r="Q74" i="2" s="1"/>
  <c r="R74" i="2" s="1"/>
  <c r="S74" i="2" s="1"/>
  <c r="I73" i="2"/>
  <c r="J73" i="2" s="1"/>
  <c r="K73" i="2" s="1"/>
  <c r="L73" i="2" s="1"/>
  <c r="M73" i="2" s="1"/>
  <c r="N73" i="2" s="1"/>
  <c r="O73" i="2" s="1"/>
  <c r="P73" i="2" s="1"/>
  <c r="Q73" i="2" s="1"/>
  <c r="R73" i="2" s="1"/>
  <c r="S73" i="2" s="1"/>
  <c r="I72" i="2"/>
  <c r="J72" i="2" s="1"/>
  <c r="K72" i="2" s="1"/>
  <c r="L72" i="2" s="1"/>
  <c r="M72" i="2" s="1"/>
  <c r="N72" i="2" s="1"/>
  <c r="O72" i="2" s="1"/>
  <c r="P72" i="2" s="1"/>
  <c r="Q72" i="2" s="1"/>
  <c r="R72" i="2" s="1"/>
  <c r="S72" i="2" s="1"/>
  <c r="I70" i="2"/>
  <c r="J70" i="2" s="1"/>
  <c r="K70" i="2" s="1"/>
  <c r="L70" i="2" s="1"/>
  <c r="M70" i="2" s="1"/>
  <c r="N70" i="2" s="1"/>
  <c r="O70" i="2" s="1"/>
  <c r="P70" i="2" s="1"/>
  <c r="Q70" i="2" s="1"/>
  <c r="R70" i="2" s="1"/>
  <c r="S70" i="2" s="1"/>
  <c r="I69" i="2"/>
  <c r="J69" i="2" l="1"/>
  <c r="N50" i="2"/>
  <c r="N51" i="2" s="1"/>
  <c r="M54" i="2"/>
  <c r="I71" i="2"/>
  <c r="J71" i="2" s="1"/>
  <c r="K71" i="2" s="1"/>
  <c r="L71" i="2" s="1"/>
  <c r="M71" i="2" s="1"/>
  <c r="N71" i="2" s="1"/>
  <c r="O71" i="2" s="1"/>
  <c r="P71" i="2" s="1"/>
  <c r="Q71" i="2" s="1"/>
  <c r="R71" i="2" s="1"/>
  <c r="S71" i="2" s="1"/>
  <c r="I57" i="2"/>
  <c r="D29" i="2" l="1"/>
  <c r="E29" i="2"/>
  <c r="K69" i="2"/>
  <c r="D23" i="2"/>
  <c r="E23" i="2"/>
  <c r="J57" i="2"/>
  <c r="O50" i="2"/>
  <c r="O51" i="2" s="1"/>
  <c r="N54" i="2"/>
  <c r="K57" i="2" l="1"/>
  <c r="L69" i="2"/>
  <c r="P50" i="2"/>
  <c r="P51" i="2" s="1"/>
  <c r="O54" i="2"/>
  <c r="L57" i="2" l="1"/>
  <c r="M69" i="2"/>
  <c r="Q50" i="2"/>
  <c r="Q51" i="2" s="1"/>
  <c r="P54" i="2"/>
  <c r="N69" i="2" l="1"/>
  <c r="M57" i="2"/>
  <c r="R50" i="2"/>
  <c r="R51" i="2" s="1"/>
  <c r="Q54" i="2"/>
  <c r="N57" i="2" l="1"/>
  <c r="O69" i="2"/>
  <c r="S50" i="2"/>
  <c r="S51" i="2" s="1"/>
  <c r="R54" i="2"/>
  <c r="I60" i="2"/>
  <c r="I59" i="2"/>
  <c r="I58" i="2"/>
  <c r="P69" i="2" l="1"/>
  <c r="O57" i="2"/>
  <c r="D24" i="2"/>
  <c r="E24" i="2"/>
  <c r="J58" i="2"/>
  <c r="E25" i="2"/>
  <c r="D25" i="2"/>
  <c r="J59" i="2"/>
  <c r="K59" i="2" s="1"/>
  <c r="L59" i="2" s="1"/>
  <c r="M59" i="2" s="1"/>
  <c r="N59" i="2" s="1"/>
  <c r="O59" i="2" s="1"/>
  <c r="P59" i="2" s="1"/>
  <c r="Q59" i="2" s="1"/>
  <c r="R59" i="2" s="1"/>
  <c r="S59" i="2" s="1"/>
  <c r="D26" i="2"/>
  <c r="E26" i="2"/>
  <c r="J60" i="2"/>
  <c r="K60" i="2" s="1"/>
  <c r="L60" i="2" s="1"/>
  <c r="M60" i="2" s="1"/>
  <c r="N60" i="2" s="1"/>
  <c r="O60" i="2" s="1"/>
  <c r="P60" i="2" s="1"/>
  <c r="Q60" i="2" s="1"/>
  <c r="R60" i="2" s="1"/>
  <c r="S60" i="2" s="1"/>
  <c r="S54" i="2"/>
  <c r="I61" i="2"/>
  <c r="I54" i="2"/>
  <c r="K58" i="2" l="1"/>
  <c r="J61" i="2"/>
  <c r="J64" i="2" s="1"/>
  <c r="J65" i="2" s="1"/>
  <c r="J66" i="2" s="1"/>
  <c r="J79" i="2" s="1"/>
  <c r="J81" i="2" s="1"/>
  <c r="J83" i="2" s="1"/>
  <c r="P57" i="2"/>
  <c r="Q69" i="2"/>
  <c r="I64" i="2"/>
  <c r="I65" i="2" s="1"/>
  <c r="J87" i="2" l="1"/>
  <c r="J105" i="2" s="1"/>
  <c r="R69" i="2"/>
  <c r="Q57" i="2"/>
  <c r="L58" i="2"/>
  <c r="K61" i="2"/>
  <c r="K64" i="2" s="1"/>
  <c r="K65" i="2" s="1"/>
  <c r="K66" i="2" s="1"/>
  <c r="K79" i="2" s="1"/>
  <c r="K81" i="2" s="1"/>
  <c r="K83" i="2" s="1"/>
  <c r="I66" i="2"/>
  <c r="I79" i="2" s="1"/>
  <c r="K87" i="2" l="1"/>
  <c r="K105" i="2" s="1"/>
  <c r="E35" i="2"/>
  <c r="D35" i="2"/>
  <c r="I81" i="2"/>
  <c r="I83" i="2" s="1"/>
  <c r="R57" i="2"/>
  <c r="M58" i="2"/>
  <c r="L61" i="2"/>
  <c r="L64" i="2" s="1"/>
  <c r="L65" i="2" s="1"/>
  <c r="L66" i="2" s="1"/>
  <c r="L79" i="2" s="1"/>
  <c r="L81" i="2" s="1"/>
  <c r="L83" i="2" s="1"/>
  <c r="S69" i="2"/>
  <c r="L87" i="2" l="1"/>
  <c r="L105" i="2" s="1"/>
  <c r="H19" i="2"/>
  <c r="I19" i="2" s="1"/>
  <c r="J19" i="2" s="1"/>
  <c r="H20" i="2"/>
  <c r="I20" i="2" s="1"/>
  <c r="J20" i="2" s="1"/>
  <c r="N58" i="2"/>
  <c r="M61" i="2"/>
  <c r="M64" i="2" s="1"/>
  <c r="M65" i="2" s="1"/>
  <c r="M66" i="2" s="1"/>
  <c r="M79" i="2" s="1"/>
  <c r="M81" i="2" s="1"/>
  <c r="M83" i="2" s="1"/>
  <c r="S57" i="2"/>
  <c r="C9" i="2"/>
  <c r="I87" i="2"/>
  <c r="I105" i="2" s="1"/>
  <c r="M87" i="2" l="1"/>
  <c r="M105" i="2" s="1"/>
  <c r="H43" i="2"/>
  <c r="H44" i="2" s="1"/>
  <c r="H45" i="2" s="1"/>
  <c r="H105" i="2" s="1"/>
  <c r="H18" i="2"/>
  <c r="O58" i="2"/>
  <c r="N61" i="2"/>
  <c r="N64" i="2" s="1"/>
  <c r="N65" i="2" s="1"/>
  <c r="N66" i="2" s="1"/>
  <c r="N79" i="2" s="1"/>
  <c r="N81" i="2" s="1"/>
  <c r="N83" i="2" s="1"/>
  <c r="D9" i="2"/>
  <c r="E9" i="2"/>
  <c r="N87" i="2" l="1"/>
  <c r="N105" i="2" s="1"/>
  <c r="I18" i="2"/>
  <c r="J18" i="2" s="1"/>
  <c r="H21" i="2"/>
  <c r="P58" i="2"/>
  <c r="O61" i="2"/>
  <c r="O64" i="2" s="1"/>
  <c r="O65" i="2" s="1"/>
  <c r="O66" i="2" s="1"/>
  <c r="O79" i="2" s="1"/>
  <c r="O81" i="2" s="1"/>
  <c r="O83" i="2" s="1"/>
  <c r="O87" i="2" l="1"/>
  <c r="O105" i="2" s="1"/>
  <c r="H5" i="2"/>
  <c r="I21" i="2"/>
  <c r="J21" i="2" s="1"/>
  <c r="Q58" i="2"/>
  <c r="P61" i="2"/>
  <c r="P64" i="2" s="1"/>
  <c r="P65" i="2" s="1"/>
  <c r="P66" i="2" s="1"/>
  <c r="P79" i="2" s="1"/>
  <c r="P81" i="2" s="1"/>
  <c r="P83" i="2" s="1"/>
  <c r="P87" i="2" l="1"/>
  <c r="P105" i="2" s="1"/>
  <c r="H46" i="2"/>
  <c r="H47" i="2" s="1"/>
  <c r="H108" i="2" s="1"/>
  <c r="H11" i="2"/>
  <c r="H10" i="2"/>
  <c r="I5" i="2"/>
  <c r="J5" i="2" s="1"/>
  <c r="R58" i="2"/>
  <c r="Q61" i="2"/>
  <c r="Q64" i="2" s="1"/>
  <c r="Q65" i="2" s="1"/>
  <c r="Q66" i="2" s="1"/>
  <c r="H12" i="2" l="1"/>
  <c r="R101" i="2" s="1"/>
  <c r="R89" i="2"/>
  <c r="J89" i="2"/>
  <c r="Q89" i="2"/>
  <c r="I89" i="2"/>
  <c r="P89" i="2"/>
  <c r="O89" i="2"/>
  <c r="N89" i="2"/>
  <c r="M89" i="2"/>
  <c r="L89" i="2"/>
  <c r="K89" i="2"/>
  <c r="S58" i="2"/>
  <c r="S61" i="2" s="1"/>
  <c r="S64" i="2" s="1"/>
  <c r="S65" i="2" s="1"/>
  <c r="S66" i="2" s="1"/>
  <c r="S79" i="2" s="1"/>
  <c r="S81" i="2" s="1"/>
  <c r="S83" i="2" s="1"/>
  <c r="R61" i="2"/>
  <c r="R64" i="2" s="1"/>
  <c r="R65" i="2" s="1"/>
  <c r="R66" i="2" s="1"/>
  <c r="R79" i="2" s="1"/>
  <c r="R81" i="2" s="1"/>
  <c r="R83" i="2" s="1"/>
  <c r="R87" i="2" s="1"/>
  <c r="Q79" i="2"/>
  <c r="Q81" i="2" s="1"/>
  <c r="Q83" i="2" s="1"/>
  <c r="L91" i="2" l="1"/>
  <c r="L108" i="2" s="1"/>
  <c r="L93" i="2"/>
  <c r="P91" i="2"/>
  <c r="P108" i="2" s="1"/>
  <c r="P93" i="2"/>
  <c r="K91" i="2"/>
  <c r="K108" i="2" s="1"/>
  <c r="K93" i="2"/>
  <c r="I91" i="2"/>
  <c r="I108" i="2" s="1"/>
  <c r="I93" i="2"/>
  <c r="N91" i="2"/>
  <c r="N108" i="2" s="1"/>
  <c r="N93" i="2"/>
  <c r="J91" i="2"/>
  <c r="J108" i="2" s="1"/>
  <c r="J93" i="2"/>
  <c r="M91" i="2"/>
  <c r="M108" i="2" s="1"/>
  <c r="M93" i="2"/>
  <c r="Q87" i="2"/>
  <c r="Q105" i="2" s="1"/>
  <c r="Q93" i="2"/>
  <c r="O91" i="2"/>
  <c r="O108" i="2" s="1"/>
  <c r="O93" i="2"/>
  <c r="R93" i="2"/>
  <c r="R94" i="2"/>
  <c r="R91" i="2"/>
  <c r="C14" i="2"/>
  <c r="R98" i="2"/>
  <c r="S87" i="2"/>
  <c r="Q91" i="2" l="1"/>
  <c r="Q108" i="2" s="1"/>
  <c r="R99" i="2"/>
  <c r="R100" i="2" s="1"/>
  <c r="D14" i="2"/>
  <c r="E14" i="2"/>
  <c r="R102" i="2" l="1"/>
  <c r="R108" i="2" s="1"/>
  <c r="R105" i="2"/>
  <c r="M11" i="2"/>
  <c r="M12" i="2"/>
  <c r="M10" i="2"/>
  <c r="M6" i="2" l="1"/>
  <c r="M7" i="2"/>
  <c r="M5" i="2"/>
</calcChain>
</file>

<file path=xl/sharedStrings.xml><?xml version="1.0" encoding="utf-8"?>
<sst xmlns="http://schemas.openxmlformats.org/spreadsheetml/2006/main" count="131" uniqueCount="102">
  <si>
    <t>Units</t>
  </si>
  <si>
    <t>Average Unit Size</t>
  </si>
  <si>
    <t>Period</t>
  </si>
  <si>
    <t>Broker</t>
  </si>
  <si>
    <t>REVENUE</t>
  </si>
  <si>
    <t>Rental Revenue</t>
  </si>
  <si>
    <t>Market Rent</t>
  </si>
  <si>
    <t>Loss-to-Lease</t>
  </si>
  <si>
    <t>Actual Vacancy &amp; Credit Loss</t>
  </si>
  <si>
    <t>Concessions</t>
  </si>
  <si>
    <t>Total Rental Revenue</t>
  </si>
  <si>
    <t>Other Income</t>
  </si>
  <si>
    <t>RUBS</t>
  </si>
  <si>
    <t>Storage Income</t>
  </si>
  <si>
    <t>Parking Income</t>
  </si>
  <si>
    <t>Total Other Income</t>
  </si>
  <si>
    <t>Effective Gross Revenue</t>
  </si>
  <si>
    <t>Gross Revenue</t>
  </si>
  <si>
    <t>General Vacancy and Credit Loss</t>
  </si>
  <si>
    <t>Total Effective Gross Revenue</t>
  </si>
  <si>
    <t>OPERATING EXPENSES</t>
  </si>
  <si>
    <t>Controllable</t>
  </si>
  <si>
    <t>Repairs and Maintenance</t>
  </si>
  <si>
    <t>Contract Services</t>
  </si>
  <si>
    <t>Turnover</t>
  </si>
  <si>
    <t>Administrative</t>
  </si>
  <si>
    <t>Advertising and Marketing</t>
  </si>
  <si>
    <t>Payroll</t>
  </si>
  <si>
    <t>Utilities</t>
  </si>
  <si>
    <t>Fixed</t>
  </si>
  <si>
    <t>Property Taxes</t>
  </si>
  <si>
    <t>Insurance</t>
  </si>
  <si>
    <t>Property Management</t>
  </si>
  <si>
    <t>Total Operating Expenses</t>
  </si>
  <si>
    <t>NET OPERATING INCOME</t>
  </si>
  <si>
    <t>ACQUIITION</t>
  </si>
  <si>
    <t>Aqcuisition Costs</t>
  </si>
  <si>
    <t>Purchase Price</t>
  </si>
  <si>
    <t>Closing Costs</t>
  </si>
  <si>
    <t>Total Acquisition Costs</t>
  </si>
  <si>
    <t>T12</t>
  </si>
  <si>
    <t>Notes</t>
  </si>
  <si>
    <t>Capital Reserves</t>
  </si>
  <si>
    <t>Cash Flow From Operations</t>
  </si>
  <si>
    <t>EXIT</t>
  </si>
  <si>
    <t>Sale Proceeds</t>
  </si>
  <si>
    <t>Sale Price</t>
  </si>
  <si>
    <t>Sales Expense</t>
  </si>
  <si>
    <t>UNLEVERED CASH FLOW</t>
  </si>
  <si>
    <t xml:space="preserve">  </t>
  </si>
  <si>
    <t>Global Assumptions</t>
  </si>
  <si>
    <t>Unlevered IRR</t>
  </si>
  <si>
    <t>Equity Multiple</t>
  </si>
  <si>
    <t>Mill Rate</t>
  </si>
  <si>
    <t>Profit</t>
  </si>
  <si>
    <t>Acquisition Assumptions</t>
  </si>
  <si>
    <t>$/Unit</t>
  </si>
  <si>
    <t>$/RSF</t>
  </si>
  <si>
    <t>Going-in Cap Rate</t>
  </si>
  <si>
    <t>Exit Assumptions</t>
  </si>
  <si>
    <t>Going-out Cap Rate</t>
  </si>
  <si>
    <t>Sale Expense</t>
  </si>
  <si>
    <t>Growth Assumptions</t>
  </si>
  <si>
    <t>Yr 1 - $/Unit</t>
  </si>
  <si>
    <t>Yr 1 - $/RSF</t>
  </si>
  <si>
    <t>Revenue</t>
  </si>
  <si>
    <t xml:space="preserve">Other Income </t>
  </si>
  <si>
    <t>Operating Expenses</t>
  </si>
  <si>
    <t>Annual Increase</t>
  </si>
  <si>
    <t xml:space="preserve"> </t>
  </si>
  <si>
    <t>Apr to Dec - 2016</t>
  </si>
  <si>
    <t>Custom</t>
  </si>
  <si>
    <t>Growth</t>
  </si>
  <si>
    <t>A.CRE ACCELERATOR</t>
  </si>
  <si>
    <t>Capital Expenditures</t>
  </si>
  <si>
    <t>FINANCING THE FOLES</t>
  </si>
  <si>
    <t>Unlevered Returns</t>
  </si>
  <si>
    <t>Levered Returns</t>
  </si>
  <si>
    <t>Levered IRR</t>
  </si>
  <si>
    <t>Loan Assumptions</t>
  </si>
  <si>
    <t>Loan Amount</t>
  </si>
  <si>
    <t>Interest Rate</t>
  </si>
  <si>
    <t>Loan Term</t>
  </si>
  <si>
    <t>Amortization</t>
  </si>
  <si>
    <t>Interest-Only</t>
  </si>
  <si>
    <t>IO Payment (Mo.)</t>
  </si>
  <si>
    <t>Amort Payment (Mo.)</t>
  </si>
  <si>
    <t>Loan Payoff at Maturity</t>
  </si>
  <si>
    <t>Loan Sizing</t>
  </si>
  <si>
    <t>Target Loan to Value</t>
  </si>
  <si>
    <t>Minimum DSCR (Amortizing)</t>
  </si>
  <si>
    <t>Minimum DY</t>
  </si>
  <si>
    <t>Max. Loan Amount</t>
  </si>
  <si>
    <t>+ Net Loan Proceeds</t>
  </si>
  <si>
    <t>Total Equity Contribution</t>
  </si>
  <si>
    <t>Debt Service</t>
  </si>
  <si>
    <t>Cash Flow after Financing</t>
  </si>
  <si>
    <t>Loan Payoff</t>
  </si>
  <si>
    <t>Net Reversion Proceeds</t>
  </si>
  <si>
    <t>LEVERED CASH FLOW</t>
  </si>
  <si>
    <t>DSCR</t>
  </si>
  <si>
    <t>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</si>
</sst>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#,##0\ &quot;SF&quot;"/>
    <numFmt numFmtId="165" formatCode="_(* #,##0_);_(* \(#,##0\);_(* &quot;-&quot;??_);_(@_)"/>
    <numFmt numFmtId="166" formatCode="_(* #,##0.00000_);_(* \(#,##0.00000\);_(* &quot;-&quot;??_);_(@_)"/>
    <numFmt numFmtId="167" formatCode="0.0%"/>
    <numFmt numFmtId="168" formatCode="&quot;Year&quot;\ General"/>
    <numFmt numFmtId="169" formatCode="&quot;$&quot;000\ &quot;per Unit&quot;"/>
    <numFmt numFmtId="170" formatCode="0.00%\ &quot;of EGR&quot;"/>
    <numFmt numFmtId="171" formatCode="0.00%\ &quot;of GR&quot;"/>
    <numFmt numFmtId="172" formatCode="0.00%\ &quot;of MR&quot;"/>
    <numFmt numFmtId="173" formatCode="&quot;$&quot;#,##0.00"/>
    <numFmt numFmtId="174" formatCode="&quot;$&quot;#,##0"/>
    <numFmt numFmtId="175" formatCode="#.#0\x"/>
    <numFmt numFmtId="176" formatCode="0.00000"/>
    <numFmt numFmtId="177" formatCode="_(* #,##0.000_);_(* \(#,##0.000\);_(* &quot;-&quot;_);_(@_)"/>
    <numFmt numFmtId="178" formatCode="#,##0.0000"/>
    <numFmt numFmtId="179" formatCode="0\ &quot;Months&quot;"/>
    <numFmt numFmtId="180" formatCode="0.00&quot;X&quot;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Roboto Bold"/>
    </font>
    <font>
      <sz val="11"/>
      <color theme="1"/>
      <name val="Roboto Bold"/>
    </font>
    <font>
      <sz val="10"/>
      <color theme="1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u val="singleAccounting"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u val="singleAccounting"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0"/>
      <color theme="1" tint="0.499984740745262"/>
      <name val="Calibri"/>
      <family val="2"/>
      <scheme val="minor"/>
    </font>
    <font>
      <u val="singleAccounting"/>
      <sz val="10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1" tint="0.499984740745262"/>
      <name val="Calibri"/>
      <family val="2"/>
      <scheme val="minor"/>
    </font>
    <font>
      <i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3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6" fillId="3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left" indent="1"/>
    </xf>
    <xf numFmtId="43" fontId="4" fillId="0" borderId="0" xfId="0" applyNumberFormat="1" applyFont="1" applyAlignment="1">
      <alignment horizontal="right"/>
    </xf>
    <xf numFmtId="43" fontId="4" fillId="0" borderId="0" xfId="0" applyNumberFormat="1" applyFont="1"/>
    <xf numFmtId="0" fontId="6" fillId="4" borderId="0" xfId="0" applyFont="1" applyFill="1"/>
    <xf numFmtId="0" fontId="6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165" fontId="13" fillId="0" borderId="1" xfId="0" applyNumberFormat="1" applyFont="1" applyBorder="1" applyAlignment="1">
      <alignment horizontal="right"/>
    </xf>
    <xf numFmtId="41" fontId="13" fillId="0" borderId="1" xfId="0" applyNumberFormat="1" applyFont="1" applyBorder="1" applyAlignment="1">
      <alignment horizontal="right"/>
    </xf>
    <xf numFmtId="165" fontId="13" fillId="0" borderId="2" xfId="0" applyNumberFormat="1" applyFont="1" applyBorder="1" applyAlignment="1">
      <alignment horizontal="right"/>
    </xf>
    <xf numFmtId="41" fontId="13" fillId="0" borderId="2" xfId="0" applyNumberFormat="1" applyFont="1" applyBorder="1" applyAlignment="1">
      <alignment horizontal="right"/>
    </xf>
    <xf numFmtId="41" fontId="14" fillId="0" borderId="1" xfId="0" applyNumberFormat="1" applyFont="1" applyBorder="1" applyAlignment="1">
      <alignment horizontal="right"/>
    </xf>
    <xf numFmtId="41" fontId="14" fillId="0" borderId="2" xfId="0" applyNumberFormat="1" applyFont="1" applyBorder="1" applyAlignment="1">
      <alignment horizontal="right"/>
    </xf>
    <xf numFmtId="41" fontId="15" fillId="0" borderId="1" xfId="0" applyNumberFormat="1" applyFont="1" applyBorder="1" applyAlignment="1">
      <alignment horizontal="right"/>
    </xf>
    <xf numFmtId="41" fontId="15" fillId="0" borderId="2" xfId="0" applyNumberFormat="1" applyFont="1" applyBorder="1" applyAlignment="1">
      <alignment horizontal="right"/>
    </xf>
    <xf numFmtId="41" fontId="13" fillId="0" borderId="1" xfId="0" applyNumberFormat="1" applyFont="1" applyBorder="1" applyAlignment="1">
      <alignment horizontal="right" indent="1"/>
    </xf>
    <xf numFmtId="41" fontId="15" fillId="0" borderId="1" xfId="0" applyNumberFormat="1" applyFont="1" applyBorder="1" applyAlignment="1">
      <alignment horizontal="right" indent="1"/>
    </xf>
    <xf numFmtId="41" fontId="15" fillId="0" borderId="2" xfId="0" applyNumberFormat="1" applyFont="1" applyBorder="1" applyAlignment="1">
      <alignment horizontal="right" indent="1"/>
    </xf>
    <xf numFmtId="41" fontId="16" fillId="3" borderId="1" xfId="0" applyNumberFormat="1" applyFont="1" applyFill="1" applyBorder="1" applyAlignment="1">
      <alignment horizontal="right"/>
    </xf>
    <xf numFmtId="41" fontId="16" fillId="3" borderId="2" xfId="0" applyNumberFormat="1" applyFont="1" applyFill="1" applyBorder="1" applyAlignment="1">
      <alignment horizontal="right"/>
    </xf>
    <xf numFmtId="41" fontId="16" fillId="4" borderId="1" xfId="0" applyNumberFormat="1" applyFont="1" applyFill="1" applyBorder="1" applyAlignment="1">
      <alignment horizontal="right"/>
    </xf>
    <xf numFmtId="41" fontId="16" fillId="4" borderId="2" xfId="0" applyNumberFormat="1" applyFont="1" applyFill="1" applyBorder="1" applyAlignment="1">
      <alignment horizontal="right"/>
    </xf>
    <xf numFmtId="41" fontId="16" fillId="0" borderId="1" xfId="0" applyNumberFormat="1" applyFont="1" applyBorder="1" applyAlignment="1">
      <alignment horizontal="right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2" fillId="2" borderId="0" xfId="0" applyFont="1" applyFill="1"/>
    <xf numFmtId="41" fontId="16" fillId="0" borderId="11" xfId="0" applyNumberFormat="1" applyFont="1" applyBorder="1" applyAlignment="1">
      <alignment horizontal="right"/>
    </xf>
    <xf numFmtId="41" fontId="16" fillId="0" borderId="12" xfId="0" applyNumberFormat="1" applyFont="1" applyBorder="1" applyAlignment="1">
      <alignment horizontal="right"/>
    </xf>
    <xf numFmtId="0" fontId="4" fillId="0" borderId="6" xfId="0" applyFont="1" applyBorder="1" applyAlignment="1">
      <alignment horizontal="left"/>
    </xf>
    <xf numFmtId="41" fontId="16" fillId="0" borderId="2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 indent="1"/>
    </xf>
    <xf numFmtId="0" fontId="6" fillId="0" borderId="3" xfId="0" applyFont="1" applyBorder="1"/>
    <xf numFmtId="0" fontId="6" fillId="3" borderId="3" xfId="0" applyFont="1" applyFill="1" applyBorder="1"/>
    <xf numFmtId="0" fontId="4" fillId="0" borderId="3" xfId="0" applyFont="1" applyBorder="1"/>
    <xf numFmtId="9" fontId="16" fillId="0" borderId="1" xfId="1" applyFont="1" applyBorder="1" applyAlignment="1">
      <alignment horizontal="right"/>
    </xf>
    <xf numFmtId="0" fontId="6" fillId="0" borderId="14" xfId="0" applyFont="1" applyBorder="1" applyAlignment="1">
      <alignment horizontal="center"/>
    </xf>
    <xf numFmtId="0" fontId="4" fillId="0" borderId="5" xfId="0" applyFont="1" applyBorder="1" applyAlignment="1">
      <alignment horizontal="right"/>
    </xf>
    <xf numFmtId="43" fontId="4" fillId="0" borderId="5" xfId="0" applyNumberFormat="1" applyFont="1" applyBorder="1" applyAlignment="1">
      <alignment horizontal="right"/>
    </xf>
    <xf numFmtId="0" fontId="4" fillId="0" borderId="6" xfId="0" applyFont="1" applyBorder="1"/>
    <xf numFmtId="41" fontId="9" fillId="3" borderId="8" xfId="0" applyNumberFormat="1" applyFont="1" applyFill="1" applyBorder="1" applyAlignment="1">
      <alignment horizontal="center"/>
    </xf>
    <xf numFmtId="41" fontId="16" fillId="3" borderId="8" xfId="0" applyNumberFormat="1" applyFont="1" applyFill="1" applyBorder="1" applyAlignment="1">
      <alignment horizontal="right"/>
    </xf>
    <xf numFmtId="0" fontId="6" fillId="3" borderId="9" xfId="0" applyFont="1" applyFill="1" applyBorder="1"/>
    <xf numFmtId="41" fontId="9" fillId="0" borderId="10" xfId="0" applyNumberFormat="1" applyFont="1" applyBorder="1" applyAlignment="1">
      <alignment horizontal="right"/>
    </xf>
    <xf numFmtId="41" fontId="9" fillId="0" borderId="14" xfId="0" applyNumberFormat="1" applyFont="1" applyBorder="1" applyAlignment="1">
      <alignment horizontal="right"/>
    </xf>
    <xf numFmtId="41" fontId="9" fillId="3" borderId="14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right"/>
    </xf>
    <xf numFmtId="0" fontId="6" fillId="3" borderId="14" xfId="0" applyFont="1" applyFill="1" applyBorder="1" applyAlignment="1">
      <alignment horizontal="right"/>
    </xf>
    <xf numFmtId="0" fontId="6" fillId="0" borderId="15" xfId="0" applyFont="1" applyBorder="1" applyAlignment="1">
      <alignment horizontal="center"/>
    </xf>
    <xf numFmtId="3" fontId="4" fillId="4" borderId="0" xfId="0" applyNumberFormat="1" applyFont="1" applyFill="1" applyAlignment="1">
      <alignment horizontal="right"/>
    </xf>
    <xf numFmtId="41" fontId="8" fillId="0" borderId="5" xfId="0" applyNumberFormat="1" applyFont="1" applyBorder="1" applyAlignment="1">
      <alignment horizontal="right"/>
    </xf>
    <xf numFmtId="41" fontId="4" fillId="0" borderId="5" xfId="0" applyNumberFormat="1" applyFont="1" applyBorder="1" applyAlignment="1">
      <alignment horizontal="right"/>
    </xf>
    <xf numFmtId="41" fontId="9" fillId="3" borderId="7" xfId="0" applyNumberFormat="1" applyFont="1" applyFill="1" applyBorder="1" applyAlignment="1">
      <alignment horizontal="right"/>
    </xf>
    <xf numFmtId="41" fontId="9" fillId="3" borderId="8" xfId="0" applyNumberFormat="1" applyFont="1" applyFill="1" applyBorder="1" applyAlignment="1">
      <alignment horizontal="right"/>
    </xf>
    <xf numFmtId="0" fontId="4" fillId="0" borderId="5" xfId="0" applyFont="1" applyBorder="1"/>
    <xf numFmtId="3" fontId="4" fillId="4" borderId="5" xfId="0" applyNumberFormat="1" applyFont="1" applyFill="1" applyBorder="1" applyAlignment="1">
      <alignment horizontal="right"/>
    </xf>
    <xf numFmtId="41" fontId="11" fillId="0" borderId="0" xfId="0" applyNumberFormat="1" applyFont="1" applyAlignment="1">
      <alignment horizontal="right"/>
    </xf>
    <xf numFmtId="41" fontId="8" fillId="0" borderId="0" xfId="0" applyNumberFormat="1" applyFont="1" applyAlignment="1">
      <alignment horizontal="right"/>
    </xf>
    <xf numFmtId="41" fontId="9" fillId="3" borderId="13" xfId="0" applyNumberFormat="1" applyFont="1" applyFill="1" applyBorder="1" applyAlignment="1">
      <alignment horizontal="right"/>
    </xf>
    <xf numFmtId="41" fontId="9" fillId="3" borderId="0" xfId="0" applyNumberFormat="1" applyFont="1" applyFill="1" applyAlignment="1">
      <alignment horizontal="right"/>
    </xf>
    <xf numFmtId="41" fontId="9" fillId="3" borderId="0" xfId="0" applyNumberFormat="1" applyFont="1" applyFill="1" applyAlignment="1">
      <alignment horizontal="center"/>
    </xf>
    <xf numFmtId="41" fontId="9" fillId="5" borderId="13" xfId="0" applyNumberFormat="1" applyFont="1" applyFill="1" applyBorder="1" applyAlignment="1">
      <alignment horizontal="right"/>
    </xf>
    <xf numFmtId="41" fontId="9" fillId="0" borderId="0" xfId="0" applyNumberFormat="1" applyFont="1" applyAlignment="1">
      <alignment horizontal="right"/>
    </xf>
    <xf numFmtId="0" fontId="4" fillId="5" borderId="13" xfId="0" applyFont="1" applyFill="1" applyBorder="1"/>
    <xf numFmtId="0" fontId="4" fillId="4" borderId="0" xfId="0" applyFont="1" applyFill="1" applyAlignment="1">
      <alignment horizontal="right"/>
    </xf>
    <xf numFmtId="41" fontId="8" fillId="5" borderId="13" xfId="0" applyNumberFormat="1" applyFont="1" applyFill="1" applyBorder="1" applyAlignment="1">
      <alignment horizontal="right"/>
    </xf>
    <xf numFmtId="0" fontId="0" fillId="5" borderId="13" xfId="0" applyFill="1" applyBorder="1"/>
    <xf numFmtId="41" fontId="5" fillId="0" borderId="0" xfId="0" applyNumberFormat="1" applyFont="1" applyAlignment="1">
      <alignment horizontal="right"/>
    </xf>
    <xf numFmtId="41" fontId="11" fillId="5" borderId="13" xfId="0" applyNumberFormat="1" applyFont="1" applyFill="1" applyBorder="1" applyAlignment="1">
      <alignment horizontal="right"/>
    </xf>
    <xf numFmtId="41" fontId="11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center"/>
    </xf>
    <xf numFmtId="41" fontId="9" fillId="4" borderId="0" xfId="0" applyNumberFormat="1" applyFont="1" applyFill="1" applyAlignment="1">
      <alignment horizontal="right"/>
    </xf>
    <xf numFmtId="41" fontId="12" fillId="4" borderId="0" xfId="0" applyNumberFormat="1" applyFont="1" applyFill="1" applyAlignment="1">
      <alignment horizontal="right"/>
    </xf>
    <xf numFmtId="41" fontId="9" fillId="4" borderId="0" xfId="0" applyNumberFormat="1" applyFont="1" applyFill="1" applyAlignment="1">
      <alignment horizontal="center"/>
    </xf>
    <xf numFmtId="41" fontId="12" fillId="3" borderId="0" xfId="0" applyNumberFormat="1" applyFont="1" applyFill="1" applyAlignment="1">
      <alignment horizontal="right"/>
    </xf>
    <xf numFmtId="41" fontId="11" fillId="5" borderId="13" xfId="0" applyNumberFormat="1" applyFont="1" applyFill="1" applyBorder="1" applyAlignment="1">
      <alignment horizontal="right" indent="1"/>
    </xf>
    <xf numFmtId="41" fontId="11" fillId="0" borderId="0" xfId="0" applyNumberFormat="1" applyFont="1" applyAlignment="1">
      <alignment horizontal="right" indent="1"/>
    </xf>
    <xf numFmtId="41" fontId="8" fillId="5" borderId="13" xfId="0" applyNumberFormat="1" applyFont="1" applyFill="1" applyBorder="1" applyAlignment="1">
      <alignment horizontal="right" indent="1"/>
    </xf>
    <xf numFmtId="41" fontId="8" fillId="0" borderId="0" xfId="0" applyNumberFormat="1" applyFont="1" applyAlignment="1">
      <alignment horizontal="right" indent="1"/>
    </xf>
    <xf numFmtId="165" fontId="11" fillId="5" borderId="13" xfId="0" applyNumberFormat="1" applyFont="1" applyFill="1" applyBorder="1" applyAlignment="1">
      <alignment horizontal="right"/>
    </xf>
    <xf numFmtId="165" fontId="11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41" fontId="10" fillId="5" borderId="13" xfId="0" applyNumberFormat="1" applyFont="1" applyFill="1" applyBorder="1" applyAlignment="1">
      <alignment horizontal="right"/>
    </xf>
    <xf numFmtId="41" fontId="10" fillId="0" borderId="0" xfId="0" applyNumberFormat="1" applyFont="1" applyAlignment="1">
      <alignment horizontal="right"/>
    </xf>
    <xf numFmtId="41" fontId="10" fillId="0" borderId="0" xfId="0" applyNumberFormat="1" applyFont="1" applyAlignment="1">
      <alignment horizontal="center"/>
    </xf>
    <xf numFmtId="41" fontId="4" fillId="5" borderId="13" xfId="1" applyNumberFormat="1" applyFont="1" applyFill="1" applyBorder="1"/>
    <xf numFmtId="41" fontId="4" fillId="0" borderId="0" xfId="1" applyNumberFormat="1" applyFont="1" applyBorder="1"/>
    <xf numFmtId="165" fontId="8" fillId="0" borderId="0" xfId="0" applyNumberFormat="1" applyFont="1" applyAlignment="1">
      <alignment horizontal="center"/>
    </xf>
    <xf numFmtId="0" fontId="4" fillId="5" borderId="13" xfId="0" applyFont="1" applyFill="1" applyBorder="1" applyAlignment="1">
      <alignment horizontal="right"/>
    </xf>
    <xf numFmtId="0" fontId="6" fillId="3" borderId="13" xfId="0" applyFont="1" applyFill="1" applyBorder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/>
    <xf numFmtId="0" fontId="6" fillId="3" borderId="0" xfId="0" quotePrefix="1" applyFont="1" applyFill="1" applyAlignment="1">
      <alignment horizontal="right"/>
    </xf>
    <xf numFmtId="0" fontId="4" fillId="0" borderId="13" xfId="0" applyFont="1" applyBorder="1" applyAlignment="1">
      <alignment horizontal="right"/>
    </xf>
    <xf numFmtId="37" fontId="4" fillId="0" borderId="0" xfId="0" applyNumberFormat="1" applyFont="1" applyAlignment="1">
      <alignment horizontal="right"/>
    </xf>
    <xf numFmtId="168" fontId="6" fillId="0" borderId="8" xfId="0" applyNumberFormat="1" applyFont="1" applyBorder="1" applyAlignment="1">
      <alignment horizontal="center"/>
    </xf>
    <xf numFmtId="0" fontId="4" fillId="0" borderId="10" xfId="0" applyFont="1" applyBorder="1"/>
    <xf numFmtId="0" fontId="4" fillId="0" borderId="10" xfId="0" applyFont="1" applyBorder="1" applyAlignment="1">
      <alignment horizontal="right"/>
    </xf>
    <xf numFmtId="10" fontId="5" fillId="0" borderId="4" xfId="1" applyNumberFormat="1" applyFont="1" applyBorder="1" applyAlignment="1">
      <alignment horizontal="right"/>
    </xf>
    <xf numFmtId="39" fontId="4" fillId="0" borderId="14" xfId="0" applyNumberFormat="1" applyFont="1" applyBorder="1" applyAlignment="1">
      <alignment horizontal="center"/>
    </xf>
    <xf numFmtId="37" fontId="4" fillId="0" borderId="14" xfId="0" applyNumberFormat="1" applyFont="1" applyBorder="1" applyAlignment="1">
      <alignment horizontal="center"/>
    </xf>
    <xf numFmtId="169" fontId="17" fillId="0" borderId="13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 indent="2"/>
    </xf>
    <xf numFmtId="0" fontId="6" fillId="6" borderId="14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right"/>
    </xf>
    <xf numFmtId="0" fontId="6" fillId="6" borderId="3" xfId="0" applyFont="1" applyFill="1" applyBorder="1"/>
    <xf numFmtId="170" fontId="17" fillId="0" borderId="13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 indent="3"/>
    </xf>
    <xf numFmtId="10" fontId="5" fillId="0" borderId="13" xfId="1" applyNumberFormat="1" applyFont="1" applyBorder="1" applyAlignment="1">
      <alignment horizontal="right"/>
    </xf>
    <xf numFmtId="10" fontId="4" fillId="0" borderId="13" xfId="0" applyNumberFormat="1" applyFont="1" applyBorder="1" applyAlignment="1">
      <alignment horizontal="right"/>
    </xf>
    <xf numFmtId="171" fontId="17" fillId="0" borderId="13" xfId="0" applyNumberFormat="1" applyFont="1" applyBorder="1" applyAlignment="1">
      <alignment horizontal="right"/>
    </xf>
    <xf numFmtId="172" fontId="17" fillId="0" borderId="13" xfId="0" applyNumberFormat="1" applyFont="1" applyBorder="1" applyAlignment="1">
      <alignment horizontal="right"/>
    </xf>
    <xf numFmtId="172" fontId="18" fillId="0" borderId="13" xfId="0" applyNumberFormat="1" applyFont="1" applyBorder="1" applyAlignment="1">
      <alignment horizontal="right"/>
    </xf>
    <xf numFmtId="0" fontId="4" fillId="0" borderId="14" xfId="0" applyFont="1" applyBorder="1"/>
    <xf numFmtId="0" fontId="4" fillId="4" borderId="14" xfId="0" applyFont="1" applyFill="1" applyBorder="1" applyAlignment="1">
      <alignment horizontal="right"/>
    </xf>
    <xf numFmtId="173" fontId="4" fillId="4" borderId="14" xfId="0" applyNumberFormat="1" applyFont="1" applyFill="1" applyBorder="1" applyAlignment="1">
      <alignment horizontal="center"/>
    </xf>
    <xf numFmtId="174" fontId="4" fillId="4" borderId="14" xfId="0" applyNumberFormat="1" applyFont="1" applyFill="1" applyBorder="1" applyAlignment="1">
      <alignment horizontal="center"/>
    </xf>
    <xf numFmtId="3" fontId="8" fillId="0" borderId="13" xfId="1" applyNumberFormat="1" applyFont="1" applyBorder="1" applyAlignment="1">
      <alignment horizontal="right"/>
    </xf>
    <xf numFmtId="0" fontId="4" fillId="6" borderId="13" xfId="0" applyFont="1" applyFill="1" applyBorder="1" applyAlignment="1">
      <alignment horizontal="right"/>
    </xf>
    <xf numFmtId="3" fontId="8" fillId="0" borderId="13" xfId="0" applyNumberFormat="1" applyFont="1" applyBorder="1" applyAlignment="1">
      <alignment horizontal="right"/>
    </xf>
    <xf numFmtId="41" fontId="4" fillId="0" borderId="4" xfId="0" applyNumberFormat="1" applyFont="1" applyBorder="1" applyAlignment="1">
      <alignment horizontal="right"/>
    </xf>
    <xf numFmtId="175" fontId="4" fillId="0" borderId="13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164" fontId="5" fillId="0" borderId="13" xfId="0" applyNumberFormat="1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4" fillId="6" borderId="7" xfId="0" applyFont="1" applyFill="1" applyBorder="1" applyAlignment="1">
      <alignment horizontal="right"/>
    </xf>
    <xf numFmtId="0" fontId="6" fillId="6" borderId="9" xfId="0" applyFont="1" applyFill="1" applyBorder="1"/>
    <xf numFmtId="0" fontId="4" fillId="6" borderId="15" xfId="0" applyFont="1" applyFill="1" applyBorder="1"/>
    <xf numFmtId="0" fontId="4" fillId="6" borderId="15" xfId="0" applyFont="1" applyFill="1" applyBorder="1" applyAlignment="1">
      <alignment horizontal="right"/>
    </xf>
    <xf numFmtId="0" fontId="6" fillId="0" borderId="3" xfId="0" applyFont="1" applyBorder="1" applyAlignment="1">
      <alignment horizontal="left" indent="1"/>
    </xf>
    <xf numFmtId="0" fontId="4" fillId="0" borderId="6" xfId="0" applyFont="1" applyBorder="1" applyAlignment="1">
      <alignment horizontal="left" indent="4"/>
    </xf>
    <xf numFmtId="0" fontId="6" fillId="0" borderId="3" xfId="0" applyFont="1" applyBorder="1" applyAlignment="1">
      <alignment horizontal="left" indent="2"/>
    </xf>
    <xf numFmtId="168" fontId="6" fillId="5" borderId="7" xfId="0" applyNumberFormat="1" applyFont="1" applyFill="1" applyBorder="1" applyAlignment="1">
      <alignment horizontal="center"/>
    </xf>
    <xf numFmtId="43" fontId="4" fillId="5" borderId="13" xfId="0" applyNumberFormat="1" applyFont="1" applyFill="1" applyBorder="1"/>
    <xf numFmtId="0" fontId="4" fillId="5" borderId="4" xfId="0" applyFont="1" applyFill="1" applyBorder="1"/>
    <xf numFmtId="176" fontId="6" fillId="0" borderId="1" xfId="0" applyNumberFormat="1" applyFont="1" applyBorder="1" applyAlignment="1">
      <alignment horizontal="center"/>
    </xf>
    <xf numFmtId="43" fontId="6" fillId="0" borderId="1" xfId="0" applyNumberFormat="1" applyFont="1" applyBorder="1" applyAlignment="1">
      <alignment horizontal="center"/>
    </xf>
    <xf numFmtId="166" fontId="8" fillId="0" borderId="14" xfId="0" applyNumberFormat="1" applyFont="1" applyBorder="1" applyAlignment="1">
      <alignment horizontal="right"/>
    </xf>
    <xf numFmtId="166" fontId="8" fillId="3" borderId="14" xfId="0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left" indent="4"/>
    </xf>
    <xf numFmtId="177" fontId="9" fillId="0" borderId="0" xfId="0" applyNumberFormat="1" applyFont="1" applyAlignment="1">
      <alignment horizontal="right"/>
    </xf>
    <xf numFmtId="37" fontId="4" fillId="4" borderId="14" xfId="0" applyNumberFormat="1" applyFont="1" applyFill="1" applyBorder="1" applyAlignment="1">
      <alignment horizontal="center"/>
    </xf>
    <xf numFmtId="39" fontId="4" fillId="4" borderId="14" xfId="0" applyNumberFormat="1" applyFont="1" applyFill="1" applyBorder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left" indent="1"/>
    </xf>
    <xf numFmtId="167" fontId="6" fillId="4" borderId="0" xfId="0" applyNumberFormat="1" applyFont="1" applyFill="1"/>
    <xf numFmtId="0" fontId="0" fillId="4" borderId="0" xfId="0" applyFill="1"/>
    <xf numFmtId="0" fontId="6" fillId="0" borderId="18" xfId="0" applyFont="1" applyBorder="1"/>
    <xf numFmtId="0" fontId="6" fillId="3" borderId="19" xfId="0" applyFont="1" applyFill="1" applyBorder="1"/>
    <xf numFmtId="0" fontId="6" fillId="0" borderId="19" xfId="0" applyFont="1" applyBorder="1"/>
    <xf numFmtId="0" fontId="4" fillId="0" borderId="19" xfId="0" applyFont="1" applyBorder="1" applyAlignment="1">
      <alignment horizontal="left" indent="1"/>
    </xf>
    <xf numFmtId="0" fontId="4" fillId="0" borderId="19" xfId="0" applyFont="1" applyBorder="1"/>
    <xf numFmtId="0" fontId="6" fillId="4" borderId="19" xfId="0" applyFont="1" applyFill="1" applyBorder="1"/>
    <xf numFmtId="41" fontId="4" fillId="0" borderId="0" xfId="0" applyNumberFormat="1" applyFont="1" applyAlignment="1">
      <alignment horizontal="right"/>
    </xf>
    <xf numFmtId="3" fontId="4" fillId="0" borderId="5" xfId="0" applyNumberFormat="1" applyFont="1" applyBorder="1"/>
    <xf numFmtId="178" fontId="8" fillId="0" borderId="0" xfId="0" applyNumberFormat="1" applyFont="1" applyAlignment="1">
      <alignment horizontal="center"/>
    </xf>
    <xf numFmtId="41" fontId="5" fillId="0" borderId="0" xfId="1" applyNumberFormat="1" applyFont="1" applyFill="1" applyBorder="1"/>
    <xf numFmtId="41" fontId="5" fillId="0" borderId="13" xfId="1" applyNumberFormat="1" applyFont="1" applyFill="1" applyBorder="1"/>
    <xf numFmtId="10" fontId="17" fillId="0" borderId="13" xfId="1" applyNumberFormat="1" applyFont="1" applyFill="1" applyBorder="1" applyAlignment="1">
      <alignment horizontal="right"/>
    </xf>
    <xf numFmtId="0" fontId="6" fillId="6" borderId="15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3" fontId="5" fillId="0" borderId="13" xfId="0" applyNumberFormat="1" applyFont="1" applyBorder="1" applyAlignment="1">
      <alignment horizontal="right"/>
    </xf>
    <xf numFmtId="6" fontId="4" fillId="4" borderId="14" xfId="0" applyNumberFormat="1" applyFont="1" applyFill="1" applyBorder="1" applyAlignment="1">
      <alignment horizontal="center"/>
    </xf>
    <xf numFmtId="8" fontId="4" fillId="0" borderId="13" xfId="0" applyNumberFormat="1" applyFont="1" applyBorder="1" applyAlignment="1">
      <alignment horizontal="center"/>
    </xf>
    <xf numFmtId="10" fontId="5" fillId="0" borderId="13" xfId="0" applyNumberFormat="1" applyFont="1" applyBorder="1" applyAlignment="1">
      <alignment horizontal="right"/>
    </xf>
    <xf numFmtId="0" fontId="4" fillId="0" borderId="13" xfId="0" applyFont="1" applyBorder="1"/>
    <xf numFmtId="179" fontId="8" fillId="0" borderId="13" xfId="1" applyNumberFormat="1" applyFont="1" applyBorder="1" applyAlignment="1">
      <alignment horizontal="right"/>
    </xf>
    <xf numFmtId="179" fontId="5" fillId="0" borderId="13" xfId="0" applyNumberFormat="1" applyFont="1" applyBorder="1"/>
    <xf numFmtId="179" fontId="5" fillId="0" borderId="13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3" fontId="4" fillId="0" borderId="13" xfId="0" applyNumberFormat="1" applyFont="1" applyBorder="1"/>
    <xf numFmtId="167" fontId="5" fillId="0" borderId="13" xfId="0" applyNumberFormat="1" applyFont="1" applyBorder="1" applyAlignment="1">
      <alignment horizontal="right"/>
    </xf>
    <xf numFmtId="180" fontId="5" fillId="0" borderId="13" xfId="0" applyNumberFormat="1" applyFont="1" applyBorder="1" applyAlignment="1">
      <alignment horizontal="right"/>
    </xf>
    <xf numFmtId="6" fontId="4" fillId="0" borderId="14" xfId="0" applyNumberFormat="1" applyFont="1" applyBorder="1" applyAlignment="1">
      <alignment horizontal="center"/>
    </xf>
    <xf numFmtId="0" fontId="4" fillId="0" borderId="6" xfId="0" applyFont="1" applyBorder="1" applyAlignment="1">
      <alignment horizontal="left" indent="1"/>
    </xf>
    <xf numFmtId="3" fontId="4" fillId="0" borderId="4" xfId="0" applyNumberFormat="1" applyFont="1" applyBorder="1" applyAlignment="1">
      <alignment horizontal="right"/>
    </xf>
    <xf numFmtId="6" fontId="4" fillId="0" borderId="10" xfId="0" applyNumberFormat="1" applyFont="1" applyBorder="1" applyAlignment="1">
      <alignment horizontal="center"/>
    </xf>
    <xf numFmtId="8" fontId="4" fillId="0" borderId="4" xfId="0" applyNumberFormat="1" applyFont="1" applyBorder="1" applyAlignment="1">
      <alignment horizontal="center"/>
    </xf>
    <xf numFmtId="0" fontId="4" fillId="0" borderId="19" xfId="0" quotePrefix="1" applyFont="1" applyBorder="1" applyAlignment="1">
      <alignment horizontal="left" indent="1"/>
    </xf>
    <xf numFmtId="37" fontId="19" fillId="0" borderId="0" xfId="0" applyNumberFormat="1" applyFont="1" applyAlignment="1">
      <alignment horizontal="right"/>
    </xf>
    <xf numFmtId="9" fontId="13" fillId="0" borderId="1" xfId="1" applyFont="1" applyBorder="1" applyAlignment="1">
      <alignment horizontal="right"/>
    </xf>
    <xf numFmtId="41" fontId="13" fillId="4" borderId="2" xfId="0" applyNumberFormat="1" applyFont="1" applyFill="1" applyBorder="1" applyAlignment="1">
      <alignment horizontal="right"/>
    </xf>
    <xf numFmtId="41" fontId="8" fillId="0" borderId="14" xfId="0" applyNumberFormat="1" applyFont="1" applyBorder="1" applyAlignment="1">
      <alignment horizontal="right"/>
    </xf>
    <xf numFmtId="2" fontId="4" fillId="0" borderId="3" xfId="0" applyNumberFormat="1" applyFont="1" applyBorder="1" applyAlignment="1">
      <alignment horizontal="left"/>
    </xf>
    <xf numFmtId="2" fontId="16" fillId="0" borderId="1" xfId="0" applyNumberFormat="1" applyFont="1" applyBorder="1" applyAlignment="1">
      <alignment horizontal="right"/>
    </xf>
    <xf numFmtId="2" fontId="16" fillId="0" borderId="2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0" borderId="0" xfId="0" applyNumberFormat="1" applyFont="1"/>
    <xf numFmtId="2" fontId="4" fillId="0" borderId="3" xfId="0" applyNumberFormat="1" applyFont="1" applyBorder="1" applyAlignment="1">
      <alignment horizontal="left" indent="1"/>
    </xf>
    <xf numFmtId="0" fontId="20" fillId="0" borderId="0" xfId="0" applyFont="1"/>
    <xf numFmtId="0" fontId="20" fillId="0" borderId="0" xfId="0" applyFont="1" applyAlignment="1">
      <alignment horizontal="right"/>
    </xf>
    <xf numFmtId="0" fontId="20" fillId="0" borderId="3" xfId="0" applyFont="1" applyBorder="1"/>
    <xf numFmtId="41" fontId="21" fillId="0" borderId="1" xfId="0" applyNumberFormat="1" applyFont="1" applyBorder="1" applyAlignment="1">
      <alignment horizontal="right"/>
    </xf>
    <xf numFmtId="9" fontId="21" fillId="0" borderId="1" xfId="1" applyFont="1" applyBorder="1" applyAlignment="1">
      <alignment horizontal="right"/>
    </xf>
    <xf numFmtId="41" fontId="21" fillId="4" borderId="2" xfId="0" applyNumberFormat="1" applyFont="1" applyFill="1" applyBorder="1" applyAlignment="1">
      <alignment horizontal="right"/>
    </xf>
    <xf numFmtId="41" fontId="22" fillId="0" borderId="14" xfId="0" applyNumberFormat="1" applyFont="1" applyBorder="1" applyAlignment="1">
      <alignment horizontal="right"/>
    </xf>
    <xf numFmtId="41" fontId="22" fillId="0" borderId="0" xfId="0" applyNumberFormat="1" applyFont="1" applyAlignment="1">
      <alignment horizontal="right"/>
    </xf>
    <xf numFmtId="41" fontId="22" fillId="5" borderId="13" xfId="0" applyNumberFormat="1" applyFont="1" applyFill="1" applyBorder="1" applyAlignment="1">
      <alignment horizontal="right"/>
    </xf>
    <xf numFmtId="180" fontId="22" fillId="0" borderId="0" xfId="0" applyNumberFormat="1" applyFont="1" applyAlignment="1">
      <alignment horizontal="right"/>
    </xf>
    <xf numFmtId="167" fontId="22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6"/>
  <sheetViews>
    <sheetView showGridLines="0" tabSelected="1" zoomScale="80" zoomScaleNormal="80" workbookViewId="0">
      <selection activeCell="M23" sqref="M23"/>
    </sheetView>
  </sheetViews>
  <sheetFormatPr defaultColWidth="0" defaultRowHeight="14.4" zeroHeight="1"/>
  <cols>
    <col min="1" max="1" width="3.5546875" customWidth="1"/>
    <col min="2" max="2" width="30" bestFit="1" customWidth="1"/>
    <col min="3" max="3" width="16.109375" style="1" bestFit="1" customWidth="1"/>
    <col min="4" max="4" width="12.109375" style="1" bestFit="1" customWidth="1"/>
    <col min="5" max="5" width="12.44140625" style="1" bestFit="1" customWidth="1"/>
    <col min="6" max="6" width="12.109375" style="1" bestFit="1" customWidth="1"/>
    <col min="7" max="7" width="26" style="1" bestFit="1" customWidth="1"/>
    <col min="8" max="8" width="16" style="1" bestFit="1" customWidth="1"/>
    <col min="9" max="9" width="15.6640625" style="1" customWidth="1"/>
    <col min="10" max="19" width="15.6640625" customWidth="1"/>
    <col min="20" max="20" width="2.6640625" customWidth="1"/>
    <col min="21" max="21" width="12.44140625" hidden="1" customWidth="1"/>
    <col min="22" max="16384" width="9.109375" hidden="1"/>
  </cols>
  <sheetData>
    <row r="1" spans="1:19"/>
    <row r="2" spans="1:19" s="2" customFormat="1" ht="13.8">
      <c r="B2" s="37" t="s">
        <v>75</v>
      </c>
      <c r="C2" s="36"/>
      <c r="D2" s="36"/>
      <c r="E2" s="36"/>
      <c r="F2" s="36"/>
      <c r="G2" s="36"/>
      <c r="H2" s="36"/>
      <c r="I2" s="36"/>
      <c r="J2" s="35"/>
      <c r="K2" s="35"/>
      <c r="L2" s="35"/>
      <c r="M2" s="35"/>
      <c r="N2" s="35"/>
      <c r="O2" s="35"/>
      <c r="P2" s="35"/>
      <c r="Q2" s="35"/>
      <c r="R2" s="35"/>
      <c r="S2" s="34" t="s">
        <v>73</v>
      </c>
    </row>
    <row r="3" spans="1:19" s="3" customFormat="1" ht="13.8">
      <c r="C3" s="4"/>
      <c r="D3" s="4"/>
      <c r="E3" s="4"/>
      <c r="F3" s="4"/>
      <c r="G3" s="4"/>
      <c r="H3" s="4"/>
      <c r="I3" s="4"/>
    </row>
    <row r="4" spans="1:19" s="3" customFormat="1" ht="13.8">
      <c r="B4" s="137" t="s">
        <v>50</v>
      </c>
      <c r="C4" s="136"/>
      <c r="D4" s="139"/>
      <c r="E4" s="138"/>
      <c r="G4" s="137" t="s">
        <v>79</v>
      </c>
      <c r="H4" s="136"/>
      <c r="I4" s="170" t="s">
        <v>56</v>
      </c>
      <c r="J4" s="171" t="s">
        <v>57</v>
      </c>
      <c r="L4" s="137" t="s">
        <v>76</v>
      </c>
      <c r="M4" s="136"/>
    </row>
    <row r="5" spans="1:19" s="3" customFormat="1" ht="13.8">
      <c r="B5" s="42" t="s">
        <v>0</v>
      </c>
      <c r="C5" s="135">
        <v>325</v>
      </c>
      <c r="D5" s="125"/>
      <c r="E5" s="124"/>
      <c r="G5" s="42" t="s">
        <v>80</v>
      </c>
      <c r="H5" s="172">
        <f>H21</f>
        <v>67988846.405181587</v>
      </c>
      <c r="I5" s="173">
        <f>+H5/$C$5</f>
        <v>209196.45047748182</v>
      </c>
      <c r="J5" s="174">
        <f>+I5/$C$6</f>
        <v>264.47086027494544</v>
      </c>
      <c r="L5" s="133" t="s">
        <v>51</v>
      </c>
      <c r="M5" s="120">
        <f>IRR(H105:R105)</f>
        <v>8.3981278575568696E-2</v>
      </c>
    </row>
    <row r="6" spans="1:19" s="3" customFormat="1" ht="15" customHeight="1">
      <c r="B6" s="42" t="s">
        <v>1</v>
      </c>
      <c r="C6" s="134">
        <v>791</v>
      </c>
      <c r="D6" s="125"/>
      <c r="E6" s="124"/>
      <c r="G6" s="42" t="s">
        <v>81</v>
      </c>
      <c r="H6" s="175">
        <v>5.2499999999999998E-2</v>
      </c>
      <c r="I6" s="125"/>
      <c r="J6" s="176"/>
      <c r="L6" s="133" t="s">
        <v>52</v>
      </c>
      <c r="M6" s="132">
        <f>SUMIF($H$105:$R$105,"&gt;0")/-SUMIF($H$105:$R$105,"&lt;0")</f>
        <v>1.9637221941540393</v>
      </c>
    </row>
    <row r="7" spans="1:19" s="3" customFormat="1" ht="15" customHeight="1">
      <c r="B7" s="42" t="s">
        <v>53</v>
      </c>
      <c r="C7" s="119"/>
      <c r="D7" s="125"/>
      <c r="E7" s="124"/>
      <c r="G7" s="42" t="s">
        <v>82</v>
      </c>
      <c r="H7" s="177">
        <f>R40*12</f>
        <v>120</v>
      </c>
      <c r="I7" s="125"/>
      <c r="J7" s="176"/>
      <c r="L7" s="40" t="s">
        <v>54</v>
      </c>
      <c r="M7" s="131">
        <f>SUM(H105:R105)</f>
        <v>109691960.98786277</v>
      </c>
    </row>
    <row r="8" spans="1:19" s="3" customFormat="1" ht="15" customHeight="1">
      <c r="B8" s="116" t="s">
        <v>55</v>
      </c>
      <c r="C8" s="129"/>
      <c r="D8" s="114" t="s">
        <v>56</v>
      </c>
      <c r="E8" s="114" t="s">
        <v>57</v>
      </c>
      <c r="G8" s="42" t="s">
        <v>83</v>
      </c>
      <c r="H8" s="178">
        <v>360</v>
      </c>
      <c r="I8" s="124"/>
      <c r="J8" s="176"/>
    </row>
    <row r="9" spans="1:19" s="3" customFormat="1" ht="15" customHeight="1">
      <c r="B9" s="42" t="s">
        <v>37</v>
      </c>
      <c r="C9" s="130">
        <f>I83/C11</f>
        <v>110505963.38736713</v>
      </c>
      <c r="D9" s="127">
        <f>C9/$C$5</f>
        <v>340018.34888420656</v>
      </c>
      <c r="E9" s="126">
        <f>C9/($C$5*$C$6)</f>
        <v>429.85884814691093</v>
      </c>
      <c r="F9" s="4"/>
      <c r="G9" s="42" t="s">
        <v>84</v>
      </c>
      <c r="H9" s="179">
        <v>60</v>
      </c>
      <c r="I9" s="57"/>
      <c r="J9" s="176"/>
      <c r="L9" s="137" t="s">
        <v>77</v>
      </c>
      <c r="M9" s="136"/>
    </row>
    <row r="10" spans="1:19" s="3" customFormat="1" ht="15" customHeight="1">
      <c r="B10" s="42" t="s">
        <v>38</v>
      </c>
      <c r="C10" s="119">
        <v>0.03</v>
      </c>
      <c r="D10" s="125"/>
      <c r="E10" s="124"/>
      <c r="F10" s="4"/>
      <c r="G10" s="42" t="s">
        <v>85</v>
      </c>
      <c r="H10" s="180">
        <f>H6/12*H5</f>
        <v>297451.20302266942</v>
      </c>
      <c r="I10" s="57"/>
      <c r="J10" s="176"/>
      <c r="L10" s="133" t="s">
        <v>78</v>
      </c>
      <c r="M10" s="120">
        <f>IRR(H108:R108)</f>
        <v>0.11956112618286618</v>
      </c>
    </row>
    <row r="11" spans="1:19" s="3" customFormat="1" ht="15" customHeight="1">
      <c r="A11" s="3" t="s">
        <v>49</v>
      </c>
      <c r="B11" s="42" t="s">
        <v>58</v>
      </c>
      <c r="C11" s="169">
        <v>5.2999999999999999E-2</v>
      </c>
      <c r="D11" s="125"/>
      <c r="E11" s="124"/>
      <c r="F11" s="4"/>
      <c r="G11" s="42" t="s">
        <v>86</v>
      </c>
      <c r="H11" s="180">
        <f>PMT(H6/12,H8,-H5)</f>
        <v>375436.92689298163</v>
      </c>
      <c r="I11" s="57"/>
      <c r="J11" s="176"/>
      <c r="L11" s="133" t="s">
        <v>52</v>
      </c>
      <c r="M11" s="132">
        <f>SUMIF($H$108:$R$108,"&gt;0")/-SUMIF($H$108:$R$108,"&lt;0")</f>
        <v>2.6288982302278323</v>
      </c>
    </row>
    <row r="12" spans="1:19" s="3" customFormat="1" ht="15" customHeight="1">
      <c r="B12" s="116" t="s">
        <v>59</v>
      </c>
      <c r="C12" s="129"/>
      <c r="D12" s="114" t="s">
        <v>56</v>
      </c>
      <c r="E12" s="114" t="s">
        <v>57</v>
      </c>
      <c r="F12" s="4"/>
      <c r="G12" s="42" t="s">
        <v>87</v>
      </c>
      <c r="H12" s="181">
        <f>PV(H6/12,H8-H7+H9,-H11)</f>
        <v>62651373.945694424</v>
      </c>
      <c r="I12" s="124"/>
      <c r="J12" s="176"/>
      <c r="L12" s="40" t="s">
        <v>54</v>
      </c>
      <c r="M12" s="131">
        <f>SUM(H108:R108)</f>
        <v>74656145.652410865</v>
      </c>
    </row>
    <row r="13" spans="1:19" s="3" customFormat="1" ht="15" customHeight="1">
      <c r="B13" s="42" t="s">
        <v>60</v>
      </c>
      <c r="C13" s="119">
        <v>5.6000000000000001E-2</v>
      </c>
      <c r="D13" s="125"/>
      <c r="E13" s="124"/>
      <c r="F13" s="4"/>
      <c r="G13" s="116" t="s">
        <v>88</v>
      </c>
      <c r="H13" s="129"/>
      <c r="I13" s="170" t="s">
        <v>56</v>
      </c>
      <c r="J13" s="171" t="s">
        <v>57</v>
      </c>
    </row>
    <row r="14" spans="1:19" s="3" customFormat="1" ht="15" customHeight="1">
      <c r="B14" s="42" t="s">
        <v>46</v>
      </c>
      <c r="C14" s="128">
        <f>S83/C13</f>
        <v>156507731.04500583</v>
      </c>
      <c r="D14" s="127">
        <f>C14/$C$5</f>
        <v>481562.24936924869</v>
      </c>
      <c r="E14" s="126">
        <f>C14/($C$5*$C$6)</f>
        <v>608.80183232521961</v>
      </c>
      <c r="F14" s="4"/>
      <c r="G14" s="42" t="s">
        <v>89</v>
      </c>
      <c r="H14" s="182">
        <v>0.65</v>
      </c>
      <c r="I14" s="173"/>
      <c r="J14" s="174"/>
    </row>
    <row r="15" spans="1:19" s="3" customFormat="1" ht="15" customHeight="1">
      <c r="B15" s="42" t="s">
        <v>61</v>
      </c>
      <c r="C15" s="119">
        <v>0.03</v>
      </c>
      <c r="D15" s="125"/>
      <c r="E15" s="124"/>
      <c r="F15" s="4"/>
      <c r="G15" s="42" t="s">
        <v>90</v>
      </c>
      <c r="H15" s="183">
        <v>1.3</v>
      </c>
      <c r="I15" s="57"/>
      <c r="J15" s="176"/>
    </row>
    <row r="16" spans="1:19" s="3" customFormat="1" ht="15" customHeight="1">
      <c r="B16" s="116" t="s">
        <v>62</v>
      </c>
      <c r="C16" s="115"/>
      <c r="D16" s="114" t="s">
        <v>63</v>
      </c>
      <c r="E16" s="114" t="s">
        <v>64</v>
      </c>
      <c r="F16" s="4"/>
      <c r="G16" s="42" t="s">
        <v>91</v>
      </c>
      <c r="H16" s="175">
        <v>0.08</v>
      </c>
      <c r="I16" s="57"/>
      <c r="J16" s="176"/>
    </row>
    <row r="17" spans="2:10" s="3" customFormat="1" ht="15" customHeight="1">
      <c r="B17" s="140" t="s">
        <v>65</v>
      </c>
      <c r="C17" s="104"/>
      <c r="D17" s="57"/>
      <c r="E17" s="124"/>
      <c r="F17" s="4"/>
      <c r="G17" s="42"/>
      <c r="H17" s="104"/>
      <c r="I17" s="57"/>
      <c r="J17" s="176"/>
    </row>
    <row r="18" spans="2:10" s="3" customFormat="1" ht="15" customHeight="1">
      <c r="B18" s="113" t="s">
        <v>5</v>
      </c>
      <c r="C18" s="104"/>
      <c r="D18" s="57"/>
      <c r="E18" s="124"/>
      <c r="F18" s="4"/>
      <c r="G18" s="42" t="str">
        <f>"Loan Amount @ "&amp;TEXT(H14,"0.00%")&amp;" LTV"</f>
        <v>Loan Amount @ 65.00% LTV</v>
      </c>
      <c r="H18" s="180">
        <f>H14*C9</f>
        <v>71828876.201788634</v>
      </c>
      <c r="I18" s="184">
        <f t="shared" ref="I18:I21" si="0">+H18/$C$5</f>
        <v>221011.92677473425</v>
      </c>
      <c r="J18" s="174">
        <f t="shared" ref="J18:J21" si="1">+I18/$C$6</f>
        <v>279.40825129549211</v>
      </c>
    </row>
    <row r="19" spans="2:10" s="3" customFormat="1" ht="15" customHeight="1">
      <c r="B19" s="118" t="s">
        <v>6</v>
      </c>
      <c r="C19" s="119">
        <v>3.2500000000000001E-2</v>
      </c>
      <c r="D19" s="111">
        <f>I50/C5</f>
        <v>29580.923076923078</v>
      </c>
      <c r="E19" s="110">
        <f>I50/(C6*C5)</f>
        <v>37.396868618107554</v>
      </c>
      <c r="F19" s="4"/>
      <c r="G19" s="42" t="str">
        <f>"Loan Amount @ "&amp;TEXT(H15,"0.00X")&amp;" DSCR"</f>
        <v>Loan Amount @ 1.30X DSCR</v>
      </c>
      <c r="H19" s="180">
        <f>-PV(H6/12,H8,I83/12/H15)</f>
        <v>67988846.405181587</v>
      </c>
      <c r="I19" s="184">
        <f t="shared" si="0"/>
        <v>209196.45047748182</v>
      </c>
      <c r="J19" s="174">
        <f t="shared" si="1"/>
        <v>264.47086027494544</v>
      </c>
    </row>
    <row r="20" spans="2:10" s="3" customFormat="1" ht="15" customHeight="1">
      <c r="B20" s="118" t="s">
        <v>7</v>
      </c>
      <c r="C20" s="123">
        <f>I51/-I50</f>
        <v>1.2916744679523185E-2</v>
      </c>
      <c r="D20" s="152">
        <f>I51/C5</f>
        <v>-382.08923076923077</v>
      </c>
      <c r="E20" s="153">
        <f>I51/(C5*C6)</f>
        <v>-0.48304580375376838</v>
      </c>
      <c r="F20" s="4"/>
      <c r="G20" s="42" t="str">
        <f>"Loan Amount @ "&amp;TEXT(H16,"0.00%")&amp;" DY"</f>
        <v>Loan Amount @ 8.00% DY</v>
      </c>
      <c r="H20" s="180">
        <f>I83/H16</f>
        <v>73210200.744130716</v>
      </c>
      <c r="I20" s="184">
        <f t="shared" si="0"/>
        <v>225262.15613578682</v>
      </c>
      <c r="J20" s="174">
        <f t="shared" si="1"/>
        <v>284.78148689732848</v>
      </c>
    </row>
    <row r="21" spans="2:10" s="3" customFormat="1" ht="15" customHeight="1">
      <c r="B21" s="118" t="s">
        <v>9</v>
      </c>
      <c r="C21" s="122" t="s">
        <v>71</v>
      </c>
      <c r="D21" s="152"/>
      <c r="E21" s="153"/>
      <c r="F21" s="4"/>
      <c r="G21" s="185" t="s">
        <v>92</v>
      </c>
      <c r="H21" s="186">
        <f>MIN(H18:H20)</f>
        <v>67988846.405181587</v>
      </c>
      <c r="I21" s="187">
        <f t="shared" si="0"/>
        <v>209196.45047748182</v>
      </c>
      <c r="J21" s="188">
        <f t="shared" si="1"/>
        <v>264.47086027494544</v>
      </c>
    </row>
    <row r="22" spans="2:10" s="3" customFormat="1" ht="15" customHeight="1">
      <c r="B22" s="113" t="s">
        <v>11</v>
      </c>
      <c r="C22" s="104"/>
      <c r="D22" s="152"/>
      <c r="E22" s="153"/>
      <c r="F22" s="4"/>
      <c r="G22" s="4"/>
      <c r="H22" s="4"/>
      <c r="I22" s="4"/>
    </row>
    <row r="23" spans="2:10" s="3" customFormat="1" ht="15" customHeight="1">
      <c r="B23" s="118" t="s">
        <v>12</v>
      </c>
      <c r="C23" s="119">
        <v>2.5000000000000001E-2</v>
      </c>
      <c r="D23" s="152">
        <f>$I57/$C$5</f>
        <v>780</v>
      </c>
      <c r="E23" s="153">
        <f>$I57/($C$5*$C$6)</f>
        <v>0.98609355246523389</v>
      </c>
      <c r="F23" s="4"/>
      <c r="G23" s="4"/>
      <c r="H23" s="4"/>
      <c r="I23" s="4"/>
    </row>
    <row r="24" spans="2:10" s="3" customFormat="1" ht="15" customHeight="1">
      <c r="B24" s="118" t="s">
        <v>66</v>
      </c>
      <c r="C24" s="119">
        <v>0.03</v>
      </c>
      <c r="D24" s="152">
        <f>$I58/$C$5</f>
        <v>431.71261538461539</v>
      </c>
      <c r="E24" s="153">
        <f>$I58/($C$5*$C$6)</f>
        <v>0.54578080326752898</v>
      </c>
      <c r="F24" s="4"/>
      <c r="G24" s="4"/>
      <c r="H24" s="4"/>
      <c r="I24" s="4"/>
    </row>
    <row r="25" spans="2:10" s="3" customFormat="1" ht="15" customHeight="1">
      <c r="B25" s="118" t="s">
        <v>13</v>
      </c>
      <c r="C25" s="119">
        <v>0.03</v>
      </c>
      <c r="D25" s="152">
        <f>$I59/$C$5</f>
        <v>541.93846153846152</v>
      </c>
      <c r="E25" s="153">
        <f>$I59/($C$5*$C$6)</f>
        <v>0.68513079840513469</v>
      </c>
      <c r="F25" s="4"/>
      <c r="G25" s="4"/>
      <c r="H25" s="4"/>
      <c r="I25" s="4"/>
    </row>
    <row r="26" spans="2:10" s="3" customFormat="1" ht="15" customHeight="1">
      <c r="B26" s="118" t="s">
        <v>14</v>
      </c>
      <c r="C26" s="119">
        <v>0.03</v>
      </c>
      <c r="D26" s="152">
        <f>$I60/$C$5</f>
        <v>1026.8307692307692</v>
      </c>
      <c r="E26" s="153">
        <f>$I60/($C$5*$C$6)</f>
        <v>1.2981425653992025</v>
      </c>
      <c r="F26" s="4"/>
      <c r="G26" s="4"/>
      <c r="H26" s="4"/>
      <c r="I26" s="4"/>
    </row>
    <row r="27" spans="2:10" s="3" customFormat="1" ht="15" customHeight="1">
      <c r="B27" s="142" t="s">
        <v>18</v>
      </c>
      <c r="C27" s="121">
        <v>0.05</v>
      </c>
      <c r="D27" s="152"/>
      <c r="E27" s="153"/>
      <c r="F27" s="4"/>
      <c r="G27" s="4"/>
      <c r="H27" s="4"/>
      <c r="I27" s="4"/>
    </row>
    <row r="28" spans="2:10" s="3" customFormat="1" ht="15" customHeight="1">
      <c r="B28" s="140" t="s">
        <v>67</v>
      </c>
      <c r="C28" s="104"/>
      <c r="D28" s="152"/>
      <c r="E28" s="153"/>
      <c r="F28" s="4"/>
      <c r="G28" s="4"/>
      <c r="H28" s="164"/>
      <c r="I28" s="4"/>
    </row>
    <row r="29" spans="2:10" s="3" customFormat="1" ht="15" customHeight="1">
      <c r="B29" s="113" t="s">
        <v>21</v>
      </c>
      <c r="C29" s="119">
        <v>2.5000000000000001E-2</v>
      </c>
      <c r="D29" s="152">
        <f>SUM($I$69:$I$75)/$C$5</f>
        <v>4858.1324360218077</v>
      </c>
      <c r="E29" s="153">
        <f>SUM($I$69:$I$75)/($C$5*$C$6)</f>
        <v>6.1417603489529808</v>
      </c>
      <c r="F29" s="4"/>
      <c r="G29" s="4"/>
      <c r="H29" s="105"/>
      <c r="I29" s="10"/>
    </row>
    <row r="30" spans="2:10" s="3" customFormat="1" ht="15" customHeight="1">
      <c r="B30" s="113" t="s">
        <v>29</v>
      </c>
      <c r="C30" s="120"/>
      <c r="D30" s="152"/>
      <c r="E30" s="153"/>
      <c r="F30" s="4"/>
      <c r="G30" s="4"/>
      <c r="H30" s="4"/>
      <c r="I30" s="4"/>
      <c r="J30" s="3" t="s">
        <v>69</v>
      </c>
    </row>
    <row r="31" spans="2:10" s="3" customFormat="1" ht="15" customHeight="1">
      <c r="B31" s="118" t="s">
        <v>30</v>
      </c>
      <c r="D31" s="152">
        <f>$I77/$C$5</f>
        <v>5095.3846153846152</v>
      </c>
      <c r="E31" s="153">
        <f>$I77/($C$5*$C$6)</f>
        <v>6.4416998930273266</v>
      </c>
      <c r="F31" s="4"/>
      <c r="G31" s="4"/>
      <c r="H31" s="4"/>
      <c r="I31" s="4"/>
    </row>
    <row r="32" spans="2:10" s="3" customFormat="1" ht="15" customHeight="1">
      <c r="B32" s="150" t="s">
        <v>53</v>
      </c>
      <c r="C32" s="119">
        <v>1.6E-2</v>
      </c>
      <c r="D32" s="152"/>
      <c r="E32" s="153"/>
      <c r="F32" s="4"/>
      <c r="G32" s="4"/>
      <c r="H32" s="4"/>
      <c r="I32" s="4"/>
    </row>
    <row r="33" spans="2:19" s="3" customFormat="1" ht="15" customHeight="1">
      <c r="B33" s="150" t="s">
        <v>72</v>
      </c>
      <c r="C33" s="119">
        <v>0.02</v>
      </c>
      <c r="D33" s="152"/>
      <c r="E33" s="153"/>
      <c r="F33" s="4"/>
      <c r="G33" s="4"/>
      <c r="H33" s="4"/>
      <c r="I33" s="4"/>
    </row>
    <row r="34" spans="2:19" s="3" customFormat="1" ht="15" customHeight="1">
      <c r="B34" s="118" t="s">
        <v>31</v>
      </c>
      <c r="C34" s="119">
        <v>0.02</v>
      </c>
      <c r="D34" s="152">
        <f>$I78/$C$5</f>
        <v>749.27345588447656</v>
      </c>
      <c r="E34" s="153">
        <f>$I78/($C$5*$C$6)</f>
        <v>0.94724836395003364</v>
      </c>
      <c r="F34" s="4"/>
      <c r="G34" s="10"/>
      <c r="H34" s="4"/>
      <c r="I34" s="4"/>
    </row>
    <row r="35" spans="2:19" s="3" customFormat="1" ht="15" customHeight="1">
      <c r="B35" s="118" t="s">
        <v>32</v>
      </c>
      <c r="C35" s="117">
        <v>0.03</v>
      </c>
      <c r="D35" s="152">
        <f>$I79/$C$5</f>
        <v>894.54937107692297</v>
      </c>
      <c r="E35" s="153">
        <f>$I79/($C$5*$C$6)</f>
        <v>1.1309094451035688</v>
      </c>
      <c r="F35" s="4"/>
      <c r="G35" s="10"/>
      <c r="H35" s="4"/>
      <c r="I35" s="78"/>
    </row>
    <row r="36" spans="2:19" s="3" customFormat="1" ht="15" customHeight="1">
      <c r="B36" s="118" t="s">
        <v>42</v>
      </c>
      <c r="C36" s="112">
        <v>200</v>
      </c>
      <c r="D36" s="152">
        <f>$I80/$C$5</f>
        <v>200</v>
      </c>
      <c r="E36" s="153">
        <f>$I80/($C$5*$C$6)</f>
        <v>0.25284450063211122</v>
      </c>
      <c r="F36" s="4"/>
      <c r="G36" s="10"/>
      <c r="H36" s="4"/>
      <c r="I36" s="78"/>
    </row>
    <row r="37" spans="2:19" s="3" customFormat="1" ht="15" customHeight="1">
      <c r="B37" s="141" t="s">
        <v>68</v>
      </c>
      <c r="C37" s="109">
        <v>0.02</v>
      </c>
      <c r="D37" s="108"/>
      <c r="E37" s="107"/>
      <c r="F37" s="4"/>
      <c r="G37" s="10"/>
      <c r="H37" s="10"/>
      <c r="I37" s="10"/>
    </row>
    <row r="38" spans="2:19" s="3" customFormat="1" ht="15" customHeight="1">
      <c r="C38" s="4"/>
      <c r="D38" s="4"/>
      <c r="E38" s="4"/>
      <c r="F38" s="4"/>
      <c r="G38" s="10"/>
      <c r="H38" s="4"/>
      <c r="I38" s="10"/>
    </row>
    <row r="39" spans="2:19" s="3" customFormat="1" ht="15" customHeight="1">
      <c r="C39" s="4"/>
      <c r="D39" s="4"/>
      <c r="E39" s="4"/>
      <c r="F39" s="4"/>
      <c r="G39" s="10"/>
      <c r="H39" s="4"/>
      <c r="I39" s="4"/>
    </row>
    <row r="40" spans="2:19" s="6" customFormat="1" ht="15" customHeight="1">
      <c r="B40" s="158" t="s">
        <v>2</v>
      </c>
      <c r="C40" s="33" t="s">
        <v>70</v>
      </c>
      <c r="D40" s="33">
        <v>2017</v>
      </c>
      <c r="E40" s="33" t="s">
        <v>40</v>
      </c>
      <c r="F40" s="32" t="s">
        <v>3</v>
      </c>
      <c r="G40" s="59" t="s">
        <v>41</v>
      </c>
      <c r="H40" s="106">
        <v>0</v>
      </c>
      <c r="I40" s="106">
        <v>1</v>
      </c>
      <c r="J40" s="106">
        <v>2</v>
      </c>
      <c r="K40" s="106">
        <v>3</v>
      </c>
      <c r="L40" s="106">
        <v>4</v>
      </c>
      <c r="M40" s="106">
        <v>5</v>
      </c>
      <c r="N40" s="106">
        <v>6</v>
      </c>
      <c r="O40" s="106">
        <v>7</v>
      </c>
      <c r="P40" s="106">
        <v>8</v>
      </c>
      <c r="Q40" s="106">
        <v>9</v>
      </c>
      <c r="R40" s="106">
        <v>10</v>
      </c>
      <c r="S40" s="143">
        <v>11</v>
      </c>
    </row>
    <row r="41" spans="2:19" s="6" customFormat="1" ht="15" customHeight="1">
      <c r="B41" s="159" t="s">
        <v>35</v>
      </c>
      <c r="C41" s="7"/>
      <c r="D41" s="7"/>
      <c r="E41" s="7"/>
      <c r="F41" s="14"/>
      <c r="G41" s="58"/>
      <c r="H41" s="101"/>
      <c r="I41" s="103"/>
      <c r="J41" s="102"/>
      <c r="K41" s="102"/>
      <c r="L41" s="102"/>
      <c r="M41" s="102"/>
      <c r="N41" s="102"/>
      <c r="O41" s="101"/>
      <c r="P41" s="101"/>
      <c r="Q41" s="101"/>
      <c r="R41" s="101"/>
      <c r="S41" s="100"/>
    </row>
    <row r="42" spans="2:19" s="6" customFormat="1" ht="15" customHeight="1">
      <c r="B42" s="160" t="s">
        <v>36</v>
      </c>
      <c r="C42" s="5"/>
      <c r="D42" s="5"/>
      <c r="E42" s="5"/>
      <c r="F42" s="13"/>
      <c r="G42" s="47"/>
      <c r="H42" s="105"/>
      <c r="I42" s="4"/>
      <c r="J42" s="3"/>
      <c r="K42" s="3"/>
      <c r="L42" s="3"/>
      <c r="M42" s="3"/>
      <c r="N42" s="3"/>
      <c r="O42" s="4"/>
      <c r="P42" s="4"/>
      <c r="Q42" s="4"/>
      <c r="R42" s="4"/>
      <c r="S42" s="99"/>
    </row>
    <row r="43" spans="2:19" s="6" customFormat="1" ht="15" customHeight="1">
      <c r="B43" s="161" t="s">
        <v>37</v>
      </c>
      <c r="C43" s="5"/>
      <c r="D43" s="5"/>
      <c r="E43" s="5"/>
      <c r="F43" s="13"/>
      <c r="G43" s="47"/>
      <c r="H43" s="105">
        <f>-C9</f>
        <v>-110505963.38736713</v>
      </c>
      <c r="I43" s="4"/>
      <c r="J43" s="3"/>
      <c r="K43" s="3"/>
      <c r="L43" s="3"/>
      <c r="M43" s="3"/>
      <c r="N43" s="3"/>
      <c r="O43" s="4"/>
      <c r="P43" s="4"/>
      <c r="Q43" s="4"/>
      <c r="R43" s="4"/>
      <c r="S43" s="99"/>
    </row>
    <row r="44" spans="2:19" s="6" customFormat="1" ht="15" customHeight="1">
      <c r="B44" s="161" t="s">
        <v>38</v>
      </c>
      <c r="C44" s="5"/>
      <c r="D44" s="5"/>
      <c r="E44" s="146"/>
      <c r="F44" s="13"/>
      <c r="G44" s="47"/>
      <c r="H44" s="94">
        <f>H43*C10</f>
        <v>-3315178.9016210139</v>
      </c>
      <c r="I44" s="4"/>
      <c r="J44" s="3"/>
      <c r="K44" s="3"/>
      <c r="L44" s="3"/>
      <c r="M44" s="3"/>
      <c r="N44" s="3"/>
      <c r="O44" s="4"/>
      <c r="P44" s="4"/>
      <c r="Q44" s="4"/>
      <c r="R44" s="4"/>
      <c r="S44" s="99"/>
    </row>
    <row r="45" spans="2:19" s="6" customFormat="1" ht="15" customHeight="1">
      <c r="B45" s="162" t="s">
        <v>39</v>
      </c>
      <c r="C45" s="5"/>
      <c r="D45" s="5"/>
      <c r="E45" s="147"/>
      <c r="F45" s="13"/>
      <c r="G45" s="47"/>
      <c r="H45" s="105">
        <f>SUM(H43:H44)</f>
        <v>-113821142.28898814</v>
      </c>
      <c r="I45" s="4"/>
      <c r="J45" s="3"/>
      <c r="K45" s="3"/>
      <c r="L45" s="3"/>
      <c r="M45" s="3"/>
      <c r="N45" s="3"/>
      <c r="O45" s="4"/>
      <c r="P45" s="4"/>
      <c r="Q45" s="4"/>
      <c r="R45" s="4"/>
      <c r="S45" s="99"/>
    </row>
    <row r="46" spans="2:19" s="6" customFormat="1" ht="15" customHeight="1">
      <c r="B46" s="189" t="s">
        <v>93</v>
      </c>
      <c r="C46" s="5"/>
      <c r="D46" s="5"/>
      <c r="E46" s="147"/>
      <c r="F46" s="13"/>
      <c r="G46" s="47"/>
      <c r="H46" s="190">
        <f>H5</f>
        <v>67988846.405181587</v>
      </c>
      <c r="I46" s="4"/>
      <c r="J46" s="3"/>
      <c r="K46" s="3"/>
      <c r="L46" s="3"/>
      <c r="M46" s="3"/>
      <c r="N46" s="3"/>
      <c r="O46" s="4"/>
      <c r="P46" s="4"/>
      <c r="Q46" s="4"/>
      <c r="R46" s="4"/>
      <c r="S46" s="99"/>
    </row>
    <row r="47" spans="2:19" s="6" customFormat="1" ht="15" customHeight="1">
      <c r="B47" s="162" t="s">
        <v>94</v>
      </c>
      <c r="C47" s="5"/>
      <c r="D47" s="5"/>
      <c r="E47" s="147"/>
      <c r="F47" s="13"/>
      <c r="G47" s="47"/>
      <c r="H47" s="105">
        <f>H45+H46</f>
        <v>-45832295.883806556</v>
      </c>
      <c r="I47" s="4"/>
      <c r="J47" s="3"/>
      <c r="K47" s="3"/>
      <c r="L47" s="3"/>
      <c r="M47" s="3"/>
      <c r="N47" s="3"/>
      <c r="O47" s="4"/>
      <c r="P47" s="4"/>
      <c r="Q47" s="4"/>
      <c r="R47" s="4"/>
      <c r="S47" s="99"/>
    </row>
    <row r="48" spans="2:19" s="6" customFormat="1" ht="13.8">
      <c r="B48" s="159" t="s">
        <v>4</v>
      </c>
      <c r="C48" s="7"/>
      <c r="D48" s="7"/>
      <c r="E48" s="7"/>
      <c r="F48" s="14"/>
      <c r="G48" s="58"/>
      <c r="H48" s="101"/>
      <c r="I48" s="103"/>
      <c r="J48" s="102"/>
      <c r="K48" s="102"/>
      <c r="L48" s="102"/>
      <c r="M48" s="102"/>
      <c r="N48" s="102"/>
      <c r="O48" s="101"/>
      <c r="P48" s="101"/>
      <c r="Q48" s="101"/>
      <c r="R48" s="101"/>
      <c r="S48" s="100"/>
    </row>
    <row r="49" spans="2:21" s="3" customFormat="1" ht="13.8">
      <c r="B49" s="160" t="s">
        <v>5</v>
      </c>
      <c r="C49" s="8"/>
      <c r="D49" s="8"/>
      <c r="E49" s="8"/>
      <c r="F49" s="15"/>
      <c r="G49" s="57"/>
      <c r="H49" s="4"/>
      <c r="I49" s="4"/>
      <c r="O49" s="4"/>
      <c r="P49" s="4"/>
      <c r="Q49" s="4"/>
      <c r="R49" s="4"/>
      <c r="S49" s="99"/>
    </row>
    <row r="50" spans="2:21" s="3" customFormat="1" ht="13.8">
      <c r="B50" s="161" t="s">
        <v>6</v>
      </c>
      <c r="C50" s="16">
        <v>4081465.5948658339</v>
      </c>
      <c r="D50" s="16">
        <v>9370461.1764705889</v>
      </c>
      <c r="E50" s="17">
        <v>9557870.4000000004</v>
      </c>
      <c r="F50" s="18">
        <v>9892395.8640000001</v>
      </c>
      <c r="G50" s="148"/>
      <c r="H50" s="98"/>
      <c r="I50" s="78">
        <v>9613800</v>
      </c>
      <c r="J50" s="97">
        <f>I50*(1+$C$19)</f>
        <v>9926248.5</v>
      </c>
      <c r="K50" s="97">
        <f t="shared" ref="K50:S50" si="2">J50*(1+$C$19)</f>
        <v>10248851.57625</v>
      </c>
      <c r="L50" s="97">
        <f t="shared" si="2"/>
        <v>10581939.252478125</v>
      </c>
      <c r="M50" s="97">
        <f t="shared" si="2"/>
        <v>10925852.278183663</v>
      </c>
      <c r="N50" s="97">
        <f t="shared" si="2"/>
        <v>11280942.477224631</v>
      </c>
      <c r="O50" s="97">
        <f t="shared" si="2"/>
        <v>11647573.107734431</v>
      </c>
      <c r="P50" s="97">
        <f t="shared" si="2"/>
        <v>12026119.2337358</v>
      </c>
      <c r="Q50" s="97">
        <f t="shared" si="2"/>
        <v>12416968.108832212</v>
      </c>
      <c r="R50" s="97">
        <f t="shared" si="2"/>
        <v>12820519.572369259</v>
      </c>
      <c r="S50" s="96">
        <f t="shared" si="2"/>
        <v>13237186.458471259</v>
      </c>
      <c r="U50" s="11"/>
    </row>
    <row r="51" spans="2:21" s="3" customFormat="1" ht="13.8">
      <c r="B51" s="161" t="s">
        <v>7</v>
      </c>
      <c r="C51" s="17">
        <v>-36733.190353792503</v>
      </c>
      <c r="D51" s="17">
        <v>-112445.53411764708</v>
      </c>
      <c r="E51" s="17">
        <v>-191157.40800000002</v>
      </c>
      <c r="F51" s="19">
        <v>-148385.93795999998</v>
      </c>
      <c r="G51" s="148"/>
      <c r="H51" s="166"/>
      <c r="I51" s="78">
        <v>-124179</v>
      </c>
      <c r="J51" s="167">
        <f>+-J50*0.01</f>
        <v>-99262.485000000001</v>
      </c>
      <c r="K51" s="167">
        <f t="shared" ref="K51:S51" si="3">+-K50*0.01</f>
        <v>-102488.5157625</v>
      </c>
      <c r="L51" s="167">
        <f t="shared" si="3"/>
        <v>-105819.39252478124</v>
      </c>
      <c r="M51" s="167">
        <f t="shared" si="3"/>
        <v>-109258.52278183664</v>
      </c>
      <c r="N51" s="167">
        <f t="shared" si="3"/>
        <v>-112809.42477224632</v>
      </c>
      <c r="O51" s="167">
        <f t="shared" si="3"/>
        <v>-116475.7310773443</v>
      </c>
      <c r="P51" s="167">
        <f t="shared" si="3"/>
        <v>-120261.19233735801</v>
      </c>
      <c r="Q51" s="167">
        <f t="shared" si="3"/>
        <v>-124169.68108832212</v>
      </c>
      <c r="R51" s="167">
        <f t="shared" si="3"/>
        <v>-128205.1957236926</v>
      </c>
      <c r="S51" s="168">
        <f t="shared" si="3"/>
        <v>-132371.8645847126</v>
      </c>
      <c r="U51" s="11"/>
    </row>
    <row r="52" spans="2:21" s="3" customFormat="1" ht="13.8">
      <c r="B52" s="161" t="s">
        <v>8</v>
      </c>
      <c r="C52" s="17">
        <v>-152375</v>
      </c>
      <c r="D52" s="17">
        <v>-376233.55865740083</v>
      </c>
      <c r="E52" s="17">
        <v>-477893.52</v>
      </c>
      <c r="F52" s="19">
        <v>-395695.83455999999</v>
      </c>
      <c r="G52" s="148"/>
      <c r="H52" s="81"/>
      <c r="I52" s="7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76">
        <v>0</v>
      </c>
      <c r="U52" s="11"/>
    </row>
    <row r="53" spans="2:21" s="3" customFormat="1" ht="13.8">
      <c r="B53" s="161" t="s">
        <v>9</v>
      </c>
      <c r="C53" s="20">
        <v>-464599.35926773457</v>
      </c>
      <c r="D53" s="20">
        <v>-403590.98059496563</v>
      </c>
      <c r="E53" s="20">
        <v>-412900.00128000003</v>
      </c>
      <c r="F53" s="21">
        <v>-197847.91727999999</v>
      </c>
      <c r="G53" s="148"/>
      <c r="H53" s="95"/>
      <c r="I53" s="94">
        <f>-I50*0.02</f>
        <v>-192276</v>
      </c>
      <c r="J53" s="94">
        <f>-J50*0.01</f>
        <v>-99262.485000000001</v>
      </c>
      <c r="K53" s="94">
        <v>0</v>
      </c>
      <c r="L53" s="94">
        <v>0</v>
      </c>
      <c r="M53" s="94">
        <v>0</v>
      </c>
      <c r="N53" s="94">
        <v>0</v>
      </c>
      <c r="O53" s="94">
        <v>0</v>
      </c>
      <c r="P53" s="94">
        <v>0</v>
      </c>
      <c r="Q53" s="94">
        <v>0</v>
      </c>
      <c r="R53" s="94">
        <v>0</v>
      </c>
      <c r="S53" s="93">
        <v>0</v>
      </c>
      <c r="U53" s="11"/>
    </row>
    <row r="54" spans="2:21" s="3" customFormat="1" ht="13.8">
      <c r="B54" s="162" t="s">
        <v>10</v>
      </c>
      <c r="C54" s="17">
        <v>3427758.0452443068</v>
      </c>
      <c r="D54" s="17">
        <v>8478191.1031005774</v>
      </c>
      <c r="E54" s="17">
        <v>8475919.4707200006</v>
      </c>
      <c r="F54" s="19">
        <v>9150466.1742000002</v>
      </c>
      <c r="G54" s="148"/>
      <c r="H54" s="81"/>
      <c r="I54" s="68">
        <f t="shared" ref="I54:S54" si="4">SUM(I50:I53)</f>
        <v>9297345</v>
      </c>
      <c r="J54" s="68">
        <f t="shared" si="4"/>
        <v>9727723.5300000012</v>
      </c>
      <c r="K54" s="68">
        <f t="shared" si="4"/>
        <v>10146363.060487499</v>
      </c>
      <c r="L54" s="68">
        <f t="shared" si="4"/>
        <v>10476119.859953344</v>
      </c>
      <c r="M54" s="68">
        <f t="shared" si="4"/>
        <v>10816593.755401827</v>
      </c>
      <c r="N54" s="68">
        <f t="shared" si="4"/>
        <v>11168133.052452385</v>
      </c>
      <c r="O54" s="68">
        <f t="shared" si="4"/>
        <v>11531097.376657085</v>
      </c>
      <c r="P54" s="68">
        <f t="shared" si="4"/>
        <v>11905858.041398441</v>
      </c>
      <c r="Q54" s="68">
        <f t="shared" si="4"/>
        <v>12292798.427743889</v>
      </c>
      <c r="R54" s="68">
        <f t="shared" si="4"/>
        <v>12692314.376645567</v>
      </c>
      <c r="S54" s="76">
        <f t="shared" si="4"/>
        <v>13104814.593886547</v>
      </c>
      <c r="U54" s="11"/>
    </row>
    <row r="55" spans="2:21" s="3" customFormat="1" ht="5.0999999999999996" customHeight="1">
      <c r="B55" s="162"/>
      <c r="C55" s="17"/>
      <c r="D55" s="17"/>
      <c r="E55" s="17"/>
      <c r="F55" s="19"/>
      <c r="G55" s="148"/>
      <c r="H55" s="81"/>
      <c r="I55" s="78"/>
      <c r="J55" s="68"/>
      <c r="K55" s="68"/>
      <c r="L55" s="68"/>
      <c r="M55" s="68"/>
      <c r="N55" s="68"/>
      <c r="O55" s="68"/>
      <c r="P55" s="68"/>
      <c r="Q55" s="68"/>
      <c r="R55" s="68"/>
      <c r="S55" s="76"/>
    </row>
    <row r="56" spans="2:21" s="3" customFormat="1" ht="13.8">
      <c r="B56" s="160" t="s">
        <v>11</v>
      </c>
      <c r="C56" s="17"/>
      <c r="D56" s="17"/>
      <c r="E56" s="17"/>
      <c r="F56" s="19"/>
      <c r="G56" s="148"/>
      <c r="H56" s="81"/>
      <c r="I56" s="78"/>
      <c r="J56" s="68"/>
      <c r="K56" s="68"/>
      <c r="L56" s="68"/>
      <c r="M56" s="68"/>
      <c r="N56" s="68"/>
      <c r="O56" s="68"/>
      <c r="P56" s="68"/>
      <c r="Q56" s="68"/>
      <c r="R56" s="68"/>
      <c r="S56" s="76"/>
    </row>
    <row r="57" spans="2:21" s="3" customFormat="1" ht="13.8">
      <c r="B57" s="161" t="s">
        <v>12</v>
      </c>
      <c r="C57" s="17">
        <v>103545.86868629348</v>
      </c>
      <c r="D57" s="17">
        <v>235270.71868965839</v>
      </c>
      <c r="E57" s="17">
        <v>234000</v>
      </c>
      <c r="F57" s="19">
        <v>263055</v>
      </c>
      <c r="G57" s="148"/>
      <c r="H57" s="81"/>
      <c r="I57" s="78">
        <f>+C5*65*12</f>
        <v>253500</v>
      </c>
      <c r="J57" s="68">
        <f>I57*(1+$C$23)</f>
        <v>259837.49999999997</v>
      </c>
      <c r="K57" s="68">
        <f t="shared" ref="K57:S57" si="5">J57*(1+$C$23)</f>
        <v>266333.43749999994</v>
      </c>
      <c r="L57" s="68">
        <f t="shared" si="5"/>
        <v>272991.77343749994</v>
      </c>
      <c r="M57" s="68">
        <f t="shared" si="5"/>
        <v>279816.56777343742</v>
      </c>
      <c r="N57" s="68">
        <f t="shared" si="5"/>
        <v>286811.98196777335</v>
      </c>
      <c r="O57" s="68">
        <f t="shared" si="5"/>
        <v>293982.28151696763</v>
      </c>
      <c r="P57" s="68">
        <f t="shared" si="5"/>
        <v>301331.83855489182</v>
      </c>
      <c r="Q57" s="68">
        <f t="shared" si="5"/>
        <v>308865.1345187641</v>
      </c>
      <c r="R57" s="68">
        <f t="shared" si="5"/>
        <v>316586.76288173319</v>
      </c>
      <c r="S57" s="76">
        <f t="shared" si="5"/>
        <v>324501.43195377651</v>
      </c>
      <c r="U57" s="11"/>
    </row>
    <row r="58" spans="2:21" s="3" customFormat="1" ht="13.8">
      <c r="B58" s="161" t="s">
        <v>11</v>
      </c>
      <c r="C58" s="17">
        <v>61779.351646551724</v>
      </c>
      <c r="D58" s="17">
        <v>132614.76420151812</v>
      </c>
      <c r="E58" s="17">
        <v>136220</v>
      </c>
      <c r="F58" s="19">
        <v>140306.6</v>
      </c>
      <c r="G58" s="148"/>
      <c r="H58" s="81"/>
      <c r="I58" s="78">
        <f>+E58*1.03</f>
        <v>140306.6</v>
      </c>
      <c r="J58" s="68">
        <f>I58*(1+$C24)</f>
        <v>144515.79800000001</v>
      </c>
      <c r="K58" s="68">
        <f t="shared" ref="K58:S58" si="6">J58*(1+$C24)</f>
        <v>148851.27194000001</v>
      </c>
      <c r="L58" s="68">
        <f t="shared" si="6"/>
        <v>153316.81009820002</v>
      </c>
      <c r="M58" s="68">
        <f t="shared" si="6"/>
        <v>157916.31440114602</v>
      </c>
      <c r="N58" s="68">
        <f t="shared" si="6"/>
        <v>162653.8038331804</v>
      </c>
      <c r="O58" s="68">
        <f t="shared" si="6"/>
        <v>167533.4179481758</v>
      </c>
      <c r="P58" s="68">
        <f t="shared" si="6"/>
        <v>172559.42048662109</v>
      </c>
      <c r="Q58" s="68">
        <f t="shared" si="6"/>
        <v>177736.20310121973</v>
      </c>
      <c r="R58" s="68">
        <f t="shared" si="6"/>
        <v>183068.28919425633</v>
      </c>
      <c r="S58" s="76">
        <f t="shared" si="6"/>
        <v>188560.33787008401</v>
      </c>
      <c r="U58" s="11"/>
    </row>
    <row r="59" spans="2:21" s="3" customFormat="1" ht="13.8">
      <c r="B59" s="161" t="s">
        <v>13</v>
      </c>
      <c r="C59" s="17">
        <v>82030.434782608689</v>
      </c>
      <c r="D59" s="17">
        <v>166663.04347826086</v>
      </c>
      <c r="E59" s="17">
        <v>171000</v>
      </c>
      <c r="F59" s="19">
        <v>176130</v>
      </c>
      <c r="G59" s="148"/>
      <c r="H59" s="81"/>
      <c r="I59" s="78">
        <f>+E59*1.03</f>
        <v>176130</v>
      </c>
      <c r="J59" s="68">
        <f>I59*(1+$C25)</f>
        <v>181413.9</v>
      </c>
      <c r="K59" s="68">
        <f t="shared" ref="K59:S59" si="7">J59*(1+$C25)</f>
        <v>186856.31700000001</v>
      </c>
      <c r="L59" s="68">
        <f t="shared" si="7"/>
        <v>192462.00651000001</v>
      </c>
      <c r="M59" s="68">
        <f t="shared" si="7"/>
        <v>198235.86670530002</v>
      </c>
      <c r="N59" s="68">
        <f t="shared" si="7"/>
        <v>204182.94270645903</v>
      </c>
      <c r="O59" s="68">
        <f t="shared" si="7"/>
        <v>210308.4309876528</v>
      </c>
      <c r="P59" s="68">
        <f t="shared" si="7"/>
        <v>216617.68391728238</v>
      </c>
      <c r="Q59" s="68">
        <f t="shared" si="7"/>
        <v>223116.21443480087</v>
      </c>
      <c r="R59" s="68">
        <f t="shared" si="7"/>
        <v>229809.70086784489</v>
      </c>
      <c r="S59" s="76">
        <f t="shared" si="7"/>
        <v>236703.99189388024</v>
      </c>
      <c r="U59" s="11"/>
    </row>
    <row r="60" spans="2:21" s="3" customFormat="1" ht="15.6">
      <c r="B60" s="161" t="s">
        <v>14</v>
      </c>
      <c r="C60" s="22">
        <v>161190</v>
      </c>
      <c r="D60" s="22">
        <v>315948.59999999998</v>
      </c>
      <c r="E60" s="22">
        <v>324000</v>
      </c>
      <c r="F60" s="23">
        <v>333720</v>
      </c>
      <c r="G60" s="148"/>
      <c r="H60" s="80"/>
      <c r="I60" s="92">
        <f>+E60*1.03</f>
        <v>333720</v>
      </c>
      <c r="J60" s="91">
        <f t="shared" ref="J60:S60" si="8">I60*(1+$C26)</f>
        <v>343731.60000000003</v>
      </c>
      <c r="K60" s="91">
        <f t="shared" si="8"/>
        <v>354043.54800000007</v>
      </c>
      <c r="L60" s="91">
        <f t="shared" si="8"/>
        <v>364664.85444000008</v>
      </c>
      <c r="M60" s="91">
        <f t="shared" si="8"/>
        <v>375604.80007320008</v>
      </c>
      <c r="N60" s="91">
        <f t="shared" si="8"/>
        <v>386872.94407539611</v>
      </c>
      <c r="O60" s="91">
        <f t="shared" si="8"/>
        <v>398479.13239765802</v>
      </c>
      <c r="P60" s="91">
        <f t="shared" si="8"/>
        <v>410433.50636958779</v>
      </c>
      <c r="Q60" s="91">
        <f t="shared" si="8"/>
        <v>422746.51156067546</v>
      </c>
      <c r="R60" s="91">
        <f t="shared" si="8"/>
        <v>435428.90690749575</v>
      </c>
      <c r="S60" s="90">
        <f t="shared" si="8"/>
        <v>448491.77411472064</v>
      </c>
      <c r="U60" s="11"/>
    </row>
    <row r="61" spans="2:21" s="3" customFormat="1" ht="13.8">
      <c r="B61" s="162" t="s">
        <v>15</v>
      </c>
      <c r="C61" s="17">
        <v>408545.65511545388</v>
      </c>
      <c r="D61" s="17">
        <v>849893.04340169323</v>
      </c>
      <c r="E61" s="17">
        <v>865220</v>
      </c>
      <c r="F61" s="19">
        <v>913211.6</v>
      </c>
      <c r="G61" s="148"/>
      <c r="H61" s="81"/>
      <c r="I61" s="68">
        <f t="shared" ref="I61:S61" si="9">SUM(I57:I60)</f>
        <v>903656.6</v>
      </c>
      <c r="J61" s="68">
        <f t="shared" si="9"/>
        <v>929498.79799999995</v>
      </c>
      <c r="K61" s="68">
        <f t="shared" si="9"/>
        <v>956084.57444</v>
      </c>
      <c r="L61" s="68">
        <f t="shared" si="9"/>
        <v>983435.44448569999</v>
      </c>
      <c r="M61" s="68">
        <f t="shared" si="9"/>
        <v>1011573.5489530836</v>
      </c>
      <c r="N61" s="68">
        <f t="shared" si="9"/>
        <v>1040521.6725828089</v>
      </c>
      <c r="O61" s="68">
        <f t="shared" si="9"/>
        <v>1070303.2628504543</v>
      </c>
      <c r="P61" s="68">
        <f t="shared" si="9"/>
        <v>1100942.449328383</v>
      </c>
      <c r="Q61" s="68">
        <f t="shared" si="9"/>
        <v>1132464.0636154602</v>
      </c>
      <c r="R61" s="68">
        <f t="shared" si="9"/>
        <v>1164893.6598513301</v>
      </c>
      <c r="S61" s="76">
        <f t="shared" si="9"/>
        <v>1198257.5358324614</v>
      </c>
      <c r="U61" s="11"/>
    </row>
    <row r="62" spans="2:21" s="3" customFormat="1" ht="5.0999999999999996" customHeight="1">
      <c r="B62" s="162"/>
      <c r="C62" s="17"/>
      <c r="D62" s="17"/>
      <c r="E62" s="17"/>
      <c r="F62" s="19"/>
      <c r="G62" s="148"/>
      <c r="H62" s="81"/>
      <c r="I62" s="78"/>
      <c r="J62" s="68"/>
      <c r="K62" s="68"/>
      <c r="L62" s="68"/>
      <c r="M62" s="68"/>
      <c r="N62" s="68"/>
      <c r="O62" s="68"/>
      <c r="P62" s="68"/>
      <c r="Q62" s="68"/>
      <c r="R62" s="68"/>
      <c r="S62" s="76"/>
    </row>
    <row r="63" spans="2:21" s="3" customFormat="1" ht="13.8">
      <c r="B63" s="160" t="s">
        <v>16</v>
      </c>
      <c r="C63" s="17"/>
      <c r="D63" s="17"/>
      <c r="E63" s="17"/>
      <c r="F63" s="19"/>
      <c r="G63" s="148"/>
      <c r="H63" s="81"/>
      <c r="I63" s="78"/>
      <c r="J63" s="68"/>
      <c r="K63" s="68"/>
      <c r="L63" s="68"/>
      <c r="M63" s="68"/>
      <c r="N63" s="68"/>
      <c r="O63" s="68"/>
      <c r="P63" s="68"/>
      <c r="Q63" s="68"/>
      <c r="R63" s="68"/>
      <c r="S63" s="76"/>
    </row>
    <row r="64" spans="2:21" s="9" customFormat="1" ht="13.8">
      <c r="B64" s="161" t="s">
        <v>17</v>
      </c>
      <c r="C64" s="24">
        <v>3836303.7003597608</v>
      </c>
      <c r="D64" s="24">
        <v>9327621.8990803212</v>
      </c>
      <c r="E64" s="24">
        <v>9341139.4707200006</v>
      </c>
      <c r="F64" s="19">
        <v>10063677.7742</v>
      </c>
      <c r="G64" s="148"/>
      <c r="H64" s="81"/>
      <c r="I64" s="89">
        <f t="shared" ref="I64" si="10">+I61+I54</f>
        <v>10201001.6</v>
      </c>
      <c r="J64" s="89">
        <f t="shared" ref="J64:S64" si="11">+J61+J54</f>
        <v>10657222.328000002</v>
      </c>
      <c r="K64" s="89">
        <f t="shared" si="11"/>
        <v>11102447.6349275</v>
      </c>
      <c r="L64" s="89">
        <f t="shared" si="11"/>
        <v>11459555.304439044</v>
      </c>
      <c r="M64" s="89">
        <f t="shared" si="11"/>
        <v>11828167.304354912</v>
      </c>
      <c r="N64" s="89">
        <f t="shared" si="11"/>
        <v>12208654.725035194</v>
      </c>
      <c r="O64" s="89">
        <f t="shared" si="11"/>
        <v>12601400.63950754</v>
      </c>
      <c r="P64" s="89">
        <f t="shared" si="11"/>
        <v>13006800.490726825</v>
      </c>
      <c r="Q64" s="89">
        <f t="shared" si="11"/>
        <v>13425262.491359349</v>
      </c>
      <c r="R64" s="89">
        <f t="shared" si="11"/>
        <v>13857208.036496896</v>
      </c>
      <c r="S64" s="88">
        <f t="shared" si="11"/>
        <v>14303072.129719008</v>
      </c>
      <c r="U64" s="11"/>
    </row>
    <row r="65" spans="2:21" s="9" customFormat="1" ht="15.6">
      <c r="B65" s="161" t="s">
        <v>18</v>
      </c>
      <c r="C65" s="25">
        <v>-11062.5</v>
      </c>
      <c r="D65" s="25">
        <v>-19059.723509025273</v>
      </c>
      <c r="E65" s="25">
        <v>-28673.611200000003</v>
      </c>
      <c r="F65" s="26">
        <v>-24730.989659999999</v>
      </c>
      <c r="G65" s="148"/>
      <c r="H65" s="80"/>
      <c r="I65" s="87">
        <f>-I64*$C$27</f>
        <v>-510050.08</v>
      </c>
      <c r="J65" s="87">
        <f t="shared" ref="J65:S65" si="12">-J64*$C$27</f>
        <v>-532861.11640000006</v>
      </c>
      <c r="K65" s="87">
        <f t="shared" si="12"/>
        <v>-555122.381746375</v>
      </c>
      <c r="L65" s="87">
        <f t="shared" si="12"/>
        <v>-572977.76522195223</v>
      </c>
      <c r="M65" s="87">
        <f t="shared" si="12"/>
        <v>-591408.36521774565</v>
      </c>
      <c r="N65" s="87">
        <f t="shared" si="12"/>
        <v>-610432.73625175969</v>
      </c>
      <c r="O65" s="87">
        <f t="shared" si="12"/>
        <v>-630070.031975377</v>
      </c>
      <c r="P65" s="87">
        <f t="shared" si="12"/>
        <v>-650340.02453634131</v>
      </c>
      <c r="Q65" s="87">
        <f t="shared" si="12"/>
        <v>-671263.12456796749</v>
      </c>
      <c r="R65" s="87">
        <f t="shared" si="12"/>
        <v>-692860.40182484488</v>
      </c>
      <c r="S65" s="86">
        <f t="shared" si="12"/>
        <v>-715153.60648595041</v>
      </c>
      <c r="U65" s="11"/>
    </row>
    <row r="66" spans="2:21" s="3" customFormat="1" ht="13.8">
      <c r="B66" s="162" t="s">
        <v>19</v>
      </c>
      <c r="C66" s="17">
        <v>3825241.2003597608</v>
      </c>
      <c r="D66" s="17">
        <v>9308533.0557592846</v>
      </c>
      <c r="E66" s="17">
        <v>9312465.8595200013</v>
      </c>
      <c r="F66" s="19">
        <v>10038946.784539999</v>
      </c>
      <c r="G66" s="148"/>
      <c r="H66" s="81"/>
      <c r="I66" s="68">
        <f t="shared" ref="I66" si="13">SUM(I64:I65)</f>
        <v>9690951.5199999996</v>
      </c>
      <c r="J66" s="68">
        <f t="shared" ref="J66:S66" si="14">SUM(J64:J65)</f>
        <v>10124361.211600002</v>
      </c>
      <c r="K66" s="68">
        <f t="shared" si="14"/>
        <v>10547325.253181126</v>
      </c>
      <c r="L66" s="68">
        <f t="shared" si="14"/>
        <v>10886577.539217092</v>
      </c>
      <c r="M66" s="68">
        <f t="shared" si="14"/>
        <v>11236758.939137166</v>
      </c>
      <c r="N66" s="68">
        <f t="shared" si="14"/>
        <v>11598221.988783434</v>
      </c>
      <c r="O66" s="68">
        <f t="shared" si="14"/>
        <v>11971330.607532162</v>
      </c>
      <c r="P66" s="68">
        <f t="shared" si="14"/>
        <v>12356460.466190483</v>
      </c>
      <c r="Q66" s="68">
        <f t="shared" si="14"/>
        <v>12753999.366791382</v>
      </c>
      <c r="R66" s="68">
        <f t="shared" si="14"/>
        <v>13164347.634672051</v>
      </c>
      <c r="S66" s="76">
        <f t="shared" si="14"/>
        <v>13587918.523233058</v>
      </c>
      <c r="U66" s="11"/>
    </row>
    <row r="67" spans="2:21" s="6" customFormat="1" ht="13.8">
      <c r="B67" s="159" t="s">
        <v>20</v>
      </c>
      <c r="C67" s="27"/>
      <c r="D67" s="27"/>
      <c r="E67" s="27"/>
      <c r="F67" s="28"/>
      <c r="G67" s="149"/>
      <c r="H67" s="71"/>
      <c r="I67" s="85"/>
      <c r="J67" s="70"/>
      <c r="K67" s="70"/>
      <c r="L67" s="70"/>
      <c r="M67" s="70"/>
      <c r="N67" s="70"/>
      <c r="O67" s="70"/>
      <c r="P67" s="70"/>
      <c r="Q67" s="70"/>
      <c r="R67" s="70"/>
      <c r="S67" s="69"/>
    </row>
    <row r="68" spans="2:21" s="6" customFormat="1" ht="13.8">
      <c r="B68" s="163" t="s">
        <v>21</v>
      </c>
      <c r="C68" s="29"/>
      <c r="D68" s="29"/>
      <c r="E68" s="29"/>
      <c r="F68" s="30"/>
      <c r="G68" s="148"/>
      <c r="H68" s="84"/>
      <c r="I68" s="83"/>
      <c r="J68" s="82"/>
      <c r="K68" s="82"/>
      <c r="L68" s="82"/>
      <c r="M68" s="82"/>
      <c r="N68" s="82"/>
      <c r="O68" s="82"/>
      <c r="P68" s="82"/>
      <c r="Q68" s="82"/>
      <c r="R68" s="82"/>
      <c r="S68" s="72"/>
    </row>
    <row r="69" spans="2:21" s="3" customFormat="1" ht="13.8">
      <c r="B69" s="161" t="s">
        <v>22</v>
      </c>
      <c r="C69" s="17">
        <v>56628</v>
      </c>
      <c r="D69" s="17">
        <v>121118.75480144405</v>
      </c>
      <c r="E69" s="17">
        <v>123541.12989747294</v>
      </c>
      <c r="F69" s="19">
        <v>127247.36379439714</v>
      </c>
      <c r="G69" s="148"/>
      <c r="H69" s="81"/>
      <c r="I69" s="78">
        <f>E69*1.025</f>
        <v>126629.65814490976</v>
      </c>
      <c r="J69" s="68">
        <f>I69*(1+$C$29)</f>
        <v>129795.39959853249</v>
      </c>
      <c r="K69" s="68">
        <f t="shared" ref="K69:S69" si="15">J69*(1+$C$29)</f>
        <v>133040.28458849579</v>
      </c>
      <c r="L69" s="68">
        <f t="shared" si="15"/>
        <v>136366.29170320818</v>
      </c>
      <c r="M69" s="68">
        <f t="shared" si="15"/>
        <v>139775.44899578838</v>
      </c>
      <c r="N69" s="68">
        <f t="shared" si="15"/>
        <v>143269.83522068308</v>
      </c>
      <c r="O69" s="68">
        <f t="shared" si="15"/>
        <v>146851.58110120014</v>
      </c>
      <c r="P69" s="68">
        <f t="shared" si="15"/>
        <v>150522.87062873013</v>
      </c>
      <c r="Q69" s="68">
        <f t="shared" si="15"/>
        <v>154285.94239444839</v>
      </c>
      <c r="R69" s="68">
        <f t="shared" si="15"/>
        <v>158143.09095430959</v>
      </c>
      <c r="S69" s="76">
        <f t="shared" si="15"/>
        <v>162096.66822816731</v>
      </c>
      <c r="U69" s="11"/>
    </row>
    <row r="70" spans="2:21" s="3" customFormat="1" ht="13.8">
      <c r="B70" s="161" t="s">
        <v>23</v>
      </c>
      <c r="C70" s="17">
        <v>36298.5</v>
      </c>
      <c r="D70" s="17">
        <v>93006.807465703969</v>
      </c>
      <c r="E70" s="17">
        <v>99368.923364620947</v>
      </c>
      <c r="F70" s="19">
        <v>102349.99106555957</v>
      </c>
      <c r="G70" s="148"/>
      <c r="H70" s="81"/>
      <c r="I70" s="78">
        <f>E70*1.025</f>
        <v>101853.14644873646</v>
      </c>
      <c r="J70" s="68">
        <f t="shared" ref="J70:S70" si="16">I70*(1+$C$29)</f>
        <v>104399.47510995486</v>
      </c>
      <c r="K70" s="68">
        <f t="shared" si="16"/>
        <v>107009.46198770372</v>
      </c>
      <c r="L70" s="68">
        <f t="shared" si="16"/>
        <v>109684.6985373963</v>
      </c>
      <c r="M70" s="68">
        <f t="shared" si="16"/>
        <v>112426.8160008312</v>
      </c>
      <c r="N70" s="68">
        <f t="shared" si="16"/>
        <v>115237.48640085197</v>
      </c>
      <c r="O70" s="68">
        <f t="shared" si="16"/>
        <v>118118.42356087326</v>
      </c>
      <c r="P70" s="68">
        <f t="shared" si="16"/>
        <v>121071.38414989508</v>
      </c>
      <c r="Q70" s="68">
        <f t="shared" si="16"/>
        <v>124098.16875364244</v>
      </c>
      <c r="R70" s="68">
        <f t="shared" si="16"/>
        <v>127200.6229724835</v>
      </c>
      <c r="S70" s="76">
        <f t="shared" si="16"/>
        <v>130380.63854679557</v>
      </c>
      <c r="U70" s="11"/>
    </row>
    <row r="71" spans="2:21" s="3" customFormat="1" ht="13.8">
      <c r="B71" s="161" t="s">
        <v>24</v>
      </c>
      <c r="C71" s="17">
        <v>71781</v>
      </c>
      <c r="D71" s="17">
        <v>120802.45945126354</v>
      </c>
      <c r="E71" s="17">
        <v>133120.93862815885</v>
      </c>
      <c r="F71" s="19">
        <v>137114.56678700363</v>
      </c>
      <c r="G71" s="148"/>
      <c r="H71" s="81"/>
      <c r="I71" s="78">
        <f>425*$C$5</f>
        <v>138125</v>
      </c>
      <c r="J71" s="68">
        <f t="shared" ref="J71:S71" si="17">I71*(1+$C$29)</f>
        <v>141578.125</v>
      </c>
      <c r="K71" s="68">
        <f t="shared" si="17"/>
        <v>145117.578125</v>
      </c>
      <c r="L71" s="68">
        <f t="shared" si="17"/>
        <v>148745.517578125</v>
      </c>
      <c r="M71" s="68">
        <f t="shared" si="17"/>
        <v>152464.15551757813</v>
      </c>
      <c r="N71" s="68">
        <f t="shared" si="17"/>
        <v>156275.75940551757</v>
      </c>
      <c r="O71" s="68">
        <f t="shared" si="17"/>
        <v>160182.6533906555</v>
      </c>
      <c r="P71" s="68">
        <f t="shared" si="17"/>
        <v>164187.21972542186</v>
      </c>
      <c r="Q71" s="68">
        <f t="shared" si="17"/>
        <v>168291.90021855739</v>
      </c>
      <c r="R71" s="68">
        <f t="shared" si="17"/>
        <v>172499.1977240213</v>
      </c>
      <c r="S71" s="76">
        <f t="shared" si="17"/>
        <v>176811.67766712181</v>
      </c>
      <c r="U71" s="11"/>
    </row>
    <row r="72" spans="2:21" s="3" customFormat="1" ht="13.8">
      <c r="B72" s="161" t="s">
        <v>25</v>
      </c>
      <c r="C72" s="17">
        <v>45165</v>
      </c>
      <c r="D72" s="17">
        <v>98988.272027870029</v>
      </c>
      <c r="E72" s="17">
        <v>100968.03746842743</v>
      </c>
      <c r="F72" s="19">
        <v>103997.07859248025</v>
      </c>
      <c r="G72" s="148"/>
      <c r="H72" s="81"/>
      <c r="I72" s="78">
        <f t="shared" ref="I72:I75" si="18">E72*1.025</f>
        <v>103492.23840513811</v>
      </c>
      <c r="J72" s="68">
        <f t="shared" ref="J72:S72" si="19">I72*(1+$C$29)</f>
        <v>106079.54436526656</v>
      </c>
      <c r="K72" s="68">
        <f t="shared" si="19"/>
        <v>108731.53297439821</v>
      </c>
      <c r="L72" s="68">
        <f t="shared" si="19"/>
        <v>111449.82129875816</v>
      </c>
      <c r="M72" s="68">
        <f t="shared" si="19"/>
        <v>114236.06683122712</v>
      </c>
      <c r="N72" s="68">
        <f t="shared" si="19"/>
        <v>117091.96850200779</v>
      </c>
      <c r="O72" s="68">
        <f t="shared" si="19"/>
        <v>120019.26771455798</v>
      </c>
      <c r="P72" s="68">
        <f t="shared" si="19"/>
        <v>123019.74940742191</v>
      </c>
      <c r="Q72" s="68">
        <f t="shared" si="19"/>
        <v>126095.24314260745</v>
      </c>
      <c r="R72" s="68">
        <f t="shared" si="19"/>
        <v>129247.62422117262</v>
      </c>
      <c r="S72" s="76">
        <f t="shared" si="19"/>
        <v>132478.81482670191</v>
      </c>
      <c r="U72" s="11"/>
    </row>
    <row r="73" spans="2:21" s="3" customFormat="1" ht="13.8">
      <c r="B73" s="161" t="s">
        <v>26</v>
      </c>
      <c r="C73" s="17">
        <v>104715</v>
      </c>
      <c r="D73" s="17">
        <v>127189.06960288809</v>
      </c>
      <c r="E73" s="17">
        <v>87859.819494584837</v>
      </c>
      <c r="F73" s="19">
        <v>90495.61407942239</v>
      </c>
      <c r="G73" s="148"/>
      <c r="H73" s="81"/>
      <c r="I73" s="78">
        <f t="shared" si="18"/>
        <v>90056.314981949457</v>
      </c>
      <c r="J73" s="68">
        <f t="shared" ref="J73:S73" si="20">I73*(1+$C$29)</f>
        <v>92307.722856498192</v>
      </c>
      <c r="K73" s="68">
        <f t="shared" si="20"/>
        <v>94615.415927910639</v>
      </c>
      <c r="L73" s="68">
        <f t="shared" si="20"/>
        <v>96980.801326108398</v>
      </c>
      <c r="M73" s="68">
        <f t="shared" si="20"/>
        <v>99405.321359261099</v>
      </c>
      <c r="N73" s="68">
        <f t="shared" si="20"/>
        <v>101890.45439324262</v>
      </c>
      <c r="O73" s="68">
        <f t="shared" si="20"/>
        <v>104437.71575307367</v>
      </c>
      <c r="P73" s="68">
        <f t="shared" si="20"/>
        <v>107048.65864690051</v>
      </c>
      <c r="Q73" s="68">
        <f t="shared" si="20"/>
        <v>109724.87511307301</v>
      </c>
      <c r="R73" s="68">
        <f t="shared" si="20"/>
        <v>112467.99699089982</v>
      </c>
      <c r="S73" s="76">
        <f t="shared" si="20"/>
        <v>115279.69691567231</v>
      </c>
      <c r="U73" s="11"/>
    </row>
    <row r="74" spans="2:21" s="3" customFormat="1" ht="13.8">
      <c r="B74" s="161" t="s">
        <v>27</v>
      </c>
      <c r="C74" s="17">
        <v>277666.5</v>
      </c>
      <c r="D74" s="17">
        <v>604830.19230324915</v>
      </c>
      <c r="E74" s="17">
        <v>607031.48014440434</v>
      </c>
      <c r="F74" s="19">
        <v>625242.42454873654</v>
      </c>
      <c r="G74" s="148"/>
      <c r="H74" s="81"/>
      <c r="I74" s="78">
        <f t="shared" si="18"/>
        <v>622207.26714801439</v>
      </c>
      <c r="J74" s="68">
        <f t="shared" ref="J74:S74" si="21">I74*(1+$C$29)</f>
        <v>637762.44882671465</v>
      </c>
      <c r="K74" s="68">
        <f t="shared" si="21"/>
        <v>653706.51004738244</v>
      </c>
      <c r="L74" s="68">
        <f t="shared" si="21"/>
        <v>670049.17279856699</v>
      </c>
      <c r="M74" s="68">
        <f t="shared" si="21"/>
        <v>686800.40211853106</v>
      </c>
      <c r="N74" s="68">
        <f t="shared" si="21"/>
        <v>703970.41217149422</v>
      </c>
      <c r="O74" s="68">
        <f t="shared" si="21"/>
        <v>721569.67247578152</v>
      </c>
      <c r="P74" s="68">
        <f t="shared" si="21"/>
        <v>739608.91428767599</v>
      </c>
      <c r="Q74" s="68">
        <f t="shared" si="21"/>
        <v>758099.1371448678</v>
      </c>
      <c r="R74" s="68">
        <f t="shared" si="21"/>
        <v>777051.61557348946</v>
      </c>
      <c r="S74" s="76">
        <f t="shared" si="21"/>
        <v>796477.90596282657</v>
      </c>
      <c r="U74" s="11"/>
    </row>
    <row r="75" spans="2:21" s="3" customFormat="1" ht="13.8">
      <c r="B75" s="161" t="s">
        <v>28</v>
      </c>
      <c r="C75" s="17">
        <v>174231.74618181819</v>
      </c>
      <c r="D75" s="17">
        <v>348601.23130889714</v>
      </c>
      <c r="E75" s="17">
        <v>386857.96739350184</v>
      </c>
      <c r="F75" s="19">
        <v>398463.70641530689</v>
      </c>
      <c r="G75" s="148"/>
      <c r="H75" s="81"/>
      <c r="I75" s="78">
        <f t="shared" si="18"/>
        <v>396529.41657833935</v>
      </c>
      <c r="J75" s="68">
        <f t="shared" ref="J75:S75" si="22">I75*(1+$C$29)</f>
        <v>406442.65199279779</v>
      </c>
      <c r="K75" s="68">
        <f t="shared" si="22"/>
        <v>416603.7182926177</v>
      </c>
      <c r="L75" s="68">
        <f t="shared" si="22"/>
        <v>427018.81124993309</v>
      </c>
      <c r="M75" s="68">
        <f t="shared" si="22"/>
        <v>437694.28153118136</v>
      </c>
      <c r="N75" s="68">
        <f t="shared" si="22"/>
        <v>448636.63856946083</v>
      </c>
      <c r="O75" s="68">
        <f t="shared" si="22"/>
        <v>459852.55453369732</v>
      </c>
      <c r="P75" s="68">
        <f t="shared" si="22"/>
        <v>471348.86839703971</v>
      </c>
      <c r="Q75" s="68">
        <f t="shared" si="22"/>
        <v>483132.59010696568</v>
      </c>
      <c r="R75" s="68">
        <f t="shared" si="22"/>
        <v>495210.90485963976</v>
      </c>
      <c r="S75" s="76">
        <f t="shared" si="22"/>
        <v>507591.1774811307</v>
      </c>
      <c r="U75" s="11"/>
    </row>
    <row r="76" spans="2:21" s="3" customFormat="1" ht="13.8">
      <c r="B76" s="163" t="s">
        <v>29</v>
      </c>
      <c r="C76" s="17"/>
      <c r="D76" s="17"/>
      <c r="E76" s="17"/>
      <c r="F76" s="19"/>
      <c r="G76" s="148"/>
      <c r="H76" s="81"/>
      <c r="I76" s="78"/>
      <c r="J76" s="68"/>
      <c r="K76" s="68"/>
      <c r="L76" s="68"/>
      <c r="M76" s="68"/>
      <c r="N76" s="68"/>
      <c r="O76" s="68"/>
      <c r="P76" s="68"/>
      <c r="Q76" s="68"/>
      <c r="R76" s="68"/>
      <c r="S76" s="76"/>
    </row>
    <row r="77" spans="2:21" s="3" customFormat="1" ht="13.8">
      <c r="B77" s="161" t="s">
        <v>30</v>
      </c>
      <c r="C77" s="17">
        <v>495793.5</v>
      </c>
      <c r="D77" s="17">
        <v>1500000</v>
      </c>
      <c r="E77" s="17">
        <v>1520000</v>
      </c>
      <c r="F77" s="19">
        <f>D77*1.02</f>
        <v>1530000</v>
      </c>
      <c r="G77" s="148"/>
      <c r="H77" s="81"/>
      <c r="I77" s="78">
        <f>115000000*0.9*C32</f>
        <v>1656000</v>
      </c>
      <c r="J77" s="68">
        <f>I77*(1+$C$33)</f>
        <v>1689120</v>
      </c>
      <c r="K77" s="68">
        <f t="shared" ref="K77:S77" si="23">J77*(1+$C$33)</f>
        <v>1722902.4000000001</v>
      </c>
      <c r="L77" s="68">
        <f t="shared" si="23"/>
        <v>1757360.4480000001</v>
      </c>
      <c r="M77" s="68">
        <f t="shared" si="23"/>
        <v>1792507.6569600001</v>
      </c>
      <c r="N77" s="68">
        <f t="shared" si="23"/>
        <v>1828357.8100992001</v>
      </c>
      <c r="O77" s="68">
        <f t="shared" si="23"/>
        <v>1864924.9663011841</v>
      </c>
      <c r="P77" s="68">
        <f t="shared" si="23"/>
        <v>1902223.4656272079</v>
      </c>
      <c r="Q77" s="68">
        <f t="shared" si="23"/>
        <v>1940267.9349397521</v>
      </c>
      <c r="R77" s="68">
        <f t="shared" si="23"/>
        <v>1979073.2936385472</v>
      </c>
      <c r="S77" s="76">
        <f t="shared" si="23"/>
        <v>2018654.7595113181</v>
      </c>
      <c r="U77" s="11"/>
    </row>
    <row r="78" spans="2:21" s="3" customFormat="1" ht="13.8">
      <c r="B78" s="161" t="s">
        <v>31</v>
      </c>
      <c r="C78" s="17">
        <v>107481.93641618497</v>
      </c>
      <c r="D78" s="17">
        <v>234825.33574007222</v>
      </c>
      <c r="E78" s="17">
        <v>238739.09133574009</v>
      </c>
      <c r="F78" s="19">
        <v>243513.8731624549</v>
      </c>
      <c r="G78" s="148"/>
      <c r="H78" s="81"/>
      <c r="I78" s="78">
        <f>E78*(1+$C$34)</f>
        <v>243513.8731624549</v>
      </c>
      <c r="J78" s="68">
        <f>I78*(1+$C$34)</f>
        <v>248384.150625704</v>
      </c>
      <c r="K78" s="68">
        <f t="shared" ref="K78:S78" si="24">J78*(1+$C$34)</f>
        <v>253351.83363821809</v>
      </c>
      <c r="L78" s="68">
        <f t="shared" si="24"/>
        <v>258418.87031098246</v>
      </c>
      <c r="M78" s="68">
        <f t="shared" si="24"/>
        <v>263587.24771720212</v>
      </c>
      <c r="N78" s="68">
        <f t="shared" si="24"/>
        <v>268858.99267154618</v>
      </c>
      <c r="O78" s="68">
        <f t="shared" si="24"/>
        <v>274236.17252497713</v>
      </c>
      <c r="P78" s="68">
        <f t="shared" si="24"/>
        <v>279720.89597547665</v>
      </c>
      <c r="Q78" s="68">
        <f t="shared" si="24"/>
        <v>285315.31389498618</v>
      </c>
      <c r="R78" s="68">
        <f t="shared" si="24"/>
        <v>291021.62017288589</v>
      </c>
      <c r="S78" s="76">
        <f t="shared" si="24"/>
        <v>296842.05257634359</v>
      </c>
      <c r="U78" s="11"/>
    </row>
    <row r="79" spans="2:21" s="3" customFormat="1" ht="13.8">
      <c r="B79" s="161" t="s">
        <v>32</v>
      </c>
      <c r="C79" s="17">
        <v>112355.4603159386</v>
      </c>
      <c r="D79" s="17">
        <v>274599.40857953794</v>
      </c>
      <c r="E79" s="17">
        <v>279373.97578560002</v>
      </c>
      <c r="F79" s="19">
        <v>301168.4035362</v>
      </c>
      <c r="G79" s="148"/>
      <c r="H79" s="81"/>
      <c r="I79" s="78">
        <f>+I66*$C$35</f>
        <v>290728.54559999995</v>
      </c>
      <c r="J79" s="68">
        <f t="shared" ref="J79:S79" si="25">+J66*$C$35</f>
        <v>303730.83634800004</v>
      </c>
      <c r="K79" s="68">
        <f t="shared" si="25"/>
        <v>316419.7575954338</v>
      </c>
      <c r="L79" s="68">
        <f t="shared" si="25"/>
        <v>326597.32617651275</v>
      </c>
      <c r="M79" s="68">
        <f t="shared" si="25"/>
        <v>337102.76817411499</v>
      </c>
      <c r="N79" s="68">
        <f t="shared" si="25"/>
        <v>347946.659663503</v>
      </c>
      <c r="O79" s="68">
        <f t="shared" si="25"/>
        <v>359139.91822596488</v>
      </c>
      <c r="P79" s="68">
        <f t="shared" si="25"/>
        <v>370693.81398571451</v>
      </c>
      <c r="Q79" s="68">
        <f t="shared" si="25"/>
        <v>382619.98100374144</v>
      </c>
      <c r="R79" s="68">
        <f t="shared" si="25"/>
        <v>394930.42904016154</v>
      </c>
      <c r="S79" s="76">
        <f t="shared" si="25"/>
        <v>407637.55569699174</v>
      </c>
      <c r="U79" s="11"/>
    </row>
    <row r="80" spans="2:21" s="3" customFormat="1" ht="15.6">
      <c r="B80" s="161" t="s">
        <v>42</v>
      </c>
      <c r="C80" s="22"/>
      <c r="D80" s="22"/>
      <c r="G80" s="148"/>
      <c r="H80" s="80"/>
      <c r="I80" s="92">
        <f>C36*C5</f>
        <v>65000</v>
      </c>
      <c r="J80" s="67">
        <f>I80*(1+$C$37)</f>
        <v>66300</v>
      </c>
      <c r="K80" s="67">
        <f t="shared" ref="K80:S80" si="26">J80*(1+$C$37)</f>
        <v>67626</v>
      </c>
      <c r="L80" s="67">
        <f t="shared" si="26"/>
        <v>68978.52</v>
      </c>
      <c r="M80" s="67">
        <f t="shared" si="26"/>
        <v>70358.090400000001</v>
      </c>
      <c r="N80" s="67">
        <f t="shared" si="26"/>
        <v>71765.252208000005</v>
      </c>
      <c r="O80" s="67">
        <f t="shared" si="26"/>
        <v>73200.557252160012</v>
      </c>
      <c r="P80" s="67">
        <f t="shared" si="26"/>
        <v>74664.568397203213</v>
      </c>
      <c r="Q80" s="67">
        <f t="shared" si="26"/>
        <v>76157.859765147281</v>
      </c>
      <c r="R80" s="67">
        <f t="shared" si="26"/>
        <v>77681.01696045023</v>
      </c>
      <c r="S80" s="79">
        <f t="shared" si="26"/>
        <v>79234.63729965924</v>
      </c>
    </row>
    <row r="81" spans="2:21" s="6" customFormat="1" ht="13.8">
      <c r="B81" s="160" t="s">
        <v>33</v>
      </c>
      <c r="C81" s="31">
        <v>1482116.6429139418</v>
      </c>
      <c r="D81" s="31">
        <f>SUM(D69:D79)</f>
        <v>3523961.5312809264</v>
      </c>
      <c r="E81" s="31">
        <f>SUM(E69:E79)</f>
        <v>3576861.3635125114</v>
      </c>
      <c r="F81" s="31">
        <f>SUM(F69:F79)</f>
        <v>3659593.0219815616</v>
      </c>
      <c r="G81" s="148"/>
      <c r="H81" s="151"/>
      <c r="I81" s="73">
        <f>SUM(I69:I80)</f>
        <v>3834135.4604695421</v>
      </c>
      <c r="J81" s="73">
        <f t="shared" ref="J81:S81" si="27">SUM(J69:J80)</f>
        <v>3925900.3547234684</v>
      </c>
      <c r="K81" s="73">
        <f t="shared" si="27"/>
        <v>4019124.4931771606</v>
      </c>
      <c r="L81" s="73">
        <f t="shared" si="27"/>
        <v>4111650.2789795916</v>
      </c>
      <c r="M81" s="73">
        <f t="shared" si="27"/>
        <v>4206358.2556057153</v>
      </c>
      <c r="N81" s="73">
        <f t="shared" si="27"/>
        <v>4303301.2693055067</v>
      </c>
      <c r="O81" s="73">
        <f t="shared" si="27"/>
        <v>4402533.4828341259</v>
      </c>
      <c r="P81" s="73">
        <f t="shared" si="27"/>
        <v>4504110.4092286881</v>
      </c>
      <c r="Q81" s="73">
        <f t="shared" si="27"/>
        <v>4608088.9464777885</v>
      </c>
      <c r="R81" s="73">
        <f t="shared" si="27"/>
        <v>4714527.413108062</v>
      </c>
      <c r="S81" s="72">
        <f t="shared" si="27"/>
        <v>4823485.5847127298</v>
      </c>
      <c r="U81" s="11"/>
    </row>
    <row r="82" spans="2:21" s="3" customFormat="1" ht="5.0999999999999996" customHeight="1">
      <c r="B82" s="162"/>
      <c r="C82" s="17"/>
      <c r="D82" s="17"/>
      <c r="E82" s="17"/>
      <c r="F82" s="17"/>
      <c r="G82" s="148"/>
      <c r="H82" s="68"/>
      <c r="I82" s="78"/>
      <c r="J82" s="68"/>
      <c r="K82" s="68"/>
      <c r="L82" s="68"/>
      <c r="M82" s="68"/>
      <c r="N82" s="68"/>
      <c r="O82" s="68"/>
      <c r="P82" s="68"/>
      <c r="Q82" s="68"/>
      <c r="R82" s="68"/>
      <c r="S82" s="76"/>
    </row>
    <row r="83" spans="2:21" s="6" customFormat="1" ht="13.8">
      <c r="B83" s="160" t="s">
        <v>34</v>
      </c>
      <c r="C83" s="31">
        <v>2343124.557445819</v>
      </c>
      <c r="D83" s="31">
        <f>D66-D81</f>
        <v>5784571.5244783582</v>
      </c>
      <c r="E83" s="31">
        <f>E66-E81</f>
        <v>5735604.49600749</v>
      </c>
      <c r="F83" s="31">
        <f>F66-F81</f>
        <v>6379353.7625584379</v>
      </c>
      <c r="G83" s="148"/>
      <c r="H83" s="73"/>
      <c r="I83" s="73">
        <f t="shared" ref="I83" si="28">+I66-I81</f>
        <v>5856816.0595304575</v>
      </c>
      <c r="J83" s="73">
        <f t="shared" ref="J83:S83" si="29">+J66-J81</f>
        <v>6198460.8568765335</v>
      </c>
      <c r="K83" s="73">
        <f t="shared" si="29"/>
        <v>6528200.7600039653</v>
      </c>
      <c r="L83" s="73">
        <f t="shared" si="29"/>
        <v>6774927.2602375001</v>
      </c>
      <c r="M83" s="73">
        <f t="shared" si="29"/>
        <v>7030400.683531451</v>
      </c>
      <c r="N83" s="73">
        <f t="shared" si="29"/>
        <v>7294920.7194779273</v>
      </c>
      <c r="O83" s="73">
        <f t="shared" si="29"/>
        <v>7568797.1246980364</v>
      </c>
      <c r="P83" s="73">
        <f t="shared" si="29"/>
        <v>7852350.0569617953</v>
      </c>
      <c r="Q83" s="73">
        <f t="shared" si="29"/>
        <v>8145910.4203135939</v>
      </c>
      <c r="R83" s="73">
        <f t="shared" si="29"/>
        <v>8449820.2215639893</v>
      </c>
      <c r="S83" s="72">
        <f t="shared" si="29"/>
        <v>8764432.9385203272</v>
      </c>
      <c r="U83" s="11"/>
    </row>
    <row r="84" spans="2:21" ht="5.0999999999999996" customHeight="1">
      <c r="C84" s="31"/>
      <c r="D84" s="31"/>
      <c r="E84" s="31"/>
      <c r="F84" s="41"/>
      <c r="G84" s="148"/>
      <c r="S84" s="77"/>
    </row>
    <row r="85" spans="2:21" s="3" customFormat="1">
      <c r="B85" s="42" t="s">
        <v>74</v>
      </c>
      <c r="C85" s="31"/>
      <c r="D85" s="31"/>
      <c r="E85" s="31"/>
      <c r="F85" s="41"/>
      <c r="G85" s="148"/>
      <c r="H85" s="1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77"/>
    </row>
    <row r="86" spans="2:21" s="3" customFormat="1" ht="5.0999999999999996" customHeight="1">
      <c r="B86" s="45"/>
      <c r="C86" s="31"/>
      <c r="D86" s="31"/>
      <c r="E86" s="31"/>
      <c r="F86" s="41"/>
      <c r="G86" s="55"/>
      <c r="H86" s="4"/>
      <c r="I86" s="75"/>
      <c r="S86" s="74"/>
    </row>
    <row r="87" spans="2:21" s="3" customFormat="1" ht="13.8">
      <c r="B87" s="43" t="s">
        <v>43</v>
      </c>
      <c r="C87" s="31"/>
      <c r="D87" s="31"/>
      <c r="E87" s="46"/>
      <c r="F87" s="30"/>
      <c r="G87" s="55"/>
      <c r="H87" s="4"/>
      <c r="I87" s="73">
        <f>I83-I85</f>
        <v>5856816.0595304575</v>
      </c>
      <c r="J87" s="73">
        <f t="shared" ref="J87:S87" si="30">J83-J85</f>
        <v>6198460.8568765335</v>
      </c>
      <c r="K87" s="73">
        <f t="shared" si="30"/>
        <v>6528200.7600039653</v>
      </c>
      <c r="L87" s="73">
        <f t="shared" si="30"/>
        <v>6774927.2602375001</v>
      </c>
      <c r="M87" s="73">
        <f t="shared" si="30"/>
        <v>7030400.683531451</v>
      </c>
      <c r="N87" s="73">
        <f t="shared" si="30"/>
        <v>7294920.7194779273</v>
      </c>
      <c r="O87" s="73">
        <f t="shared" si="30"/>
        <v>7568797.1246980364</v>
      </c>
      <c r="P87" s="73">
        <f t="shared" si="30"/>
        <v>7852350.0569617953</v>
      </c>
      <c r="Q87" s="73">
        <f t="shared" si="30"/>
        <v>8145910.4203135939</v>
      </c>
      <c r="R87" s="73">
        <f t="shared" si="30"/>
        <v>8449820.2215639893</v>
      </c>
      <c r="S87" s="72">
        <f t="shared" si="30"/>
        <v>8764432.9385203272</v>
      </c>
    </row>
    <row r="88" spans="2:21" s="3" customFormat="1" ht="5.0999999999999996" customHeight="1">
      <c r="B88" s="43"/>
      <c r="C88" s="31"/>
      <c r="D88" s="31"/>
      <c r="E88" s="46"/>
      <c r="F88" s="30"/>
      <c r="G88" s="55"/>
      <c r="H88" s="4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2"/>
    </row>
    <row r="89" spans="2:21" s="3" customFormat="1" ht="13.8">
      <c r="B89" s="45" t="s">
        <v>95</v>
      </c>
      <c r="C89" s="17"/>
      <c r="D89" s="17"/>
      <c r="E89" s="191"/>
      <c r="F89" s="192"/>
      <c r="G89" s="193"/>
      <c r="H89" s="4"/>
      <c r="I89" s="68">
        <f>AND(I40*12&lt;=$H$9)*$H$10*12+AND(I40*12&gt;$H$9)*$H$11*12</f>
        <v>3569414.436272033</v>
      </c>
      <c r="J89" s="68">
        <f t="shared" ref="J89:R89" si="31">AND(J40*12&lt;=$H$9)*$H$10*12+AND(J40*12&gt;$H$9)*$H$11*12</f>
        <v>3569414.436272033</v>
      </c>
      <c r="K89" s="68">
        <f t="shared" si="31"/>
        <v>3569414.436272033</v>
      </c>
      <c r="L89" s="68">
        <f t="shared" si="31"/>
        <v>3569414.436272033</v>
      </c>
      <c r="M89" s="68">
        <f t="shared" si="31"/>
        <v>3569414.436272033</v>
      </c>
      <c r="N89" s="68">
        <f t="shared" si="31"/>
        <v>4505243.1227157796</v>
      </c>
      <c r="O89" s="68">
        <f t="shared" si="31"/>
        <v>4505243.1227157796</v>
      </c>
      <c r="P89" s="68">
        <f t="shared" si="31"/>
        <v>4505243.1227157796</v>
      </c>
      <c r="Q89" s="68">
        <f t="shared" si="31"/>
        <v>4505243.1227157796</v>
      </c>
      <c r="R89" s="68">
        <f t="shared" si="31"/>
        <v>4505243.1227157796</v>
      </c>
      <c r="S89" s="76"/>
    </row>
    <row r="90" spans="2:21" s="3" customFormat="1" ht="5.0999999999999996" customHeight="1">
      <c r="B90" s="43"/>
      <c r="C90" s="31"/>
      <c r="D90" s="31"/>
      <c r="E90" s="46"/>
      <c r="F90" s="30"/>
      <c r="G90" s="55"/>
      <c r="H90" s="4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2"/>
    </row>
    <row r="91" spans="2:21" s="3" customFormat="1" ht="13.8">
      <c r="B91" s="43" t="s">
        <v>96</v>
      </c>
      <c r="C91" s="31"/>
      <c r="D91" s="31"/>
      <c r="E91" s="46"/>
      <c r="F91" s="30"/>
      <c r="G91" s="55"/>
      <c r="H91" s="4"/>
      <c r="I91" s="73">
        <f>+I87-I89</f>
        <v>2287401.6232584245</v>
      </c>
      <c r="J91" s="73">
        <f t="shared" ref="J91:R91" si="32">+J87-J89</f>
        <v>2629046.4206045005</v>
      </c>
      <c r="K91" s="73">
        <f t="shared" si="32"/>
        <v>2958786.3237319323</v>
      </c>
      <c r="L91" s="73">
        <f t="shared" si="32"/>
        <v>3205512.823965467</v>
      </c>
      <c r="M91" s="73">
        <f t="shared" si="32"/>
        <v>3460986.247259418</v>
      </c>
      <c r="N91" s="73">
        <f t="shared" si="32"/>
        <v>2789677.5967621477</v>
      </c>
      <c r="O91" s="73">
        <f t="shared" si="32"/>
        <v>3063554.0019822568</v>
      </c>
      <c r="P91" s="73">
        <f t="shared" si="32"/>
        <v>3347106.9342460157</v>
      </c>
      <c r="Q91" s="73">
        <f t="shared" si="32"/>
        <v>3640667.2975978144</v>
      </c>
      <c r="R91" s="73">
        <f t="shared" si="32"/>
        <v>3944577.0988482097</v>
      </c>
      <c r="S91" s="72"/>
    </row>
    <row r="92" spans="2:21" s="3" customFormat="1" ht="5.0999999999999996" customHeight="1">
      <c r="B92" s="43"/>
      <c r="C92" s="31"/>
      <c r="D92" s="31"/>
      <c r="E92" s="46"/>
      <c r="F92" s="30"/>
      <c r="G92" s="55"/>
      <c r="H92" s="4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2"/>
    </row>
    <row r="93" spans="2:21" s="202" customFormat="1" ht="13.8">
      <c r="B93" s="204" t="s">
        <v>100</v>
      </c>
      <c r="C93" s="205"/>
      <c r="D93" s="205"/>
      <c r="E93" s="206"/>
      <c r="F93" s="207"/>
      <c r="G93" s="208"/>
      <c r="H93" s="203"/>
      <c r="I93" s="211">
        <f t="shared" ref="I93:Q93" si="33">+I83/I89</f>
        <v>1.6408338577930535</v>
      </c>
      <c r="J93" s="211">
        <f t="shared" si="33"/>
        <v>1.736548380005525</v>
      </c>
      <c r="K93" s="211">
        <f t="shared" si="33"/>
        <v>1.8289276508956318</v>
      </c>
      <c r="L93" s="211">
        <f t="shared" si="33"/>
        <v>1.8980500530819189</v>
      </c>
      <c r="M93" s="211">
        <f t="shared" si="33"/>
        <v>1.9696229757153503</v>
      </c>
      <c r="N93" s="211">
        <f t="shared" si="33"/>
        <v>1.6192068931189041</v>
      </c>
      <c r="O93" s="211">
        <f t="shared" si="33"/>
        <v>1.6799974870469441</v>
      </c>
      <c r="P93" s="211">
        <f t="shared" si="33"/>
        <v>1.7429359177909061</v>
      </c>
      <c r="Q93" s="211">
        <f t="shared" si="33"/>
        <v>1.8080956340050311</v>
      </c>
      <c r="R93" s="211">
        <f>+R83/R89</f>
        <v>1.8755525487535514</v>
      </c>
      <c r="S93" s="210"/>
    </row>
    <row r="94" spans="2:21" s="202" customFormat="1" ht="13.8">
      <c r="B94" s="204" t="s">
        <v>101</v>
      </c>
      <c r="C94" s="205"/>
      <c r="D94" s="205"/>
      <c r="E94" s="206"/>
      <c r="F94" s="207"/>
      <c r="G94" s="208"/>
      <c r="H94" s="203"/>
      <c r="I94" s="209"/>
      <c r="J94" s="209"/>
      <c r="K94" s="209"/>
      <c r="L94" s="209"/>
      <c r="M94" s="209"/>
      <c r="N94" s="209"/>
      <c r="O94" s="209"/>
      <c r="P94" s="209"/>
      <c r="Q94" s="209"/>
      <c r="R94" s="212">
        <f>+R83/-R101</f>
        <v>0.13487046954290591</v>
      </c>
      <c r="S94" s="210"/>
    </row>
    <row r="95" spans="2:21" s="3" customFormat="1" ht="5.0999999999999996" customHeight="1">
      <c r="B95" s="43"/>
      <c r="C95" s="31"/>
      <c r="D95" s="31"/>
      <c r="E95" s="46"/>
      <c r="F95" s="30"/>
      <c r="G95" s="55"/>
      <c r="H95" s="4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2"/>
    </row>
    <row r="96" spans="2:21">
      <c r="B96" s="44" t="s">
        <v>44</v>
      </c>
      <c r="C96" s="27"/>
      <c r="D96" s="27"/>
      <c r="E96" s="27"/>
      <c r="F96" s="28"/>
      <c r="G96" s="56"/>
      <c r="H96" s="71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69"/>
    </row>
    <row r="97" spans="2:19">
      <c r="B97" s="43" t="s">
        <v>45</v>
      </c>
      <c r="C97" s="31"/>
      <c r="D97" s="31"/>
      <c r="E97" s="31"/>
      <c r="F97" s="41"/>
      <c r="G97" s="55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74"/>
    </row>
    <row r="98" spans="2:19">
      <c r="B98" s="42" t="s">
        <v>46</v>
      </c>
      <c r="C98" s="31"/>
      <c r="D98" s="31"/>
      <c r="E98" s="31"/>
      <c r="F98" s="41"/>
      <c r="G98" s="55"/>
      <c r="H98" s="4"/>
      <c r="I98" s="60"/>
      <c r="J98" s="3"/>
      <c r="K98" s="3"/>
      <c r="L98" s="3"/>
      <c r="M98" s="3"/>
      <c r="N98" s="3"/>
      <c r="O98" s="3"/>
      <c r="P98" s="3"/>
      <c r="Q98" s="3"/>
      <c r="R98" s="68">
        <f>S83/C13</f>
        <v>156507731.04500583</v>
      </c>
      <c r="S98" s="144"/>
    </row>
    <row r="99" spans="2:19" ht="16.2">
      <c r="B99" s="42" t="s">
        <v>47</v>
      </c>
      <c r="C99" s="31"/>
      <c r="D99" s="31"/>
      <c r="E99" s="31"/>
      <c r="F99" s="41"/>
      <c r="G99" s="55"/>
      <c r="H99" s="4"/>
      <c r="I99" s="60"/>
      <c r="J99" s="3"/>
      <c r="K99" s="3"/>
      <c r="L99" s="3"/>
      <c r="M99" s="3"/>
      <c r="N99" s="3"/>
      <c r="O99" s="3"/>
      <c r="P99" s="3"/>
      <c r="Q99" s="3"/>
      <c r="R99" s="67">
        <f>R98*-C15</f>
        <v>-4695231.9313501744</v>
      </c>
      <c r="S99" s="144"/>
    </row>
    <row r="100" spans="2:19">
      <c r="B100" s="194" t="s">
        <v>45</v>
      </c>
      <c r="C100" s="195"/>
      <c r="D100" s="195"/>
      <c r="E100" s="195"/>
      <c r="F100" s="196"/>
      <c r="G100" s="197"/>
      <c r="H100" s="198"/>
      <c r="I100" s="199"/>
      <c r="J100" s="200"/>
      <c r="K100" s="200"/>
      <c r="L100" s="200"/>
      <c r="M100" s="200"/>
      <c r="N100" s="200"/>
      <c r="O100" s="200"/>
      <c r="P100" s="200"/>
      <c r="Q100" s="200"/>
      <c r="R100" s="68">
        <f>SUM(R98:R99)</f>
        <v>151812499.11365566</v>
      </c>
      <c r="S100" s="144"/>
    </row>
    <row r="101" spans="2:19" ht="16.2">
      <c r="B101" s="201" t="s">
        <v>97</v>
      </c>
      <c r="C101" s="195"/>
      <c r="D101" s="195"/>
      <c r="E101" s="195"/>
      <c r="F101" s="196"/>
      <c r="G101" s="197"/>
      <c r="H101" s="198"/>
      <c r="I101" s="199"/>
      <c r="J101" s="200"/>
      <c r="K101" s="200"/>
      <c r="L101" s="200"/>
      <c r="M101" s="200"/>
      <c r="N101" s="200"/>
      <c r="O101" s="200"/>
      <c r="P101" s="200"/>
      <c r="Q101" s="200"/>
      <c r="R101" s="67">
        <f>-H12</f>
        <v>-62651373.945694424</v>
      </c>
      <c r="S101" s="144"/>
    </row>
    <row r="102" spans="2:19">
      <c r="B102" s="40" t="s">
        <v>98</v>
      </c>
      <c r="C102" s="39"/>
      <c r="D102" s="39"/>
      <c r="E102" s="39"/>
      <c r="F102" s="38"/>
      <c r="G102" s="54"/>
      <c r="H102" s="48"/>
      <c r="I102" s="66"/>
      <c r="J102" s="65"/>
      <c r="K102" s="65"/>
      <c r="L102" s="65"/>
      <c r="M102" s="65"/>
      <c r="N102" s="65"/>
      <c r="O102" s="65"/>
      <c r="P102" s="65"/>
      <c r="Q102" s="165"/>
      <c r="R102" s="61">
        <f>R101+R100</f>
        <v>89161125.16796124</v>
      </c>
      <c r="S102" s="145"/>
    </row>
    <row r="103" spans="2:19">
      <c r="H103" s="4"/>
      <c r="I103" s="60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2:19">
      <c r="B104" s="53" t="s">
        <v>48</v>
      </c>
      <c r="C104" s="52"/>
      <c r="D104" s="52"/>
      <c r="E104" s="52"/>
      <c r="F104" s="52"/>
      <c r="G104" s="51"/>
      <c r="H104" s="51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3"/>
    </row>
    <row r="105" spans="2:19">
      <c r="B105" s="50"/>
      <c r="C105" s="48"/>
      <c r="D105" s="48"/>
      <c r="E105" s="49"/>
      <c r="F105" s="48"/>
      <c r="G105" s="48"/>
      <c r="H105" s="62">
        <f>+H45+H87+H100</f>
        <v>-113821142.28898814</v>
      </c>
      <c r="I105" s="61">
        <f t="shared" ref="I105:R105" si="34">+I45+I87+I100</f>
        <v>5856816.0595304575</v>
      </c>
      <c r="J105" s="61">
        <f t="shared" si="34"/>
        <v>6198460.8568765335</v>
      </c>
      <c r="K105" s="61">
        <f t="shared" si="34"/>
        <v>6528200.7600039653</v>
      </c>
      <c r="L105" s="61">
        <f t="shared" si="34"/>
        <v>6774927.2602375001</v>
      </c>
      <c r="M105" s="61">
        <f t="shared" si="34"/>
        <v>7030400.683531451</v>
      </c>
      <c r="N105" s="61">
        <f t="shared" si="34"/>
        <v>7294920.7194779273</v>
      </c>
      <c r="O105" s="61">
        <f t="shared" si="34"/>
        <v>7568797.1246980364</v>
      </c>
      <c r="P105" s="61">
        <f t="shared" si="34"/>
        <v>7852350.0569617953</v>
      </c>
      <c r="Q105" s="61">
        <f t="shared" si="34"/>
        <v>8145910.4203135939</v>
      </c>
      <c r="R105" s="61">
        <f t="shared" si="34"/>
        <v>160262319.33521965</v>
      </c>
      <c r="S105" s="145"/>
    </row>
    <row r="106" spans="2:19">
      <c r="B106" s="3"/>
      <c r="C106" s="4"/>
      <c r="D106" s="4"/>
      <c r="E106" s="10"/>
      <c r="F106" s="4"/>
      <c r="G106" s="4"/>
      <c r="H106" s="164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3"/>
    </row>
    <row r="107" spans="2:19">
      <c r="B107" s="53" t="s">
        <v>99</v>
      </c>
      <c r="C107" s="52"/>
      <c r="D107" s="52"/>
      <c r="E107" s="52"/>
      <c r="F107" s="52"/>
      <c r="G107" s="51"/>
      <c r="H107" s="51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3"/>
    </row>
    <row r="108" spans="2:19">
      <c r="B108" s="50"/>
      <c r="C108" s="48"/>
      <c r="D108" s="48"/>
      <c r="E108" s="49"/>
      <c r="F108" s="48"/>
      <c r="G108" s="48"/>
      <c r="H108" s="62">
        <f t="shared" ref="H108:R108" si="35">H47+H91+H102</f>
        <v>-45832295.883806556</v>
      </c>
      <c r="I108" s="61">
        <f t="shared" si="35"/>
        <v>2287401.6232584245</v>
      </c>
      <c r="J108" s="61">
        <f t="shared" si="35"/>
        <v>2629046.4206045005</v>
      </c>
      <c r="K108" s="61">
        <f t="shared" si="35"/>
        <v>2958786.3237319323</v>
      </c>
      <c r="L108" s="61">
        <f t="shared" si="35"/>
        <v>3205512.823965467</v>
      </c>
      <c r="M108" s="61">
        <f t="shared" si="35"/>
        <v>3460986.247259418</v>
      </c>
      <c r="N108" s="61">
        <f t="shared" si="35"/>
        <v>2789677.5967621477</v>
      </c>
      <c r="O108" s="61">
        <f t="shared" si="35"/>
        <v>3063554.0019822568</v>
      </c>
      <c r="P108" s="61">
        <f t="shared" si="35"/>
        <v>3347106.9342460157</v>
      </c>
      <c r="Q108" s="61">
        <f t="shared" si="35"/>
        <v>3640667.2975978144</v>
      </c>
      <c r="R108" s="61">
        <f t="shared" si="35"/>
        <v>93105702.266809449</v>
      </c>
      <c r="S108" s="145"/>
    </row>
    <row r="109" spans="2:19">
      <c r="B109" s="3"/>
      <c r="C109" s="4"/>
      <c r="D109" s="4"/>
      <c r="E109" s="10"/>
      <c r="F109" s="4"/>
      <c r="G109" s="4"/>
      <c r="H109" s="164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3"/>
    </row>
    <row r="110" spans="2:19">
      <c r="B110" s="3"/>
      <c r="C110" s="4"/>
      <c r="D110" s="4"/>
      <c r="E110" s="10"/>
      <c r="F110" s="4"/>
      <c r="G110" s="4"/>
      <c r="H110" s="164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3"/>
    </row>
    <row r="111" spans="2:19">
      <c r="B111" s="3"/>
      <c r="C111" s="4"/>
      <c r="D111" s="4"/>
      <c r="E111" s="10"/>
      <c r="F111" s="4"/>
      <c r="G111" s="4"/>
      <c r="H111" s="164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3"/>
    </row>
    <row r="112" spans="2:19"/>
    <row r="113" spans="3:10" hidden="1">
      <c r="C113"/>
      <c r="D113"/>
      <c r="E113"/>
      <c r="F113"/>
      <c r="G113"/>
      <c r="H113"/>
      <c r="I113"/>
    </row>
    <row r="114" spans="3:10" hidden="1">
      <c r="C114"/>
      <c r="D114"/>
      <c r="E114"/>
      <c r="F114"/>
      <c r="G114"/>
      <c r="H114"/>
      <c r="I114"/>
    </row>
    <row r="115" spans="3:10" hidden="1">
      <c r="C115"/>
      <c r="D115"/>
      <c r="E115"/>
      <c r="F115"/>
      <c r="G115"/>
      <c r="H115"/>
      <c r="I115"/>
    </row>
    <row r="116" spans="3:10" hidden="1">
      <c r="C116"/>
      <c r="D116"/>
      <c r="E116"/>
      <c r="F116"/>
      <c r="G116"/>
      <c r="H116"/>
      <c r="I116"/>
    </row>
    <row r="117" spans="3:10" hidden="1">
      <c r="C117"/>
      <c r="D117"/>
      <c r="E117"/>
      <c r="F117"/>
      <c r="G117"/>
      <c r="H117"/>
      <c r="I117"/>
    </row>
    <row r="118" spans="3:10" hidden="1">
      <c r="C118"/>
      <c r="D118"/>
      <c r="E118"/>
      <c r="F118"/>
      <c r="G118"/>
      <c r="H118"/>
      <c r="I118"/>
    </row>
    <row r="119" spans="3:10" hidden="1">
      <c r="C119"/>
      <c r="D119"/>
      <c r="E119"/>
      <c r="F119"/>
      <c r="G119"/>
      <c r="H119"/>
      <c r="I119"/>
      <c r="J119" s="3"/>
    </row>
    <row r="120" spans="3:10" hidden="1">
      <c r="C120"/>
      <c r="D120"/>
      <c r="E120"/>
      <c r="F120"/>
      <c r="G120"/>
      <c r="H120"/>
      <c r="I120"/>
      <c r="J120" s="154"/>
    </row>
    <row r="121" spans="3:10" hidden="1">
      <c r="C121"/>
      <c r="D121"/>
      <c r="E121"/>
      <c r="F121"/>
      <c r="G121"/>
      <c r="H121"/>
      <c r="I121"/>
      <c r="J121" s="154"/>
    </row>
    <row r="122" spans="3:10" hidden="1">
      <c r="C122"/>
      <c r="D122"/>
      <c r="E122"/>
      <c r="F122"/>
      <c r="G122"/>
      <c r="H122"/>
      <c r="I122"/>
      <c r="J122" s="154"/>
    </row>
    <row r="123" spans="3:10" hidden="1">
      <c r="C123"/>
      <c r="D123"/>
      <c r="E123"/>
      <c r="F123"/>
      <c r="G123"/>
      <c r="H123"/>
      <c r="I123"/>
      <c r="J123" s="154"/>
    </row>
    <row r="124" spans="3:10" hidden="1">
      <c r="C124"/>
      <c r="D124"/>
      <c r="E124"/>
      <c r="F124"/>
      <c r="G124"/>
      <c r="H124"/>
      <c r="I124"/>
      <c r="J124" s="154"/>
    </row>
    <row r="125" spans="3:10" hidden="1">
      <c r="C125"/>
      <c r="D125"/>
      <c r="E125"/>
      <c r="F125"/>
      <c r="G125"/>
      <c r="H125"/>
      <c r="I125"/>
      <c r="J125" s="154"/>
    </row>
    <row r="126" spans="3:10" hidden="1">
      <c r="C126"/>
      <c r="D126"/>
      <c r="E126"/>
      <c r="F126"/>
      <c r="G126"/>
      <c r="H126"/>
      <c r="I126"/>
      <c r="J126" s="154"/>
    </row>
    <row r="127" spans="3:10" hidden="1">
      <c r="C127"/>
      <c r="D127"/>
      <c r="E127"/>
      <c r="F127"/>
      <c r="G127"/>
      <c r="H127"/>
      <c r="I127"/>
      <c r="J127" s="154"/>
    </row>
    <row r="128" spans="3:10" hidden="1">
      <c r="C128"/>
      <c r="D128"/>
      <c r="E128"/>
      <c r="F128"/>
      <c r="G128"/>
      <c r="H128"/>
      <c r="I128"/>
      <c r="J128" s="154"/>
    </row>
    <row r="129" spans="3:10" hidden="1">
      <c r="C129"/>
      <c r="D129"/>
      <c r="E129"/>
      <c r="F129"/>
      <c r="G129"/>
      <c r="H129"/>
      <c r="I129"/>
      <c r="J129" s="154"/>
    </row>
    <row r="130" spans="3:10" hidden="1">
      <c r="C130"/>
      <c r="D130"/>
      <c r="E130"/>
      <c r="F130"/>
      <c r="G130"/>
      <c r="H130"/>
      <c r="I130"/>
      <c r="J130" s="154"/>
    </row>
    <row r="131" spans="3:10" hidden="1">
      <c r="C131"/>
      <c r="D131"/>
      <c r="E131"/>
      <c r="F131"/>
      <c r="G131"/>
      <c r="H131"/>
      <c r="I131"/>
      <c r="J131" s="154"/>
    </row>
    <row r="132" spans="3:10" hidden="1">
      <c r="C132"/>
      <c r="D132"/>
      <c r="E132"/>
      <c r="F132"/>
      <c r="G132"/>
      <c r="H132"/>
      <c r="I132"/>
      <c r="J132" s="154"/>
    </row>
    <row r="133" spans="3:10" hidden="1">
      <c r="C133"/>
      <c r="D133"/>
      <c r="E133"/>
      <c r="F133"/>
      <c r="G133"/>
      <c r="H133"/>
      <c r="I133"/>
      <c r="J133" s="155"/>
    </row>
    <row r="134" spans="3:10" hidden="1">
      <c r="C134"/>
      <c r="D134"/>
      <c r="E134"/>
      <c r="F134"/>
      <c r="G134"/>
      <c r="H134"/>
      <c r="I134"/>
      <c r="J134" s="155"/>
    </row>
    <row r="135" spans="3:10" hidden="1">
      <c r="C135"/>
      <c r="D135"/>
      <c r="E135"/>
      <c r="F135"/>
      <c r="G135"/>
      <c r="H135"/>
      <c r="I135"/>
      <c r="J135" s="154"/>
    </row>
    <row r="136" spans="3:10" hidden="1">
      <c r="C136"/>
      <c r="D136"/>
      <c r="E136"/>
      <c r="F136"/>
      <c r="G136"/>
      <c r="H136"/>
      <c r="I136"/>
      <c r="J136" s="12"/>
    </row>
    <row r="137" spans="3:10" hidden="1">
      <c r="C137"/>
      <c r="D137"/>
      <c r="E137"/>
      <c r="F137"/>
      <c r="G137"/>
      <c r="H137"/>
      <c r="I137"/>
      <c r="J137" s="12"/>
    </row>
    <row r="138" spans="3:10" hidden="1">
      <c r="C138"/>
      <c r="D138"/>
      <c r="E138"/>
      <c r="F138"/>
      <c r="G138"/>
      <c r="H138"/>
      <c r="I138"/>
      <c r="J138" s="154"/>
    </row>
    <row r="139" spans="3:10" hidden="1">
      <c r="C139"/>
      <c r="D139"/>
      <c r="E139"/>
      <c r="F139"/>
      <c r="G139"/>
      <c r="H139"/>
      <c r="I139"/>
      <c r="J139" s="154"/>
    </row>
    <row r="140" spans="3:10" hidden="1">
      <c r="C140"/>
      <c r="D140"/>
      <c r="E140"/>
      <c r="F140"/>
      <c r="G140"/>
      <c r="H140"/>
      <c r="I140"/>
      <c r="J140" s="154"/>
    </row>
    <row r="141" spans="3:10" hidden="1">
      <c r="C141"/>
      <c r="D141"/>
      <c r="E141"/>
      <c r="F141"/>
      <c r="G141"/>
      <c r="H141"/>
      <c r="I141"/>
      <c r="J141" s="154"/>
    </row>
    <row r="142" spans="3:10" hidden="1">
      <c r="C142"/>
      <c r="D142"/>
      <c r="E142"/>
      <c r="F142"/>
      <c r="G142"/>
      <c r="H142"/>
      <c r="I142"/>
      <c r="J142" s="154"/>
    </row>
    <row r="143" spans="3:10" hidden="1">
      <c r="C143"/>
      <c r="D143"/>
      <c r="E143"/>
      <c r="F143"/>
      <c r="G143"/>
      <c r="H143"/>
      <c r="I143"/>
      <c r="J143" s="154"/>
    </row>
    <row r="144" spans="3:10" hidden="1">
      <c r="C144"/>
      <c r="D144"/>
      <c r="E144"/>
      <c r="F144"/>
      <c r="G144"/>
      <c r="H144"/>
      <c r="I144"/>
      <c r="J144" s="154"/>
    </row>
    <row r="145" spans="3:10" hidden="1">
      <c r="C145"/>
      <c r="D145"/>
      <c r="E145"/>
      <c r="F145"/>
      <c r="G145"/>
      <c r="H145"/>
      <c r="I145"/>
      <c r="J145" s="154"/>
    </row>
    <row r="146" spans="3:10" hidden="1">
      <c r="C146"/>
      <c r="D146"/>
      <c r="E146"/>
      <c r="F146"/>
      <c r="G146"/>
      <c r="H146"/>
      <c r="I146"/>
      <c r="J146" s="154"/>
    </row>
    <row r="147" spans="3:10" hidden="1">
      <c r="C147"/>
      <c r="D147"/>
      <c r="E147"/>
      <c r="F147"/>
      <c r="G147"/>
      <c r="H147"/>
      <c r="I147"/>
      <c r="J147" s="154"/>
    </row>
    <row r="148" spans="3:10" hidden="1">
      <c r="C148"/>
      <c r="D148"/>
      <c r="E148"/>
      <c r="F148"/>
      <c r="G148"/>
      <c r="H148"/>
      <c r="I148"/>
      <c r="J148" s="154"/>
    </row>
    <row r="149" spans="3:10" hidden="1">
      <c r="C149"/>
      <c r="D149"/>
      <c r="E149"/>
      <c r="F149"/>
      <c r="G149"/>
      <c r="H149"/>
      <c r="I149"/>
      <c r="J149" s="12"/>
    </row>
    <row r="150" spans="3:10" hidden="1">
      <c r="C150"/>
      <c r="D150"/>
      <c r="E150"/>
      <c r="F150"/>
      <c r="G150"/>
      <c r="H150"/>
      <c r="I150"/>
      <c r="J150" s="154"/>
    </row>
    <row r="151" spans="3:10" hidden="1">
      <c r="C151"/>
      <c r="D151"/>
      <c r="E151"/>
      <c r="F151"/>
      <c r="G151"/>
      <c r="H151"/>
      <c r="I151"/>
      <c r="J151" s="156"/>
    </row>
    <row r="152" spans="3:10" hidden="1">
      <c r="C152"/>
      <c r="D152"/>
      <c r="E152"/>
      <c r="F152"/>
      <c r="G152"/>
      <c r="H152"/>
      <c r="I152"/>
      <c r="J152" s="157"/>
    </row>
    <row r="153" spans="3:10" hidden="1">
      <c r="C153"/>
      <c r="D153"/>
      <c r="E153"/>
      <c r="F153"/>
      <c r="G153"/>
      <c r="H153"/>
      <c r="I153"/>
      <c r="J153" s="154"/>
    </row>
    <row r="154" spans="3:10">
      <c r="C154"/>
      <c r="D154"/>
      <c r="E154"/>
      <c r="F154"/>
      <c r="G154"/>
      <c r="H154"/>
      <c r="I154"/>
    </row>
    <row r="155" spans="3:10">
      <c r="C155"/>
      <c r="D155"/>
      <c r="E155"/>
      <c r="F155"/>
      <c r="G155"/>
      <c r="H155"/>
      <c r="I155"/>
    </row>
    <row r="156" spans="3:10">
      <c r="C156"/>
      <c r="D156"/>
      <c r="E156"/>
      <c r="F156"/>
      <c r="G156"/>
      <c r="H156"/>
      <c r="I15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Levered 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David Polnick</cp:lastModifiedBy>
  <dcterms:created xsi:type="dcterms:W3CDTF">2018-06-11T02:52:26Z</dcterms:created>
  <dcterms:modified xsi:type="dcterms:W3CDTF">2026-10-12T18:01:11Z</dcterms:modified>
</cp:coreProperties>
</file>