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P\Downloads\CRE Analyst Portfolio\6. Modeling Development Cash Flow\"/>
    </mc:Choice>
  </mc:AlternateContent>
  <xr:revisionPtr revIDLastSave="0" documentId="8_{31F3B982-EA3A-406D-BFD7-A889C642FF04}" xr6:coauthVersionLast="47" xr6:coauthVersionMax="47" xr10:uidLastSave="{00000000-0000-0000-0000-000000000000}"/>
  <bookViews>
    <workbookView xWindow="-108" yWindow="-108" windowWidth="23256" windowHeight="12456" activeTab="1" xr2:uid="{AF2AA87E-8B14-475E-BCF8-6C2CD25F4FDF}"/>
  </bookViews>
  <sheets>
    <sheet name="Cover Page" sheetId="7" r:id="rId1"/>
    <sheet name="Summary" sheetId="4" r:id="rId2"/>
    <sheet name="Area" sheetId="1" r:id="rId3"/>
    <sheet name="Budget" sheetId="2" r:id="rId4"/>
    <sheet name="MonthlyCF" sheetId="3" r:id="rId5"/>
    <sheet name="OpProj" sheetId="6" r:id="rId6"/>
  </sheets>
  <definedNames>
    <definedName name="_xlnm.Print_Area" localSheetId="2">Area!$A$1:$K$35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4" l="1"/>
  <c r="L22" i="4"/>
  <c r="L20" i="4"/>
  <c r="L19" i="4"/>
  <c r="L18" i="4"/>
  <c r="K22" i="4"/>
  <c r="K20" i="4"/>
  <c r="K19" i="4"/>
  <c r="K18" i="4"/>
  <c r="C27" i="3" l="1"/>
  <c r="C23" i="3"/>
  <c r="C21" i="3"/>
  <c r="C20" i="3"/>
  <c r="C17" i="3"/>
  <c r="C16" i="3"/>
  <c r="BC16" i="3" s="1"/>
  <c r="B15" i="3"/>
  <c r="AT16" i="3" l="1"/>
  <c r="AU16" i="3"/>
  <c r="K16" i="3"/>
  <c r="AS16" i="3"/>
  <c r="N16" i="3"/>
  <c r="O16" i="3"/>
  <c r="X16" i="3"/>
  <c r="BD16" i="3"/>
  <c r="BE16" i="3"/>
  <c r="AP16" i="3"/>
  <c r="M16" i="3"/>
  <c r="Z16" i="3"/>
  <c r="BF16" i="3"/>
  <c r="AO16" i="3"/>
  <c r="AR16" i="3"/>
  <c r="AA16" i="3"/>
  <c r="BG16" i="3"/>
  <c r="BH16" i="3"/>
  <c r="AC16" i="3"/>
  <c r="BI16" i="3"/>
  <c r="AB16" i="3"/>
  <c r="BJ16" i="3"/>
  <c r="AQ16" i="3"/>
  <c r="Y16" i="3"/>
  <c r="AE16" i="3"/>
  <c r="BK16" i="3"/>
  <c r="L16" i="3"/>
  <c r="AD16" i="3"/>
  <c r="AN16" i="3"/>
  <c r="P16" i="3"/>
  <c r="AF16" i="3"/>
  <c r="AV16" i="3"/>
  <c r="BL16" i="3"/>
  <c r="BM23" i="3"/>
  <c r="AW23" i="3"/>
  <c r="AG23" i="3"/>
  <c r="Q23" i="3"/>
  <c r="BC23" i="3"/>
  <c r="BL23" i="3"/>
  <c r="AV23" i="3"/>
  <c r="AF23" i="3"/>
  <c r="P23" i="3"/>
  <c r="BF23" i="3"/>
  <c r="Y23" i="3"/>
  <c r="AN23" i="3"/>
  <c r="AM23" i="3"/>
  <c r="BK23" i="3"/>
  <c r="AU23" i="3"/>
  <c r="AE23" i="3"/>
  <c r="O23" i="3"/>
  <c r="AQ23" i="3"/>
  <c r="Z23" i="3"/>
  <c r="W23" i="3"/>
  <c r="BJ23" i="3"/>
  <c r="AT23" i="3"/>
  <c r="AD23" i="3"/>
  <c r="N23" i="3"/>
  <c r="AO23" i="3"/>
  <c r="K23" i="3"/>
  <c r="BI23" i="3"/>
  <c r="AS23" i="3"/>
  <c r="AC23" i="3"/>
  <c r="M23" i="3"/>
  <c r="AA23" i="3"/>
  <c r="BD23" i="3"/>
  <c r="BH23" i="3"/>
  <c r="AR23" i="3"/>
  <c r="AB23" i="3"/>
  <c r="L23" i="3"/>
  <c r="BG23" i="3"/>
  <c r="AP23" i="3"/>
  <c r="BE23" i="3"/>
  <c r="X23" i="3"/>
  <c r="BP23" i="3"/>
  <c r="AZ23" i="3"/>
  <c r="AJ23" i="3"/>
  <c r="T23" i="3"/>
  <c r="BO23" i="3"/>
  <c r="AY23" i="3"/>
  <c r="AI23" i="3"/>
  <c r="S23" i="3"/>
  <c r="BN23" i="3"/>
  <c r="AX23" i="3"/>
  <c r="AH23" i="3"/>
  <c r="R23" i="3"/>
  <c r="BQ23" i="3"/>
  <c r="AL23" i="3"/>
  <c r="AK23" i="3"/>
  <c r="BB23" i="3"/>
  <c r="V23" i="3"/>
  <c r="BA23" i="3"/>
  <c r="U23" i="3"/>
  <c r="BR23" i="3"/>
  <c r="T16" i="3"/>
  <c r="AJ16" i="3"/>
  <c r="AZ16" i="3"/>
  <c r="BP16" i="3"/>
  <c r="U16" i="3"/>
  <c r="AK16" i="3"/>
  <c r="BA16" i="3"/>
  <c r="BQ16" i="3"/>
  <c r="AL27" i="3"/>
  <c r="K27" i="3"/>
  <c r="V16" i="3"/>
  <c r="AL16" i="3"/>
  <c r="BB16" i="3"/>
  <c r="BR16" i="3"/>
  <c r="BD17" i="3"/>
  <c r="AN17" i="3"/>
  <c r="X17" i="3"/>
  <c r="AV17" i="3"/>
  <c r="AU17" i="3"/>
  <c r="BC17" i="3"/>
  <c r="AM17" i="3"/>
  <c r="W17" i="3"/>
  <c r="Q17" i="3"/>
  <c r="BL17" i="3"/>
  <c r="P17" i="3"/>
  <c r="BR17" i="3"/>
  <c r="BB17" i="3"/>
  <c r="AL17" i="3"/>
  <c r="V17" i="3"/>
  <c r="AX17" i="3"/>
  <c r="AG17" i="3"/>
  <c r="AE17" i="3"/>
  <c r="BQ17" i="3"/>
  <c r="BA17" i="3"/>
  <c r="AK17" i="3"/>
  <c r="U17" i="3"/>
  <c r="AW17" i="3"/>
  <c r="AF17" i="3"/>
  <c r="BP17" i="3"/>
  <c r="AZ17" i="3"/>
  <c r="AJ17" i="3"/>
  <c r="T17" i="3"/>
  <c r="S17" i="3"/>
  <c r="AH17" i="3"/>
  <c r="BO17" i="3"/>
  <c r="AY17" i="3"/>
  <c r="AI17" i="3"/>
  <c r="BN17" i="3"/>
  <c r="R17" i="3"/>
  <c r="BM17" i="3"/>
  <c r="BK17" i="3"/>
  <c r="O17" i="3"/>
  <c r="BE17" i="3"/>
  <c r="AO17" i="3"/>
  <c r="Y17" i="3"/>
  <c r="AS17" i="3"/>
  <c r="AR17" i="3"/>
  <c r="AQ17" i="3"/>
  <c r="AP17" i="3"/>
  <c r="AB17" i="3"/>
  <c r="AA17" i="3"/>
  <c r="L17" i="3"/>
  <c r="BH17" i="3"/>
  <c r="AT17" i="3"/>
  <c r="Z17" i="3"/>
  <c r="N17" i="3"/>
  <c r="M17" i="3"/>
  <c r="K17" i="3"/>
  <c r="AD17" i="3"/>
  <c r="AC17" i="3"/>
  <c r="BI17" i="3"/>
  <c r="BJ17" i="3"/>
  <c r="BG17" i="3"/>
  <c r="BF17" i="3"/>
  <c r="Q16" i="3"/>
  <c r="AG16" i="3"/>
  <c r="AW16" i="3"/>
  <c r="BM16" i="3"/>
  <c r="BH20" i="3"/>
  <c r="AR20" i="3"/>
  <c r="AB20" i="3"/>
  <c r="L20" i="3"/>
  <c r="BP20" i="3"/>
  <c r="BO20" i="3"/>
  <c r="BG20" i="3"/>
  <c r="AQ20" i="3"/>
  <c r="AA20" i="3"/>
  <c r="K20" i="3"/>
  <c r="AK20" i="3"/>
  <c r="S20" i="3"/>
  <c r="BF20" i="3"/>
  <c r="AP20" i="3"/>
  <c r="Z20" i="3"/>
  <c r="BR20" i="3"/>
  <c r="U20" i="3"/>
  <c r="AJ20" i="3"/>
  <c r="BE20" i="3"/>
  <c r="AO20" i="3"/>
  <c r="Y20" i="3"/>
  <c r="AL20" i="3"/>
  <c r="BA20" i="3"/>
  <c r="AY20" i="3"/>
  <c r="BD20" i="3"/>
  <c r="AN20" i="3"/>
  <c r="X20" i="3"/>
  <c r="V20" i="3"/>
  <c r="BQ20" i="3"/>
  <c r="T20" i="3"/>
  <c r="AI20" i="3"/>
  <c r="BC20" i="3"/>
  <c r="AM20" i="3"/>
  <c r="W20" i="3"/>
  <c r="BB20" i="3"/>
  <c r="AZ20" i="3"/>
  <c r="BK20" i="3"/>
  <c r="AU20" i="3"/>
  <c r="AE20" i="3"/>
  <c r="BJ20" i="3"/>
  <c r="AT20" i="3"/>
  <c r="AD20" i="3"/>
  <c r="N20" i="3"/>
  <c r="BI20" i="3"/>
  <c r="AS20" i="3"/>
  <c r="AC20" i="3"/>
  <c r="M20" i="3"/>
  <c r="BN20" i="3"/>
  <c r="Q20" i="3"/>
  <c r="BL20" i="3"/>
  <c r="P20" i="3"/>
  <c r="BM20" i="3"/>
  <c r="O20" i="3"/>
  <c r="AW20" i="3"/>
  <c r="AH20" i="3"/>
  <c r="AF20" i="3"/>
  <c r="R20" i="3"/>
  <c r="AG20" i="3"/>
  <c r="AX20" i="3"/>
  <c r="AV20" i="3"/>
  <c r="R16" i="3"/>
  <c r="AH16" i="3"/>
  <c r="AX16" i="3"/>
  <c r="BN16" i="3"/>
  <c r="BO21" i="3"/>
  <c r="AY21" i="3"/>
  <c r="AI21" i="3"/>
  <c r="S21" i="3"/>
  <c r="BN21" i="3"/>
  <c r="AX21" i="3"/>
  <c r="AH21" i="3"/>
  <c r="R21" i="3"/>
  <c r="K21" i="3"/>
  <c r="AO21" i="3"/>
  <c r="BM21" i="3"/>
  <c r="AW21" i="3"/>
  <c r="AG21" i="3"/>
  <c r="Q21" i="3"/>
  <c r="AR21" i="3"/>
  <c r="BF21" i="3"/>
  <c r="BL21" i="3"/>
  <c r="AV21" i="3"/>
  <c r="AF21" i="3"/>
  <c r="P21" i="3"/>
  <c r="BI21" i="3"/>
  <c r="M21" i="3"/>
  <c r="AB21" i="3"/>
  <c r="BG21" i="3"/>
  <c r="BE21" i="3"/>
  <c r="BK21" i="3"/>
  <c r="AU21" i="3"/>
  <c r="AE21" i="3"/>
  <c r="O21" i="3"/>
  <c r="AC21" i="3"/>
  <c r="L21" i="3"/>
  <c r="AA21" i="3"/>
  <c r="AP21" i="3"/>
  <c r="Y21" i="3"/>
  <c r="BJ21" i="3"/>
  <c r="AT21" i="3"/>
  <c r="AD21" i="3"/>
  <c r="N21" i="3"/>
  <c r="AS21" i="3"/>
  <c r="BH21" i="3"/>
  <c r="AQ21" i="3"/>
  <c r="Z21" i="3"/>
  <c r="BD21" i="3"/>
  <c r="AN21" i="3"/>
  <c r="X21" i="3"/>
  <c r="BC21" i="3"/>
  <c r="AM21" i="3"/>
  <c r="W21" i="3"/>
  <c r="BR21" i="3"/>
  <c r="BB21" i="3"/>
  <c r="AL21" i="3"/>
  <c r="V21" i="3"/>
  <c r="BQ21" i="3"/>
  <c r="BA21" i="3"/>
  <c r="AK21" i="3"/>
  <c r="U21" i="3"/>
  <c r="BP21" i="3"/>
  <c r="AZ21" i="3"/>
  <c r="AJ21" i="3"/>
  <c r="T21" i="3"/>
  <c r="S16" i="3"/>
  <c r="AI16" i="3"/>
  <c r="AY16" i="3"/>
  <c r="BO16" i="3"/>
  <c r="W16" i="3"/>
  <c r="AM16" i="3"/>
  <c r="AO27" i="3"/>
  <c r="M27" i="3"/>
  <c r="AS27" i="3"/>
  <c r="BR27" i="3"/>
  <c r="V27" i="3"/>
  <c r="BB27" i="3"/>
  <c r="AP27" i="3"/>
  <c r="W27" i="3"/>
  <c r="BD27" i="3"/>
  <c r="L27" i="3"/>
  <c r="X27" i="3"/>
  <c r="BE27" i="3"/>
  <c r="AM27" i="3"/>
  <c r="AR27" i="3"/>
  <c r="Z27" i="3"/>
  <c r="BG27" i="3"/>
  <c r="AN27" i="3"/>
  <c r="AQ27" i="3"/>
  <c r="AA27" i="3"/>
  <c r="BH27" i="3"/>
  <c r="AB27" i="3"/>
  <c r="BI27" i="3"/>
  <c r="BC27" i="3"/>
  <c r="Y27" i="3"/>
  <c r="AC27" i="3"/>
  <c r="BJ27" i="3"/>
  <c r="BF27" i="3"/>
  <c r="AD27" i="3"/>
  <c r="O27" i="3"/>
  <c r="P27" i="3"/>
  <c r="BN27" i="3"/>
  <c r="N27" i="3"/>
  <c r="AU27" i="3"/>
  <c r="BM27" i="3"/>
  <c r="AW27" i="3"/>
  <c r="AH27" i="3"/>
  <c r="BO27" i="3"/>
  <c r="S27" i="3"/>
  <c r="AI27" i="3"/>
  <c r="AY27" i="3"/>
  <c r="BP27" i="3"/>
  <c r="BK27" i="3"/>
  <c r="AE27" i="3"/>
  <c r="AV27" i="3"/>
  <c r="AG27" i="3"/>
  <c r="T27" i="3"/>
  <c r="AJ27" i="3"/>
  <c r="AZ27" i="3"/>
  <c r="BQ27" i="3"/>
  <c r="AT27" i="3"/>
  <c r="BL27" i="3"/>
  <c r="AF27" i="3"/>
  <c r="Q27" i="3"/>
  <c r="R27" i="3"/>
  <c r="AX27" i="3"/>
  <c r="U27" i="3"/>
  <c r="AK27" i="3"/>
  <c r="BA27" i="3"/>
  <c r="G53" i="2" l="1"/>
  <c r="F47" i="2"/>
  <c r="E47" i="2"/>
  <c r="G45" i="2"/>
  <c r="F41" i="2"/>
  <c r="E41" i="2"/>
  <c r="F43" i="2"/>
  <c r="E43" i="2"/>
  <c r="E42" i="2"/>
  <c r="F39" i="2"/>
  <c r="E39" i="2"/>
  <c r="F38" i="2"/>
  <c r="E38" i="2"/>
  <c r="E37" i="2"/>
  <c r="F37" i="2"/>
  <c r="F33" i="2"/>
  <c r="F35" i="2"/>
  <c r="F34" i="2"/>
  <c r="E33" i="2"/>
  <c r="F31" i="2"/>
  <c r="E29" i="2"/>
  <c r="F24" i="2"/>
  <c r="C10" i="1"/>
  <c r="G39" i="4"/>
  <c r="C17" i="1"/>
  <c r="D30" i="1"/>
  <c r="D29" i="1"/>
  <c r="D27" i="1"/>
  <c r="D24" i="1"/>
  <c r="D22" i="1"/>
  <c r="E23" i="1"/>
  <c r="D23" i="1" s="1"/>
  <c r="E28" i="1"/>
  <c r="D28" i="1" s="1"/>
  <c r="E27" i="1"/>
  <c r="E26" i="1"/>
  <c r="D26" i="1" s="1"/>
  <c r="E25" i="1"/>
  <c r="D25" i="1" s="1"/>
  <c r="E24" i="1"/>
  <c r="I22" i="1"/>
  <c r="J12" i="6"/>
  <c r="K13" i="6"/>
  <c r="K12" i="6" s="1"/>
  <c r="E30" i="2" l="1"/>
  <c r="F30" i="2" s="1"/>
  <c r="F28" i="2" s="1"/>
  <c r="C16" i="1"/>
  <c r="C12" i="1"/>
  <c r="G24" i="2" s="1"/>
  <c r="L13" i="6"/>
  <c r="C13" i="1"/>
  <c r="E28" i="2" l="1"/>
  <c r="C13" i="3" s="1"/>
  <c r="J13" i="3" s="1"/>
  <c r="G30" i="2"/>
  <c r="G37" i="2"/>
  <c r="G29" i="2"/>
  <c r="G34" i="2"/>
  <c r="E45" i="2"/>
  <c r="C25" i="3" s="1"/>
  <c r="G35" i="2"/>
  <c r="E53" i="2"/>
  <c r="G31" i="2"/>
  <c r="G42" i="2"/>
  <c r="M13" i="6"/>
  <c r="L12" i="6"/>
  <c r="C15" i="1"/>
  <c r="C14" i="1"/>
  <c r="C11" i="1"/>
  <c r="K29" i="3" l="1"/>
  <c r="M29" i="3"/>
  <c r="AG29" i="3"/>
  <c r="BH29" i="3"/>
  <c r="S29" i="3"/>
  <c r="N29" i="3"/>
  <c r="AZ29" i="3"/>
  <c r="AJ29" i="3"/>
  <c r="AC29" i="3"/>
  <c r="BC29" i="3"/>
  <c r="AX29" i="3"/>
  <c r="AF29" i="3"/>
  <c r="BQ29" i="3"/>
  <c r="AE29" i="3"/>
  <c r="P29" i="3"/>
  <c r="AW29" i="3"/>
  <c r="Z29" i="3"/>
  <c r="BE29" i="3"/>
  <c r="AU29" i="3"/>
  <c r="AA29" i="3"/>
  <c r="AV29" i="3"/>
  <c r="AL29" i="3"/>
  <c r="X29" i="3"/>
  <c r="BB29" i="3"/>
  <c r="BG29" i="3"/>
  <c r="BN29" i="3"/>
  <c r="BF29" i="3"/>
  <c r="BK29" i="3"/>
  <c r="Y29" i="3"/>
  <c r="AN29" i="3"/>
  <c r="U29" i="3"/>
  <c r="O29" i="3"/>
  <c r="AI29" i="3"/>
  <c r="AQ29" i="3"/>
  <c r="AT29" i="3"/>
  <c r="AD29" i="3"/>
  <c r="BL29" i="3"/>
  <c r="AP29" i="3"/>
  <c r="BR29" i="3"/>
  <c r="AH29" i="3"/>
  <c r="AY29" i="3"/>
  <c r="BD29" i="3"/>
  <c r="BJ29" i="3"/>
  <c r="BI29" i="3"/>
  <c r="BO29" i="3"/>
  <c r="R29" i="3"/>
  <c r="AR29" i="3"/>
  <c r="W29" i="3"/>
  <c r="AO29" i="3"/>
  <c r="AB29" i="3"/>
  <c r="AS29" i="3"/>
  <c r="BM29" i="3"/>
  <c r="BP29" i="3"/>
  <c r="BA29" i="3"/>
  <c r="Q29" i="3"/>
  <c r="T29" i="3"/>
  <c r="L29" i="3"/>
  <c r="V29" i="3"/>
  <c r="AM29" i="3"/>
  <c r="AK29" i="3"/>
  <c r="G43" i="2"/>
  <c r="G41" i="2" s="1"/>
  <c r="G47" i="2"/>
  <c r="C33" i="3"/>
  <c r="F53" i="2"/>
  <c r="AM25" i="3"/>
  <c r="AK25" i="3"/>
  <c r="AU25" i="3"/>
  <c r="AT25" i="3"/>
  <c r="W25" i="3"/>
  <c r="U25" i="3"/>
  <c r="AD25" i="3"/>
  <c r="AS25" i="3"/>
  <c r="BL25" i="3"/>
  <c r="AF25" i="3"/>
  <c r="BH25" i="3"/>
  <c r="BI25" i="3"/>
  <c r="AV25" i="3"/>
  <c r="BP25" i="3"/>
  <c r="AR25" i="3"/>
  <c r="AC25" i="3"/>
  <c r="P25" i="3"/>
  <c r="AZ25" i="3"/>
  <c r="AB25" i="3"/>
  <c r="M25" i="3"/>
  <c r="O25" i="3"/>
  <c r="AJ25" i="3"/>
  <c r="L25" i="3"/>
  <c r="BJ25" i="3"/>
  <c r="T25" i="3"/>
  <c r="BG25" i="3"/>
  <c r="BR25" i="3"/>
  <c r="R25" i="3"/>
  <c r="AQ25" i="3"/>
  <c r="BB25" i="3"/>
  <c r="BM25" i="3"/>
  <c r="AA25" i="3"/>
  <c r="BC25" i="3"/>
  <c r="Y25" i="3"/>
  <c r="BD25" i="3"/>
  <c r="AL25" i="3"/>
  <c r="BO25" i="3"/>
  <c r="K25" i="3"/>
  <c r="BA25" i="3"/>
  <c r="AN25" i="3"/>
  <c r="V25" i="3"/>
  <c r="AY25" i="3"/>
  <c r="BF25" i="3"/>
  <c r="X25" i="3"/>
  <c r="BN25" i="3"/>
  <c r="AI25" i="3"/>
  <c r="AP25" i="3"/>
  <c r="AG25" i="3"/>
  <c r="BK25" i="3"/>
  <c r="AW25" i="3"/>
  <c r="S25" i="3"/>
  <c r="Z25" i="3"/>
  <c r="AE25" i="3"/>
  <c r="Q25" i="3"/>
  <c r="AX25" i="3"/>
  <c r="BE25" i="3"/>
  <c r="N25" i="3"/>
  <c r="BQ25" i="3"/>
  <c r="AH25" i="3"/>
  <c r="AO25" i="3"/>
  <c r="G33" i="2"/>
  <c r="G28" i="2"/>
  <c r="G38" i="2"/>
  <c r="G39" i="2"/>
  <c r="N13" i="6"/>
  <c r="M12" i="6"/>
  <c r="C84" i="3"/>
  <c r="C83" i="3"/>
  <c r="E29" i="3"/>
  <c r="B15" i="2"/>
  <c r="I21" i="4" s="1"/>
  <c r="C29" i="3" l="1"/>
  <c r="E49" i="2" s="1"/>
  <c r="T33" i="3"/>
  <c r="BM33" i="3"/>
  <c r="AU33" i="3"/>
  <c r="BA33" i="3"/>
  <c r="AR33" i="3"/>
  <c r="AW33" i="3"/>
  <c r="AE33" i="3"/>
  <c r="AK33" i="3"/>
  <c r="AA33" i="3"/>
  <c r="AG33" i="3"/>
  <c r="O33" i="3"/>
  <c r="U33" i="3"/>
  <c r="BO33" i="3"/>
  <c r="Q33" i="3"/>
  <c r="BJ33" i="3"/>
  <c r="BF33" i="3"/>
  <c r="AY33" i="3"/>
  <c r="N33" i="3"/>
  <c r="AS33" i="3"/>
  <c r="BE33" i="3"/>
  <c r="AI33" i="3"/>
  <c r="M33" i="3"/>
  <c r="BG33" i="3"/>
  <c r="Y33" i="3"/>
  <c r="BK33" i="3"/>
  <c r="S33" i="3"/>
  <c r="K33" i="3"/>
  <c r="AP33" i="3"/>
  <c r="AO33" i="3"/>
  <c r="AQ33" i="3"/>
  <c r="L33" i="3"/>
  <c r="BL33" i="3"/>
  <c r="BD33" i="3"/>
  <c r="AN33" i="3"/>
  <c r="BN33" i="3"/>
  <c r="AV33" i="3"/>
  <c r="BC33" i="3"/>
  <c r="X33" i="3"/>
  <c r="AX33" i="3"/>
  <c r="AF33" i="3"/>
  <c r="AM33" i="3"/>
  <c r="AH33" i="3"/>
  <c r="P33" i="3"/>
  <c r="W33" i="3"/>
  <c r="AJ33" i="3"/>
  <c r="R33" i="3"/>
  <c r="AD33" i="3"/>
  <c r="BR33" i="3"/>
  <c r="AT33" i="3"/>
  <c r="BI33" i="3"/>
  <c r="BB33" i="3"/>
  <c r="BP33" i="3"/>
  <c r="AC33" i="3"/>
  <c r="BH33" i="3"/>
  <c r="AL33" i="3"/>
  <c r="BQ33" i="3"/>
  <c r="AZ33" i="3"/>
  <c r="AB33" i="3"/>
  <c r="Z33" i="3"/>
  <c r="V33" i="3"/>
  <c r="O13" i="6"/>
  <c r="N12" i="6"/>
  <c r="C82" i="3"/>
  <c r="F49" i="2" l="1"/>
  <c r="G49" i="2"/>
  <c r="P13" i="6"/>
  <c r="O12" i="6"/>
  <c r="E12" i="6"/>
  <c r="M38" i="4"/>
  <c r="M30" i="4"/>
  <c r="I38" i="4"/>
  <c r="I37" i="4"/>
  <c r="I36" i="4"/>
  <c r="I35" i="4"/>
  <c r="I34" i="4"/>
  <c r="I33" i="4"/>
  <c r="I32" i="4"/>
  <c r="I31" i="4"/>
  <c r="I30" i="4"/>
  <c r="I27" i="4"/>
  <c r="I26" i="4"/>
  <c r="I25" i="4"/>
  <c r="I24" i="4"/>
  <c r="I23" i="4"/>
  <c r="I22" i="4"/>
  <c r="I20" i="4"/>
  <c r="I19" i="4"/>
  <c r="I18" i="4"/>
  <c r="I17" i="4"/>
  <c r="F23" i="4"/>
  <c r="E35" i="3"/>
  <c r="E33" i="3"/>
  <c r="B25" i="3"/>
  <c r="Q13" i="6" l="1"/>
  <c r="P12" i="6"/>
  <c r="G33" i="3"/>
  <c r="F28" i="3"/>
  <c r="E27" i="3"/>
  <c r="E23" i="3"/>
  <c r="E21" i="3"/>
  <c r="E20" i="3"/>
  <c r="E17" i="3"/>
  <c r="E16" i="3"/>
  <c r="F16" i="4"/>
  <c r="J10" i="3"/>
  <c r="E19" i="4"/>
  <c r="E18" i="4"/>
  <c r="F20" i="3" s="1"/>
  <c r="E17" i="4"/>
  <c r="F17" i="3" s="1"/>
  <c r="E16" i="4"/>
  <c r="E15" i="4"/>
  <c r="G15" i="4"/>
  <c r="R13" i="6" l="1"/>
  <c r="Q12" i="6"/>
  <c r="F16" i="3"/>
  <c r="G16" i="3" s="1"/>
  <c r="F27" i="3"/>
  <c r="C21" i="4"/>
  <c r="F27" i="4" s="1"/>
  <c r="F35" i="3"/>
  <c r="F21" i="3"/>
  <c r="G21" i="3" s="1"/>
  <c r="F23" i="3"/>
  <c r="G23" i="3" s="1"/>
  <c r="G17" i="3"/>
  <c r="S13" i="6" l="1"/>
  <c r="R12" i="6"/>
  <c r="F28" i="4"/>
  <c r="E25" i="3"/>
  <c r="F37" i="3"/>
  <c r="G35" i="3"/>
  <c r="E21" i="4"/>
  <c r="C22" i="4"/>
  <c r="T13" i="6" l="1"/>
  <c r="S12" i="6"/>
  <c r="G37" i="3"/>
  <c r="E22" i="4"/>
  <c r="E32" i="3"/>
  <c r="U13" i="6" l="1"/>
  <c r="T12" i="6"/>
  <c r="G20" i="3"/>
  <c r="B37" i="3"/>
  <c r="B35" i="3"/>
  <c r="B33" i="3"/>
  <c r="B32" i="3"/>
  <c r="B31" i="3"/>
  <c r="B29" i="3"/>
  <c r="B27" i="3"/>
  <c r="B23" i="3"/>
  <c r="B21" i="3"/>
  <c r="B20" i="3"/>
  <c r="B19" i="3"/>
  <c r="B17" i="3"/>
  <c r="B16" i="3"/>
  <c r="K9" i="3"/>
  <c r="G21" i="2"/>
  <c r="M27" i="4" s="1"/>
  <c r="F21" i="2"/>
  <c r="L27" i="4" s="1"/>
  <c r="E21" i="2"/>
  <c r="K27" i="4" s="1"/>
  <c r="E12" i="2"/>
  <c r="V13" i="6" l="1"/>
  <c r="U12" i="6"/>
  <c r="L9" i="3"/>
  <c r="K8" i="3"/>
  <c r="C39" i="2"/>
  <c r="M36" i="4"/>
  <c r="M35" i="4"/>
  <c r="W13" i="6" l="1"/>
  <c r="V12" i="6"/>
  <c r="L8" i="3"/>
  <c r="M9" i="3"/>
  <c r="X13" i="6" l="1"/>
  <c r="W12" i="6"/>
  <c r="M32" i="4"/>
  <c r="N9" i="3"/>
  <c r="M8" i="3"/>
  <c r="M31" i="4"/>
  <c r="M34" i="4"/>
  <c r="Y13" i="6" l="1"/>
  <c r="X12" i="6"/>
  <c r="F12" i="2"/>
  <c r="M37" i="4"/>
  <c r="M33" i="4"/>
  <c r="G34" i="4" s="1"/>
  <c r="O9" i="3"/>
  <c r="N8" i="3"/>
  <c r="Z13" i="6" l="1"/>
  <c r="Y12" i="6"/>
  <c r="E13" i="2"/>
  <c r="G13" i="2"/>
  <c r="M19" i="4" s="1"/>
  <c r="F13" i="2"/>
  <c r="G12" i="2"/>
  <c r="M18" i="4" s="1"/>
  <c r="E16" i="2"/>
  <c r="G16" i="2"/>
  <c r="M22" i="4" s="1"/>
  <c r="F16" i="2"/>
  <c r="F14" i="2"/>
  <c r="G15" i="2"/>
  <c r="O8" i="3"/>
  <c r="P9" i="3"/>
  <c r="AA13" i="6" l="1"/>
  <c r="Z12" i="6"/>
  <c r="G11" i="2"/>
  <c r="M17" i="4" s="1"/>
  <c r="F11" i="2"/>
  <c r="L17" i="4" s="1"/>
  <c r="E14" i="2"/>
  <c r="G14" i="2"/>
  <c r="M20" i="4" s="1"/>
  <c r="P8" i="3"/>
  <c r="Q9" i="3"/>
  <c r="AB13" i="6" l="1"/>
  <c r="AA12" i="6"/>
  <c r="E11" i="2"/>
  <c r="K17" i="4" s="1"/>
  <c r="Q8" i="3"/>
  <c r="R9" i="3"/>
  <c r="AC13" i="6" l="1"/>
  <c r="AB12" i="6"/>
  <c r="J38" i="3"/>
  <c r="J41" i="3" s="1"/>
  <c r="I13" i="3"/>
  <c r="S9" i="3"/>
  <c r="R8" i="3"/>
  <c r="AD13" i="6" l="1"/>
  <c r="AC12" i="6"/>
  <c r="T9" i="3"/>
  <c r="S8" i="3"/>
  <c r="AE13" i="6" l="1"/>
  <c r="AD12" i="6"/>
  <c r="U9" i="3"/>
  <c r="T8" i="3"/>
  <c r="AF13" i="6" l="1"/>
  <c r="AE12" i="6"/>
  <c r="U8" i="3"/>
  <c r="V9" i="3"/>
  <c r="AG13" i="6" l="1"/>
  <c r="AF12" i="6"/>
  <c r="W9" i="3"/>
  <c r="V8" i="3"/>
  <c r="AH13" i="6" l="1"/>
  <c r="AG12" i="6"/>
  <c r="X9" i="3"/>
  <c r="W8" i="3"/>
  <c r="AI13" i="6" l="1"/>
  <c r="AH12" i="6"/>
  <c r="X8" i="3"/>
  <c r="Y9" i="3"/>
  <c r="AJ13" i="6" l="1"/>
  <c r="AI12" i="6"/>
  <c r="Y8" i="3"/>
  <c r="Z9" i="3"/>
  <c r="AK13" i="6" l="1"/>
  <c r="AJ12" i="6"/>
  <c r="AA9" i="3"/>
  <c r="Z8" i="3"/>
  <c r="AL13" i="6" l="1"/>
  <c r="AK12" i="6"/>
  <c r="AB9" i="3"/>
  <c r="AA8" i="3"/>
  <c r="AM13" i="6" l="1"/>
  <c r="AL12" i="6"/>
  <c r="AC9" i="3"/>
  <c r="AB8" i="3"/>
  <c r="AN13" i="6" l="1"/>
  <c r="AM12" i="6"/>
  <c r="AD9" i="3"/>
  <c r="AC8" i="3"/>
  <c r="AO13" i="6" l="1"/>
  <c r="AN12" i="6"/>
  <c r="AE9" i="3"/>
  <c r="AD8" i="3"/>
  <c r="AP13" i="6" l="1"/>
  <c r="AO12" i="6"/>
  <c r="AF9" i="3"/>
  <c r="AE8" i="3"/>
  <c r="AQ13" i="6" l="1"/>
  <c r="AP12" i="6"/>
  <c r="AF8" i="3"/>
  <c r="AG9" i="3"/>
  <c r="AR13" i="6" l="1"/>
  <c r="AQ12" i="6"/>
  <c r="AG8" i="3"/>
  <c r="AH9" i="3"/>
  <c r="AS13" i="6" l="1"/>
  <c r="AR12" i="6"/>
  <c r="AI9" i="3"/>
  <c r="AH8" i="3"/>
  <c r="AT13" i="6" l="1"/>
  <c r="AS12" i="6"/>
  <c r="AI8" i="3"/>
  <c r="AJ9" i="3"/>
  <c r="AU13" i="6" l="1"/>
  <c r="AT12" i="6"/>
  <c r="AK9" i="3"/>
  <c r="AJ8" i="3"/>
  <c r="AV13" i="6" l="1"/>
  <c r="AU12" i="6"/>
  <c r="AL9" i="3"/>
  <c r="AK8" i="3"/>
  <c r="AW13" i="6" l="1"/>
  <c r="AV12" i="6"/>
  <c r="AM9" i="3"/>
  <c r="AL8" i="3"/>
  <c r="AX13" i="6" l="1"/>
  <c r="AW12" i="6"/>
  <c r="AN9" i="3"/>
  <c r="AM8" i="3"/>
  <c r="AY13" i="6" l="1"/>
  <c r="AX12" i="6"/>
  <c r="AO9" i="3"/>
  <c r="AN8" i="3"/>
  <c r="AZ13" i="6" l="1"/>
  <c r="AY12" i="6"/>
  <c r="AP9" i="3"/>
  <c r="AO8" i="3"/>
  <c r="BA13" i="6" l="1"/>
  <c r="AZ12" i="6"/>
  <c r="AQ9" i="3"/>
  <c r="AP8" i="3"/>
  <c r="BB13" i="6" l="1"/>
  <c r="BA12" i="6"/>
  <c r="AR9" i="3"/>
  <c r="AQ8" i="3"/>
  <c r="BC13" i="6" l="1"/>
  <c r="BB12" i="6"/>
  <c r="AS9" i="3"/>
  <c r="AR8" i="3"/>
  <c r="BD13" i="6" l="1"/>
  <c r="BC12" i="6"/>
  <c r="AT9" i="3"/>
  <c r="AS8" i="3"/>
  <c r="BE13" i="6" l="1"/>
  <c r="BD12" i="6"/>
  <c r="AU9" i="3"/>
  <c r="AT8" i="3"/>
  <c r="BF13" i="6" l="1"/>
  <c r="BE12" i="6"/>
  <c r="AU8" i="3"/>
  <c r="AV9" i="3"/>
  <c r="BG13" i="6" l="1"/>
  <c r="BF12" i="6"/>
  <c r="AW9" i="3"/>
  <c r="AV8" i="3"/>
  <c r="BH13" i="6" l="1"/>
  <c r="BG12" i="6"/>
  <c r="AX9" i="3"/>
  <c r="AW8" i="3"/>
  <c r="BI13" i="6" l="1"/>
  <c r="BH12" i="6"/>
  <c r="AY9" i="3"/>
  <c r="AX8" i="3"/>
  <c r="BJ13" i="6" l="1"/>
  <c r="BI12" i="6"/>
  <c r="AZ9" i="3"/>
  <c r="AY8" i="3"/>
  <c r="BK13" i="6" l="1"/>
  <c r="BJ12" i="6"/>
  <c r="AZ8" i="3"/>
  <c r="BA9" i="3"/>
  <c r="BL13" i="6" l="1"/>
  <c r="BK12" i="6"/>
  <c r="BB9" i="3"/>
  <c r="BA8" i="3"/>
  <c r="BM13" i="6" l="1"/>
  <c r="BL12" i="6"/>
  <c r="BB8" i="3"/>
  <c r="BC9" i="3"/>
  <c r="BN13" i="6" l="1"/>
  <c r="BM12" i="6"/>
  <c r="BD9" i="3"/>
  <c r="BC8" i="3"/>
  <c r="BO13" i="6" l="1"/>
  <c r="BN12" i="6"/>
  <c r="BE9" i="3"/>
  <c r="BD8" i="3"/>
  <c r="BP13" i="6" l="1"/>
  <c r="BO12" i="6"/>
  <c r="BF9" i="3"/>
  <c r="BE8" i="3"/>
  <c r="BQ13" i="6" l="1"/>
  <c r="BP12" i="6"/>
  <c r="BG9" i="3"/>
  <c r="BF8" i="3"/>
  <c r="BR13" i="6" l="1"/>
  <c r="BQ12" i="6"/>
  <c r="BH9" i="3"/>
  <c r="BG8" i="3"/>
  <c r="BS13" i="6" l="1"/>
  <c r="BR12" i="6"/>
  <c r="BI9" i="3"/>
  <c r="BH8" i="3"/>
  <c r="BT13" i="6" l="1"/>
  <c r="BS12" i="6"/>
  <c r="BJ9" i="3"/>
  <c r="BI8" i="3"/>
  <c r="BU13" i="6" l="1"/>
  <c r="BT12" i="6"/>
  <c r="BK9" i="3"/>
  <c r="BJ8" i="3"/>
  <c r="BV13" i="6" l="1"/>
  <c r="BU12" i="6"/>
  <c r="BL9" i="3"/>
  <c r="BK8" i="3"/>
  <c r="BW13" i="6" l="1"/>
  <c r="BV12" i="6"/>
  <c r="BM9" i="3"/>
  <c r="BL8" i="3"/>
  <c r="BX13" i="6" l="1"/>
  <c r="BW12" i="6"/>
  <c r="BN9" i="3"/>
  <c r="BM8" i="3"/>
  <c r="BY13" i="6" l="1"/>
  <c r="BX12" i="6"/>
  <c r="BO9" i="3"/>
  <c r="BN8" i="3"/>
  <c r="BZ13" i="6" l="1"/>
  <c r="BY12" i="6"/>
  <c r="BO8" i="3"/>
  <c r="BP9" i="3"/>
  <c r="CA13" i="6" l="1"/>
  <c r="BZ12" i="6"/>
  <c r="BQ9" i="3"/>
  <c r="BP8" i="3"/>
  <c r="CB13" i="6" l="1"/>
  <c r="CA12" i="6"/>
  <c r="BR9" i="3"/>
  <c r="BQ8" i="3"/>
  <c r="CC13" i="6" l="1"/>
  <c r="CB12" i="6"/>
  <c r="I33" i="3"/>
  <c r="I27" i="3"/>
  <c r="I21" i="3"/>
  <c r="I20" i="3"/>
  <c r="I23" i="3"/>
  <c r="I17" i="3"/>
  <c r="I25" i="3"/>
  <c r="BR8" i="3"/>
  <c r="CD13" i="6" l="1"/>
  <c r="CC12" i="6"/>
  <c r="G16" i="4"/>
  <c r="K10" i="3"/>
  <c r="CE13" i="6" l="1"/>
  <c r="CD12" i="6"/>
  <c r="L10" i="3"/>
  <c r="CF13" i="6" l="1"/>
  <c r="CE12" i="6"/>
  <c r="F17" i="4"/>
  <c r="G17" i="4" s="1"/>
  <c r="F18" i="4"/>
  <c r="G18" i="4" s="1"/>
  <c r="M10" i="3"/>
  <c r="CG13" i="6" l="1"/>
  <c r="CF12" i="6"/>
  <c r="N10" i="3"/>
  <c r="CH13" i="6" l="1"/>
  <c r="CG12" i="6"/>
  <c r="O10" i="3"/>
  <c r="CI13" i="6" l="1"/>
  <c r="CH12" i="6"/>
  <c r="P10" i="3"/>
  <c r="CJ13" i="6" l="1"/>
  <c r="CI12" i="6"/>
  <c r="Q10" i="3"/>
  <c r="CK13" i="6" l="1"/>
  <c r="CJ12" i="6"/>
  <c r="R10" i="3"/>
  <c r="CL13" i="6" l="1"/>
  <c r="CK12" i="6"/>
  <c r="S10" i="3"/>
  <c r="CM13" i="6" l="1"/>
  <c r="CL12" i="6"/>
  <c r="T10" i="3"/>
  <c r="CN13" i="6" l="1"/>
  <c r="CM12" i="6"/>
  <c r="U10" i="3"/>
  <c r="CO13" i="6" l="1"/>
  <c r="CN12" i="6"/>
  <c r="V10" i="3"/>
  <c r="CP13" i="6" l="1"/>
  <c r="CO12" i="6"/>
  <c r="W10" i="3"/>
  <c r="CQ13" i="6" l="1"/>
  <c r="CP12" i="6"/>
  <c r="X10" i="3"/>
  <c r="CR13" i="6" l="1"/>
  <c r="CQ12" i="6"/>
  <c r="Y10" i="3"/>
  <c r="CS13" i="6" l="1"/>
  <c r="CR12" i="6"/>
  <c r="Z10" i="3"/>
  <c r="CT13" i="6" l="1"/>
  <c r="CS12" i="6"/>
  <c r="AA10" i="3"/>
  <c r="F19" i="4"/>
  <c r="G19" i="4" s="1"/>
  <c r="CU13" i="6" l="1"/>
  <c r="CT12" i="6"/>
  <c r="AB10" i="3"/>
  <c r="CV13" i="6" l="1"/>
  <c r="CU12" i="6"/>
  <c r="AC10" i="3"/>
  <c r="CW13" i="6" l="1"/>
  <c r="CV12" i="6"/>
  <c r="AD10" i="3"/>
  <c r="CX13" i="6" l="1"/>
  <c r="CW12" i="6"/>
  <c r="AE10" i="3"/>
  <c r="CY13" i="6" l="1"/>
  <c r="CX12" i="6"/>
  <c r="AF10" i="3"/>
  <c r="CZ13" i="6" l="1"/>
  <c r="CY12" i="6"/>
  <c r="AG10" i="3"/>
  <c r="DA13" i="6" l="1"/>
  <c r="CZ12" i="6"/>
  <c r="AH10" i="3"/>
  <c r="DB13" i="6" l="1"/>
  <c r="DA12" i="6"/>
  <c r="AI10" i="3"/>
  <c r="DC13" i="6" l="1"/>
  <c r="DB12" i="6"/>
  <c r="AJ10" i="3"/>
  <c r="DD13" i="6" l="1"/>
  <c r="DC12" i="6"/>
  <c r="AK10" i="3"/>
  <c r="DE13" i="6" l="1"/>
  <c r="DD12" i="6"/>
  <c r="AL10" i="3"/>
  <c r="DF13" i="6" l="1"/>
  <c r="DE12" i="6"/>
  <c r="AM10" i="3"/>
  <c r="DG13" i="6" l="1"/>
  <c r="DF12" i="6"/>
  <c r="AN10" i="3"/>
  <c r="DH13" i="6" l="1"/>
  <c r="DG12" i="6"/>
  <c r="AO10" i="3"/>
  <c r="DI13" i="6" l="1"/>
  <c r="DH12" i="6"/>
  <c r="AP10" i="3"/>
  <c r="DJ13" i="6" l="1"/>
  <c r="DI12" i="6"/>
  <c r="AQ10" i="3"/>
  <c r="DK13" i="6" l="1"/>
  <c r="DJ12" i="6"/>
  <c r="AR10" i="3"/>
  <c r="DL13" i="6" l="1"/>
  <c r="DK12" i="6"/>
  <c r="AS10" i="3"/>
  <c r="DM13" i="6" l="1"/>
  <c r="DL12" i="6"/>
  <c r="AT10" i="3"/>
  <c r="DN13" i="6" l="1"/>
  <c r="DM12" i="6"/>
  <c r="AU10" i="3"/>
  <c r="DO13" i="6" l="1"/>
  <c r="DN12" i="6"/>
  <c r="AV10" i="3"/>
  <c r="DP13" i="6" l="1"/>
  <c r="DO12" i="6"/>
  <c r="AW10" i="3"/>
  <c r="G27" i="4" s="1"/>
  <c r="G28" i="4" s="1"/>
  <c r="F21" i="4"/>
  <c r="AX10" i="3"/>
  <c r="DQ13" i="6" l="1"/>
  <c r="DP12" i="6"/>
  <c r="G21" i="4"/>
  <c r="J14" i="6"/>
  <c r="AY10" i="3"/>
  <c r="DR13" i="6" l="1"/>
  <c r="DQ12" i="6"/>
  <c r="AZ10" i="3"/>
  <c r="K14" i="6"/>
  <c r="L14" i="6" s="1"/>
  <c r="M14" i="6" s="1"/>
  <c r="N14" i="6" s="1"/>
  <c r="O14" i="6" s="1"/>
  <c r="P14" i="6" s="1"/>
  <c r="Q14" i="6" s="1"/>
  <c r="R14" i="6" s="1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AG14" i="6" s="1"/>
  <c r="AH14" i="6" s="1"/>
  <c r="AI14" i="6" s="1"/>
  <c r="AJ14" i="6" s="1"/>
  <c r="AK14" i="6" s="1"/>
  <c r="AL14" i="6" s="1"/>
  <c r="AM14" i="6" s="1"/>
  <c r="AN14" i="6" s="1"/>
  <c r="AO14" i="6" s="1"/>
  <c r="AP14" i="6" s="1"/>
  <c r="AQ14" i="6" s="1"/>
  <c r="AR14" i="6" s="1"/>
  <c r="AS14" i="6" s="1"/>
  <c r="AT14" i="6" s="1"/>
  <c r="AU14" i="6" s="1"/>
  <c r="AV14" i="6" s="1"/>
  <c r="AW14" i="6" s="1"/>
  <c r="AX14" i="6" s="1"/>
  <c r="AY14" i="6" s="1"/>
  <c r="AZ14" i="6" s="1"/>
  <c r="BA14" i="6" s="1"/>
  <c r="BB14" i="6" s="1"/>
  <c r="BC14" i="6" s="1"/>
  <c r="BD14" i="6" s="1"/>
  <c r="BE14" i="6" s="1"/>
  <c r="BF14" i="6" s="1"/>
  <c r="BG14" i="6" s="1"/>
  <c r="BH14" i="6" s="1"/>
  <c r="BI14" i="6" s="1"/>
  <c r="BJ14" i="6" s="1"/>
  <c r="BK14" i="6" s="1"/>
  <c r="BL14" i="6" s="1"/>
  <c r="BM14" i="6" s="1"/>
  <c r="BN14" i="6" s="1"/>
  <c r="BO14" i="6" s="1"/>
  <c r="BP14" i="6" s="1"/>
  <c r="BQ14" i="6" s="1"/>
  <c r="BR14" i="6" s="1"/>
  <c r="BS14" i="6" s="1"/>
  <c r="BT14" i="6" s="1"/>
  <c r="BU14" i="6" s="1"/>
  <c r="BV14" i="6" s="1"/>
  <c r="BW14" i="6" s="1"/>
  <c r="BX14" i="6" s="1"/>
  <c r="BY14" i="6" s="1"/>
  <c r="BZ14" i="6" s="1"/>
  <c r="CA14" i="6" s="1"/>
  <c r="CB14" i="6" s="1"/>
  <c r="CC14" i="6" s="1"/>
  <c r="CD14" i="6" s="1"/>
  <c r="CE14" i="6" s="1"/>
  <c r="CF14" i="6" s="1"/>
  <c r="CG14" i="6" s="1"/>
  <c r="CH14" i="6" s="1"/>
  <c r="CI14" i="6" s="1"/>
  <c r="CJ14" i="6" s="1"/>
  <c r="CK14" i="6" s="1"/>
  <c r="CL14" i="6" s="1"/>
  <c r="CM14" i="6" s="1"/>
  <c r="CN14" i="6" s="1"/>
  <c r="CO14" i="6" s="1"/>
  <c r="CP14" i="6" s="1"/>
  <c r="CQ14" i="6" s="1"/>
  <c r="CR14" i="6" s="1"/>
  <c r="CS14" i="6" s="1"/>
  <c r="CT14" i="6" s="1"/>
  <c r="CU14" i="6" s="1"/>
  <c r="CV14" i="6" s="1"/>
  <c r="CW14" i="6" s="1"/>
  <c r="CX14" i="6" s="1"/>
  <c r="CY14" i="6" s="1"/>
  <c r="CZ14" i="6" s="1"/>
  <c r="DA14" i="6" s="1"/>
  <c r="DB14" i="6" s="1"/>
  <c r="DC14" i="6" s="1"/>
  <c r="DD14" i="6" s="1"/>
  <c r="DE14" i="6" s="1"/>
  <c r="DF14" i="6" s="1"/>
  <c r="DG14" i="6" s="1"/>
  <c r="DH14" i="6" s="1"/>
  <c r="DI14" i="6" s="1"/>
  <c r="DJ14" i="6" s="1"/>
  <c r="DK14" i="6" s="1"/>
  <c r="DL14" i="6" s="1"/>
  <c r="DM14" i="6" s="1"/>
  <c r="DN14" i="6" s="1"/>
  <c r="DO14" i="6" s="1"/>
  <c r="DP14" i="6" s="1"/>
  <c r="DQ14" i="6" s="1"/>
  <c r="DR14" i="6" s="1"/>
  <c r="DS14" i="6" s="1"/>
  <c r="DT14" i="6" s="1"/>
  <c r="DU14" i="6" s="1"/>
  <c r="DV14" i="6" s="1"/>
  <c r="DW14" i="6" s="1"/>
  <c r="DX14" i="6" s="1"/>
  <c r="DY14" i="6" s="1"/>
  <c r="DZ14" i="6" s="1"/>
  <c r="EA14" i="6" s="1"/>
  <c r="EB14" i="6" s="1"/>
  <c r="EC14" i="6" s="1"/>
  <c r="ED14" i="6" s="1"/>
  <c r="EE14" i="6" s="1"/>
  <c r="EF14" i="6" s="1"/>
  <c r="EG14" i="6" s="1"/>
  <c r="EH14" i="6" s="1"/>
  <c r="EI14" i="6" s="1"/>
  <c r="EJ14" i="6" s="1"/>
  <c r="EK14" i="6" s="1"/>
  <c r="J16" i="6"/>
  <c r="DS13" i="6" l="1"/>
  <c r="DR12" i="6"/>
  <c r="K16" i="6"/>
  <c r="J15" i="6"/>
  <c r="BA10" i="3"/>
  <c r="J26" i="6" l="1"/>
  <c r="J21" i="6"/>
  <c r="DT13" i="6"/>
  <c r="DS12" i="6"/>
  <c r="BB10" i="3"/>
  <c r="J17" i="6"/>
  <c r="J20" i="6"/>
  <c r="L16" i="6"/>
  <c r="K15" i="6"/>
  <c r="K26" i="6" l="1"/>
  <c r="K21" i="6"/>
  <c r="DU13" i="6"/>
  <c r="DT12" i="6"/>
  <c r="J18" i="6"/>
  <c r="J19" i="6" s="1"/>
  <c r="J22" i="6" s="1"/>
  <c r="J23" i="6" s="1"/>
  <c r="J24" i="6" s="1"/>
  <c r="J27" i="6" s="1"/>
  <c r="K17" i="6"/>
  <c r="K20" i="6"/>
  <c r="M16" i="6"/>
  <c r="L15" i="6"/>
  <c r="BC10" i="3"/>
  <c r="DV13" i="6" l="1"/>
  <c r="DU12" i="6"/>
  <c r="L26" i="6"/>
  <c r="L21" i="6"/>
  <c r="K18" i="6"/>
  <c r="K19" i="6" s="1"/>
  <c r="K22" i="6" s="1"/>
  <c r="K23" i="6" s="1"/>
  <c r="K24" i="6" s="1"/>
  <c r="K27" i="6" s="1"/>
  <c r="AW71" i="3"/>
  <c r="L20" i="6"/>
  <c r="L17" i="6"/>
  <c r="M15" i="6"/>
  <c r="N16" i="6"/>
  <c r="BD10" i="3"/>
  <c r="M26" i="6" l="1"/>
  <c r="M21" i="6"/>
  <c r="DW13" i="6"/>
  <c r="DV12" i="6"/>
  <c r="L18" i="6"/>
  <c r="AX71" i="3"/>
  <c r="BE10" i="3"/>
  <c r="M17" i="6"/>
  <c r="M18" i="6" s="1"/>
  <c r="M20" i="6"/>
  <c r="L19" i="6"/>
  <c r="L22" i="6" s="1"/>
  <c r="L23" i="6" s="1"/>
  <c r="L24" i="6" s="1"/>
  <c r="L27" i="6" s="1"/>
  <c r="O16" i="6"/>
  <c r="N15" i="6"/>
  <c r="N26" i="6" l="1"/>
  <c r="N21" i="6"/>
  <c r="DX13" i="6"/>
  <c r="DW12" i="6"/>
  <c r="AY71" i="3"/>
  <c r="O15" i="6"/>
  <c r="P16" i="6"/>
  <c r="H18" i="6"/>
  <c r="N17" i="6"/>
  <c r="N20" i="6"/>
  <c r="BF10" i="3"/>
  <c r="F22" i="4"/>
  <c r="G22" i="4" s="1"/>
  <c r="G23" i="4" s="1"/>
  <c r="D23" i="4" s="1"/>
  <c r="O26" i="6" l="1"/>
  <c r="O21" i="6"/>
  <c r="DY13" i="6"/>
  <c r="DX12" i="6"/>
  <c r="N18" i="6"/>
  <c r="N19" i="6" s="1"/>
  <c r="N22" i="6" s="1"/>
  <c r="N23" i="6" s="1"/>
  <c r="N24" i="6" s="1"/>
  <c r="N27" i="6" s="1"/>
  <c r="M19" i="6"/>
  <c r="M22" i="6" s="1"/>
  <c r="M23" i="6" s="1"/>
  <c r="M24" i="6" s="1"/>
  <c r="M27" i="6" s="1"/>
  <c r="BG10" i="3"/>
  <c r="Q16" i="6"/>
  <c r="P15" i="6"/>
  <c r="O17" i="6"/>
  <c r="O20" i="6"/>
  <c r="DZ13" i="6" l="1"/>
  <c r="DY12" i="6"/>
  <c r="P26" i="6"/>
  <c r="P21" i="6"/>
  <c r="O18" i="6"/>
  <c r="O19" i="6" s="1"/>
  <c r="O22" i="6" s="1"/>
  <c r="O23" i="6" s="1"/>
  <c r="O24" i="6" s="1"/>
  <c r="O27" i="6" s="1"/>
  <c r="AZ71" i="3"/>
  <c r="BH10" i="3"/>
  <c r="P17" i="6"/>
  <c r="P18" i="6" s="1"/>
  <c r="P20" i="6"/>
  <c r="Q15" i="6"/>
  <c r="R16" i="6"/>
  <c r="EA13" i="6" l="1"/>
  <c r="DZ12" i="6"/>
  <c r="Q26" i="6"/>
  <c r="Q21" i="6"/>
  <c r="S16" i="6"/>
  <c r="R15" i="6"/>
  <c r="P19" i="6"/>
  <c r="P22" i="6" s="1"/>
  <c r="P23" i="6" s="1"/>
  <c r="P24" i="6" s="1"/>
  <c r="P27" i="6" s="1"/>
  <c r="Q20" i="6"/>
  <c r="Q17" i="6"/>
  <c r="BI10" i="3"/>
  <c r="R26" i="6" l="1"/>
  <c r="R21" i="6"/>
  <c r="EB13" i="6"/>
  <c r="EA12" i="6"/>
  <c r="Q18" i="6"/>
  <c r="Q19" i="6" s="1"/>
  <c r="Q22" i="6" s="1"/>
  <c r="Q23" i="6" s="1"/>
  <c r="Q24" i="6" s="1"/>
  <c r="Q27" i="6" s="1"/>
  <c r="BJ10" i="3"/>
  <c r="R17" i="6"/>
  <c r="R20" i="6"/>
  <c r="S15" i="6"/>
  <c r="T16" i="6"/>
  <c r="S26" i="6" l="1"/>
  <c r="S21" i="6"/>
  <c r="EC13" i="6"/>
  <c r="EB12" i="6"/>
  <c r="R18" i="6"/>
  <c r="R19" i="6" s="1"/>
  <c r="R22" i="6" s="1"/>
  <c r="R23" i="6" s="1"/>
  <c r="R24" i="6" s="1"/>
  <c r="R27" i="6" s="1"/>
  <c r="U16" i="6"/>
  <c r="T15" i="6"/>
  <c r="S20" i="6"/>
  <c r="S17" i="6"/>
  <c r="BK10" i="3"/>
  <c r="ED13" i="6" l="1"/>
  <c r="EC12" i="6"/>
  <c r="T26" i="6"/>
  <c r="T21" i="6"/>
  <c r="S18" i="6"/>
  <c r="S19" i="6" s="1"/>
  <c r="S22" i="6" s="1"/>
  <c r="S23" i="6" s="1"/>
  <c r="S24" i="6" s="1"/>
  <c r="S27" i="6" s="1"/>
  <c r="T17" i="6"/>
  <c r="T20" i="6"/>
  <c r="BL10" i="3"/>
  <c r="U15" i="6"/>
  <c r="V16" i="6"/>
  <c r="U26" i="6" l="1"/>
  <c r="H26" i="6" s="1"/>
  <c r="H20" i="6" s="1"/>
  <c r="U21" i="6"/>
  <c r="H21" i="6" s="1"/>
  <c r="EE13" i="6"/>
  <c r="ED12" i="6"/>
  <c r="T18" i="6"/>
  <c r="T19" i="6" s="1"/>
  <c r="T22" i="6" s="1"/>
  <c r="T23" i="6" s="1"/>
  <c r="T24" i="6" s="1"/>
  <c r="T27" i="6" s="1"/>
  <c r="BM10" i="3"/>
  <c r="W16" i="6"/>
  <c r="V15" i="6"/>
  <c r="U20" i="6"/>
  <c r="U17" i="6"/>
  <c r="U18" i="6" s="1"/>
  <c r="V26" i="6" l="1"/>
  <c r="V21" i="6"/>
  <c r="EF13" i="6"/>
  <c r="EE12" i="6"/>
  <c r="V20" i="6"/>
  <c r="V17" i="6"/>
  <c r="H17" i="6"/>
  <c r="H19" i="6" s="1"/>
  <c r="U19" i="6"/>
  <c r="U22" i="6" s="1"/>
  <c r="U23" i="6" s="1"/>
  <c r="U24" i="6" s="1"/>
  <c r="U27" i="6" s="1"/>
  <c r="W15" i="6"/>
  <c r="X16" i="6"/>
  <c r="BN10" i="3"/>
  <c r="W26" i="6" l="1"/>
  <c r="W21" i="6"/>
  <c r="EG13" i="6"/>
  <c r="EF12" i="6"/>
  <c r="H22" i="6"/>
  <c r="H23" i="6" s="1"/>
  <c r="H24" i="6" s="1"/>
  <c r="H27" i="6" s="1"/>
  <c r="V18" i="6"/>
  <c r="V19" i="6" s="1"/>
  <c r="V22" i="6" s="1"/>
  <c r="V23" i="6" s="1"/>
  <c r="V24" i="6" s="1"/>
  <c r="V27" i="6" s="1"/>
  <c r="J29" i="6"/>
  <c r="AW72" i="3" s="1"/>
  <c r="BO10" i="3"/>
  <c r="Y16" i="6"/>
  <c r="X15" i="6"/>
  <c r="W17" i="6"/>
  <c r="W20" i="6"/>
  <c r="X26" i="6" l="1"/>
  <c r="X21" i="6"/>
  <c r="EH13" i="6"/>
  <c r="EG12" i="6"/>
  <c r="K29" i="6"/>
  <c r="AX72" i="3" s="1"/>
  <c r="AX73" i="3" s="1"/>
  <c r="AX74" i="3" s="1"/>
  <c r="W18" i="6"/>
  <c r="W19" i="6" s="1"/>
  <c r="W22" i="6" s="1"/>
  <c r="W23" i="6" s="1"/>
  <c r="W24" i="6" s="1"/>
  <c r="W27" i="6" s="1"/>
  <c r="AW73" i="3"/>
  <c r="AW74" i="3" s="1"/>
  <c r="X17" i="6"/>
  <c r="X20" i="6"/>
  <c r="Z16" i="6"/>
  <c r="Y15" i="6"/>
  <c r="BP10" i="3"/>
  <c r="Y26" i="6" l="1"/>
  <c r="Y21" i="6"/>
  <c r="EI13" i="6"/>
  <c r="EH12" i="6"/>
  <c r="X18" i="6"/>
  <c r="X19" i="6" s="1"/>
  <c r="X22" i="6" s="1"/>
  <c r="X23" i="6" s="1"/>
  <c r="X24" i="6" s="1"/>
  <c r="X27" i="6" s="1"/>
  <c r="L29" i="6"/>
  <c r="AY72" i="3" s="1"/>
  <c r="BQ10" i="3"/>
  <c r="AA16" i="6"/>
  <c r="Z15" i="6"/>
  <c r="Y17" i="6"/>
  <c r="Y20" i="6"/>
  <c r="EJ13" i="6" l="1"/>
  <c r="EI12" i="6"/>
  <c r="Z26" i="6"/>
  <c r="Z21" i="6"/>
  <c r="Y18" i="6"/>
  <c r="Y19" i="6" s="1"/>
  <c r="Y22" i="6" s="1"/>
  <c r="Y23" i="6" s="1"/>
  <c r="Y24" i="6" s="1"/>
  <c r="Y27" i="6" s="1"/>
  <c r="AY73" i="3"/>
  <c r="AY74" i="3" s="1"/>
  <c r="M29" i="6"/>
  <c r="Z17" i="6"/>
  <c r="Z20" i="6"/>
  <c r="AA15" i="6"/>
  <c r="AB16" i="6"/>
  <c r="BR10" i="3"/>
  <c r="AA26" i="6" l="1"/>
  <c r="AA21" i="6"/>
  <c r="EK13" i="6"/>
  <c r="EK12" i="6" s="1"/>
  <c r="EJ12" i="6"/>
  <c r="Z18" i="6"/>
  <c r="Z19" i="6" s="1"/>
  <c r="Z22" i="6" s="1"/>
  <c r="Z23" i="6" s="1"/>
  <c r="Z24" i="6" s="1"/>
  <c r="Z27" i="6" s="1"/>
  <c r="N29" i="6"/>
  <c r="AB15" i="6"/>
  <c r="AC16" i="6"/>
  <c r="AA20" i="6"/>
  <c r="AA17" i="6"/>
  <c r="AB26" i="6" l="1"/>
  <c r="AB21" i="6"/>
  <c r="G17" i="2"/>
  <c r="M23" i="4" s="1"/>
  <c r="I29" i="3"/>
  <c r="AA18" i="6"/>
  <c r="AA19" i="6" s="1"/>
  <c r="AA22" i="6" s="1"/>
  <c r="AA23" i="6" s="1"/>
  <c r="AA24" i="6" s="1"/>
  <c r="AA27" i="6" s="1"/>
  <c r="O29" i="6"/>
  <c r="AD16" i="6"/>
  <c r="AC15" i="6"/>
  <c r="AB20" i="6"/>
  <c r="AB17" i="6"/>
  <c r="F17" i="2"/>
  <c r="L23" i="4" s="1"/>
  <c r="E17" i="2"/>
  <c r="K23" i="4" l="1"/>
  <c r="AC26" i="6"/>
  <c r="AC21" i="6"/>
  <c r="AB18" i="6"/>
  <c r="AB19" i="6" s="1"/>
  <c r="AB22" i="6" s="1"/>
  <c r="AB23" i="6" s="1"/>
  <c r="AB24" i="6" s="1"/>
  <c r="AB27" i="6" s="1"/>
  <c r="P29" i="6"/>
  <c r="AC17" i="6"/>
  <c r="AC20" i="6"/>
  <c r="AE16" i="6"/>
  <c r="AD15" i="6"/>
  <c r="AD26" i="6" l="1"/>
  <c r="AD21" i="6"/>
  <c r="AC18" i="6"/>
  <c r="AC19" i="6" s="1"/>
  <c r="AC22" i="6" s="1"/>
  <c r="AC23" i="6" s="1"/>
  <c r="AC24" i="6" s="1"/>
  <c r="AC27" i="6" s="1"/>
  <c r="Q29" i="6"/>
  <c r="AD17" i="6"/>
  <c r="AD20" i="6"/>
  <c r="AF16" i="6"/>
  <c r="AE15" i="6"/>
  <c r="AE26" i="6" l="1"/>
  <c r="AE21" i="6"/>
  <c r="AD18" i="6"/>
  <c r="AD19" i="6" s="1"/>
  <c r="AD22" i="6" s="1"/>
  <c r="AD23" i="6" s="1"/>
  <c r="AD24" i="6" s="1"/>
  <c r="AD27" i="6" s="1"/>
  <c r="R29" i="6"/>
  <c r="AE17" i="6"/>
  <c r="AE20" i="6"/>
  <c r="AF15" i="6"/>
  <c r="AG16" i="6"/>
  <c r="AF26" i="6" l="1"/>
  <c r="AF21" i="6"/>
  <c r="AE18" i="6"/>
  <c r="AE19" i="6" s="1"/>
  <c r="AE22" i="6" s="1"/>
  <c r="AE23" i="6" s="1"/>
  <c r="AE24" i="6" s="1"/>
  <c r="AE27" i="6" s="1"/>
  <c r="S29" i="6"/>
  <c r="AF17" i="6"/>
  <c r="AF20" i="6"/>
  <c r="AG15" i="6"/>
  <c r="AH16" i="6"/>
  <c r="AG26" i="6" l="1"/>
  <c r="AG21" i="6"/>
  <c r="AF18" i="6"/>
  <c r="AF19" i="6" s="1"/>
  <c r="AF22" i="6" s="1"/>
  <c r="AF23" i="6" s="1"/>
  <c r="AF24" i="6" s="1"/>
  <c r="AF27" i="6" s="1"/>
  <c r="T29" i="6"/>
  <c r="AI16" i="6"/>
  <c r="AH15" i="6"/>
  <c r="AG17" i="6"/>
  <c r="AG20" i="6"/>
  <c r="AH26" i="6" l="1"/>
  <c r="AH21" i="6"/>
  <c r="AG18" i="6"/>
  <c r="AG19" i="6" s="1"/>
  <c r="AG22" i="6" s="1"/>
  <c r="AG23" i="6" s="1"/>
  <c r="AG24" i="6" s="1"/>
  <c r="AG27" i="6" s="1"/>
  <c r="V29" i="6" s="1"/>
  <c r="U29" i="6"/>
  <c r="AH17" i="6"/>
  <c r="AH20" i="6"/>
  <c r="AJ16" i="6"/>
  <c r="AI15" i="6"/>
  <c r="AI26" i="6" l="1"/>
  <c r="AI21" i="6"/>
  <c r="AH18" i="6"/>
  <c r="AH19" i="6" s="1"/>
  <c r="AH22" i="6" s="1"/>
  <c r="AH23" i="6" s="1"/>
  <c r="AH24" i="6" s="1"/>
  <c r="AH27" i="6" s="1"/>
  <c r="AJ15" i="6"/>
  <c r="AK16" i="6"/>
  <c r="AI17" i="6"/>
  <c r="AI20" i="6"/>
  <c r="AJ26" i="6" l="1"/>
  <c r="AJ21" i="6"/>
  <c r="AI18" i="6"/>
  <c r="AI19" i="6" s="1"/>
  <c r="AI22" i="6" s="1"/>
  <c r="AI23" i="6" s="1"/>
  <c r="AI24" i="6" s="1"/>
  <c r="AI27" i="6" s="1"/>
  <c r="W29" i="6"/>
  <c r="AJ17" i="6"/>
  <c r="AJ20" i="6"/>
  <c r="AL16" i="6"/>
  <c r="AK15" i="6"/>
  <c r="AK26" i="6" l="1"/>
  <c r="AK21" i="6"/>
  <c r="AJ18" i="6"/>
  <c r="AJ19" i="6" s="1"/>
  <c r="AJ22" i="6" s="1"/>
  <c r="AJ23" i="6" s="1"/>
  <c r="AJ24" i="6" s="1"/>
  <c r="AJ27" i="6" s="1"/>
  <c r="X29" i="6"/>
  <c r="AK20" i="6"/>
  <c r="AK17" i="6"/>
  <c r="AL15" i="6"/>
  <c r="AM16" i="6"/>
  <c r="AL26" i="6" l="1"/>
  <c r="AL21" i="6"/>
  <c r="AK18" i="6"/>
  <c r="AK19" i="6" s="1"/>
  <c r="AK22" i="6" s="1"/>
  <c r="AK23" i="6" s="1"/>
  <c r="AK24" i="6" s="1"/>
  <c r="AK27" i="6" s="1"/>
  <c r="Z29" i="6" s="1"/>
  <c r="Y29" i="6"/>
  <c r="AM15" i="6"/>
  <c r="AN16" i="6"/>
  <c r="AL17" i="6"/>
  <c r="AL20" i="6"/>
  <c r="AM26" i="6" l="1"/>
  <c r="AM21" i="6"/>
  <c r="AL18" i="6"/>
  <c r="AL19" i="6" s="1"/>
  <c r="AL22" i="6" s="1"/>
  <c r="AL23" i="6" s="1"/>
  <c r="AL24" i="6" s="1"/>
  <c r="AL27" i="6" s="1"/>
  <c r="AN15" i="6"/>
  <c r="AO16" i="6"/>
  <c r="AM17" i="6"/>
  <c r="AM20" i="6"/>
  <c r="AN26" i="6" l="1"/>
  <c r="AN21" i="6"/>
  <c r="AM18" i="6"/>
  <c r="AM19" i="6" s="1"/>
  <c r="AM22" i="6" s="1"/>
  <c r="AM23" i="6" s="1"/>
  <c r="AM24" i="6" s="1"/>
  <c r="AM27" i="6" s="1"/>
  <c r="AA29" i="6"/>
  <c r="AP16" i="6"/>
  <c r="AO15" i="6"/>
  <c r="AN20" i="6"/>
  <c r="AN17" i="6"/>
  <c r="AO26" i="6" l="1"/>
  <c r="AO21" i="6"/>
  <c r="AN18" i="6"/>
  <c r="AN19" i="6" s="1"/>
  <c r="AN22" i="6" s="1"/>
  <c r="AN23" i="6" s="1"/>
  <c r="AN24" i="6" s="1"/>
  <c r="AN27" i="6" s="1"/>
  <c r="AB29" i="6"/>
  <c r="AO20" i="6"/>
  <c r="AO17" i="6"/>
  <c r="AQ16" i="6"/>
  <c r="AP15" i="6"/>
  <c r="AP26" i="6" l="1"/>
  <c r="AP21" i="6"/>
  <c r="AO18" i="6"/>
  <c r="AO19" i="6" s="1"/>
  <c r="AO22" i="6" s="1"/>
  <c r="AO23" i="6" s="1"/>
  <c r="AO24" i="6" s="1"/>
  <c r="AO27" i="6" s="1"/>
  <c r="AD29" i="6" s="1"/>
  <c r="AC29" i="6"/>
  <c r="AQ15" i="6"/>
  <c r="AR16" i="6"/>
  <c r="AP20" i="6"/>
  <c r="AP17" i="6"/>
  <c r="AQ26" i="6" l="1"/>
  <c r="AQ21" i="6"/>
  <c r="AP18" i="6"/>
  <c r="AP19" i="6" s="1"/>
  <c r="AP22" i="6" s="1"/>
  <c r="AP23" i="6" s="1"/>
  <c r="AP24" i="6" s="1"/>
  <c r="AP27" i="6" s="1"/>
  <c r="AE29" i="6" s="1"/>
  <c r="AS16" i="6"/>
  <c r="AR15" i="6"/>
  <c r="AQ20" i="6"/>
  <c r="AQ17" i="6"/>
  <c r="AR26" i="6" l="1"/>
  <c r="AR21" i="6"/>
  <c r="AQ18" i="6"/>
  <c r="AQ19" i="6" s="1"/>
  <c r="AQ22" i="6" s="1"/>
  <c r="AQ23" i="6" s="1"/>
  <c r="AQ24" i="6" s="1"/>
  <c r="AQ27" i="6" s="1"/>
  <c r="AR17" i="6"/>
  <c r="AR20" i="6"/>
  <c r="AS15" i="6"/>
  <c r="AT16" i="6"/>
  <c r="AS26" i="6" l="1"/>
  <c r="AS21" i="6"/>
  <c r="AR18" i="6"/>
  <c r="AR19" i="6" s="1"/>
  <c r="AR22" i="6" s="1"/>
  <c r="AR23" i="6" s="1"/>
  <c r="AR24" i="6" s="1"/>
  <c r="AR27" i="6" s="1"/>
  <c r="AF29" i="6"/>
  <c r="AS17" i="6"/>
  <c r="AS20" i="6"/>
  <c r="AT15" i="6"/>
  <c r="AU16" i="6"/>
  <c r="AT26" i="6" l="1"/>
  <c r="AT21" i="6"/>
  <c r="AS18" i="6"/>
  <c r="AS19" i="6" s="1"/>
  <c r="AS22" i="6" s="1"/>
  <c r="AS23" i="6" s="1"/>
  <c r="AS24" i="6" s="1"/>
  <c r="AS27" i="6" s="1"/>
  <c r="AG29" i="6"/>
  <c r="AT20" i="6"/>
  <c r="AT17" i="6"/>
  <c r="AU15" i="6"/>
  <c r="AV16" i="6"/>
  <c r="AU26" i="6" l="1"/>
  <c r="AU21" i="6"/>
  <c r="AT18" i="6"/>
  <c r="AT19" i="6" s="1"/>
  <c r="AT22" i="6" s="1"/>
  <c r="AT23" i="6" s="1"/>
  <c r="AT24" i="6" s="1"/>
  <c r="AT27" i="6" s="1"/>
  <c r="AH29" i="6"/>
  <c r="AU17" i="6"/>
  <c r="AU20" i="6"/>
  <c r="AV15" i="6"/>
  <c r="AW16" i="6"/>
  <c r="AV26" i="6" l="1"/>
  <c r="AV21" i="6"/>
  <c r="AI29" i="6"/>
  <c r="AU18" i="6"/>
  <c r="AU19" i="6" s="1"/>
  <c r="AU22" i="6" s="1"/>
  <c r="AU23" i="6" s="1"/>
  <c r="AU24" i="6" s="1"/>
  <c r="AU27" i="6" s="1"/>
  <c r="AV17" i="6"/>
  <c r="AV20" i="6"/>
  <c r="AX16" i="6"/>
  <c r="AW15" i="6"/>
  <c r="AW26" i="6" l="1"/>
  <c r="AW21" i="6"/>
  <c r="AV18" i="6"/>
  <c r="AV19" i="6" s="1"/>
  <c r="AV22" i="6" s="1"/>
  <c r="AV23" i="6" s="1"/>
  <c r="AV24" i="6" s="1"/>
  <c r="AV27" i="6" s="1"/>
  <c r="AJ29" i="6"/>
  <c r="AW20" i="6"/>
  <c r="AW17" i="6"/>
  <c r="AX15" i="6"/>
  <c r="AY16" i="6"/>
  <c r="AX26" i="6" l="1"/>
  <c r="AX21" i="6"/>
  <c r="AW18" i="6"/>
  <c r="AW19" i="6" s="1"/>
  <c r="AW22" i="6" s="1"/>
  <c r="AW23" i="6" s="1"/>
  <c r="AW24" i="6" s="1"/>
  <c r="AW27" i="6" s="1"/>
  <c r="AK29" i="6"/>
  <c r="AX20" i="6"/>
  <c r="AX17" i="6"/>
  <c r="AZ16" i="6"/>
  <c r="AY15" i="6"/>
  <c r="AY26" i="6" l="1"/>
  <c r="AY21" i="6"/>
  <c r="AX18" i="6"/>
  <c r="AX19" i="6" s="1"/>
  <c r="AX22" i="6" s="1"/>
  <c r="AX23" i="6" s="1"/>
  <c r="AX24" i="6" s="1"/>
  <c r="AX27" i="6" s="1"/>
  <c r="AL29" i="6"/>
  <c r="AZ15" i="6"/>
  <c r="BA16" i="6"/>
  <c r="AY17" i="6"/>
  <c r="AY20" i="6"/>
  <c r="AZ26" i="6" l="1"/>
  <c r="AZ21" i="6"/>
  <c r="AY18" i="6"/>
  <c r="AY19" i="6" s="1"/>
  <c r="AY22" i="6" s="1"/>
  <c r="AY23" i="6" s="1"/>
  <c r="AY24" i="6" s="1"/>
  <c r="AY27" i="6" s="1"/>
  <c r="AM29" i="6"/>
  <c r="BA15" i="6"/>
  <c r="BB16" i="6"/>
  <c r="AZ20" i="6"/>
  <c r="AZ17" i="6"/>
  <c r="BA26" i="6" l="1"/>
  <c r="BA21" i="6"/>
  <c r="AZ18" i="6"/>
  <c r="AZ19" i="6" s="1"/>
  <c r="AZ22" i="6" s="1"/>
  <c r="AZ23" i="6" s="1"/>
  <c r="AZ24" i="6" s="1"/>
  <c r="AZ27" i="6" s="1"/>
  <c r="AN29" i="6"/>
  <c r="BC16" i="6"/>
  <c r="BB15" i="6"/>
  <c r="BA17" i="6"/>
  <c r="BA20" i="6"/>
  <c r="BB26" i="6" l="1"/>
  <c r="BB21" i="6"/>
  <c r="BA18" i="6"/>
  <c r="BA19" i="6" s="1"/>
  <c r="BA22" i="6" s="1"/>
  <c r="BA23" i="6" s="1"/>
  <c r="BA24" i="6" s="1"/>
  <c r="BA27" i="6" s="1"/>
  <c r="AO29" i="6"/>
  <c r="BB20" i="6"/>
  <c r="BB17" i="6"/>
  <c r="BC15" i="6"/>
  <c r="BD16" i="6"/>
  <c r="BC26" i="6" l="1"/>
  <c r="BC21" i="6"/>
  <c r="BB18" i="6"/>
  <c r="BB19" i="6" s="1"/>
  <c r="BB22" i="6" s="1"/>
  <c r="BB23" i="6" s="1"/>
  <c r="BB24" i="6" s="1"/>
  <c r="BB27" i="6" s="1"/>
  <c r="AP29" i="6"/>
  <c r="BC17" i="6"/>
  <c r="BC20" i="6"/>
  <c r="BD15" i="6"/>
  <c r="BE16" i="6"/>
  <c r="BD26" i="6" l="1"/>
  <c r="BD21" i="6"/>
  <c r="BC18" i="6"/>
  <c r="BC19" i="6" s="1"/>
  <c r="BC22" i="6" s="1"/>
  <c r="BC23" i="6" s="1"/>
  <c r="BC24" i="6" s="1"/>
  <c r="BC27" i="6" s="1"/>
  <c r="AQ29" i="6"/>
  <c r="BD20" i="6"/>
  <c r="BD17" i="6"/>
  <c r="BF16" i="6"/>
  <c r="BE15" i="6"/>
  <c r="BE26" i="6" l="1"/>
  <c r="BE21" i="6"/>
  <c r="BD18" i="6"/>
  <c r="BD19" i="6" s="1"/>
  <c r="BD22" i="6" s="1"/>
  <c r="BD23" i="6" s="1"/>
  <c r="BD24" i="6" s="1"/>
  <c r="BD27" i="6" s="1"/>
  <c r="AS29" i="6" s="1"/>
  <c r="AR29" i="6"/>
  <c r="BF15" i="6"/>
  <c r="BG16" i="6"/>
  <c r="BE17" i="6"/>
  <c r="BE20" i="6"/>
  <c r="BF26" i="6" l="1"/>
  <c r="BF21" i="6"/>
  <c r="BE18" i="6"/>
  <c r="BE19" i="6" s="1"/>
  <c r="BE22" i="6" s="1"/>
  <c r="BE23" i="6" s="1"/>
  <c r="BE24" i="6" s="1"/>
  <c r="BE27" i="6" s="1"/>
  <c r="BG15" i="6"/>
  <c r="BH16" i="6"/>
  <c r="BF17" i="6"/>
  <c r="BF20" i="6"/>
  <c r="BG26" i="6" l="1"/>
  <c r="BG21" i="6"/>
  <c r="BF18" i="6"/>
  <c r="BF19" i="6" s="1"/>
  <c r="BF22" i="6" s="1"/>
  <c r="BF23" i="6" s="1"/>
  <c r="BF24" i="6" s="1"/>
  <c r="BF27" i="6" s="1"/>
  <c r="AT29" i="6"/>
  <c r="BH15" i="6"/>
  <c r="BI16" i="6"/>
  <c r="BG17" i="6"/>
  <c r="BG20" i="6"/>
  <c r="BH26" i="6" l="1"/>
  <c r="BH21" i="6"/>
  <c r="BG18" i="6"/>
  <c r="BG19" i="6" s="1"/>
  <c r="BG22" i="6" s="1"/>
  <c r="BG23" i="6" s="1"/>
  <c r="BG24" i="6" s="1"/>
  <c r="BG27" i="6" s="1"/>
  <c r="AV29" i="6" s="1"/>
  <c r="AU29" i="6"/>
  <c r="BJ16" i="6"/>
  <c r="BI15" i="6"/>
  <c r="BH20" i="6"/>
  <c r="BH17" i="6"/>
  <c r="BI26" i="6" l="1"/>
  <c r="BI21" i="6"/>
  <c r="BH18" i="6"/>
  <c r="BH19" i="6" s="1"/>
  <c r="BH22" i="6" s="1"/>
  <c r="BH23" i="6" s="1"/>
  <c r="BH24" i="6" s="1"/>
  <c r="BH27" i="6" s="1"/>
  <c r="BI17" i="6"/>
  <c r="BI20" i="6"/>
  <c r="BJ15" i="6"/>
  <c r="BK16" i="6"/>
  <c r="BJ26" i="6" l="1"/>
  <c r="BJ21" i="6"/>
  <c r="BI18" i="6"/>
  <c r="BI19" i="6" s="1"/>
  <c r="BI22" i="6" s="1"/>
  <c r="BI23" i="6" s="1"/>
  <c r="BI24" i="6" s="1"/>
  <c r="BI27" i="6" s="1"/>
  <c r="AW29" i="6"/>
  <c r="BL16" i="6"/>
  <c r="BK15" i="6"/>
  <c r="BJ17" i="6"/>
  <c r="BJ20" i="6"/>
  <c r="BK26" i="6" l="1"/>
  <c r="BK21" i="6"/>
  <c r="BJ18" i="6"/>
  <c r="BJ19" i="6" s="1"/>
  <c r="BJ22" i="6" s="1"/>
  <c r="BJ23" i="6" s="1"/>
  <c r="BJ24" i="6" s="1"/>
  <c r="BJ27" i="6" s="1"/>
  <c r="AX29" i="6"/>
  <c r="BK20" i="6"/>
  <c r="BK17" i="6"/>
  <c r="BM16" i="6"/>
  <c r="BL15" i="6"/>
  <c r="BL26" i="6" l="1"/>
  <c r="BL21" i="6"/>
  <c r="AY29" i="6"/>
  <c r="BK18" i="6"/>
  <c r="BK19" i="6" s="1"/>
  <c r="BK22" i="6" s="1"/>
  <c r="BK23" i="6" s="1"/>
  <c r="BK24" i="6" s="1"/>
  <c r="BK27" i="6" s="1"/>
  <c r="BM15" i="6"/>
  <c r="BN16" i="6"/>
  <c r="BL20" i="6"/>
  <c r="BL17" i="6"/>
  <c r="BM26" i="6" l="1"/>
  <c r="BM21" i="6"/>
  <c r="BL18" i="6"/>
  <c r="BL19" i="6" s="1"/>
  <c r="BL22" i="6" s="1"/>
  <c r="BL23" i="6" s="1"/>
  <c r="BL24" i="6" s="1"/>
  <c r="BL27" i="6" s="1"/>
  <c r="AZ29" i="6"/>
  <c r="BO16" i="6"/>
  <c r="BN15" i="6"/>
  <c r="BM20" i="6"/>
  <c r="BM17" i="6"/>
  <c r="BN26" i="6" l="1"/>
  <c r="BN21" i="6"/>
  <c r="BM18" i="6"/>
  <c r="BM19" i="6" s="1"/>
  <c r="BM22" i="6" s="1"/>
  <c r="BM23" i="6" s="1"/>
  <c r="BM24" i="6" s="1"/>
  <c r="BM27" i="6" s="1"/>
  <c r="BA29" i="6"/>
  <c r="BN17" i="6"/>
  <c r="BN20" i="6"/>
  <c r="BO15" i="6"/>
  <c r="BP16" i="6"/>
  <c r="BO26" i="6" l="1"/>
  <c r="BO21" i="6"/>
  <c r="BN18" i="6"/>
  <c r="BN19" i="6" s="1"/>
  <c r="BN22" i="6" s="1"/>
  <c r="BN23" i="6" s="1"/>
  <c r="BN24" i="6" s="1"/>
  <c r="BN27" i="6" s="1"/>
  <c r="BB29" i="6"/>
  <c r="BO17" i="6"/>
  <c r="BO20" i="6"/>
  <c r="BQ16" i="6"/>
  <c r="BP15" i="6"/>
  <c r="BP26" i="6" l="1"/>
  <c r="BP21" i="6"/>
  <c r="BO18" i="6"/>
  <c r="BO19" i="6" s="1"/>
  <c r="BO22" i="6" s="1"/>
  <c r="BO23" i="6" s="1"/>
  <c r="BO24" i="6" s="1"/>
  <c r="BO27" i="6" s="1"/>
  <c r="BC29" i="6"/>
  <c r="BP17" i="6"/>
  <c r="BP20" i="6"/>
  <c r="BR16" i="6"/>
  <c r="BQ15" i="6"/>
  <c r="BQ26" i="6" l="1"/>
  <c r="BQ21" i="6"/>
  <c r="BP18" i="6"/>
  <c r="BP19" i="6" s="1"/>
  <c r="BP22" i="6" s="1"/>
  <c r="BP23" i="6" s="1"/>
  <c r="BP24" i="6" s="1"/>
  <c r="BP27" i="6" s="1"/>
  <c r="BD29" i="6"/>
  <c r="BQ20" i="6"/>
  <c r="BQ17" i="6"/>
  <c r="BR15" i="6"/>
  <c r="BS16" i="6"/>
  <c r="BR26" i="6" l="1"/>
  <c r="BR21" i="6"/>
  <c r="BQ18" i="6"/>
  <c r="BQ19" i="6" s="1"/>
  <c r="BQ22" i="6" s="1"/>
  <c r="BQ23" i="6" s="1"/>
  <c r="BQ24" i="6" s="1"/>
  <c r="BQ27" i="6" s="1"/>
  <c r="BF29" i="6" s="1"/>
  <c r="BE29" i="6"/>
  <c r="BR20" i="6"/>
  <c r="BR17" i="6"/>
  <c r="BT16" i="6"/>
  <c r="BS15" i="6"/>
  <c r="BS26" i="6" l="1"/>
  <c r="BS21" i="6"/>
  <c r="BR18" i="6"/>
  <c r="BR19" i="6" s="1"/>
  <c r="BR22" i="6" s="1"/>
  <c r="BR23" i="6" s="1"/>
  <c r="BR24" i="6" s="1"/>
  <c r="BR27" i="6" s="1"/>
  <c r="BG29" i="6" s="1"/>
  <c r="BT15" i="6"/>
  <c r="BU16" i="6"/>
  <c r="BS17" i="6"/>
  <c r="BS20" i="6"/>
  <c r="BT26" i="6" l="1"/>
  <c r="BT21" i="6"/>
  <c r="BS18" i="6"/>
  <c r="BS19" i="6" s="1"/>
  <c r="BS22" i="6" s="1"/>
  <c r="BS23" i="6" s="1"/>
  <c r="BS24" i="6" s="1"/>
  <c r="BS27" i="6" s="1"/>
  <c r="BV16" i="6"/>
  <c r="BU15" i="6"/>
  <c r="BT20" i="6"/>
  <c r="BT17" i="6"/>
  <c r="BU26" i="6" l="1"/>
  <c r="BU21" i="6"/>
  <c r="BT18" i="6"/>
  <c r="BT19" i="6" s="1"/>
  <c r="BT22" i="6" s="1"/>
  <c r="BT23" i="6" s="1"/>
  <c r="BT24" i="6" s="1"/>
  <c r="BT27" i="6" s="1"/>
  <c r="BH29" i="6"/>
  <c r="BU20" i="6"/>
  <c r="BU17" i="6"/>
  <c r="BV15" i="6"/>
  <c r="BW16" i="6"/>
  <c r="BV26" i="6" l="1"/>
  <c r="BV21" i="6"/>
  <c r="BU18" i="6"/>
  <c r="BU19" i="6" s="1"/>
  <c r="BU22" i="6" s="1"/>
  <c r="BU23" i="6" s="1"/>
  <c r="BU24" i="6" s="1"/>
  <c r="BU27" i="6" s="1"/>
  <c r="BJ29" i="6" s="1"/>
  <c r="BI29" i="6"/>
  <c r="BX16" i="6"/>
  <c r="BW15" i="6"/>
  <c r="BV20" i="6"/>
  <c r="BV17" i="6"/>
  <c r="BW26" i="6" l="1"/>
  <c r="BW21" i="6"/>
  <c r="BV18" i="6"/>
  <c r="BV19" i="6" s="1"/>
  <c r="BV22" i="6" s="1"/>
  <c r="BV23" i="6" s="1"/>
  <c r="BV24" i="6" s="1"/>
  <c r="BV27" i="6" s="1"/>
  <c r="BW17" i="6"/>
  <c r="BW20" i="6"/>
  <c r="BY16" i="6"/>
  <c r="BX15" i="6"/>
  <c r="BX26" i="6" l="1"/>
  <c r="BX21" i="6"/>
  <c r="BW18" i="6"/>
  <c r="BW19" i="6" s="1"/>
  <c r="BW22" i="6" s="1"/>
  <c r="BW23" i="6" s="1"/>
  <c r="BW24" i="6" s="1"/>
  <c r="BW27" i="6" s="1"/>
  <c r="BK29" i="6"/>
  <c r="BX17" i="6"/>
  <c r="BX20" i="6"/>
  <c r="BY15" i="6"/>
  <c r="BZ16" i="6"/>
  <c r="BY26" i="6" l="1"/>
  <c r="BY21" i="6"/>
  <c r="BX18" i="6"/>
  <c r="BX19" i="6" s="1"/>
  <c r="BX22" i="6" s="1"/>
  <c r="BX23" i="6" s="1"/>
  <c r="BX24" i="6" s="1"/>
  <c r="BX27" i="6" s="1"/>
  <c r="BL29" i="6"/>
  <c r="BY17" i="6"/>
  <c r="BY20" i="6"/>
  <c r="CA16" i="6"/>
  <c r="BZ15" i="6"/>
  <c r="BZ26" i="6" l="1"/>
  <c r="BZ21" i="6"/>
  <c r="BY18" i="6"/>
  <c r="BY19" i="6" s="1"/>
  <c r="BY22" i="6" s="1"/>
  <c r="BY23" i="6" s="1"/>
  <c r="BY24" i="6" s="1"/>
  <c r="BY27" i="6" s="1"/>
  <c r="BM29" i="6"/>
  <c r="CA15" i="6"/>
  <c r="CB16" i="6"/>
  <c r="BZ20" i="6"/>
  <c r="BZ17" i="6"/>
  <c r="CA26" i="6" l="1"/>
  <c r="CA21" i="6"/>
  <c r="BZ18" i="6"/>
  <c r="BZ19" i="6" s="1"/>
  <c r="BZ22" i="6" s="1"/>
  <c r="BZ23" i="6" s="1"/>
  <c r="BZ24" i="6" s="1"/>
  <c r="BZ27" i="6" s="1"/>
  <c r="BN29" i="6"/>
  <c r="CB15" i="6"/>
  <c r="CC16" i="6"/>
  <c r="CA17" i="6"/>
  <c r="CA20" i="6"/>
  <c r="CB26" i="6" l="1"/>
  <c r="CB21" i="6"/>
  <c r="CA18" i="6"/>
  <c r="CA19" i="6" s="1"/>
  <c r="CA22" i="6" s="1"/>
  <c r="CA23" i="6" s="1"/>
  <c r="CA24" i="6" s="1"/>
  <c r="CA27" i="6" s="1"/>
  <c r="BP29" i="6" s="1"/>
  <c r="BO29" i="6"/>
  <c r="CD16" i="6"/>
  <c r="CC15" i="6"/>
  <c r="CB17" i="6"/>
  <c r="CB20" i="6"/>
  <c r="CC26" i="6" l="1"/>
  <c r="CC21" i="6"/>
  <c r="CB18" i="6"/>
  <c r="CB19" i="6" s="1"/>
  <c r="CB22" i="6" s="1"/>
  <c r="CB23" i="6" s="1"/>
  <c r="CB24" i="6" s="1"/>
  <c r="CB27" i="6" s="1"/>
  <c r="CC17" i="6"/>
  <c r="CC20" i="6"/>
  <c r="CE16" i="6"/>
  <c r="CD15" i="6"/>
  <c r="CD26" i="6" l="1"/>
  <c r="CD21" i="6"/>
  <c r="CC18" i="6"/>
  <c r="CC19" i="6" s="1"/>
  <c r="CC22" i="6" s="1"/>
  <c r="CC23" i="6" s="1"/>
  <c r="CC24" i="6" s="1"/>
  <c r="CC27" i="6" s="1"/>
  <c r="BQ29" i="6"/>
  <c r="CF16" i="6"/>
  <c r="CE15" i="6"/>
  <c r="CD20" i="6"/>
  <c r="CD17" i="6"/>
  <c r="CE26" i="6" l="1"/>
  <c r="CE21" i="6"/>
  <c r="CD18" i="6"/>
  <c r="CD19" i="6" s="1"/>
  <c r="CD22" i="6" s="1"/>
  <c r="CD23" i="6" s="1"/>
  <c r="CD24" i="6" s="1"/>
  <c r="CD27" i="6" s="1"/>
  <c r="BS29" i="6" s="1"/>
  <c r="BR29" i="6"/>
  <c r="CE17" i="6"/>
  <c r="CE20" i="6"/>
  <c r="CG16" i="6"/>
  <c r="CF15" i="6"/>
  <c r="CF26" i="6" l="1"/>
  <c r="CF21" i="6"/>
  <c r="CE18" i="6"/>
  <c r="CE19" i="6" s="1"/>
  <c r="CE22" i="6" s="1"/>
  <c r="CE23" i="6" s="1"/>
  <c r="CE24" i="6" s="1"/>
  <c r="CE27" i="6" s="1"/>
  <c r="CG15" i="6"/>
  <c r="CH16" i="6"/>
  <c r="CF17" i="6"/>
  <c r="CF20" i="6"/>
  <c r="CG26" i="6" l="1"/>
  <c r="CG21" i="6"/>
  <c r="CF18" i="6"/>
  <c r="CF19" i="6" s="1"/>
  <c r="CF22" i="6" s="1"/>
  <c r="CF23" i="6" s="1"/>
  <c r="CF24" i="6" s="1"/>
  <c r="CF27" i="6" s="1"/>
  <c r="BT29" i="6"/>
  <c r="CI16" i="6"/>
  <c r="CH15" i="6"/>
  <c r="CG20" i="6"/>
  <c r="CG17" i="6"/>
  <c r="CH26" i="6" l="1"/>
  <c r="CH21" i="6"/>
  <c r="CG18" i="6"/>
  <c r="CG19" i="6" s="1"/>
  <c r="CG22" i="6" s="1"/>
  <c r="CG23" i="6" s="1"/>
  <c r="CG24" i="6" s="1"/>
  <c r="CG27" i="6" s="1"/>
  <c r="BU29" i="6"/>
  <c r="CH20" i="6"/>
  <c r="CH17" i="6"/>
  <c r="CJ16" i="6"/>
  <c r="CI15" i="6"/>
  <c r="CI26" i="6" l="1"/>
  <c r="CI21" i="6"/>
  <c r="CH18" i="6"/>
  <c r="CH19" i="6" s="1"/>
  <c r="CH22" i="6" s="1"/>
  <c r="CH23" i="6" s="1"/>
  <c r="CH24" i="6" s="1"/>
  <c r="CH27" i="6" s="1"/>
  <c r="BV29" i="6"/>
  <c r="CI20" i="6"/>
  <c r="CI17" i="6"/>
  <c r="CJ15" i="6"/>
  <c r="CK16" i="6"/>
  <c r="CJ26" i="6" l="1"/>
  <c r="CJ21" i="6"/>
  <c r="CI18" i="6"/>
  <c r="CI19" i="6" s="1"/>
  <c r="CI22" i="6" s="1"/>
  <c r="CI23" i="6" s="1"/>
  <c r="CI24" i="6" s="1"/>
  <c r="CI27" i="6" s="1"/>
  <c r="BX29" i="6" s="1"/>
  <c r="BW29" i="6"/>
  <c r="CJ20" i="6"/>
  <c r="CJ17" i="6"/>
  <c r="CL16" i="6"/>
  <c r="CK15" i="6"/>
  <c r="CK26" i="6" l="1"/>
  <c r="CK21" i="6"/>
  <c r="CJ18" i="6"/>
  <c r="CJ19" i="6" s="1"/>
  <c r="CJ22" i="6" s="1"/>
  <c r="CJ23" i="6" s="1"/>
  <c r="CJ24" i="6" s="1"/>
  <c r="CJ27" i="6" s="1"/>
  <c r="CL15" i="6"/>
  <c r="CM16" i="6"/>
  <c r="CK17" i="6"/>
  <c r="CK20" i="6"/>
  <c r="CL26" i="6" l="1"/>
  <c r="CL21" i="6"/>
  <c r="CK18" i="6"/>
  <c r="CK19" i="6" s="1"/>
  <c r="CK22" i="6" s="1"/>
  <c r="CK23" i="6" s="1"/>
  <c r="CK24" i="6" s="1"/>
  <c r="CK27" i="6" s="1"/>
  <c r="BY29" i="6"/>
  <c r="CM15" i="6"/>
  <c r="CN16" i="6"/>
  <c r="CL20" i="6"/>
  <c r="CL17" i="6"/>
  <c r="CM26" i="6" l="1"/>
  <c r="CM21" i="6"/>
  <c r="CL18" i="6"/>
  <c r="CL19" i="6" s="1"/>
  <c r="CL22" i="6" s="1"/>
  <c r="CL23" i="6" s="1"/>
  <c r="CL24" i="6" s="1"/>
  <c r="CL27" i="6" s="1"/>
  <c r="BZ29" i="6"/>
  <c r="CO16" i="6"/>
  <c r="CN15" i="6"/>
  <c r="CM17" i="6"/>
  <c r="CM20" i="6"/>
  <c r="CN26" i="6" l="1"/>
  <c r="CN21" i="6"/>
  <c r="CM18" i="6"/>
  <c r="CM19" i="6" s="1"/>
  <c r="CM22" i="6" s="1"/>
  <c r="CM23" i="6" s="1"/>
  <c r="CM24" i="6" s="1"/>
  <c r="CM27" i="6" s="1"/>
  <c r="CA29" i="6"/>
  <c r="CN20" i="6"/>
  <c r="CN17" i="6"/>
  <c r="CO15" i="6"/>
  <c r="CP16" i="6"/>
  <c r="CO26" i="6" l="1"/>
  <c r="CO21" i="6"/>
  <c r="CN18" i="6"/>
  <c r="CN19" i="6" s="1"/>
  <c r="CN22" i="6" s="1"/>
  <c r="CN23" i="6" s="1"/>
  <c r="CN24" i="6" s="1"/>
  <c r="CN27" i="6" s="1"/>
  <c r="CC29" i="6" s="1"/>
  <c r="CB29" i="6"/>
  <c r="CO17" i="6"/>
  <c r="CO20" i="6"/>
  <c r="CP15" i="6"/>
  <c r="CQ16" i="6"/>
  <c r="CP26" i="6" l="1"/>
  <c r="CP21" i="6"/>
  <c r="CO18" i="6"/>
  <c r="CO19" i="6" s="1"/>
  <c r="CO22" i="6" s="1"/>
  <c r="CO23" i="6" s="1"/>
  <c r="CO24" i="6" s="1"/>
  <c r="CO27" i="6" s="1"/>
  <c r="CP20" i="6"/>
  <c r="CP17" i="6"/>
  <c r="CR16" i="6"/>
  <c r="CQ15" i="6"/>
  <c r="CQ26" i="6" l="1"/>
  <c r="CQ21" i="6"/>
  <c r="CP18" i="6"/>
  <c r="CP19" i="6" s="1"/>
  <c r="CP22" i="6" s="1"/>
  <c r="CP23" i="6" s="1"/>
  <c r="CP24" i="6" s="1"/>
  <c r="CP27" i="6" s="1"/>
  <c r="CD29" i="6"/>
  <c r="CS16" i="6"/>
  <c r="CR15" i="6"/>
  <c r="CQ20" i="6"/>
  <c r="CQ17" i="6"/>
  <c r="CR26" i="6" l="1"/>
  <c r="CR21" i="6"/>
  <c r="CQ18" i="6"/>
  <c r="CQ19" i="6" s="1"/>
  <c r="CQ22" i="6" s="1"/>
  <c r="CQ23" i="6" s="1"/>
  <c r="CQ24" i="6" s="1"/>
  <c r="CQ27" i="6" s="1"/>
  <c r="CE29" i="6"/>
  <c r="CR20" i="6"/>
  <c r="CR17" i="6"/>
  <c r="CT16" i="6"/>
  <c r="CS15" i="6"/>
  <c r="CS26" i="6" l="1"/>
  <c r="CS21" i="6"/>
  <c r="CR18" i="6"/>
  <c r="CR19" i="6" s="1"/>
  <c r="CR22" i="6" s="1"/>
  <c r="CR23" i="6" s="1"/>
  <c r="CR24" i="6" s="1"/>
  <c r="CR27" i="6" s="1"/>
  <c r="CF29" i="6"/>
  <c r="CT15" i="6"/>
  <c r="CU16" i="6"/>
  <c r="CS17" i="6"/>
  <c r="CS20" i="6"/>
  <c r="CT26" i="6" l="1"/>
  <c r="CT21" i="6"/>
  <c r="CS18" i="6"/>
  <c r="CS19" i="6" s="1"/>
  <c r="CS22" i="6" s="1"/>
  <c r="CS23" i="6" s="1"/>
  <c r="CS24" i="6" s="1"/>
  <c r="CS27" i="6" s="1"/>
  <c r="CH29" i="6" s="1"/>
  <c r="CG29" i="6"/>
  <c r="CU15" i="6"/>
  <c r="CV16" i="6"/>
  <c r="CT17" i="6"/>
  <c r="CT20" i="6"/>
  <c r="CU26" i="6" l="1"/>
  <c r="CU21" i="6"/>
  <c r="CT18" i="6"/>
  <c r="CT19" i="6" s="1"/>
  <c r="CT22" i="6" s="1"/>
  <c r="CT23" i="6" s="1"/>
  <c r="CT24" i="6" s="1"/>
  <c r="CT27" i="6" s="1"/>
  <c r="CW16" i="6"/>
  <c r="CV15" i="6"/>
  <c r="CU17" i="6"/>
  <c r="CU20" i="6"/>
  <c r="CV26" i="6" l="1"/>
  <c r="CV21" i="6"/>
  <c r="CU18" i="6"/>
  <c r="CU19" i="6" s="1"/>
  <c r="CU22" i="6" s="1"/>
  <c r="CU23" i="6" s="1"/>
  <c r="CU24" i="6" s="1"/>
  <c r="CU27" i="6" s="1"/>
  <c r="CI29" i="6"/>
  <c r="CV17" i="6"/>
  <c r="CV20" i="6"/>
  <c r="CX16" i="6"/>
  <c r="CW15" i="6"/>
  <c r="CW26" i="6" l="1"/>
  <c r="CW21" i="6"/>
  <c r="CV18" i="6"/>
  <c r="CV19" i="6" s="1"/>
  <c r="CV22" i="6" s="1"/>
  <c r="CV23" i="6" s="1"/>
  <c r="CV24" i="6" s="1"/>
  <c r="CV27" i="6" s="1"/>
  <c r="CJ29" i="6"/>
  <c r="CY16" i="6"/>
  <c r="CX15" i="6"/>
  <c r="CW17" i="6"/>
  <c r="CW20" i="6"/>
  <c r="CX26" i="6" l="1"/>
  <c r="CX21" i="6"/>
  <c r="CW18" i="6"/>
  <c r="CW19" i="6" s="1"/>
  <c r="CW22" i="6" s="1"/>
  <c r="CW23" i="6" s="1"/>
  <c r="CW24" i="6" s="1"/>
  <c r="CW27" i="6" s="1"/>
  <c r="CK29" i="6"/>
  <c r="CX17" i="6"/>
  <c r="CX20" i="6"/>
  <c r="CZ16" i="6"/>
  <c r="CY15" i="6"/>
  <c r="CY26" i="6" l="1"/>
  <c r="CY21" i="6"/>
  <c r="CX18" i="6"/>
  <c r="CX19" i="6" s="1"/>
  <c r="CX22" i="6" s="1"/>
  <c r="CX23" i="6" s="1"/>
  <c r="CX24" i="6" s="1"/>
  <c r="CX27" i="6" s="1"/>
  <c r="CL29" i="6"/>
  <c r="CY17" i="6"/>
  <c r="CY20" i="6"/>
  <c r="DA16" i="6"/>
  <c r="CZ15" i="6"/>
  <c r="CZ26" i="6" l="1"/>
  <c r="CZ21" i="6"/>
  <c r="CY18" i="6"/>
  <c r="CY19" i="6" s="1"/>
  <c r="CY22" i="6" s="1"/>
  <c r="CY23" i="6" s="1"/>
  <c r="CY24" i="6" s="1"/>
  <c r="CY27" i="6" s="1"/>
  <c r="CM29" i="6"/>
  <c r="CZ20" i="6"/>
  <c r="CZ17" i="6"/>
  <c r="DA15" i="6"/>
  <c r="DB16" i="6"/>
  <c r="DA26" i="6" l="1"/>
  <c r="DA21" i="6"/>
  <c r="CZ18" i="6"/>
  <c r="CZ19" i="6" s="1"/>
  <c r="CZ22" i="6" s="1"/>
  <c r="CZ23" i="6" s="1"/>
  <c r="CZ24" i="6" s="1"/>
  <c r="CZ27" i="6" s="1"/>
  <c r="CN29" i="6"/>
  <c r="DA17" i="6"/>
  <c r="DA20" i="6"/>
  <c r="DB15" i="6"/>
  <c r="DC16" i="6"/>
  <c r="DB26" i="6" l="1"/>
  <c r="DB21" i="6"/>
  <c r="DA18" i="6"/>
  <c r="DA19" i="6" s="1"/>
  <c r="DA22" i="6" s="1"/>
  <c r="DA23" i="6" s="1"/>
  <c r="DA24" i="6" s="1"/>
  <c r="DA27" i="6" s="1"/>
  <c r="CO29" i="6"/>
  <c r="DB17" i="6"/>
  <c r="DB20" i="6"/>
  <c r="DC15" i="6"/>
  <c r="DD16" i="6"/>
  <c r="DC26" i="6" l="1"/>
  <c r="DC21" i="6"/>
  <c r="DB18" i="6"/>
  <c r="DB19" i="6" s="1"/>
  <c r="DB22" i="6" s="1"/>
  <c r="DB23" i="6" s="1"/>
  <c r="DB24" i="6" s="1"/>
  <c r="DB27" i="6" s="1"/>
  <c r="CP29" i="6"/>
  <c r="DE16" i="6"/>
  <c r="DD15" i="6"/>
  <c r="DC17" i="6"/>
  <c r="DC20" i="6"/>
  <c r="DD26" i="6" l="1"/>
  <c r="DD21" i="6"/>
  <c r="DC18" i="6"/>
  <c r="DC19" i="6" s="1"/>
  <c r="DC22" i="6" s="1"/>
  <c r="DC23" i="6" s="1"/>
  <c r="DC24" i="6" s="1"/>
  <c r="DC27" i="6" s="1"/>
  <c r="CQ29" i="6"/>
  <c r="DD20" i="6"/>
  <c r="DD17" i="6"/>
  <c r="DD18" i="6" s="1"/>
  <c r="DF16" i="6"/>
  <c r="DE15" i="6"/>
  <c r="DE26" i="6" l="1"/>
  <c r="DE21" i="6"/>
  <c r="CR29" i="6"/>
  <c r="DD19" i="6"/>
  <c r="DD22" i="6" s="1"/>
  <c r="DD23" i="6" s="1"/>
  <c r="DD24" i="6" s="1"/>
  <c r="DD27" i="6" s="1"/>
  <c r="DE17" i="6"/>
  <c r="DE20" i="6"/>
  <c r="DF15" i="6"/>
  <c r="DG16" i="6"/>
  <c r="DF26" i="6" l="1"/>
  <c r="DF21" i="6"/>
  <c r="DE18" i="6"/>
  <c r="DE19" i="6" s="1"/>
  <c r="DE22" i="6" s="1"/>
  <c r="DE23" i="6" s="1"/>
  <c r="DE24" i="6" s="1"/>
  <c r="DE27" i="6" s="1"/>
  <c r="CS29" i="6"/>
  <c r="DG15" i="6"/>
  <c r="DH16" i="6"/>
  <c r="DF20" i="6"/>
  <c r="DF17" i="6"/>
  <c r="DF18" i="6" s="1"/>
  <c r="DG26" i="6" l="1"/>
  <c r="DG21" i="6"/>
  <c r="CT29" i="6"/>
  <c r="DF19" i="6"/>
  <c r="DF22" i="6" s="1"/>
  <c r="DF23" i="6" s="1"/>
  <c r="DF24" i="6" s="1"/>
  <c r="DF27" i="6" s="1"/>
  <c r="DI16" i="6"/>
  <c r="DH15" i="6"/>
  <c r="DG20" i="6"/>
  <c r="DG17" i="6"/>
  <c r="DH26" i="6" l="1"/>
  <c r="DH21" i="6"/>
  <c r="DG18" i="6"/>
  <c r="DG19" i="6" s="1"/>
  <c r="DG22" i="6" s="1"/>
  <c r="DG23" i="6" s="1"/>
  <c r="DG24" i="6" s="1"/>
  <c r="DG27" i="6" s="1"/>
  <c r="CU29" i="6"/>
  <c r="DH17" i="6"/>
  <c r="DH18" i="6" s="1"/>
  <c r="DH20" i="6"/>
  <c r="DJ16" i="6"/>
  <c r="DI15" i="6"/>
  <c r="DI26" i="6" l="1"/>
  <c r="DI21" i="6"/>
  <c r="CV29" i="6"/>
  <c r="DI20" i="6"/>
  <c r="DI17" i="6"/>
  <c r="DK16" i="6"/>
  <c r="DJ15" i="6"/>
  <c r="DH19" i="6"/>
  <c r="DH22" i="6" s="1"/>
  <c r="DH23" i="6" s="1"/>
  <c r="DH24" i="6" s="1"/>
  <c r="DH27" i="6" s="1"/>
  <c r="DJ26" i="6" l="1"/>
  <c r="DJ21" i="6"/>
  <c r="DI18" i="6"/>
  <c r="DI19" i="6" s="1"/>
  <c r="DI22" i="6" s="1"/>
  <c r="DI23" i="6" s="1"/>
  <c r="DI24" i="6" s="1"/>
  <c r="DI27" i="6" s="1"/>
  <c r="CX29" i="6" s="1"/>
  <c r="CW29" i="6"/>
  <c r="DL16" i="6"/>
  <c r="DK15" i="6"/>
  <c r="DJ17" i="6"/>
  <c r="DJ18" i="6" s="1"/>
  <c r="DJ20" i="6"/>
  <c r="DK26" i="6" l="1"/>
  <c r="DK21" i="6"/>
  <c r="DK17" i="6"/>
  <c r="DK20" i="6"/>
  <c r="DJ19" i="6"/>
  <c r="DJ22" i="6" s="1"/>
  <c r="DJ23" i="6" s="1"/>
  <c r="DJ24" i="6" s="1"/>
  <c r="DJ27" i="6" s="1"/>
  <c r="DL15" i="6"/>
  <c r="DM16" i="6"/>
  <c r="DL26" i="6" l="1"/>
  <c r="DL21" i="6"/>
  <c r="DK18" i="6"/>
  <c r="DK19" i="6" s="1"/>
  <c r="DK22" i="6" s="1"/>
  <c r="DK23" i="6" s="1"/>
  <c r="DK24" i="6" s="1"/>
  <c r="DK27" i="6" s="1"/>
  <c r="CY29" i="6"/>
  <c r="DM15" i="6"/>
  <c r="DN16" i="6"/>
  <c r="DL17" i="6"/>
  <c r="DL18" i="6" s="1"/>
  <c r="DL20" i="6"/>
  <c r="DM26" i="6" l="1"/>
  <c r="DM21" i="6"/>
  <c r="CZ29" i="6"/>
  <c r="DL19" i="6"/>
  <c r="DL22" i="6" s="1"/>
  <c r="DL23" i="6" s="1"/>
  <c r="DL24" i="6" s="1"/>
  <c r="DL27" i="6" s="1"/>
  <c r="DN15" i="6"/>
  <c r="DO16" i="6"/>
  <c r="DM17" i="6"/>
  <c r="DM20" i="6"/>
  <c r="DN26" i="6" l="1"/>
  <c r="DN21" i="6"/>
  <c r="DM18" i="6"/>
  <c r="DM19" i="6" s="1"/>
  <c r="DM22" i="6" s="1"/>
  <c r="DM23" i="6" s="1"/>
  <c r="DM24" i="6" s="1"/>
  <c r="DM27" i="6" s="1"/>
  <c r="DA29" i="6"/>
  <c r="DN20" i="6"/>
  <c r="DN17" i="6"/>
  <c r="DP16" i="6"/>
  <c r="DO15" i="6"/>
  <c r="DO26" i="6" l="1"/>
  <c r="DO21" i="6"/>
  <c r="DN18" i="6"/>
  <c r="DN19" i="6" s="1"/>
  <c r="DN22" i="6" s="1"/>
  <c r="DN23" i="6" s="1"/>
  <c r="DN24" i="6" s="1"/>
  <c r="DN27" i="6" s="1"/>
  <c r="DB29" i="6"/>
  <c r="DQ16" i="6"/>
  <c r="DP15" i="6"/>
  <c r="DO17" i="6"/>
  <c r="DO20" i="6"/>
  <c r="DP26" i="6" l="1"/>
  <c r="DP21" i="6"/>
  <c r="DO18" i="6"/>
  <c r="DO19" i="6" s="1"/>
  <c r="DO22" i="6" s="1"/>
  <c r="DO23" i="6" s="1"/>
  <c r="DO24" i="6" s="1"/>
  <c r="DO27" i="6" s="1"/>
  <c r="DC29" i="6"/>
  <c r="DP17" i="6"/>
  <c r="DP20" i="6"/>
  <c r="DR16" i="6"/>
  <c r="DQ15" i="6"/>
  <c r="DQ26" i="6" l="1"/>
  <c r="DQ21" i="6"/>
  <c r="DP18" i="6"/>
  <c r="DP19" i="6" s="1"/>
  <c r="DP22" i="6" s="1"/>
  <c r="DP23" i="6" s="1"/>
  <c r="DP24" i="6" s="1"/>
  <c r="DP27" i="6" s="1"/>
  <c r="DD29" i="6"/>
  <c r="DS16" i="6"/>
  <c r="DR15" i="6"/>
  <c r="DQ17" i="6"/>
  <c r="DQ20" i="6"/>
  <c r="DR26" i="6" l="1"/>
  <c r="DR21" i="6"/>
  <c r="DQ18" i="6"/>
  <c r="DQ19" i="6" s="1"/>
  <c r="DQ22" i="6" s="1"/>
  <c r="DQ23" i="6" s="1"/>
  <c r="DQ24" i="6" s="1"/>
  <c r="DQ27" i="6" s="1"/>
  <c r="DF29" i="6" s="1"/>
  <c r="DE29" i="6"/>
  <c r="DR20" i="6"/>
  <c r="DR17" i="6"/>
  <c r="DS15" i="6"/>
  <c r="DT16" i="6"/>
  <c r="DS26" i="6" l="1"/>
  <c r="DS21" i="6"/>
  <c r="DR18" i="6"/>
  <c r="DR19" i="6" s="1"/>
  <c r="DR22" i="6" s="1"/>
  <c r="DR23" i="6" s="1"/>
  <c r="DR24" i="6" s="1"/>
  <c r="DR27" i="6" s="1"/>
  <c r="DS20" i="6"/>
  <c r="DS17" i="6"/>
  <c r="DT15" i="6"/>
  <c r="DU16" i="6"/>
  <c r="DT26" i="6" l="1"/>
  <c r="DT21" i="6"/>
  <c r="DS18" i="6"/>
  <c r="DS19" i="6" s="1"/>
  <c r="DS22" i="6" s="1"/>
  <c r="DS23" i="6" s="1"/>
  <c r="DS24" i="6" s="1"/>
  <c r="DS27" i="6" s="1"/>
  <c r="DG29" i="6"/>
  <c r="DT17" i="6"/>
  <c r="DT20" i="6"/>
  <c r="DU15" i="6"/>
  <c r="DV16" i="6"/>
  <c r="DU26" i="6" l="1"/>
  <c r="DU21" i="6"/>
  <c r="DT18" i="6"/>
  <c r="DT19" i="6" s="1"/>
  <c r="DT22" i="6" s="1"/>
  <c r="DT23" i="6" s="1"/>
  <c r="DT24" i="6" s="1"/>
  <c r="DT27" i="6" s="1"/>
  <c r="DH29" i="6"/>
  <c r="DU20" i="6"/>
  <c r="DU17" i="6"/>
  <c r="DV15" i="6"/>
  <c r="DW16" i="6"/>
  <c r="DV26" i="6" l="1"/>
  <c r="DV21" i="6"/>
  <c r="DU18" i="6"/>
  <c r="DU19" i="6" s="1"/>
  <c r="DU22" i="6" s="1"/>
  <c r="DU23" i="6" s="1"/>
  <c r="DU24" i="6" s="1"/>
  <c r="DU27" i="6" s="1"/>
  <c r="DI29" i="6"/>
  <c r="DW15" i="6"/>
  <c r="DX16" i="6"/>
  <c r="DV20" i="6"/>
  <c r="DV17" i="6"/>
  <c r="DW26" i="6" l="1"/>
  <c r="DW21" i="6"/>
  <c r="DV18" i="6"/>
  <c r="DV19" i="6" s="1"/>
  <c r="DV22" i="6" s="1"/>
  <c r="DV23" i="6" s="1"/>
  <c r="DV24" i="6" s="1"/>
  <c r="DV27" i="6" s="1"/>
  <c r="DJ29" i="6"/>
  <c r="DY16" i="6"/>
  <c r="DX15" i="6"/>
  <c r="DW17" i="6"/>
  <c r="DW20" i="6"/>
  <c r="DX26" i="6" l="1"/>
  <c r="DX21" i="6"/>
  <c r="DW18" i="6"/>
  <c r="DW19" i="6" s="1"/>
  <c r="DW22" i="6" s="1"/>
  <c r="DW23" i="6" s="1"/>
  <c r="DW24" i="6" s="1"/>
  <c r="DW27" i="6" s="1"/>
  <c r="DK29" i="6"/>
  <c r="DX20" i="6"/>
  <c r="DX17" i="6"/>
  <c r="DY15" i="6"/>
  <c r="DZ16" i="6"/>
  <c r="DY26" i="6" l="1"/>
  <c r="DY21" i="6"/>
  <c r="DX18" i="6"/>
  <c r="DX19" i="6" s="1"/>
  <c r="DX22" i="6" s="1"/>
  <c r="DX23" i="6" s="1"/>
  <c r="DX24" i="6" s="1"/>
  <c r="DX27" i="6" s="1"/>
  <c r="DM29" i="6" s="1"/>
  <c r="DL29" i="6"/>
  <c r="DY17" i="6"/>
  <c r="DY20" i="6"/>
  <c r="DZ15" i="6"/>
  <c r="EA16" i="6"/>
  <c r="DZ26" i="6" l="1"/>
  <c r="DZ21" i="6"/>
  <c r="DY18" i="6"/>
  <c r="DY19" i="6" s="1"/>
  <c r="DY22" i="6" s="1"/>
  <c r="DY23" i="6" s="1"/>
  <c r="DY24" i="6" s="1"/>
  <c r="DY27" i="6" s="1"/>
  <c r="DZ17" i="6"/>
  <c r="DZ20" i="6"/>
  <c r="EB16" i="6"/>
  <c r="EA15" i="6"/>
  <c r="EA26" i="6" l="1"/>
  <c r="EA21" i="6"/>
  <c r="DZ18" i="6"/>
  <c r="DZ19" i="6" s="1"/>
  <c r="DZ22" i="6" s="1"/>
  <c r="DZ23" i="6" s="1"/>
  <c r="DZ24" i="6" s="1"/>
  <c r="DZ27" i="6" s="1"/>
  <c r="DN29" i="6"/>
  <c r="EA20" i="6"/>
  <c r="EA17" i="6"/>
  <c r="EC16" i="6"/>
  <c r="EB15" i="6"/>
  <c r="EB26" i="6" l="1"/>
  <c r="EB21" i="6"/>
  <c r="EA18" i="6"/>
  <c r="EA19" i="6" s="1"/>
  <c r="EA22" i="6" s="1"/>
  <c r="EA23" i="6" s="1"/>
  <c r="EA24" i="6" s="1"/>
  <c r="EA27" i="6" s="1"/>
  <c r="DP29" i="6" s="1"/>
  <c r="DO29" i="6"/>
  <c r="ED16" i="6"/>
  <c r="EC15" i="6"/>
  <c r="EB17" i="6"/>
  <c r="EB20" i="6"/>
  <c r="EC26" i="6" l="1"/>
  <c r="EC21" i="6"/>
  <c r="EB18" i="6"/>
  <c r="EB19" i="6" s="1"/>
  <c r="EB22" i="6" s="1"/>
  <c r="EB23" i="6" s="1"/>
  <c r="EB24" i="6" s="1"/>
  <c r="EB27" i="6" s="1"/>
  <c r="EC17" i="6"/>
  <c r="EC20" i="6"/>
  <c r="ED15" i="6"/>
  <c r="EE16" i="6"/>
  <c r="ED26" i="6" l="1"/>
  <c r="ED21" i="6"/>
  <c r="EC18" i="6"/>
  <c r="EC19" i="6" s="1"/>
  <c r="EC22" i="6" s="1"/>
  <c r="EC23" i="6" s="1"/>
  <c r="EC24" i="6" s="1"/>
  <c r="EC27" i="6" s="1"/>
  <c r="DQ29" i="6"/>
  <c r="ED17" i="6"/>
  <c r="ED20" i="6"/>
  <c r="EE15" i="6"/>
  <c r="EF16" i="6"/>
  <c r="EE26" i="6" l="1"/>
  <c r="EE21" i="6"/>
  <c r="ED18" i="6"/>
  <c r="ED19" i="6" s="1"/>
  <c r="ED22" i="6" s="1"/>
  <c r="ED23" i="6" s="1"/>
  <c r="ED24" i="6" s="1"/>
  <c r="ED27" i="6" s="1"/>
  <c r="DR29" i="6"/>
  <c r="EE20" i="6"/>
  <c r="EE17" i="6"/>
  <c r="EF15" i="6"/>
  <c r="EG16" i="6"/>
  <c r="EF26" i="6" l="1"/>
  <c r="EF21" i="6"/>
  <c r="EE18" i="6"/>
  <c r="EE19" i="6" s="1"/>
  <c r="EE22" i="6" s="1"/>
  <c r="EE23" i="6" s="1"/>
  <c r="EE24" i="6" s="1"/>
  <c r="EE27" i="6" s="1"/>
  <c r="DS29" i="6"/>
  <c r="EF17" i="6"/>
  <c r="EF20" i="6"/>
  <c r="EH16" i="6"/>
  <c r="EG15" i="6"/>
  <c r="EG26" i="6" l="1"/>
  <c r="EG21" i="6"/>
  <c r="EF18" i="6"/>
  <c r="EF19" i="6" s="1"/>
  <c r="EF22" i="6" s="1"/>
  <c r="EF23" i="6" s="1"/>
  <c r="EF24" i="6" s="1"/>
  <c r="EF27" i="6" s="1"/>
  <c r="DT29" i="6"/>
  <c r="EH15" i="6"/>
  <c r="EI16" i="6"/>
  <c r="EG20" i="6"/>
  <c r="EG17" i="6"/>
  <c r="EH26" i="6" l="1"/>
  <c r="EH21" i="6"/>
  <c r="EG18" i="6"/>
  <c r="EG19" i="6" s="1"/>
  <c r="EG22" i="6" s="1"/>
  <c r="EG23" i="6" s="1"/>
  <c r="EG24" i="6" s="1"/>
  <c r="EG27" i="6" s="1"/>
  <c r="DU29" i="6"/>
  <c r="EJ16" i="6"/>
  <c r="EI15" i="6"/>
  <c r="EH17" i="6"/>
  <c r="EH20" i="6"/>
  <c r="EI26" i="6" l="1"/>
  <c r="EI21" i="6"/>
  <c r="EH18" i="6"/>
  <c r="EH19" i="6" s="1"/>
  <c r="EH22" i="6" s="1"/>
  <c r="EH23" i="6" s="1"/>
  <c r="EH24" i="6" s="1"/>
  <c r="EH27" i="6" s="1"/>
  <c r="DV29" i="6"/>
  <c r="EI17" i="6"/>
  <c r="EI20" i="6"/>
  <c r="EJ15" i="6"/>
  <c r="EK16" i="6"/>
  <c r="EJ26" i="6" l="1"/>
  <c r="EJ21" i="6"/>
  <c r="EI18" i="6"/>
  <c r="EI19" i="6" s="1"/>
  <c r="EI22" i="6" s="1"/>
  <c r="EI23" i="6" s="1"/>
  <c r="EI24" i="6" s="1"/>
  <c r="EI27" i="6" s="1"/>
  <c r="K72" i="3"/>
  <c r="K73" i="3" s="1"/>
  <c r="BD72" i="3"/>
  <c r="BD73" i="3" s="1"/>
  <c r="AN72" i="3"/>
  <c r="AN73" i="3" s="1"/>
  <c r="BF72" i="3"/>
  <c r="BF73" i="3" s="1"/>
  <c r="BC72" i="3"/>
  <c r="BC73" i="3" s="1"/>
  <c r="AU72" i="3"/>
  <c r="AU73" i="3" s="1"/>
  <c r="BJ72" i="3"/>
  <c r="BJ73" i="3" s="1"/>
  <c r="Y72" i="3"/>
  <c r="Y73" i="3" s="1"/>
  <c r="V72" i="3"/>
  <c r="V73" i="3" s="1"/>
  <c r="T72" i="3"/>
  <c r="T73" i="3" s="1"/>
  <c r="AH72" i="3"/>
  <c r="AH73" i="3" s="1"/>
  <c r="BQ72" i="3"/>
  <c r="BQ73" i="3" s="1"/>
  <c r="BL72" i="3"/>
  <c r="BL73" i="3" s="1"/>
  <c r="AA72" i="3"/>
  <c r="AA73" i="3" s="1"/>
  <c r="AL72" i="3"/>
  <c r="AL73" i="3" s="1"/>
  <c r="AR72" i="3"/>
  <c r="AR73" i="3" s="1"/>
  <c r="R72" i="3"/>
  <c r="R73" i="3" s="1"/>
  <c r="J71" i="3"/>
  <c r="M72" i="3"/>
  <c r="M73" i="3" s="1"/>
  <c r="AK72" i="3"/>
  <c r="AK73" i="3" s="1"/>
  <c r="N72" i="3"/>
  <c r="N73" i="3" s="1"/>
  <c r="AB72" i="3"/>
  <c r="AB73" i="3" s="1"/>
  <c r="AJ72" i="3"/>
  <c r="AJ73" i="3" s="1"/>
  <c r="AS72" i="3"/>
  <c r="AS73" i="3" s="1"/>
  <c r="S72" i="3"/>
  <c r="S73" i="3" s="1"/>
  <c r="AO72" i="3"/>
  <c r="AO73" i="3" s="1"/>
  <c r="AG72" i="3"/>
  <c r="AG73" i="3" s="1"/>
  <c r="BG72" i="3"/>
  <c r="BG73" i="3" s="1"/>
  <c r="BR72" i="3"/>
  <c r="BR73" i="3" s="1"/>
  <c r="AD72" i="3"/>
  <c r="AD73" i="3" s="1"/>
  <c r="AV72" i="3"/>
  <c r="AV73" i="3" s="1"/>
  <c r="AQ72" i="3"/>
  <c r="AQ73" i="3" s="1"/>
  <c r="BO72" i="3"/>
  <c r="BO73" i="3" s="1"/>
  <c r="AC72" i="3"/>
  <c r="AC73" i="3" s="1"/>
  <c r="W72" i="3"/>
  <c r="W73" i="3" s="1"/>
  <c r="AM72" i="3"/>
  <c r="AM73" i="3" s="1"/>
  <c r="AI72" i="3"/>
  <c r="AI73" i="3" s="1"/>
  <c r="BK72" i="3"/>
  <c r="BK73" i="3" s="1"/>
  <c r="J72" i="3"/>
  <c r="J73" i="3" s="1"/>
  <c r="AP72" i="3"/>
  <c r="AP73" i="3" s="1"/>
  <c r="X72" i="3"/>
  <c r="X73" i="3" s="1"/>
  <c r="O72" i="3"/>
  <c r="O73" i="3" s="1"/>
  <c r="BH72" i="3"/>
  <c r="BH73" i="3" s="1"/>
  <c r="BM72" i="3"/>
  <c r="BM73" i="3" s="1"/>
  <c r="U72" i="3"/>
  <c r="U73" i="3" s="1"/>
  <c r="BP72" i="3"/>
  <c r="BP73" i="3" s="1"/>
  <c r="BA72" i="3"/>
  <c r="BA73" i="3" s="1"/>
  <c r="Q72" i="3"/>
  <c r="Q73" i="3" s="1"/>
  <c r="AF72" i="3"/>
  <c r="AF73" i="3" s="1"/>
  <c r="BI72" i="3"/>
  <c r="BI73" i="3" s="1"/>
  <c r="AE72" i="3"/>
  <c r="AE73" i="3" s="1"/>
  <c r="AT72" i="3"/>
  <c r="AT73" i="3" s="1"/>
  <c r="Z72" i="3"/>
  <c r="Z73" i="3" s="1"/>
  <c r="P72" i="3"/>
  <c r="P73" i="3" s="1"/>
  <c r="BE72" i="3"/>
  <c r="BE73" i="3" s="1"/>
  <c r="L72" i="3"/>
  <c r="L73" i="3" s="1"/>
  <c r="BB72" i="3"/>
  <c r="BB73" i="3" s="1"/>
  <c r="BN72" i="3"/>
  <c r="BN73" i="3" s="1"/>
  <c r="DW29" i="6"/>
  <c r="AP71" i="3"/>
  <c r="AP74" i="3" s="1"/>
  <c r="BH71" i="3"/>
  <c r="BR71" i="3"/>
  <c r="AE71" i="3"/>
  <c r="AK71" i="3"/>
  <c r="BP71" i="3"/>
  <c r="AV71" i="3"/>
  <c r="AU71" i="3"/>
  <c r="T71" i="3"/>
  <c r="AC71" i="3"/>
  <c r="L71" i="3"/>
  <c r="O71" i="3"/>
  <c r="M71" i="3"/>
  <c r="Y71" i="3"/>
  <c r="AD71" i="3"/>
  <c r="AD74" i="3" s="1"/>
  <c r="AM71" i="3"/>
  <c r="AI71" i="3"/>
  <c r="BC71" i="3"/>
  <c r="BC74" i="3" s="1"/>
  <c r="BM71" i="3"/>
  <c r="AS71" i="3"/>
  <c r="N71" i="3"/>
  <c r="W71" i="3"/>
  <c r="BO71" i="3"/>
  <c r="BO74" i="3" s="1"/>
  <c r="BF71" i="3"/>
  <c r="Z71" i="3"/>
  <c r="AH71" i="3"/>
  <c r="BL71" i="3"/>
  <c r="R71" i="3"/>
  <c r="R74" i="3" s="1"/>
  <c r="AB71" i="3"/>
  <c r="BQ71" i="3"/>
  <c r="BE71" i="3"/>
  <c r="U71" i="3"/>
  <c r="AO71" i="3"/>
  <c r="V71" i="3"/>
  <c r="AR71" i="3"/>
  <c r="BD71" i="3"/>
  <c r="P71" i="3"/>
  <c r="X71" i="3"/>
  <c r="AT71" i="3"/>
  <c r="BI71" i="3"/>
  <c r="AA71" i="3"/>
  <c r="S71" i="3"/>
  <c r="K71" i="3"/>
  <c r="K74" i="3" s="1"/>
  <c r="BJ71" i="3"/>
  <c r="Q71" i="3"/>
  <c r="Q74" i="3" s="1"/>
  <c r="AL71" i="3"/>
  <c r="AN71" i="3"/>
  <c r="AF71" i="3"/>
  <c r="AF74" i="3" s="1"/>
  <c r="AG71" i="3"/>
  <c r="BK71" i="3"/>
  <c r="AJ71" i="3"/>
  <c r="BN71" i="3"/>
  <c r="AQ71" i="3"/>
  <c r="AQ74" i="3" s="1"/>
  <c r="BG71" i="3"/>
  <c r="EJ20" i="6"/>
  <c r="EJ17" i="6"/>
  <c r="EK15" i="6"/>
  <c r="BJ74" i="3" l="1"/>
  <c r="BI74" i="3"/>
  <c r="BD74" i="3"/>
  <c r="U74" i="3"/>
  <c r="BL74" i="3"/>
  <c r="V74" i="3"/>
  <c r="AU74" i="3"/>
  <c r="AK74" i="3"/>
  <c r="O74" i="3"/>
  <c r="S74" i="3"/>
  <c r="X74" i="3"/>
  <c r="BN74" i="3"/>
  <c r="AE74" i="3"/>
  <c r="EK26" i="6"/>
  <c r="EK21" i="6"/>
  <c r="BR74" i="3"/>
  <c r="Z74" i="3"/>
  <c r="N74" i="3"/>
  <c r="AI74" i="3"/>
  <c r="BK74" i="3"/>
  <c r="AC74" i="3"/>
  <c r="AA74" i="3"/>
  <c r="P74" i="3"/>
  <c r="AO74" i="3"/>
  <c r="AB74" i="3"/>
  <c r="T74" i="3"/>
  <c r="BP74" i="3"/>
  <c r="AJ74" i="3"/>
  <c r="AN74" i="3"/>
  <c r="BE74" i="3"/>
  <c r="AV74" i="3"/>
  <c r="AL74" i="3"/>
  <c r="AH74" i="3"/>
  <c r="W74" i="3"/>
  <c r="BH74" i="3"/>
  <c r="AG74" i="3"/>
  <c r="M74" i="3"/>
  <c r="EJ18" i="6"/>
  <c r="EJ19" i="6" s="1"/>
  <c r="EJ22" i="6" s="1"/>
  <c r="EJ23" i="6" s="1"/>
  <c r="EJ24" i="6" s="1"/>
  <c r="EJ27" i="6" s="1"/>
  <c r="BF74" i="3"/>
  <c r="AS74" i="3"/>
  <c r="AM74" i="3"/>
  <c r="AT74" i="3"/>
  <c r="AR74" i="3"/>
  <c r="BM74" i="3"/>
  <c r="L74" i="3"/>
  <c r="BG74" i="3"/>
  <c r="BQ74" i="3"/>
  <c r="Y74" i="3"/>
  <c r="J74" i="3"/>
  <c r="J77" i="3" s="1"/>
  <c r="DX29" i="6"/>
  <c r="EK17" i="6"/>
  <c r="EK20" i="6"/>
  <c r="EK18" i="6" l="1"/>
  <c r="EK19" i="6" s="1"/>
  <c r="EK22" i="6" s="1"/>
  <c r="EK23" i="6" s="1"/>
  <c r="EK24" i="6" s="1"/>
  <c r="EK27" i="6" s="1"/>
  <c r="G37" i="4"/>
  <c r="DY29" i="6"/>
  <c r="EH29" i="6" l="1"/>
  <c r="EK29" i="6"/>
  <c r="AZ72" i="3" s="1"/>
  <c r="EA29" i="6"/>
  <c r="DZ29" i="6"/>
  <c r="EC29" i="6"/>
  <c r="EB29" i="6"/>
  <c r="EF29" i="6"/>
  <c r="ED29" i="6"/>
  <c r="EE29" i="6"/>
  <c r="EJ29" i="6"/>
  <c r="EG29" i="6"/>
  <c r="EI29" i="6"/>
  <c r="BA71" i="3"/>
  <c r="BA74" i="3" s="1"/>
  <c r="BB71" i="3"/>
  <c r="BB74" i="3" s="1"/>
  <c r="G36" i="4"/>
  <c r="G52" i="2" s="1"/>
  <c r="G51" i="2" l="1"/>
  <c r="E52" i="2"/>
  <c r="G18" i="2"/>
  <c r="M24" i="4" s="1"/>
  <c r="AZ73" i="3"/>
  <c r="AZ74" i="3" s="1"/>
  <c r="H29" i="6"/>
  <c r="G44" i="4" s="1"/>
  <c r="C32" i="3" l="1"/>
  <c r="F52" i="2"/>
  <c r="F51" i="2" s="1"/>
  <c r="E51" i="2"/>
  <c r="F18" i="2"/>
  <c r="L24" i="4" s="1"/>
  <c r="G45" i="4"/>
  <c r="G46" i="4" s="1"/>
  <c r="G47" i="4" s="1"/>
  <c r="E18" i="2"/>
  <c r="K24" i="4" l="1"/>
  <c r="E56" i="2"/>
  <c r="AR32" i="3"/>
  <c r="Y32" i="3"/>
  <c r="V32" i="3"/>
  <c r="AD32" i="3"/>
  <c r="AB32" i="3"/>
  <c r="BP32" i="3"/>
  <c r="BA32" i="3"/>
  <c r="N32" i="3"/>
  <c r="BH32" i="3"/>
  <c r="L32" i="3"/>
  <c r="AZ32" i="3"/>
  <c r="U32" i="3"/>
  <c r="BI32" i="3"/>
  <c r="AY32" i="3"/>
  <c r="T32" i="3"/>
  <c r="BO32" i="3"/>
  <c r="AS32" i="3"/>
  <c r="R32" i="3"/>
  <c r="AH32" i="3"/>
  <c r="AI32" i="3"/>
  <c r="AC32" i="3"/>
  <c r="AT32" i="3"/>
  <c r="BG32" i="3"/>
  <c r="BD32" i="3"/>
  <c r="AX32" i="3"/>
  <c r="M32" i="3"/>
  <c r="AO32" i="3"/>
  <c r="AQ32" i="3"/>
  <c r="AN32" i="3"/>
  <c r="BL32" i="3"/>
  <c r="BN32" i="3"/>
  <c r="BF32" i="3"/>
  <c r="BC32" i="3"/>
  <c r="BK32" i="3"/>
  <c r="AM32" i="3"/>
  <c r="W32" i="3"/>
  <c r="BR32" i="3"/>
  <c r="AA32" i="3"/>
  <c r="X32" i="3"/>
  <c r="AV32" i="3"/>
  <c r="AW32" i="3"/>
  <c r="K32" i="3"/>
  <c r="BQ32" i="3"/>
  <c r="AF32" i="3"/>
  <c r="BM32" i="3"/>
  <c r="AJ32" i="3"/>
  <c r="S32" i="3"/>
  <c r="AG32" i="3"/>
  <c r="AP32" i="3"/>
  <c r="P32" i="3"/>
  <c r="AE32" i="3"/>
  <c r="Q32" i="3"/>
  <c r="AU32" i="3"/>
  <c r="Z32" i="3"/>
  <c r="AK32" i="3"/>
  <c r="AL32" i="3"/>
  <c r="O32" i="3"/>
  <c r="BE32" i="3"/>
  <c r="BB32" i="3"/>
  <c r="BJ32" i="3"/>
  <c r="I32" i="3" l="1"/>
  <c r="C35" i="3"/>
  <c r="G56" i="2"/>
  <c r="F56" i="2"/>
  <c r="F19" i="2"/>
  <c r="L25" i="4" s="1"/>
  <c r="G19" i="2"/>
  <c r="M25" i="4" s="1"/>
  <c r="P35" i="3" l="1"/>
  <c r="BI35" i="3"/>
  <c r="BF35" i="3"/>
  <c r="AH35" i="3"/>
  <c r="AN35" i="3"/>
  <c r="AS35" i="3"/>
  <c r="BE35" i="3"/>
  <c r="R35" i="3"/>
  <c r="AM35" i="3"/>
  <c r="AC35" i="3"/>
  <c r="X35" i="3"/>
  <c r="BM35" i="3"/>
  <c r="BB35" i="3"/>
  <c r="M35" i="3"/>
  <c r="AL35" i="3"/>
  <c r="AW35" i="3"/>
  <c r="V35" i="3"/>
  <c r="BK35" i="3"/>
  <c r="Z35" i="3"/>
  <c r="BQ35" i="3"/>
  <c r="AG35" i="3"/>
  <c r="AU35" i="3"/>
  <c r="Y35" i="3"/>
  <c r="BA35" i="3"/>
  <c r="Q35" i="3"/>
  <c r="AE35" i="3"/>
  <c r="BC35" i="3"/>
  <c r="BP35" i="3"/>
  <c r="BR35" i="3"/>
  <c r="O35" i="3"/>
  <c r="BH35" i="3"/>
  <c r="AZ35" i="3"/>
  <c r="AK35" i="3"/>
  <c r="AX35" i="3"/>
  <c r="W35" i="3"/>
  <c r="AR35" i="3"/>
  <c r="AJ35" i="3"/>
  <c r="U35" i="3"/>
  <c r="BJ35" i="3"/>
  <c r="AB35" i="3"/>
  <c r="T35" i="3"/>
  <c r="AT35" i="3"/>
  <c r="L35" i="3"/>
  <c r="BO35" i="3"/>
  <c r="AD35" i="3"/>
  <c r="AP35" i="3"/>
  <c r="AY35" i="3"/>
  <c r="N35" i="3"/>
  <c r="BG35" i="3"/>
  <c r="AI35" i="3"/>
  <c r="K35" i="3"/>
  <c r="BL35" i="3"/>
  <c r="AO35" i="3"/>
  <c r="AQ35" i="3"/>
  <c r="S35" i="3"/>
  <c r="AV35" i="3"/>
  <c r="BD35" i="3"/>
  <c r="AA35" i="3"/>
  <c r="BN35" i="3"/>
  <c r="AF35" i="3"/>
  <c r="I35" i="3" l="1"/>
  <c r="E19" i="2" l="1"/>
  <c r="K25" i="4" l="1"/>
  <c r="F45" i="2" l="1"/>
  <c r="F15" i="2" s="1"/>
  <c r="E15" i="2"/>
  <c r="K21" i="4" l="1"/>
  <c r="E59" i="2"/>
  <c r="L21" i="4"/>
  <c r="I16" i="3"/>
  <c r="F59" i="2" l="1"/>
  <c r="F20" i="2" s="1"/>
  <c r="G59" i="2"/>
  <c r="G20" i="2" s="1"/>
  <c r="C37" i="3"/>
  <c r="E20" i="2"/>
  <c r="BD37" i="3" l="1"/>
  <c r="BD38" i="3" s="1"/>
  <c r="AH37" i="3"/>
  <c r="AH38" i="3" s="1"/>
  <c r="S37" i="3"/>
  <c r="S38" i="3" s="1"/>
  <c r="M37" i="3"/>
  <c r="M38" i="3" s="1"/>
  <c r="AU37" i="3"/>
  <c r="AU38" i="3" s="1"/>
  <c r="BL37" i="3"/>
  <c r="BL38" i="3" s="1"/>
  <c r="AD37" i="3"/>
  <c r="AD38" i="3" s="1"/>
  <c r="AJ37" i="3"/>
  <c r="AJ38" i="3" s="1"/>
  <c r="AQ37" i="3"/>
  <c r="AQ38" i="3" s="1"/>
  <c r="BO37" i="3"/>
  <c r="BO38" i="3" s="1"/>
  <c r="AI37" i="3"/>
  <c r="AI38" i="3" s="1"/>
  <c r="AN37" i="3"/>
  <c r="AN38" i="3" s="1"/>
  <c r="R37" i="3"/>
  <c r="R38" i="3" s="1"/>
  <c r="AX37" i="3"/>
  <c r="AX38" i="3" s="1"/>
  <c r="L37" i="3"/>
  <c r="L38" i="3" s="1"/>
  <c r="AW37" i="3"/>
  <c r="AW38" i="3" s="1"/>
  <c r="BA37" i="3"/>
  <c r="BA38" i="3" s="1"/>
  <c r="AK37" i="3"/>
  <c r="AK38" i="3" s="1"/>
  <c r="U37" i="3"/>
  <c r="U38" i="3" s="1"/>
  <c r="AM37" i="3"/>
  <c r="AM38" i="3" s="1"/>
  <c r="BP37" i="3"/>
  <c r="BP38" i="3" s="1"/>
  <c r="AZ37" i="3"/>
  <c r="AZ38" i="3" s="1"/>
  <c r="AV37" i="3"/>
  <c r="AV38" i="3" s="1"/>
  <c r="AG37" i="3"/>
  <c r="AG38" i="3" s="1"/>
  <c r="X37" i="3"/>
  <c r="X38" i="3" s="1"/>
  <c r="BK37" i="3"/>
  <c r="BK38" i="3" s="1"/>
  <c r="BM37" i="3"/>
  <c r="BM38" i="3" s="1"/>
  <c r="AC37" i="3"/>
  <c r="AC38" i="3" s="1"/>
  <c r="BI37" i="3"/>
  <c r="BI38" i="3" s="1"/>
  <c r="P37" i="3"/>
  <c r="P38" i="3" s="1"/>
  <c r="BC37" i="3"/>
  <c r="BC38" i="3" s="1"/>
  <c r="AR37" i="3"/>
  <c r="AR38" i="3" s="1"/>
  <c r="Q37" i="3"/>
  <c r="Q38" i="3" s="1"/>
  <c r="BG37" i="3"/>
  <c r="BG38" i="3" s="1"/>
  <c r="BB37" i="3"/>
  <c r="BB38" i="3" s="1"/>
  <c r="AY37" i="3"/>
  <c r="AY38" i="3" s="1"/>
  <c r="BJ37" i="3"/>
  <c r="BJ38" i="3" s="1"/>
  <c r="AF37" i="3"/>
  <c r="AF38" i="3" s="1"/>
  <c r="BQ37" i="3"/>
  <c r="BQ38" i="3" s="1"/>
  <c r="AT37" i="3"/>
  <c r="AT38" i="3" s="1"/>
  <c r="AS37" i="3"/>
  <c r="AS38" i="3" s="1"/>
  <c r="AO37" i="3"/>
  <c r="AO38" i="3" s="1"/>
  <c r="Y37" i="3"/>
  <c r="Y38" i="3" s="1"/>
  <c r="AA37" i="3"/>
  <c r="AA38" i="3" s="1"/>
  <c r="Z37" i="3"/>
  <c r="Z38" i="3" s="1"/>
  <c r="N37" i="3"/>
  <c r="N38" i="3" s="1"/>
  <c r="K37" i="3"/>
  <c r="BF37" i="3"/>
  <c r="BF38" i="3" s="1"/>
  <c r="BN37" i="3"/>
  <c r="BN38" i="3" s="1"/>
  <c r="AE37" i="3"/>
  <c r="AE38" i="3" s="1"/>
  <c r="BH37" i="3"/>
  <c r="BH38" i="3" s="1"/>
  <c r="W37" i="3"/>
  <c r="W38" i="3" s="1"/>
  <c r="AB37" i="3"/>
  <c r="AB38" i="3" s="1"/>
  <c r="BR37" i="3"/>
  <c r="BR38" i="3" s="1"/>
  <c r="AL37" i="3"/>
  <c r="AL38" i="3" s="1"/>
  <c r="AP37" i="3"/>
  <c r="AP38" i="3" s="1"/>
  <c r="O37" i="3"/>
  <c r="O38" i="3" s="1"/>
  <c r="T37" i="3"/>
  <c r="T38" i="3" s="1"/>
  <c r="V37" i="3"/>
  <c r="V38" i="3" s="1"/>
  <c r="BE37" i="3"/>
  <c r="BE38" i="3" s="1"/>
  <c r="L26" i="4"/>
  <c r="L16" i="4" s="1"/>
  <c r="F10" i="2"/>
  <c r="K26" i="4"/>
  <c r="K16" i="4" s="1"/>
  <c r="E10" i="2"/>
  <c r="M26" i="4"/>
  <c r="M16" i="4" s="1"/>
  <c r="G10" i="2"/>
  <c r="AR77" i="3" l="1"/>
  <c r="AR41" i="3"/>
  <c r="AW77" i="3"/>
  <c r="AW41" i="3"/>
  <c r="P41" i="3"/>
  <c r="P77" i="3"/>
  <c r="AA41" i="3"/>
  <c r="AA77" i="3"/>
  <c r="AL77" i="3"/>
  <c r="AL41" i="3"/>
  <c r="BC77" i="3"/>
  <c r="BC41" i="3"/>
  <c r="AN41" i="3"/>
  <c r="AN77" i="3"/>
  <c r="BK41" i="3"/>
  <c r="BK77" i="3"/>
  <c r="BL41" i="3"/>
  <c r="BL77" i="3"/>
  <c r="K38" i="3"/>
  <c r="I37" i="3"/>
  <c r="R77" i="3"/>
  <c r="R41" i="3"/>
  <c r="AI41" i="3"/>
  <c r="AI77" i="3"/>
  <c r="O77" i="3"/>
  <c r="O41" i="3"/>
  <c r="AT77" i="3"/>
  <c r="AT41" i="3"/>
  <c r="AU77" i="3"/>
  <c r="AU41" i="3"/>
  <c r="D49" i="2"/>
  <c r="D33" i="2"/>
  <c r="D29" i="2"/>
  <c r="D12" i="2"/>
  <c r="J18" i="4" s="1"/>
  <c r="D19" i="2"/>
  <c r="J25" i="4" s="1"/>
  <c r="D51" i="2"/>
  <c r="D31" i="2"/>
  <c r="D43" i="2"/>
  <c r="D13" i="2"/>
  <c r="J19" i="4" s="1"/>
  <c r="D35" i="2"/>
  <c r="D14" i="2"/>
  <c r="J20" i="4" s="1"/>
  <c r="D30" i="2"/>
  <c r="D10" i="2"/>
  <c r="D56" i="2"/>
  <c r="D18" i="2"/>
  <c r="J24" i="4" s="1"/>
  <c r="D47" i="2"/>
  <c r="D41" i="2"/>
  <c r="D53" i="2"/>
  <c r="D28" i="2"/>
  <c r="D59" i="2"/>
  <c r="D37" i="2"/>
  <c r="D52" i="2"/>
  <c r="D34" i="2"/>
  <c r="D45" i="2"/>
  <c r="D15" i="2"/>
  <c r="J21" i="4" s="1"/>
  <c r="D39" i="2"/>
  <c r="D17" i="2"/>
  <c r="J23" i="4" s="1"/>
  <c r="D16" i="2"/>
  <c r="J22" i="4" s="1"/>
  <c r="D11" i="2"/>
  <c r="J17" i="4" s="1"/>
  <c r="D21" i="2"/>
  <c r="D38" i="2"/>
  <c r="D42" i="2"/>
  <c r="L77" i="3"/>
  <c r="L41" i="3"/>
  <c r="Z41" i="3"/>
  <c r="Z77" i="3"/>
  <c r="AC41" i="3"/>
  <c r="AC77" i="3"/>
  <c r="AO41" i="3"/>
  <c r="AO77" i="3"/>
  <c r="X41" i="3"/>
  <c r="X77" i="3"/>
  <c r="AJ77" i="3"/>
  <c r="AJ41" i="3"/>
  <c r="AF77" i="3"/>
  <c r="AF41" i="3"/>
  <c r="AM77" i="3"/>
  <c r="AM41" i="3"/>
  <c r="M41" i="3"/>
  <c r="M77" i="3"/>
  <c r="BF41" i="3"/>
  <c r="BF77" i="3"/>
  <c r="N41" i="3"/>
  <c r="N77" i="3"/>
  <c r="BI77" i="3"/>
  <c r="BI41" i="3"/>
  <c r="V41" i="3"/>
  <c r="V77" i="3"/>
  <c r="T41" i="3"/>
  <c r="T77" i="3"/>
  <c r="AS77" i="3"/>
  <c r="AS41" i="3"/>
  <c r="AG41" i="3"/>
  <c r="AG77" i="3"/>
  <c r="AD41" i="3"/>
  <c r="AD77" i="3"/>
  <c r="BP41" i="3"/>
  <c r="BP77" i="3"/>
  <c r="BB77" i="3"/>
  <c r="BB41" i="3"/>
  <c r="S77" i="3"/>
  <c r="S41" i="3"/>
  <c r="J16" i="4"/>
  <c r="J27" i="4"/>
  <c r="AX77" i="3"/>
  <c r="AX41" i="3"/>
  <c r="BE77" i="3"/>
  <c r="BE41" i="3"/>
  <c r="Y77" i="3"/>
  <c r="Y41" i="3"/>
  <c r="BO41" i="3"/>
  <c r="BO77" i="3"/>
  <c r="AP77" i="3"/>
  <c r="AP41" i="3"/>
  <c r="BQ41" i="3"/>
  <c r="BQ77" i="3"/>
  <c r="BR77" i="3"/>
  <c r="BR41" i="3"/>
  <c r="AB41" i="3"/>
  <c r="AB77" i="3"/>
  <c r="W41" i="3"/>
  <c r="W77" i="3"/>
  <c r="BG77" i="3"/>
  <c r="BG41" i="3"/>
  <c r="AK77" i="3"/>
  <c r="AK41" i="3"/>
  <c r="AH77" i="3"/>
  <c r="AH41" i="3"/>
  <c r="BM41" i="3"/>
  <c r="BM77" i="3"/>
  <c r="AQ41" i="3"/>
  <c r="AQ77" i="3"/>
  <c r="AV77" i="3"/>
  <c r="AV41" i="3"/>
  <c r="AZ41" i="3"/>
  <c r="AZ77" i="3"/>
  <c r="BJ41" i="3"/>
  <c r="BJ77" i="3"/>
  <c r="AY41" i="3"/>
  <c r="AY77" i="3"/>
  <c r="BH41" i="3"/>
  <c r="BH77" i="3"/>
  <c r="U77" i="3"/>
  <c r="U41" i="3"/>
  <c r="AE77" i="3"/>
  <c r="AE41" i="3"/>
  <c r="D20" i="2"/>
  <c r="J26" i="4" s="1"/>
  <c r="BN41" i="3"/>
  <c r="BN77" i="3"/>
  <c r="Q41" i="3"/>
  <c r="Q77" i="3"/>
  <c r="BA41" i="3"/>
  <c r="BA77" i="3"/>
  <c r="BD41" i="3"/>
  <c r="BD77" i="3"/>
  <c r="K77" i="3" l="1"/>
  <c r="K41" i="3"/>
  <c r="C38" i="3"/>
  <c r="M41" i="4" s="1"/>
  <c r="M45" i="4" s="1"/>
  <c r="I38" i="3"/>
  <c r="C79" i="3" l="1"/>
  <c r="M9" i="4" s="1"/>
  <c r="C78" i="3"/>
  <c r="L9" i="4" s="1"/>
  <c r="C77" i="3"/>
  <c r="K9" i="4" s="1"/>
  <c r="J50" i="3"/>
  <c r="K14" i="4"/>
  <c r="M14" i="4" l="1"/>
  <c r="M13" i="4" s="1"/>
  <c r="L14" i="4"/>
  <c r="L13" i="4" s="1"/>
  <c r="K13" i="4"/>
  <c r="J51" i="3"/>
  <c r="J52" i="3" s="1"/>
  <c r="K50" i="3" s="1"/>
  <c r="J13" i="4" l="1"/>
  <c r="J9" i="4"/>
  <c r="K51" i="3"/>
  <c r="K52" i="3"/>
  <c r="L50" i="3" s="1"/>
  <c r="L51" i="3" s="1"/>
  <c r="L52" i="3" s="1"/>
  <c r="M50" i="3" s="1"/>
  <c r="M51" i="3" s="1"/>
  <c r="M52" i="3" s="1"/>
  <c r="N50" i="3" s="1"/>
  <c r="N51" i="3" s="1"/>
  <c r="N52" i="3" s="1"/>
  <c r="O50" i="3" s="1"/>
  <c r="O51" i="3" s="1"/>
  <c r="O52" i="3" s="1"/>
  <c r="P50" i="3" s="1"/>
  <c r="P51" i="3" s="1"/>
  <c r="J53" i="3"/>
  <c r="K53" i="3"/>
  <c r="J14" i="4"/>
  <c r="O53" i="3" l="1"/>
  <c r="L53" i="3"/>
  <c r="M53" i="3"/>
  <c r="N53" i="3"/>
  <c r="P53" i="3"/>
  <c r="P52" i="3"/>
  <c r="Q50" i="3" s="1"/>
  <c r="Q51" i="3" l="1"/>
  <c r="Q52" i="3" s="1"/>
  <c r="R50" i="3" s="1"/>
  <c r="R51" i="3" l="1"/>
  <c r="R52" i="3" s="1"/>
  <c r="S50" i="3" s="1"/>
  <c r="Q53" i="3"/>
  <c r="R53" i="3" l="1"/>
  <c r="S51" i="3"/>
  <c r="S53" i="3" s="1"/>
  <c r="S52" i="3" l="1"/>
  <c r="T50" i="3" s="1"/>
  <c r="T51" i="3" l="1"/>
  <c r="T53" i="3" s="1"/>
  <c r="T52" i="3" l="1"/>
  <c r="U50" i="3" s="1"/>
  <c r="U51" i="3" s="1"/>
  <c r="U53" i="3" s="1"/>
  <c r="U52" i="3" l="1"/>
  <c r="V50" i="3" s="1"/>
  <c r="V51" i="3" s="1"/>
  <c r="V53" i="3" s="1"/>
  <c r="V52" i="3" l="1"/>
  <c r="W50" i="3" s="1"/>
  <c r="W51" i="3" l="1"/>
  <c r="W53" i="3" s="1"/>
  <c r="W52" i="3" l="1"/>
  <c r="X50" i="3" s="1"/>
  <c r="X51" i="3" s="1"/>
  <c r="X53" i="3" s="1"/>
  <c r="X52" i="3" l="1"/>
  <c r="Y50" i="3" s="1"/>
  <c r="Y51" i="3" l="1"/>
  <c r="Y53" i="3" s="1"/>
  <c r="Y52" i="3" l="1"/>
  <c r="Z50" i="3" s="1"/>
  <c r="Z51" i="3" l="1"/>
  <c r="Z53" i="3" s="1"/>
  <c r="Z52" i="3" l="1"/>
  <c r="AA50" i="3" s="1"/>
  <c r="AA51" i="3" s="1"/>
  <c r="AA53" i="3" s="1"/>
  <c r="AA52" i="3" l="1"/>
  <c r="AB50" i="3" s="1"/>
  <c r="AB51" i="3" l="1"/>
  <c r="AB53" i="3" s="1"/>
  <c r="AB52" i="3" l="1"/>
  <c r="AC50" i="3" s="1"/>
  <c r="AC51" i="3" l="1"/>
  <c r="AC53" i="3" s="1"/>
  <c r="AC52" i="3" l="1"/>
  <c r="AD50" i="3" s="1"/>
  <c r="AD51" i="3" l="1"/>
  <c r="AD53" i="3" s="1"/>
  <c r="AD52" i="3" l="1"/>
  <c r="AE50" i="3" s="1"/>
  <c r="AE51" i="3" l="1"/>
  <c r="AE53" i="3" s="1"/>
  <c r="AE52" i="3" l="1"/>
  <c r="AF50" i="3" s="1"/>
  <c r="AF51" i="3" s="1"/>
  <c r="AF53" i="3" s="1"/>
  <c r="AF52" i="3" l="1"/>
  <c r="AG50" i="3" s="1"/>
  <c r="AG51" i="3" l="1"/>
  <c r="AG53" i="3" s="1"/>
  <c r="AG52" i="3" l="1"/>
  <c r="AH50" i="3" s="1"/>
  <c r="AH51" i="3" l="1"/>
  <c r="AH53" i="3" s="1"/>
  <c r="AH52" i="3" l="1"/>
  <c r="AI50" i="3" s="1"/>
  <c r="AI51" i="3" l="1"/>
  <c r="AI53" i="3" s="1"/>
  <c r="AI52" i="3" l="1"/>
  <c r="AJ50" i="3" s="1"/>
  <c r="AJ51" i="3" l="1"/>
  <c r="AJ53" i="3" s="1"/>
  <c r="AJ52" i="3" l="1"/>
  <c r="AK50" i="3" s="1"/>
  <c r="AK51" i="3" s="1"/>
  <c r="AK53" i="3" s="1"/>
  <c r="AK52" i="3" l="1"/>
  <c r="AL50" i="3" s="1"/>
  <c r="AL51" i="3" s="1"/>
  <c r="AL53" i="3" s="1"/>
  <c r="AL52" i="3" l="1"/>
  <c r="AM50" i="3" s="1"/>
  <c r="AM51" i="3" s="1"/>
  <c r="AM53" i="3" s="1"/>
  <c r="AM52" i="3" l="1"/>
  <c r="AN50" i="3" s="1"/>
  <c r="AN51" i="3" l="1"/>
  <c r="AN53" i="3" s="1"/>
  <c r="AN52" i="3" l="1"/>
  <c r="AO50" i="3" s="1"/>
  <c r="AO51" i="3" l="1"/>
  <c r="AO53" i="3" s="1"/>
  <c r="AO52" i="3" l="1"/>
  <c r="AP50" i="3" s="1"/>
  <c r="AP51" i="3" l="1"/>
  <c r="AP53" i="3" s="1"/>
  <c r="AP52" i="3" l="1"/>
  <c r="AQ50" i="3" s="1"/>
  <c r="AQ51" i="3" s="1"/>
  <c r="AQ53" i="3" s="1"/>
  <c r="AQ52" i="3" l="1"/>
  <c r="AR50" i="3" s="1"/>
  <c r="AR51" i="3" s="1"/>
  <c r="AR53" i="3" s="1"/>
  <c r="AR52" i="3" l="1"/>
  <c r="AS50" i="3" s="1"/>
  <c r="AS51" i="3" l="1"/>
  <c r="AS53" i="3" s="1"/>
  <c r="AS52" i="3" l="1"/>
  <c r="AT50" i="3" s="1"/>
  <c r="AT51" i="3" l="1"/>
  <c r="AT53" i="3" s="1"/>
  <c r="AT52" i="3" l="1"/>
  <c r="AU50" i="3" s="1"/>
  <c r="AU51" i="3" s="1"/>
  <c r="AU53" i="3" s="1"/>
  <c r="AU52" i="3" l="1"/>
  <c r="AV50" i="3" s="1"/>
  <c r="AV51" i="3" l="1"/>
  <c r="AV53" i="3" s="1"/>
  <c r="AV52" i="3" l="1"/>
  <c r="AW50" i="3" s="1"/>
  <c r="AW51" i="3" l="1"/>
  <c r="AW53" i="3" s="1"/>
  <c r="AW52" i="3" l="1"/>
  <c r="AX50" i="3" s="1"/>
  <c r="AX51" i="3" l="1"/>
  <c r="AX53" i="3" s="1"/>
  <c r="AX52" i="3" l="1"/>
  <c r="AY50" i="3" s="1"/>
  <c r="AY51" i="3"/>
  <c r="AY53" i="3" s="1"/>
  <c r="AY52" i="3" l="1"/>
  <c r="AZ50" i="3" s="1"/>
  <c r="AZ51" i="3" s="1"/>
  <c r="AZ53" i="3" s="1"/>
  <c r="AZ52" i="3" l="1"/>
  <c r="BA50" i="3" s="1"/>
  <c r="BA51" i="3" l="1"/>
  <c r="BA53" i="3" s="1"/>
  <c r="BA52" i="3" l="1"/>
  <c r="BB50" i="3" s="1"/>
  <c r="BB51" i="3" s="1"/>
  <c r="BB53" i="3" s="1"/>
  <c r="BB52" i="3" l="1"/>
  <c r="BC50" i="3" s="1"/>
  <c r="BC51" i="3" s="1"/>
  <c r="BC53" i="3" s="1"/>
  <c r="BC52" i="3" l="1"/>
  <c r="BD50" i="3" s="1"/>
  <c r="BD51" i="3" s="1"/>
  <c r="BD53" i="3" s="1"/>
  <c r="BD52" i="3" l="1"/>
  <c r="BE50" i="3" s="1"/>
  <c r="BE51" i="3" l="1"/>
  <c r="BE53" i="3" s="1"/>
  <c r="BE52" i="3" l="1"/>
  <c r="BF50" i="3" s="1"/>
  <c r="BF51" i="3" l="1"/>
  <c r="BF53" i="3" s="1"/>
  <c r="BF52" i="3" l="1"/>
  <c r="BG50" i="3" s="1"/>
  <c r="BG51" i="3" s="1"/>
  <c r="BG53" i="3" s="1"/>
  <c r="BG52" i="3" l="1"/>
  <c r="BH50" i="3" s="1"/>
  <c r="BH51" i="3" l="1"/>
  <c r="BH53" i="3" s="1"/>
  <c r="BH52" i="3" l="1"/>
  <c r="BI50" i="3" s="1"/>
  <c r="BI51" i="3" l="1"/>
  <c r="BI53" i="3" s="1"/>
  <c r="BI52" i="3" l="1"/>
  <c r="BJ50" i="3" s="1"/>
  <c r="BJ51" i="3" s="1"/>
  <c r="BJ53" i="3" s="1"/>
  <c r="BJ52" i="3" l="1"/>
  <c r="BK50" i="3" s="1"/>
  <c r="BK51" i="3" l="1"/>
  <c r="BK53" i="3" s="1"/>
  <c r="BK52" i="3" l="1"/>
  <c r="BL50" i="3" s="1"/>
  <c r="BL51" i="3" l="1"/>
  <c r="BL53" i="3" s="1"/>
  <c r="BL52" i="3" l="1"/>
  <c r="BM50" i="3" s="1"/>
  <c r="BM51" i="3" l="1"/>
  <c r="BM53" i="3" s="1"/>
  <c r="BM52" i="3" l="1"/>
  <c r="BN50" i="3" s="1"/>
  <c r="BN51" i="3" l="1"/>
  <c r="BN53" i="3" s="1"/>
  <c r="BN52" i="3" l="1"/>
  <c r="BO50" i="3" s="1"/>
  <c r="BO51" i="3" l="1"/>
  <c r="BO53" i="3" s="1"/>
  <c r="BO52" i="3" l="1"/>
  <c r="BP50" i="3" s="1"/>
  <c r="BP51" i="3" l="1"/>
  <c r="BP53" i="3" s="1"/>
  <c r="BP52" i="3" l="1"/>
  <c r="BQ50" i="3" s="1"/>
  <c r="BQ51" i="3" l="1"/>
  <c r="BQ53" i="3" s="1"/>
  <c r="BQ52" i="3" l="1"/>
  <c r="BR50" i="3" s="1"/>
  <c r="BR51" i="3" l="1"/>
  <c r="BR53" i="3" s="1"/>
  <c r="BR5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</author>
  </authors>
  <commentList>
    <comment ref="H9" authorId="0" shapeId="0" xr:uid="{F43065F4-2A98-4AB7-BBD0-784B9FA3483F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The lower the number, the stronger the curve. For a sraight line, go above 100</t>
        </r>
      </text>
    </comment>
  </commentList>
</comments>
</file>

<file path=xl/sharedStrings.xml><?xml version="1.0" encoding="utf-8"?>
<sst xmlns="http://schemas.openxmlformats.org/spreadsheetml/2006/main" count="242" uniqueCount="190">
  <si>
    <t>Area Summary</t>
  </si>
  <si>
    <t>GSF</t>
  </si>
  <si>
    <t>Office RSF</t>
  </si>
  <si>
    <t>Amenity RSF</t>
  </si>
  <si>
    <t>MEP</t>
  </si>
  <si>
    <t>Parking</t>
  </si>
  <si>
    <t>RSF</t>
  </si>
  <si>
    <t>Amenity</t>
  </si>
  <si>
    <t>Stalls</t>
  </si>
  <si>
    <t>Level</t>
  </si>
  <si>
    <t>Roof</t>
  </si>
  <si>
    <t>B1</t>
  </si>
  <si>
    <t>Notes</t>
  </si>
  <si>
    <t>Summary</t>
  </si>
  <si>
    <t>Stacking Plan</t>
  </si>
  <si>
    <t>MEP RSF</t>
  </si>
  <si>
    <t>Area</t>
  </si>
  <si>
    <t xml:space="preserve">Office </t>
  </si>
  <si>
    <t>B2</t>
  </si>
  <si>
    <t>Parking Stalls</t>
  </si>
  <si>
    <t>Land</t>
  </si>
  <si>
    <t>A&amp;E</t>
  </si>
  <si>
    <t>Hard Costs</t>
  </si>
  <si>
    <t>Soft Costs</t>
  </si>
  <si>
    <t>Construction</t>
  </si>
  <si>
    <t>Leasing and Marketing</t>
  </si>
  <si>
    <t>Taxes</t>
  </si>
  <si>
    <t>Permits</t>
  </si>
  <si>
    <t>G&amp;A</t>
  </si>
  <si>
    <t>Contingency</t>
  </si>
  <si>
    <t>Financing Costs</t>
  </si>
  <si>
    <t>Total</t>
  </si>
  <si>
    <t>Per GSF</t>
  </si>
  <si>
    <t>Per RSF</t>
  </si>
  <si>
    <t>Entitlement Costs</t>
  </si>
  <si>
    <t>Budget Summary</t>
  </si>
  <si>
    <t>Sale Price</t>
  </si>
  <si>
    <t>Transfer Taxes</t>
  </si>
  <si>
    <t>Other Closing costs</t>
  </si>
  <si>
    <t>Application Fees</t>
  </si>
  <si>
    <t>Legal Fees</t>
  </si>
  <si>
    <t>Design</t>
  </si>
  <si>
    <t>Construction Monitoring</t>
  </si>
  <si>
    <t>Leasing Commissions</t>
  </si>
  <si>
    <t>Marketing</t>
  </si>
  <si>
    <t>Lot Size</t>
  </si>
  <si>
    <t>FAR</t>
  </si>
  <si>
    <t>Inputs</t>
  </si>
  <si>
    <t>Dicussed in Intro To Debt</t>
  </si>
  <si>
    <t>typical permits and when they are paid for</t>
  </si>
  <si>
    <t>exc. Land and G&amp;A</t>
  </si>
  <si>
    <t>General Summary</t>
  </si>
  <si>
    <t xml:space="preserve">Project </t>
  </si>
  <si>
    <t>Location</t>
  </si>
  <si>
    <t>Analysis Start</t>
  </si>
  <si>
    <t>Timing</t>
  </si>
  <si>
    <t>Fiscal Year</t>
  </si>
  <si>
    <t>Fiscal Month</t>
  </si>
  <si>
    <t>Date</t>
  </si>
  <si>
    <t>Start Month</t>
  </si>
  <si>
    <t>End Month</t>
  </si>
  <si>
    <t>Duration</t>
  </si>
  <si>
    <t>Standard Deviation</t>
  </si>
  <si>
    <t>Budget</t>
  </si>
  <si>
    <t>Check</t>
  </si>
  <si>
    <t>Line Items</t>
  </si>
  <si>
    <t>Development Fee</t>
  </si>
  <si>
    <t xml:space="preserve"> </t>
  </si>
  <si>
    <t>Permits &amp; City Fees</t>
  </si>
  <si>
    <t>Entitlement Phase</t>
  </si>
  <si>
    <t>Start Date</t>
  </si>
  <si>
    <t>End Date</t>
  </si>
  <si>
    <t>Design/Buyout</t>
  </si>
  <si>
    <t>Parcel 32</t>
  </si>
  <si>
    <t>Anytown, XX</t>
  </si>
  <si>
    <t>Duration (months)</t>
  </si>
  <si>
    <t>Acquisition</t>
  </si>
  <si>
    <t>End month</t>
  </si>
  <si>
    <t>Steady Growth Formula</t>
  </si>
  <si>
    <t>Tenant Improvements</t>
  </si>
  <si>
    <t>Rent/SF</t>
  </si>
  <si>
    <t>%</t>
  </si>
  <si>
    <t>Month Start</t>
  </si>
  <si>
    <t>Month Expire</t>
  </si>
  <si>
    <t>Reimb. %</t>
  </si>
  <si>
    <t>Ann. Base Rent Increase (%)</t>
  </si>
  <si>
    <t>Free Rent (Months)</t>
  </si>
  <si>
    <t>Office Tenant Lease Assumptions</t>
  </si>
  <si>
    <t>Exit Assumptions</t>
  </si>
  <si>
    <t>Development</t>
  </si>
  <si>
    <t>Lease Up and Exit</t>
  </si>
  <si>
    <t>Occupancy</t>
  </si>
  <si>
    <t>Exit</t>
  </si>
  <si>
    <t>Cost of Sales</t>
  </si>
  <si>
    <t>Net Proceeds</t>
  </si>
  <si>
    <t>Exit per RSF</t>
  </si>
  <si>
    <t xml:space="preserve">Exit Cap Rate </t>
  </si>
  <si>
    <t>Exit Price</t>
  </si>
  <si>
    <t>Sources &amp; Uses</t>
  </si>
  <si>
    <t>Equity</t>
  </si>
  <si>
    <t>Debt</t>
  </si>
  <si>
    <t xml:space="preserve">Sources </t>
  </si>
  <si>
    <t>Uses</t>
  </si>
  <si>
    <t>LTC Control</t>
  </si>
  <si>
    <t>LTC with Interest Reserve</t>
  </si>
  <si>
    <t xml:space="preserve">Equity </t>
  </si>
  <si>
    <t>Interest Rate</t>
  </si>
  <si>
    <t>Project Returns</t>
  </si>
  <si>
    <t>Profit</t>
  </si>
  <si>
    <t>Equity Multiple</t>
  </si>
  <si>
    <t>IRR</t>
  </si>
  <si>
    <t>Total Project Unlevered</t>
  </si>
  <si>
    <t>Total Project Levered</t>
  </si>
  <si>
    <t>MODELING LONG-TERM LEASES</t>
  </si>
  <si>
    <t>INCOME</t>
  </si>
  <si>
    <t>OpEx Growth</t>
  </si>
  <si>
    <t>Pro Forma</t>
  </si>
  <si>
    <t>Potential Base Rent</t>
  </si>
  <si>
    <t>- Concessions</t>
  </si>
  <si>
    <t>Total Rental Revenue</t>
  </si>
  <si>
    <t>Reimbursement Income</t>
  </si>
  <si>
    <t>Gross Revenue</t>
  </si>
  <si>
    <t>- General Vacancy and Credit Loss</t>
  </si>
  <si>
    <t>Total Effective Gross Revenue</t>
  </si>
  <si>
    <t>Operating Expenses</t>
  </si>
  <si>
    <t>Net Operating Income</t>
  </si>
  <si>
    <t>LC (% of entire lease)</t>
  </si>
  <si>
    <t xml:space="preserve">LC Total </t>
  </si>
  <si>
    <t>LC/SF</t>
  </si>
  <si>
    <t>Parking Income</t>
  </si>
  <si>
    <t>Revenue/Month</t>
  </si>
  <si>
    <t>Ann. Increase (%)</t>
  </si>
  <si>
    <t>Parking Growth</t>
  </si>
  <si>
    <t>Draw Schedule</t>
  </si>
  <si>
    <t>Total Construction costs Pre-Interest Reserve &amp; Fees</t>
  </si>
  <si>
    <t>Fees</t>
  </si>
  <si>
    <t>Interest Reserve</t>
  </si>
  <si>
    <t>Total Construction Costs including Interest Reserve &amp; Fees</t>
  </si>
  <si>
    <t>Beginning Balance</t>
  </si>
  <si>
    <t>Equity Required</t>
  </si>
  <si>
    <t>Ending Balance</t>
  </si>
  <si>
    <t>Cumulative Costs</t>
  </si>
  <si>
    <t xml:space="preserve">Debt </t>
  </si>
  <si>
    <t>Debt Pre-Interest Reserve</t>
  </si>
  <si>
    <t>Debt Funded</t>
  </si>
  <si>
    <t>Cash Available</t>
  </si>
  <si>
    <t>Debt w/ Interest Reserve &amp; Fees</t>
  </si>
  <si>
    <t>Cumulative Balance</t>
  </si>
  <si>
    <t>Interest Rate Details</t>
  </si>
  <si>
    <t>Ceiling</t>
  </si>
  <si>
    <t>Rate</t>
  </si>
  <si>
    <t>Floor</t>
  </si>
  <si>
    <t>Actual Interest Rate</t>
  </si>
  <si>
    <t>Loan Fees</t>
  </si>
  <si>
    <t>Interest Payments</t>
  </si>
  <si>
    <t>Total Debt with Interest Reserve</t>
  </si>
  <si>
    <t>TIs/SF</t>
  </si>
  <si>
    <t>[Note: Leasing Commissions and Tenant Improvements are part of the development budget and so we are accounting for that there.]</t>
  </si>
  <si>
    <t>Total Development Costs - Pre-Financing</t>
  </si>
  <si>
    <t xml:space="preserve">Fees </t>
  </si>
  <si>
    <t>Total Development Costs - W/ Interest Reserve and Fees</t>
  </si>
  <si>
    <t>exc. Land, Taxes, TIs</t>
  </si>
  <si>
    <t>Financing Assumptions</t>
  </si>
  <si>
    <t>Total Project Costs Pre-Interest Reserve</t>
  </si>
  <si>
    <t xml:space="preserve">Total Project Costs </t>
  </si>
  <si>
    <t>Loan Fee (% of Loan)</t>
  </si>
  <si>
    <t>Dial-In Loan Fee/Closing Costs</t>
  </si>
  <si>
    <t>Loan Repayment</t>
  </si>
  <si>
    <t>NOI and Sale Proceeds</t>
  </si>
  <si>
    <t>NOI</t>
  </si>
  <si>
    <t>Cost of Sale</t>
  </si>
  <si>
    <t>Unlevered Cash Flow</t>
  </si>
  <si>
    <t>Levered Cash Flow</t>
  </si>
  <si>
    <t>Model Version</t>
  </si>
  <si>
    <t>Monthly Cash Flow</t>
  </si>
  <si>
    <t>Revenue/Operating Assumptions</t>
  </si>
  <si>
    <t>Growth Projection Method</t>
  </si>
  <si>
    <t>Custom</t>
  </si>
  <si>
    <t>S-Curve - SD of 5</t>
  </si>
  <si>
    <t>Straight Line</t>
  </si>
  <si>
    <t>S-Curve - SD of 4</t>
  </si>
  <si>
    <t>Start of Lease</t>
  </si>
  <si>
    <t>A.CRE Accelerator - Development Model Template</t>
  </si>
  <si>
    <t>Operating Projections</t>
  </si>
  <si>
    <t>Efficiency (%)</t>
  </si>
  <si>
    <t xml:space="preserve">TIs Total </t>
  </si>
  <si>
    <t>Every January multiply (land plus construction costs paid up until the previous month (December)) times the 1.6% Mill Rate</t>
  </si>
  <si>
    <t>Average Development Yield - 5 Years</t>
  </si>
  <si>
    <r>
      <t xml:space="preserve">Efficiency Ratio - </t>
    </r>
    <r>
      <rPr>
        <sz val="9"/>
        <color theme="1"/>
        <rFont val="Calibri"/>
        <family val="2"/>
        <scheme val="minor"/>
      </rPr>
      <t>(Excluding Below Grade)</t>
    </r>
  </si>
  <si>
    <r>
      <t xml:space="preserve">Efficiency Ratio - 
</t>
    </r>
    <r>
      <rPr>
        <sz val="9"/>
        <color theme="1"/>
        <rFont val="Calibri"/>
        <family val="2"/>
        <scheme val="minor"/>
      </rPr>
      <t>(Total Building)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</si>
</sst>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"/>
    <numFmt numFmtId="166" formatCode="&quot;$&quot;#,##0.00"/>
    <numFmt numFmtId="167" formatCode="#,##0.0"/>
    <numFmt numFmtId="168" formatCode="0%\ &quot;of Hard Costs&quot;"/>
    <numFmt numFmtId="169" formatCode="#,##0\ &quot;GSF&quot;"/>
    <numFmt numFmtId="170" formatCode="#,##0\ &quot;RSF&quot;"/>
    <numFmt numFmtId="171" formatCode="0.00%\ &quot;of Hard Costs&quot;"/>
    <numFmt numFmtId="172" formatCode="&quot;$&quot;0.00&quot;/RSF&quot;"/>
    <numFmt numFmtId="173" formatCode="0%\ &quot;of Total Costs&quot;"/>
    <numFmt numFmtId="174" formatCode="0%\ &quot;of Sale Price&quot;"/>
    <numFmt numFmtId="175" formatCode="&quot;Month&quot;\ 0"/>
    <numFmt numFmtId="176" formatCode="#.00&quot;x&quot;"/>
    <numFmt numFmtId="177" formatCode="#\ &quot;Months&quot;"/>
    <numFmt numFmtId="178" formatCode="&quot;$&quot;##.00&quot;/SF&quot;"/>
    <numFmt numFmtId="179" formatCode="&quot;Year&quot;\ 0"/>
    <numFmt numFmtId="180" formatCode="_(* #,##0_);_(* \(#,##0\);_(* &quot;-&quot;??_);_(@_)"/>
    <numFmt numFmtId="181" formatCode="0\ &quot;Years&quot;"/>
    <numFmt numFmtId="182" formatCode="0.00&quot;/SF&quot;"/>
    <numFmt numFmtId="183" formatCode="m/yyyy"/>
    <numFmt numFmtId="184" formatCode="0.0"/>
    <numFmt numFmtId="185" formatCode="0.0%\ &quot;Mill Rate&quot;"/>
    <numFmt numFmtId="186" formatCode="#.#0\x"/>
    <numFmt numFmtId="187" formatCode="General\ &quot;Months&quot;"/>
    <numFmt numFmtId="188" formatCode="0.00000000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B05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color indexed="17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 val="singleAccounting"/>
      <sz val="11"/>
      <color indexed="17"/>
      <name val="Calibri"/>
      <family val="2"/>
      <scheme val="minor"/>
    </font>
    <font>
      <u val="singleAccounting"/>
      <sz val="11"/>
      <color indexed="12"/>
      <name val="Calibri"/>
      <family val="2"/>
      <scheme val="minor"/>
    </font>
    <font>
      <u val="singleAccounting"/>
      <sz val="11"/>
      <name val="Calibri"/>
      <family val="2"/>
      <scheme val="minor"/>
    </font>
    <font>
      <sz val="11"/>
      <color rgb="FF0000CC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6" xfId="0" applyFill="1" applyBorder="1"/>
    <xf numFmtId="0" fontId="0" fillId="2" borderId="9" xfId="0" applyFill="1" applyBorder="1"/>
    <xf numFmtId="164" fontId="5" fillId="2" borderId="0" xfId="0" applyNumberFormat="1" applyFont="1" applyFill="1" applyAlignment="1">
      <alignment horizontal="center"/>
    </xf>
    <xf numFmtId="0" fontId="0" fillId="2" borderId="8" xfId="0" applyFill="1" applyBorder="1"/>
    <xf numFmtId="0" fontId="0" fillId="2" borderId="10" xfId="0" applyFill="1" applyBorder="1"/>
    <xf numFmtId="3" fontId="0" fillId="2" borderId="11" xfId="0" applyNumberFormat="1" applyFill="1" applyBorder="1"/>
    <xf numFmtId="0" fontId="0" fillId="2" borderId="5" xfId="0" applyFill="1" applyBorder="1"/>
    <xf numFmtId="3" fontId="0" fillId="2" borderId="6" xfId="0" applyNumberFormat="1" applyFill="1" applyBorder="1"/>
    <xf numFmtId="0" fontId="0" fillId="2" borderId="7" xfId="0" applyFill="1" applyBorder="1"/>
    <xf numFmtId="0" fontId="6" fillId="3" borderId="0" xfId="0" applyFont="1" applyFill="1"/>
    <xf numFmtId="0" fontId="0" fillId="3" borderId="0" xfId="0" applyFill="1"/>
    <xf numFmtId="0" fontId="0" fillId="3" borderId="6" xfId="0" applyFill="1" applyBorder="1"/>
    <xf numFmtId="0" fontId="0" fillId="3" borderId="8" xfId="0" applyFill="1" applyBorder="1"/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64" fontId="0" fillId="2" borderId="6" xfId="2" applyNumberFormat="1" applyFont="1" applyFill="1" applyBorder="1"/>
    <xf numFmtId="0" fontId="0" fillId="2" borderId="9" xfId="2" applyNumberFormat="1" applyFont="1" applyFill="1" applyBorder="1"/>
    <xf numFmtId="0" fontId="0" fillId="2" borderId="5" xfId="0" applyFill="1" applyBorder="1" applyAlignment="1">
      <alignment horizontal="left" indent="1"/>
    </xf>
    <xf numFmtId="3" fontId="7" fillId="2" borderId="6" xfId="0" applyNumberFormat="1" applyFont="1" applyFill="1" applyBorder="1"/>
    <xf numFmtId="3" fontId="8" fillId="2" borderId="6" xfId="0" applyNumberFormat="1" applyFont="1" applyFill="1" applyBorder="1"/>
    <xf numFmtId="164" fontId="9" fillId="2" borderId="0" xfId="0" applyNumberFormat="1" applyFont="1" applyFill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2" fillId="4" borderId="0" xfId="0" applyFont="1" applyFill="1"/>
    <xf numFmtId="0" fontId="4" fillId="4" borderId="7" xfId="0" applyFont="1" applyFill="1" applyBorder="1" applyAlignment="1">
      <alignment horizontal="left" indent="1"/>
    </xf>
    <xf numFmtId="0" fontId="0" fillId="2" borderId="7" xfId="0" applyFill="1" applyBorder="1" applyAlignment="1">
      <alignment horizontal="left" indent="1"/>
    </xf>
    <xf numFmtId="0" fontId="2" fillId="4" borderId="10" xfId="0" applyFont="1" applyFill="1" applyBorder="1"/>
    <xf numFmtId="0" fontId="4" fillId="4" borderId="11" xfId="0" applyFont="1" applyFill="1" applyBorder="1"/>
    <xf numFmtId="0" fontId="4" fillId="4" borderId="12" xfId="0" applyFont="1" applyFill="1" applyBorder="1"/>
    <xf numFmtId="0" fontId="0" fillId="2" borderId="10" xfId="0" applyFill="1" applyBorder="1" applyAlignment="1">
      <alignment horizontal="left" indent="1"/>
    </xf>
    <xf numFmtId="0" fontId="8" fillId="2" borderId="5" xfId="0" applyFont="1" applyFill="1" applyBorder="1" applyAlignment="1">
      <alignment horizontal="left" indent="1"/>
    </xf>
    <xf numFmtId="0" fontId="7" fillId="2" borderId="5" xfId="0" applyFont="1" applyFill="1" applyBorder="1" applyAlignment="1">
      <alignment horizontal="left" indent="2"/>
    </xf>
    <xf numFmtId="0" fontId="0" fillId="3" borderId="0" xfId="0" applyFill="1" applyAlignment="1">
      <alignment horizontal="left" indent="1"/>
    </xf>
    <xf numFmtId="0" fontId="3" fillId="2" borderId="5" xfId="0" applyFont="1" applyFill="1" applyBorder="1"/>
    <xf numFmtId="0" fontId="2" fillId="4" borderId="5" xfId="0" applyFont="1" applyFill="1" applyBorder="1"/>
    <xf numFmtId="165" fontId="0" fillId="2" borderId="0" xfId="0" applyNumberFormat="1" applyFill="1"/>
    <xf numFmtId="166" fontId="0" fillId="2" borderId="0" xfId="0" applyNumberFormat="1" applyFill="1"/>
    <xf numFmtId="166" fontId="0" fillId="2" borderId="6" xfId="0" applyNumberFormat="1" applyFill="1" applyBorder="1"/>
    <xf numFmtId="0" fontId="0" fillId="2" borderId="0" xfId="0" applyFill="1" applyAlignment="1">
      <alignment horizontal="left" indent="1"/>
    </xf>
    <xf numFmtId="167" fontId="0" fillId="2" borderId="6" xfId="0" applyNumberFormat="1" applyFill="1" applyBorder="1"/>
    <xf numFmtId="0" fontId="2" fillId="4" borderId="12" xfId="0" applyFont="1" applyFill="1" applyBorder="1"/>
    <xf numFmtId="0" fontId="4" fillId="4" borderId="8" xfId="0" applyFont="1" applyFill="1" applyBorder="1" applyAlignment="1">
      <alignment horizontal="left" indent="1"/>
    </xf>
    <xf numFmtId="0" fontId="3" fillId="2" borderId="0" xfId="0" applyFont="1" applyFill="1"/>
    <xf numFmtId="44" fontId="0" fillId="2" borderId="0" xfId="1" applyFont="1" applyFill="1" applyBorder="1"/>
    <xf numFmtId="166" fontId="5" fillId="2" borderId="0" xfId="1" applyNumberFormat="1" applyFont="1" applyFill="1" applyBorder="1" applyAlignment="1">
      <alignment horizontal="center"/>
    </xf>
    <xf numFmtId="166" fontId="0" fillId="2" borderId="6" xfId="0" applyNumberFormat="1" applyFill="1" applyBorder="1" applyAlignment="1">
      <alignment horizontal="center"/>
    </xf>
    <xf numFmtId="166" fontId="0" fillId="2" borderId="0" xfId="1" applyNumberFormat="1" applyFont="1" applyFill="1" applyBorder="1" applyAlignment="1">
      <alignment horizontal="center"/>
    </xf>
    <xf numFmtId="9" fontId="5" fillId="2" borderId="0" xfId="0" applyNumberFormat="1" applyFont="1" applyFill="1" applyAlignment="1">
      <alignment horizontal="center"/>
    </xf>
    <xf numFmtId="168" fontId="5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171" fontId="5" fillId="2" borderId="0" xfId="0" applyNumberFormat="1" applyFont="1" applyFill="1" applyAlignment="1">
      <alignment horizontal="center"/>
    </xf>
    <xf numFmtId="172" fontId="5" fillId="2" borderId="0" xfId="0" applyNumberFormat="1" applyFont="1" applyFill="1" applyAlignment="1">
      <alignment horizontal="center"/>
    </xf>
    <xf numFmtId="173" fontId="5" fillId="2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 indent="1"/>
    </xf>
    <xf numFmtId="0" fontId="4" fillId="2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left" indent="1"/>
    </xf>
    <xf numFmtId="0" fontId="10" fillId="2" borderId="2" xfId="0" applyFont="1" applyFill="1" applyBorder="1" applyAlignment="1">
      <alignment horizontal="left"/>
    </xf>
    <xf numFmtId="174" fontId="5" fillId="2" borderId="0" xfId="0" applyNumberFormat="1" applyFont="1" applyFill="1" applyAlignment="1">
      <alignment horizontal="center"/>
    </xf>
    <xf numFmtId="165" fontId="5" fillId="2" borderId="0" xfId="0" applyNumberFormat="1" applyFont="1" applyFill="1"/>
    <xf numFmtId="173" fontId="9" fillId="2" borderId="0" xfId="0" applyNumberFormat="1" applyFont="1" applyFill="1" applyAlignment="1">
      <alignment horizontal="center"/>
    </xf>
    <xf numFmtId="165" fontId="0" fillId="2" borderId="8" xfId="0" applyNumberFormat="1" applyFill="1" applyBorder="1"/>
    <xf numFmtId="166" fontId="0" fillId="2" borderId="8" xfId="0" applyNumberFormat="1" applyFill="1" applyBorder="1"/>
    <xf numFmtId="166" fontId="0" fillId="2" borderId="9" xfId="0" applyNumberFormat="1" applyFill="1" applyBorder="1"/>
    <xf numFmtId="165" fontId="3" fillId="2" borderId="3" xfId="0" applyNumberFormat="1" applyFont="1" applyFill="1" applyBorder="1"/>
    <xf numFmtId="166" fontId="3" fillId="2" borderId="3" xfId="0" applyNumberFormat="1" applyFont="1" applyFill="1" applyBorder="1"/>
    <xf numFmtId="166" fontId="3" fillId="2" borderId="4" xfId="0" applyNumberFormat="1" applyFont="1" applyFill="1" applyBorder="1"/>
    <xf numFmtId="0" fontId="11" fillId="3" borderId="0" xfId="0" applyFont="1" applyFill="1"/>
    <xf numFmtId="0" fontId="4" fillId="4" borderId="10" xfId="0" applyFont="1" applyFill="1" applyBorder="1"/>
    <xf numFmtId="0" fontId="4" fillId="4" borderId="5" xfId="0" applyFont="1" applyFill="1" applyBorder="1"/>
    <xf numFmtId="0" fontId="4" fillId="4" borderId="12" xfId="0" applyFont="1" applyFill="1" applyBorder="1" applyAlignment="1">
      <alignment horizontal="center"/>
    </xf>
    <xf numFmtId="0" fontId="4" fillId="4" borderId="7" xfId="0" applyFont="1" applyFill="1" applyBorder="1"/>
    <xf numFmtId="0" fontId="4" fillId="5" borderId="8" xfId="0" applyFont="1" applyFill="1" applyBorder="1" applyAlignment="1">
      <alignment horizontal="center"/>
    </xf>
    <xf numFmtId="0" fontId="4" fillId="5" borderId="12" xfId="0" applyFont="1" applyFill="1" applyBorder="1"/>
    <xf numFmtId="0" fontId="4" fillId="5" borderId="0" xfId="0" applyFont="1" applyFill="1"/>
    <xf numFmtId="14" fontId="4" fillId="4" borderId="8" xfId="0" applyNumberFormat="1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14" fontId="4" fillId="4" borderId="9" xfId="0" applyNumberFormat="1" applyFont="1" applyFill="1" applyBorder="1" applyAlignment="1">
      <alignment horizontal="center"/>
    </xf>
    <xf numFmtId="0" fontId="0" fillId="3" borderId="3" xfId="0" applyFill="1" applyBorder="1"/>
    <xf numFmtId="0" fontId="9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9" fillId="2" borderId="3" xfId="0" applyFont="1" applyFill="1" applyBorder="1"/>
    <xf numFmtId="164" fontId="3" fillId="2" borderId="0" xfId="0" applyNumberFormat="1" applyFont="1" applyFill="1"/>
    <xf numFmtId="41" fontId="0" fillId="2" borderId="0" xfId="0" applyNumberFormat="1" applyFill="1"/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horizontal="center"/>
    </xf>
    <xf numFmtId="41" fontId="0" fillId="2" borderId="6" xfId="0" applyNumberFormat="1" applyFill="1" applyBorder="1"/>
    <xf numFmtId="14" fontId="0" fillId="3" borderId="0" xfId="0" applyNumberFormat="1" applyFill="1" applyAlignment="1">
      <alignment horizontal="center"/>
    </xf>
    <xf numFmtId="14" fontId="5" fillId="3" borderId="0" xfId="0" applyNumberFormat="1" applyFont="1" applyFill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3" fillId="3" borderId="10" xfId="0" applyFont="1" applyFill="1" applyBorder="1"/>
    <xf numFmtId="0" fontId="3" fillId="3" borderId="2" xfId="0" applyFont="1" applyFill="1" applyBorder="1"/>
    <xf numFmtId="0" fontId="0" fillId="3" borderId="12" xfId="0" applyFill="1" applyBorder="1"/>
    <xf numFmtId="0" fontId="0" fillId="3" borderId="11" xfId="0" applyFill="1" applyBorder="1"/>
    <xf numFmtId="0" fontId="0" fillId="2" borderId="6" xfId="0" applyFill="1" applyBorder="1" applyAlignment="1">
      <alignment horizontal="right"/>
    </xf>
    <xf numFmtId="0" fontId="9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wrapText="1"/>
    </xf>
    <xf numFmtId="0" fontId="14" fillId="3" borderId="0" xfId="0" applyFont="1" applyFill="1" applyAlignment="1">
      <alignment horizontal="center"/>
    </xf>
    <xf numFmtId="0" fontId="14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0" fillId="3" borderId="8" xfId="0" applyFill="1" applyBorder="1" applyAlignment="1">
      <alignment horizontal="center"/>
    </xf>
    <xf numFmtId="41" fontId="0" fillId="2" borderId="8" xfId="0" applyNumberFormat="1" applyFill="1" applyBorder="1"/>
    <xf numFmtId="0" fontId="5" fillId="3" borderId="8" xfId="0" applyFont="1" applyFill="1" applyBorder="1"/>
    <xf numFmtId="0" fontId="0" fillId="3" borderId="5" xfId="0" applyFill="1" applyBorder="1" applyAlignment="1">
      <alignment vertical="top"/>
    </xf>
    <xf numFmtId="0" fontId="3" fillId="3" borderId="5" xfId="0" applyFont="1" applyFill="1" applyBorder="1"/>
    <xf numFmtId="0" fontId="9" fillId="2" borderId="5" xfId="0" applyFont="1" applyFill="1" applyBorder="1"/>
    <xf numFmtId="0" fontId="0" fillId="2" borderId="12" xfId="0" applyFill="1" applyBorder="1"/>
    <xf numFmtId="0" fontId="4" fillId="4" borderId="3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0" fillId="4" borderId="3" xfId="0" applyFill="1" applyBorder="1"/>
    <xf numFmtId="0" fontId="2" fillId="4" borderId="2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2" fillId="4" borderId="2" xfId="0" applyFont="1" applyFill="1" applyBorder="1" applyAlignment="1">
      <alignment vertical="top"/>
    </xf>
    <xf numFmtId="0" fontId="4" fillId="4" borderId="3" xfId="0" applyFont="1" applyFill="1" applyBorder="1" applyAlignment="1">
      <alignment vertical="top"/>
    </xf>
    <xf numFmtId="0" fontId="4" fillId="4" borderId="4" xfId="0" applyFont="1" applyFill="1" applyBorder="1" applyAlignment="1">
      <alignment vertical="top"/>
    </xf>
    <xf numFmtId="0" fontId="2" fillId="4" borderId="2" xfId="0" applyFont="1" applyFill="1" applyBorder="1" applyAlignment="1">
      <alignment vertical="top" wrapText="1"/>
    </xf>
    <xf numFmtId="0" fontId="2" fillId="4" borderId="3" xfId="0" applyFont="1" applyFill="1" applyBorder="1" applyAlignment="1">
      <alignment horizontal="center" wrapText="1"/>
    </xf>
    <xf numFmtId="166" fontId="5" fillId="2" borderId="6" xfId="0" applyNumberFormat="1" applyFont="1" applyFill="1" applyBorder="1"/>
    <xf numFmtId="10" fontId="5" fillId="2" borderId="6" xfId="0" applyNumberFormat="1" applyFont="1" applyFill="1" applyBorder="1"/>
    <xf numFmtId="9" fontId="5" fillId="2" borderId="6" xfId="0" applyNumberFormat="1" applyFont="1" applyFill="1" applyBorder="1"/>
    <xf numFmtId="177" fontId="5" fillId="2" borderId="6" xfId="0" applyNumberFormat="1" applyFont="1" applyFill="1" applyBorder="1"/>
    <xf numFmtId="178" fontId="5" fillId="2" borderId="6" xfId="0" applyNumberFormat="1" applyFont="1" applyFill="1" applyBorder="1"/>
    <xf numFmtId="41" fontId="0" fillId="0" borderId="0" xfId="0" applyNumberFormat="1" applyAlignment="1">
      <alignment horizontal="right"/>
    </xf>
    <xf numFmtId="3" fontId="0" fillId="3" borderId="0" xfId="0" applyNumberFormat="1" applyFill="1"/>
    <xf numFmtId="165" fontId="0" fillId="3" borderId="0" xfId="0" applyNumberFormat="1" applyFill="1"/>
    <xf numFmtId="164" fontId="5" fillId="2" borderId="6" xfId="0" applyNumberFormat="1" applyFont="1" applyFill="1" applyBorder="1"/>
    <xf numFmtId="178" fontId="9" fillId="2" borderId="6" xfId="0" applyNumberFormat="1" applyFont="1" applyFill="1" applyBorder="1"/>
    <xf numFmtId="165" fontId="9" fillId="2" borderId="6" xfId="0" applyNumberFormat="1" applyFont="1" applyFill="1" applyBorder="1"/>
    <xf numFmtId="14" fontId="0" fillId="2" borderId="6" xfId="0" applyNumberFormat="1" applyFill="1" applyBorder="1" applyAlignment="1">
      <alignment horizontal="right"/>
    </xf>
    <xf numFmtId="0" fontId="2" fillId="4" borderId="3" xfId="0" applyFont="1" applyFill="1" applyBorder="1" applyAlignment="1">
      <alignment horizontal="right"/>
    </xf>
    <xf numFmtId="0" fontId="2" fillId="4" borderId="4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6" xfId="0" applyFont="1" applyFill="1" applyBorder="1" applyAlignment="1">
      <alignment horizontal="right"/>
    </xf>
    <xf numFmtId="14" fontId="5" fillId="2" borderId="0" xfId="0" applyNumberFormat="1" applyFont="1" applyFill="1" applyAlignment="1">
      <alignment horizontal="right"/>
    </xf>
    <xf numFmtId="14" fontId="9" fillId="2" borderId="0" xfId="0" applyNumberFormat="1" applyFont="1" applyFill="1" applyAlignment="1">
      <alignment horizontal="right"/>
    </xf>
    <xf numFmtId="14" fontId="0" fillId="3" borderId="3" xfId="0" applyNumberFormat="1" applyFill="1" applyBorder="1" applyAlignment="1">
      <alignment horizontal="right"/>
    </xf>
    <xf numFmtId="14" fontId="9" fillId="3" borderId="4" xfId="0" applyNumberFormat="1" applyFont="1" applyFill="1" applyBorder="1" applyAlignment="1">
      <alignment horizontal="right"/>
    </xf>
    <xf numFmtId="0" fontId="5" fillId="2" borderId="6" xfId="0" applyFont="1" applyFill="1" applyBorder="1"/>
    <xf numFmtId="14" fontId="0" fillId="2" borderId="8" xfId="0" applyNumberFormat="1" applyFill="1" applyBorder="1" applyAlignment="1">
      <alignment horizontal="center"/>
    </xf>
    <xf numFmtId="41" fontId="0" fillId="2" borderId="8" xfId="0" applyNumberFormat="1" applyFill="1" applyBorder="1" applyAlignment="1">
      <alignment horizontal="center"/>
    </xf>
    <xf numFmtId="5" fontId="0" fillId="2" borderId="12" xfId="0" applyNumberFormat="1" applyFill="1" applyBorder="1"/>
    <xf numFmtId="10" fontId="1" fillId="2" borderId="12" xfId="2" applyNumberFormat="1" applyFill="1" applyBorder="1" applyAlignment="1">
      <alignment horizontal="center"/>
    </xf>
    <xf numFmtId="41" fontId="0" fillId="2" borderId="12" xfId="0" applyNumberFormat="1" applyFill="1" applyBorder="1" applyAlignment="1">
      <alignment horizontal="center"/>
    </xf>
    <xf numFmtId="5" fontId="0" fillId="2" borderId="8" xfId="0" applyNumberFormat="1" applyFill="1" applyBorder="1"/>
    <xf numFmtId="2" fontId="0" fillId="3" borderId="0" xfId="0" applyNumberFormat="1" applyFill="1"/>
    <xf numFmtId="0" fontId="3" fillId="2" borderId="3" xfId="0" applyFont="1" applyFill="1" applyBorder="1"/>
    <xf numFmtId="41" fontId="0" fillId="2" borderId="0" xfId="0" applyNumberFormat="1" applyFill="1" applyAlignment="1">
      <alignment horizontal="center"/>
    </xf>
    <xf numFmtId="41" fontId="3" fillId="2" borderId="3" xfId="0" applyNumberFormat="1" applyFont="1" applyFill="1" applyBorder="1"/>
    <xf numFmtId="37" fontId="3" fillId="3" borderId="12" xfId="0" applyNumberFormat="1" applyFont="1" applyFill="1" applyBorder="1"/>
    <xf numFmtId="14" fontId="3" fillId="3" borderId="12" xfId="0" applyNumberFormat="1" applyFont="1" applyFill="1" applyBorder="1" applyAlignment="1">
      <alignment horizontal="center"/>
    </xf>
    <xf numFmtId="2" fontId="3" fillId="3" borderId="12" xfId="0" applyNumberFormat="1" applyFont="1" applyFill="1" applyBorder="1"/>
    <xf numFmtId="2" fontId="3" fillId="3" borderId="3" xfId="0" applyNumberFormat="1" applyFont="1" applyFill="1" applyBorder="1"/>
    <xf numFmtId="41" fontId="10" fillId="3" borderId="12" xfId="0" applyNumberFormat="1" applyFont="1" applyFill="1" applyBorder="1"/>
    <xf numFmtId="41" fontId="10" fillId="3" borderId="3" xfId="0" applyNumberFormat="1" applyFont="1" applyFill="1" applyBorder="1"/>
    <xf numFmtId="41" fontId="10" fillId="3" borderId="3" xfId="0" applyNumberFormat="1" applyFont="1" applyFill="1" applyBorder="1" applyAlignment="1">
      <alignment horizontal="center"/>
    </xf>
    <xf numFmtId="41" fontId="10" fillId="3" borderId="12" xfId="0" applyNumberFormat="1" applyFont="1" applyFill="1" applyBorder="1" applyAlignment="1">
      <alignment horizontal="center"/>
    </xf>
    <xf numFmtId="41" fontId="9" fillId="3" borderId="0" xfId="0" applyNumberFormat="1" applyFont="1" applyFill="1"/>
    <xf numFmtId="41" fontId="10" fillId="3" borderId="0" xfId="0" applyNumberFormat="1" applyFont="1" applyFill="1" applyAlignment="1">
      <alignment horizontal="center"/>
    </xf>
    <xf numFmtId="37" fontId="0" fillId="3" borderId="8" xfId="0" applyNumberFormat="1" applyFill="1" applyBorder="1"/>
    <xf numFmtId="14" fontId="0" fillId="3" borderId="8" xfId="0" applyNumberFormat="1" applyFill="1" applyBorder="1" applyAlignment="1">
      <alignment horizontal="center"/>
    </xf>
    <xf numFmtId="2" fontId="0" fillId="3" borderId="8" xfId="0" applyNumberFormat="1" applyFill="1" applyBorder="1"/>
    <xf numFmtId="41" fontId="0" fillId="3" borderId="8" xfId="0" applyNumberFormat="1" applyFill="1" applyBorder="1"/>
    <xf numFmtId="41" fontId="0" fillId="3" borderId="0" xfId="0" applyNumberFormat="1" applyFill="1"/>
    <xf numFmtId="41" fontId="0" fillId="3" borderId="0" xfId="0" applyNumberFormat="1" applyFill="1" applyAlignment="1">
      <alignment horizontal="center"/>
    </xf>
    <xf numFmtId="41" fontId="0" fillId="3" borderId="8" xfId="0" applyNumberFormat="1" applyFill="1" applyBorder="1" applyAlignment="1">
      <alignment horizontal="center"/>
    </xf>
    <xf numFmtId="37" fontId="3" fillId="3" borderId="8" xfId="0" applyNumberFormat="1" applyFont="1" applyFill="1" applyBorder="1"/>
    <xf numFmtId="14" fontId="3" fillId="3" borderId="8" xfId="0" applyNumberFormat="1" applyFont="1" applyFill="1" applyBorder="1" applyAlignment="1">
      <alignment horizontal="center"/>
    </xf>
    <xf numFmtId="2" fontId="3" fillId="3" borderId="8" xfId="0" applyNumberFormat="1" applyFont="1" applyFill="1" applyBorder="1"/>
    <xf numFmtId="41" fontId="3" fillId="3" borderId="8" xfId="0" applyNumberFormat="1" applyFont="1" applyFill="1" applyBorder="1"/>
    <xf numFmtId="41" fontId="3" fillId="3" borderId="3" xfId="0" applyNumberFormat="1" applyFont="1" applyFill="1" applyBorder="1"/>
    <xf numFmtId="10" fontId="1" fillId="3" borderId="12" xfId="2" applyNumberFormat="1" applyFill="1" applyBorder="1" applyAlignment="1">
      <alignment horizontal="center"/>
    </xf>
    <xf numFmtId="2" fontId="0" fillId="3" borderId="12" xfId="0" applyNumberFormat="1" applyFill="1" applyBorder="1"/>
    <xf numFmtId="41" fontId="0" fillId="3" borderId="12" xfId="0" applyNumberFormat="1" applyFill="1" applyBorder="1" applyAlignment="1">
      <alignment horizontal="center"/>
    </xf>
    <xf numFmtId="0" fontId="3" fillId="3" borderId="3" xfId="0" applyFont="1" applyFill="1" applyBorder="1"/>
    <xf numFmtId="10" fontId="3" fillId="3" borderId="3" xfId="2" applyNumberFormat="1" applyFont="1" applyFill="1" applyBorder="1" applyAlignment="1">
      <alignment horizontal="center"/>
    </xf>
    <xf numFmtId="5" fontId="24" fillId="3" borderId="12" xfId="0" applyNumberFormat="1" applyFont="1" applyFill="1" applyBorder="1"/>
    <xf numFmtId="10" fontId="24" fillId="3" borderId="12" xfId="2" applyNumberFormat="1" applyFont="1" applyFill="1" applyBorder="1" applyAlignment="1">
      <alignment horizontal="center"/>
    </xf>
    <xf numFmtId="2" fontId="24" fillId="3" borderId="12" xfId="0" applyNumberFormat="1" applyFont="1" applyFill="1" applyBorder="1"/>
    <xf numFmtId="41" fontId="24" fillId="3" borderId="8" xfId="0" applyNumberFormat="1" applyFont="1" applyFill="1" applyBorder="1"/>
    <xf numFmtId="14" fontId="24" fillId="3" borderId="8" xfId="0" applyNumberFormat="1" applyFont="1" applyFill="1" applyBorder="1" applyAlignment="1">
      <alignment horizontal="center"/>
    </xf>
    <xf numFmtId="0" fontId="24" fillId="3" borderId="8" xfId="0" applyFont="1" applyFill="1" applyBorder="1"/>
    <xf numFmtId="14" fontId="24" fillId="3" borderId="12" xfId="0" applyNumberFormat="1" applyFont="1" applyFill="1" applyBorder="1" applyAlignment="1">
      <alignment horizontal="center"/>
    </xf>
    <xf numFmtId="2" fontId="23" fillId="3" borderId="3" xfId="0" applyNumberFormat="1" applyFont="1" applyFill="1" applyBorder="1"/>
    <xf numFmtId="10" fontId="24" fillId="3" borderId="8" xfId="2" applyNumberFormat="1" applyFont="1" applyFill="1" applyBorder="1" applyAlignment="1">
      <alignment horizontal="center"/>
    </xf>
    <xf numFmtId="2" fontId="24" fillId="3" borderId="8" xfId="0" applyNumberFormat="1" applyFont="1" applyFill="1" applyBorder="1"/>
    <xf numFmtId="0" fontId="24" fillId="3" borderId="7" xfId="0" applyFont="1" applyFill="1" applyBorder="1" applyAlignment="1">
      <alignment horizontal="left" indent="1"/>
    </xf>
    <xf numFmtId="3" fontId="24" fillId="3" borderId="8" xfId="0" applyNumberFormat="1" applyFont="1" applyFill="1" applyBorder="1"/>
    <xf numFmtId="4" fontId="24" fillId="3" borderId="8" xfId="0" applyNumberFormat="1" applyFont="1" applyFill="1" applyBorder="1"/>
    <xf numFmtId="4" fontId="24" fillId="3" borderId="9" xfId="0" applyNumberFormat="1" applyFont="1" applyFill="1" applyBorder="1"/>
    <xf numFmtId="2" fontId="0" fillId="3" borderId="6" xfId="0" applyNumberFormat="1" applyFill="1" applyBorder="1"/>
    <xf numFmtId="164" fontId="0" fillId="2" borderId="0" xfId="2" applyNumberFormat="1" applyFont="1" applyFill="1" applyBorder="1" applyAlignment="1">
      <alignment horizontal="center"/>
    </xf>
    <xf numFmtId="164" fontId="24" fillId="3" borderId="8" xfId="2" applyNumberFormat="1" applyFont="1" applyFill="1" applyBorder="1" applyAlignment="1">
      <alignment horizontal="center"/>
    </xf>
    <xf numFmtId="164" fontId="0" fillId="3" borderId="0" xfId="2" applyNumberFormat="1" applyFont="1" applyFill="1" applyAlignment="1">
      <alignment horizontal="center"/>
    </xf>
    <xf numFmtId="0" fontId="3" fillId="2" borderId="2" xfId="0" applyFont="1" applyFill="1" applyBorder="1"/>
    <xf numFmtId="0" fontId="24" fillId="3" borderId="10" xfId="0" applyFont="1" applyFill="1" applyBorder="1"/>
    <xf numFmtId="0" fontId="24" fillId="3" borderId="5" xfId="0" applyFont="1" applyFill="1" applyBorder="1"/>
    <xf numFmtId="0" fontId="23" fillId="3" borderId="2" xfId="0" applyFont="1" applyFill="1" applyBorder="1"/>
    <xf numFmtId="5" fontId="24" fillId="3" borderId="3" xfId="0" applyNumberFormat="1" applyFont="1" applyFill="1" applyBorder="1"/>
    <xf numFmtId="14" fontId="24" fillId="3" borderId="3" xfId="0" applyNumberFormat="1" applyFont="1" applyFill="1" applyBorder="1" applyAlignment="1">
      <alignment horizontal="center"/>
    </xf>
    <xf numFmtId="185" fontId="5" fillId="2" borderId="0" xfId="0" applyNumberFormat="1" applyFont="1" applyFill="1" applyAlignment="1">
      <alignment horizontal="center"/>
    </xf>
    <xf numFmtId="9" fontId="5" fillId="3" borderId="5" xfId="0" applyNumberFormat="1" applyFont="1" applyFill="1" applyBorder="1" applyAlignment="1">
      <alignment horizontal="center"/>
    </xf>
    <xf numFmtId="9" fontId="9" fillId="3" borderId="6" xfId="0" applyNumberFormat="1" applyFont="1" applyFill="1" applyBorder="1" applyAlignment="1">
      <alignment horizontal="center"/>
    </xf>
    <xf numFmtId="0" fontId="23" fillId="3" borderId="7" xfId="0" applyFont="1" applyFill="1" applyBorder="1"/>
    <xf numFmtId="0" fontId="23" fillId="3" borderId="8" xfId="0" applyFont="1" applyFill="1" applyBorder="1" applyAlignment="1">
      <alignment horizontal="centerContinuous"/>
    </xf>
    <xf numFmtId="0" fontId="24" fillId="3" borderId="8" xfId="0" applyFont="1" applyFill="1" applyBorder="1" applyAlignment="1">
      <alignment horizontal="centerContinuous"/>
    </xf>
    <xf numFmtId="44" fontId="24" fillId="3" borderId="8" xfId="1" applyFont="1" applyFill="1" applyBorder="1" applyAlignment="1">
      <alignment horizontal="centerContinuous"/>
    </xf>
    <xf numFmtId="0" fontId="24" fillId="3" borderId="9" xfId="0" applyFont="1" applyFill="1" applyBorder="1" applyAlignment="1">
      <alignment horizontal="centerContinuous"/>
    </xf>
    <xf numFmtId="37" fontId="9" fillId="2" borderId="4" xfId="0" applyNumberFormat="1" applyFont="1" applyFill="1" applyBorder="1"/>
    <xf numFmtId="0" fontId="24" fillId="3" borderId="2" xfId="0" applyFont="1" applyFill="1" applyBorder="1"/>
    <xf numFmtId="0" fontId="24" fillId="3" borderId="0" xfId="0" applyFont="1" applyFill="1"/>
    <xf numFmtId="37" fontId="24" fillId="3" borderId="6" xfId="0" applyNumberFormat="1" applyFont="1" applyFill="1" applyBorder="1"/>
    <xf numFmtId="10" fontId="24" fillId="3" borderId="6" xfId="2" applyNumberFormat="1" applyFont="1" applyFill="1" applyBorder="1"/>
    <xf numFmtId="0" fontId="24" fillId="3" borderId="6" xfId="0" applyFont="1" applyFill="1" applyBorder="1" applyAlignment="1">
      <alignment horizontal="right"/>
    </xf>
    <xf numFmtId="10" fontId="24" fillId="3" borderId="6" xfId="0" applyNumberFormat="1" applyFont="1" applyFill="1" applyBorder="1"/>
    <xf numFmtId="0" fontId="24" fillId="3" borderId="7" xfId="0" applyFont="1" applyFill="1" applyBorder="1"/>
    <xf numFmtId="10" fontId="24" fillId="3" borderId="9" xfId="0" applyNumberFormat="1" applyFont="1" applyFill="1" applyBorder="1"/>
    <xf numFmtId="10" fontId="23" fillId="3" borderId="1" xfId="0" applyNumberFormat="1" applyFont="1" applyFill="1" applyBorder="1" applyAlignment="1">
      <alignment horizontal="center"/>
    </xf>
    <xf numFmtId="10" fontId="23" fillId="3" borderId="1" xfId="2" applyNumberFormat="1" applyFont="1" applyFill="1" applyBorder="1" applyAlignment="1">
      <alignment horizontal="center"/>
    </xf>
    <xf numFmtId="37" fontId="24" fillId="3" borderId="8" xfId="0" applyNumberFormat="1" applyFont="1" applyFill="1" applyBorder="1" applyAlignment="1">
      <alignment horizontal="center"/>
    </xf>
    <xf numFmtId="41" fontId="2" fillId="4" borderId="10" xfId="0" applyNumberFormat="1" applyFont="1" applyFill="1" applyBorder="1"/>
    <xf numFmtId="41" fontId="4" fillId="4" borderId="12" xfId="0" applyNumberFormat="1" applyFont="1" applyFill="1" applyBorder="1"/>
    <xf numFmtId="183" fontId="4" fillId="4" borderId="12" xfId="0" applyNumberFormat="1" applyFont="1" applyFill="1" applyBorder="1" applyAlignment="1">
      <alignment horizontal="center"/>
    </xf>
    <xf numFmtId="2" fontId="4" fillId="4" borderId="12" xfId="0" applyNumberFormat="1" applyFont="1" applyFill="1" applyBorder="1" applyAlignment="1">
      <alignment horizontal="center"/>
    </xf>
    <xf numFmtId="41" fontId="4" fillId="4" borderId="12" xfId="0" applyNumberFormat="1" applyFont="1" applyFill="1" applyBorder="1" applyAlignment="1">
      <alignment horizontal="center"/>
    </xf>
    <xf numFmtId="41" fontId="4" fillId="4" borderId="11" xfId="0" applyNumberFormat="1" applyFont="1" applyFill="1" applyBorder="1" applyAlignment="1">
      <alignment horizontal="center"/>
    </xf>
    <xf numFmtId="37" fontId="23" fillId="3" borderId="10" xfId="0" applyNumberFormat="1" applyFont="1" applyFill="1" applyBorder="1"/>
    <xf numFmtId="41" fontId="10" fillId="3" borderId="11" xfId="0" applyNumberFormat="1" applyFont="1" applyFill="1" applyBorder="1" applyAlignment="1">
      <alignment horizontal="center"/>
    </xf>
    <xf numFmtId="37" fontId="23" fillId="3" borderId="7" xfId="0" applyNumberFormat="1" applyFont="1" applyFill="1" applyBorder="1"/>
    <xf numFmtId="41" fontId="0" fillId="3" borderId="9" xfId="0" applyNumberFormat="1" applyFill="1" applyBorder="1" applyAlignment="1">
      <alignment horizontal="center"/>
    </xf>
    <xf numFmtId="41" fontId="3" fillId="3" borderId="9" xfId="0" applyNumberFormat="1" applyFont="1" applyFill="1" applyBorder="1"/>
    <xf numFmtId="41" fontId="2" fillId="4" borderId="5" xfId="0" applyNumberFormat="1" applyFont="1" applyFill="1" applyBorder="1"/>
    <xf numFmtId="41" fontId="4" fillId="4" borderId="0" xfId="0" applyNumberFormat="1" applyFont="1" applyFill="1"/>
    <xf numFmtId="183" fontId="4" fillId="4" borderId="0" xfId="0" applyNumberFormat="1" applyFont="1" applyFill="1" applyAlignment="1">
      <alignment horizontal="center"/>
    </xf>
    <xf numFmtId="2" fontId="4" fillId="4" borderId="0" xfId="0" applyNumberFormat="1" applyFont="1" applyFill="1" applyAlignment="1">
      <alignment horizontal="center"/>
    </xf>
    <xf numFmtId="41" fontId="4" fillId="4" borderId="0" xfId="0" applyNumberFormat="1" applyFont="1" applyFill="1" applyAlignment="1">
      <alignment horizontal="center"/>
    </xf>
    <xf numFmtId="41" fontId="4" fillId="4" borderId="6" xfId="0" applyNumberFormat="1" applyFont="1" applyFill="1" applyBorder="1" applyAlignment="1">
      <alignment horizontal="center"/>
    </xf>
    <xf numFmtId="5" fontId="0" fillId="2" borderId="0" xfId="0" applyNumberFormat="1" applyFill="1"/>
    <xf numFmtId="14" fontId="0" fillId="2" borderId="0" xfId="0" applyNumberFormat="1" applyFill="1" applyAlignment="1">
      <alignment horizontal="center"/>
    </xf>
    <xf numFmtId="2" fontId="0" fillId="2" borderId="0" xfId="0" applyNumberFormat="1" applyFill="1"/>
    <xf numFmtId="2" fontId="0" fillId="2" borderId="0" xfId="0" applyNumberFormat="1" applyFill="1" applyAlignment="1">
      <alignment horizontal="center"/>
    </xf>
    <xf numFmtId="2" fontId="0" fillId="2" borderId="6" xfId="0" applyNumberFormat="1" applyFill="1" applyBorder="1" applyAlignment="1">
      <alignment horizontal="center"/>
    </xf>
    <xf numFmtId="41" fontId="0" fillId="2" borderId="11" xfId="0" applyNumberFormat="1" applyFill="1" applyBorder="1" applyAlignment="1">
      <alignment horizontal="center"/>
    </xf>
    <xf numFmtId="10" fontId="1" fillId="2" borderId="0" xfId="2" applyNumberFormat="1" applyFill="1" applyBorder="1" applyAlignment="1">
      <alignment horizontal="center"/>
    </xf>
    <xf numFmtId="41" fontId="0" fillId="2" borderId="6" xfId="0" applyNumberFormat="1" applyFill="1" applyBorder="1" applyAlignment="1">
      <alignment horizontal="center"/>
    </xf>
    <xf numFmtId="41" fontId="0" fillId="2" borderId="9" xfId="0" applyNumberFormat="1" applyFill="1" applyBorder="1" applyAlignment="1">
      <alignment horizontal="center"/>
    </xf>
    <xf numFmtId="0" fontId="23" fillId="3" borderId="5" xfId="0" applyFont="1" applyFill="1" applyBorder="1"/>
    <xf numFmtId="2" fontId="24" fillId="3" borderId="0" xfId="0" applyNumberFormat="1" applyFont="1" applyFill="1"/>
    <xf numFmtId="5" fontId="24" fillId="3" borderId="0" xfId="0" applyNumberFormat="1" applyFont="1" applyFill="1"/>
    <xf numFmtId="14" fontId="24" fillId="3" borderId="0" xfId="0" applyNumberFormat="1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6" xfId="0" applyNumberFormat="1" applyFill="1" applyBorder="1" applyAlignment="1">
      <alignment horizontal="center"/>
    </xf>
    <xf numFmtId="41" fontId="0" fillId="3" borderId="11" xfId="0" applyNumberFormat="1" applyFill="1" applyBorder="1" applyAlignment="1">
      <alignment horizontal="center"/>
    </xf>
    <xf numFmtId="41" fontId="24" fillId="3" borderId="0" xfId="0" applyNumberFormat="1" applyFont="1" applyFill="1"/>
    <xf numFmtId="10" fontId="24" fillId="3" borderId="0" xfId="2" applyNumberFormat="1" applyFont="1" applyFill="1" applyBorder="1" applyAlignment="1">
      <alignment horizontal="center"/>
    </xf>
    <xf numFmtId="41" fontId="0" fillId="3" borderId="6" xfId="0" applyNumberFormat="1" applyFill="1" applyBorder="1" applyAlignment="1">
      <alignment horizontal="center"/>
    </xf>
    <xf numFmtId="41" fontId="22" fillId="3" borderId="0" xfId="0" applyNumberFormat="1" applyFont="1" applyFill="1" applyAlignment="1">
      <alignment horizontal="center"/>
    </xf>
    <xf numFmtId="10" fontId="1" fillId="3" borderId="11" xfId="2" applyNumberFormat="1" applyFill="1" applyBorder="1" applyAlignment="1">
      <alignment horizontal="center"/>
    </xf>
    <xf numFmtId="10" fontId="9" fillId="3" borderId="0" xfId="2" applyNumberFormat="1" applyFont="1" applyFill="1" applyBorder="1" applyAlignment="1">
      <alignment horizontal="center"/>
    </xf>
    <xf numFmtId="10" fontId="22" fillId="3" borderId="0" xfId="2" applyNumberFormat="1" applyFont="1" applyFill="1" applyBorder="1" applyAlignment="1">
      <alignment horizontal="center"/>
    </xf>
    <xf numFmtId="10" fontId="22" fillId="3" borderId="6" xfId="2" applyNumberFormat="1" applyFont="1" applyFill="1" applyBorder="1" applyAlignment="1">
      <alignment horizontal="center"/>
    </xf>
    <xf numFmtId="10" fontId="1" fillId="3" borderId="0" xfId="2" applyNumberFormat="1" applyFill="1" applyBorder="1" applyAlignment="1">
      <alignment horizontal="center"/>
    </xf>
    <xf numFmtId="10" fontId="1" fillId="3" borderId="6" xfId="2" applyNumberFormat="1" applyFill="1" applyBorder="1" applyAlignment="1">
      <alignment horizontal="center"/>
    </xf>
    <xf numFmtId="10" fontId="3" fillId="3" borderId="4" xfId="2" applyNumberFormat="1" applyFont="1" applyFill="1" applyBorder="1" applyAlignment="1">
      <alignment horizontal="center"/>
    </xf>
    <xf numFmtId="41" fontId="23" fillId="3" borderId="8" xfId="0" applyNumberFormat="1" applyFont="1" applyFill="1" applyBorder="1"/>
    <xf numFmtId="10" fontId="24" fillId="3" borderId="8" xfId="0" applyNumberFormat="1" applyFont="1" applyFill="1" applyBorder="1" applyAlignment="1">
      <alignment horizontal="center"/>
    </xf>
    <xf numFmtId="2" fontId="0" fillId="3" borderId="8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2" fontId="0" fillId="3" borderId="9" xfId="0" applyNumberFormat="1" applyFill="1" applyBorder="1" applyAlignment="1">
      <alignment horizontal="center"/>
    </xf>
    <xf numFmtId="0" fontId="24" fillId="3" borderId="5" xfId="0" applyFont="1" applyFill="1" applyBorder="1" applyAlignment="1">
      <alignment horizontal="left" indent="1"/>
    </xf>
    <xf numFmtId="0" fontId="24" fillId="3" borderId="6" xfId="0" applyFont="1" applyFill="1" applyBorder="1"/>
    <xf numFmtId="164" fontId="0" fillId="3" borderId="12" xfId="2" applyNumberFormat="1" applyFont="1" applyFill="1" applyBorder="1" applyAlignment="1">
      <alignment horizontal="center"/>
    </xf>
    <xf numFmtId="3" fontId="0" fillId="3" borderId="12" xfId="0" applyNumberFormat="1" applyFill="1" applyBorder="1"/>
    <xf numFmtId="4" fontId="0" fillId="3" borderId="12" xfId="0" applyNumberFormat="1" applyFill="1" applyBorder="1"/>
    <xf numFmtId="4" fontId="0" fillId="3" borderId="11" xfId="0" applyNumberFormat="1" applyFill="1" applyBorder="1"/>
    <xf numFmtId="0" fontId="9" fillId="2" borderId="0" xfId="0" applyFont="1" applyFill="1"/>
    <xf numFmtId="37" fontId="9" fillId="2" borderId="6" xfId="0" applyNumberFormat="1" applyFont="1" applyFill="1" applyBorder="1"/>
    <xf numFmtId="41" fontId="0" fillId="2" borderId="12" xfId="0" applyNumberFormat="1" applyFill="1" applyBorder="1"/>
    <xf numFmtId="0" fontId="0" fillId="0" borderId="2" xfId="0" applyBorder="1" applyAlignment="1">
      <alignment horizontal="left" indent="1"/>
    </xf>
    <xf numFmtId="0" fontId="0" fillId="0" borderId="3" xfId="0" applyBorder="1"/>
    <xf numFmtId="181" fontId="16" fillId="0" borderId="3" xfId="0" applyNumberFormat="1" applyFont="1" applyBorder="1"/>
    <xf numFmtId="182" fontId="16" fillId="0" borderId="3" xfId="0" applyNumberFormat="1" applyFont="1" applyBorder="1"/>
    <xf numFmtId="41" fontId="0" fillId="0" borderId="3" xfId="0" applyNumberFormat="1" applyBorder="1" applyAlignment="1">
      <alignment horizontal="right"/>
    </xf>
    <xf numFmtId="41" fontId="9" fillId="0" borderId="3" xfId="0" applyNumberFormat="1" applyFont="1" applyBorder="1"/>
    <xf numFmtId="41" fontId="9" fillId="0" borderId="4" xfId="0" applyNumberFormat="1" applyFont="1" applyBorder="1"/>
    <xf numFmtId="180" fontId="0" fillId="2" borderId="6" xfId="0" applyNumberFormat="1" applyFill="1" applyBorder="1"/>
    <xf numFmtId="43" fontId="0" fillId="2" borderId="9" xfId="0" applyNumberFormat="1" applyFill="1" applyBorder="1"/>
    <xf numFmtId="186" fontId="0" fillId="2" borderId="8" xfId="0" applyNumberFormat="1" applyFill="1" applyBorder="1"/>
    <xf numFmtId="10" fontId="0" fillId="2" borderId="0" xfId="2" applyNumberFormat="1" applyFont="1" applyFill="1" applyBorder="1"/>
    <xf numFmtId="41" fontId="0" fillId="2" borderId="11" xfId="0" applyNumberFormat="1" applyFill="1" applyBorder="1"/>
    <xf numFmtId="41" fontId="3" fillId="2" borderId="4" xfId="0" applyNumberFormat="1" applyFont="1" applyFill="1" applyBorder="1"/>
    <xf numFmtId="176" fontId="24" fillId="3" borderId="9" xfId="0" applyNumberFormat="1" applyFont="1" applyFill="1" applyBorder="1" applyAlignment="1">
      <alignment horizontal="center"/>
    </xf>
    <xf numFmtId="41" fontId="0" fillId="3" borderId="6" xfId="0" applyNumberFormat="1" applyFill="1" applyBorder="1"/>
    <xf numFmtId="41" fontId="23" fillId="3" borderId="10" xfId="0" applyNumberFormat="1" applyFont="1" applyFill="1" applyBorder="1"/>
    <xf numFmtId="41" fontId="24" fillId="3" borderId="12" xfId="0" applyNumberFormat="1" applyFont="1" applyFill="1" applyBorder="1"/>
    <xf numFmtId="0" fontId="24" fillId="3" borderId="12" xfId="0" applyFont="1" applyFill="1" applyBorder="1" applyAlignment="1">
      <alignment horizontal="center"/>
    </xf>
    <xf numFmtId="183" fontId="24" fillId="3" borderId="12" xfId="0" applyNumberFormat="1" applyFont="1" applyFill="1" applyBorder="1" applyAlignment="1">
      <alignment horizontal="center"/>
    </xf>
    <xf numFmtId="2" fontId="24" fillId="3" borderId="12" xfId="0" applyNumberFormat="1" applyFont="1" applyFill="1" applyBorder="1" applyAlignment="1">
      <alignment horizontal="center"/>
    </xf>
    <xf numFmtId="41" fontId="24" fillId="3" borderId="12" xfId="0" applyNumberFormat="1" applyFont="1" applyFill="1" applyBorder="1" applyAlignment="1">
      <alignment horizontal="center"/>
    </xf>
    <xf numFmtId="41" fontId="24" fillId="3" borderId="11" xfId="0" applyNumberFormat="1" applyFont="1" applyFill="1" applyBorder="1" applyAlignment="1">
      <alignment horizontal="center"/>
    </xf>
    <xf numFmtId="41" fontId="24" fillId="3" borderId="6" xfId="0" applyNumberFormat="1" applyFont="1" applyFill="1" applyBorder="1"/>
    <xf numFmtId="10" fontId="24" fillId="3" borderId="0" xfId="2" applyNumberFormat="1" applyFont="1" applyFill="1" applyBorder="1"/>
    <xf numFmtId="186" fontId="24" fillId="3" borderId="8" xfId="0" applyNumberFormat="1" applyFont="1" applyFill="1" applyBorder="1"/>
    <xf numFmtId="0" fontId="24" fillId="3" borderId="9" xfId="0" applyFont="1" applyFill="1" applyBorder="1"/>
    <xf numFmtId="0" fontId="0" fillId="2" borderId="11" xfId="0" applyFill="1" applyBorder="1" applyAlignment="1">
      <alignment horizontal="right"/>
    </xf>
    <xf numFmtId="184" fontId="0" fillId="2" borderId="9" xfId="0" applyNumberFormat="1" applyFill="1" applyBorder="1" applyAlignment="1">
      <alignment horizontal="right"/>
    </xf>
    <xf numFmtId="14" fontId="4" fillId="4" borderId="8" xfId="0" applyNumberFormat="1" applyFont="1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37" fontId="0" fillId="2" borderId="0" xfId="0" applyNumberFormat="1" applyFill="1" applyAlignment="1">
      <alignment horizontal="right"/>
    </xf>
    <xf numFmtId="3" fontId="0" fillId="2" borderId="3" xfId="0" applyNumberFormat="1" applyFill="1" applyBorder="1" applyAlignment="1">
      <alignment horizontal="right"/>
    </xf>
    <xf numFmtId="164" fontId="14" fillId="3" borderId="10" xfId="2" applyNumberFormat="1" applyFont="1" applyFill="1" applyBorder="1" applyAlignment="1">
      <alignment horizontal="center"/>
    </xf>
    <xf numFmtId="41" fontId="0" fillId="2" borderId="3" xfId="0" applyNumberFormat="1" applyFill="1" applyBorder="1"/>
    <xf numFmtId="41" fontId="0" fillId="2" borderId="4" xfId="0" applyNumberFormat="1" applyFill="1" applyBorder="1"/>
    <xf numFmtId="41" fontId="0" fillId="3" borderId="12" xfId="0" applyNumberFormat="1" applyFill="1" applyBorder="1"/>
    <xf numFmtId="41" fontId="0" fillId="3" borderId="11" xfId="0" applyNumberFormat="1" applyFill="1" applyBorder="1"/>
    <xf numFmtId="41" fontId="0" fillId="3" borderId="3" xfId="0" applyNumberFormat="1" applyFill="1" applyBorder="1"/>
    <xf numFmtId="41" fontId="0" fillId="3" borderId="4" xfId="0" applyNumberFormat="1" applyFill="1" applyBorder="1"/>
    <xf numFmtId="164" fontId="0" fillId="2" borderId="0" xfId="0" applyNumberFormat="1" applyFill="1" applyAlignment="1">
      <alignment horizontal="left" indent="1"/>
    </xf>
    <xf numFmtId="164" fontId="9" fillId="2" borderId="3" xfId="2" applyNumberFormat="1" applyFont="1" applyFill="1" applyBorder="1" applyAlignment="1">
      <alignment horizontal="center"/>
    </xf>
    <xf numFmtId="164" fontId="0" fillId="2" borderId="8" xfId="2" applyNumberFormat="1" applyFont="1" applyFill="1" applyBorder="1" applyAlignment="1">
      <alignment horizontal="center"/>
    </xf>
    <xf numFmtId="187" fontId="9" fillId="3" borderId="3" xfId="0" applyNumberFormat="1" applyFont="1" applyFill="1" applyBorder="1" applyAlignment="1">
      <alignment horizontal="center"/>
    </xf>
    <xf numFmtId="0" fontId="0" fillId="3" borderId="0" xfId="0" applyFill="1" applyAlignment="1">
      <alignment horizontal="left"/>
    </xf>
    <xf numFmtId="0" fontId="25" fillId="3" borderId="0" xfId="0" applyFont="1" applyFill="1"/>
    <xf numFmtId="0" fontId="26" fillId="3" borderId="0" xfId="0" applyFont="1" applyFill="1"/>
    <xf numFmtId="0" fontId="9" fillId="2" borderId="5" xfId="0" applyFont="1" applyFill="1" applyBorder="1" applyAlignment="1">
      <alignment horizontal="left" indent="1"/>
    </xf>
    <xf numFmtId="0" fontId="9" fillId="2" borderId="13" xfId="0" applyFont="1" applyFill="1" applyBorder="1" applyAlignment="1">
      <alignment horizontal="left" indent="1"/>
    </xf>
    <xf numFmtId="0" fontId="9" fillId="2" borderId="7" xfId="0" applyFont="1" applyFill="1" applyBorder="1" applyAlignment="1">
      <alignment horizontal="left" indent="1"/>
    </xf>
    <xf numFmtId="164" fontId="0" fillId="8" borderId="0" xfId="2" applyNumberFormat="1" applyFont="1" applyFill="1" applyBorder="1" applyAlignment="1">
      <alignment horizontal="center"/>
    </xf>
    <xf numFmtId="165" fontId="6" fillId="8" borderId="0" xfId="0" applyNumberFormat="1" applyFont="1" applyFill="1"/>
    <xf numFmtId="166" fontId="6" fillId="8" borderId="0" xfId="1" applyNumberFormat="1" applyFont="1" applyFill="1" applyBorder="1" applyAlignment="1">
      <alignment horizontal="center"/>
    </xf>
    <xf numFmtId="166" fontId="6" fillId="8" borderId="6" xfId="0" applyNumberFormat="1" applyFont="1" applyFill="1" applyBorder="1" applyAlignment="1">
      <alignment horizontal="center"/>
    </xf>
    <xf numFmtId="165" fontId="0" fillId="8" borderId="0" xfId="0" applyNumberFormat="1" applyFill="1"/>
    <xf numFmtId="166" fontId="0" fillId="8" borderId="6" xfId="0" applyNumberFormat="1" applyFill="1" applyBorder="1" applyAlignment="1">
      <alignment horizontal="center"/>
    </xf>
    <xf numFmtId="166" fontId="0" fillId="8" borderId="0" xfId="1" applyNumberFormat="1" applyFont="1" applyFill="1" applyBorder="1" applyAlignment="1">
      <alignment horizontal="center"/>
    </xf>
    <xf numFmtId="169" fontId="9" fillId="8" borderId="16" xfId="0" applyNumberFormat="1" applyFont="1" applyFill="1" applyBorder="1" applyAlignment="1">
      <alignment horizontal="center"/>
    </xf>
    <xf numFmtId="170" fontId="9" fillId="8" borderId="17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0" fillId="3" borderId="0" xfId="0" applyFill="1" applyAlignment="1">
      <alignment horizontal="right"/>
    </xf>
    <xf numFmtId="37" fontId="0" fillId="3" borderId="0" xfId="0" applyNumberFormat="1" applyFill="1" applyAlignment="1">
      <alignment horizontal="right"/>
    </xf>
    <xf numFmtId="3" fontId="0" fillId="3" borderId="3" xfId="0" applyNumberFormat="1" applyFill="1" applyBorder="1" applyAlignment="1">
      <alignment horizontal="right"/>
    </xf>
    <xf numFmtId="0" fontId="4" fillId="5" borderId="12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14" fontId="4" fillId="5" borderId="8" xfId="0" applyNumberFormat="1" applyFont="1" applyFill="1" applyBorder="1" applyAlignment="1">
      <alignment horizontal="right"/>
    </xf>
    <xf numFmtId="37" fontId="0" fillId="3" borderId="0" xfId="0" applyNumberFormat="1" applyFill="1" applyAlignment="1">
      <alignment horizontal="center"/>
    </xf>
    <xf numFmtId="37" fontId="0" fillId="3" borderId="8" xfId="0" applyNumberFormat="1" applyFill="1" applyBorder="1" applyAlignment="1">
      <alignment horizontal="center"/>
    </xf>
    <xf numFmtId="41" fontId="0" fillId="8" borderId="0" xfId="0" applyNumberFormat="1" applyFill="1"/>
    <xf numFmtId="41" fontId="0" fillId="8" borderId="6" xfId="0" applyNumberFormat="1" applyFill="1" applyBorder="1"/>
    <xf numFmtId="37" fontId="0" fillId="8" borderId="0" xfId="0" applyNumberFormat="1" applyFill="1" applyAlignment="1">
      <alignment horizontal="right"/>
    </xf>
    <xf numFmtId="164" fontId="9" fillId="8" borderId="0" xfId="2" applyNumberFormat="1" applyFont="1" applyFill="1" applyBorder="1" applyAlignment="1">
      <alignment horizontal="center"/>
    </xf>
    <xf numFmtId="3" fontId="9" fillId="8" borderId="0" xfId="0" applyNumberFormat="1" applyFont="1" applyFill="1"/>
    <xf numFmtId="4" fontId="9" fillId="8" borderId="0" xfId="0" applyNumberFormat="1" applyFont="1" applyFill="1"/>
    <xf numFmtId="4" fontId="9" fillId="8" borderId="6" xfId="0" applyNumberFormat="1" applyFont="1" applyFill="1" applyBorder="1"/>
    <xf numFmtId="164" fontId="9" fillId="8" borderId="0" xfId="2" applyNumberFormat="1" applyFont="1" applyFill="1" applyAlignment="1">
      <alignment horizontal="center"/>
    </xf>
    <xf numFmtId="10" fontId="9" fillId="8" borderId="12" xfId="2" applyNumberFormat="1" applyFont="1" applyFill="1" applyBorder="1" applyAlignment="1">
      <alignment horizontal="center"/>
    </xf>
    <xf numFmtId="37" fontId="9" fillId="8" borderId="12" xfId="0" applyNumberFormat="1" applyFont="1" applyFill="1" applyBorder="1" applyAlignment="1">
      <alignment horizontal="center"/>
    </xf>
    <xf numFmtId="10" fontId="9" fillId="8" borderId="12" xfId="0" applyNumberFormat="1" applyFont="1" applyFill="1" applyBorder="1" applyAlignment="1">
      <alignment horizontal="center"/>
    </xf>
    <xf numFmtId="176" fontId="9" fillId="8" borderId="6" xfId="0" applyNumberFormat="1" applyFont="1" applyFill="1" applyBorder="1" applyAlignment="1">
      <alignment horizontal="center"/>
    </xf>
    <xf numFmtId="0" fontId="0" fillId="3" borderId="0" xfId="0" applyFill="1" applyAlignment="1">
      <alignment wrapText="1"/>
    </xf>
    <xf numFmtId="0" fontId="0" fillId="0" borderId="10" xfId="0" applyBorder="1"/>
    <xf numFmtId="0" fontId="0" fillId="0" borderId="12" xfId="0" applyBorder="1"/>
    <xf numFmtId="41" fontId="0" fillId="0" borderId="12" xfId="0" applyNumberFormat="1" applyBorder="1" applyAlignment="1">
      <alignment horizontal="right"/>
    </xf>
    <xf numFmtId="0" fontId="0" fillId="0" borderId="11" xfId="0" applyBorder="1"/>
    <xf numFmtId="0" fontId="0" fillId="0" borderId="5" xfId="0" applyBorder="1"/>
    <xf numFmtId="0" fontId="15" fillId="6" borderId="0" xfId="0" applyFont="1" applyFill="1"/>
    <xf numFmtId="0" fontId="0" fillId="6" borderId="0" xfId="0" applyFill="1"/>
    <xf numFmtId="41" fontId="0" fillId="6" borderId="0" xfId="0" applyNumberFormat="1" applyFill="1" applyAlignment="1">
      <alignment horizontal="right"/>
    </xf>
    <xf numFmtId="0" fontId="0" fillId="0" borderId="6" xfId="0" applyBorder="1"/>
    <xf numFmtId="0" fontId="15" fillId="0" borderId="0" xfId="0" applyFont="1"/>
    <xf numFmtId="0" fontId="0" fillId="7" borderId="0" xfId="0" applyFill="1"/>
    <xf numFmtId="41" fontId="0" fillId="7" borderId="0" xfId="0" applyNumberFormat="1" applyFill="1" applyAlignment="1">
      <alignment horizontal="right"/>
    </xf>
    <xf numFmtId="164" fontId="14" fillId="0" borderId="0" xfId="0" applyNumberFormat="1" applyFont="1"/>
    <xf numFmtId="164" fontId="16" fillId="0" borderId="0" xfId="0" applyNumberFormat="1" applyFont="1" applyAlignment="1">
      <alignment horizontal="right"/>
    </xf>
    <xf numFmtId="15" fontId="9" fillId="0" borderId="0" xfId="0" applyNumberFormat="1" applyFont="1"/>
    <xf numFmtId="179" fontId="0" fillId="0" borderId="0" xfId="0" applyNumberFormat="1"/>
    <xf numFmtId="164" fontId="16" fillId="0" borderId="0" xfId="0" applyNumberFormat="1" applyFont="1"/>
    <xf numFmtId="164" fontId="9" fillId="0" borderId="0" xfId="0" applyNumberFormat="1" applyFont="1" applyAlignment="1">
      <alignment horizontal="right"/>
    </xf>
    <xf numFmtId="175" fontId="0" fillId="0" borderId="0" xfId="0" applyNumberFormat="1"/>
    <xf numFmtId="3" fontId="0" fillId="0" borderId="0" xfId="0" applyNumberFormat="1"/>
    <xf numFmtId="4" fontId="9" fillId="0" borderId="0" xfId="0" applyNumberFormat="1" applyFont="1" applyAlignment="1">
      <alignment horizontal="right"/>
    </xf>
    <xf numFmtId="41" fontId="9" fillId="0" borderId="0" xfId="0" applyNumberFormat="1" applyFont="1"/>
    <xf numFmtId="0" fontId="9" fillId="0" borderId="0" xfId="0" quotePrefix="1" applyFont="1" applyAlignment="1">
      <alignment horizontal="left" indent="1"/>
    </xf>
    <xf numFmtId="180" fontId="18" fillId="0" borderId="0" xfId="0" applyNumberFormat="1" applyFont="1" applyAlignment="1">
      <alignment horizontal="right"/>
    </xf>
    <xf numFmtId="180" fontId="21" fillId="0" borderId="0" xfId="0" applyNumberFormat="1" applyFont="1"/>
    <xf numFmtId="41" fontId="21" fillId="0" borderId="0" xfId="0" applyNumberFormat="1" applyFont="1"/>
    <xf numFmtId="0" fontId="9" fillId="0" borderId="0" xfId="0" applyFont="1"/>
    <xf numFmtId="41" fontId="0" fillId="0" borderId="0" xfId="0" applyNumberFormat="1"/>
    <xf numFmtId="0" fontId="9" fillId="0" borderId="0" xfId="0" applyFont="1" applyAlignment="1">
      <alignment horizontal="left" indent="1"/>
    </xf>
    <xf numFmtId="9" fontId="16" fillId="0" borderId="0" xfId="0" applyNumberFormat="1" applyFont="1"/>
    <xf numFmtId="180" fontId="9" fillId="0" borderId="0" xfId="0" applyNumberFormat="1" applyFont="1"/>
    <xf numFmtId="0" fontId="0" fillId="0" borderId="0" xfId="0" quotePrefix="1" applyAlignment="1">
      <alignment horizontal="left" indent="1"/>
    </xf>
    <xf numFmtId="41" fontId="21" fillId="2" borderId="0" xfId="0" applyNumberFormat="1" applyFont="1" applyFill="1" applyAlignment="1">
      <alignment horizontal="right"/>
    </xf>
    <xf numFmtId="41" fontId="18" fillId="0" borderId="0" xfId="0" applyNumberFormat="1" applyFont="1"/>
    <xf numFmtId="41" fontId="0" fillId="0" borderId="6" xfId="0" applyNumberFormat="1" applyBorder="1"/>
    <xf numFmtId="41" fontId="18" fillId="0" borderId="0" xfId="0" applyNumberFormat="1" applyFont="1" applyAlignment="1">
      <alignment horizontal="right"/>
    </xf>
    <xf numFmtId="0" fontId="0" fillId="0" borderId="0" xfId="0" applyAlignment="1">
      <alignment horizontal="left" indent="1"/>
    </xf>
    <xf numFmtId="41" fontId="20" fillId="0" borderId="0" xfId="0" applyNumberFormat="1" applyFont="1" applyAlignment="1">
      <alignment horizontal="right"/>
    </xf>
    <xf numFmtId="181" fontId="16" fillId="0" borderId="0" xfId="0" applyNumberFormat="1" applyFont="1"/>
    <xf numFmtId="182" fontId="16" fillId="0" borderId="0" xfId="0" applyNumberFormat="1" applyFont="1"/>
    <xf numFmtId="41" fontId="17" fillId="0" borderId="0" xfId="0" applyNumberFormat="1" applyFont="1"/>
    <xf numFmtId="41" fontId="19" fillId="0" borderId="0" xfId="0" applyNumberFormat="1" applyFont="1"/>
    <xf numFmtId="0" fontId="0" fillId="0" borderId="7" xfId="0" applyBorder="1"/>
    <xf numFmtId="0" fontId="0" fillId="0" borderId="8" xfId="0" applyBorder="1"/>
    <xf numFmtId="41" fontId="0" fillId="0" borderId="8" xfId="0" applyNumberFormat="1" applyBorder="1" applyAlignment="1">
      <alignment horizontal="right"/>
    </xf>
    <xf numFmtId="41" fontId="0" fillId="0" borderId="8" xfId="0" applyNumberFormat="1" applyBorder="1"/>
    <xf numFmtId="41" fontId="0" fillId="0" borderId="9" xfId="0" applyNumberFormat="1" applyBorder="1"/>
    <xf numFmtId="180" fontId="0" fillId="3" borderId="0" xfId="0" applyNumberFormat="1" applyFill="1"/>
    <xf numFmtId="41" fontId="0" fillId="3" borderId="0" xfId="0" applyNumberFormat="1" applyFill="1" applyAlignment="1">
      <alignment horizontal="right"/>
    </xf>
    <xf numFmtId="164" fontId="0" fillId="3" borderId="0" xfId="0" applyNumberFormat="1" applyFill="1"/>
    <xf numFmtId="10" fontId="0" fillId="8" borderId="0" xfId="2" applyNumberFormat="1" applyFont="1" applyFill="1" applyBorder="1"/>
    <xf numFmtId="186" fontId="0" fillId="8" borderId="8" xfId="0" applyNumberFormat="1" applyFill="1" applyBorder="1"/>
    <xf numFmtId="41" fontId="21" fillId="0" borderId="0" xfId="0" applyNumberFormat="1" applyFont="1" applyAlignment="1">
      <alignment horizontal="right"/>
    </xf>
    <xf numFmtId="164" fontId="0" fillId="3" borderId="0" xfId="2" applyNumberFormat="1" applyFont="1" applyFill="1"/>
    <xf numFmtId="188" fontId="0" fillId="3" borderId="0" xfId="0" applyNumberFormat="1" applyFill="1"/>
    <xf numFmtId="0" fontId="5" fillId="8" borderId="0" xfId="0" applyFont="1" applyFill="1" applyAlignment="1">
      <alignment horizontal="center"/>
    </xf>
    <xf numFmtId="0" fontId="4" fillId="5" borderId="0" xfId="0" applyFont="1" applyFill="1" applyAlignment="1">
      <alignment horizontal="center" wrapText="1"/>
    </xf>
    <xf numFmtId="0" fontId="4" fillId="5" borderId="8" xfId="0" applyFont="1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3" borderId="8" xfId="0" applyFill="1" applyBorder="1" applyAlignment="1">
      <alignment horizontal="center" wrapText="1"/>
    </xf>
    <xf numFmtId="0" fontId="0" fillId="3" borderId="9" xfId="0" applyFill="1" applyBorder="1" applyAlignment="1">
      <alignment horizontal="center" wrapText="1"/>
    </xf>
    <xf numFmtId="164" fontId="0" fillId="2" borderId="0" xfId="0" applyNumberFormat="1" applyFont="1" applyFill="1" applyAlignment="1">
      <alignment horizontal="center"/>
    </xf>
    <xf numFmtId="3" fontId="5" fillId="2" borderId="14" xfId="0" applyNumberFormat="1" applyFont="1" applyFill="1" applyBorder="1" applyAlignment="1">
      <alignment horizontal="center"/>
    </xf>
    <xf numFmtId="3" fontId="5" fillId="2" borderId="0" xfId="0" applyNumberFormat="1" applyFont="1" applyFill="1" applyAlignment="1">
      <alignment horizontal="center"/>
    </xf>
    <xf numFmtId="3" fontId="9" fillId="2" borderId="14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center"/>
    </xf>
    <xf numFmtId="3" fontId="5" fillId="2" borderId="8" xfId="0" applyNumberFormat="1" applyFont="1" applyFill="1" applyBorder="1" applyAlignment="1">
      <alignment horizontal="center"/>
    </xf>
    <xf numFmtId="0" fontId="0" fillId="2" borderId="5" xfId="0" applyFill="1" applyBorder="1" applyAlignment="1">
      <alignment horizontal="left" wrapText="1" indent="1"/>
    </xf>
    <xf numFmtId="3" fontId="14" fillId="2" borderId="6" xfId="0" applyNumberFormat="1" applyFont="1" applyFill="1" applyBorder="1"/>
    <xf numFmtId="3" fontId="5" fillId="2" borderId="11" xfId="0" applyNumberFormat="1" applyFont="1" applyFill="1" applyBorder="1"/>
    <xf numFmtId="3" fontId="5" fillId="2" borderId="9" xfId="2" applyNumberFormat="1" applyFont="1" applyFill="1" applyBorder="1"/>
    <xf numFmtId="0" fontId="5" fillId="2" borderId="6" xfId="0" applyFont="1" applyFill="1" applyBorder="1" applyAlignment="1">
      <alignment horizontal="center"/>
    </xf>
    <xf numFmtId="164" fontId="5" fillId="2" borderId="14" xfId="0" applyNumberFormat="1" applyFont="1" applyFill="1" applyBorder="1" applyAlignment="1">
      <alignment horizontal="center"/>
    </xf>
    <xf numFmtId="0" fontId="5" fillId="2" borderId="15" xfId="0" applyFont="1" applyFill="1" applyBorder="1"/>
    <xf numFmtId="0" fontId="5" fillId="2" borderId="8" xfId="0" applyFont="1" applyFill="1" applyBorder="1"/>
    <xf numFmtId="164" fontId="5" fillId="2" borderId="8" xfId="0" applyNumberFormat="1" applyFont="1" applyFill="1" applyBorder="1" applyAlignment="1">
      <alignment horizontal="center"/>
    </xf>
    <xf numFmtId="0" fontId="5" fillId="2" borderId="9" xfId="0" applyFont="1" applyFill="1" applyBorder="1"/>
    <xf numFmtId="164" fontId="9" fillId="2" borderId="6" xfId="2" applyNumberFormat="1" applyFont="1" applyFill="1" applyBorder="1"/>
    <xf numFmtId="167" fontId="9" fillId="2" borderId="6" xfId="0" applyNumberFormat="1" applyFont="1" applyFill="1" applyBorder="1"/>
    <xf numFmtId="165" fontId="6" fillId="8" borderId="0" xfId="0" applyNumberFormat="1" applyFont="1" applyFill="1" applyAlignment="1">
      <alignment horizontal="center"/>
    </xf>
    <xf numFmtId="165" fontId="0" fillId="8" borderId="0" xfId="0" applyNumberFormat="1" applyFill="1" applyAlignment="1">
      <alignment horizontal="center"/>
    </xf>
    <xf numFmtId="166" fontId="6" fillId="8" borderId="0" xfId="0" applyNumberFormat="1" applyFont="1" applyFill="1" applyAlignment="1">
      <alignment horizontal="center"/>
    </xf>
    <xf numFmtId="165" fontId="6" fillId="8" borderId="0" xfId="0" applyNumberFormat="1" applyFont="1" applyFill="1" applyAlignment="1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497305</xdr:colOff>
      <xdr:row>2</xdr:row>
      <xdr:rowOff>18548</xdr:rowOff>
    </xdr:from>
    <xdr:ext cx="1889125" cy="490355"/>
    <xdr:pic>
      <xdr:nvPicPr>
        <xdr:cNvPr id="2" name="Picture 1" descr="A.CRE Academy">
          <a:extLst>
            <a:ext uri="{FF2B5EF4-FFF2-40B4-BE49-F238E27FC236}">
              <a16:creationId xmlns:a16="http://schemas.microsoft.com/office/drawing/2014/main" id="{5B48113F-2053-4DA8-8300-2CF9CBAB6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7779" y="399548"/>
          <a:ext cx="1889125" cy="490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142876</xdr:colOff>
      <xdr:row>0</xdr:row>
      <xdr:rowOff>166688</xdr:rowOff>
    </xdr:from>
    <xdr:ext cx="1889125" cy="490355"/>
    <xdr:pic>
      <xdr:nvPicPr>
        <xdr:cNvPr id="3" name="Picture 2" descr="A.CRE Academy">
          <a:extLst>
            <a:ext uri="{FF2B5EF4-FFF2-40B4-BE49-F238E27FC236}">
              <a16:creationId xmlns:a16="http://schemas.microsoft.com/office/drawing/2014/main" id="{03945617-6075-40B3-8E96-5888BDD4A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166688"/>
          <a:ext cx="1889125" cy="490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1</xdr:row>
      <xdr:rowOff>28575</xdr:rowOff>
    </xdr:from>
    <xdr:ext cx="1889125" cy="490355"/>
    <xdr:pic>
      <xdr:nvPicPr>
        <xdr:cNvPr id="2" name="Picture 1" descr="A.CRE Academy">
          <a:extLst>
            <a:ext uri="{FF2B5EF4-FFF2-40B4-BE49-F238E27FC236}">
              <a16:creationId xmlns:a16="http://schemas.microsoft.com/office/drawing/2014/main" id="{09F6F467-5E98-4AAD-9DBA-7E9730B74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19075"/>
          <a:ext cx="1889125" cy="490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</xdr:row>
      <xdr:rowOff>9525</xdr:rowOff>
    </xdr:from>
    <xdr:ext cx="1889125" cy="490355"/>
    <xdr:pic>
      <xdr:nvPicPr>
        <xdr:cNvPr id="2" name="Picture 1" descr="A.CRE Academy">
          <a:extLst>
            <a:ext uri="{FF2B5EF4-FFF2-40B4-BE49-F238E27FC236}">
              <a16:creationId xmlns:a16="http://schemas.microsoft.com/office/drawing/2014/main" id="{7674E881-4A3A-44D1-97CC-2857084D7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200025"/>
          <a:ext cx="1889125" cy="490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163286</xdr:colOff>
      <xdr:row>1</xdr:row>
      <xdr:rowOff>0</xdr:rowOff>
    </xdr:from>
    <xdr:ext cx="1889125" cy="490355"/>
    <xdr:pic>
      <xdr:nvPicPr>
        <xdr:cNvPr id="2" name="Picture 1" descr="A.CRE Academy">
          <a:extLst>
            <a:ext uri="{FF2B5EF4-FFF2-40B4-BE49-F238E27FC236}">
              <a16:creationId xmlns:a16="http://schemas.microsoft.com/office/drawing/2014/main" id="{12459531-757D-4724-BD85-7A571E794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86" y="190500"/>
          <a:ext cx="1889125" cy="490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1</xdr:row>
      <xdr:rowOff>0</xdr:rowOff>
    </xdr:from>
    <xdr:ext cx="1889125" cy="490355"/>
    <xdr:pic>
      <xdr:nvPicPr>
        <xdr:cNvPr id="2" name="Picture 1" descr="A.CRE Academy">
          <a:extLst>
            <a:ext uri="{FF2B5EF4-FFF2-40B4-BE49-F238E27FC236}">
              <a16:creationId xmlns:a16="http://schemas.microsoft.com/office/drawing/2014/main" id="{E0CD95E5-2F89-4126-829C-7001C94FC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90500"/>
          <a:ext cx="1889125" cy="490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DD6A-9E6D-48FC-A0F4-18B3DE7BAA98}">
  <dimension ref="A1:G10"/>
  <sheetViews>
    <sheetView zoomScale="190" zoomScaleNormal="190" workbookViewId="0"/>
  </sheetViews>
  <sheetFormatPr defaultColWidth="0" defaultRowHeight="14.4" zeroHeight="1" x14ac:dyDescent="0.3"/>
  <cols>
    <col min="1" max="1" width="2.6640625" style="14" customWidth="1"/>
    <col min="2" max="6" width="9.109375" style="14" customWidth="1"/>
    <col min="7" max="7" width="2.6640625" style="14" customWidth="1"/>
    <col min="8" max="16384" width="9.109375" style="14" hidden="1"/>
  </cols>
  <sheetData>
    <row r="1" spans="1:2" x14ac:dyDescent="0.3">
      <c r="A1" s="365"/>
    </row>
    <row r="2" spans="1:2" x14ac:dyDescent="0.3"/>
    <row r="3" spans="1:2" x14ac:dyDescent="0.3"/>
    <row r="4" spans="1:2" x14ac:dyDescent="0.3"/>
    <row r="5" spans="1:2" x14ac:dyDescent="0.3"/>
    <row r="6" spans="1:2" x14ac:dyDescent="0.3">
      <c r="B6" s="13" t="s">
        <v>182</v>
      </c>
    </row>
    <row r="7" spans="1:2" x14ac:dyDescent="0.3"/>
    <row r="8" spans="1:2" x14ac:dyDescent="0.3"/>
    <row r="9" spans="1:2" x14ac:dyDescent="0.3"/>
    <row r="10" spans="1:2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AB96C-1D6B-413D-957B-98939A0F2260}">
  <dimension ref="A3:P65"/>
  <sheetViews>
    <sheetView tabSelected="1" topLeftCell="A2" zoomScale="80" zoomScaleNormal="80" workbookViewId="0">
      <selection activeCell="G30" sqref="G30"/>
    </sheetView>
  </sheetViews>
  <sheetFormatPr defaultColWidth="0" defaultRowHeight="14.4" x14ac:dyDescent="0.3"/>
  <cols>
    <col min="1" max="1" width="2.6640625" style="14" customWidth="1"/>
    <col min="2" max="2" width="31.33203125" style="14" bestFit="1" customWidth="1"/>
    <col min="3" max="3" width="10.6640625" style="14" customWidth="1"/>
    <col min="4" max="4" width="11.33203125" style="14" bestFit="1" customWidth="1"/>
    <col min="5" max="6" width="10.6640625" style="14" customWidth="1"/>
    <col min="7" max="7" width="15.33203125" style="14" bestFit="1" customWidth="1"/>
    <col min="8" max="8" width="2.6640625" style="14" customWidth="1"/>
    <col min="9" max="9" width="50" style="14" bestFit="1" customWidth="1"/>
    <col min="10" max="10" width="22.33203125" style="14" customWidth="1"/>
    <col min="11" max="11" width="12" style="14" bestFit="1" customWidth="1"/>
    <col min="12" max="12" width="9.5546875" style="14" customWidth="1"/>
    <col min="13" max="13" width="12.6640625" style="14" customWidth="1"/>
    <col min="14" max="14" width="2.6640625" style="14" customWidth="1"/>
    <col min="15" max="16" width="0" style="14" hidden="1" customWidth="1"/>
    <col min="17" max="16384" width="9.109375" style="14" hidden="1"/>
  </cols>
  <sheetData>
    <row r="3" spans="2:13" x14ac:dyDescent="0.3">
      <c r="I3" s="132"/>
      <c r="J3" s="132"/>
      <c r="K3" s="132"/>
      <c r="L3" s="132"/>
      <c r="M3" s="132"/>
    </row>
    <row r="4" spans="2:13" x14ac:dyDescent="0.3">
      <c r="I4" s="419"/>
      <c r="J4" s="419"/>
      <c r="K4" s="419"/>
      <c r="L4" s="419"/>
      <c r="M4" s="419"/>
    </row>
    <row r="5" spans="2:13" x14ac:dyDescent="0.3">
      <c r="I5" s="420"/>
    </row>
    <row r="6" spans="2:13" ht="18" x14ac:dyDescent="0.35">
      <c r="B6" s="330" t="s">
        <v>13</v>
      </c>
    </row>
    <row r="8" spans="2:13" ht="28.8" x14ac:dyDescent="0.3">
      <c r="B8" s="121" t="s">
        <v>51</v>
      </c>
      <c r="C8" s="122"/>
      <c r="D8" s="122"/>
      <c r="E8" s="122"/>
      <c r="F8" s="122"/>
      <c r="G8" s="123"/>
      <c r="I8" s="124" t="s">
        <v>107</v>
      </c>
      <c r="J8" s="115" t="s">
        <v>187</v>
      </c>
      <c r="K8" s="115" t="s">
        <v>108</v>
      </c>
      <c r="L8" s="115" t="s">
        <v>110</v>
      </c>
      <c r="M8" s="116" t="s">
        <v>109</v>
      </c>
    </row>
    <row r="9" spans="2:13" x14ac:dyDescent="0.3">
      <c r="B9" s="8" t="s">
        <v>52</v>
      </c>
      <c r="C9" s="114"/>
      <c r="D9" s="114"/>
      <c r="E9" s="114"/>
      <c r="F9" s="114"/>
      <c r="G9" s="312" t="s">
        <v>73</v>
      </c>
      <c r="I9" s="8" t="s">
        <v>111</v>
      </c>
      <c r="J9" s="361">
        <f>SUMIF(OpProj!$J$12:$EK$12,"&lt;="&amp;5,OpProj!$J$27:$EK$27)/5/K13</f>
        <v>7.1713304889232721E-2</v>
      </c>
      <c r="K9" s="362">
        <f>MonthlyCF!C77</f>
        <v>57767052.60356161</v>
      </c>
      <c r="L9" s="363">
        <f>MonthlyCF!C78</f>
        <v>0.17884137034416203</v>
      </c>
      <c r="M9" s="364">
        <f>MonthlyCF!C79</f>
        <v>1.4355906983614886</v>
      </c>
    </row>
    <row r="10" spans="2:13" x14ac:dyDescent="0.3">
      <c r="B10" s="10" t="s">
        <v>53</v>
      </c>
      <c r="C10" s="1"/>
      <c r="D10" s="1"/>
      <c r="E10" s="1"/>
      <c r="F10" s="1"/>
      <c r="G10" s="101" t="s">
        <v>74</v>
      </c>
      <c r="I10" s="223" t="s">
        <v>112</v>
      </c>
      <c r="J10" s="227"/>
      <c r="K10" s="227"/>
      <c r="L10" s="273"/>
      <c r="M10" s="299"/>
    </row>
    <row r="11" spans="2:13" x14ac:dyDescent="0.3">
      <c r="B11" s="12" t="s">
        <v>173</v>
      </c>
      <c r="C11" s="7"/>
      <c r="D11" s="7"/>
      <c r="E11" s="7"/>
      <c r="F11" s="7"/>
      <c r="G11" s="313">
        <v>1</v>
      </c>
    </row>
    <row r="12" spans="2:13" x14ac:dyDescent="0.3">
      <c r="I12" s="121" t="s">
        <v>98</v>
      </c>
      <c r="J12" s="17" t="s">
        <v>81</v>
      </c>
      <c r="K12" s="17" t="s">
        <v>31</v>
      </c>
      <c r="L12" s="17" t="s">
        <v>32</v>
      </c>
      <c r="M12" s="18" t="s">
        <v>33</v>
      </c>
    </row>
    <row r="13" spans="2:13" ht="28.8" x14ac:dyDescent="0.3">
      <c r="B13" s="121" t="s">
        <v>55</v>
      </c>
      <c r="C13" s="125" t="s">
        <v>59</v>
      </c>
      <c r="D13" s="125" t="s">
        <v>75</v>
      </c>
      <c r="E13" s="125" t="s">
        <v>77</v>
      </c>
      <c r="F13" s="138" t="s">
        <v>70</v>
      </c>
      <c r="G13" s="139" t="s">
        <v>71</v>
      </c>
      <c r="I13" s="112" t="s">
        <v>101</v>
      </c>
      <c r="J13" s="201">
        <f>K13/$K$13</f>
        <v>1</v>
      </c>
      <c r="K13" s="132">
        <f>SUM(K14:K15)</f>
        <v>132641614.01611078</v>
      </c>
      <c r="L13" s="153">
        <f t="shared" ref="L13:M13" si="0">SUM(L14:L15)</f>
        <v>638.43672514493062</v>
      </c>
      <c r="M13" s="198">
        <f t="shared" si="0"/>
        <v>1026.7205256159223</v>
      </c>
    </row>
    <row r="14" spans="2:13" x14ac:dyDescent="0.3">
      <c r="B14" s="111" t="s">
        <v>89</v>
      </c>
      <c r="C14" s="103"/>
      <c r="D14" s="103"/>
      <c r="E14" s="103"/>
      <c r="F14" s="140"/>
      <c r="G14" s="141"/>
      <c r="I14" s="21" t="s">
        <v>99</v>
      </c>
      <c r="J14" s="360">
        <f>K14/$K$13</f>
        <v>1</v>
      </c>
      <c r="K14" s="357">
        <f>M45</f>
        <v>132641614.01611078</v>
      </c>
      <c r="L14" s="358">
        <f>K14/M32</f>
        <v>638.43672514493062</v>
      </c>
      <c r="M14" s="359">
        <f>K14/M33</f>
        <v>1026.7205256159223</v>
      </c>
    </row>
    <row r="15" spans="2:13" x14ac:dyDescent="0.3">
      <c r="B15" s="21" t="s">
        <v>54</v>
      </c>
      <c r="C15" s="2">
        <v>1</v>
      </c>
      <c r="D15" s="102">
        <v>1</v>
      </c>
      <c r="E15" s="102">
        <f>C15+D15-1</f>
        <v>1</v>
      </c>
      <c r="F15" s="142">
        <v>43497</v>
      </c>
      <c r="G15" s="137">
        <f>EDATE(F15,D15-1)</f>
        <v>43497</v>
      </c>
      <c r="I15" s="277" t="s">
        <v>100</v>
      </c>
      <c r="J15" s="218"/>
      <c r="K15" s="218"/>
      <c r="L15" s="218"/>
      <c r="M15" s="278"/>
    </row>
    <row r="16" spans="2:13" x14ac:dyDescent="0.3">
      <c r="B16" s="21" t="s">
        <v>76</v>
      </c>
      <c r="C16" s="2">
        <v>0</v>
      </c>
      <c r="D16" s="102">
        <v>1</v>
      </c>
      <c r="E16" s="102">
        <f>C16+D16-1</f>
        <v>0</v>
      </c>
      <c r="F16" s="143">
        <f>EDATE(F15,-1)</f>
        <v>43466</v>
      </c>
      <c r="G16" s="137">
        <f>EDATE(F16,D16-1)</f>
        <v>43466</v>
      </c>
      <c r="I16" s="97" t="s">
        <v>102</v>
      </c>
      <c r="J16" s="279">
        <f>K16/$K$16</f>
        <v>1</v>
      </c>
      <c r="K16" s="280">
        <f>SUM(K17:K27)</f>
        <v>132641614.01605685</v>
      </c>
      <c r="L16" s="281">
        <f t="shared" ref="L16:M16" si="1">SUM(L17:L27)</f>
        <v>638.43672514467096</v>
      </c>
      <c r="M16" s="282">
        <f t="shared" si="1"/>
        <v>1026.7205256155048</v>
      </c>
    </row>
    <row r="17" spans="2:13" x14ac:dyDescent="0.3">
      <c r="B17" s="21" t="s">
        <v>69</v>
      </c>
      <c r="C17" s="53">
        <v>2</v>
      </c>
      <c r="D17" s="53">
        <v>9</v>
      </c>
      <c r="E17" s="102">
        <f>C17+D17-1</f>
        <v>10</v>
      </c>
      <c r="F17" s="143">
        <f>INDEX(MonthlyCF!$J$10:$BR$10,MATCH(Summary!C17,MonthlyCF!$J$9:$BR$9,0))</f>
        <v>43525</v>
      </c>
      <c r="G17" s="137">
        <f>EDATE(F17,D17-1)</f>
        <v>43770</v>
      </c>
      <c r="I17" s="21" t="str">
        <f>Budget!B11</f>
        <v>Land</v>
      </c>
      <c r="J17" s="356">
        <f>Budget!D11</f>
        <v>0.23127321110768811</v>
      </c>
      <c r="K17" s="357">
        <f>Budget!E11</f>
        <v>30676452</v>
      </c>
      <c r="L17" s="358">
        <f>Budget!F11</f>
        <v>147.65331151328454</v>
      </c>
      <c r="M17" s="358">
        <f>Budget!G11</f>
        <v>237.45295286927114</v>
      </c>
    </row>
    <row r="18" spans="2:13" x14ac:dyDescent="0.3">
      <c r="B18" s="21" t="s">
        <v>72</v>
      </c>
      <c r="C18" s="53">
        <v>2</v>
      </c>
      <c r="D18" s="53">
        <v>15</v>
      </c>
      <c r="E18" s="102">
        <f t="shared" ref="E18:E19" si="2">C18+D18-1</f>
        <v>16</v>
      </c>
      <c r="F18" s="143">
        <f>INDEX(MonthlyCF!$J$10:$BR$10,MATCH(Summary!C18,MonthlyCF!$J$9:$BR$9,0))</f>
        <v>43525</v>
      </c>
      <c r="G18" s="137">
        <f t="shared" ref="G18:G19" si="3">EDATE(F18,D18-1)</f>
        <v>43952</v>
      </c>
      <c r="I18" s="21" t="str">
        <f>Budget!B12</f>
        <v>Entitlement Costs</v>
      </c>
      <c r="J18" s="356">
        <f>Budget!D12</f>
        <v>2.2918900848356645E-3</v>
      </c>
      <c r="K18" s="357">
        <f>Budget!E12</f>
        <v>304000</v>
      </c>
      <c r="L18" s="358">
        <f>Budget!F12</f>
        <v>1.4632268001540238</v>
      </c>
      <c r="M18" s="358">
        <f>Budget!G12</f>
        <v>2.3531305925554373</v>
      </c>
    </row>
    <row r="19" spans="2:13" x14ac:dyDescent="0.3">
      <c r="B19" s="21" t="s">
        <v>24</v>
      </c>
      <c r="C19" s="53">
        <v>16</v>
      </c>
      <c r="D19" s="53">
        <v>24</v>
      </c>
      <c r="E19" s="102">
        <f t="shared" si="2"/>
        <v>39</v>
      </c>
      <c r="F19" s="143">
        <f>INDEX(MonthlyCF!$J$10:$BR$10,MATCH(Summary!C19,MonthlyCF!$J$9:$BR$9,0))</f>
        <v>43952</v>
      </c>
      <c r="G19" s="137">
        <f t="shared" si="3"/>
        <v>44652</v>
      </c>
      <c r="I19" s="21" t="str">
        <f>Budget!B13</f>
        <v>A&amp;E</v>
      </c>
      <c r="J19" s="356">
        <f>Budget!D13</f>
        <v>1.6446422310089824E-2</v>
      </c>
      <c r="K19" s="357">
        <f>Budget!E13</f>
        <v>2181480.0000000005</v>
      </c>
      <c r="L19" s="358">
        <f>Budget!F13</f>
        <v>10.500000000000002</v>
      </c>
      <c r="M19" s="358">
        <f>Budget!G13</f>
        <v>16.885879358709989</v>
      </c>
    </row>
    <row r="20" spans="2:13" x14ac:dyDescent="0.3">
      <c r="B20" s="111" t="s">
        <v>90</v>
      </c>
      <c r="C20" s="103"/>
      <c r="D20" s="103"/>
      <c r="E20" s="103"/>
      <c r="F20" s="140"/>
      <c r="G20" s="141"/>
      <c r="I20" s="21" t="str">
        <f>Budget!B14</f>
        <v>Construction</v>
      </c>
      <c r="J20" s="356">
        <f>Budget!D14</f>
        <v>0.58737222536035072</v>
      </c>
      <c r="K20" s="357">
        <f>Budget!E14</f>
        <v>77910000</v>
      </c>
      <c r="L20" s="358">
        <f>Budget!F14</f>
        <v>375</v>
      </c>
      <c r="M20" s="358">
        <f>Budget!G14</f>
        <v>603.06711995392811</v>
      </c>
    </row>
    <row r="21" spans="2:13" x14ac:dyDescent="0.3">
      <c r="B21" s="21" t="s">
        <v>91</v>
      </c>
      <c r="C21" s="53">
        <f>E19</f>
        <v>39</v>
      </c>
      <c r="D21" s="102">
        <v>1</v>
      </c>
      <c r="E21" s="102">
        <f>C21+D21-1</f>
        <v>39</v>
      </c>
      <c r="F21" s="143">
        <f>INDEX(MonthlyCF!$J$10:$BR$10,MATCH(Summary!C21,MonthlyCF!$J$9:$BR$9,0))</f>
        <v>44652</v>
      </c>
      <c r="G21" s="137">
        <f t="shared" ref="G21" si="4">EDATE(F21,D21-1)</f>
        <v>44652</v>
      </c>
      <c r="I21" s="21" t="str">
        <f>Budget!B15</f>
        <v>Tenant Improvements</v>
      </c>
      <c r="J21" s="356">
        <f>Budget!D15</f>
        <v>6.3308367153791331E-2</v>
      </c>
      <c r="K21" s="357">
        <f>Budget!E15</f>
        <v>8397324.0000000019</v>
      </c>
      <c r="L21" s="358">
        <f>Budget!F15</f>
        <v>40.418386599922997</v>
      </c>
      <c r="M21" s="358">
        <f>Budget!G15</f>
        <v>65</v>
      </c>
    </row>
    <row r="22" spans="2:13" x14ac:dyDescent="0.3">
      <c r="B22" s="29" t="s">
        <v>92</v>
      </c>
      <c r="C22" s="53">
        <f>C21+8</f>
        <v>47</v>
      </c>
      <c r="D22" s="102">
        <v>1</v>
      </c>
      <c r="E22" s="102">
        <f>C22+D22-1</f>
        <v>47</v>
      </c>
      <c r="F22" s="143">
        <f>INDEX(MonthlyCF!$J$10:$BR$10,MATCH(Summary!C22,MonthlyCF!$J$9:$BR$9,0))</f>
        <v>44896</v>
      </c>
      <c r="G22" s="137">
        <f t="shared" ref="G22" si="5">EDATE(F22,D22-1)</f>
        <v>44896</v>
      </c>
      <c r="I22" s="21" t="str">
        <f>Budget!B16</f>
        <v>Permits</v>
      </c>
      <c r="J22" s="356">
        <f>Budget!D16</f>
        <v>5.8737222536035076E-3</v>
      </c>
      <c r="K22" s="357">
        <f>Budget!E16</f>
        <v>779100</v>
      </c>
      <c r="L22" s="358">
        <f>Budget!F16</f>
        <v>3.75</v>
      </c>
      <c r="M22" s="358">
        <f>Budget!G16</f>
        <v>6.030671199539281</v>
      </c>
    </row>
    <row r="23" spans="2:13" x14ac:dyDescent="0.3">
      <c r="B23" s="98" t="s">
        <v>31</v>
      </c>
      <c r="C23" s="84"/>
      <c r="D23" s="328">
        <f>DATEDIF(F23,G23,"m")+1</f>
        <v>47</v>
      </c>
      <c r="E23" s="96"/>
      <c r="F23" s="144">
        <f>F15</f>
        <v>43497</v>
      </c>
      <c r="G23" s="145">
        <f>MAX(G15:G22)</f>
        <v>44896</v>
      </c>
      <c r="I23" s="21" t="str">
        <f>Budget!B17</f>
        <v>Taxes</v>
      </c>
      <c r="J23" s="356">
        <f>Budget!D17</f>
        <v>2.1779757638078021E-2</v>
      </c>
      <c r="K23" s="357">
        <f>Budget!E17</f>
        <v>2888902.2059932109</v>
      </c>
      <c r="L23" s="358">
        <f>Budget!F17</f>
        <v>13.904997140899166</v>
      </c>
      <c r="M23" s="358">
        <f>Budget!G17</f>
        <v>22.361724209945773</v>
      </c>
    </row>
    <row r="24" spans="2:13" x14ac:dyDescent="0.3">
      <c r="D24" s="95"/>
      <c r="E24" s="95"/>
      <c r="F24" s="92"/>
      <c r="G24" s="94"/>
      <c r="I24" s="21" t="str">
        <f>Budget!B18</f>
        <v>Leasing and Marketing</v>
      </c>
      <c r="J24" s="356">
        <f>Budget!D18</f>
        <v>3.0549721459692418E-2</v>
      </c>
      <c r="K24" s="357">
        <f>Budget!E18</f>
        <v>4052164.3621545704</v>
      </c>
      <c r="L24" s="358">
        <f>Budget!F18</f>
        <v>19.504064122807904</v>
      </c>
      <c r="M24" s="358">
        <f>Budget!G18</f>
        <v>31.366026074502667</v>
      </c>
    </row>
    <row r="25" spans="2:13" x14ac:dyDescent="0.3">
      <c r="B25" s="118" t="s">
        <v>175</v>
      </c>
      <c r="C25" s="119"/>
      <c r="D25" s="119"/>
      <c r="E25" s="119"/>
      <c r="F25" s="119"/>
      <c r="G25" s="120"/>
      <c r="I25" s="21" t="str">
        <f>Budget!B19</f>
        <v>G&amp;A</v>
      </c>
      <c r="J25" s="356">
        <f>Budget!D19</f>
        <v>1.9276019444057164E-2</v>
      </c>
      <c r="K25" s="357">
        <f>Budget!E19</f>
        <v>2556802.3308646372</v>
      </c>
      <c r="L25" s="358">
        <f>Budget!F19</f>
        <v>12.306518727688857</v>
      </c>
      <c r="M25" s="358">
        <f>Budget!G19</f>
        <v>19.791084815377065</v>
      </c>
    </row>
    <row r="26" spans="2:13" x14ac:dyDescent="0.3">
      <c r="B26" s="97" t="s">
        <v>87</v>
      </c>
      <c r="C26" s="99"/>
      <c r="D26" s="99"/>
      <c r="E26" s="99"/>
      <c r="F26" s="99"/>
      <c r="G26" s="100"/>
      <c r="I26" s="21" t="str">
        <f>Budget!B20</f>
        <v>Contingency</v>
      </c>
      <c r="J26" s="356">
        <f>Budget!D20</f>
        <v>2.1828663187813242E-2</v>
      </c>
      <c r="K26" s="357">
        <f>Budget!E20</f>
        <v>2895389.117044433</v>
      </c>
      <c r="L26" s="358">
        <f>Budget!F20</f>
        <v>13.936220239913521</v>
      </c>
      <c r="M26" s="358">
        <f>Budget!G20</f>
        <v>22.411936541675434</v>
      </c>
    </row>
    <row r="27" spans="2:13" x14ac:dyDescent="0.3">
      <c r="B27" s="21" t="s">
        <v>82</v>
      </c>
      <c r="C27" s="1"/>
      <c r="D27" s="1"/>
      <c r="E27" s="1"/>
      <c r="F27" s="53">
        <f>C21</f>
        <v>39</v>
      </c>
      <c r="G27" s="137">
        <f>INDEX(MonthlyCF!$J$10:$BR$10,MATCH(Summary!F27,MonthlyCF!$J$9:$BR$9,0))</f>
        <v>44652</v>
      </c>
      <c r="I27" s="194" t="str">
        <f>Budget!B21</f>
        <v>Financing Costs</v>
      </c>
      <c r="J27" s="200">
        <f>K27/$K$16</f>
        <v>0</v>
      </c>
      <c r="K27" s="195">
        <f>Budget!E21</f>
        <v>0</v>
      </c>
      <c r="L27" s="196">
        <f>Budget!F21</f>
        <v>0</v>
      </c>
      <c r="M27" s="197">
        <f>Budget!G21</f>
        <v>0</v>
      </c>
    </row>
    <row r="28" spans="2:13" x14ac:dyDescent="0.3">
      <c r="B28" s="21" t="s">
        <v>83</v>
      </c>
      <c r="C28" s="1"/>
      <c r="D28" s="1"/>
      <c r="E28" s="1"/>
      <c r="F28" s="53">
        <f>+F27+(10*12)</f>
        <v>159</v>
      </c>
      <c r="G28" s="137">
        <f>EDATE(G27,F28-F27-1)</f>
        <v>48274</v>
      </c>
    </row>
    <row r="29" spans="2:13" x14ac:dyDescent="0.3">
      <c r="B29" s="21" t="s">
        <v>80</v>
      </c>
      <c r="C29" s="1"/>
      <c r="D29" s="1"/>
      <c r="E29" s="1"/>
      <c r="F29" s="1"/>
      <c r="G29" s="126">
        <v>65</v>
      </c>
      <c r="I29" s="30" t="s">
        <v>0</v>
      </c>
      <c r="J29" s="117"/>
      <c r="K29" s="117"/>
      <c r="L29" s="117"/>
      <c r="M29" s="31"/>
    </row>
    <row r="30" spans="2:13" x14ac:dyDescent="0.3">
      <c r="B30" s="21" t="s">
        <v>85</v>
      </c>
      <c r="C30" s="1"/>
      <c r="D30" s="1"/>
      <c r="E30" s="1"/>
      <c r="F30" s="1"/>
      <c r="G30" s="127">
        <v>2.75E-2</v>
      </c>
      <c r="I30" s="33" t="str">
        <f>Area!B9</f>
        <v>Lot Size</v>
      </c>
      <c r="J30" s="1"/>
      <c r="K30" s="1"/>
      <c r="L30" s="1"/>
      <c r="M30" s="9">
        <f>Area!C9</f>
        <v>26000</v>
      </c>
    </row>
    <row r="31" spans="2:13" x14ac:dyDescent="0.3">
      <c r="B31" s="21" t="s">
        <v>84</v>
      </c>
      <c r="C31" s="1"/>
      <c r="D31" s="1"/>
      <c r="E31" s="1"/>
      <c r="F31" s="1"/>
      <c r="G31" s="128">
        <v>1</v>
      </c>
      <c r="I31" s="21" t="str">
        <f>Area!B10</f>
        <v>FAR</v>
      </c>
      <c r="J31" s="1"/>
      <c r="K31" s="1"/>
      <c r="L31" s="1"/>
      <c r="M31" s="43">
        <f>Area!C10</f>
        <v>7.9907692307692306</v>
      </c>
    </row>
    <row r="32" spans="2:13" x14ac:dyDescent="0.3">
      <c r="B32" s="21" t="s">
        <v>86</v>
      </c>
      <c r="C32" s="1"/>
      <c r="D32" s="1"/>
      <c r="E32" s="1"/>
      <c r="F32" s="1"/>
      <c r="G32" s="129">
        <v>3</v>
      </c>
      <c r="I32" s="21" t="str">
        <f>Area!B11</f>
        <v>GSF</v>
      </c>
      <c r="J32" s="1"/>
      <c r="K32" s="1"/>
      <c r="L32" s="1"/>
      <c r="M32" s="11">
        <f>Area!C11</f>
        <v>207760</v>
      </c>
    </row>
    <row r="33" spans="2:13" x14ac:dyDescent="0.3">
      <c r="B33" s="21" t="s">
        <v>156</v>
      </c>
      <c r="C33" s="1"/>
      <c r="D33" s="1"/>
      <c r="E33" s="1"/>
      <c r="F33" s="1"/>
      <c r="G33" s="130">
        <v>65</v>
      </c>
      <c r="I33" s="34" t="str">
        <f>Area!B12</f>
        <v>RSF</v>
      </c>
      <c r="J33" s="1"/>
      <c r="K33" s="1"/>
      <c r="L33" s="1"/>
      <c r="M33" s="23">
        <f>Area!C12</f>
        <v>129189.60000000002</v>
      </c>
    </row>
    <row r="34" spans="2:13" x14ac:dyDescent="0.3">
      <c r="B34" s="21" t="s">
        <v>185</v>
      </c>
      <c r="C34" s="1"/>
      <c r="D34" s="1"/>
      <c r="E34" s="1"/>
      <c r="F34" s="1"/>
      <c r="G34" s="136">
        <f>+G33*M33</f>
        <v>8397324.0000000019</v>
      </c>
      <c r="I34" s="35" t="str">
        <f>Area!B13</f>
        <v xml:space="preserve">Office </v>
      </c>
      <c r="J34" s="1"/>
      <c r="K34" s="1"/>
      <c r="L34" s="1"/>
      <c r="M34" s="22">
        <f>Area!C13</f>
        <v>111689.60000000002</v>
      </c>
    </row>
    <row r="35" spans="2:13" x14ac:dyDescent="0.3">
      <c r="B35" s="21" t="s">
        <v>126</v>
      </c>
      <c r="C35" s="1"/>
      <c r="D35" s="1"/>
      <c r="E35" s="1"/>
      <c r="F35" s="1"/>
      <c r="G35" s="134">
        <v>3.5000000000000003E-2</v>
      </c>
      <c r="I35" s="35" t="str">
        <f>Area!B14</f>
        <v>MEP</v>
      </c>
      <c r="J35" s="1"/>
      <c r="K35" s="1"/>
      <c r="L35" s="1"/>
      <c r="M35" s="22">
        <f>Area!C14</f>
        <v>9500</v>
      </c>
    </row>
    <row r="36" spans="2:13" x14ac:dyDescent="0.3">
      <c r="B36" s="21" t="s">
        <v>128</v>
      </c>
      <c r="C36" s="1"/>
      <c r="D36" s="1"/>
      <c r="E36" s="1"/>
      <c r="F36" s="1"/>
      <c r="G36" s="135">
        <f>G37/M33</f>
        <v>28.366026074502667</v>
      </c>
      <c r="I36" s="35" t="str">
        <f>Area!B15</f>
        <v>Amenity</v>
      </c>
      <c r="J36" s="1"/>
      <c r="K36" s="1"/>
      <c r="L36" s="1"/>
      <c r="M36" s="22">
        <f>Area!C15</f>
        <v>8000</v>
      </c>
    </row>
    <row r="37" spans="2:13" x14ac:dyDescent="0.3">
      <c r="B37" s="21" t="s">
        <v>127</v>
      </c>
      <c r="C37" s="1"/>
      <c r="D37" s="1"/>
      <c r="E37" s="1"/>
      <c r="F37" s="1"/>
      <c r="G37" s="136">
        <f>SUMIF(OpProj!J16:EK16,"&lt;="&amp;Summary!$F$28,OpProj!$J$17:$EK$17)*G35</f>
        <v>3664595.5621545701</v>
      </c>
      <c r="I37" s="21" t="str">
        <f>Area!B16</f>
        <v>Efficiency Ratio - 
(Total Building)</v>
      </c>
      <c r="J37" s="1"/>
      <c r="K37" s="1"/>
      <c r="L37" s="1"/>
      <c r="M37" s="19">
        <f>Area!C16</f>
        <v>0.6218213323065076</v>
      </c>
    </row>
    <row r="38" spans="2:13" x14ac:dyDescent="0.3">
      <c r="B38" s="112" t="s">
        <v>5</v>
      </c>
      <c r="G38" s="15"/>
      <c r="I38" s="29" t="str">
        <f>Area!B18</f>
        <v>Parking Stalls</v>
      </c>
      <c r="J38" s="7"/>
      <c r="K38" s="7"/>
      <c r="L38" s="7"/>
      <c r="M38" s="20">
        <f>Area!C18</f>
        <v>100</v>
      </c>
    </row>
    <row r="39" spans="2:13" x14ac:dyDescent="0.3">
      <c r="B39" s="21" t="s">
        <v>8</v>
      </c>
      <c r="C39" s="1"/>
      <c r="D39" s="1"/>
      <c r="E39" s="1"/>
      <c r="F39" s="1"/>
      <c r="G39" s="434">
        <f>Area!C18</f>
        <v>100</v>
      </c>
    </row>
    <row r="40" spans="2:13" x14ac:dyDescent="0.3">
      <c r="B40" s="21" t="s">
        <v>130</v>
      </c>
      <c r="C40" s="1"/>
      <c r="D40" s="1"/>
      <c r="E40" s="1"/>
      <c r="F40" s="1"/>
      <c r="G40" s="126">
        <v>225</v>
      </c>
      <c r="I40" s="118" t="s">
        <v>162</v>
      </c>
      <c r="J40" s="119"/>
      <c r="K40" s="119"/>
      <c r="L40" s="119"/>
      <c r="M40" s="120"/>
    </row>
    <row r="41" spans="2:13" x14ac:dyDescent="0.3">
      <c r="B41" s="21" t="s">
        <v>131</v>
      </c>
      <c r="C41" s="1"/>
      <c r="D41" s="1"/>
      <c r="E41" s="1"/>
      <c r="F41" s="1"/>
      <c r="G41" s="127">
        <v>0.02</v>
      </c>
      <c r="I41" s="85" t="s">
        <v>163</v>
      </c>
      <c r="J41" s="88"/>
      <c r="K41" s="88"/>
      <c r="L41" s="88"/>
      <c r="M41" s="216">
        <f>MonthlyCF!C38</f>
        <v>132641614.01611078</v>
      </c>
    </row>
    <row r="42" spans="2:13" x14ac:dyDescent="0.3">
      <c r="B42" s="112" t="s">
        <v>88</v>
      </c>
      <c r="G42" s="15"/>
      <c r="I42" s="204" t="s">
        <v>164</v>
      </c>
      <c r="J42" s="218"/>
      <c r="K42" s="218"/>
      <c r="L42" s="218"/>
      <c r="M42" s="219"/>
    </row>
    <row r="43" spans="2:13" x14ac:dyDescent="0.3">
      <c r="B43" s="21" t="s">
        <v>96</v>
      </c>
      <c r="C43" s="1"/>
      <c r="D43" s="1"/>
      <c r="E43" s="1"/>
      <c r="F43" s="1"/>
      <c r="G43" s="128">
        <v>0.05</v>
      </c>
      <c r="I43" s="204" t="s">
        <v>103</v>
      </c>
      <c r="J43" s="218"/>
      <c r="K43" s="218"/>
      <c r="L43" s="218"/>
      <c r="M43" s="225"/>
    </row>
    <row r="44" spans="2:13" x14ac:dyDescent="0.3">
      <c r="B44" s="21" t="s">
        <v>97</v>
      </c>
      <c r="C44" s="1"/>
      <c r="D44" s="1"/>
      <c r="E44" s="1"/>
      <c r="F44" s="1"/>
      <c r="G44" s="93">
        <f>OpProj!H29</f>
        <v>192187727.11954087</v>
      </c>
      <c r="I44" s="204" t="s">
        <v>104</v>
      </c>
      <c r="J44" s="218"/>
      <c r="K44" s="218"/>
      <c r="L44" s="218"/>
      <c r="M44" s="226"/>
    </row>
    <row r="45" spans="2:13" x14ac:dyDescent="0.3">
      <c r="B45" s="21" t="s">
        <v>93</v>
      </c>
      <c r="C45" s="1"/>
      <c r="D45" s="1"/>
      <c r="E45" s="1"/>
      <c r="F45" s="6">
        <v>0.03</v>
      </c>
      <c r="G45" s="293">
        <f>G44*F45</f>
        <v>5765631.8135862257</v>
      </c>
      <c r="I45" s="113" t="s">
        <v>105</v>
      </c>
      <c r="J45" s="283"/>
      <c r="K45" s="283"/>
      <c r="L45" s="283"/>
      <c r="M45" s="284">
        <f>M41*(1-M43)</f>
        <v>132641614.01611078</v>
      </c>
    </row>
    <row r="46" spans="2:13" x14ac:dyDescent="0.3">
      <c r="B46" s="21" t="s">
        <v>94</v>
      </c>
      <c r="C46" s="1"/>
      <c r="D46" s="1"/>
      <c r="E46" s="1"/>
      <c r="F46" s="1"/>
      <c r="G46" s="93">
        <f>G44-G45</f>
        <v>186422095.30595464</v>
      </c>
      <c r="I46" s="204" t="s">
        <v>143</v>
      </c>
      <c r="J46" s="218"/>
      <c r="K46" s="218"/>
      <c r="L46" s="218"/>
      <c r="M46" s="219"/>
    </row>
    <row r="47" spans="2:13" x14ac:dyDescent="0.3">
      <c r="B47" s="29" t="s">
        <v>95</v>
      </c>
      <c r="C47" s="7"/>
      <c r="D47" s="7"/>
      <c r="E47" s="7"/>
      <c r="F47" s="7"/>
      <c r="G47" s="294">
        <f>G46/M33</f>
        <v>1443.0116302392344</v>
      </c>
      <c r="I47" s="204" t="s">
        <v>100</v>
      </c>
      <c r="J47" s="218"/>
      <c r="K47" s="218"/>
      <c r="L47" s="218"/>
      <c r="M47" s="219"/>
    </row>
    <row r="48" spans="2:13" x14ac:dyDescent="0.3">
      <c r="I48" s="204" t="s">
        <v>165</v>
      </c>
      <c r="J48" s="218"/>
      <c r="K48" s="218"/>
      <c r="L48" s="218"/>
      <c r="M48" s="220"/>
    </row>
    <row r="49" spans="2:13" x14ac:dyDescent="0.3">
      <c r="G49" s="133"/>
      <c r="I49" s="204" t="s">
        <v>166</v>
      </c>
      <c r="J49" s="218"/>
      <c r="K49" s="218"/>
      <c r="L49" s="218"/>
      <c r="M49" s="219"/>
    </row>
    <row r="50" spans="2:13" x14ac:dyDescent="0.3">
      <c r="B50" s="329"/>
      <c r="I50" s="204" t="s">
        <v>106</v>
      </c>
      <c r="J50" s="218"/>
      <c r="K50" s="218"/>
      <c r="L50" s="218"/>
      <c r="M50" s="221"/>
    </row>
    <row r="51" spans="2:13" x14ac:dyDescent="0.3">
      <c r="B51" s="36"/>
      <c r="I51" s="204" t="s">
        <v>70</v>
      </c>
      <c r="J51" s="218"/>
      <c r="K51" s="218"/>
      <c r="L51" s="218"/>
      <c r="M51" s="222"/>
    </row>
    <row r="52" spans="2:13" x14ac:dyDescent="0.3">
      <c r="I52" s="204" t="s">
        <v>151</v>
      </c>
      <c r="J52" s="218"/>
      <c r="K52" s="218"/>
      <c r="L52" s="218"/>
      <c r="M52" s="222"/>
    </row>
    <row r="53" spans="2:13" x14ac:dyDescent="0.3">
      <c r="I53" s="223" t="s">
        <v>149</v>
      </c>
      <c r="J53" s="189"/>
      <c r="K53" s="189"/>
      <c r="L53" s="189"/>
      <c r="M53" s="224"/>
    </row>
    <row r="65" s="14" customForma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5D34-C4B2-4F27-97BE-078ACE4549A1}">
  <dimension ref="A1:L39"/>
  <sheetViews>
    <sheetView topLeftCell="A8" zoomScaleNormal="100" zoomScaleSheetLayoutView="110" workbookViewId="0">
      <selection activeCell="F39" sqref="F39"/>
    </sheetView>
  </sheetViews>
  <sheetFormatPr defaultColWidth="0" defaultRowHeight="14.4" zeroHeight="1" x14ac:dyDescent="0.3"/>
  <cols>
    <col min="1" max="1" width="2.6640625" style="14" customWidth="1"/>
    <col min="2" max="2" width="22.5546875" style="14" customWidth="1"/>
    <col min="3" max="9" width="15.6640625" style="14" customWidth="1"/>
    <col min="10" max="10" width="27.88671875" style="14" bestFit="1" customWidth="1"/>
    <col min="11" max="11" width="2.6640625" style="14" customWidth="1"/>
    <col min="12" max="12" width="0" style="14" hidden="1" customWidth="1"/>
    <col min="13" max="16384" width="9.109375" style="14" hidden="1"/>
  </cols>
  <sheetData>
    <row r="1" spans="2:3" x14ac:dyDescent="0.3"/>
    <row r="2" spans="2:3" x14ac:dyDescent="0.3"/>
    <row r="3" spans="2:3" x14ac:dyDescent="0.3"/>
    <row r="4" spans="2:3" x14ac:dyDescent="0.3"/>
    <row r="5" spans="2:3" x14ac:dyDescent="0.3"/>
    <row r="6" spans="2:3" x14ac:dyDescent="0.3">
      <c r="B6" s="13" t="s">
        <v>16</v>
      </c>
    </row>
    <row r="7" spans="2:3" x14ac:dyDescent="0.3"/>
    <row r="8" spans="2:3" x14ac:dyDescent="0.3">
      <c r="B8" s="30" t="s">
        <v>13</v>
      </c>
      <c r="C8" s="31"/>
    </row>
    <row r="9" spans="2:3" x14ac:dyDescent="0.3">
      <c r="B9" s="33" t="s">
        <v>45</v>
      </c>
      <c r="C9" s="435">
        <v>26000</v>
      </c>
    </row>
    <row r="10" spans="2:3" x14ac:dyDescent="0.3">
      <c r="B10" s="21" t="s">
        <v>46</v>
      </c>
      <c r="C10" s="444">
        <f>C11/C9</f>
        <v>7.9907692307692306</v>
      </c>
    </row>
    <row r="11" spans="2:3" x14ac:dyDescent="0.3">
      <c r="B11" s="21" t="s">
        <v>1</v>
      </c>
      <c r="C11" s="11">
        <f>SUM(C22:C30)</f>
        <v>207760</v>
      </c>
    </row>
    <row r="12" spans="2:3" x14ac:dyDescent="0.3">
      <c r="B12" s="34" t="s">
        <v>6</v>
      </c>
      <c r="C12" s="23">
        <f>SUM(D22:D30)</f>
        <v>129189.60000000002</v>
      </c>
    </row>
    <row r="13" spans="2:3" x14ac:dyDescent="0.3">
      <c r="B13" s="35" t="s">
        <v>17</v>
      </c>
      <c r="C13" s="22">
        <f>SUM(E22:E30)</f>
        <v>111689.60000000002</v>
      </c>
    </row>
    <row r="14" spans="2:3" x14ac:dyDescent="0.3">
      <c r="B14" s="35" t="s">
        <v>4</v>
      </c>
      <c r="C14" s="22">
        <f>SUM(F22:F30)</f>
        <v>9500</v>
      </c>
    </row>
    <row r="15" spans="2:3" x14ac:dyDescent="0.3">
      <c r="B15" s="35" t="s">
        <v>7</v>
      </c>
      <c r="C15" s="22">
        <f>SUM(G22:G30)</f>
        <v>8000</v>
      </c>
    </row>
    <row r="16" spans="2:3" ht="27" x14ac:dyDescent="0.3">
      <c r="B16" s="433" t="s">
        <v>189</v>
      </c>
      <c r="C16" s="443">
        <f>SUM(D22:D30)/SUM(C22:C30)</f>
        <v>0.6218213323065076</v>
      </c>
    </row>
    <row r="17" spans="2:10" ht="27" x14ac:dyDescent="0.3">
      <c r="B17" s="433" t="s">
        <v>188</v>
      </c>
      <c r="C17" s="443">
        <f>SUM(D22:D28)/SUM(C22:C28)</f>
        <v>0.78442142496210221</v>
      </c>
    </row>
    <row r="18" spans="2:10" x14ac:dyDescent="0.3">
      <c r="B18" s="29" t="s">
        <v>19</v>
      </c>
      <c r="C18" s="436">
        <v>100</v>
      </c>
    </row>
    <row r="19" spans="2:10" x14ac:dyDescent="0.3"/>
    <row r="20" spans="2:10" x14ac:dyDescent="0.3">
      <c r="B20" s="30" t="s">
        <v>14</v>
      </c>
      <c r="C20" s="32"/>
      <c r="D20" s="32"/>
      <c r="E20" s="32"/>
      <c r="F20" s="32"/>
      <c r="G20" s="32"/>
      <c r="H20" s="32"/>
      <c r="I20" s="32"/>
      <c r="J20" s="31"/>
    </row>
    <row r="21" spans="2:10" x14ac:dyDescent="0.3">
      <c r="B21" s="28" t="s">
        <v>9</v>
      </c>
      <c r="C21" s="25" t="s">
        <v>1</v>
      </c>
      <c r="D21" s="25" t="s">
        <v>6</v>
      </c>
      <c r="E21" s="25" t="s">
        <v>2</v>
      </c>
      <c r="F21" s="25" t="s">
        <v>15</v>
      </c>
      <c r="G21" s="25" t="s">
        <v>3</v>
      </c>
      <c r="H21" s="25" t="s">
        <v>5</v>
      </c>
      <c r="I21" s="25" t="s">
        <v>184</v>
      </c>
      <c r="J21" s="26" t="s">
        <v>12</v>
      </c>
    </row>
    <row r="22" spans="2:10" x14ac:dyDescent="0.3">
      <c r="B22" s="332" t="s">
        <v>10</v>
      </c>
      <c r="C22" s="429">
        <v>10000</v>
      </c>
      <c r="D22" s="430">
        <f>SUM(E22:G22)</f>
        <v>8500</v>
      </c>
      <c r="E22" s="429"/>
      <c r="F22" s="429">
        <v>4500</v>
      </c>
      <c r="G22" s="429">
        <v>4000</v>
      </c>
      <c r="H22" s="429"/>
      <c r="I22" s="427">
        <f>SUM(F22:G22)/C22</f>
        <v>0.85</v>
      </c>
      <c r="J22" s="437"/>
    </row>
    <row r="23" spans="2:10" x14ac:dyDescent="0.3">
      <c r="B23" s="333">
        <v>6</v>
      </c>
      <c r="C23" s="428">
        <v>24720</v>
      </c>
      <c r="D23" s="430">
        <f t="shared" ref="D23:D30" si="0">SUM(E23:G23)</f>
        <v>19281.600000000002</v>
      </c>
      <c r="E23" s="430">
        <f>C23*I23</f>
        <v>19281.600000000002</v>
      </c>
      <c r="F23" s="428"/>
      <c r="G23" s="428"/>
      <c r="H23" s="428"/>
      <c r="I23" s="438">
        <v>0.78</v>
      </c>
      <c r="J23" s="439"/>
    </row>
    <row r="24" spans="2:10" x14ac:dyDescent="0.3">
      <c r="B24" s="332">
        <v>5</v>
      </c>
      <c r="C24" s="429">
        <v>24720</v>
      </c>
      <c r="D24" s="430">
        <f t="shared" si="0"/>
        <v>19281.600000000002</v>
      </c>
      <c r="E24" s="431">
        <f t="shared" ref="E24:E27" si="1">C24*I24</f>
        <v>19281.600000000002</v>
      </c>
      <c r="F24" s="429"/>
      <c r="G24" s="429"/>
      <c r="H24" s="429"/>
      <c r="I24" s="6">
        <v>0.78</v>
      </c>
      <c r="J24" s="146"/>
    </row>
    <row r="25" spans="2:10" x14ac:dyDescent="0.3">
      <c r="B25" s="333">
        <v>4</v>
      </c>
      <c r="C25" s="428">
        <v>24720</v>
      </c>
      <c r="D25" s="430">
        <f t="shared" si="0"/>
        <v>19281.600000000002</v>
      </c>
      <c r="E25" s="430">
        <f t="shared" si="1"/>
        <v>19281.600000000002</v>
      </c>
      <c r="F25" s="428"/>
      <c r="G25" s="428"/>
      <c r="H25" s="428"/>
      <c r="I25" s="438">
        <v>0.78</v>
      </c>
      <c r="J25" s="439"/>
    </row>
    <row r="26" spans="2:10" x14ac:dyDescent="0.3">
      <c r="B26" s="332">
        <v>3</v>
      </c>
      <c r="C26" s="429">
        <v>24720</v>
      </c>
      <c r="D26" s="430">
        <f t="shared" si="0"/>
        <v>19281.600000000002</v>
      </c>
      <c r="E26" s="431">
        <f t="shared" si="1"/>
        <v>19281.600000000002</v>
      </c>
      <c r="F26" s="429"/>
      <c r="G26" s="429"/>
      <c r="H26" s="429"/>
      <c r="I26" s="6">
        <v>0.78</v>
      </c>
      <c r="J26" s="146"/>
    </row>
    <row r="27" spans="2:10" x14ac:dyDescent="0.3">
      <c r="B27" s="333">
        <v>2</v>
      </c>
      <c r="C27" s="428">
        <v>24720</v>
      </c>
      <c r="D27" s="430">
        <f t="shared" si="0"/>
        <v>19281.600000000002</v>
      </c>
      <c r="E27" s="430">
        <f t="shared" si="1"/>
        <v>19281.600000000002</v>
      </c>
      <c r="F27" s="428"/>
      <c r="G27" s="428"/>
      <c r="H27" s="428"/>
      <c r="I27" s="438">
        <v>0.78</v>
      </c>
      <c r="J27" s="439"/>
    </row>
    <row r="28" spans="2:10" x14ac:dyDescent="0.3">
      <c r="B28" s="332">
        <v>1</v>
      </c>
      <c r="C28" s="429">
        <v>24720</v>
      </c>
      <c r="D28" s="430">
        <f t="shared" si="0"/>
        <v>19281.600000000002</v>
      </c>
      <c r="E28" s="431">
        <f>C28*I28-G28</f>
        <v>15281.600000000002</v>
      </c>
      <c r="F28" s="429"/>
      <c r="G28" s="429">
        <v>4000</v>
      </c>
      <c r="H28" s="429"/>
      <c r="I28" s="6">
        <v>0.78</v>
      </c>
      <c r="J28" s="146"/>
    </row>
    <row r="29" spans="2:10" x14ac:dyDescent="0.3">
      <c r="B29" s="333" t="s">
        <v>11</v>
      </c>
      <c r="C29" s="428">
        <v>24720</v>
      </c>
      <c r="D29" s="430">
        <f t="shared" si="0"/>
        <v>5000</v>
      </c>
      <c r="E29" s="428"/>
      <c r="F29" s="428">
        <v>5000</v>
      </c>
      <c r="G29" s="428"/>
      <c r="H29" s="428">
        <v>14000</v>
      </c>
      <c r="I29" s="438"/>
      <c r="J29" s="439"/>
    </row>
    <row r="30" spans="2:10" x14ac:dyDescent="0.3">
      <c r="B30" s="334" t="s">
        <v>18</v>
      </c>
      <c r="C30" s="432">
        <v>24720</v>
      </c>
      <c r="D30" s="430">
        <f t="shared" si="0"/>
        <v>0</v>
      </c>
      <c r="E30" s="432"/>
      <c r="F30" s="432"/>
      <c r="G30" s="440"/>
      <c r="H30" s="432">
        <v>19110</v>
      </c>
      <c r="I30" s="441"/>
      <c r="J30" s="442"/>
    </row>
    <row r="31" spans="2:10" x14ac:dyDescent="0.3"/>
    <row r="38" x14ac:dyDescent="0.3"/>
    <row r="39" x14ac:dyDescent="0.3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DCBE7-C0BD-43D6-9AAD-6A17245718B4}">
  <dimension ref="A6:I62"/>
  <sheetViews>
    <sheetView topLeftCell="A9" workbookViewId="0">
      <selection activeCell="F29" sqref="F29"/>
    </sheetView>
  </sheetViews>
  <sheetFormatPr defaultColWidth="0" defaultRowHeight="14.4" x14ac:dyDescent="0.3"/>
  <cols>
    <col min="1" max="1" width="2.6640625" style="14" customWidth="1"/>
    <col min="2" max="2" width="24.33203125" style="14" bestFit="1" customWidth="1"/>
    <col min="3" max="3" width="21" style="14" customWidth="1"/>
    <col min="4" max="4" width="7.6640625" style="14" bestFit="1" customWidth="1"/>
    <col min="5" max="7" width="15.6640625" style="14" customWidth="1"/>
    <col min="8" max="8" width="2.6640625" style="14" customWidth="1"/>
    <col min="9" max="9" width="0" style="14" hidden="1" customWidth="1"/>
    <col min="10" max="16384" width="9.109375" style="14" hidden="1"/>
  </cols>
  <sheetData>
    <row r="6" spans="2:9" ht="15.6" x14ac:dyDescent="0.3">
      <c r="B6" s="331" t="s">
        <v>63</v>
      </c>
      <c r="I6" s="14" t="s">
        <v>67</v>
      </c>
    </row>
    <row r="8" spans="2:9" x14ac:dyDescent="0.3">
      <c r="B8" s="30" t="s">
        <v>35</v>
      </c>
      <c r="C8" s="44"/>
      <c r="D8" s="44"/>
      <c r="E8" s="32"/>
      <c r="F8" s="32"/>
      <c r="G8" s="31"/>
    </row>
    <row r="9" spans="2:9" x14ac:dyDescent="0.3">
      <c r="B9" s="28"/>
      <c r="C9" s="45"/>
      <c r="D9" s="25" t="s">
        <v>81</v>
      </c>
      <c r="E9" s="25" t="s">
        <v>31</v>
      </c>
      <c r="F9" s="25" t="s">
        <v>32</v>
      </c>
      <c r="G9" s="26" t="s">
        <v>33</v>
      </c>
    </row>
    <row r="10" spans="2:9" x14ac:dyDescent="0.3">
      <c r="B10" s="63" t="s">
        <v>31</v>
      </c>
      <c r="C10" s="62"/>
      <c r="D10" s="326">
        <f>E10/$E$10</f>
        <v>1</v>
      </c>
      <c r="E10" s="70">
        <f>SUM(E11:E21)</f>
        <v>132641614.01605685</v>
      </c>
      <c r="F10" s="71">
        <f t="shared" ref="F10:G10" si="0">SUM(F11:F21)</f>
        <v>638.43672514467096</v>
      </c>
      <c r="G10" s="72">
        <f t="shared" si="0"/>
        <v>1026.7205256155048</v>
      </c>
    </row>
    <row r="11" spans="2:9" x14ac:dyDescent="0.3">
      <c r="B11" s="10" t="s">
        <v>20</v>
      </c>
      <c r="C11" s="1"/>
      <c r="D11" s="199">
        <f t="shared" ref="D11:D21" si="1">E11/$E$10</f>
        <v>0.23127321110768811</v>
      </c>
      <c r="E11" s="39">
        <f>E28</f>
        <v>30676452</v>
      </c>
      <c r="F11" s="40">
        <f>F28</f>
        <v>147.65331151328454</v>
      </c>
      <c r="G11" s="41">
        <f>G28</f>
        <v>237.45295286927114</v>
      </c>
    </row>
    <row r="12" spans="2:9" x14ac:dyDescent="0.3">
      <c r="B12" s="10" t="s">
        <v>34</v>
      </c>
      <c r="C12" s="1"/>
      <c r="D12" s="199">
        <f t="shared" si="1"/>
        <v>2.2918900848356645E-3</v>
      </c>
      <c r="E12" s="39">
        <f>E33</f>
        <v>304000</v>
      </c>
      <c r="F12" s="40">
        <f t="shared" ref="F12:G12" si="2">F33</f>
        <v>1.4632268001540238</v>
      </c>
      <c r="G12" s="41">
        <f t="shared" si="2"/>
        <v>2.3531305925554373</v>
      </c>
    </row>
    <row r="13" spans="2:9" x14ac:dyDescent="0.3">
      <c r="B13" s="10" t="s">
        <v>21</v>
      </c>
      <c r="C13" s="1"/>
      <c r="D13" s="199">
        <f t="shared" si="1"/>
        <v>1.6446422310089824E-2</v>
      </c>
      <c r="E13" s="39">
        <f>E37</f>
        <v>2181480.0000000005</v>
      </c>
      <c r="F13" s="40">
        <f t="shared" ref="F13:G13" si="3">F37</f>
        <v>10.500000000000002</v>
      </c>
      <c r="G13" s="41">
        <f t="shared" si="3"/>
        <v>16.885879358709989</v>
      </c>
    </row>
    <row r="14" spans="2:9" x14ac:dyDescent="0.3">
      <c r="B14" s="10" t="s">
        <v>24</v>
      </c>
      <c r="C14" s="1"/>
      <c r="D14" s="199">
        <f t="shared" si="1"/>
        <v>0.58737222536035072</v>
      </c>
      <c r="E14" s="39">
        <f>E41</f>
        <v>77910000</v>
      </c>
      <c r="F14" s="40">
        <f t="shared" ref="F14:G14" si="4">F41</f>
        <v>375</v>
      </c>
      <c r="G14" s="41">
        <f t="shared" si="4"/>
        <v>603.06711995392811</v>
      </c>
    </row>
    <row r="15" spans="2:9" x14ac:dyDescent="0.3">
      <c r="B15" s="10" t="str">
        <f>B45</f>
        <v>Tenant Improvements</v>
      </c>
      <c r="C15" s="1"/>
      <c r="D15" s="199">
        <f t="shared" si="1"/>
        <v>6.3308367153791331E-2</v>
      </c>
      <c r="E15" s="39">
        <f t="shared" ref="E15:G15" si="5">E45</f>
        <v>8397324.0000000019</v>
      </c>
      <c r="F15" s="40">
        <f t="shared" si="5"/>
        <v>40.418386599922997</v>
      </c>
      <c r="G15" s="41">
        <f t="shared" si="5"/>
        <v>65</v>
      </c>
    </row>
    <row r="16" spans="2:9" x14ac:dyDescent="0.3">
      <c r="B16" s="10" t="s">
        <v>27</v>
      </c>
      <c r="C16" s="1"/>
      <c r="D16" s="199">
        <f t="shared" si="1"/>
        <v>5.8737222536035076E-3</v>
      </c>
      <c r="E16" s="39">
        <f>E47</f>
        <v>779100</v>
      </c>
      <c r="F16" s="40">
        <f t="shared" ref="F16:G16" si="6">F47</f>
        <v>3.75</v>
      </c>
      <c r="G16" s="41">
        <f t="shared" si="6"/>
        <v>6.030671199539281</v>
      </c>
    </row>
    <row r="17" spans="2:7" x14ac:dyDescent="0.3">
      <c r="B17" s="10" t="s">
        <v>26</v>
      </c>
      <c r="C17" s="1"/>
      <c r="D17" s="199">
        <f t="shared" si="1"/>
        <v>2.1779757638078021E-2</v>
      </c>
      <c r="E17" s="39">
        <f>E49</f>
        <v>2888902.2059932109</v>
      </c>
      <c r="F17" s="40">
        <f t="shared" ref="F17:G17" si="7">F49</f>
        <v>13.904997140899166</v>
      </c>
      <c r="G17" s="41">
        <f t="shared" si="7"/>
        <v>22.361724209945773</v>
      </c>
    </row>
    <row r="18" spans="2:7" x14ac:dyDescent="0.3">
      <c r="B18" s="10" t="s">
        <v>25</v>
      </c>
      <c r="C18" s="1"/>
      <c r="D18" s="199">
        <f t="shared" si="1"/>
        <v>3.0549721459692418E-2</v>
      </c>
      <c r="E18" s="39">
        <f>E51</f>
        <v>4052164.3621545704</v>
      </c>
      <c r="F18" s="40">
        <f t="shared" ref="F18:G18" si="8">F51</f>
        <v>19.504064122807904</v>
      </c>
      <c r="G18" s="41">
        <f t="shared" si="8"/>
        <v>31.366026074502667</v>
      </c>
    </row>
    <row r="19" spans="2:7" x14ac:dyDescent="0.3">
      <c r="B19" s="10" t="s">
        <v>28</v>
      </c>
      <c r="C19" s="1"/>
      <c r="D19" s="199">
        <f t="shared" si="1"/>
        <v>1.9276019444057164E-2</v>
      </c>
      <c r="E19" s="39">
        <f>E56</f>
        <v>2556802.3308646372</v>
      </c>
      <c r="F19" s="40">
        <f t="shared" ref="F19:G19" si="9">F56</f>
        <v>12.306518727688857</v>
      </c>
      <c r="G19" s="41">
        <f t="shared" si="9"/>
        <v>19.791084815377065</v>
      </c>
    </row>
    <row r="20" spans="2:7" x14ac:dyDescent="0.3">
      <c r="B20" s="10" t="s">
        <v>29</v>
      </c>
      <c r="C20" s="1"/>
      <c r="D20" s="199">
        <f t="shared" si="1"/>
        <v>2.1828663187813242E-2</v>
      </c>
      <c r="E20" s="39">
        <f>E59</f>
        <v>2895389.117044433</v>
      </c>
      <c r="F20" s="40">
        <f t="shared" ref="F20:G20" si="10">F59</f>
        <v>13.936220239913521</v>
      </c>
      <c r="G20" s="41">
        <f t="shared" si="10"/>
        <v>22.411936541675434</v>
      </c>
    </row>
    <row r="21" spans="2:7" x14ac:dyDescent="0.3">
      <c r="B21" s="12" t="s">
        <v>30</v>
      </c>
      <c r="C21" s="7"/>
      <c r="D21" s="327">
        <f t="shared" si="1"/>
        <v>0</v>
      </c>
      <c r="E21" s="67">
        <f>E62</f>
        <v>0</v>
      </c>
      <c r="F21" s="68">
        <f t="shared" ref="F21:G21" si="11">F62</f>
        <v>0</v>
      </c>
      <c r="G21" s="69">
        <f t="shared" si="11"/>
        <v>0</v>
      </c>
    </row>
    <row r="23" spans="2:7" x14ac:dyDescent="0.3">
      <c r="B23" s="30" t="s">
        <v>35</v>
      </c>
      <c r="C23" s="44"/>
      <c r="D23" s="44"/>
      <c r="E23" s="32"/>
      <c r="F23" s="32"/>
      <c r="G23" s="31"/>
    </row>
    <row r="24" spans="2:7" x14ac:dyDescent="0.3">
      <c r="B24" s="38"/>
      <c r="C24" s="27"/>
      <c r="D24" s="27"/>
      <c r="E24" s="57"/>
      <c r="F24" s="342">
        <f>Area!C11</f>
        <v>207760</v>
      </c>
      <c r="G24" s="343">
        <f>Area!C12</f>
        <v>129189.60000000002</v>
      </c>
    </row>
    <row r="25" spans="2:7" x14ac:dyDescent="0.3">
      <c r="B25" s="28"/>
      <c r="C25" s="25" t="s">
        <v>47</v>
      </c>
      <c r="D25" s="25" t="s">
        <v>81</v>
      </c>
      <c r="E25" s="25" t="s">
        <v>31</v>
      </c>
      <c r="F25" s="25" t="s">
        <v>32</v>
      </c>
      <c r="G25" s="26" t="s">
        <v>33</v>
      </c>
    </row>
    <row r="26" spans="2:7" x14ac:dyDescent="0.3">
      <c r="B26" s="59"/>
      <c r="C26" s="60"/>
      <c r="D26" s="60"/>
      <c r="E26" s="60"/>
      <c r="F26" s="60"/>
      <c r="G26" s="61"/>
    </row>
    <row r="27" spans="2:7" x14ac:dyDescent="0.3">
      <c r="B27" s="59"/>
      <c r="C27" s="60"/>
      <c r="D27" s="60"/>
      <c r="E27" s="60"/>
      <c r="F27" s="60"/>
      <c r="G27" s="61"/>
    </row>
    <row r="28" spans="2:7" x14ac:dyDescent="0.3">
      <c r="B28" s="37" t="s">
        <v>20</v>
      </c>
      <c r="C28" s="46"/>
      <c r="D28" s="335">
        <f>E28/$E$10</f>
        <v>0.23127321110768811</v>
      </c>
      <c r="E28" s="336">
        <f>SUM(E29:E31)</f>
        <v>30676452</v>
      </c>
      <c r="F28" s="337">
        <f t="shared" ref="F28:G28" si="12">SUM(F29:F31)</f>
        <v>147.65331151328454</v>
      </c>
      <c r="G28" s="338">
        <f t="shared" si="12"/>
        <v>237.45295286927114</v>
      </c>
    </row>
    <row r="29" spans="2:7" x14ac:dyDescent="0.3">
      <c r="B29" s="21" t="s">
        <v>36</v>
      </c>
      <c r="C29" s="42"/>
      <c r="D29" s="335">
        <f t="shared" ref="D29:D49" si="13">E29/$E$10</f>
        <v>0.22711726047266895</v>
      </c>
      <c r="E29" s="339">
        <f>F29*F24</f>
        <v>30125200</v>
      </c>
      <c r="F29" s="48">
        <v>145</v>
      </c>
      <c r="G29" s="340">
        <f>E29/G$24</f>
        <v>233.18595304885218</v>
      </c>
    </row>
    <row r="30" spans="2:7" x14ac:dyDescent="0.3">
      <c r="B30" s="21" t="s">
        <v>37</v>
      </c>
      <c r="C30" s="64">
        <v>0.01</v>
      </c>
      <c r="D30" s="335">
        <f t="shared" si="13"/>
        <v>2.2711726047266894E-3</v>
      </c>
      <c r="E30" s="339">
        <f>E29*$C$30</f>
        <v>301252</v>
      </c>
      <c r="F30" s="341">
        <f>E30/F$24</f>
        <v>1.45</v>
      </c>
      <c r="G30" s="340">
        <f>E30/G$24</f>
        <v>2.3318595304885221</v>
      </c>
    </row>
    <row r="31" spans="2:7" x14ac:dyDescent="0.3">
      <c r="B31" s="21" t="s">
        <v>38</v>
      </c>
      <c r="C31" s="42"/>
      <c r="D31" s="335">
        <f t="shared" si="13"/>
        <v>1.8847780302924872E-3</v>
      </c>
      <c r="E31" s="65">
        <v>250000</v>
      </c>
      <c r="F31" s="341">
        <f t="shared" ref="F31" si="14">E31/F$24</f>
        <v>1.2033115132845591</v>
      </c>
      <c r="G31" s="340">
        <f t="shared" ref="G31" si="15">E31/G$24</f>
        <v>1.9351402899304584</v>
      </c>
    </row>
    <row r="32" spans="2:7" x14ac:dyDescent="0.3">
      <c r="B32" s="21"/>
      <c r="C32" s="42"/>
      <c r="D32" s="325"/>
      <c r="E32" s="65"/>
      <c r="F32" s="50"/>
      <c r="G32" s="49"/>
    </row>
    <row r="33" spans="2:9" x14ac:dyDescent="0.3">
      <c r="B33" s="37" t="s">
        <v>34</v>
      </c>
      <c r="C33" s="46"/>
      <c r="D33" s="335">
        <f t="shared" si="13"/>
        <v>2.2918900848356645E-3</v>
      </c>
      <c r="E33" s="336">
        <f>SUM(E34:E35)</f>
        <v>304000</v>
      </c>
      <c r="F33" s="447">
        <f t="shared" ref="F33:G33" si="16">SUM(F34:F35)</f>
        <v>1.4632268001540238</v>
      </c>
      <c r="G33" s="338">
        <f t="shared" si="16"/>
        <v>2.3531305925554373</v>
      </c>
    </row>
    <row r="34" spans="2:9" x14ac:dyDescent="0.3">
      <c r="B34" s="21" t="s">
        <v>39</v>
      </c>
      <c r="C34" s="42"/>
      <c r="D34" s="335">
        <f t="shared" si="13"/>
        <v>1.1459450424178323E-3</v>
      </c>
      <c r="E34" s="65">
        <v>152000</v>
      </c>
      <c r="F34" s="341">
        <f t="shared" ref="F34:F35" si="17">E34/F$24</f>
        <v>0.73161340007701192</v>
      </c>
      <c r="G34" s="340">
        <f t="shared" ref="G34:G37" si="18">E34/G$24</f>
        <v>1.1765652962777187</v>
      </c>
    </row>
    <row r="35" spans="2:9" x14ac:dyDescent="0.3">
      <c r="B35" s="21" t="s">
        <v>40</v>
      </c>
      <c r="C35" s="42"/>
      <c r="D35" s="335">
        <f t="shared" si="13"/>
        <v>1.1459450424178323E-3</v>
      </c>
      <c r="E35" s="65">
        <v>152000</v>
      </c>
      <c r="F35" s="341">
        <f t="shared" si="17"/>
        <v>0.73161340007701192</v>
      </c>
      <c r="G35" s="340">
        <f t="shared" si="18"/>
        <v>1.1765652962777187</v>
      </c>
    </row>
    <row r="36" spans="2:9" x14ac:dyDescent="0.3">
      <c r="B36" s="21"/>
      <c r="C36" s="42"/>
      <c r="D36" s="325"/>
      <c r="E36" s="65"/>
      <c r="F36" s="50"/>
      <c r="G36" s="49"/>
    </row>
    <row r="37" spans="2:9" x14ac:dyDescent="0.3">
      <c r="B37" s="37" t="s">
        <v>21</v>
      </c>
      <c r="C37" s="54">
        <v>3.5000000000000003E-2</v>
      </c>
      <c r="D37" s="335">
        <f t="shared" si="13"/>
        <v>1.6446422310089824E-2</v>
      </c>
      <c r="E37" s="336">
        <f>F37*F24</f>
        <v>2181480.0000000005</v>
      </c>
      <c r="F37" s="337">
        <f>F42*C37</f>
        <v>10.500000000000002</v>
      </c>
      <c r="G37" s="338">
        <f t="shared" si="18"/>
        <v>16.885879358709989</v>
      </c>
    </row>
    <row r="38" spans="2:9" x14ac:dyDescent="0.3">
      <c r="B38" s="21" t="s">
        <v>41</v>
      </c>
      <c r="C38" s="51">
        <v>0.8</v>
      </c>
      <c r="D38" s="335">
        <f t="shared" si="13"/>
        <v>1.315713784807186E-2</v>
      </c>
      <c r="E38" s="339">
        <f>$C38*E$37</f>
        <v>1745184.0000000005</v>
      </c>
      <c r="F38" s="341">
        <f t="shared" ref="F38:G39" si="19">$C38*F$37</f>
        <v>8.4000000000000021</v>
      </c>
      <c r="G38" s="340">
        <f t="shared" si="19"/>
        <v>13.508703486967992</v>
      </c>
    </row>
    <row r="39" spans="2:9" x14ac:dyDescent="0.3">
      <c r="B39" s="21" t="s">
        <v>42</v>
      </c>
      <c r="C39" s="51">
        <f>1-C38</f>
        <v>0.19999999999999996</v>
      </c>
      <c r="D39" s="335">
        <f t="shared" si="13"/>
        <v>3.2892844620179642E-3</v>
      </c>
      <c r="E39" s="339">
        <f t="shared" ref="E39:G39" si="20">$C39*E$37</f>
        <v>436296</v>
      </c>
      <c r="F39" s="341">
        <f t="shared" si="19"/>
        <v>2.1</v>
      </c>
      <c r="G39" s="340">
        <f t="shared" si="19"/>
        <v>3.3771758717419971</v>
      </c>
    </row>
    <row r="40" spans="2:9" x14ac:dyDescent="0.3">
      <c r="B40" s="21"/>
      <c r="C40" s="51"/>
      <c r="D40" s="6"/>
      <c r="E40" s="39"/>
      <c r="F40" s="50"/>
      <c r="G40" s="49"/>
    </row>
    <row r="41" spans="2:9" x14ac:dyDescent="0.3">
      <c r="B41" s="37" t="s">
        <v>24</v>
      </c>
      <c r="C41" s="46"/>
      <c r="D41" s="335">
        <f t="shared" si="13"/>
        <v>0.58737222536035072</v>
      </c>
      <c r="E41" s="336">
        <f>SUM(E42:E43)</f>
        <v>77910000</v>
      </c>
      <c r="F41" s="445">
        <f t="shared" ref="F41:G41" si="21">SUM(F42:F43)</f>
        <v>375</v>
      </c>
      <c r="G41" s="338">
        <f t="shared" si="21"/>
        <v>603.06711995392811</v>
      </c>
    </row>
    <row r="42" spans="2:9" x14ac:dyDescent="0.3">
      <c r="B42" s="21" t="s">
        <v>22</v>
      </c>
      <c r="C42" s="42"/>
      <c r="D42" s="335">
        <f t="shared" si="13"/>
        <v>0.46989778028828061</v>
      </c>
      <c r="E42" s="339">
        <f>F42*F24</f>
        <v>62328000</v>
      </c>
      <c r="F42" s="48">
        <v>300</v>
      </c>
      <c r="G42" s="340">
        <f t="shared" ref="G42" si="22">E42/G$24</f>
        <v>482.45369596314248</v>
      </c>
    </row>
    <row r="43" spans="2:9" x14ac:dyDescent="0.3">
      <c r="B43" s="21" t="s">
        <v>23</v>
      </c>
      <c r="C43" s="52">
        <v>0.25</v>
      </c>
      <c r="D43" s="335">
        <f t="shared" si="13"/>
        <v>0.11747444507207015</v>
      </c>
      <c r="E43" s="339">
        <f>E$42*$C$43</f>
        <v>15582000</v>
      </c>
      <c r="F43" s="446">
        <f t="shared" ref="F43:G43" si="23">F$42*$C$43</f>
        <v>75</v>
      </c>
      <c r="G43" s="340">
        <f t="shared" si="23"/>
        <v>120.61342399078562</v>
      </c>
    </row>
    <row r="44" spans="2:9" x14ac:dyDescent="0.3">
      <c r="B44" s="21"/>
      <c r="C44" s="52"/>
      <c r="D44" s="6"/>
      <c r="E44" s="39"/>
      <c r="F44" s="50"/>
      <c r="G44" s="49"/>
    </row>
    <row r="45" spans="2:9" x14ac:dyDescent="0.3">
      <c r="B45" s="107" t="s">
        <v>79</v>
      </c>
      <c r="C45" s="52"/>
      <c r="D45" s="335">
        <f t="shared" si="13"/>
        <v>6.3308367153791331E-2</v>
      </c>
      <c r="E45" s="336">
        <f>G45*$G$24</f>
        <v>8397324.0000000019</v>
      </c>
      <c r="F45" s="337">
        <f t="shared" ref="F45" si="24">E45/F$24</f>
        <v>40.418386599922997</v>
      </c>
      <c r="G45" s="338">
        <f>Summary!G33</f>
        <v>65</v>
      </c>
    </row>
    <row r="46" spans="2:9" x14ac:dyDescent="0.3">
      <c r="B46" s="21"/>
      <c r="C46" s="52"/>
      <c r="D46" s="6"/>
      <c r="E46" s="39"/>
      <c r="F46" s="50"/>
      <c r="G46" s="49"/>
    </row>
    <row r="47" spans="2:9" x14ac:dyDescent="0.3">
      <c r="B47" s="37" t="s">
        <v>68</v>
      </c>
      <c r="C47" s="54">
        <v>1.2500000000000001E-2</v>
      </c>
      <c r="D47" s="335">
        <f t="shared" si="13"/>
        <v>5.8737222536035076E-3</v>
      </c>
      <c r="E47" s="448">
        <f>E42*$C$47</f>
        <v>779100</v>
      </c>
      <c r="F47" s="445">
        <f t="shared" ref="F47:G47" si="25">F42*$C$47</f>
        <v>3.75</v>
      </c>
      <c r="G47" s="338">
        <f t="shared" si="25"/>
        <v>6.030671199539281</v>
      </c>
      <c r="I47" s="14" t="s">
        <v>49</v>
      </c>
    </row>
    <row r="48" spans="2:9" x14ac:dyDescent="0.3">
      <c r="B48" s="37"/>
      <c r="C48" s="53"/>
      <c r="D48" s="6"/>
      <c r="E48" s="1"/>
      <c r="F48" s="47"/>
      <c r="G48" s="4"/>
    </row>
    <row r="49" spans="2:7" x14ac:dyDescent="0.3">
      <c r="B49" s="37" t="s">
        <v>26</v>
      </c>
      <c r="C49" s="208">
        <v>1.6E-2</v>
      </c>
      <c r="D49" s="335">
        <f t="shared" si="13"/>
        <v>2.1779757638078021E-2</v>
      </c>
      <c r="E49" s="448">
        <f>MonthlyCF!C29</f>
        <v>2888902.2059932109</v>
      </c>
      <c r="F49" s="445">
        <f>$E$49/F24</f>
        <v>13.904997140899166</v>
      </c>
      <c r="G49" s="338">
        <f>$E$49/G24</f>
        <v>22.361724209945773</v>
      </c>
    </row>
    <row r="50" spans="2:7" x14ac:dyDescent="0.3">
      <c r="B50" s="37"/>
      <c r="C50" s="52"/>
      <c r="D50" s="6"/>
      <c r="E50" s="1"/>
      <c r="F50" s="47"/>
      <c r="G50" s="4"/>
    </row>
    <row r="51" spans="2:7" x14ac:dyDescent="0.3">
      <c r="B51" s="37" t="s">
        <v>25</v>
      </c>
      <c r="C51" s="46"/>
      <c r="D51" s="335">
        <f t="shared" ref="D51:D53" si="26">E51/$E$10</f>
        <v>3.0549721459692418E-2</v>
      </c>
      <c r="E51" s="336">
        <f>SUM(E52:E53)</f>
        <v>4052164.3621545704</v>
      </c>
      <c r="F51" s="337">
        <f t="shared" ref="F51:G51" si="27">SUM(F52:F53)</f>
        <v>19.504064122807904</v>
      </c>
      <c r="G51" s="338">
        <f t="shared" si="27"/>
        <v>31.366026074502667</v>
      </c>
    </row>
    <row r="52" spans="2:7" x14ac:dyDescent="0.3">
      <c r="B52" s="21" t="s">
        <v>43</v>
      </c>
      <c r="C52" s="42"/>
      <c r="D52" s="335">
        <f t="shared" si="26"/>
        <v>2.7627796821825121E-2</v>
      </c>
      <c r="E52" s="339">
        <f>G52*G24</f>
        <v>3664595.5621545701</v>
      </c>
      <c r="F52" s="341">
        <f t="shared" ref="F52:F53" si="28">E52/F$24</f>
        <v>17.638600125888381</v>
      </c>
      <c r="G52" s="340">
        <f>Summary!G36</f>
        <v>28.366026074502667</v>
      </c>
    </row>
    <row r="53" spans="2:7" x14ac:dyDescent="0.3">
      <c r="B53" s="21" t="s">
        <v>44</v>
      </c>
      <c r="C53" s="55">
        <v>3</v>
      </c>
      <c r="D53" s="335">
        <f t="shared" si="26"/>
        <v>2.9219246378672922E-3</v>
      </c>
      <c r="E53" s="339">
        <f>G53*G24</f>
        <v>387568.80000000005</v>
      </c>
      <c r="F53" s="341">
        <f>E53/F$24</f>
        <v>1.8654639969195228</v>
      </c>
      <c r="G53" s="340">
        <f>C53</f>
        <v>3</v>
      </c>
    </row>
    <row r="54" spans="2:7" x14ac:dyDescent="0.3">
      <c r="B54" s="21"/>
      <c r="C54" s="55"/>
      <c r="D54" s="6"/>
      <c r="E54" s="40"/>
      <c r="F54" s="50"/>
      <c r="G54" s="49"/>
    </row>
    <row r="55" spans="2:7" x14ac:dyDescent="0.3">
      <c r="B55" s="37" t="s">
        <v>28</v>
      </c>
      <c r="C55" s="46"/>
      <c r="D55" s="89"/>
      <c r="E55" s="1"/>
      <c r="F55" s="47"/>
      <c r="G55" s="4"/>
    </row>
    <row r="56" spans="2:7" x14ac:dyDescent="0.3">
      <c r="B56" s="21" t="s">
        <v>66</v>
      </c>
      <c r="C56" s="56">
        <v>0.03</v>
      </c>
      <c r="D56" s="335">
        <f t="shared" ref="D56" si="29">E56/$E$10</f>
        <v>1.9276019444057164E-2</v>
      </c>
      <c r="E56" s="336">
        <f>C56*SUM(E12:E14,E16,E18)</f>
        <v>2556802.3308646372</v>
      </c>
      <c r="F56" s="337">
        <f>$E56/F$24</f>
        <v>12.306518727688857</v>
      </c>
      <c r="G56" s="338">
        <f>$E$56/G$24</f>
        <v>19.791084815377065</v>
      </c>
    </row>
    <row r="57" spans="2:7" x14ac:dyDescent="0.3">
      <c r="B57" s="21"/>
      <c r="C57" s="66" t="s">
        <v>161</v>
      </c>
      <c r="D57" s="24"/>
      <c r="E57" s="1"/>
      <c r="F57" s="47"/>
      <c r="G57" s="4"/>
    </row>
    <row r="58" spans="2:7" x14ac:dyDescent="0.3">
      <c r="B58" s="21"/>
      <c r="C58" s="56"/>
      <c r="D58" s="6"/>
      <c r="E58" s="1"/>
      <c r="F58" s="47"/>
      <c r="G58" s="4"/>
    </row>
    <row r="59" spans="2:7" x14ac:dyDescent="0.3">
      <c r="B59" s="37" t="s">
        <v>29</v>
      </c>
      <c r="C59" s="56">
        <v>0.03</v>
      </c>
      <c r="D59" s="335">
        <f t="shared" ref="D59" si="30">E59/$E$10</f>
        <v>2.1828663187813242E-2</v>
      </c>
      <c r="E59" s="336">
        <f>SUM(E12:E18)*C59</f>
        <v>2895389.117044433</v>
      </c>
      <c r="F59" s="337">
        <f t="shared" ref="F59:G59" si="31">$E59/F$24</f>
        <v>13.936220239913521</v>
      </c>
      <c r="G59" s="337">
        <f t="shared" si="31"/>
        <v>22.411936541675434</v>
      </c>
    </row>
    <row r="60" spans="2:7" x14ac:dyDescent="0.3">
      <c r="B60" s="37"/>
      <c r="C60" s="66" t="s">
        <v>50</v>
      </c>
      <c r="D60" s="66"/>
      <c r="E60" s="1"/>
      <c r="F60" s="47"/>
      <c r="G60" s="4"/>
    </row>
    <row r="61" spans="2:7" x14ac:dyDescent="0.3">
      <c r="B61" s="37"/>
      <c r="C61" s="56"/>
      <c r="D61" s="56"/>
      <c r="E61" s="1"/>
      <c r="F61" s="47"/>
      <c r="G61" s="4"/>
    </row>
    <row r="62" spans="2:7" x14ac:dyDescent="0.3">
      <c r="B62" s="211" t="s">
        <v>30</v>
      </c>
      <c r="C62" s="212" t="s">
        <v>48</v>
      </c>
      <c r="D62" s="212"/>
      <c r="E62" s="213"/>
      <c r="F62" s="214"/>
      <c r="G62" s="21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B79D-94AB-49DC-B7C6-17C4654AE2EB}">
  <dimension ref="A6:BU84"/>
  <sheetViews>
    <sheetView topLeftCell="A46" zoomScale="70" zoomScaleNormal="70" workbookViewId="0">
      <selection activeCell="C80" sqref="C80"/>
    </sheetView>
  </sheetViews>
  <sheetFormatPr defaultColWidth="0" defaultRowHeight="14.4" outlineLevelCol="1" x14ac:dyDescent="0.3"/>
  <cols>
    <col min="1" max="1" width="2.6640625" style="14" customWidth="1"/>
    <col min="2" max="2" width="56" style="14" bestFit="1" customWidth="1"/>
    <col min="3" max="3" width="24.5546875" style="14" bestFit="1" customWidth="1"/>
    <col min="4" max="4" width="26" style="14" customWidth="1" outlineLevel="1"/>
    <col min="5" max="7" width="15.6640625" style="14" customWidth="1" outlineLevel="1"/>
    <col min="8" max="8" width="23" style="14" customWidth="1" outlineLevel="1"/>
    <col min="9" max="9" width="15.6640625" style="14" customWidth="1"/>
    <col min="10" max="56" width="14.6640625" style="14" customWidth="1"/>
    <col min="57" max="57" width="17.33203125" style="14" bestFit="1" customWidth="1"/>
    <col min="58" max="70" width="14.6640625" style="14" customWidth="1"/>
    <col min="71" max="71" width="2.6640625" style="14" customWidth="1"/>
    <col min="72" max="73" width="0" style="14" hidden="1" customWidth="1"/>
    <col min="74" max="16384" width="9.109375" style="14" hidden="1"/>
  </cols>
  <sheetData>
    <row r="6" spans="2:70" ht="21" x14ac:dyDescent="0.4">
      <c r="B6" s="73" t="s">
        <v>174</v>
      </c>
      <c r="C6" s="73"/>
      <c r="D6" s="73"/>
    </row>
    <row r="8" spans="2:70" x14ac:dyDescent="0.3">
      <c r="B8" s="74" t="s">
        <v>56</v>
      </c>
      <c r="C8" s="76"/>
      <c r="D8" s="348"/>
      <c r="E8" s="79"/>
      <c r="F8" s="79"/>
      <c r="G8" s="79"/>
      <c r="H8" s="79"/>
      <c r="I8" s="76"/>
      <c r="J8" s="76">
        <v>0</v>
      </c>
      <c r="K8" s="76">
        <f>ROUNDUP(K9/12,0)</f>
        <v>1</v>
      </c>
      <c r="L8" s="76">
        <f t="shared" ref="L8:BR8" si="0">ROUNDUP(L9/12,0)</f>
        <v>1</v>
      </c>
      <c r="M8" s="76">
        <f t="shared" si="0"/>
        <v>1</v>
      </c>
      <c r="N8" s="76">
        <f t="shared" si="0"/>
        <v>1</v>
      </c>
      <c r="O8" s="76">
        <f t="shared" si="0"/>
        <v>1</v>
      </c>
      <c r="P8" s="76">
        <f t="shared" si="0"/>
        <v>1</v>
      </c>
      <c r="Q8" s="76">
        <f t="shared" si="0"/>
        <v>1</v>
      </c>
      <c r="R8" s="76">
        <f t="shared" si="0"/>
        <v>1</v>
      </c>
      <c r="S8" s="76">
        <f t="shared" si="0"/>
        <v>1</v>
      </c>
      <c r="T8" s="76">
        <f t="shared" si="0"/>
        <v>1</v>
      </c>
      <c r="U8" s="76">
        <f t="shared" si="0"/>
        <v>1</v>
      </c>
      <c r="V8" s="76">
        <f t="shared" si="0"/>
        <v>1</v>
      </c>
      <c r="W8" s="76">
        <f t="shared" si="0"/>
        <v>2</v>
      </c>
      <c r="X8" s="76">
        <f t="shared" si="0"/>
        <v>2</v>
      </c>
      <c r="Y8" s="76">
        <f t="shared" si="0"/>
        <v>2</v>
      </c>
      <c r="Z8" s="76">
        <f t="shared" si="0"/>
        <v>2</v>
      </c>
      <c r="AA8" s="76">
        <f t="shared" si="0"/>
        <v>2</v>
      </c>
      <c r="AB8" s="76">
        <f t="shared" si="0"/>
        <v>2</v>
      </c>
      <c r="AC8" s="76">
        <f t="shared" si="0"/>
        <v>2</v>
      </c>
      <c r="AD8" s="76">
        <f t="shared" si="0"/>
        <v>2</v>
      </c>
      <c r="AE8" s="76">
        <f t="shared" si="0"/>
        <v>2</v>
      </c>
      <c r="AF8" s="76">
        <f t="shared" si="0"/>
        <v>2</v>
      </c>
      <c r="AG8" s="76">
        <f t="shared" si="0"/>
        <v>2</v>
      </c>
      <c r="AH8" s="76">
        <f t="shared" si="0"/>
        <v>2</v>
      </c>
      <c r="AI8" s="76">
        <f t="shared" si="0"/>
        <v>3</v>
      </c>
      <c r="AJ8" s="76">
        <f t="shared" si="0"/>
        <v>3</v>
      </c>
      <c r="AK8" s="76">
        <f t="shared" si="0"/>
        <v>3</v>
      </c>
      <c r="AL8" s="76">
        <f t="shared" si="0"/>
        <v>3</v>
      </c>
      <c r="AM8" s="76">
        <f t="shared" si="0"/>
        <v>3</v>
      </c>
      <c r="AN8" s="76">
        <f t="shared" si="0"/>
        <v>3</v>
      </c>
      <c r="AO8" s="76">
        <f t="shared" si="0"/>
        <v>3</v>
      </c>
      <c r="AP8" s="76">
        <f t="shared" si="0"/>
        <v>3</v>
      </c>
      <c r="AQ8" s="76">
        <f t="shared" si="0"/>
        <v>3</v>
      </c>
      <c r="AR8" s="76">
        <f t="shared" si="0"/>
        <v>3</v>
      </c>
      <c r="AS8" s="76">
        <f t="shared" si="0"/>
        <v>3</v>
      </c>
      <c r="AT8" s="76">
        <f t="shared" si="0"/>
        <v>3</v>
      </c>
      <c r="AU8" s="76">
        <f t="shared" si="0"/>
        <v>4</v>
      </c>
      <c r="AV8" s="76">
        <f t="shared" si="0"/>
        <v>4</v>
      </c>
      <c r="AW8" s="76">
        <f t="shared" si="0"/>
        <v>4</v>
      </c>
      <c r="AX8" s="76">
        <f t="shared" si="0"/>
        <v>4</v>
      </c>
      <c r="AY8" s="76">
        <f t="shared" si="0"/>
        <v>4</v>
      </c>
      <c r="AZ8" s="76">
        <f t="shared" si="0"/>
        <v>4</v>
      </c>
      <c r="BA8" s="76">
        <f t="shared" si="0"/>
        <v>4</v>
      </c>
      <c r="BB8" s="76">
        <f t="shared" si="0"/>
        <v>4</v>
      </c>
      <c r="BC8" s="76">
        <f t="shared" si="0"/>
        <v>4</v>
      </c>
      <c r="BD8" s="76">
        <f t="shared" si="0"/>
        <v>4</v>
      </c>
      <c r="BE8" s="76">
        <f t="shared" si="0"/>
        <v>4</v>
      </c>
      <c r="BF8" s="76">
        <f t="shared" si="0"/>
        <v>4</v>
      </c>
      <c r="BG8" s="76">
        <f t="shared" si="0"/>
        <v>5</v>
      </c>
      <c r="BH8" s="76">
        <f t="shared" si="0"/>
        <v>5</v>
      </c>
      <c r="BI8" s="76">
        <f t="shared" si="0"/>
        <v>5</v>
      </c>
      <c r="BJ8" s="76">
        <f t="shared" si="0"/>
        <v>5</v>
      </c>
      <c r="BK8" s="76">
        <f t="shared" si="0"/>
        <v>5</v>
      </c>
      <c r="BL8" s="76">
        <f t="shared" si="0"/>
        <v>5</v>
      </c>
      <c r="BM8" s="76">
        <f t="shared" si="0"/>
        <v>5</v>
      </c>
      <c r="BN8" s="76">
        <f t="shared" si="0"/>
        <v>5</v>
      </c>
      <c r="BO8" s="76">
        <f t="shared" si="0"/>
        <v>5</v>
      </c>
      <c r="BP8" s="76">
        <f t="shared" si="0"/>
        <v>5</v>
      </c>
      <c r="BQ8" s="76">
        <f t="shared" si="0"/>
        <v>5</v>
      </c>
      <c r="BR8" s="82">
        <f t="shared" si="0"/>
        <v>5</v>
      </c>
    </row>
    <row r="9" spans="2:70" x14ac:dyDescent="0.3">
      <c r="B9" s="75" t="s">
        <v>57</v>
      </c>
      <c r="C9" s="57"/>
      <c r="D9" s="349"/>
      <c r="E9" s="80"/>
      <c r="F9" s="80"/>
      <c r="G9" s="80"/>
      <c r="H9" s="422" t="s">
        <v>62</v>
      </c>
      <c r="I9" s="57"/>
      <c r="J9" s="57">
        <v>0</v>
      </c>
      <c r="K9" s="57">
        <f>+J9+1</f>
        <v>1</v>
      </c>
      <c r="L9" s="57">
        <f t="shared" ref="L9:BR9" si="1">+K9+1</f>
        <v>2</v>
      </c>
      <c r="M9" s="57">
        <f t="shared" si="1"/>
        <v>3</v>
      </c>
      <c r="N9" s="57">
        <f t="shared" si="1"/>
        <v>4</v>
      </c>
      <c r="O9" s="57">
        <f t="shared" si="1"/>
        <v>5</v>
      </c>
      <c r="P9" s="57">
        <f t="shared" si="1"/>
        <v>6</v>
      </c>
      <c r="Q9" s="57">
        <f t="shared" si="1"/>
        <v>7</v>
      </c>
      <c r="R9" s="57">
        <f t="shared" si="1"/>
        <v>8</v>
      </c>
      <c r="S9" s="57">
        <f t="shared" si="1"/>
        <v>9</v>
      </c>
      <c r="T9" s="57">
        <f t="shared" si="1"/>
        <v>10</v>
      </c>
      <c r="U9" s="57">
        <f t="shared" si="1"/>
        <v>11</v>
      </c>
      <c r="V9" s="57">
        <f t="shared" si="1"/>
        <v>12</v>
      </c>
      <c r="W9" s="57">
        <f t="shared" si="1"/>
        <v>13</v>
      </c>
      <c r="X9" s="57">
        <f t="shared" si="1"/>
        <v>14</v>
      </c>
      <c r="Y9" s="57">
        <f t="shared" si="1"/>
        <v>15</v>
      </c>
      <c r="Z9" s="57">
        <f t="shared" si="1"/>
        <v>16</v>
      </c>
      <c r="AA9" s="57">
        <f t="shared" si="1"/>
        <v>17</v>
      </c>
      <c r="AB9" s="57">
        <f t="shared" si="1"/>
        <v>18</v>
      </c>
      <c r="AC9" s="57">
        <f t="shared" si="1"/>
        <v>19</v>
      </c>
      <c r="AD9" s="57">
        <f t="shared" si="1"/>
        <v>20</v>
      </c>
      <c r="AE9" s="57">
        <f t="shared" si="1"/>
        <v>21</v>
      </c>
      <c r="AF9" s="57">
        <f t="shared" si="1"/>
        <v>22</v>
      </c>
      <c r="AG9" s="57">
        <f t="shared" si="1"/>
        <v>23</v>
      </c>
      <c r="AH9" s="57">
        <f t="shared" si="1"/>
        <v>24</v>
      </c>
      <c r="AI9" s="57">
        <f t="shared" si="1"/>
        <v>25</v>
      </c>
      <c r="AJ9" s="57">
        <f t="shared" si="1"/>
        <v>26</v>
      </c>
      <c r="AK9" s="57">
        <f t="shared" si="1"/>
        <v>27</v>
      </c>
      <c r="AL9" s="57">
        <f t="shared" si="1"/>
        <v>28</v>
      </c>
      <c r="AM9" s="57">
        <f t="shared" si="1"/>
        <v>29</v>
      </c>
      <c r="AN9" s="57">
        <f t="shared" si="1"/>
        <v>30</v>
      </c>
      <c r="AO9" s="57">
        <f t="shared" si="1"/>
        <v>31</v>
      </c>
      <c r="AP9" s="57">
        <f t="shared" si="1"/>
        <v>32</v>
      </c>
      <c r="AQ9" s="57">
        <f t="shared" si="1"/>
        <v>33</v>
      </c>
      <c r="AR9" s="57">
        <f t="shared" si="1"/>
        <v>34</v>
      </c>
      <c r="AS9" s="57">
        <f t="shared" si="1"/>
        <v>35</v>
      </c>
      <c r="AT9" s="57">
        <f t="shared" si="1"/>
        <v>36</v>
      </c>
      <c r="AU9" s="57">
        <f t="shared" si="1"/>
        <v>37</v>
      </c>
      <c r="AV9" s="57">
        <f t="shared" si="1"/>
        <v>38</v>
      </c>
      <c r="AW9" s="57">
        <f t="shared" si="1"/>
        <v>39</v>
      </c>
      <c r="AX9" s="57">
        <f t="shared" si="1"/>
        <v>40</v>
      </c>
      <c r="AY9" s="57">
        <f t="shared" si="1"/>
        <v>41</v>
      </c>
      <c r="AZ9" s="57">
        <f t="shared" si="1"/>
        <v>42</v>
      </c>
      <c r="BA9" s="57">
        <f t="shared" si="1"/>
        <v>43</v>
      </c>
      <c r="BB9" s="57">
        <f t="shared" si="1"/>
        <v>44</v>
      </c>
      <c r="BC9" s="57">
        <f t="shared" si="1"/>
        <v>45</v>
      </c>
      <c r="BD9" s="57">
        <f t="shared" si="1"/>
        <v>46</v>
      </c>
      <c r="BE9" s="57">
        <f t="shared" si="1"/>
        <v>47</v>
      </c>
      <c r="BF9" s="57">
        <f t="shared" si="1"/>
        <v>48</v>
      </c>
      <c r="BG9" s="57">
        <f t="shared" si="1"/>
        <v>49</v>
      </c>
      <c r="BH9" s="57">
        <f t="shared" si="1"/>
        <v>50</v>
      </c>
      <c r="BI9" s="57">
        <f t="shared" si="1"/>
        <v>51</v>
      </c>
      <c r="BJ9" s="57">
        <f t="shared" si="1"/>
        <v>52</v>
      </c>
      <c r="BK9" s="57">
        <f t="shared" si="1"/>
        <v>53</v>
      </c>
      <c r="BL9" s="57">
        <f t="shared" si="1"/>
        <v>54</v>
      </c>
      <c r="BM9" s="57">
        <f t="shared" si="1"/>
        <v>55</v>
      </c>
      <c r="BN9" s="57">
        <f t="shared" si="1"/>
        <v>56</v>
      </c>
      <c r="BO9" s="57">
        <f t="shared" si="1"/>
        <v>57</v>
      </c>
      <c r="BP9" s="57">
        <f t="shared" si="1"/>
        <v>58</v>
      </c>
      <c r="BQ9" s="57">
        <f t="shared" si="1"/>
        <v>59</v>
      </c>
      <c r="BR9" s="58">
        <f t="shared" si="1"/>
        <v>60</v>
      </c>
    </row>
    <row r="10" spans="2:70" ht="15" customHeight="1" x14ac:dyDescent="0.3">
      <c r="B10" s="77" t="s">
        <v>58</v>
      </c>
      <c r="C10" s="314" t="s">
        <v>63</v>
      </c>
      <c r="D10" s="350" t="s">
        <v>176</v>
      </c>
      <c r="E10" s="78" t="s">
        <v>59</v>
      </c>
      <c r="F10" s="78" t="s">
        <v>60</v>
      </c>
      <c r="G10" s="78" t="s">
        <v>61</v>
      </c>
      <c r="H10" s="423"/>
      <c r="I10" s="81" t="s">
        <v>64</v>
      </c>
      <c r="J10" s="81">
        <f>EDATE(Summary!F15,-1)</f>
        <v>43466</v>
      </c>
      <c r="K10" s="81">
        <f>EDATE(J10,1)</f>
        <v>43497</v>
      </c>
      <c r="L10" s="81">
        <f t="shared" ref="L10:BR10" si="2">EDATE(K10,1)</f>
        <v>43525</v>
      </c>
      <c r="M10" s="81">
        <f t="shared" si="2"/>
        <v>43556</v>
      </c>
      <c r="N10" s="81">
        <f t="shared" si="2"/>
        <v>43586</v>
      </c>
      <c r="O10" s="81">
        <f t="shared" si="2"/>
        <v>43617</v>
      </c>
      <c r="P10" s="81">
        <f t="shared" si="2"/>
        <v>43647</v>
      </c>
      <c r="Q10" s="81">
        <f t="shared" si="2"/>
        <v>43678</v>
      </c>
      <c r="R10" s="81">
        <f t="shared" si="2"/>
        <v>43709</v>
      </c>
      <c r="S10" s="81">
        <f t="shared" si="2"/>
        <v>43739</v>
      </c>
      <c r="T10" s="81">
        <f t="shared" si="2"/>
        <v>43770</v>
      </c>
      <c r="U10" s="81">
        <f t="shared" si="2"/>
        <v>43800</v>
      </c>
      <c r="V10" s="81">
        <f t="shared" si="2"/>
        <v>43831</v>
      </c>
      <c r="W10" s="81">
        <f t="shared" si="2"/>
        <v>43862</v>
      </c>
      <c r="X10" s="81">
        <f t="shared" si="2"/>
        <v>43891</v>
      </c>
      <c r="Y10" s="81">
        <f t="shared" si="2"/>
        <v>43922</v>
      </c>
      <c r="Z10" s="81">
        <f t="shared" si="2"/>
        <v>43952</v>
      </c>
      <c r="AA10" s="81">
        <f t="shared" si="2"/>
        <v>43983</v>
      </c>
      <c r="AB10" s="81">
        <f t="shared" si="2"/>
        <v>44013</v>
      </c>
      <c r="AC10" s="81">
        <f t="shared" si="2"/>
        <v>44044</v>
      </c>
      <c r="AD10" s="81">
        <f t="shared" si="2"/>
        <v>44075</v>
      </c>
      <c r="AE10" s="81">
        <f t="shared" si="2"/>
        <v>44105</v>
      </c>
      <c r="AF10" s="81">
        <f t="shared" si="2"/>
        <v>44136</v>
      </c>
      <c r="AG10" s="81">
        <f t="shared" si="2"/>
        <v>44166</v>
      </c>
      <c r="AH10" s="81">
        <f t="shared" si="2"/>
        <v>44197</v>
      </c>
      <c r="AI10" s="81">
        <f t="shared" si="2"/>
        <v>44228</v>
      </c>
      <c r="AJ10" s="81">
        <f t="shared" si="2"/>
        <v>44256</v>
      </c>
      <c r="AK10" s="81">
        <f t="shared" si="2"/>
        <v>44287</v>
      </c>
      <c r="AL10" s="81">
        <f t="shared" si="2"/>
        <v>44317</v>
      </c>
      <c r="AM10" s="81">
        <f t="shared" si="2"/>
        <v>44348</v>
      </c>
      <c r="AN10" s="81">
        <f t="shared" si="2"/>
        <v>44378</v>
      </c>
      <c r="AO10" s="81">
        <f t="shared" si="2"/>
        <v>44409</v>
      </c>
      <c r="AP10" s="81">
        <f t="shared" si="2"/>
        <v>44440</v>
      </c>
      <c r="AQ10" s="81">
        <f t="shared" si="2"/>
        <v>44470</v>
      </c>
      <c r="AR10" s="81">
        <f t="shared" si="2"/>
        <v>44501</v>
      </c>
      <c r="AS10" s="81">
        <f t="shared" si="2"/>
        <v>44531</v>
      </c>
      <c r="AT10" s="81">
        <f t="shared" si="2"/>
        <v>44562</v>
      </c>
      <c r="AU10" s="81">
        <f t="shared" si="2"/>
        <v>44593</v>
      </c>
      <c r="AV10" s="81">
        <f t="shared" si="2"/>
        <v>44621</v>
      </c>
      <c r="AW10" s="81">
        <f t="shared" si="2"/>
        <v>44652</v>
      </c>
      <c r="AX10" s="81">
        <f t="shared" si="2"/>
        <v>44682</v>
      </c>
      <c r="AY10" s="81">
        <f t="shared" si="2"/>
        <v>44713</v>
      </c>
      <c r="AZ10" s="81">
        <f t="shared" si="2"/>
        <v>44743</v>
      </c>
      <c r="BA10" s="81">
        <f t="shared" si="2"/>
        <v>44774</v>
      </c>
      <c r="BB10" s="81">
        <f t="shared" si="2"/>
        <v>44805</v>
      </c>
      <c r="BC10" s="81">
        <f t="shared" si="2"/>
        <v>44835</v>
      </c>
      <c r="BD10" s="81">
        <f t="shared" si="2"/>
        <v>44866</v>
      </c>
      <c r="BE10" s="81">
        <f t="shared" si="2"/>
        <v>44896</v>
      </c>
      <c r="BF10" s="81">
        <f t="shared" si="2"/>
        <v>44927</v>
      </c>
      <c r="BG10" s="81">
        <f t="shared" si="2"/>
        <v>44958</v>
      </c>
      <c r="BH10" s="81">
        <f t="shared" si="2"/>
        <v>44986</v>
      </c>
      <c r="BI10" s="81">
        <f t="shared" si="2"/>
        <v>45017</v>
      </c>
      <c r="BJ10" s="81">
        <f t="shared" si="2"/>
        <v>45047</v>
      </c>
      <c r="BK10" s="81">
        <f t="shared" si="2"/>
        <v>45078</v>
      </c>
      <c r="BL10" s="81">
        <f t="shared" si="2"/>
        <v>45108</v>
      </c>
      <c r="BM10" s="81">
        <f t="shared" si="2"/>
        <v>45139</v>
      </c>
      <c r="BN10" s="81">
        <f t="shared" si="2"/>
        <v>45170</v>
      </c>
      <c r="BO10" s="81">
        <f t="shared" si="2"/>
        <v>45200</v>
      </c>
      <c r="BP10" s="81">
        <f t="shared" si="2"/>
        <v>45231</v>
      </c>
      <c r="BQ10" s="81">
        <f t="shared" si="2"/>
        <v>45261</v>
      </c>
      <c r="BR10" s="83">
        <f t="shared" si="2"/>
        <v>45292</v>
      </c>
    </row>
    <row r="11" spans="2:70" x14ac:dyDescent="0.3">
      <c r="B11" s="85" t="s">
        <v>65</v>
      </c>
      <c r="C11" s="315"/>
      <c r="D11" s="344"/>
      <c r="E11" s="84"/>
      <c r="F11" s="84"/>
      <c r="G11" s="84"/>
      <c r="H11" s="84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  <c r="BM11" s="86"/>
      <c r="BN11" s="86"/>
      <c r="BO11" s="86"/>
      <c r="BP11" s="86"/>
      <c r="BQ11" s="86"/>
      <c r="BR11" s="87"/>
    </row>
    <row r="12" spans="2:70" x14ac:dyDescent="0.3">
      <c r="B12" s="10"/>
      <c r="C12" s="316"/>
      <c r="D12" s="34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4"/>
    </row>
    <row r="13" spans="2:70" x14ac:dyDescent="0.3">
      <c r="B13" s="10" t="s">
        <v>20</v>
      </c>
      <c r="C13" s="355">
        <f>INDEX(Budget!$E$28:$E$59,MATCH(MonthlyCF!B13,Budget!$B$28:$B$59,0))</f>
        <v>30676452</v>
      </c>
      <c r="D13" s="346"/>
      <c r="I13" s="2" t="str">
        <f>IF(ROUND(SUM($J13:$BR13),0)=ROUND(C13,0),"OK","error")</f>
        <v>OK</v>
      </c>
      <c r="J13" s="353">
        <f>C13</f>
        <v>30676452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4"/>
    </row>
    <row r="14" spans="2:70" x14ac:dyDescent="0.3">
      <c r="B14" s="10"/>
      <c r="C14" s="316"/>
      <c r="D14" s="34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4"/>
    </row>
    <row r="15" spans="2:70" x14ac:dyDescent="0.3">
      <c r="B15" s="10" t="str">
        <f>Budget!B33</f>
        <v>Entitlement Costs</v>
      </c>
      <c r="C15" s="316"/>
      <c r="D15" s="34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4"/>
    </row>
    <row r="16" spans="2:70" x14ac:dyDescent="0.3">
      <c r="B16" s="21" t="str">
        <f>Budget!B34</f>
        <v>Application Fees</v>
      </c>
      <c r="C16" s="355">
        <f>INDEX(Budget!$E$28:$E$59,MATCH(MonthlyCF!B16,Budget!$B$28:$B$59,0))</f>
        <v>152000</v>
      </c>
      <c r="D16" s="351" t="s">
        <v>177</v>
      </c>
      <c r="E16" s="104">
        <f>Summary!C17</f>
        <v>2</v>
      </c>
      <c r="F16" s="104">
        <f>E16</f>
        <v>2</v>
      </c>
      <c r="G16" s="91">
        <f>F16-E16+1</f>
        <v>1</v>
      </c>
      <c r="H16" s="92"/>
      <c r="I16" s="2" t="str">
        <f>IF(ROUND(SUM($J16:$BR16),0)=ROUND(C16,0),"OK","error")</f>
        <v>OK</v>
      </c>
      <c r="J16" s="1"/>
      <c r="K16" s="353">
        <f>(K9=$E$16)*$C$16</f>
        <v>0</v>
      </c>
      <c r="L16" s="353">
        <f t="shared" ref="L16:BR16" si="3">(L9=$E$16)*$C$16</f>
        <v>152000</v>
      </c>
      <c r="M16" s="353">
        <f t="shared" si="3"/>
        <v>0</v>
      </c>
      <c r="N16" s="353">
        <f t="shared" si="3"/>
        <v>0</v>
      </c>
      <c r="O16" s="353">
        <f t="shared" si="3"/>
        <v>0</v>
      </c>
      <c r="P16" s="353">
        <f t="shared" si="3"/>
        <v>0</v>
      </c>
      <c r="Q16" s="353">
        <f t="shared" si="3"/>
        <v>0</v>
      </c>
      <c r="R16" s="353">
        <f t="shared" si="3"/>
        <v>0</v>
      </c>
      <c r="S16" s="353">
        <f t="shared" si="3"/>
        <v>0</v>
      </c>
      <c r="T16" s="353">
        <f t="shared" si="3"/>
        <v>0</v>
      </c>
      <c r="U16" s="353">
        <f t="shared" si="3"/>
        <v>0</v>
      </c>
      <c r="V16" s="353">
        <f t="shared" si="3"/>
        <v>0</v>
      </c>
      <c r="W16" s="353">
        <f t="shared" si="3"/>
        <v>0</v>
      </c>
      <c r="X16" s="353">
        <f t="shared" si="3"/>
        <v>0</v>
      </c>
      <c r="Y16" s="353">
        <f t="shared" si="3"/>
        <v>0</v>
      </c>
      <c r="Z16" s="353">
        <f t="shared" si="3"/>
        <v>0</v>
      </c>
      <c r="AA16" s="353">
        <f t="shared" si="3"/>
        <v>0</v>
      </c>
      <c r="AB16" s="353">
        <f t="shared" si="3"/>
        <v>0</v>
      </c>
      <c r="AC16" s="353">
        <f t="shared" si="3"/>
        <v>0</v>
      </c>
      <c r="AD16" s="353">
        <f t="shared" si="3"/>
        <v>0</v>
      </c>
      <c r="AE16" s="353">
        <f t="shared" si="3"/>
        <v>0</v>
      </c>
      <c r="AF16" s="353">
        <f t="shared" si="3"/>
        <v>0</v>
      </c>
      <c r="AG16" s="353">
        <f t="shared" si="3"/>
        <v>0</v>
      </c>
      <c r="AH16" s="353">
        <f t="shared" si="3"/>
        <v>0</v>
      </c>
      <c r="AI16" s="353">
        <f t="shared" si="3"/>
        <v>0</v>
      </c>
      <c r="AJ16" s="353">
        <f t="shared" si="3"/>
        <v>0</v>
      </c>
      <c r="AK16" s="353">
        <f t="shared" si="3"/>
        <v>0</v>
      </c>
      <c r="AL16" s="353">
        <f t="shared" si="3"/>
        <v>0</v>
      </c>
      <c r="AM16" s="353">
        <f t="shared" si="3"/>
        <v>0</v>
      </c>
      <c r="AN16" s="353">
        <f t="shared" si="3"/>
        <v>0</v>
      </c>
      <c r="AO16" s="353">
        <f t="shared" si="3"/>
        <v>0</v>
      </c>
      <c r="AP16" s="353">
        <f t="shared" si="3"/>
        <v>0</v>
      </c>
      <c r="AQ16" s="353">
        <f t="shared" si="3"/>
        <v>0</v>
      </c>
      <c r="AR16" s="353">
        <f t="shared" si="3"/>
        <v>0</v>
      </c>
      <c r="AS16" s="353">
        <f t="shared" si="3"/>
        <v>0</v>
      </c>
      <c r="AT16" s="353">
        <f t="shared" si="3"/>
        <v>0</v>
      </c>
      <c r="AU16" s="353">
        <f t="shared" si="3"/>
        <v>0</v>
      </c>
      <c r="AV16" s="353">
        <f t="shared" si="3"/>
        <v>0</v>
      </c>
      <c r="AW16" s="353">
        <f t="shared" si="3"/>
        <v>0</v>
      </c>
      <c r="AX16" s="353">
        <f t="shared" si="3"/>
        <v>0</v>
      </c>
      <c r="AY16" s="353">
        <f t="shared" si="3"/>
        <v>0</v>
      </c>
      <c r="AZ16" s="353">
        <f t="shared" si="3"/>
        <v>0</v>
      </c>
      <c r="BA16" s="353">
        <f t="shared" si="3"/>
        <v>0</v>
      </c>
      <c r="BB16" s="353">
        <f t="shared" si="3"/>
        <v>0</v>
      </c>
      <c r="BC16" s="353">
        <f t="shared" si="3"/>
        <v>0</v>
      </c>
      <c r="BD16" s="353">
        <f t="shared" si="3"/>
        <v>0</v>
      </c>
      <c r="BE16" s="353">
        <f t="shared" si="3"/>
        <v>0</v>
      </c>
      <c r="BF16" s="353">
        <f t="shared" si="3"/>
        <v>0</v>
      </c>
      <c r="BG16" s="353">
        <f t="shared" si="3"/>
        <v>0</v>
      </c>
      <c r="BH16" s="353">
        <f t="shared" si="3"/>
        <v>0</v>
      </c>
      <c r="BI16" s="353">
        <f t="shared" si="3"/>
        <v>0</v>
      </c>
      <c r="BJ16" s="353">
        <f t="shared" si="3"/>
        <v>0</v>
      </c>
      <c r="BK16" s="353">
        <f t="shared" si="3"/>
        <v>0</v>
      </c>
      <c r="BL16" s="353">
        <f t="shared" si="3"/>
        <v>0</v>
      </c>
      <c r="BM16" s="353">
        <f t="shared" si="3"/>
        <v>0</v>
      </c>
      <c r="BN16" s="353">
        <f t="shared" si="3"/>
        <v>0</v>
      </c>
      <c r="BO16" s="353">
        <f t="shared" si="3"/>
        <v>0</v>
      </c>
      <c r="BP16" s="353">
        <f t="shared" si="3"/>
        <v>0</v>
      </c>
      <c r="BQ16" s="353">
        <f t="shared" si="3"/>
        <v>0</v>
      </c>
      <c r="BR16" s="353">
        <f t="shared" si="3"/>
        <v>0</v>
      </c>
    </row>
    <row r="17" spans="2:70" x14ac:dyDescent="0.3">
      <c r="B17" s="21" t="str">
        <f>Budget!B35</f>
        <v>Legal Fees</v>
      </c>
      <c r="C17" s="355">
        <f>INDEX(Budget!$E$28:$E$59,MATCH(MonthlyCF!B17,Budget!$B$28:$B$59,0))</f>
        <v>152000</v>
      </c>
      <c r="D17" s="346" t="s">
        <v>78</v>
      </c>
      <c r="E17" s="104">
        <f>Summary!C17</f>
        <v>2</v>
      </c>
      <c r="F17" s="104">
        <f>Summary!E17</f>
        <v>10</v>
      </c>
      <c r="G17" s="91">
        <f>F17-E17+1</f>
        <v>9</v>
      </c>
      <c r="H17" s="92"/>
      <c r="I17" s="2" t="str">
        <f>IF(ROUND(SUM($J17:$BR17),0)=ROUND(C17,0),"OK","error")</f>
        <v>OK</v>
      </c>
      <c r="J17" s="1"/>
      <c r="K17" s="353">
        <f>AND(K$9&gt;=$E17,K$9&lt;=$F17)*(K$9-$E17+1)/($G17*($G17+1)/2)*$C17</f>
        <v>0</v>
      </c>
      <c r="L17" s="353">
        <f t="shared" ref="L17:BR17" si="4">AND(L$9&gt;=$E17,L$9&lt;=$F17)*(L$9-$E17+1)/($G17*($G17+1)/2)*$C17</f>
        <v>3377.7777777777778</v>
      </c>
      <c r="M17" s="353">
        <f t="shared" si="4"/>
        <v>6755.5555555555557</v>
      </c>
      <c r="N17" s="353">
        <f t="shared" si="4"/>
        <v>10133.333333333334</v>
      </c>
      <c r="O17" s="353">
        <f t="shared" si="4"/>
        <v>13511.111111111111</v>
      </c>
      <c r="P17" s="353">
        <f t="shared" si="4"/>
        <v>16888.888888888887</v>
      </c>
      <c r="Q17" s="353">
        <f t="shared" si="4"/>
        <v>20266.666666666668</v>
      </c>
      <c r="R17" s="353">
        <f t="shared" si="4"/>
        <v>23644.444444444445</v>
      </c>
      <c r="S17" s="353">
        <f t="shared" si="4"/>
        <v>27022.222222222223</v>
      </c>
      <c r="T17" s="353">
        <f t="shared" si="4"/>
        <v>30400</v>
      </c>
      <c r="U17" s="353">
        <f t="shared" si="4"/>
        <v>0</v>
      </c>
      <c r="V17" s="353">
        <f t="shared" si="4"/>
        <v>0</v>
      </c>
      <c r="W17" s="353">
        <f t="shared" si="4"/>
        <v>0</v>
      </c>
      <c r="X17" s="353">
        <f t="shared" si="4"/>
        <v>0</v>
      </c>
      <c r="Y17" s="353">
        <f t="shared" si="4"/>
        <v>0</v>
      </c>
      <c r="Z17" s="353">
        <f t="shared" si="4"/>
        <v>0</v>
      </c>
      <c r="AA17" s="353">
        <f t="shared" si="4"/>
        <v>0</v>
      </c>
      <c r="AB17" s="353">
        <f t="shared" si="4"/>
        <v>0</v>
      </c>
      <c r="AC17" s="353">
        <f t="shared" si="4"/>
        <v>0</v>
      </c>
      <c r="AD17" s="353">
        <f t="shared" si="4"/>
        <v>0</v>
      </c>
      <c r="AE17" s="353">
        <f t="shared" si="4"/>
        <v>0</v>
      </c>
      <c r="AF17" s="353">
        <f t="shared" si="4"/>
        <v>0</v>
      </c>
      <c r="AG17" s="353">
        <f t="shared" si="4"/>
        <v>0</v>
      </c>
      <c r="AH17" s="353">
        <f t="shared" si="4"/>
        <v>0</v>
      </c>
      <c r="AI17" s="353">
        <f t="shared" si="4"/>
        <v>0</v>
      </c>
      <c r="AJ17" s="353">
        <f t="shared" si="4"/>
        <v>0</v>
      </c>
      <c r="AK17" s="353">
        <f t="shared" si="4"/>
        <v>0</v>
      </c>
      <c r="AL17" s="353">
        <f t="shared" si="4"/>
        <v>0</v>
      </c>
      <c r="AM17" s="353">
        <f t="shared" si="4"/>
        <v>0</v>
      </c>
      <c r="AN17" s="353">
        <f t="shared" si="4"/>
        <v>0</v>
      </c>
      <c r="AO17" s="353">
        <f t="shared" si="4"/>
        <v>0</v>
      </c>
      <c r="AP17" s="353">
        <f t="shared" si="4"/>
        <v>0</v>
      </c>
      <c r="AQ17" s="353">
        <f t="shared" si="4"/>
        <v>0</v>
      </c>
      <c r="AR17" s="353">
        <f t="shared" si="4"/>
        <v>0</v>
      </c>
      <c r="AS17" s="353">
        <f t="shared" si="4"/>
        <v>0</v>
      </c>
      <c r="AT17" s="353">
        <f t="shared" si="4"/>
        <v>0</v>
      </c>
      <c r="AU17" s="353">
        <f t="shared" si="4"/>
        <v>0</v>
      </c>
      <c r="AV17" s="353">
        <f t="shared" si="4"/>
        <v>0</v>
      </c>
      <c r="AW17" s="353">
        <f t="shared" si="4"/>
        <v>0</v>
      </c>
      <c r="AX17" s="353">
        <f t="shared" si="4"/>
        <v>0</v>
      </c>
      <c r="AY17" s="353">
        <f t="shared" si="4"/>
        <v>0</v>
      </c>
      <c r="AZ17" s="353">
        <f t="shared" si="4"/>
        <v>0</v>
      </c>
      <c r="BA17" s="353">
        <f t="shared" si="4"/>
        <v>0</v>
      </c>
      <c r="BB17" s="353">
        <f t="shared" si="4"/>
        <v>0</v>
      </c>
      <c r="BC17" s="353">
        <f t="shared" si="4"/>
        <v>0</v>
      </c>
      <c r="BD17" s="353">
        <f t="shared" si="4"/>
        <v>0</v>
      </c>
      <c r="BE17" s="353">
        <f t="shared" si="4"/>
        <v>0</v>
      </c>
      <c r="BF17" s="353">
        <f t="shared" si="4"/>
        <v>0</v>
      </c>
      <c r="BG17" s="353">
        <f t="shared" si="4"/>
        <v>0</v>
      </c>
      <c r="BH17" s="353">
        <f t="shared" si="4"/>
        <v>0</v>
      </c>
      <c r="BI17" s="353">
        <f t="shared" si="4"/>
        <v>0</v>
      </c>
      <c r="BJ17" s="353">
        <f t="shared" si="4"/>
        <v>0</v>
      </c>
      <c r="BK17" s="353">
        <f t="shared" si="4"/>
        <v>0</v>
      </c>
      <c r="BL17" s="353">
        <f t="shared" si="4"/>
        <v>0</v>
      </c>
      <c r="BM17" s="353">
        <f t="shared" si="4"/>
        <v>0</v>
      </c>
      <c r="BN17" s="353">
        <f t="shared" si="4"/>
        <v>0</v>
      </c>
      <c r="BO17" s="353">
        <f t="shared" si="4"/>
        <v>0</v>
      </c>
      <c r="BP17" s="353">
        <f t="shared" si="4"/>
        <v>0</v>
      </c>
      <c r="BQ17" s="353">
        <f t="shared" si="4"/>
        <v>0</v>
      </c>
      <c r="BR17" s="354">
        <f t="shared" si="4"/>
        <v>0</v>
      </c>
    </row>
    <row r="18" spans="2:70" x14ac:dyDescent="0.3">
      <c r="B18" s="21"/>
      <c r="C18" s="316"/>
      <c r="D18" s="346"/>
      <c r="H18" s="9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4"/>
    </row>
    <row r="19" spans="2:70" x14ac:dyDescent="0.3">
      <c r="B19" s="10" t="str">
        <f>Budget!B37</f>
        <v>A&amp;E</v>
      </c>
      <c r="C19" s="316"/>
      <c r="D19" s="346"/>
      <c r="H19" s="9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4"/>
    </row>
    <row r="20" spans="2:70" x14ac:dyDescent="0.3">
      <c r="B20" s="21" t="str">
        <f>Budget!B38</f>
        <v>Design</v>
      </c>
      <c r="C20" s="355">
        <f>INDEX(Budget!$E$28:$E$59,MATCH(MonthlyCF!B20,Budget!$B$28:$B$59,0))</f>
        <v>1745184.0000000005</v>
      </c>
      <c r="D20" s="351" t="s">
        <v>178</v>
      </c>
      <c r="E20" s="104">
        <f>Summary!C18</f>
        <v>2</v>
      </c>
      <c r="F20" s="104">
        <f>Summary!E18</f>
        <v>16</v>
      </c>
      <c r="G20" s="91">
        <f>F20-E20+1</f>
        <v>15</v>
      </c>
      <c r="H20" s="421">
        <v>5</v>
      </c>
      <c r="I20" s="2" t="str">
        <f>IF(ROUND(SUM($J20:$BR20),0)=ROUND(C20,0),"OK","error")</f>
        <v>OK</v>
      </c>
      <c r="J20" s="1"/>
      <c r="K20" s="353">
        <f>(_xlfn.NORM.DIST(AND(K$9&gt;=$E20,K$9&lt;=$F20)*(K$9-$E20+1),$G20/2,$H20,TRUE)-_xlfn.NORM.DIST(AND(K$9&gt;=$E20,K$9&lt;=$F20)*(J$9-$E20+1),$G20/2,$H20,TRUE))/(1-2*_xlfn.NORM.DIST(0,$G20/2,$H20,TRUE))*$C20</f>
        <v>0</v>
      </c>
      <c r="L20" s="353">
        <f t="shared" ref="L20:BR20" si="5">(_xlfn.NORM.DIST(AND(L$9&gt;=$E20,L$9&lt;=$F20)*(L$9-$E20+1),$G20/2,$H20,TRUE)-_xlfn.NORM.DIST(AND(L$9&gt;=$E20,L$9&lt;=$F20)*(K$9-$E20+1),$G20/2,$H20,TRUE))/(1-2*_xlfn.NORM.DIST(0,$G20/2,$H20,TRUE))*$C20</f>
        <v>60416.283817716234</v>
      </c>
      <c r="M20" s="353">
        <f t="shared" si="5"/>
        <v>78287.984258130324</v>
      </c>
      <c r="N20" s="353">
        <f t="shared" si="5"/>
        <v>97481.476070109682</v>
      </c>
      <c r="O20" s="353">
        <f t="shared" si="5"/>
        <v>116636.64417333688</v>
      </c>
      <c r="P20" s="353">
        <f t="shared" si="5"/>
        <v>134101.58465585427</v>
      </c>
      <c r="Q20" s="353">
        <f t="shared" si="5"/>
        <v>148155.85227940037</v>
      </c>
      <c r="R20" s="353">
        <f t="shared" si="5"/>
        <v>157285.8822331276</v>
      </c>
      <c r="S20" s="353">
        <f t="shared" si="5"/>
        <v>160452.58502464986</v>
      </c>
      <c r="T20" s="353">
        <f t="shared" si="5"/>
        <v>157285.8822331276</v>
      </c>
      <c r="U20" s="353">
        <f t="shared" si="5"/>
        <v>148155.85227940037</v>
      </c>
      <c r="V20" s="353">
        <f t="shared" si="5"/>
        <v>134101.58465585415</v>
      </c>
      <c r="W20" s="353">
        <f t="shared" si="5"/>
        <v>116636.64417333694</v>
      </c>
      <c r="X20" s="353">
        <f t="shared" si="5"/>
        <v>97481.476070109682</v>
      </c>
      <c r="Y20" s="353">
        <f t="shared" si="5"/>
        <v>78287.984258130411</v>
      </c>
      <c r="Z20" s="353">
        <f t="shared" si="5"/>
        <v>60416.283817716154</v>
      </c>
      <c r="AA20" s="353">
        <f t="shared" si="5"/>
        <v>0</v>
      </c>
      <c r="AB20" s="353">
        <f t="shared" si="5"/>
        <v>0</v>
      </c>
      <c r="AC20" s="353">
        <f t="shared" si="5"/>
        <v>0</v>
      </c>
      <c r="AD20" s="353">
        <f t="shared" si="5"/>
        <v>0</v>
      </c>
      <c r="AE20" s="353">
        <f t="shared" si="5"/>
        <v>0</v>
      </c>
      <c r="AF20" s="353">
        <f t="shared" si="5"/>
        <v>0</v>
      </c>
      <c r="AG20" s="353">
        <f t="shared" si="5"/>
        <v>0</v>
      </c>
      <c r="AH20" s="353">
        <f t="shared" si="5"/>
        <v>0</v>
      </c>
      <c r="AI20" s="353">
        <f t="shared" si="5"/>
        <v>0</v>
      </c>
      <c r="AJ20" s="353">
        <f t="shared" si="5"/>
        <v>0</v>
      </c>
      <c r="AK20" s="353">
        <f t="shared" si="5"/>
        <v>0</v>
      </c>
      <c r="AL20" s="353">
        <f t="shared" si="5"/>
        <v>0</v>
      </c>
      <c r="AM20" s="353">
        <f t="shared" si="5"/>
        <v>0</v>
      </c>
      <c r="AN20" s="353">
        <f t="shared" si="5"/>
        <v>0</v>
      </c>
      <c r="AO20" s="353">
        <f t="shared" si="5"/>
        <v>0</v>
      </c>
      <c r="AP20" s="353">
        <f t="shared" si="5"/>
        <v>0</v>
      </c>
      <c r="AQ20" s="353">
        <f t="shared" si="5"/>
        <v>0</v>
      </c>
      <c r="AR20" s="353">
        <f t="shared" si="5"/>
        <v>0</v>
      </c>
      <c r="AS20" s="353">
        <f t="shared" si="5"/>
        <v>0</v>
      </c>
      <c r="AT20" s="353">
        <f t="shared" si="5"/>
        <v>0</v>
      </c>
      <c r="AU20" s="353">
        <f t="shared" si="5"/>
        <v>0</v>
      </c>
      <c r="AV20" s="353">
        <f t="shared" si="5"/>
        <v>0</v>
      </c>
      <c r="AW20" s="353">
        <f t="shared" si="5"/>
        <v>0</v>
      </c>
      <c r="AX20" s="353">
        <f t="shared" si="5"/>
        <v>0</v>
      </c>
      <c r="AY20" s="353">
        <f t="shared" si="5"/>
        <v>0</v>
      </c>
      <c r="AZ20" s="353">
        <f t="shared" si="5"/>
        <v>0</v>
      </c>
      <c r="BA20" s="353">
        <f t="shared" si="5"/>
        <v>0</v>
      </c>
      <c r="BB20" s="353">
        <f t="shared" si="5"/>
        <v>0</v>
      </c>
      <c r="BC20" s="353">
        <f t="shared" si="5"/>
        <v>0</v>
      </c>
      <c r="BD20" s="353">
        <f t="shared" si="5"/>
        <v>0</v>
      </c>
      <c r="BE20" s="353">
        <f t="shared" si="5"/>
        <v>0</v>
      </c>
      <c r="BF20" s="353">
        <f t="shared" si="5"/>
        <v>0</v>
      </c>
      <c r="BG20" s="353">
        <f t="shared" si="5"/>
        <v>0</v>
      </c>
      <c r="BH20" s="353">
        <f t="shared" si="5"/>
        <v>0</v>
      </c>
      <c r="BI20" s="353">
        <f t="shared" si="5"/>
        <v>0</v>
      </c>
      <c r="BJ20" s="353">
        <f t="shared" si="5"/>
        <v>0</v>
      </c>
      <c r="BK20" s="353">
        <f t="shared" si="5"/>
        <v>0</v>
      </c>
      <c r="BL20" s="353">
        <f t="shared" si="5"/>
        <v>0</v>
      </c>
      <c r="BM20" s="353">
        <f t="shared" si="5"/>
        <v>0</v>
      </c>
      <c r="BN20" s="353">
        <f t="shared" si="5"/>
        <v>0</v>
      </c>
      <c r="BO20" s="353">
        <f t="shared" si="5"/>
        <v>0</v>
      </c>
      <c r="BP20" s="353">
        <f t="shared" si="5"/>
        <v>0</v>
      </c>
      <c r="BQ20" s="353">
        <f t="shared" si="5"/>
        <v>0</v>
      </c>
      <c r="BR20" s="353">
        <f t="shared" si="5"/>
        <v>0</v>
      </c>
    </row>
    <row r="21" spans="2:70" x14ac:dyDescent="0.3">
      <c r="B21" s="21" t="str">
        <f>Budget!B39</f>
        <v>Construction Monitoring</v>
      </c>
      <c r="C21" s="355">
        <f>INDEX(Budget!$E$28:$E$59,MATCH(MonthlyCF!B21,Budget!$B$28:$B$59,0))</f>
        <v>436296</v>
      </c>
      <c r="D21" s="351" t="s">
        <v>179</v>
      </c>
      <c r="E21" s="104">
        <f>Summary!$C$19</f>
        <v>16</v>
      </c>
      <c r="F21" s="104">
        <f>Summary!$E$19</f>
        <v>39</v>
      </c>
      <c r="G21" s="91">
        <f>F21-E21+1</f>
        <v>24</v>
      </c>
      <c r="H21" s="421">
        <v>10000000</v>
      </c>
      <c r="I21" s="2" t="str">
        <f>IF(ROUND(SUM($J21:$BR21),0)=ROUND(C21,0),"OK","error")</f>
        <v>OK</v>
      </c>
      <c r="J21" s="1"/>
      <c r="K21" s="353">
        <f t="shared" ref="K21:BR21" si="6">(_xlfn.NORM.DIST(AND(K$9&gt;=$E21,K$9&lt;=$F21)*(K$9-$E21+1),$G21/2,$H21,TRUE)-_xlfn.NORM.DIST(AND(K$9&gt;=$E21,K$9&lt;=$F21)*(J$9-$E21+1),$G21/2,$H21,TRUE))/(1-2*_xlfn.NORM.DIST(0,$G21/2,$H21,TRUE))*$C21</f>
        <v>0</v>
      </c>
      <c r="L21" s="353">
        <f t="shared" si="6"/>
        <v>0</v>
      </c>
      <c r="M21" s="353">
        <f t="shared" si="6"/>
        <v>0</v>
      </c>
      <c r="N21" s="353">
        <f t="shared" si="6"/>
        <v>0</v>
      </c>
      <c r="O21" s="353">
        <f t="shared" si="6"/>
        <v>0</v>
      </c>
      <c r="P21" s="353">
        <f t="shared" si="6"/>
        <v>0</v>
      </c>
      <c r="Q21" s="353">
        <f t="shared" si="6"/>
        <v>0</v>
      </c>
      <c r="R21" s="353">
        <f t="shared" si="6"/>
        <v>0</v>
      </c>
      <c r="S21" s="353">
        <f t="shared" si="6"/>
        <v>0</v>
      </c>
      <c r="T21" s="353">
        <f t="shared" si="6"/>
        <v>0</v>
      </c>
      <c r="U21" s="353">
        <f t="shared" si="6"/>
        <v>0</v>
      </c>
      <c r="V21" s="353">
        <f t="shared" si="6"/>
        <v>0</v>
      </c>
      <c r="W21" s="353">
        <f t="shared" si="6"/>
        <v>0</v>
      </c>
      <c r="X21" s="353">
        <f t="shared" si="6"/>
        <v>0</v>
      </c>
      <c r="Y21" s="353">
        <f t="shared" si="6"/>
        <v>0</v>
      </c>
      <c r="Z21" s="353">
        <f t="shared" si="6"/>
        <v>18178.999995784114</v>
      </c>
      <c r="AA21" s="353">
        <f t="shared" si="6"/>
        <v>18179.000021079435</v>
      </c>
      <c r="AB21" s="353">
        <f t="shared" si="6"/>
        <v>18178.999995784114</v>
      </c>
      <c r="AC21" s="353">
        <f t="shared" si="6"/>
        <v>18178.999995784114</v>
      </c>
      <c r="AD21" s="353">
        <f t="shared" si="6"/>
        <v>18178.999995784114</v>
      </c>
      <c r="AE21" s="353">
        <f t="shared" si="6"/>
        <v>18178.999995784114</v>
      </c>
      <c r="AF21" s="353">
        <f t="shared" si="6"/>
        <v>18178.999995784114</v>
      </c>
      <c r="AG21" s="353">
        <f t="shared" si="6"/>
        <v>18178.999995784114</v>
      </c>
      <c r="AH21" s="353">
        <f t="shared" si="6"/>
        <v>18179.000021079435</v>
      </c>
      <c r="AI21" s="353">
        <f t="shared" si="6"/>
        <v>18178.999995784114</v>
      </c>
      <c r="AJ21" s="353">
        <f t="shared" si="6"/>
        <v>18178.999995784114</v>
      </c>
      <c r="AK21" s="353">
        <f t="shared" si="6"/>
        <v>18178.999995784114</v>
      </c>
      <c r="AL21" s="353">
        <f t="shared" si="6"/>
        <v>18178.999995784114</v>
      </c>
      <c r="AM21" s="353">
        <f t="shared" si="6"/>
        <v>18178.999995784114</v>
      </c>
      <c r="AN21" s="353">
        <f t="shared" si="6"/>
        <v>18178.999995784114</v>
      </c>
      <c r="AO21" s="353">
        <f t="shared" si="6"/>
        <v>18178.999995784114</v>
      </c>
      <c r="AP21" s="353">
        <f t="shared" si="6"/>
        <v>18179.000046374749</v>
      </c>
      <c r="AQ21" s="353">
        <f t="shared" si="6"/>
        <v>18178.999945193475</v>
      </c>
      <c r="AR21" s="353">
        <f t="shared" si="6"/>
        <v>18179.000046374749</v>
      </c>
      <c r="AS21" s="353">
        <f t="shared" si="6"/>
        <v>18178.999945193475</v>
      </c>
      <c r="AT21" s="353">
        <f t="shared" si="6"/>
        <v>18179.000046374749</v>
      </c>
      <c r="AU21" s="353">
        <f t="shared" si="6"/>
        <v>18178.999945193475</v>
      </c>
      <c r="AV21" s="353">
        <f t="shared" si="6"/>
        <v>18179.000046374749</v>
      </c>
      <c r="AW21" s="353">
        <f t="shared" si="6"/>
        <v>18178.999995784114</v>
      </c>
      <c r="AX21" s="353">
        <f t="shared" si="6"/>
        <v>0</v>
      </c>
      <c r="AY21" s="353">
        <f t="shared" si="6"/>
        <v>0</v>
      </c>
      <c r="AZ21" s="353">
        <f t="shared" si="6"/>
        <v>0</v>
      </c>
      <c r="BA21" s="353">
        <f t="shared" si="6"/>
        <v>0</v>
      </c>
      <c r="BB21" s="353">
        <f t="shared" si="6"/>
        <v>0</v>
      </c>
      <c r="BC21" s="353">
        <f t="shared" si="6"/>
        <v>0</v>
      </c>
      <c r="BD21" s="353">
        <f t="shared" si="6"/>
        <v>0</v>
      </c>
      <c r="BE21" s="353">
        <f t="shared" si="6"/>
        <v>0</v>
      </c>
      <c r="BF21" s="353">
        <f t="shared" si="6"/>
        <v>0</v>
      </c>
      <c r="BG21" s="353">
        <f t="shared" si="6"/>
        <v>0</v>
      </c>
      <c r="BH21" s="353">
        <f t="shared" si="6"/>
        <v>0</v>
      </c>
      <c r="BI21" s="353">
        <f t="shared" si="6"/>
        <v>0</v>
      </c>
      <c r="BJ21" s="353">
        <f t="shared" si="6"/>
        <v>0</v>
      </c>
      <c r="BK21" s="353">
        <f t="shared" si="6"/>
        <v>0</v>
      </c>
      <c r="BL21" s="353">
        <f t="shared" si="6"/>
        <v>0</v>
      </c>
      <c r="BM21" s="353">
        <f t="shared" si="6"/>
        <v>0</v>
      </c>
      <c r="BN21" s="353">
        <f t="shared" si="6"/>
        <v>0</v>
      </c>
      <c r="BO21" s="353">
        <f t="shared" si="6"/>
        <v>0</v>
      </c>
      <c r="BP21" s="353">
        <f t="shared" si="6"/>
        <v>0</v>
      </c>
      <c r="BQ21" s="353">
        <f t="shared" si="6"/>
        <v>0</v>
      </c>
      <c r="BR21" s="353">
        <f t="shared" si="6"/>
        <v>0</v>
      </c>
    </row>
    <row r="22" spans="2:70" x14ac:dyDescent="0.3">
      <c r="B22" s="10"/>
      <c r="C22" s="316"/>
      <c r="D22" s="346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4"/>
    </row>
    <row r="23" spans="2:70" x14ac:dyDescent="0.3">
      <c r="B23" s="10" t="str">
        <f>Budget!B41</f>
        <v>Construction</v>
      </c>
      <c r="C23" s="355">
        <f>INDEX(Budget!$E$28:$E$59,MATCH(MonthlyCF!B23,Budget!$B$28:$B$59,0))</f>
        <v>77910000</v>
      </c>
      <c r="D23" s="351" t="s">
        <v>180</v>
      </c>
      <c r="E23" s="104">
        <f>Summary!$C$19</f>
        <v>16</v>
      </c>
      <c r="F23" s="104">
        <f>Summary!$E$19</f>
        <v>39</v>
      </c>
      <c r="G23" s="91">
        <f>F23-E23+1</f>
        <v>24</v>
      </c>
      <c r="H23" s="421">
        <v>4</v>
      </c>
      <c r="I23" s="2" t="str">
        <f>IF(ROUND(SUM($J23:$BR23),0)=ROUND(C23,0),"OK","error")</f>
        <v>OK</v>
      </c>
      <c r="J23" s="1"/>
      <c r="K23" s="353">
        <f>(_xlfn.NORM.DIST(AND(K$9&gt;=$E23,K$9&lt;=$F23)*(K$9-$E23+1),$G23/2,$H23,TRUE)-_xlfn.NORM.DIST(AND(K$9&gt;=$E23,K$9&lt;=$F23)*(J$9-$E23+1),$G23/2,$H23,TRUE))/(1-2*_xlfn.NORM.DIST(0,$G23/2,$H23,TRUE))*$C23</f>
        <v>0</v>
      </c>
      <c r="L23" s="353">
        <f t="shared" ref="L23:BR23" si="7">(_xlfn.NORM.DIST(AND(L$9&gt;=$E23,L$9&lt;=$F23)*(L$9-$E23+1),$G23/2,$H23,TRUE)-_xlfn.NORM.DIST(AND(L$9&gt;=$E23,L$9&lt;=$F23)*(K$9-$E23+1),$G23/2,$H23,TRUE))/(1-2*_xlfn.NORM.DIST(0,$G23/2,$H23,TRUE))*$C23</f>
        <v>0</v>
      </c>
      <c r="M23" s="353">
        <f t="shared" si="7"/>
        <v>0</v>
      </c>
      <c r="N23" s="353">
        <f t="shared" si="7"/>
        <v>0</v>
      </c>
      <c r="O23" s="353">
        <f t="shared" si="7"/>
        <v>0</v>
      </c>
      <c r="P23" s="353">
        <f t="shared" si="7"/>
        <v>0</v>
      </c>
      <c r="Q23" s="353">
        <f t="shared" si="7"/>
        <v>0</v>
      </c>
      <c r="R23" s="353">
        <f t="shared" si="7"/>
        <v>0</v>
      </c>
      <c r="S23" s="353">
        <f t="shared" si="7"/>
        <v>0</v>
      </c>
      <c r="T23" s="353">
        <f t="shared" si="7"/>
        <v>0</v>
      </c>
      <c r="U23" s="353">
        <f t="shared" si="7"/>
        <v>0</v>
      </c>
      <c r="V23" s="353">
        <f t="shared" si="7"/>
        <v>0</v>
      </c>
      <c r="W23" s="353">
        <f t="shared" si="7"/>
        <v>0</v>
      </c>
      <c r="X23" s="353">
        <f t="shared" si="7"/>
        <v>0</v>
      </c>
      <c r="Y23" s="353">
        <f t="shared" si="7"/>
        <v>0</v>
      </c>
      <c r="Z23" s="353">
        <f t="shared" si="7"/>
        <v>127326.55372730129</v>
      </c>
      <c r="AA23" s="353">
        <f t="shared" si="7"/>
        <v>252322.89223925612</v>
      </c>
      <c r="AB23" s="353">
        <f t="shared" si="7"/>
        <v>469882.22520511842</v>
      </c>
      <c r="AC23" s="353">
        <f t="shared" si="7"/>
        <v>822274.08787347015</v>
      </c>
      <c r="AD23" s="353">
        <f t="shared" si="7"/>
        <v>1352196.7867389403</v>
      </c>
      <c r="AE23" s="353">
        <f t="shared" si="7"/>
        <v>2089581.5837303572</v>
      </c>
      <c r="AF23" s="353">
        <f t="shared" si="7"/>
        <v>3034417.1229307391</v>
      </c>
      <c r="AG23" s="353">
        <f t="shared" si="7"/>
        <v>4140836.3811756242</v>
      </c>
      <c r="AH23" s="353">
        <f t="shared" si="7"/>
        <v>5310042.2209658977</v>
      </c>
      <c r="AI23" s="353">
        <f t="shared" si="7"/>
        <v>6398898.3390046833</v>
      </c>
      <c r="AJ23" s="353">
        <f t="shared" si="7"/>
        <v>7246193.7693137899</v>
      </c>
      <c r="AK23" s="353">
        <f t="shared" si="7"/>
        <v>7711028.037094824</v>
      </c>
      <c r="AL23" s="353">
        <f t="shared" si="7"/>
        <v>7711028.037094824</v>
      </c>
      <c r="AM23" s="353">
        <f t="shared" si="7"/>
        <v>7246193.7693137899</v>
      </c>
      <c r="AN23" s="353">
        <f t="shared" si="7"/>
        <v>6398898.3390046787</v>
      </c>
      <c r="AO23" s="353">
        <f t="shared" si="7"/>
        <v>5310042.2209659042</v>
      </c>
      <c r="AP23" s="353">
        <f t="shared" si="7"/>
        <v>4140836.3811756228</v>
      </c>
      <c r="AQ23" s="353">
        <f t="shared" si="7"/>
        <v>3034417.1229307358</v>
      </c>
      <c r="AR23" s="353">
        <f t="shared" si="7"/>
        <v>2089581.5837303582</v>
      </c>
      <c r="AS23" s="353">
        <f t="shared" si="7"/>
        <v>1352196.78673894</v>
      </c>
      <c r="AT23" s="353">
        <f t="shared" si="7"/>
        <v>822274.08787347341</v>
      </c>
      <c r="AU23" s="353">
        <f t="shared" si="7"/>
        <v>469882.22520511452</v>
      </c>
      <c r="AV23" s="353">
        <f t="shared" si="7"/>
        <v>252322.8922392581</v>
      </c>
      <c r="AW23" s="353">
        <f t="shared" si="7"/>
        <v>127326.55372730052</v>
      </c>
      <c r="AX23" s="353">
        <f t="shared" si="7"/>
        <v>0</v>
      </c>
      <c r="AY23" s="353">
        <f t="shared" si="7"/>
        <v>0</v>
      </c>
      <c r="AZ23" s="353">
        <f t="shared" si="7"/>
        <v>0</v>
      </c>
      <c r="BA23" s="353">
        <f t="shared" si="7"/>
        <v>0</v>
      </c>
      <c r="BB23" s="353">
        <f t="shared" si="7"/>
        <v>0</v>
      </c>
      <c r="BC23" s="353">
        <f t="shared" si="7"/>
        <v>0</v>
      </c>
      <c r="BD23" s="353">
        <f t="shared" si="7"/>
        <v>0</v>
      </c>
      <c r="BE23" s="353">
        <f t="shared" si="7"/>
        <v>0</v>
      </c>
      <c r="BF23" s="353">
        <f t="shared" si="7"/>
        <v>0</v>
      </c>
      <c r="BG23" s="353">
        <f t="shared" si="7"/>
        <v>0</v>
      </c>
      <c r="BH23" s="353">
        <f t="shared" si="7"/>
        <v>0</v>
      </c>
      <c r="BI23" s="353">
        <f t="shared" si="7"/>
        <v>0</v>
      </c>
      <c r="BJ23" s="353">
        <f t="shared" si="7"/>
        <v>0</v>
      </c>
      <c r="BK23" s="353">
        <f t="shared" si="7"/>
        <v>0</v>
      </c>
      <c r="BL23" s="353">
        <f t="shared" si="7"/>
        <v>0</v>
      </c>
      <c r="BM23" s="353">
        <f t="shared" si="7"/>
        <v>0</v>
      </c>
      <c r="BN23" s="353">
        <f t="shared" si="7"/>
        <v>0</v>
      </c>
      <c r="BO23" s="353">
        <f t="shared" si="7"/>
        <v>0</v>
      </c>
      <c r="BP23" s="353">
        <f t="shared" si="7"/>
        <v>0</v>
      </c>
      <c r="BQ23" s="353">
        <f t="shared" si="7"/>
        <v>0</v>
      </c>
      <c r="BR23" s="354">
        <f t="shared" si="7"/>
        <v>0</v>
      </c>
    </row>
    <row r="24" spans="2:70" x14ac:dyDescent="0.3">
      <c r="B24" s="10"/>
      <c r="C24" s="316"/>
      <c r="D24" s="34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4"/>
    </row>
    <row r="25" spans="2:70" x14ac:dyDescent="0.3">
      <c r="B25" s="10" t="str">
        <f>Budget!B45</f>
        <v>Tenant Improvements</v>
      </c>
      <c r="C25" s="355">
        <f>INDEX(Budget!$E$28:$E$59,MATCH(MonthlyCF!B25,Budget!$B$28:$B$59,0))</f>
        <v>8397324.0000000019</v>
      </c>
      <c r="D25" s="351" t="s">
        <v>181</v>
      </c>
      <c r="E25" s="104">
        <f>Summary!F27</f>
        <v>39</v>
      </c>
      <c r="I25" s="2" t="str">
        <f>IF(ROUND(SUM($J25:$BR25),0)=ROUND(C25,0),"OK","error")</f>
        <v>OK</v>
      </c>
      <c r="J25" s="1"/>
      <c r="K25" s="353">
        <f>(K$9=$E25)*$C25</f>
        <v>0</v>
      </c>
      <c r="L25" s="353">
        <f t="shared" ref="L25:BR25" si="8">(L$9=$E25)*$C25</f>
        <v>0</v>
      </c>
      <c r="M25" s="353">
        <f t="shared" si="8"/>
        <v>0</v>
      </c>
      <c r="N25" s="353">
        <f t="shared" si="8"/>
        <v>0</v>
      </c>
      <c r="O25" s="353">
        <f t="shared" si="8"/>
        <v>0</v>
      </c>
      <c r="P25" s="353">
        <f t="shared" si="8"/>
        <v>0</v>
      </c>
      <c r="Q25" s="353">
        <f t="shared" si="8"/>
        <v>0</v>
      </c>
      <c r="R25" s="353">
        <f t="shared" si="8"/>
        <v>0</v>
      </c>
      <c r="S25" s="353">
        <f t="shared" si="8"/>
        <v>0</v>
      </c>
      <c r="T25" s="353">
        <f t="shared" si="8"/>
        <v>0</v>
      </c>
      <c r="U25" s="353">
        <f t="shared" si="8"/>
        <v>0</v>
      </c>
      <c r="V25" s="353">
        <f t="shared" si="8"/>
        <v>0</v>
      </c>
      <c r="W25" s="353">
        <f t="shared" si="8"/>
        <v>0</v>
      </c>
      <c r="X25" s="353">
        <f t="shared" si="8"/>
        <v>0</v>
      </c>
      <c r="Y25" s="353">
        <f t="shared" si="8"/>
        <v>0</v>
      </c>
      <c r="Z25" s="353">
        <f t="shared" si="8"/>
        <v>0</v>
      </c>
      <c r="AA25" s="353">
        <f t="shared" si="8"/>
        <v>0</v>
      </c>
      <c r="AB25" s="353">
        <f t="shared" si="8"/>
        <v>0</v>
      </c>
      <c r="AC25" s="353">
        <f t="shared" si="8"/>
        <v>0</v>
      </c>
      <c r="AD25" s="353">
        <f t="shared" si="8"/>
        <v>0</v>
      </c>
      <c r="AE25" s="353">
        <f t="shared" si="8"/>
        <v>0</v>
      </c>
      <c r="AF25" s="353">
        <f t="shared" si="8"/>
        <v>0</v>
      </c>
      <c r="AG25" s="353">
        <f t="shared" si="8"/>
        <v>0</v>
      </c>
      <c r="AH25" s="353">
        <f t="shared" si="8"/>
        <v>0</v>
      </c>
      <c r="AI25" s="353">
        <f t="shared" si="8"/>
        <v>0</v>
      </c>
      <c r="AJ25" s="353">
        <f t="shared" si="8"/>
        <v>0</v>
      </c>
      <c r="AK25" s="353">
        <f t="shared" si="8"/>
        <v>0</v>
      </c>
      <c r="AL25" s="353">
        <f t="shared" si="8"/>
        <v>0</v>
      </c>
      <c r="AM25" s="353">
        <f t="shared" si="8"/>
        <v>0</v>
      </c>
      <c r="AN25" s="353">
        <f t="shared" si="8"/>
        <v>0</v>
      </c>
      <c r="AO25" s="353">
        <f t="shared" si="8"/>
        <v>0</v>
      </c>
      <c r="AP25" s="353">
        <f t="shared" si="8"/>
        <v>0</v>
      </c>
      <c r="AQ25" s="353">
        <f t="shared" si="8"/>
        <v>0</v>
      </c>
      <c r="AR25" s="353">
        <f t="shared" si="8"/>
        <v>0</v>
      </c>
      <c r="AS25" s="353">
        <f t="shared" si="8"/>
        <v>0</v>
      </c>
      <c r="AT25" s="353">
        <f t="shared" si="8"/>
        <v>0</v>
      </c>
      <c r="AU25" s="353">
        <f t="shared" si="8"/>
        <v>0</v>
      </c>
      <c r="AV25" s="353">
        <f t="shared" si="8"/>
        <v>0</v>
      </c>
      <c r="AW25" s="353">
        <f t="shared" si="8"/>
        <v>8397324.0000000019</v>
      </c>
      <c r="AX25" s="353">
        <f t="shared" si="8"/>
        <v>0</v>
      </c>
      <c r="AY25" s="353">
        <f t="shared" si="8"/>
        <v>0</v>
      </c>
      <c r="AZ25" s="353">
        <f t="shared" si="8"/>
        <v>0</v>
      </c>
      <c r="BA25" s="353">
        <f t="shared" si="8"/>
        <v>0</v>
      </c>
      <c r="BB25" s="353">
        <f t="shared" si="8"/>
        <v>0</v>
      </c>
      <c r="BC25" s="353">
        <f t="shared" si="8"/>
        <v>0</v>
      </c>
      <c r="BD25" s="353">
        <f t="shared" si="8"/>
        <v>0</v>
      </c>
      <c r="BE25" s="353">
        <f t="shared" si="8"/>
        <v>0</v>
      </c>
      <c r="BF25" s="353">
        <f t="shared" si="8"/>
        <v>0</v>
      </c>
      <c r="BG25" s="353">
        <f t="shared" si="8"/>
        <v>0</v>
      </c>
      <c r="BH25" s="353">
        <f t="shared" si="8"/>
        <v>0</v>
      </c>
      <c r="BI25" s="353">
        <f t="shared" si="8"/>
        <v>0</v>
      </c>
      <c r="BJ25" s="353">
        <f t="shared" si="8"/>
        <v>0</v>
      </c>
      <c r="BK25" s="353">
        <f t="shared" si="8"/>
        <v>0</v>
      </c>
      <c r="BL25" s="353">
        <f t="shared" si="8"/>
        <v>0</v>
      </c>
      <c r="BM25" s="353">
        <f t="shared" si="8"/>
        <v>0</v>
      </c>
      <c r="BN25" s="353">
        <f t="shared" si="8"/>
        <v>0</v>
      </c>
      <c r="BO25" s="353">
        <f t="shared" si="8"/>
        <v>0</v>
      </c>
      <c r="BP25" s="353">
        <f t="shared" si="8"/>
        <v>0</v>
      </c>
      <c r="BQ25" s="353">
        <f t="shared" si="8"/>
        <v>0</v>
      </c>
      <c r="BR25" s="354">
        <f t="shared" si="8"/>
        <v>0</v>
      </c>
    </row>
    <row r="26" spans="2:70" x14ac:dyDescent="0.3">
      <c r="B26" s="10"/>
      <c r="C26" s="316"/>
      <c r="D26" s="346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4"/>
    </row>
    <row r="27" spans="2:70" x14ac:dyDescent="0.3">
      <c r="B27" s="10" t="str">
        <f>Budget!B47</f>
        <v>Permits &amp; City Fees</v>
      </c>
      <c r="C27" s="355">
        <f>INDEX(Budget!$E$28:$E$59,MATCH(MonthlyCF!B27,Budget!$B$28:$B$59,0))</f>
        <v>779100</v>
      </c>
      <c r="D27" s="351" t="s">
        <v>177</v>
      </c>
      <c r="E27" s="105">
        <f>Summary!D17+1</f>
        <v>10</v>
      </c>
      <c r="F27" s="106">
        <f>E27+5</f>
        <v>15</v>
      </c>
      <c r="I27" s="2" t="str">
        <f>IF(ROUND(SUM($J27:$BR27),0)=ROUND(C27,0),"OK","error")</f>
        <v>OK</v>
      </c>
      <c r="J27" s="1"/>
      <c r="K27" s="353">
        <f>(K9=$E$27)*$C$27*$E$28+(K9=$F$27)*$C$27*$F$28</f>
        <v>0</v>
      </c>
      <c r="L27" s="353">
        <f t="shared" ref="L27:BR27" si="9">(L9=$E$27)*$C$27*$E$28+(L9=$F$27)*$C$27*$F$28</f>
        <v>0</v>
      </c>
      <c r="M27" s="353">
        <f t="shared" si="9"/>
        <v>0</v>
      </c>
      <c r="N27" s="353">
        <f t="shared" si="9"/>
        <v>0</v>
      </c>
      <c r="O27" s="353">
        <f t="shared" si="9"/>
        <v>0</v>
      </c>
      <c r="P27" s="353">
        <f t="shared" si="9"/>
        <v>0</v>
      </c>
      <c r="Q27" s="353">
        <f t="shared" si="9"/>
        <v>0</v>
      </c>
      <c r="R27" s="353">
        <f t="shared" si="9"/>
        <v>0</v>
      </c>
      <c r="S27" s="353">
        <f t="shared" si="9"/>
        <v>0</v>
      </c>
      <c r="T27" s="353">
        <f t="shared" si="9"/>
        <v>467460</v>
      </c>
      <c r="U27" s="353">
        <f t="shared" si="9"/>
        <v>0</v>
      </c>
      <c r="V27" s="353">
        <f t="shared" si="9"/>
        <v>0</v>
      </c>
      <c r="W27" s="353">
        <f t="shared" si="9"/>
        <v>0</v>
      </c>
      <c r="X27" s="353">
        <f t="shared" si="9"/>
        <v>0</v>
      </c>
      <c r="Y27" s="353">
        <f t="shared" si="9"/>
        <v>311640</v>
      </c>
      <c r="Z27" s="353">
        <f t="shared" si="9"/>
        <v>0</v>
      </c>
      <c r="AA27" s="353">
        <f t="shared" si="9"/>
        <v>0</v>
      </c>
      <c r="AB27" s="353">
        <f t="shared" si="9"/>
        <v>0</v>
      </c>
      <c r="AC27" s="353">
        <f t="shared" si="9"/>
        <v>0</v>
      </c>
      <c r="AD27" s="353">
        <f t="shared" si="9"/>
        <v>0</v>
      </c>
      <c r="AE27" s="353">
        <f t="shared" si="9"/>
        <v>0</v>
      </c>
      <c r="AF27" s="353">
        <f t="shared" si="9"/>
        <v>0</v>
      </c>
      <c r="AG27" s="353">
        <f t="shared" si="9"/>
        <v>0</v>
      </c>
      <c r="AH27" s="353">
        <f t="shared" si="9"/>
        <v>0</v>
      </c>
      <c r="AI27" s="353">
        <f t="shared" si="9"/>
        <v>0</v>
      </c>
      <c r="AJ27" s="353">
        <f t="shared" si="9"/>
        <v>0</v>
      </c>
      <c r="AK27" s="353">
        <f t="shared" si="9"/>
        <v>0</v>
      </c>
      <c r="AL27" s="353">
        <f t="shared" si="9"/>
        <v>0</v>
      </c>
      <c r="AM27" s="353">
        <f t="shared" si="9"/>
        <v>0</v>
      </c>
      <c r="AN27" s="353">
        <f t="shared" si="9"/>
        <v>0</v>
      </c>
      <c r="AO27" s="353">
        <f t="shared" si="9"/>
        <v>0</v>
      </c>
      <c r="AP27" s="353">
        <f t="shared" si="9"/>
        <v>0</v>
      </c>
      <c r="AQ27" s="353">
        <f t="shared" si="9"/>
        <v>0</v>
      </c>
      <c r="AR27" s="353">
        <f t="shared" si="9"/>
        <v>0</v>
      </c>
      <c r="AS27" s="353">
        <f t="shared" si="9"/>
        <v>0</v>
      </c>
      <c r="AT27" s="353">
        <f t="shared" si="9"/>
        <v>0</v>
      </c>
      <c r="AU27" s="353">
        <f t="shared" si="9"/>
        <v>0</v>
      </c>
      <c r="AV27" s="353">
        <f t="shared" si="9"/>
        <v>0</v>
      </c>
      <c r="AW27" s="353">
        <f t="shared" si="9"/>
        <v>0</v>
      </c>
      <c r="AX27" s="353">
        <f t="shared" si="9"/>
        <v>0</v>
      </c>
      <c r="AY27" s="353">
        <f t="shared" si="9"/>
        <v>0</v>
      </c>
      <c r="AZ27" s="353">
        <f t="shared" si="9"/>
        <v>0</v>
      </c>
      <c r="BA27" s="353">
        <f t="shared" si="9"/>
        <v>0</v>
      </c>
      <c r="BB27" s="353">
        <f t="shared" si="9"/>
        <v>0</v>
      </c>
      <c r="BC27" s="353">
        <f t="shared" si="9"/>
        <v>0</v>
      </c>
      <c r="BD27" s="353">
        <f t="shared" si="9"/>
        <v>0</v>
      </c>
      <c r="BE27" s="353">
        <f t="shared" si="9"/>
        <v>0</v>
      </c>
      <c r="BF27" s="353">
        <f t="shared" si="9"/>
        <v>0</v>
      </c>
      <c r="BG27" s="353">
        <f t="shared" si="9"/>
        <v>0</v>
      </c>
      <c r="BH27" s="353">
        <f t="shared" si="9"/>
        <v>0</v>
      </c>
      <c r="BI27" s="353">
        <f t="shared" si="9"/>
        <v>0</v>
      </c>
      <c r="BJ27" s="353">
        <f t="shared" si="9"/>
        <v>0</v>
      </c>
      <c r="BK27" s="353">
        <f t="shared" si="9"/>
        <v>0</v>
      </c>
      <c r="BL27" s="353">
        <f t="shared" si="9"/>
        <v>0</v>
      </c>
      <c r="BM27" s="353">
        <f t="shared" si="9"/>
        <v>0</v>
      </c>
      <c r="BN27" s="353">
        <f t="shared" si="9"/>
        <v>0</v>
      </c>
      <c r="BO27" s="353">
        <f t="shared" si="9"/>
        <v>0</v>
      </c>
      <c r="BP27" s="353">
        <f t="shared" si="9"/>
        <v>0</v>
      </c>
      <c r="BQ27" s="353">
        <f t="shared" si="9"/>
        <v>0</v>
      </c>
      <c r="BR27" s="354">
        <f t="shared" si="9"/>
        <v>0</v>
      </c>
    </row>
    <row r="28" spans="2:70" x14ac:dyDescent="0.3">
      <c r="B28" s="10"/>
      <c r="C28" s="316"/>
      <c r="D28" s="346"/>
      <c r="E28" s="209">
        <v>0.6</v>
      </c>
      <c r="F28" s="210">
        <f>1-E28</f>
        <v>0.4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4"/>
    </row>
    <row r="29" spans="2:70" x14ac:dyDescent="0.3">
      <c r="B29" s="10" t="str">
        <f>Budget!B49</f>
        <v>Taxes</v>
      </c>
      <c r="C29" s="355">
        <f>SUM(K29:BR29)</f>
        <v>2888902.2059932109</v>
      </c>
      <c r="D29" s="351" t="s">
        <v>177</v>
      </c>
      <c r="E29" s="318">
        <f>Budget!C49</f>
        <v>1.6E-2</v>
      </c>
      <c r="F29" s="99"/>
      <c r="G29" s="99"/>
      <c r="H29" s="100"/>
      <c r="I29" s="2" t="str">
        <f>IF(ROUND(SUM($J29:$BR29),0)=ROUND(C29,0),"OK","error")</f>
        <v>OK</v>
      </c>
      <c r="J29" s="1"/>
      <c r="K29" s="353">
        <f>AND(MONTH(K10)=1,K9&lt;=Summary!$E$22)*SUM($J$23:J23,$J$13:J13)*$E$29</f>
        <v>0</v>
      </c>
      <c r="L29" s="353">
        <f>AND(MONTH(L10)=1,L9&lt;=Summary!$E$22)*SUM($J$23:K23,$J$13:K13)*$E$29</f>
        <v>0</v>
      </c>
      <c r="M29" s="353">
        <f>AND(MONTH(M10)=1,M9&lt;=Summary!$E$22)*SUM($J$23:L23,$J$13:L13)*$E$29</f>
        <v>0</v>
      </c>
      <c r="N29" s="353">
        <f>AND(MONTH(N10)=1,N9&lt;=Summary!$E$22)*SUM($J$23:M23,$J$13:M13)*$E$29</f>
        <v>0</v>
      </c>
      <c r="O29" s="353">
        <f>AND(MONTH(O10)=1,O9&lt;=Summary!$E$22)*SUM($J$23:N23,$J$13:N13)*$E$29</f>
        <v>0</v>
      </c>
      <c r="P29" s="353">
        <f>AND(MONTH(P10)=1,P9&lt;=Summary!$E$22)*SUM($J$23:O23,$J$13:O13)*$E$29</f>
        <v>0</v>
      </c>
      <c r="Q29" s="353">
        <f>AND(MONTH(Q10)=1,Q9&lt;=Summary!$E$22)*SUM($J$23:P23,$J$13:P13)*$E$29</f>
        <v>0</v>
      </c>
      <c r="R29" s="353">
        <f>AND(MONTH(R10)=1,R9&lt;=Summary!$E$22)*SUM($J$23:Q23,$J$13:Q13)*$E$29</f>
        <v>0</v>
      </c>
      <c r="S29" s="353">
        <f>AND(MONTH(S10)=1,S9&lt;=Summary!$E$22)*SUM($J$23:R23,$J$13:R13)*$E$29</f>
        <v>0</v>
      </c>
      <c r="T29" s="353">
        <f>AND(MONTH(T10)=1,T9&lt;=Summary!$E$22)*SUM($J$23:S23,$J$13:S13)*$E$29</f>
        <v>0</v>
      </c>
      <c r="U29" s="353">
        <f>AND(MONTH(U10)=1,U9&lt;=Summary!$E$22)*SUM($J$23:T23,$J$13:T13)*$E$29</f>
        <v>0</v>
      </c>
      <c r="V29" s="353">
        <f>AND(MONTH(V10)=1,V9&lt;=Summary!$E$22)*SUM($J$23:U23,$J$13:U13)*$E$29</f>
        <v>490823.23200000002</v>
      </c>
      <c r="W29" s="353">
        <f>AND(MONTH(W10)=1,W9&lt;=Summary!$E$22)*SUM($J$23:V23,$J$13:V13)*$E$29</f>
        <v>0</v>
      </c>
      <c r="X29" s="353">
        <f>AND(MONTH(X10)=1,X9&lt;=Summary!$E$22)*SUM($J$23:W23,$J$13:W13)*$E$29</f>
        <v>0</v>
      </c>
      <c r="Y29" s="353">
        <f>AND(MONTH(Y10)=1,Y9&lt;=Summary!$E$22)*SUM($J$23:X23,$J$13:X13)*$E$29</f>
        <v>0</v>
      </c>
      <c r="Z29" s="353">
        <f>AND(MONTH(Z10)=1,Z9&lt;=Summary!$E$22)*SUM($J$23:Y23,$J$13:Y13)*$E$29</f>
        <v>0</v>
      </c>
      <c r="AA29" s="353">
        <f>AND(MONTH(AA10)=1,AA9&lt;=Summary!$E$22)*SUM($J$23:Z23,$J$13:Z13)*$E$29</f>
        <v>0</v>
      </c>
      <c r="AB29" s="353">
        <f>AND(MONTH(AB10)=1,AB9&lt;=Summary!$E$22)*SUM($J$23:AA23,$J$13:AA13)*$E$29</f>
        <v>0</v>
      </c>
      <c r="AC29" s="353">
        <f>AND(MONTH(AC10)=1,AC9&lt;=Summary!$E$22)*SUM($J$23:AB23,$J$13:AB13)*$E$29</f>
        <v>0</v>
      </c>
      <c r="AD29" s="353">
        <f>AND(MONTH(AD10)=1,AD9&lt;=Summary!$E$22)*SUM($J$23:AC23,$J$13:AC13)*$E$29</f>
        <v>0</v>
      </c>
      <c r="AE29" s="353">
        <f>AND(MONTH(AE10)=1,AE9&lt;=Summary!$E$22)*SUM($J$23:AD23,$J$13:AD13)*$E$29</f>
        <v>0</v>
      </c>
      <c r="AF29" s="353">
        <f>AND(MONTH(AF10)=1,AF9&lt;=Summary!$E$22)*SUM($J$23:AE23,$J$13:AE13)*$E$29</f>
        <v>0</v>
      </c>
      <c r="AG29" s="353">
        <f>AND(MONTH(AG10)=1,AG9&lt;=Summary!$E$22)*SUM($J$23:AF23,$J$13:AF13)*$E$29</f>
        <v>0</v>
      </c>
      <c r="AH29" s="353">
        <f>AND(MONTH(AH10)=1,AH9&lt;=Summary!$E$22)*SUM($J$23:AG23,$J$13:AG13)*$E$29</f>
        <v>687444.63413793291</v>
      </c>
      <c r="AI29" s="353">
        <f>AND(MONTH(AI10)=1,AI9&lt;=Summary!$E$22)*SUM($J$23:AH23,$J$13:AH13)*$E$29</f>
        <v>0</v>
      </c>
      <c r="AJ29" s="353">
        <f>AND(MONTH(AJ10)=1,AJ9&lt;=Summary!$E$22)*SUM($J$23:AI23,$J$13:AI13)*$E$29</f>
        <v>0</v>
      </c>
      <c r="AK29" s="353">
        <f>AND(MONTH(AK10)=1,AK9&lt;=Summary!$E$22)*SUM($J$23:AJ23,$J$13:AJ13)*$E$29</f>
        <v>0</v>
      </c>
      <c r="AL29" s="353">
        <f>AND(MONTH(AL10)=1,AL9&lt;=Summary!$E$22)*SUM($J$23:AK23,$J$13:AK13)*$E$29</f>
        <v>0</v>
      </c>
      <c r="AM29" s="353">
        <f>AND(MONTH(AM10)=1,AM9&lt;=Summary!$E$22)*SUM($J$23:AL23,$J$13:AL13)*$E$29</f>
        <v>0</v>
      </c>
      <c r="AN29" s="353">
        <f>AND(MONTH(AN10)=1,AN9&lt;=Summary!$E$22)*SUM($J$23:AM23,$J$13:AM13)*$E$29</f>
        <v>0</v>
      </c>
      <c r="AO29" s="353">
        <f>AND(MONTH(AO10)=1,AO9&lt;=Summary!$E$22)*SUM($J$23:AN23,$J$13:AN13)*$E$29</f>
        <v>0</v>
      </c>
      <c r="AP29" s="353">
        <f>AND(MONTH(AP10)=1,AP9&lt;=Summary!$E$22)*SUM($J$23:AO23,$J$13:AO13)*$E$29</f>
        <v>0</v>
      </c>
      <c r="AQ29" s="353">
        <f>AND(MONTH(AQ10)=1,AQ9&lt;=Summary!$E$22)*SUM($J$23:AP23,$J$13:AP13)*$E$29</f>
        <v>0</v>
      </c>
      <c r="AR29" s="353">
        <f>AND(MONTH(AR10)=1,AR9&lt;=Summary!$E$22)*SUM($J$23:AQ23,$J$13:AQ13)*$E$29</f>
        <v>0</v>
      </c>
      <c r="AS29" s="353">
        <f>AND(MONTH(AS10)=1,AS9&lt;=Summary!$E$22)*SUM($J$23:AR23,$J$13:AR13)*$E$29</f>
        <v>0</v>
      </c>
      <c r="AT29" s="353">
        <f>AND(MONTH(AT10)=1,AT9&lt;=Summary!$E$22)*SUM($J$23:AS23,$J$13:AS13)*$E$29</f>
        <v>1710634.3398552779</v>
      </c>
      <c r="AU29" s="353">
        <f>AND(MONTH(AU10)=1,AU9&lt;=Summary!$E$22)*SUM($J$23:AT23,$J$13:AT13)*$E$29</f>
        <v>0</v>
      </c>
      <c r="AV29" s="353">
        <f>AND(MONTH(AV10)=1,AV9&lt;=Summary!$E$22)*SUM($J$23:AU23,$J$13:AU13)*$E$29</f>
        <v>0</v>
      </c>
      <c r="AW29" s="353">
        <f>AND(MONTH(AW10)=1,AW9&lt;=Summary!$E$22)*SUM($J$23:AV23,$J$13:AV13)*$E$29</f>
        <v>0</v>
      </c>
      <c r="AX29" s="353">
        <f>AND(MONTH(AX10)=1,AX9&lt;=Summary!$E$22)*SUM($J$23:AW23,$J$13:AW13)*$E$29</f>
        <v>0</v>
      </c>
      <c r="AY29" s="353">
        <f>AND(MONTH(AY10)=1,AY9&lt;=Summary!$E$22)*SUM($J$23:AX23,$J$13:AX13)*$E$29</f>
        <v>0</v>
      </c>
      <c r="AZ29" s="353">
        <f>AND(MONTH(AZ10)=1,AZ9&lt;=Summary!$E$22)*SUM($J$23:AY23,$J$13:AY13)*$E$29</f>
        <v>0</v>
      </c>
      <c r="BA29" s="353">
        <f>AND(MONTH(BA10)=1,BA9&lt;=Summary!$E$22)*SUM($J$23:AZ23,$J$13:AZ13)*$E$29</f>
        <v>0</v>
      </c>
      <c r="BB29" s="353">
        <f>AND(MONTH(BB10)=1,BB9&lt;=Summary!$E$22)*SUM($J$23:BA23,$J$13:BA13)*$E$29</f>
        <v>0</v>
      </c>
      <c r="BC29" s="353">
        <f>AND(MONTH(BC10)=1,BC9&lt;=Summary!$E$22)*SUM($J$23:BB23,$J$13:BB13)*$E$29</f>
        <v>0</v>
      </c>
      <c r="BD29" s="353">
        <f>AND(MONTH(BD10)=1,BD9&lt;=Summary!$E$22)*SUM($J$23:BC23,$J$13:BC13)*$E$29</f>
        <v>0</v>
      </c>
      <c r="BE29" s="353">
        <f>AND(MONTH(BE10)=1,BE9&lt;=Summary!$E$22)*SUM($J$23:BD23,$J$13:BD13)*$E$29</f>
        <v>0</v>
      </c>
      <c r="BF29" s="353">
        <f>AND(MONTH(BF10)=1,BF9&lt;=Summary!$E$22)*SUM($J$23:BE23,$J$13:BE13)*$E$29</f>
        <v>0</v>
      </c>
      <c r="BG29" s="353">
        <f>AND(MONTH(BG10)=1,BG9&lt;=Summary!$E$22)*SUM($J$23:BF23,$J$13:BF13)*$E$29</f>
        <v>0</v>
      </c>
      <c r="BH29" s="353">
        <f>AND(MONTH(BH10)=1,BH9&lt;=Summary!$E$22)*SUM($J$23:BG23,$J$13:BG13)*$E$29</f>
        <v>0</v>
      </c>
      <c r="BI29" s="353">
        <f>AND(MONTH(BI10)=1,BI9&lt;=Summary!$E$22)*SUM($J$23:BH23,$J$13:BH13)*$E$29</f>
        <v>0</v>
      </c>
      <c r="BJ29" s="353">
        <f>AND(MONTH(BJ10)=1,BJ9&lt;=Summary!$E$22)*SUM($J$23:BI23,$J$13:BI13)*$E$29</f>
        <v>0</v>
      </c>
      <c r="BK29" s="353">
        <f>AND(MONTH(BK10)=1,BK9&lt;=Summary!$E$22)*SUM($J$23:BJ23,$J$13:BJ13)*$E$29</f>
        <v>0</v>
      </c>
      <c r="BL29" s="353">
        <f>AND(MONTH(BL10)=1,BL9&lt;=Summary!$E$22)*SUM($J$23:BK23,$J$13:BK13)*$E$29</f>
        <v>0</v>
      </c>
      <c r="BM29" s="353">
        <f>AND(MONTH(BM10)=1,BM9&lt;=Summary!$E$22)*SUM($J$23:BL23,$J$13:BL13)*$E$29</f>
        <v>0</v>
      </c>
      <c r="BN29" s="353">
        <f>AND(MONTH(BN10)=1,BN9&lt;=Summary!$E$22)*SUM($J$23:BM23,$J$13:BM13)*$E$29</f>
        <v>0</v>
      </c>
      <c r="BO29" s="353">
        <f>AND(MONTH(BO10)=1,BO9&lt;=Summary!$E$22)*SUM($J$23:BN23,$J$13:BN13)*$E$29</f>
        <v>0</v>
      </c>
      <c r="BP29" s="353">
        <f>AND(MONTH(BP10)=1,BP9&lt;=Summary!$E$22)*SUM($J$23:BO23,$J$13:BO13)*$E$29</f>
        <v>0</v>
      </c>
      <c r="BQ29" s="353">
        <f>AND(MONTH(BQ10)=1,BQ9&lt;=Summary!$E$22)*SUM($J$23:BP23,$J$13:BP13)*$E$29</f>
        <v>0</v>
      </c>
      <c r="BR29" s="353">
        <f>AND(MONTH(BR10)=1,BR9&lt;=Summary!$E$22)*SUM($J$23:BQ23,$J$13:BQ13)*$E$29</f>
        <v>0</v>
      </c>
    </row>
    <row r="30" spans="2:70" ht="33" customHeight="1" x14ac:dyDescent="0.3">
      <c r="B30" s="10"/>
      <c r="C30" s="316"/>
      <c r="D30" s="346"/>
      <c r="E30" s="424" t="s">
        <v>186</v>
      </c>
      <c r="F30" s="425"/>
      <c r="G30" s="425"/>
      <c r="H30" s="42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4"/>
    </row>
    <row r="31" spans="2:70" x14ac:dyDescent="0.3">
      <c r="B31" s="10" t="str">
        <f>Budget!B51</f>
        <v>Leasing and Marketing</v>
      </c>
      <c r="C31" s="316"/>
      <c r="D31" s="346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4"/>
    </row>
    <row r="32" spans="2:70" x14ac:dyDescent="0.3">
      <c r="B32" s="21" t="str">
        <f>Budget!B52</f>
        <v>Leasing Commissions</v>
      </c>
      <c r="C32" s="355">
        <f>INDEX(Budget!$E$28:$E$59,MATCH(MonthlyCF!B32,Budget!$B$28:$B$59,0))</f>
        <v>3664595.5621545701</v>
      </c>
      <c r="D32" s="351" t="s">
        <v>181</v>
      </c>
      <c r="E32" s="104">
        <f>E25</f>
        <v>39</v>
      </c>
      <c r="I32" s="2" t="str">
        <f>IF(ROUND(SUM($J32:$BR32),0)=ROUND(C32,0),"OK","error")</f>
        <v>OK</v>
      </c>
      <c r="J32" s="1"/>
      <c r="K32" s="353">
        <f t="shared" ref="K32:BR32" si="10">(K$9=$E32)*$C32</f>
        <v>0</v>
      </c>
      <c r="L32" s="353">
        <f t="shared" si="10"/>
        <v>0</v>
      </c>
      <c r="M32" s="353">
        <f t="shared" si="10"/>
        <v>0</v>
      </c>
      <c r="N32" s="353">
        <f t="shared" si="10"/>
        <v>0</v>
      </c>
      <c r="O32" s="353">
        <f t="shared" si="10"/>
        <v>0</v>
      </c>
      <c r="P32" s="353">
        <f t="shared" si="10"/>
        <v>0</v>
      </c>
      <c r="Q32" s="353">
        <f t="shared" si="10"/>
        <v>0</v>
      </c>
      <c r="R32" s="353">
        <f t="shared" si="10"/>
        <v>0</v>
      </c>
      <c r="S32" s="353">
        <f t="shared" si="10"/>
        <v>0</v>
      </c>
      <c r="T32" s="353">
        <f t="shared" si="10"/>
        <v>0</v>
      </c>
      <c r="U32" s="353">
        <f t="shared" si="10"/>
        <v>0</v>
      </c>
      <c r="V32" s="353">
        <f t="shared" si="10"/>
        <v>0</v>
      </c>
      <c r="W32" s="353">
        <f t="shared" si="10"/>
        <v>0</v>
      </c>
      <c r="X32" s="353">
        <f t="shared" si="10"/>
        <v>0</v>
      </c>
      <c r="Y32" s="353">
        <f t="shared" si="10"/>
        <v>0</v>
      </c>
      <c r="Z32" s="353">
        <f t="shared" si="10"/>
        <v>0</v>
      </c>
      <c r="AA32" s="353">
        <f t="shared" si="10"/>
        <v>0</v>
      </c>
      <c r="AB32" s="353">
        <f t="shared" si="10"/>
        <v>0</v>
      </c>
      <c r="AC32" s="353">
        <f t="shared" si="10"/>
        <v>0</v>
      </c>
      <c r="AD32" s="353">
        <f t="shared" si="10"/>
        <v>0</v>
      </c>
      <c r="AE32" s="353">
        <f t="shared" si="10"/>
        <v>0</v>
      </c>
      <c r="AF32" s="353">
        <f t="shared" si="10"/>
        <v>0</v>
      </c>
      <c r="AG32" s="353">
        <f t="shared" si="10"/>
        <v>0</v>
      </c>
      <c r="AH32" s="353">
        <f t="shared" si="10"/>
        <v>0</v>
      </c>
      <c r="AI32" s="353">
        <f t="shared" si="10"/>
        <v>0</v>
      </c>
      <c r="AJ32" s="353">
        <f t="shared" si="10"/>
        <v>0</v>
      </c>
      <c r="AK32" s="353">
        <f t="shared" si="10"/>
        <v>0</v>
      </c>
      <c r="AL32" s="353">
        <f t="shared" si="10"/>
        <v>0</v>
      </c>
      <c r="AM32" s="353">
        <f t="shared" si="10"/>
        <v>0</v>
      </c>
      <c r="AN32" s="353">
        <f t="shared" si="10"/>
        <v>0</v>
      </c>
      <c r="AO32" s="353">
        <f t="shared" si="10"/>
        <v>0</v>
      </c>
      <c r="AP32" s="353">
        <f t="shared" si="10"/>
        <v>0</v>
      </c>
      <c r="AQ32" s="353">
        <f t="shared" si="10"/>
        <v>0</v>
      </c>
      <c r="AR32" s="353">
        <f t="shared" si="10"/>
        <v>0</v>
      </c>
      <c r="AS32" s="353">
        <f t="shared" si="10"/>
        <v>0</v>
      </c>
      <c r="AT32" s="353">
        <f t="shared" si="10"/>
        <v>0</v>
      </c>
      <c r="AU32" s="353">
        <f t="shared" si="10"/>
        <v>0</v>
      </c>
      <c r="AV32" s="353">
        <f t="shared" si="10"/>
        <v>0</v>
      </c>
      <c r="AW32" s="353">
        <f t="shared" si="10"/>
        <v>3664595.5621545701</v>
      </c>
      <c r="AX32" s="353">
        <f t="shared" si="10"/>
        <v>0</v>
      </c>
      <c r="AY32" s="353">
        <f t="shared" si="10"/>
        <v>0</v>
      </c>
      <c r="AZ32" s="353">
        <f t="shared" si="10"/>
        <v>0</v>
      </c>
      <c r="BA32" s="353">
        <f t="shared" si="10"/>
        <v>0</v>
      </c>
      <c r="BB32" s="353">
        <f t="shared" si="10"/>
        <v>0</v>
      </c>
      <c r="BC32" s="353">
        <f t="shared" si="10"/>
        <v>0</v>
      </c>
      <c r="BD32" s="353">
        <f t="shared" si="10"/>
        <v>0</v>
      </c>
      <c r="BE32" s="353">
        <f t="shared" si="10"/>
        <v>0</v>
      </c>
      <c r="BF32" s="353">
        <f t="shared" si="10"/>
        <v>0</v>
      </c>
      <c r="BG32" s="353">
        <f t="shared" si="10"/>
        <v>0</v>
      </c>
      <c r="BH32" s="353">
        <f t="shared" si="10"/>
        <v>0</v>
      </c>
      <c r="BI32" s="353">
        <f t="shared" si="10"/>
        <v>0</v>
      </c>
      <c r="BJ32" s="353">
        <f t="shared" si="10"/>
        <v>0</v>
      </c>
      <c r="BK32" s="353">
        <f t="shared" si="10"/>
        <v>0</v>
      </c>
      <c r="BL32" s="353">
        <f t="shared" si="10"/>
        <v>0</v>
      </c>
      <c r="BM32" s="353">
        <f t="shared" si="10"/>
        <v>0</v>
      </c>
      <c r="BN32" s="353">
        <f t="shared" si="10"/>
        <v>0</v>
      </c>
      <c r="BO32" s="353">
        <f t="shared" si="10"/>
        <v>0</v>
      </c>
      <c r="BP32" s="353">
        <f t="shared" si="10"/>
        <v>0</v>
      </c>
      <c r="BQ32" s="353">
        <f t="shared" si="10"/>
        <v>0</v>
      </c>
      <c r="BR32" s="354">
        <f t="shared" si="10"/>
        <v>0</v>
      </c>
    </row>
    <row r="33" spans="2:70" x14ac:dyDescent="0.3">
      <c r="B33" s="21" t="str">
        <f>Budget!B53</f>
        <v>Marketing</v>
      </c>
      <c r="C33" s="355">
        <f>INDEX(Budget!$E$28:$E$59,MATCH(MonthlyCF!B33,Budget!$B$28:$B$59,0))</f>
        <v>387568.80000000005</v>
      </c>
      <c r="D33" s="351" t="s">
        <v>179</v>
      </c>
      <c r="E33" s="104">
        <f>Summary!$C$19</f>
        <v>16</v>
      </c>
      <c r="F33" s="92">
        <v>25</v>
      </c>
      <c r="G33" s="91">
        <f>F33-E33+1</f>
        <v>10</v>
      </c>
      <c r="H33" s="421">
        <v>10000000</v>
      </c>
      <c r="I33" s="2" t="str">
        <f>IF(ROUND(SUM($J33:$BR33),0)=ROUND(C33,0),"OK","error")</f>
        <v>OK</v>
      </c>
      <c r="J33" s="1"/>
      <c r="K33" s="353">
        <f t="shared" ref="K33:BR35" si="11">(_xlfn.NORM.DIST(AND(K$9&gt;=$E33,K$9&lt;=$F33)*(K$9-$E33+1),$G33/2,$H33,TRUE)-_xlfn.NORM.DIST(AND(K$9&gt;=$E33,K$9&lt;=$F33)*(J$9-$E33+1),$G33/2,$H33,TRUE))/(1-2*_xlfn.NORM.DIST(0,$G33/2,$H33,TRUE))*$C33</f>
        <v>0</v>
      </c>
      <c r="L33" s="353">
        <f t="shared" si="11"/>
        <v>0</v>
      </c>
      <c r="M33" s="353">
        <f t="shared" si="11"/>
        <v>0</v>
      </c>
      <c r="N33" s="353">
        <f t="shared" si="11"/>
        <v>0</v>
      </c>
      <c r="O33" s="353">
        <f t="shared" si="11"/>
        <v>0</v>
      </c>
      <c r="P33" s="353">
        <f t="shared" si="11"/>
        <v>0</v>
      </c>
      <c r="Q33" s="353">
        <f t="shared" si="11"/>
        <v>0</v>
      </c>
      <c r="R33" s="353">
        <f t="shared" si="11"/>
        <v>0</v>
      </c>
      <c r="S33" s="353">
        <f t="shared" si="11"/>
        <v>0</v>
      </c>
      <c r="T33" s="353">
        <f t="shared" si="11"/>
        <v>0</v>
      </c>
      <c r="U33" s="353">
        <f t="shared" si="11"/>
        <v>0</v>
      </c>
      <c r="V33" s="353">
        <f t="shared" si="11"/>
        <v>0</v>
      </c>
      <c r="W33" s="353">
        <f t="shared" si="11"/>
        <v>0</v>
      </c>
      <c r="X33" s="353">
        <f t="shared" si="11"/>
        <v>0</v>
      </c>
      <c r="Y33" s="353">
        <f t="shared" si="11"/>
        <v>0</v>
      </c>
      <c r="Z33" s="353">
        <f t="shared" si="11"/>
        <v>38756.879989214292</v>
      </c>
      <c r="AA33" s="353">
        <f t="shared" si="11"/>
        <v>38756.880043142868</v>
      </c>
      <c r="AB33" s="353">
        <f t="shared" si="11"/>
        <v>38756.879989214292</v>
      </c>
      <c r="AC33" s="353">
        <f t="shared" si="11"/>
        <v>38756.879989214292</v>
      </c>
      <c r="AD33" s="353">
        <f t="shared" si="11"/>
        <v>38756.879989214292</v>
      </c>
      <c r="AE33" s="353">
        <f t="shared" si="11"/>
        <v>38756.879989214292</v>
      </c>
      <c r="AF33" s="353">
        <f t="shared" si="11"/>
        <v>38756.879989214292</v>
      </c>
      <c r="AG33" s="353">
        <f t="shared" si="11"/>
        <v>38756.879989214292</v>
      </c>
      <c r="AH33" s="353">
        <f t="shared" si="11"/>
        <v>38756.879989214292</v>
      </c>
      <c r="AI33" s="353">
        <f t="shared" si="11"/>
        <v>38756.880097071444</v>
      </c>
      <c r="AJ33" s="353">
        <f t="shared" si="11"/>
        <v>0</v>
      </c>
      <c r="AK33" s="353">
        <f t="shared" si="11"/>
        <v>0</v>
      </c>
      <c r="AL33" s="353">
        <f t="shared" si="11"/>
        <v>0</v>
      </c>
      <c r="AM33" s="353">
        <f t="shared" si="11"/>
        <v>0</v>
      </c>
      <c r="AN33" s="353">
        <f t="shared" si="11"/>
        <v>0</v>
      </c>
      <c r="AO33" s="353">
        <f t="shared" si="11"/>
        <v>0</v>
      </c>
      <c r="AP33" s="353">
        <f t="shared" si="11"/>
        <v>0</v>
      </c>
      <c r="AQ33" s="353">
        <f t="shared" si="11"/>
        <v>0</v>
      </c>
      <c r="AR33" s="353">
        <f t="shared" si="11"/>
        <v>0</v>
      </c>
      <c r="AS33" s="353">
        <f t="shared" si="11"/>
        <v>0</v>
      </c>
      <c r="AT33" s="353">
        <f t="shared" si="11"/>
        <v>0</v>
      </c>
      <c r="AU33" s="353">
        <f t="shared" si="11"/>
        <v>0</v>
      </c>
      <c r="AV33" s="353">
        <f t="shared" si="11"/>
        <v>0</v>
      </c>
      <c r="AW33" s="353">
        <f t="shared" si="11"/>
        <v>0</v>
      </c>
      <c r="AX33" s="353">
        <f t="shared" si="11"/>
        <v>0</v>
      </c>
      <c r="AY33" s="353">
        <f t="shared" si="11"/>
        <v>0</v>
      </c>
      <c r="AZ33" s="353">
        <f t="shared" si="11"/>
        <v>0</v>
      </c>
      <c r="BA33" s="353">
        <f t="shared" si="11"/>
        <v>0</v>
      </c>
      <c r="BB33" s="353">
        <f t="shared" si="11"/>
        <v>0</v>
      </c>
      <c r="BC33" s="353">
        <f t="shared" si="11"/>
        <v>0</v>
      </c>
      <c r="BD33" s="353">
        <f t="shared" si="11"/>
        <v>0</v>
      </c>
      <c r="BE33" s="353">
        <f t="shared" si="11"/>
        <v>0</v>
      </c>
      <c r="BF33" s="353">
        <f t="shared" si="11"/>
        <v>0</v>
      </c>
      <c r="BG33" s="353">
        <f t="shared" si="11"/>
        <v>0</v>
      </c>
      <c r="BH33" s="353">
        <f t="shared" si="11"/>
        <v>0</v>
      </c>
      <c r="BI33" s="353">
        <f t="shared" si="11"/>
        <v>0</v>
      </c>
      <c r="BJ33" s="353">
        <f t="shared" si="11"/>
        <v>0</v>
      </c>
      <c r="BK33" s="353">
        <f t="shared" si="11"/>
        <v>0</v>
      </c>
      <c r="BL33" s="353">
        <f t="shared" si="11"/>
        <v>0</v>
      </c>
      <c r="BM33" s="353">
        <f t="shared" si="11"/>
        <v>0</v>
      </c>
      <c r="BN33" s="353">
        <f t="shared" si="11"/>
        <v>0</v>
      </c>
      <c r="BO33" s="353">
        <f t="shared" si="11"/>
        <v>0</v>
      </c>
      <c r="BP33" s="353">
        <f t="shared" si="11"/>
        <v>0</v>
      </c>
      <c r="BQ33" s="353">
        <f t="shared" si="11"/>
        <v>0</v>
      </c>
      <c r="BR33" s="354">
        <f t="shared" si="11"/>
        <v>0</v>
      </c>
    </row>
    <row r="34" spans="2:70" x14ac:dyDescent="0.3">
      <c r="B34" s="10"/>
      <c r="C34" s="316"/>
      <c r="D34" s="346"/>
      <c r="G34" s="9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4"/>
    </row>
    <row r="35" spans="2:70" x14ac:dyDescent="0.3">
      <c r="B35" s="10" t="str">
        <f>Budget!B56</f>
        <v>Development Fee</v>
      </c>
      <c r="C35" s="355">
        <f>INDEX(Budget!$E$28:$E$59,MATCH(MonthlyCF!B35,Budget!$B$28:$B$59,0))</f>
        <v>2556802.3308646372</v>
      </c>
      <c r="D35" s="351" t="s">
        <v>179</v>
      </c>
      <c r="E35" s="104">
        <f>Summary!C15</f>
        <v>1</v>
      </c>
      <c r="F35" s="104">
        <f>Summary!E19</f>
        <v>39</v>
      </c>
      <c r="G35" s="91">
        <f>F35-E35+1</f>
        <v>39</v>
      </c>
      <c r="H35" s="421">
        <v>10000000</v>
      </c>
      <c r="I35" s="2" t="str">
        <f>IF(ROUND(SUM($J35:$BR35),0)=ROUND(C35,0),"OK","error")</f>
        <v>OK</v>
      </c>
      <c r="J35" s="1"/>
      <c r="K35" s="353">
        <f t="shared" si="11"/>
        <v>65559.034110700028</v>
      </c>
      <c r="L35" s="353">
        <f t="shared" si="11"/>
        <v>65559.034110700028</v>
      </c>
      <c r="M35" s="353">
        <f t="shared" si="11"/>
        <v>65559.034201922696</v>
      </c>
      <c r="N35" s="353">
        <f t="shared" si="11"/>
        <v>65559.034110700028</v>
      </c>
      <c r="O35" s="353">
        <f t="shared" si="11"/>
        <v>65559.034110700028</v>
      </c>
      <c r="P35" s="353">
        <f t="shared" si="11"/>
        <v>65559.034110700028</v>
      </c>
      <c r="Q35" s="353">
        <f t="shared" si="11"/>
        <v>65559.034110700028</v>
      </c>
      <c r="R35" s="353">
        <f t="shared" si="11"/>
        <v>65559.034110700028</v>
      </c>
      <c r="S35" s="353">
        <f t="shared" si="11"/>
        <v>65559.034110700028</v>
      </c>
      <c r="T35" s="353">
        <f t="shared" si="11"/>
        <v>65559.034201922696</v>
      </c>
      <c r="U35" s="353">
        <f t="shared" si="11"/>
        <v>65559.034110700028</v>
      </c>
      <c r="V35" s="353">
        <f t="shared" si="11"/>
        <v>65559.034110700028</v>
      </c>
      <c r="W35" s="353">
        <f t="shared" si="11"/>
        <v>65559.034110700028</v>
      </c>
      <c r="X35" s="353">
        <f t="shared" si="11"/>
        <v>65559.034110700028</v>
      </c>
      <c r="Y35" s="353">
        <f t="shared" si="11"/>
        <v>65559.034110700028</v>
      </c>
      <c r="Z35" s="353">
        <f t="shared" si="11"/>
        <v>65559.034110700028</v>
      </c>
      <c r="AA35" s="353">
        <f t="shared" si="11"/>
        <v>65559.034201922696</v>
      </c>
      <c r="AB35" s="353">
        <f t="shared" si="11"/>
        <v>65559.034110700028</v>
      </c>
      <c r="AC35" s="353">
        <f t="shared" si="11"/>
        <v>65559.034110700028</v>
      </c>
      <c r="AD35" s="353">
        <f t="shared" si="11"/>
        <v>65559.034019477374</v>
      </c>
      <c r="AE35" s="353">
        <f t="shared" si="11"/>
        <v>65559.034293145349</v>
      </c>
      <c r="AF35" s="353">
        <f t="shared" si="11"/>
        <v>65559.033928254721</v>
      </c>
      <c r="AG35" s="353">
        <f t="shared" si="11"/>
        <v>65559.034293145349</v>
      </c>
      <c r="AH35" s="353">
        <f t="shared" si="11"/>
        <v>65559.034110700028</v>
      </c>
      <c r="AI35" s="353">
        <f t="shared" si="11"/>
        <v>65559.034110700028</v>
      </c>
      <c r="AJ35" s="353">
        <f t="shared" si="11"/>
        <v>65559.034110700028</v>
      </c>
      <c r="AK35" s="353">
        <f t="shared" si="11"/>
        <v>65559.034110700028</v>
      </c>
      <c r="AL35" s="353">
        <f t="shared" si="11"/>
        <v>65559.034110700028</v>
      </c>
      <c r="AM35" s="353">
        <f t="shared" si="11"/>
        <v>65559.034110700028</v>
      </c>
      <c r="AN35" s="353">
        <f t="shared" si="11"/>
        <v>65559.034293145349</v>
      </c>
      <c r="AO35" s="353">
        <f t="shared" si="11"/>
        <v>65559.033928254721</v>
      </c>
      <c r="AP35" s="353">
        <f t="shared" si="11"/>
        <v>65559.034293145349</v>
      </c>
      <c r="AQ35" s="353">
        <f t="shared" si="11"/>
        <v>65559.033928254721</v>
      </c>
      <c r="AR35" s="353">
        <f t="shared" si="11"/>
        <v>65559.034293145349</v>
      </c>
      <c r="AS35" s="353">
        <f t="shared" si="11"/>
        <v>65559.033928254721</v>
      </c>
      <c r="AT35" s="353">
        <f t="shared" si="11"/>
        <v>65559.034293145349</v>
      </c>
      <c r="AU35" s="353">
        <f t="shared" si="11"/>
        <v>65559.034110700028</v>
      </c>
      <c r="AV35" s="353">
        <f t="shared" si="11"/>
        <v>65559.034110700028</v>
      </c>
      <c r="AW35" s="353">
        <f t="shared" si="11"/>
        <v>65559.034110700028</v>
      </c>
      <c r="AX35" s="353">
        <f t="shared" si="11"/>
        <v>0</v>
      </c>
      <c r="AY35" s="353">
        <f t="shared" si="11"/>
        <v>0</v>
      </c>
      <c r="AZ35" s="353">
        <f t="shared" si="11"/>
        <v>0</v>
      </c>
      <c r="BA35" s="353">
        <f t="shared" si="11"/>
        <v>0</v>
      </c>
      <c r="BB35" s="353">
        <f t="shared" si="11"/>
        <v>0</v>
      </c>
      <c r="BC35" s="353">
        <f t="shared" si="11"/>
        <v>0</v>
      </c>
      <c r="BD35" s="353">
        <f t="shared" si="11"/>
        <v>0</v>
      </c>
      <c r="BE35" s="353">
        <f t="shared" si="11"/>
        <v>0</v>
      </c>
      <c r="BF35" s="353">
        <f t="shared" si="11"/>
        <v>0</v>
      </c>
      <c r="BG35" s="353">
        <f t="shared" si="11"/>
        <v>0</v>
      </c>
      <c r="BH35" s="353">
        <f t="shared" si="11"/>
        <v>0</v>
      </c>
      <c r="BI35" s="353">
        <f t="shared" si="11"/>
        <v>0</v>
      </c>
      <c r="BJ35" s="353">
        <f t="shared" si="11"/>
        <v>0</v>
      </c>
      <c r="BK35" s="353">
        <f t="shared" si="11"/>
        <v>0</v>
      </c>
      <c r="BL35" s="353">
        <f t="shared" si="11"/>
        <v>0</v>
      </c>
      <c r="BM35" s="353">
        <f t="shared" si="11"/>
        <v>0</v>
      </c>
      <c r="BN35" s="353">
        <f t="shared" si="11"/>
        <v>0</v>
      </c>
      <c r="BO35" s="353">
        <f t="shared" si="11"/>
        <v>0</v>
      </c>
      <c r="BP35" s="353">
        <f t="shared" si="11"/>
        <v>0</v>
      </c>
      <c r="BQ35" s="353">
        <f t="shared" si="11"/>
        <v>0</v>
      </c>
      <c r="BR35" s="354">
        <f t="shared" si="11"/>
        <v>0</v>
      </c>
    </row>
    <row r="36" spans="2:70" x14ac:dyDescent="0.3">
      <c r="B36" s="10"/>
      <c r="C36" s="316"/>
      <c r="D36" s="346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4"/>
    </row>
    <row r="37" spans="2:70" x14ac:dyDescent="0.3">
      <c r="B37" s="12" t="str">
        <f>Budget!B59</f>
        <v>Contingency</v>
      </c>
      <c r="C37" s="355">
        <f>INDEX(Budget!$E$28:$E$59,MATCH(MonthlyCF!B37,Budget!$B$28:$B$59,0))</f>
        <v>2895389.117044433</v>
      </c>
      <c r="D37" s="352" t="s">
        <v>78</v>
      </c>
      <c r="E37" s="108">
        <v>30</v>
      </c>
      <c r="F37" s="108">
        <f>F35</f>
        <v>39</v>
      </c>
      <c r="G37" s="108">
        <f>F37-E37+1</f>
        <v>10</v>
      </c>
      <c r="H37" s="110"/>
      <c r="I37" s="2" t="str">
        <f>IF(ROUND(SUM($J37:$BR37),0)=ROUND(C37,0),"OK","error")</f>
        <v>OK</v>
      </c>
      <c r="J37" s="7"/>
      <c r="K37" s="353">
        <f>AND(K$9&gt;=$E37,K$9&lt;=$F37)*(K$9-$E37+1)/($G37*($G37+1)/2)*$C37</f>
        <v>0</v>
      </c>
      <c r="L37" s="353">
        <f t="shared" ref="L37:BR37" si="12">AND(L$9&gt;=$E37,L$9&lt;=$F37)*(L$9-$E37+1)/($G37*($G37+1)/2)*$C37</f>
        <v>0</v>
      </c>
      <c r="M37" s="353">
        <f t="shared" si="12"/>
        <v>0</v>
      </c>
      <c r="N37" s="353">
        <f t="shared" si="12"/>
        <v>0</v>
      </c>
      <c r="O37" s="353">
        <f t="shared" si="12"/>
        <v>0</v>
      </c>
      <c r="P37" s="353">
        <f t="shared" si="12"/>
        <v>0</v>
      </c>
      <c r="Q37" s="353">
        <f t="shared" si="12"/>
        <v>0</v>
      </c>
      <c r="R37" s="353">
        <f t="shared" si="12"/>
        <v>0</v>
      </c>
      <c r="S37" s="353">
        <f t="shared" si="12"/>
        <v>0</v>
      </c>
      <c r="T37" s="353">
        <f t="shared" si="12"/>
        <v>0</v>
      </c>
      <c r="U37" s="353">
        <f t="shared" si="12"/>
        <v>0</v>
      </c>
      <c r="V37" s="353">
        <f t="shared" si="12"/>
        <v>0</v>
      </c>
      <c r="W37" s="353">
        <f t="shared" si="12"/>
        <v>0</v>
      </c>
      <c r="X37" s="353">
        <f t="shared" si="12"/>
        <v>0</v>
      </c>
      <c r="Y37" s="353">
        <f t="shared" si="12"/>
        <v>0</v>
      </c>
      <c r="Z37" s="353">
        <f t="shared" si="12"/>
        <v>0</v>
      </c>
      <c r="AA37" s="353">
        <f t="shared" si="12"/>
        <v>0</v>
      </c>
      <c r="AB37" s="353">
        <f t="shared" si="12"/>
        <v>0</v>
      </c>
      <c r="AC37" s="353">
        <f t="shared" si="12"/>
        <v>0</v>
      </c>
      <c r="AD37" s="353">
        <f t="shared" si="12"/>
        <v>0</v>
      </c>
      <c r="AE37" s="353">
        <f t="shared" si="12"/>
        <v>0</v>
      </c>
      <c r="AF37" s="353">
        <f t="shared" si="12"/>
        <v>0</v>
      </c>
      <c r="AG37" s="353">
        <f t="shared" si="12"/>
        <v>0</v>
      </c>
      <c r="AH37" s="353">
        <f t="shared" si="12"/>
        <v>0</v>
      </c>
      <c r="AI37" s="353">
        <f t="shared" si="12"/>
        <v>0</v>
      </c>
      <c r="AJ37" s="353">
        <f t="shared" si="12"/>
        <v>0</v>
      </c>
      <c r="AK37" s="353">
        <f t="shared" si="12"/>
        <v>0</v>
      </c>
      <c r="AL37" s="353">
        <f t="shared" si="12"/>
        <v>0</v>
      </c>
      <c r="AM37" s="353">
        <f t="shared" si="12"/>
        <v>0</v>
      </c>
      <c r="AN37" s="353">
        <f t="shared" si="12"/>
        <v>52643.438491716959</v>
      </c>
      <c r="AO37" s="353">
        <f t="shared" si="12"/>
        <v>105286.87698343392</v>
      </c>
      <c r="AP37" s="353">
        <f t="shared" si="12"/>
        <v>157930.31547515088</v>
      </c>
      <c r="AQ37" s="353">
        <f t="shared" si="12"/>
        <v>210573.75396686784</v>
      </c>
      <c r="AR37" s="353">
        <f t="shared" si="12"/>
        <v>263217.19245858485</v>
      </c>
      <c r="AS37" s="353">
        <f t="shared" si="12"/>
        <v>315860.63095030177</v>
      </c>
      <c r="AT37" s="353">
        <f t="shared" si="12"/>
        <v>368504.06944201869</v>
      </c>
      <c r="AU37" s="353">
        <f t="shared" si="12"/>
        <v>421147.50793373567</v>
      </c>
      <c r="AV37" s="353">
        <f t="shared" si="12"/>
        <v>473790.94642545265</v>
      </c>
      <c r="AW37" s="353">
        <f t="shared" si="12"/>
        <v>526434.38491716969</v>
      </c>
      <c r="AX37" s="353">
        <f t="shared" si="12"/>
        <v>0</v>
      </c>
      <c r="AY37" s="353">
        <f t="shared" si="12"/>
        <v>0</v>
      </c>
      <c r="AZ37" s="353">
        <f t="shared" si="12"/>
        <v>0</v>
      </c>
      <c r="BA37" s="353">
        <f t="shared" si="12"/>
        <v>0</v>
      </c>
      <c r="BB37" s="353">
        <f t="shared" si="12"/>
        <v>0</v>
      </c>
      <c r="BC37" s="353">
        <f t="shared" si="12"/>
        <v>0</v>
      </c>
      <c r="BD37" s="353">
        <f t="shared" si="12"/>
        <v>0</v>
      </c>
      <c r="BE37" s="353">
        <f t="shared" si="12"/>
        <v>0</v>
      </c>
      <c r="BF37" s="353">
        <f t="shared" si="12"/>
        <v>0</v>
      </c>
      <c r="BG37" s="353">
        <f t="shared" si="12"/>
        <v>0</v>
      </c>
      <c r="BH37" s="353">
        <f t="shared" si="12"/>
        <v>0</v>
      </c>
      <c r="BI37" s="353">
        <f t="shared" si="12"/>
        <v>0</v>
      </c>
      <c r="BJ37" s="353">
        <f t="shared" si="12"/>
        <v>0</v>
      </c>
      <c r="BK37" s="353">
        <f t="shared" si="12"/>
        <v>0</v>
      </c>
      <c r="BL37" s="353">
        <f t="shared" si="12"/>
        <v>0</v>
      </c>
      <c r="BM37" s="353">
        <f t="shared" si="12"/>
        <v>0</v>
      </c>
      <c r="BN37" s="353">
        <f t="shared" si="12"/>
        <v>0</v>
      </c>
      <c r="BO37" s="353">
        <f t="shared" si="12"/>
        <v>0</v>
      </c>
      <c r="BP37" s="353">
        <f t="shared" si="12"/>
        <v>0</v>
      </c>
      <c r="BQ37" s="353">
        <f t="shared" si="12"/>
        <v>0</v>
      </c>
      <c r="BR37" s="353">
        <f t="shared" si="12"/>
        <v>0</v>
      </c>
    </row>
    <row r="38" spans="2:70" x14ac:dyDescent="0.3">
      <c r="B38" s="202" t="s">
        <v>158</v>
      </c>
      <c r="C38" s="317">
        <f>SUM(J38:BR38)</f>
        <v>132641614.01611078</v>
      </c>
      <c r="D38" s="347"/>
      <c r="E38" s="84"/>
      <c r="F38" s="84"/>
      <c r="G38" s="84"/>
      <c r="H38" s="84"/>
      <c r="I38" s="3" t="str">
        <f>IF(ROUND(SUM($J38:$BR38),0)=ROUND(C38,0),"OK","error")</f>
        <v>OK</v>
      </c>
      <c r="J38" s="319">
        <f>SUM(J13:J37)</f>
        <v>30676452</v>
      </c>
      <c r="K38" s="319">
        <f t="shared" ref="K38:BR38" si="13">SUM(K13:K37)</f>
        <v>65559.034110700028</v>
      </c>
      <c r="L38" s="319">
        <f t="shared" si="13"/>
        <v>281353.09570619406</v>
      </c>
      <c r="M38" s="319">
        <f t="shared" si="13"/>
        <v>150602.57401560858</v>
      </c>
      <c r="N38" s="319">
        <f t="shared" si="13"/>
        <v>173173.84351414302</v>
      </c>
      <c r="O38" s="319">
        <f t="shared" si="13"/>
        <v>195706.78939514802</v>
      </c>
      <c r="P38" s="319">
        <f t="shared" si="13"/>
        <v>216549.50765544316</v>
      </c>
      <c r="Q38" s="319">
        <f t="shared" si="13"/>
        <v>233981.55305676704</v>
      </c>
      <c r="R38" s="319">
        <f t="shared" si="13"/>
        <v>246489.36078827205</v>
      </c>
      <c r="S38" s="319">
        <f t="shared" si="13"/>
        <v>253033.84135757212</v>
      </c>
      <c r="T38" s="319">
        <f t="shared" si="13"/>
        <v>720704.91643505031</v>
      </c>
      <c r="U38" s="319">
        <f t="shared" si="13"/>
        <v>213714.88639010041</v>
      </c>
      <c r="V38" s="319">
        <f t="shared" si="13"/>
        <v>690483.85076655424</v>
      </c>
      <c r="W38" s="319">
        <f t="shared" si="13"/>
        <v>182195.67828403699</v>
      </c>
      <c r="X38" s="319">
        <f t="shared" si="13"/>
        <v>163040.51018080971</v>
      </c>
      <c r="Y38" s="319">
        <f t="shared" si="13"/>
        <v>455487.01836883044</v>
      </c>
      <c r="Z38" s="319">
        <f t="shared" si="13"/>
        <v>310237.75164071587</v>
      </c>
      <c r="AA38" s="319">
        <f t="shared" si="13"/>
        <v>374817.80650540115</v>
      </c>
      <c r="AB38" s="319">
        <f t="shared" si="13"/>
        <v>592377.13930081681</v>
      </c>
      <c r="AC38" s="319">
        <f t="shared" si="13"/>
        <v>944769.00196916854</v>
      </c>
      <c r="AD38" s="319">
        <f t="shared" si="13"/>
        <v>1474691.7007434161</v>
      </c>
      <c r="AE38" s="319">
        <f t="shared" si="13"/>
        <v>2212076.4980085008</v>
      </c>
      <c r="AF38" s="319">
        <f t="shared" si="13"/>
        <v>3156912.0368439918</v>
      </c>
      <c r="AG38" s="319">
        <f t="shared" si="13"/>
        <v>4263331.2954537673</v>
      </c>
      <c r="AH38" s="319">
        <f t="shared" si="13"/>
        <v>6119981.7692248244</v>
      </c>
      <c r="AI38" s="319">
        <f t="shared" si="13"/>
        <v>6521393.2532082386</v>
      </c>
      <c r="AJ38" s="319">
        <f t="shared" si="13"/>
        <v>7329931.8034202736</v>
      </c>
      <c r="AK38" s="319">
        <f t="shared" si="13"/>
        <v>7794766.0712013077</v>
      </c>
      <c r="AL38" s="319">
        <f t="shared" si="13"/>
        <v>7794766.0712013077</v>
      </c>
      <c r="AM38" s="319">
        <f t="shared" si="13"/>
        <v>7329931.8034202736</v>
      </c>
      <c r="AN38" s="319">
        <f t="shared" si="13"/>
        <v>6535279.8117853245</v>
      </c>
      <c r="AO38" s="319">
        <f t="shared" si="13"/>
        <v>5499067.1318733767</v>
      </c>
      <c r="AP38" s="319">
        <f t="shared" si="13"/>
        <v>4382504.7309902934</v>
      </c>
      <c r="AQ38" s="319">
        <f t="shared" si="13"/>
        <v>3328728.9107710519</v>
      </c>
      <c r="AR38" s="319">
        <f t="shared" si="13"/>
        <v>2436536.8105284632</v>
      </c>
      <c r="AS38" s="319">
        <f t="shared" si="13"/>
        <v>1751795.4515626901</v>
      </c>
      <c r="AT38" s="319">
        <f t="shared" si="13"/>
        <v>2985150.5315102902</v>
      </c>
      <c r="AU38" s="319">
        <f t="shared" si="13"/>
        <v>974767.76719474373</v>
      </c>
      <c r="AV38" s="319">
        <f t="shared" si="13"/>
        <v>809851.87282178551</v>
      </c>
      <c r="AW38" s="319">
        <f t="shared" si="13"/>
        <v>12799418.534905527</v>
      </c>
      <c r="AX38" s="319">
        <f t="shared" si="13"/>
        <v>0</v>
      </c>
      <c r="AY38" s="319">
        <f t="shared" si="13"/>
        <v>0</v>
      </c>
      <c r="AZ38" s="319">
        <f t="shared" si="13"/>
        <v>0</v>
      </c>
      <c r="BA38" s="319">
        <f t="shared" si="13"/>
        <v>0</v>
      </c>
      <c r="BB38" s="319">
        <f t="shared" si="13"/>
        <v>0</v>
      </c>
      <c r="BC38" s="319">
        <f t="shared" si="13"/>
        <v>0</v>
      </c>
      <c r="BD38" s="319">
        <f t="shared" si="13"/>
        <v>0</v>
      </c>
      <c r="BE38" s="319">
        <f t="shared" si="13"/>
        <v>0</v>
      </c>
      <c r="BF38" s="319">
        <f t="shared" si="13"/>
        <v>0</v>
      </c>
      <c r="BG38" s="319">
        <f t="shared" si="13"/>
        <v>0</v>
      </c>
      <c r="BH38" s="319">
        <f t="shared" si="13"/>
        <v>0</v>
      </c>
      <c r="BI38" s="319">
        <f t="shared" si="13"/>
        <v>0</v>
      </c>
      <c r="BJ38" s="319">
        <f t="shared" si="13"/>
        <v>0</v>
      </c>
      <c r="BK38" s="319">
        <f t="shared" si="13"/>
        <v>0</v>
      </c>
      <c r="BL38" s="319">
        <f t="shared" si="13"/>
        <v>0</v>
      </c>
      <c r="BM38" s="319">
        <f t="shared" si="13"/>
        <v>0</v>
      </c>
      <c r="BN38" s="319">
        <f t="shared" si="13"/>
        <v>0</v>
      </c>
      <c r="BO38" s="319">
        <f t="shared" si="13"/>
        <v>0</v>
      </c>
      <c r="BP38" s="319">
        <f t="shared" si="13"/>
        <v>0</v>
      </c>
      <c r="BQ38" s="319">
        <f t="shared" si="13"/>
        <v>0</v>
      </c>
      <c r="BR38" s="320">
        <f t="shared" si="13"/>
        <v>0</v>
      </c>
    </row>
    <row r="39" spans="2:70" x14ac:dyDescent="0.3">
      <c r="B39" s="203" t="s">
        <v>159</v>
      </c>
      <c r="C39" s="99"/>
      <c r="D39" s="99"/>
      <c r="E39" s="99"/>
      <c r="F39" s="99"/>
      <c r="G39" s="99"/>
      <c r="H39" s="99"/>
      <c r="I39" s="99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  <c r="X39" s="321"/>
      <c r="Y39" s="321"/>
      <c r="Z39" s="321"/>
      <c r="AA39" s="321"/>
      <c r="AB39" s="321"/>
      <c r="AC39" s="321"/>
      <c r="AD39" s="321"/>
      <c r="AE39" s="321"/>
      <c r="AF39" s="321"/>
      <c r="AG39" s="321"/>
      <c r="AH39" s="321"/>
      <c r="AI39" s="321"/>
      <c r="AJ39" s="321"/>
      <c r="AK39" s="321"/>
      <c r="AL39" s="321"/>
      <c r="AM39" s="321"/>
      <c r="AN39" s="321"/>
      <c r="AO39" s="321"/>
      <c r="AP39" s="321"/>
      <c r="AQ39" s="321"/>
      <c r="AR39" s="321"/>
      <c r="AS39" s="321"/>
      <c r="AT39" s="321"/>
      <c r="AU39" s="321"/>
      <c r="AV39" s="321"/>
      <c r="AW39" s="321"/>
      <c r="AX39" s="321"/>
      <c r="AY39" s="321"/>
      <c r="AZ39" s="321"/>
      <c r="BA39" s="321"/>
      <c r="BB39" s="321"/>
      <c r="BC39" s="321"/>
      <c r="BD39" s="321"/>
      <c r="BE39" s="321"/>
      <c r="BF39" s="321"/>
      <c r="BG39" s="321"/>
      <c r="BH39" s="321"/>
      <c r="BI39" s="321"/>
      <c r="BJ39" s="321"/>
      <c r="BK39" s="321"/>
      <c r="BL39" s="321"/>
      <c r="BM39" s="321"/>
      <c r="BN39" s="321"/>
      <c r="BO39" s="321"/>
      <c r="BP39" s="321"/>
      <c r="BQ39" s="321"/>
      <c r="BR39" s="322"/>
    </row>
    <row r="40" spans="2:70" x14ac:dyDescent="0.3">
      <c r="B40" s="204" t="s">
        <v>136</v>
      </c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/>
      <c r="AY40" s="171"/>
      <c r="AZ40" s="171"/>
      <c r="BA40" s="171"/>
      <c r="BB40" s="171"/>
      <c r="BC40" s="171"/>
      <c r="BD40" s="171"/>
      <c r="BE40" s="171"/>
      <c r="BF40" s="171"/>
      <c r="BG40" s="171"/>
      <c r="BH40" s="171"/>
      <c r="BI40" s="171"/>
      <c r="BJ40" s="171"/>
      <c r="BK40" s="171"/>
      <c r="BL40" s="171"/>
      <c r="BM40" s="171"/>
      <c r="BN40" s="171"/>
      <c r="BO40" s="171"/>
      <c r="BP40" s="171"/>
      <c r="BQ40" s="171"/>
      <c r="BR40" s="300"/>
    </row>
    <row r="41" spans="2:70" x14ac:dyDescent="0.3">
      <c r="B41" s="205" t="s">
        <v>160</v>
      </c>
      <c r="C41" s="84"/>
      <c r="D41" s="84"/>
      <c r="E41" s="84"/>
      <c r="F41" s="84"/>
      <c r="G41" s="84"/>
      <c r="H41" s="84"/>
      <c r="I41" s="84"/>
      <c r="J41" s="323">
        <f>SUM(J38:J40)</f>
        <v>30676452</v>
      </c>
      <c r="K41" s="323">
        <f t="shared" ref="K41:BR41" si="14">SUM(K38:K40)</f>
        <v>65559.034110700028</v>
      </c>
      <c r="L41" s="323">
        <f t="shared" si="14"/>
        <v>281353.09570619406</v>
      </c>
      <c r="M41" s="323">
        <f t="shared" si="14"/>
        <v>150602.57401560858</v>
      </c>
      <c r="N41" s="323">
        <f t="shared" si="14"/>
        <v>173173.84351414302</v>
      </c>
      <c r="O41" s="323">
        <f t="shared" si="14"/>
        <v>195706.78939514802</v>
      </c>
      <c r="P41" s="323">
        <f t="shared" si="14"/>
        <v>216549.50765544316</v>
      </c>
      <c r="Q41" s="323">
        <f t="shared" si="14"/>
        <v>233981.55305676704</v>
      </c>
      <c r="R41" s="323">
        <f t="shared" si="14"/>
        <v>246489.36078827205</v>
      </c>
      <c r="S41" s="323">
        <f t="shared" si="14"/>
        <v>253033.84135757212</v>
      </c>
      <c r="T41" s="323">
        <f t="shared" si="14"/>
        <v>720704.91643505031</v>
      </c>
      <c r="U41" s="323">
        <f t="shared" si="14"/>
        <v>213714.88639010041</v>
      </c>
      <c r="V41" s="323">
        <f t="shared" si="14"/>
        <v>690483.85076655424</v>
      </c>
      <c r="W41" s="323">
        <f t="shared" si="14"/>
        <v>182195.67828403699</v>
      </c>
      <c r="X41" s="323">
        <f t="shared" si="14"/>
        <v>163040.51018080971</v>
      </c>
      <c r="Y41" s="323">
        <f t="shared" si="14"/>
        <v>455487.01836883044</v>
      </c>
      <c r="Z41" s="323">
        <f t="shared" si="14"/>
        <v>310237.75164071587</v>
      </c>
      <c r="AA41" s="323">
        <f t="shared" si="14"/>
        <v>374817.80650540115</v>
      </c>
      <c r="AB41" s="323">
        <f t="shared" si="14"/>
        <v>592377.13930081681</v>
      </c>
      <c r="AC41" s="323">
        <f t="shared" si="14"/>
        <v>944769.00196916854</v>
      </c>
      <c r="AD41" s="323">
        <f t="shared" si="14"/>
        <v>1474691.7007434161</v>
      </c>
      <c r="AE41" s="323">
        <f t="shared" si="14"/>
        <v>2212076.4980085008</v>
      </c>
      <c r="AF41" s="323">
        <f t="shared" si="14"/>
        <v>3156912.0368439918</v>
      </c>
      <c r="AG41" s="323">
        <f t="shared" si="14"/>
        <v>4263331.2954537673</v>
      </c>
      <c r="AH41" s="323">
        <f t="shared" si="14"/>
        <v>6119981.7692248244</v>
      </c>
      <c r="AI41" s="323">
        <f t="shared" si="14"/>
        <v>6521393.2532082386</v>
      </c>
      <c r="AJ41" s="323">
        <f t="shared" si="14"/>
        <v>7329931.8034202736</v>
      </c>
      <c r="AK41" s="323">
        <f t="shared" si="14"/>
        <v>7794766.0712013077</v>
      </c>
      <c r="AL41" s="323">
        <f t="shared" si="14"/>
        <v>7794766.0712013077</v>
      </c>
      <c r="AM41" s="323">
        <f t="shared" si="14"/>
        <v>7329931.8034202736</v>
      </c>
      <c r="AN41" s="323">
        <f t="shared" si="14"/>
        <v>6535279.8117853245</v>
      </c>
      <c r="AO41" s="323">
        <f t="shared" si="14"/>
        <v>5499067.1318733767</v>
      </c>
      <c r="AP41" s="323">
        <f t="shared" si="14"/>
        <v>4382504.7309902934</v>
      </c>
      <c r="AQ41" s="323">
        <f t="shared" si="14"/>
        <v>3328728.9107710519</v>
      </c>
      <c r="AR41" s="323">
        <f t="shared" si="14"/>
        <v>2436536.8105284632</v>
      </c>
      <c r="AS41" s="323">
        <f t="shared" si="14"/>
        <v>1751795.4515626901</v>
      </c>
      <c r="AT41" s="323">
        <f t="shared" si="14"/>
        <v>2985150.5315102902</v>
      </c>
      <c r="AU41" s="323">
        <f t="shared" si="14"/>
        <v>974767.76719474373</v>
      </c>
      <c r="AV41" s="323">
        <f t="shared" si="14"/>
        <v>809851.87282178551</v>
      </c>
      <c r="AW41" s="323">
        <f t="shared" si="14"/>
        <v>12799418.534905527</v>
      </c>
      <c r="AX41" s="323">
        <f t="shared" si="14"/>
        <v>0</v>
      </c>
      <c r="AY41" s="323">
        <f t="shared" si="14"/>
        <v>0</v>
      </c>
      <c r="AZ41" s="323">
        <f t="shared" si="14"/>
        <v>0</v>
      </c>
      <c r="BA41" s="323">
        <f t="shared" si="14"/>
        <v>0</v>
      </c>
      <c r="BB41" s="323">
        <f t="shared" si="14"/>
        <v>0</v>
      </c>
      <c r="BC41" s="323">
        <f t="shared" si="14"/>
        <v>0</v>
      </c>
      <c r="BD41" s="323">
        <f t="shared" si="14"/>
        <v>0</v>
      </c>
      <c r="BE41" s="323">
        <f t="shared" si="14"/>
        <v>0</v>
      </c>
      <c r="BF41" s="323">
        <f t="shared" si="14"/>
        <v>0</v>
      </c>
      <c r="BG41" s="323">
        <f t="shared" si="14"/>
        <v>0</v>
      </c>
      <c r="BH41" s="323">
        <f t="shared" si="14"/>
        <v>0</v>
      </c>
      <c r="BI41" s="323">
        <f t="shared" si="14"/>
        <v>0</v>
      </c>
      <c r="BJ41" s="323">
        <f t="shared" si="14"/>
        <v>0</v>
      </c>
      <c r="BK41" s="323">
        <f t="shared" si="14"/>
        <v>0</v>
      </c>
      <c r="BL41" s="323">
        <f t="shared" si="14"/>
        <v>0</v>
      </c>
      <c r="BM41" s="323">
        <f t="shared" si="14"/>
        <v>0</v>
      </c>
      <c r="BN41" s="323">
        <f t="shared" si="14"/>
        <v>0</v>
      </c>
      <c r="BO41" s="323">
        <f t="shared" si="14"/>
        <v>0</v>
      </c>
      <c r="BP41" s="323">
        <f t="shared" si="14"/>
        <v>0</v>
      </c>
      <c r="BQ41" s="323">
        <f t="shared" si="14"/>
        <v>0</v>
      </c>
      <c r="BR41" s="324">
        <f t="shared" si="14"/>
        <v>0</v>
      </c>
    </row>
    <row r="43" spans="2:70" x14ac:dyDescent="0.3">
      <c r="B43" s="228" t="s">
        <v>133</v>
      </c>
      <c r="C43" s="229"/>
      <c r="D43" s="229"/>
      <c r="E43" s="229"/>
      <c r="F43" s="76"/>
      <c r="G43" s="230"/>
      <c r="H43" s="76"/>
      <c r="I43" s="230"/>
      <c r="J43" s="76"/>
      <c r="K43" s="231"/>
      <c r="L43" s="231"/>
      <c r="M43" s="229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2"/>
      <c r="AA43" s="232"/>
      <c r="AB43" s="232"/>
      <c r="AC43" s="232"/>
      <c r="AD43" s="232"/>
      <c r="AE43" s="232"/>
      <c r="AF43" s="232"/>
      <c r="AG43" s="232"/>
      <c r="AH43" s="232"/>
      <c r="AI43" s="232"/>
      <c r="AJ43" s="232"/>
      <c r="AK43" s="232"/>
      <c r="AL43" s="232"/>
      <c r="AM43" s="232"/>
      <c r="AN43" s="232"/>
      <c r="AO43" s="232"/>
      <c r="AP43" s="232"/>
      <c r="AQ43" s="232"/>
      <c r="AR43" s="232"/>
      <c r="AS43" s="232"/>
      <c r="AT43" s="232"/>
      <c r="AU43" s="232"/>
      <c r="AV43" s="232"/>
      <c r="AW43" s="232"/>
      <c r="AX43" s="232"/>
      <c r="AY43" s="232"/>
      <c r="AZ43" s="232"/>
      <c r="BA43" s="232"/>
      <c r="BB43" s="232"/>
      <c r="BC43" s="232"/>
      <c r="BD43" s="232"/>
      <c r="BE43" s="232"/>
      <c r="BF43" s="232"/>
      <c r="BG43" s="232"/>
      <c r="BH43" s="232"/>
      <c r="BI43" s="232"/>
      <c r="BJ43" s="232"/>
      <c r="BK43" s="232"/>
      <c r="BL43" s="232"/>
      <c r="BM43" s="232"/>
      <c r="BN43" s="232"/>
      <c r="BO43" s="232"/>
      <c r="BP43" s="232"/>
      <c r="BQ43" s="232"/>
      <c r="BR43" s="233"/>
    </row>
    <row r="44" spans="2:70" x14ac:dyDescent="0.3">
      <c r="B44" s="234" t="s">
        <v>134</v>
      </c>
      <c r="C44" s="157"/>
      <c r="D44" s="157"/>
      <c r="E44" s="157"/>
      <c r="F44" s="158"/>
      <c r="G44" s="158"/>
      <c r="H44" s="159"/>
      <c r="I44" s="160"/>
      <c r="J44" s="84"/>
      <c r="K44" s="161"/>
      <c r="L44" s="161"/>
      <c r="M44" s="162"/>
      <c r="N44" s="163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64"/>
      <c r="AI44" s="164"/>
      <c r="AJ44" s="164"/>
      <c r="AK44" s="164"/>
      <c r="AL44" s="164"/>
      <c r="AM44" s="164"/>
      <c r="AN44" s="164"/>
      <c r="AO44" s="164"/>
      <c r="AP44" s="164"/>
      <c r="AQ44" s="164"/>
      <c r="AR44" s="164"/>
      <c r="AS44" s="164"/>
      <c r="AT44" s="164"/>
      <c r="AU44" s="164"/>
      <c r="AV44" s="164"/>
      <c r="AW44" s="164"/>
      <c r="AX44" s="164"/>
      <c r="AY44" s="164"/>
      <c r="AZ44" s="164"/>
      <c r="BA44" s="164"/>
      <c r="BB44" s="164"/>
      <c r="BC44" s="164"/>
      <c r="BD44" s="164"/>
      <c r="BE44" s="164"/>
      <c r="BF44" s="164"/>
      <c r="BG44" s="164"/>
      <c r="BH44" s="164"/>
      <c r="BI44" s="164"/>
      <c r="BJ44" s="164"/>
      <c r="BK44" s="164"/>
      <c r="BL44" s="164"/>
      <c r="BM44" s="164"/>
      <c r="BN44" s="164"/>
      <c r="BO44" s="164"/>
      <c r="BP44" s="164"/>
      <c r="BQ44" s="164"/>
      <c r="BR44" s="235"/>
    </row>
    <row r="45" spans="2:70" x14ac:dyDescent="0.3">
      <c r="B45" s="234" t="s">
        <v>135</v>
      </c>
      <c r="C45" s="157"/>
      <c r="D45" s="157"/>
      <c r="E45" s="157"/>
      <c r="F45" s="158"/>
      <c r="G45" s="158"/>
      <c r="H45" s="159"/>
      <c r="I45" s="159"/>
      <c r="J45" s="99"/>
      <c r="K45" s="161"/>
      <c r="L45" s="161"/>
      <c r="M45" s="165"/>
      <c r="N45" s="166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4"/>
      <c r="BQ45" s="164"/>
      <c r="BR45" s="235"/>
    </row>
    <row r="46" spans="2:70" x14ac:dyDescent="0.3">
      <c r="B46" s="236" t="s">
        <v>136</v>
      </c>
      <c r="C46" s="167"/>
      <c r="D46" s="167"/>
      <c r="E46" s="167"/>
      <c r="F46" s="168"/>
      <c r="G46" s="168"/>
      <c r="H46" s="169"/>
      <c r="I46" s="169"/>
      <c r="J46" s="16"/>
      <c r="K46" s="170"/>
      <c r="L46" s="170"/>
      <c r="M46" s="171"/>
      <c r="N46" s="172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73"/>
      <c r="AH46" s="173"/>
      <c r="AI46" s="173"/>
      <c r="AJ46" s="173"/>
      <c r="AK46" s="173"/>
      <c r="AL46" s="173"/>
      <c r="AM46" s="173"/>
      <c r="AN46" s="173"/>
      <c r="AO46" s="173"/>
      <c r="AP46" s="173"/>
      <c r="AQ46" s="173"/>
      <c r="AR46" s="173"/>
      <c r="AS46" s="173"/>
      <c r="AT46" s="173"/>
      <c r="AU46" s="173"/>
      <c r="AV46" s="173"/>
      <c r="AW46" s="173"/>
      <c r="AX46" s="173"/>
      <c r="AY46" s="173"/>
      <c r="AZ46" s="173"/>
      <c r="BA46" s="173"/>
      <c r="BB46" s="173"/>
      <c r="BC46" s="173"/>
      <c r="BD46" s="173"/>
      <c r="BE46" s="173"/>
      <c r="BF46" s="173"/>
      <c r="BG46" s="173"/>
      <c r="BH46" s="173"/>
      <c r="BI46" s="173"/>
      <c r="BJ46" s="173"/>
      <c r="BK46" s="173"/>
      <c r="BL46" s="173"/>
      <c r="BM46" s="173"/>
      <c r="BN46" s="173"/>
      <c r="BO46" s="173"/>
      <c r="BP46" s="173"/>
      <c r="BQ46" s="173"/>
      <c r="BR46" s="237"/>
    </row>
    <row r="47" spans="2:70" x14ac:dyDescent="0.3">
      <c r="B47" s="236" t="s">
        <v>137</v>
      </c>
      <c r="C47" s="174"/>
      <c r="D47" s="174"/>
      <c r="E47" s="174"/>
      <c r="F47" s="175"/>
      <c r="G47" s="175"/>
      <c r="H47" s="176"/>
      <c r="I47" s="176"/>
      <c r="J47" s="16"/>
      <c r="K47" s="177"/>
      <c r="L47" s="177"/>
      <c r="M47" s="178"/>
      <c r="N47" s="178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  <c r="AH47" s="177"/>
      <c r="AI47" s="177"/>
      <c r="AJ47" s="177"/>
      <c r="AK47" s="177"/>
      <c r="AL47" s="177"/>
      <c r="AM47" s="177"/>
      <c r="AN47" s="177"/>
      <c r="AO47" s="177"/>
      <c r="AP47" s="177"/>
      <c r="AQ47" s="177"/>
      <c r="AR47" s="177"/>
      <c r="AS47" s="177"/>
      <c r="AT47" s="177"/>
      <c r="AU47" s="177"/>
      <c r="AV47" s="177"/>
      <c r="AW47" s="177"/>
      <c r="AX47" s="177"/>
      <c r="AY47" s="177"/>
      <c r="AZ47" s="177"/>
      <c r="BA47" s="177"/>
      <c r="BB47" s="177"/>
      <c r="BC47" s="177"/>
      <c r="BD47" s="177"/>
      <c r="BE47" s="177"/>
      <c r="BF47" s="177"/>
      <c r="BG47" s="177"/>
      <c r="BH47" s="177"/>
      <c r="BI47" s="177"/>
      <c r="BJ47" s="177"/>
      <c r="BK47" s="177"/>
      <c r="BL47" s="177"/>
      <c r="BM47" s="177"/>
      <c r="BN47" s="177"/>
      <c r="BO47" s="177"/>
      <c r="BP47" s="177"/>
      <c r="BQ47" s="177"/>
      <c r="BR47" s="238"/>
    </row>
    <row r="48" spans="2:70" x14ac:dyDescent="0.3">
      <c r="B48" s="239"/>
      <c r="C48" s="240"/>
      <c r="D48" s="240"/>
      <c r="E48" s="240"/>
      <c r="F48" s="57"/>
      <c r="G48" s="241"/>
      <c r="H48" s="57"/>
      <c r="I48" s="241"/>
      <c r="J48" s="57"/>
      <c r="K48" s="242"/>
      <c r="L48" s="242"/>
      <c r="M48" s="240"/>
      <c r="N48" s="243"/>
      <c r="O48" s="243"/>
      <c r="P48" s="243"/>
      <c r="Q48" s="243"/>
      <c r="R48" s="243"/>
      <c r="S48" s="243"/>
      <c r="T48" s="243"/>
      <c r="U48" s="243"/>
      <c r="V48" s="243"/>
      <c r="W48" s="243"/>
      <c r="X48" s="243"/>
      <c r="Y48" s="243"/>
      <c r="Z48" s="243"/>
      <c r="AA48" s="243"/>
      <c r="AB48" s="243"/>
      <c r="AC48" s="243"/>
      <c r="AD48" s="243"/>
      <c r="AE48" s="243"/>
      <c r="AF48" s="243"/>
      <c r="AG48" s="243"/>
      <c r="AH48" s="243"/>
      <c r="AI48" s="243"/>
      <c r="AJ48" s="243"/>
      <c r="AK48" s="243"/>
      <c r="AL48" s="243"/>
      <c r="AM48" s="243"/>
      <c r="AN48" s="243"/>
      <c r="AO48" s="243"/>
      <c r="AP48" s="243"/>
      <c r="AQ48" s="243"/>
      <c r="AR48" s="243"/>
      <c r="AS48" s="243"/>
      <c r="AT48" s="243"/>
      <c r="AU48" s="243"/>
      <c r="AV48" s="243"/>
      <c r="AW48" s="243"/>
      <c r="AX48" s="243"/>
      <c r="AY48" s="243"/>
      <c r="AZ48" s="243"/>
      <c r="BA48" s="243"/>
      <c r="BB48" s="243"/>
      <c r="BC48" s="243"/>
      <c r="BD48" s="243"/>
      <c r="BE48" s="243"/>
      <c r="BF48" s="243"/>
      <c r="BG48" s="243"/>
      <c r="BH48" s="243"/>
      <c r="BI48" s="243"/>
      <c r="BJ48" s="243"/>
      <c r="BK48" s="243"/>
      <c r="BL48" s="243"/>
      <c r="BM48" s="243"/>
      <c r="BN48" s="243"/>
      <c r="BO48" s="243"/>
      <c r="BP48" s="243"/>
      <c r="BQ48" s="243"/>
      <c r="BR48" s="244"/>
    </row>
    <row r="49" spans="2:70" x14ac:dyDescent="0.3">
      <c r="B49" s="37" t="s">
        <v>99</v>
      </c>
      <c r="C49" s="245"/>
      <c r="D49" s="245"/>
      <c r="E49" s="245"/>
      <c r="F49" s="246"/>
      <c r="G49" s="246"/>
      <c r="H49" s="247"/>
      <c r="I49" s="247"/>
      <c r="J49" s="1"/>
      <c r="K49" s="1"/>
      <c r="L49" s="1"/>
      <c r="M49" s="1"/>
      <c r="N49" s="248"/>
      <c r="O49" s="248"/>
      <c r="P49" s="248"/>
      <c r="Q49" s="248"/>
      <c r="R49" s="248"/>
      <c r="S49" s="248"/>
      <c r="T49" s="248"/>
      <c r="U49" s="248"/>
      <c r="V49" s="248"/>
      <c r="W49" s="248"/>
      <c r="X49" s="248"/>
      <c r="Y49" s="248"/>
      <c r="Z49" s="248"/>
      <c r="AA49" s="248"/>
      <c r="AB49" s="248"/>
      <c r="AC49" s="248"/>
      <c r="AD49" s="248"/>
      <c r="AE49" s="248"/>
      <c r="AF49" s="248"/>
      <c r="AG49" s="248"/>
      <c r="AH49" s="248"/>
      <c r="AI49" s="248"/>
      <c r="AJ49" s="248"/>
      <c r="AK49" s="248"/>
      <c r="AL49" s="248"/>
      <c r="AM49" s="248"/>
      <c r="AN49" s="248"/>
      <c r="AO49" s="248"/>
      <c r="AP49" s="248"/>
      <c r="AQ49" s="248"/>
      <c r="AR49" s="248"/>
      <c r="AS49" s="248"/>
      <c r="AT49" s="248"/>
      <c r="AU49" s="248"/>
      <c r="AV49" s="248"/>
      <c r="AW49" s="248"/>
      <c r="AX49" s="248"/>
      <c r="AY49" s="248"/>
      <c r="AZ49" s="248"/>
      <c r="BA49" s="248"/>
      <c r="BB49" s="248"/>
      <c r="BC49" s="248"/>
      <c r="BD49" s="248"/>
      <c r="BE49" s="248"/>
      <c r="BF49" s="248"/>
      <c r="BG49" s="248"/>
      <c r="BH49" s="248"/>
      <c r="BI49" s="248"/>
      <c r="BJ49" s="248"/>
      <c r="BK49" s="248"/>
      <c r="BL49" s="248"/>
      <c r="BM49" s="248"/>
      <c r="BN49" s="248"/>
      <c r="BO49" s="248"/>
      <c r="BP49" s="248"/>
      <c r="BQ49" s="248"/>
      <c r="BR49" s="249"/>
    </row>
    <row r="50" spans="2:70" x14ac:dyDescent="0.3">
      <c r="B50" s="8"/>
      <c r="C50" s="114" t="s">
        <v>138</v>
      </c>
      <c r="D50" s="114"/>
      <c r="E50" s="149"/>
      <c r="F50" s="150"/>
      <c r="G50" s="150"/>
      <c r="H50" s="114"/>
      <c r="I50" s="114"/>
      <c r="J50" s="285">
        <f>Summary!M45</f>
        <v>132641614.01611078</v>
      </c>
      <c r="K50" s="285">
        <f>J52</f>
        <v>101965162.01611078</v>
      </c>
      <c r="L50" s="285">
        <f t="shared" ref="L50:BR50" si="15">K52</f>
        <v>101899602.98200008</v>
      </c>
      <c r="M50" s="285">
        <f t="shared" si="15"/>
        <v>101618249.88629389</v>
      </c>
      <c r="N50" s="285">
        <f t="shared" si="15"/>
        <v>101467647.31227829</v>
      </c>
      <c r="O50" s="285">
        <f t="shared" si="15"/>
        <v>101294473.46876414</v>
      </c>
      <c r="P50" s="285">
        <f t="shared" si="15"/>
        <v>101098766.67936899</v>
      </c>
      <c r="Q50" s="285">
        <f t="shared" si="15"/>
        <v>100882217.17171355</v>
      </c>
      <c r="R50" s="285">
        <f t="shared" si="15"/>
        <v>100648235.61865678</v>
      </c>
      <c r="S50" s="285">
        <f t="shared" si="15"/>
        <v>100401746.25786851</v>
      </c>
      <c r="T50" s="285">
        <f t="shared" si="15"/>
        <v>100148712.41651094</v>
      </c>
      <c r="U50" s="285">
        <f t="shared" si="15"/>
        <v>99428007.500075892</v>
      </c>
      <c r="V50" s="285">
        <f t="shared" si="15"/>
        <v>99214292.613685787</v>
      </c>
      <c r="W50" s="285">
        <f t="shared" si="15"/>
        <v>98523808.762919232</v>
      </c>
      <c r="X50" s="285">
        <f t="shared" si="15"/>
        <v>98341613.084635198</v>
      </c>
      <c r="Y50" s="285">
        <f t="shared" si="15"/>
        <v>98178572.574454382</v>
      </c>
      <c r="Z50" s="285">
        <f t="shared" si="15"/>
        <v>97723085.556085557</v>
      </c>
      <c r="AA50" s="285">
        <f t="shared" si="15"/>
        <v>97412847.804444835</v>
      </c>
      <c r="AB50" s="285">
        <f t="shared" si="15"/>
        <v>97038029.997939438</v>
      </c>
      <c r="AC50" s="285">
        <f t="shared" si="15"/>
        <v>96445652.858638614</v>
      </c>
      <c r="AD50" s="285">
        <f t="shared" si="15"/>
        <v>95500883.856669441</v>
      </c>
      <c r="AE50" s="285">
        <f t="shared" si="15"/>
        <v>94026192.155926019</v>
      </c>
      <c r="AF50" s="285">
        <f t="shared" si="15"/>
        <v>91814115.657917514</v>
      </c>
      <c r="AG50" s="285">
        <f t="shared" si="15"/>
        <v>88657203.621073529</v>
      </c>
      <c r="AH50" s="285">
        <f t="shared" si="15"/>
        <v>84393872.325619757</v>
      </c>
      <c r="AI50" s="285">
        <f t="shared" si="15"/>
        <v>78273890.556394935</v>
      </c>
      <c r="AJ50" s="285">
        <f t="shared" si="15"/>
        <v>71752497.3031867</v>
      </c>
      <c r="AK50" s="285">
        <f t="shared" si="15"/>
        <v>64422565.499766424</v>
      </c>
      <c r="AL50" s="285">
        <f t="shared" si="15"/>
        <v>56627799.428565115</v>
      </c>
      <c r="AM50" s="285">
        <f t="shared" si="15"/>
        <v>48833033.357363805</v>
      </c>
      <c r="AN50" s="285">
        <f t="shared" si="15"/>
        <v>41503101.55394353</v>
      </c>
      <c r="AO50" s="285">
        <f t="shared" si="15"/>
        <v>34967821.742158204</v>
      </c>
      <c r="AP50" s="285">
        <f t="shared" si="15"/>
        <v>29468754.610284828</v>
      </c>
      <c r="AQ50" s="285">
        <f t="shared" si="15"/>
        <v>25086249.879294533</v>
      </c>
      <c r="AR50" s="285">
        <f t="shared" si="15"/>
        <v>21757520.96852348</v>
      </c>
      <c r="AS50" s="285">
        <f t="shared" si="15"/>
        <v>19320984.157995015</v>
      </c>
      <c r="AT50" s="285">
        <f t="shared" si="15"/>
        <v>17569188.706432324</v>
      </c>
      <c r="AU50" s="285">
        <f t="shared" si="15"/>
        <v>14584038.174922034</v>
      </c>
      <c r="AV50" s="285">
        <f t="shared" si="15"/>
        <v>13609270.40772729</v>
      </c>
      <c r="AW50" s="285">
        <f t="shared" si="15"/>
        <v>12799418.534905504</v>
      </c>
      <c r="AX50" s="285">
        <f t="shared" si="15"/>
        <v>0</v>
      </c>
      <c r="AY50" s="285">
        <f t="shared" si="15"/>
        <v>0</v>
      </c>
      <c r="AZ50" s="285">
        <f t="shared" si="15"/>
        <v>0</v>
      </c>
      <c r="BA50" s="285">
        <f t="shared" si="15"/>
        <v>0</v>
      </c>
      <c r="BB50" s="285">
        <f t="shared" si="15"/>
        <v>0</v>
      </c>
      <c r="BC50" s="285">
        <f t="shared" si="15"/>
        <v>0</v>
      </c>
      <c r="BD50" s="285">
        <f t="shared" si="15"/>
        <v>0</v>
      </c>
      <c r="BE50" s="285">
        <f t="shared" si="15"/>
        <v>0</v>
      </c>
      <c r="BF50" s="285">
        <f t="shared" si="15"/>
        <v>0</v>
      </c>
      <c r="BG50" s="285">
        <f t="shared" si="15"/>
        <v>0</v>
      </c>
      <c r="BH50" s="285">
        <f t="shared" si="15"/>
        <v>0</v>
      </c>
      <c r="BI50" s="285">
        <f t="shared" si="15"/>
        <v>0</v>
      </c>
      <c r="BJ50" s="285">
        <f t="shared" si="15"/>
        <v>0</v>
      </c>
      <c r="BK50" s="151">
        <f t="shared" si="15"/>
        <v>0</v>
      </c>
      <c r="BL50" s="151">
        <f t="shared" si="15"/>
        <v>0</v>
      </c>
      <c r="BM50" s="151">
        <f t="shared" si="15"/>
        <v>0</v>
      </c>
      <c r="BN50" s="151">
        <f t="shared" si="15"/>
        <v>0</v>
      </c>
      <c r="BO50" s="151">
        <f t="shared" si="15"/>
        <v>0</v>
      </c>
      <c r="BP50" s="151">
        <f t="shared" si="15"/>
        <v>0</v>
      </c>
      <c r="BQ50" s="151">
        <f t="shared" si="15"/>
        <v>0</v>
      </c>
      <c r="BR50" s="250">
        <f t="shared" si="15"/>
        <v>0</v>
      </c>
    </row>
    <row r="51" spans="2:70" x14ac:dyDescent="0.3">
      <c r="B51" s="10"/>
      <c r="C51" s="1" t="s">
        <v>139</v>
      </c>
      <c r="D51" s="1"/>
      <c r="E51" s="245"/>
      <c r="F51" s="251"/>
      <c r="G51" s="251"/>
      <c r="H51" s="1"/>
      <c r="I51" s="1"/>
      <c r="J51" s="90">
        <f>MIN(J50,J41)</f>
        <v>30676452</v>
      </c>
      <c r="K51" s="90">
        <f>MIN(K50,K41)</f>
        <v>65559.034110700028</v>
      </c>
      <c r="L51" s="90">
        <f t="shared" ref="L51:BR51" si="16">MIN(L50,L41)</f>
        <v>281353.09570619406</v>
      </c>
      <c r="M51" s="90">
        <f t="shared" si="16"/>
        <v>150602.57401560858</v>
      </c>
      <c r="N51" s="90">
        <f t="shared" si="16"/>
        <v>173173.84351414302</v>
      </c>
      <c r="O51" s="90">
        <f t="shared" si="16"/>
        <v>195706.78939514802</v>
      </c>
      <c r="P51" s="90">
        <f t="shared" si="16"/>
        <v>216549.50765544316</v>
      </c>
      <c r="Q51" s="90">
        <f t="shared" si="16"/>
        <v>233981.55305676704</v>
      </c>
      <c r="R51" s="90">
        <f t="shared" si="16"/>
        <v>246489.36078827205</v>
      </c>
      <c r="S51" s="90">
        <f t="shared" si="16"/>
        <v>253033.84135757212</v>
      </c>
      <c r="T51" s="90">
        <f t="shared" si="16"/>
        <v>720704.91643505031</v>
      </c>
      <c r="U51" s="90">
        <f t="shared" si="16"/>
        <v>213714.88639010041</v>
      </c>
      <c r="V51" s="90">
        <f t="shared" si="16"/>
        <v>690483.85076655424</v>
      </c>
      <c r="W51" s="90">
        <f t="shared" si="16"/>
        <v>182195.67828403699</v>
      </c>
      <c r="X51" s="90">
        <f t="shared" si="16"/>
        <v>163040.51018080971</v>
      </c>
      <c r="Y51" s="90">
        <f t="shared" si="16"/>
        <v>455487.01836883044</v>
      </c>
      <c r="Z51" s="90">
        <f t="shared" si="16"/>
        <v>310237.75164071587</v>
      </c>
      <c r="AA51" s="90">
        <f t="shared" si="16"/>
        <v>374817.80650540115</v>
      </c>
      <c r="AB51" s="90">
        <f t="shared" si="16"/>
        <v>592377.13930081681</v>
      </c>
      <c r="AC51" s="90">
        <f t="shared" si="16"/>
        <v>944769.00196916854</v>
      </c>
      <c r="AD51" s="90">
        <f t="shared" si="16"/>
        <v>1474691.7007434161</v>
      </c>
      <c r="AE51" s="90">
        <f t="shared" si="16"/>
        <v>2212076.4980085008</v>
      </c>
      <c r="AF51" s="90">
        <f t="shared" si="16"/>
        <v>3156912.0368439918</v>
      </c>
      <c r="AG51" s="90">
        <f t="shared" si="16"/>
        <v>4263331.2954537673</v>
      </c>
      <c r="AH51" s="90">
        <f t="shared" si="16"/>
        <v>6119981.7692248244</v>
      </c>
      <c r="AI51" s="90">
        <f t="shared" si="16"/>
        <v>6521393.2532082386</v>
      </c>
      <c r="AJ51" s="90">
        <f t="shared" si="16"/>
        <v>7329931.8034202736</v>
      </c>
      <c r="AK51" s="90">
        <f t="shared" si="16"/>
        <v>7794766.0712013077</v>
      </c>
      <c r="AL51" s="90">
        <f t="shared" si="16"/>
        <v>7794766.0712013077</v>
      </c>
      <c r="AM51" s="90">
        <f t="shared" si="16"/>
        <v>7329931.8034202736</v>
      </c>
      <c r="AN51" s="90">
        <f t="shared" si="16"/>
        <v>6535279.8117853245</v>
      </c>
      <c r="AO51" s="90">
        <f t="shared" si="16"/>
        <v>5499067.1318733767</v>
      </c>
      <c r="AP51" s="90">
        <f t="shared" si="16"/>
        <v>4382504.7309902934</v>
      </c>
      <c r="AQ51" s="90">
        <f t="shared" si="16"/>
        <v>3328728.9107710519</v>
      </c>
      <c r="AR51" s="90">
        <f t="shared" si="16"/>
        <v>2436536.8105284632</v>
      </c>
      <c r="AS51" s="90">
        <f t="shared" si="16"/>
        <v>1751795.4515626901</v>
      </c>
      <c r="AT51" s="90">
        <f t="shared" si="16"/>
        <v>2985150.5315102902</v>
      </c>
      <c r="AU51" s="90">
        <f t="shared" si="16"/>
        <v>974767.76719474373</v>
      </c>
      <c r="AV51" s="90">
        <f t="shared" si="16"/>
        <v>809851.87282178551</v>
      </c>
      <c r="AW51" s="90">
        <f t="shared" si="16"/>
        <v>12799418.534905504</v>
      </c>
      <c r="AX51" s="90">
        <f t="shared" si="16"/>
        <v>0</v>
      </c>
      <c r="AY51" s="90">
        <f t="shared" si="16"/>
        <v>0</v>
      </c>
      <c r="AZ51" s="90">
        <f t="shared" si="16"/>
        <v>0</v>
      </c>
      <c r="BA51" s="90">
        <f t="shared" si="16"/>
        <v>0</v>
      </c>
      <c r="BB51" s="90">
        <f t="shared" si="16"/>
        <v>0</v>
      </c>
      <c r="BC51" s="90">
        <f t="shared" si="16"/>
        <v>0</v>
      </c>
      <c r="BD51" s="90">
        <f t="shared" si="16"/>
        <v>0</v>
      </c>
      <c r="BE51" s="90">
        <f t="shared" si="16"/>
        <v>0</v>
      </c>
      <c r="BF51" s="90">
        <f t="shared" si="16"/>
        <v>0</v>
      </c>
      <c r="BG51" s="90">
        <f t="shared" si="16"/>
        <v>0</v>
      </c>
      <c r="BH51" s="90">
        <f t="shared" si="16"/>
        <v>0</v>
      </c>
      <c r="BI51" s="90">
        <f t="shared" si="16"/>
        <v>0</v>
      </c>
      <c r="BJ51" s="90">
        <f t="shared" si="16"/>
        <v>0</v>
      </c>
      <c r="BK51" s="155">
        <f t="shared" si="16"/>
        <v>0</v>
      </c>
      <c r="BL51" s="155">
        <f t="shared" si="16"/>
        <v>0</v>
      </c>
      <c r="BM51" s="155">
        <f t="shared" si="16"/>
        <v>0</v>
      </c>
      <c r="BN51" s="155">
        <f t="shared" si="16"/>
        <v>0</v>
      </c>
      <c r="BO51" s="155">
        <f t="shared" si="16"/>
        <v>0</v>
      </c>
      <c r="BP51" s="155">
        <f t="shared" si="16"/>
        <v>0</v>
      </c>
      <c r="BQ51" s="155">
        <f t="shared" si="16"/>
        <v>0</v>
      </c>
      <c r="BR51" s="252">
        <f t="shared" si="16"/>
        <v>0</v>
      </c>
    </row>
    <row r="52" spans="2:70" x14ac:dyDescent="0.3">
      <c r="B52" s="10"/>
      <c r="C52" s="1" t="s">
        <v>140</v>
      </c>
      <c r="D52" s="1"/>
      <c r="E52" s="245"/>
      <c r="F52" s="246"/>
      <c r="G52" s="246"/>
      <c r="H52" s="1"/>
      <c r="I52" s="1"/>
      <c r="J52" s="90">
        <f>J50-J51</f>
        <v>101965162.01611078</v>
      </c>
      <c r="K52" s="90">
        <f>K50-K51</f>
        <v>101899602.98200008</v>
      </c>
      <c r="L52" s="90">
        <f t="shared" ref="L52:BR52" si="17">L50-L51</f>
        <v>101618249.88629389</v>
      </c>
      <c r="M52" s="90">
        <f t="shared" si="17"/>
        <v>101467647.31227829</v>
      </c>
      <c r="N52" s="90">
        <f t="shared" si="17"/>
        <v>101294473.46876414</v>
      </c>
      <c r="O52" s="90">
        <f t="shared" si="17"/>
        <v>101098766.67936899</v>
      </c>
      <c r="P52" s="90">
        <f t="shared" si="17"/>
        <v>100882217.17171355</v>
      </c>
      <c r="Q52" s="90">
        <f t="shared" si="17"/>
        <v>100648235.61865678</v>
      </c>
      <c r="R52" s="90">
        <f t="shared" si="17"/>
        <v>100401746.25786851</v>
      </c>
      <c r="S52" s="90">
        <f t="shared" si="17"/>
        <v>100148712.41651094</v>
      </c>
      <c r="T52" s="90">
        <f t="shared" si="17"/>
        <v>99428007.500075892</v>
      </c>
      <c r="U52" s="90">
        <f t="shared" si="17"/>
        <v>99214292.613685787</v>
      </c>
      <c r="V52" s="90">
        <f t="shared" si="17"/>
        <v>98523808.762919232</v>
      </c>
      <c r="W52" s="90">
        <f t="shared" si="17"/>
        <v>98341613.084635198</v>
      </c>
      <c r="X52" s="90">
        <f t="shared" si="17"/>
        <v>98178572.574454382</v>
      </c>
      <c r="Y52" s="90">
        <f t="shared" si="17"/>
        <v>97723085.556085557</v>
      </c>
      <c r="Z52" s="90">
        <f t="shared" si="17"/>
        <v>97412847.804444835</v>
      </c>
      <c r="AA52" s="90">
        <f t="shared" si="17"/>
        <v>97038029.997939438</v>
      </c>
      <c r="AB52" s="90">
        <f t="shared" si="17"/>
        <v>96445652.858638614</v>
      </c>
      <c r="AC52" s="90">
        <f t="shared" si="17"/>
        <v>95500883.856669441</v>
      </c>
      <c r="AD52" s="90">
        <f t="shared" si="17"/>
        <v>94026192.155926019</v>
      </c>
      <c r="AE52" s="90">
        <f t="shared" si="17"/>
        <v>91814115.657917514</v>
      </c>
      <c r="AF52" s="90">
        <f t="shared" si="17"/>
        <v>88657203.621073529</v>
      </c>
      <c r="AG52" s="90">
        <f t="shared" si="17"/>
        <v>84393872.325619757</v>
      </c>
      <c r="AH52" s="90">
        <f t="shared" si="17"/>
        <v>78273890.556394935</v>
      </c>
      <c r="AI52" s="90">
        <f t="shared" si="17"/>
        <v>71752497.3031867</v>
      </c>
      <c r="AJ52" s="90">
        <f t="shared" si="17"/>
        <v>64422565.499766424</v>
      </c>
      <c r="AK52" s="90">
        <f t="shared" si="17"/>
        <v>56627799.428565115</v>
      </c>
      <c r="AL52" s="90">
        <f t="shared" si="17"/>
        <v>48833033.357363805</v>
      </c>
      <c r="AM52" s="90">
        <f t="shared" si="17"/>
        <v>41503101.55394353</v>
      </c>
      <c r="AN52" s="90">
        <f t="shared" si="17"/>
        <v>34967821.742158204</v>
      </c>
      <c r="AO52" s="90">
        <f t="shared" si="17"/>
        <v>29468754.610284828</v>
      </c>
      <c r="AP52" s="90">
        <f t="shared" si="17"/>
        <v>25086249.879294533</v>
      </c>
      <c r="AQ52" s="90">
        <f t="shared" si="17"/>
        <v>21757520.96852348</v>
      </c>
      <c r="AR52" s="90">
        <f t="shared" si="17"/>
        <v>19320984.157995015</v>
      </c>
      <c r="AS52" s="90">
        <f t="shared" si="17"/>
        <v>17569188.706432324</v>
      </c>
      <c r="AT52" s="90">
        <f t="shared" si="17"/>
        <v>14584038.174922034</v>
      </c>
      <c r="AU52" s="90">
        <f t="shared" si="17"/>
        <v>13609270.40772729</v>
      </c>
      <c r="AV52" s="90">
        <f t="shared" si="17"/>
        <v>12799418.534905504</v>
      </c>
      <c r="AW52" s="90">
        <f t="shared" si="17"/>
        <v>0</v>
      </c>
      <c r="AX52" s="90">
        <f t="shared" si="17"/>
        <v>0</v>
      </c>
      <c r="AY52" s="90">
        <f t="shared" si="17"/>
        <v>0</v>
      </c>
      <c r="AZ52" s="90">
        <f t="shared" si="17"/>
        <v>0</v>
      </c>
      <c r="BA52" s="90">
        <f t="shared" si="17"/>
        <v>0</v>
      </c>
      <c r="BB52" s="90">
        <f t="shared" si="17"/>
        <v>0</v>
      </c>
      <c r="BC52" s="90">
        <f t="shared" si="17"/>
        <v>0</v>
      </c>
      <c r="BD52" s="90">
        <f t="shared" si="17"/>
        <v>0</v>
      </c>
      <c r="BE52" s="90">
        <f t="shared" si="17"/>
        <v>0</v>
      </c>
      <c r="BF52" s="90">
        <f t="shared" si="17"/>
        <v>0</v>
      </c>
      <c r="BG52" s="90">
        <f t="shared" si="17"/>
        <v>0</v>
      </c>
      <c r="BH52" s="90">
        <f t="shared" si="17"/>
        <v>0</v>
      </c>
      <c r="BI52" s="90">
        <f t="shared" si="17"/>
        <v>0</v>
      </c>
      <c r="BJ52" s="90">
        <f t="shared" si="17"/>
        <v>0</v>
      </c>
      <c r="BK52" s="155">
        <f t="shared" si="17"/>
        <v>0</v>
      </c>
      <c r="BL52" s="155">
        <f t="shared" si="17"/>
        <v>0</v>
      </c>
      <c r="BM52" s="155">
        <f t="shared" si="17"/>
        <v>0</v>
      </c>
      <c r="BN52" s="155">
        <f t="shared" si="17"/>
        <v>0</v>
      </c>
      <c r="BO52" s="155">
        <f t="shared" si="17"/>
        <v>0</v>
      </c>
      <c r="BP52" s="155">
        <f t="shared" si="17"/>
        <v>0</v>
      </c>
      <c r="BQ52" s="155">
        <f t="shared" si="17"/>
        <v>0</v>
      </c>
      <c r="BR52" s="252">
        <f t="shared" si="17"/>
        <v>0</v>
      </c>
    </row>
    <row r="53" spans="2:70" x14ac:dyDescent="0.3">
      <c r="B53" s="12"/>
      <c r="C53" s="7" t="s">
        <v>141</v>
      </c>
      <c r="D53" s="7"/>
      <c r="E53" s="152"/>
      <c r="F53" s="147"/>
      <c r="G53" s="147"/>
      <c r="H53" s="7"/>
      <c r="I53" s="7"/>
      <c r="J53" s="109">
        <f>SUM($J$51:J51)</f>
        <v>30676452</v>
      </c>
      <c r="K53" s="109">
        <f>SUM($J$51:K51)</f>
        <v>30742011.034110699</v>
      </c>
      <c r="L53" s="109">
        <f>SUM($J$51:L51)</f>
        <v>31023364.129816893</v>
      </c>
      <c r="M53" s="109">
        <f>SUM($J$51:M51)</f>
        <v>31173966.703832503</v>
      </c>
      <c r="N53" s="109">
        <f>SUM($J$51:N51)</f>
        <v>31347140.547346648</v>
      </c>
      <c r="O53" s="109">
        <f>SUM($J$51:O51)</f>
        <v>31542847.336741798</v>
      </c>
      <c r="P53" s="109">
        <f>SUM($J$51:P51)</f>
        <v>31759396.844397239</v>
      </c>
      <c r="Q53" s="109">
        <f>SUM($J$51:Q51)</f>
        <v>31993378.397454005</v>
      </c>
      <c r="R53" s="109">
        <f>SUM($J$51:R51)</f>
        <v>32239867.758242276</v>
      </c>
      <c r="S53" s="109">
        <f>SUM($J$51:S51)</f>
        <v>32492901.599599849</v>
      </c>
      <c r="T53" s="109">
        <f>SUM($J$51:T51)</f>
        <v>33213606.516034901</v>
      </c>
      <c r="U53" s="109">
        <f>SUM($J$51:U51)</f>
        <v>33427321.402425002</v>
      </c>
      <c r="V53" s="109">
        <f>SUM($J$51:V51)</f>
        <v>34117805.253191553</v>
      </c>
      <c r="W53" s="109">
        <f>SUM($J$51:W51)</f>
        <v>34300000.931475587</v>
      </c>
      <c r="X53" s="109">
        <f>SUM($J$51:X51)</f>
        <v>34463041.441656396</v>
      </c>
      <c r="Y53" s="109">
        <f>SUM($J$51:Y51)</f>
        <v>34918528.460025229</v>
      </c>
      <c r="Z53" s="109">
        <f>SUM($J$51:Z51)</f>
        <v>35228766.211665943</v>
      </c>
      <c r="AA53" s="109">
        <f>SUM($J$51:AA51)</f>
        <v>35603584.018171348</v>
      </c>
      <c r="AB53" s="109">
        <f>SUM($J$51:AB51)</f>
        <v>36195961.157472163</v>
      </c>
      <c r="AC53" s="109">
        <f>SUM($J$51:AC51)</f>
        <v>37140730.15944133</v>
      </c>
      <c r="AD53" s="109">
        <f>SUM($J$51:AD51)</f>
        <v>38615421.860184744</v>
      </c>
      <c r="AE53" s="109">
        <f>SUM($J$51:AE51)</f>
        <v>40827498.358193249</v>
      </c>
      <c r="AF53" s="109">
        <f>SUM($J$51:AF51)</f>
        <v>43984410.395037241</v>
      </c>
      <c r="AG53" s="109">
        <f>SUM($J$51:AG51)</f>
        <v>48247741.690491006</v>
      </c>
      <c r="AH53" s="109">
        <f>SUM($J$51:AH51)</f>
        <v>54367723.459715828</v>
      </c>
      <c r="AI53" s="109">
        <f>SUM($J$51:AI51)</f>
        <v>60889116.712924063</v>
      </c>
      <c r="AJ53" s="109">
        <f>SUM($J$51:AJ51)</f>
        <v>68219048.516344339</v>
      </c>
      <c r="AK53" s="109">
        <f>SUM($J$51:AK51)</f>
        <v>76013814.587545648</v>
      </c>
      <c r="AL53" s="109">
        <f>SUM($J$51:AL51)</f>
        <v>83808580.658746958</v>
      </c>
      <c r="AM53" s="109">
        <f>SUM($J$51:AM51)</f>
        <v>91138512.462167233</v>
      </c>
      <c r="AN53" s="109">
        <f>SUM($J$51:AN51)</f>
        <v>97673792.273952559</v>
      </c>
      <c r="AO53" s="109">
        <f>SUM($J$51:AO51)</f>
        <v>103172859.40582594</v>
      </c>
      <c r="AP53" s="109">
        <f>SUM($J$51:AP51)</f>
        <v>107555364.13681623</v>
      </c>
      <c r="AQ53" s="109">
        <f>SUM($J$51:AQ51)</f>
        <v>110884093.04758729</v>
      </c>
      <c r="AR53" s="109">
        <f>SUM($J$51:AR51)</f>
        <v>113320629.85811575</v>
      </c>
      <c r="AS53" s="109">
        <f>SUM($J$51:AS51)</f>
        <v>115072425.30967844</v>
      </c>
      <c r="AT53" s="109">
        <f>SUM($J$51:AT51)</f>
        <v>118057575.84118873</v>
      </c>
      <c r="AU53" s="109">
        <f>SUM($J$51:AU51)</f>
        <v>119032343.60838348</v>
      </c>
      <c r="AV53" s="109">
        <f>SUM($J$51:AV51)</f>
        <v>119842195.48120525</v>
      </c>
      <c r="AW53" s="109">
        <f>SUM($J$51:AW51)</f>
        <v>132641614.01611076</v>
      </c>
      <c r="AX53" s="109">
        <f>SUM($J$51:AX51)</f>
        <v>132641614.01611076</v>
      </c>
      <c r="AY53" s="109">
        <f>SUM($J$51:AY51)</f>
        <v>132641614.01611076</v>
      </c>
      <c r="AZ53" s="109">
        <f>SUM($J$51:AZ51)</f>
        <v>132641614.01611076</v>
      </c>
      <c r="BA53" s="109">
        <f>SUM($J$51:BA51)</f>
        <v>132641614.01611076</v>
      </c>
      <c r="BB53" s="109">
        <f>SUM($J$51:BB51)</f>
        <v>132641614.01611076</v>
      </c>
      <c r="BC53" s="109">
        <f>SUM($J$51:BC51)</f>
        <v>132641614.01611076</v>
      </c>
      <c r="BD53" s="109">
        <f>SUM($J$51:BD51)</f>
        <v>132641614.01611076</v>
      </c>
      <c r="BE53" s="109">
        <f>SUM($J$51:BE51)</f>
        <v>132641614.01611076</v>
      </c>
      <c r="BF53" s="109">
        <f>SUM($J$51:BF51)</f>
        <v>132641614.01611076</v>
      </c>
      <c r="BG53" s="109">
        <f>SUM($J$51:BG51)</f>
        <v>132641614.01611076</v>
      </c>
      <c r="BH53" s="109">
        <f>SUM($J$51:BH51)</f>
        <v>132641614.01611076</v>
      </c>
      <c r="BI53" s="109">
        <f>SUM($J$51:BI51)</f>
        <v>132641614.01611076</v>
      </c>
      <c r="BJ53" s="109">
        <f>SUM($J$51:BJ51)</f>
        <v>132641614.01611076</v>
      </c>
      <c r="BK53" s="148">
        <f>SUM($J$51:BK51)</f>
        <v>132641614.01611076</v>
      </c>
      <c r="BL53" s="148">
        <f>SUM($J$51:BL51)</f>
        <v>132641614.01611076</v>
      </c>
      <c r="BM53" s="148">
        <f>SUM($J$51:BM51)</f>
        <v>132641614.01611076</v>
      </c>
      <c r="BN53" s="148">
        <f>SUM($J$51:BN51)</f>
        <v>132641614.01611076</v>
      </c>
      <c r="BO53" s="148">
        <f>SUM($J$51:BO51)</f>
        <v>132641614.01611076</v>
      </c>
      <c r="BP53" s="148">
        <f>SUM($J$51:BP51)</f>
        <v>132641614.01611076</v>
      </c>
      <c r="BQ53" s="148">
        <f>SUM($J$51:BQ51)</f>
        <v>132641614.01611076</v>
      </c>
      <c r="BR53" s="253">
        <f>SUM($J$51:BR51)</f>
        <v>132641614.01611076</v>
      </c>
    </row>
    <row r="54" spans="2:70" x14ac:dyDescent="0.3">
      <c r="B54" s="254" t="s">
        <v>142</v>
      </c>
      <c r="C54" s="255"/>
      <c r="D54" s="255"/>
      <c r="E54" s="256"/>
      <c r="F54" s="257"/>
      <c r="G54" s="257"/>
      <c r="H54" s="255"/>
      <c r="I54" s="153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Y54" s="258"/>
      <c r="Z54" s="258"/>
      <c r="AA54" s="258"/>
      <c r="AB54" s="258"/>
      <c r="AC54" s="258"/>
      <c r="AD54" s="258"/>
      <c r="AE54" s="258"/>
      <c r="AF54" s="258"/>
      <c r="AG54" s="258"/>
      <c r="AH54" s="258"/>
      <c r="AI54" s="258"/>
      <c r="AJ54" s="258"/>
      <c r="AK54" s="258"/>
      <c r="AL54" s="258"/>
      <c r="AM54" s="258"/>
      <c r="AN54" s="258"/>
      <c r="AO54" s="258"/>
      <c r="AP54" s="258"/>
      <c r="AQ54" s="258"/>
      <c r="AR54" s="258"/>
      <c r="AS54" s="258"/>
      <c r="AT54" s="258"/>
      <c r="AU54" s="258"/>
      <c r="AV54" s="258"/>
      <c r="AW54" s="258"/>
      <c r="AX54" s="258"/>
      <c r="AY54" s="258"/>
      <c r="AZ54" s="258"/>
      <c r="BA54" s="258"/>
      <c r="BB54" s="258"/>
      <c r="BC54" s="258"/>
      <c r="BD54" s="258"/>
      <c r="BE54" s="258"/>
      <c r="BF54" s="258"/>
      <c r="BG54" s="258"/>
      <c r="BH54" s="258"/>
      <c r="BI54" s="258"/>
      <c r="BJ54" s="258"/>
      <c r="BK54" s="258"/>
      <c r="BL54" s="258"/>
      <c r="BM54" s="258"/>
      <c r="BN54" s="258"/>
      <c r="BO54" s="258"/>
      <c r="BP54" s="258"/>
      <c r="BQ54" s="258"/>
      <c r="BR54" s="259"/>
    </row>
    <row r="55" spans="2:70" x14ac:dyDescent="0.3">
      <c r="B55" s="203" t="s">
        <v>143</v>
      </c>
      <c r="C55" s="186" t="s">
        <v>138</v>
      </c>
      <c r="D55" s="186"/>
      <c r="E55" s="184"/>
      <c r="F55" s="185"/>
      <c r="G55" s="185"/>
      <c r="H55" s="186"/>
      <c r="I55" s="180"/>
      <c r="J55" s="99"/>
      <c r="K55" s="99"/>
      <c r="L55" s="99"/>
      <c r="M55" s="99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81"/>
      <c r="AJ55" s="181"/>
      <c r="AK55" s="181"/>
      <c r="AL55" s="181"/>
      <c r="AM55" s="181"/>
      <c r="AN55" s="181"/>
      <c r="AO55" s="181"/>
      <c r="AP55" s="181"/>
      <c r="AQ55" s="181"/>
      <c r="AR55" s="181"/>
      <c r="AS55" s="181"/>
      <c r="AT55" s="181"/>
      <c r="AU55" s="181"/>
      <c r="AV55" s="181"/>
      <c r="AW55" s="181"/>
      <c r="AX55" s="181"/>
      <c r="AY55" s="181"/>
      <c r="AZ55" s="181"/>
      <c r="BA55" s="181"/>
      <c r="BB55" s="181"/>
      <c r="BC55" s="181"/>
      <c r="BD55" s="181"/>
      <c r="BE55" s="181"/>
      <c r="BF55" s="181"/>
      <c r="BG55" s="181"/>
      <c r="BH55" s="181"/>
      <c r="BI55" s="181"/>
      <c r="BJ55" s="181"/>
      <c r="BK55" s="181"/>
      <c r="BL55" s="181"/>
      <c r="BM55" s="181"/>
      <c r="BN55" s="181"/>
      <c r="BO55" s="181"/>
      <c r="BP55" s="181"/>
      <c r="BQ55" s="181"/>
      <c r="BR55" s="260"/>
    </row>
    <row r="56" spans="2:70" x14ac:dyDescent="0.3">
      <c r="B56" s="204"/>
      <c r="C56" s="255" t="s">
        <v>144</v>
      </c>
      <c r="D56" s="255"/>
      <c r="E56" s="261"/>
      <c r="F56" s="262"/>
      <c r="G56" s="262"/>
      <c r="H56" s="255"/>
      <c r="I56" s="153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2"/>
      <c r="AS56" s="172"/>
      <c r="AT56" s="172"/>
      <c r="AU56" s="172"/>
      <c r="AV56" s="172"/>
      <c r="AW56" s="172"/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263"/>
    </row>
    <row r="57" spans="2:70" x14ac:dyDescent="0.3">
      <c r="B57" s="204"/>
      <c r="C57" s="255" t="s">
        <v>140</v>
      </c>
      <c r="D57" s="255"/>
      <c r="E57" s="256"/>
      <c r="F57" s="257"/>
      <c r="G57" s="257"/>
      <c r="H57" s="255"/>
      <c r="I57" s="153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2"/>
      <c r="AS57" s="172"/>
      <c r="AT57" s="172"/>
      <c r="AU57" s="172"/>
      <c r="AV57" s="172"/>
      <c r="AW57" s="172"/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263"/>
    </row>
    <row r="58" spans="2:70" x14ac:dyDescent="0.3">
      <c r="B58" s="204"/>
      <c r="C58" s="255" t="s">
        <v>145</v>
      </c>
      <c r="D58" s="255"/>
      <c r="E58" s="256"/>
      <c r="F58" s="257"/>
      <c r="G58" s="257"/>
      <c r="H58" s="255"/>
      <c r="I58" s="153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2"/>
      <c r="AS58" s="172"/>
      <c r="AT58" s="172"/>
      <c r="AU58" s="172"/>
      <c r="AV58" s="172"/>
      <c r="AW58" s="172"/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263"/>
    </row>
    <row r="59" spans="2:70" x14ac:dyDescent="0.3">
      <c r="B59" s="204"/>
      <c r="C59" s="255" t="s">
        <v>167</v>
      </c>
      <c r="D59" s="255"/>
      <c r="E59" s="256"/>
      <c r="F59" s="257"/>
      <c r="G59" s="257"/>
      <c r="H59" s="255"/>
      <c r="I59" s="153"/>
      <c r="N59" s="172"/>
      <c r="O59" s="264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2"/>
      <c r="AS59" s="172"/>
      <c r="AT59" s="172"/>
      <c r="AU59" s="172"/>
      <c r="AV59" s="172"/>
      <c r="AW59" s="172"/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263"/>
    </row>
    <row r="60" spans="2:70" x14ac:dyDescent="0.3">
      <c r="B60" s="223" t="s">
        <v>146</v>
      </c>
      <c r="C60" s="189" t="s">
        <v>147</v>
      </c>
      <c r="D60" s="189"/>
      <c r="E60" s="187"/>
      <c r="F60" s="188"/>
      <c r="G60" s="188"/>
      <c r="H60" s="189"/>
      <c r="I60" s="16"/>
      <c r="J60" s="16"/>
      <c r="K60" s="16"/>
      <c r="L60" s="16"/>
      <c r="M60" s="16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  <c r="AK60" s="173"/>
      <c r="AL60" s="173"/>
      <c r="AM60" s="173"/>
      <c r="AN60" s="173"/>
      <c r="AO60" s="173"/>
      <c r="AP60" s="173"/>
      <c r="AQ60" s="173"/>
      <c r="AR60" s="173"/>
      <c r="AS60" s="173"/>
      <c r="AT60" s="173"/>
      <c r="AU60" s="173"/>
      <c r="AV60" s="173"/>
      <c r="AW60" s="173"/>
      <c r="AX60" s="173"/>
      <c r="AY60" s="173"/>
      <c r="AZ60" s="173"/>
      <c r="BA60" s="173"/>
      <c r="BB60" s="173"/>
      <c r="BC60" s="173"/>
      <c r="BD60" s="173"/>
      <c r="BE60" s="173"/>
      <c r="BF60" s="173"/>
      <c r="BG60" s="173"/>
      <c r="BH60" s="173"/>
      <c r="BI60" s="173"/>
      <c r="BJ60" s="173"/>
      <c r="BK60" s="173"/>
      <c r="BL60" s="173"/>
      <c r="BM60" s="173"/>
      <c r="BN60" s="173"/>
      <c r="BO60" s="173"/>
      <c r="BP60" s="173"/>
      <c r="BQ60" s="173"/>
      <c r="BR60" s="237"/>
    </row>
    <row r="61" spans="2:70" x14ac:dyDescent="0.3">
      <c r="B61" s="203" t="s">
        <v>148</v>
      </c>
      <c r="C61" s="186" t="s">
        <v>149</v>
      </c>
      <c r="D61" s="186"/>
      <c r="E61" s="184"/>
      <c r="F61" s="190"/>
      <c r="G61" s="190"/>
      <c r="H61" s="186"/>
      <c r="I61" s="180"/>
      <c r="J61" s="99"/>
      <c r="K61" s="99"/>
      <c r="L61" s="99"/>
      <c r="M61" s="9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  <c r="AC61" s="179"/>
      <c r="AD61" s="179"/>
      <c r="AE61" s="179"/>
      <c r="AF61" s="179"/>
      <c r="AG61" s="179"/>
      <c r="AH61" s="179"/>
      <c r="AI61" s="179"/>
      <c r="AJ61" s="179"/>
      <c r="AK61" s="179"/>
      <c r="AL61" s="179"/>
      <c r="AM61" s="179"/>
      <c r="AN61" s="179"/>
      <c r="AO61" s="179"/>
      <c r="AP61" s="179"/>
      <c r="AQ61" s="179"/>
      <c r="AR61" s="179"/>
      <c r="AS61" s="179"/>
      <c r="AT61" s="179"/>
      <c r="AU61" s="179"/>
      <c r="AV61" s="179"/>
      <c r="AW61" s="179"/>
      <c r="AX61" s="179"/>
      <c r="AY61" s="179"/>
      <c r="AZ61" s="179"/>
      <c r="BA61" s="179"/>
      <c r="BB61" s="179"/>
      <c r="BC61" s="179"/>
      <c r="BD61" s="179"/>
      <c r="BE61" s="179"/>
      <c r="BF61" s="179"/>
      <c r="BG61" s="179"/>
      <c r="BH61" s="179"/>
      <c r="BI61" s="179"/>
      <c r="BJ61" s="179"/>
      <c r="BK61" s="179"/>
      <c r="BL61" s="179"/>
      <c r="BM61" s="179"/>
      <c r="BN61" s="179"/>
      <c r="BO61" s="179"/>
      <c r="BP61" s="179"/>
      <c r="BQ61" s="179"/>
      <c r="BR61" s="265"/>
    </row>
    <row r="62" spans="2:70" x14ac:dyDescent="0.3">
      <c r="B62" s="254"/>
      <c r="C62" s="255" t="s">
        <v>150</v>
      </c>
      <c r="D62" s="255"/>
      <c r="E62" s="256"/>
      <c r="F62" s="257"/>
      <c r="G62" s="257"/>
      <c r="H62" s="255"/>
      <c r="I62" s="153"/>
      <c r="N62" s="266"/>
      <c r="O62" s="267"/>
      <c r="P62" s="267"/>
      <c r="Q62" s="267"/>
      <c r="R62" s="267"/>
      <c r="S62" s="267"/>
      <c r="T62" s="267"/>
      <c r="U62" s="267"/>
      <c r="V62" s="267"/>
      <c r="W62" s="267"/>
      <c r="X62" s="267"/>
      <c r="Y62" s="267"/>
      <c r="Z62" s="267"/>
      <c r="AA62" s="267"/>
      <c r="AB62" s="267"/>
      <c r="AC62" s="267"/>
      <c r="AD62" s="267"/>
      <c r="AE62" s="267"/>
      <c r="AF62" s="267"/>
      <c r="AG62" s="267"/>
      <c r="AH62" s="267"/>
      <c r="AI62" s="267"/>
      <c r="AJ62" s="267"/>
      <c r="AK62" s="267"/>
      <c r="AL62" s="267"/>
      <c r="AM62" s="267"/>
      <c r="AN62" s="267"/>
      <c r="AO62" s="267"/>
      <c r="AP62" s="267"/>
      <c r="AQ62" s="267"/>
      <c r="AR62" s="267"/>
      <c r="AS62" s="267"/>
      <c r="AT62" s="267"/>
      <c r="AU62" s="267"/>
      <c r="AV62" s="267"/>
      <c r="AW62" s="267"/>
      <c r="AX62" s="267"/>
      <c r="AY62" s="267"/>
      <c r="AZ62" s="267"/>
      <c r="BA62" s="267"/>
      <c r="BB62" s="267"/>
      <c r="BC62" s="267"/>
      <c r="BD62" s="267"/>
      <c r="BE62" s="267"/>
      <c r="BF62" s="267"/>
      <c r="BG62" s="267"/>
      <c r="BH62" s="267"/>
      <c r="BI62" s="267"/>
      <c r="BJ62" s="267"/>
      <c r="BK62" s="267"/>
      <c r="BL62" s="267"/>
      <c r="BM62" s="267"/>
      <c r="BN62" s="267"/>
      <c r="BO62" s="267"/>
      <c r="BP62" s="267"/>
      <c r="BQ62" s="267"/>
      <c r="BR62" s="268"/>
    </row>
    <row r="63" spans="2:70" x14ac:dyDescent="0.3">
      <c r="B63" s="204"/>
      <c r="C63" s="255" t="s">
        <v>151</v>
      </c>
      <c r="D63" s="255"/>
      <c r="E63" s="256"/>
      <c r="F63" s="257"/>
      <c r="G63" s="257"/>
      <c r="H63" s="255"/>
      <c r="I63" s="153"/>
      <c r="N63" s="269"/>
      <c r="O63" s="269"/>
      <c r="P63" s="269"/>
      <c r="Q63" s="269"/>
      <c r="R63" s="269"/>
      <c r="S63" s="269"/>
      <c r="T63" s="269"/>
      <c r="U63" s="269"/>
      <c r="V63" s="269"/>
      <c r="W63" s="269"/>
      <c r="X63" s="269"/>
      <c r="Y63" s="269"/>
      <c r="Z63" s="269"/>
      <c r="AA63" s="269"/>
      <c r="AB63" s="269"/>
      <c r="AC63" s="269"/>
      <c r="AD63" s="269"/>
      <c r="AE63" s="269"/>
      <c r="AF63" s="269"/>
      <c r="AG63" s="269"/>
      <c r="AH63" s="269"/>
      <c r="AI63" s="269"/>
      <c r="AJ63" s="269"/>
      <c r="AK63" s="269"/>
      <c r="AL63" s="269"/>
      <c r="AM63" s="269"/>
      <c r="AN63" s="269"/>
      <c r="AO63" s="269"/>
      <c r="AP63" s="269"/>
      <c r="AQ63" s="269"/>
      <c r="AR63" s="269"/>
      <c r="AS63" s="269"/>
      <c r="AT63" s="269"/>
      <c r="AU63" s="269"/>
      <c r="AV63" s="269"/>
      <c r="AW63" s="269"/>
      <c r="AX63" s="269"/>
      <c r="AY63" s="269"/>
      <c r="AZ63" s="269"/>
      <c r="BA63" s="269"/>
      <c r="BB63" s="269"/>
      <c r="BC63" s="269"/>
      <c r="BD63" s="269"/>
      <c r="BE63" s="269"/>
      <c r="BF63" s="269"/>
      <c r="BG63" s="269"/>
      <c r="BH63" s="269"/>
      <c r="BI63" s="269"/>
      <c r="BJ63" s="269"/>
      <c r="BK63" s="269"/>
      <c r="BL63" s="269"/>
      <c r="BM63" s="269"/>
      <c r="BN63" s="269"/>
      <c r="BO63" s="269"/>
      <c r="BP63" s="269"/>
      <c r="BQ63" s="269"/>
      <c r="BR63" s="270"/>
    </row>
    <row r="64" spans="2:70" x14ac:dyDescent="0.3">
      <c r="B64" s="217"/>
      <c r="C64" s="191" t="s">
        <v>152</v>
      </c>
      <c r="D64" s="191"/>
      <c r="E64" s="206"/>
      <c r="F64" s="207"/>
      <c r="G64" s="207"/>
      <c r="H64" s="191"/>
      <c r="I64" s="160"/>
      <c r="J64" s="182"/>
      <c r="K64" s="182"/>
      <c r="L64" s="182"/>
      <c r="M64" s="182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3"/>
      <c r="AB64" s="183"/>
      <c r="AC64" s="183"/>
      <c r="AD64" s="183"/>
      <c r="AE64" s="183"/>
      <c r="AF64" s="183"/>
      <c r="AG64" s="183"/>
      <c r="AH64" s="183"/>
      <c r="AI64" s="183"/>
      <c r="AJ64" s="183"/>
      <c r="AK64" s="183"/>
      <c r="AL64" s="183"/>
      <c r="AM64" s="183"/>
      <c r="AN64" s="183"/>
      <c r="AO64" s="183"/>
      <c r="AP64" s="183"/>
      <c r="AQ64" s="183"/>
      <c r="AR64" s="183"/>
      <c r="AS64" s="183"/>
      <c r="AT64" s="183"/>
      <c r="AU64" s="183"/>
      <c r="AV64" s="183"/>
      <c r="AW64" s="183"/>
      <c r="AX64" s="183"/>
      <c r="AY64" s="183"/>
      <c r="AZ64" s="183"/>
      <c r="BA64" s="183"/>
      <c r="BB64" s="183"/>
      <c r="BC64" s="183"/>
      <c r="BD64" s="183"/>
      <c r="BE64" s="183"/>
      <c r="BF64" s="183"/>
      <c r="BG64" s="183"/>
      <c r="BH64" s="183"/>
      <c r="BI64" s="183"/>
      <c r="BJ64" s="183"/>
      <c r="BK64" s="183"/>
      <c r="BL64" s="183"/>
      <c r="BM64" s="183"/>
      <c r="BN64" s="183"/>
      <c r="BO64" s="183"/>
      <c r="BP64" s="183"/>
      <c r="BQ64" s="183"/>
      <c r="BR64" s="271"/>
    </row>
    <row r="65" spans="2:70" x14ac:dyDescent="0.3">
      <c r="B65" s="204"/>
      <c r="C65" s="255" t="s">
        <v>153</v>
      </c>
      <c r="D65" s="255"/>
      <c r="E65" s="256"/>
      <c r="F65" s="262"/>
      <c r="G65" s="262"/>
      <c r="H65" s="255"/>
      <c r="I65" s="153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/>
      <c r="AT65" s="172"/>
      <c r="AU65" s="172"/>
      <c r="AV65" s="172"/>
      <c r="AW65" s="172"/>
      <c r="AX65" s="172"/>
      <c r="AY65" s="172"/>
      <c r="AZ65" s="172"/>
      <c r="BA65" s="172"/>
      <c r="BB65" s="172"/>
      <c r="BC65" s="172"/>
      <c r="BD65" s="172"/>
      <c r="BE65" s="172"/>
      <c r="BF65" s="172"/>
      <c r="BG65" s="172"/>
      <c r="BH65" s="172"/>
      <c r="BI65" s="172"/>
      <c r="BJ65" s="172"/>
      <c r="BK65" s="172"/>
      <c r="BL65" s="172"/>
      <c r="BM65" s="172"/>
      <c r="BN65" s="172"/>
      <c r="BO65" s="172"/>
      <c r="BP65" s="172"/>
      <c r="BQ65" s="172"/>
      <c r="BR65" s="263"/>
    </row>
    <row r="66" spans="2:70" x14ac:dyDescent="0.3">
      <c r="B66" s="204"/>
      <c r="C66" s="255" t="s">
        <v>154</v>
      </c>
      <c r="D66" s="255"/>
      <c r="E66" s="261"/>
      <c r="F66" s="262"/>
      <c r="G66" s="262"/>
      <c r="H66" s="255"/>
      <c r="I66" s="153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/>
      <c r="AT66" s="172"/>
      <c r="AU66" s="172"/>
      <c r="AV66" s="172"/>
      <c r="AW66" s="172"/>
      <c r="AX66" s="172"/>
      <c r="AY66" s="172"/>
      <c r="AZ66" s="172"/>
      <c r="BA66" s="172"/>
      <c r="BB66" s="172"/>
      <c r="BC66" s="172"/>
      <c r="BD66" s="172"/>
      <c r="BE66" s="172"/>
      <c r="BF66" s="172"/>
      <c r="BG66" s="172"/>
      <c r="BH66" s="172"/>
      <c r="BI66" s="172"/>
      <c r="BJ66" s="172"/>
      <c r="BK66" s="172"/>
      <c r="BL66" s="172"/>
      <c r="BM66" s="172"/>
      <c r="BN66" s="172"/>
      <c r="BO66" s="172"/>
      <c r="BP66" s="172"/>
      <c r="BQ66" s="172"/>
      <c r="BR66" s="263"/>
    </row>
    <row r="67" spans="2:70" x14ac:dyDescent="0.3">
      <c r="B67" s="223"/>
      <c r="C67" s="187"/>
      <c r="D67" s="187"/>
      <c r="E67" s="187"/>
      <c r="F67" s="192"/>
      <c r="G67" s="192"/>
      <c r="H67" s="193"/>
      <c r="I67" s="169"/>
      <c r="J67" s="16"/>
      <c r="K67" s="16"/>
      <c r="L67" s="16"/>
      <c r="M67" s="16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73"/>
      <c r="AG67" s="173"/>
      <c r="AH67" s="173"/>
      <c r="AI67" s="173"/>
      <c r="AJ67" s="173"/>
      <c r="AK67" s="173"/>
      <c r="AL67" s="173"/>
      <c r="AM67" s="173"/>
      <c r="AN67" s="173"/>
      <c r="AO67" s="173"/>
      <c r="AP67" s="173"/>
      <c r="AQ67" s="173"/>
      <c r="AR67" s="173"/>
      <c r="AS67" s="173"/>
      <c r="AT67" s="173"/>
      <c r="AU67" s="173"/>
      <c r="AV67" s="173"/>
      <c r="AW67" s="173"/>
      <c r="AX67" s="173"/>
      <c r="AY67" s="173"/>
      <c r="AZ67" s="173"/>
      <c r="BA67" s="173"/>
      <c r="BB67" s="173"/>
      <c r="BC67" s="173"/>
      <c r="BD67" s="173"/>
      <c r="BE67" s="173"/>
      <c r="BF67" s="173"/>
      <c r="BG67" s="173"/>
      <c r="BH67" s="173"/>
      <c r="BI67" s="173"/>
      <c r="BJ67" s="173"/>
      <c r="BK67" s="173"/>
      <c r="BL67" s="173"/>
      <c r="BM67" s="173"/>
      <c r="BN67" s="173"/>
      <c r="BO67" s="173"/>
      <c r="BP67" s="173"/>
      <c r="BQ67" s="173"/>
      <c r="BR67" s="237"/>
    </row>
    <row r="68" spans="2:70" x14ac:dyDescent="0.3">
      <c r="B68" s="211" t="s">
        <v>155</v>
      </c>
      <c r="C68" s="272"/>
      <c r="D68" s="272"/>
      <c r="E68" s="272"/>
      <c r="F68" s="273"/>
      <c r="G68" s="273"/>
      <c r="H68" s="193"/>
      <c r="I68" s="169"/>
      <c r="J68" s="16"/>
      <c r="K68" s="16"/>
      <c r="L68" s="16"/>
      <c r="M68" s="16"/>
      <c r="N68" s="274"/>
      <c r="O68" s="274"/>
      <c r="P68" s="274"/>
      <c r="Q68" s="274"/>
      <c r="R68" s="274"/>
      <c r="S68" s="274"/>
      <c r="T68" s="274"/>
      <c r="U68" s="274"/>
      <c r="V68" s="274"/>
      <c r="W68" s="274"/>
      <c r="X68" s="274"/>
      <c r="Y68" s="274"/>
      <c r="Z68" s="274"/>
      <c r="AA68" s="274"/>
      <c r="AB68" s="274"/>
      <c r="AC68" s="274"/>
      <c r="AD68" s="274"/>
      <c r="AE68" s="274"/>
      <c r="AF68" s="274"/>
      <c r="AG68" s="274"/>
      <c r="AH68" s="274"/>
      <c r="AI68" s="274"/>
      <c r="AJ68" s="274"/>
      <c r="AK68" s="274"/>
      <c r="AL68" s="275"/>
      <c r="AM68" s="275"/>
      <c r="AN68" s="275"/>
      <c r="AO68" s="275"/>
      <c r="AP68" s="275"/>
      <c r="AQ68" s="274"/>
      <c r="AR68" s="274"/>
      <c r="AS68" s="274"/>
      <c r="AT68" s="274"/>
      <c r="AU68" s="274"/>
      <c r="AV68" s="274"/>
      <c r="AW68" s="274"/>
      <c r="AX68" s="274"/>
      <c r="AY68" s="274"/>
      <c r="AZ68" s="274"/>
      <c r="BA68" s="274"/>
      <c r="BB68" s="275"/>
      <c r="BC68" s="275"/>
      <c r="BD68" s="275"/>
      <c r="BE68" s="275"/>
      <c r="BF68" s="275"/>
      <c r="BG68" s="274"/>
      <c r="BH68" s="274"/>
      <c r="BI68" s="274"/>
      <c r="BJ68" s="274"/>
      <c r="BK68" s="274"/>
      <c r="BL68" s="274"/>
      <c r="BM68" s="274"/>
      <c r="BN68" s="274"/>
      <c r="BO68" s="274"/>
      <c r="BP68" s="274"/>
      <c r="BQ68" s="274"/>
      <c r="BR68" s="276"/>
    </row>
    <row r="70" spans="2:70" x14ac:dyDescent="0.3">
      <c r="B70" s="228" t="s">
        <v>168</v>
      </c>
      <c r="C70" s="229"/>
      <c r="D70" s="229"/>
      <c r="E70" s="229"/>
      <c r="F70" s="76"/>
      <c r="G70" s="230"/>
      <c r="H70" s="76"/>
      <c r="I70" s="230"/>
      <c r="J70" s="76"/>
      <c r="K70" s="231"/>
      <c r="L70" s="231"/>
      <c r="M70" s="229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  <c r="AA70" s="232"/>
      <c r="AB70" s="232"/>
      <c r="AC70" s="232"/>
      <c r="AD70" s="232"/>
      <c r="AE70" s="232"/>
      <c r="AF70" s="232"/>
      <c r="AG70" s="232"/>
      <c r="AH70" s="232"/>
      <c r="AI70" s="232"/>
      <c r="AJ70" s="232"/>
      <c r="AK70" s="232"/>
      <c r="AL70" s="232"/>
      <c r="AM70" s="232"/>
      <c r="AN70" s="232"/>
      <c r="AO70" s="232"/>
      <c r="AP70" s="232"/>
      <c r="AQ70" s="232"/>
      <c r="AR70" s="232"/>
      <c r="AS70" s="232"/>
      <c r="AT70" s="232"/>
      <c r="AU70" s="232"/>
      <c r="AV70" s="232"/>
      <c r="AW70" s="232"/>
      <c r="AX70" s="232"/>
      <c r="AY70" s="232"/>
      <c r="AZ70" s="232"/>
      <c r="BA70" s="232"/>
      <c r="BB70" s="232"/>
      <c r="BC70" s="232"/>
      <c r="BD70" s="232"/>
      <c r="BE70" s="232"/>
      <c r="BF70" s="232"/>
      <c r="BG70" s="232"/>
      <c r="BH70" s="232"/>
      <c r="BI70" s="232"/>
      <c r="BJ70" s="232"/>
      <c r="BK70" s="232"/>
      <c r="BL70" s="232"/>
      <c r="BM70" s="232"/>
      <c r="BN70" s="232"/>
      <c r="BO70" s="232"/>
      <c r="BP70" s="232"/>
      <c r="BQ70" s="232"/>
      <c r="BR70" s="233"/>
    </row>
    <row r="71" spans="2:70" x14ac:dyDescent="0.3">
      <c r="B71" s="33" t="s">
        <v>169</v>
      </c>
      <c r="C71" s="114"/>
      <c r="D71" s="114"/>
      <c r="E71" s="114"/>
      <c r="F71" s="114"/>
      <c r="G71" s="114"/>
      <c r="H71" s="114"/>
      <c r="I71" s="114"/>
      <c r="J71" s="285">
        <f>IFERROR((J$9&lt;Summary!$C$22)*INDEX(OpProj!$J$27:$EK$27,MATCH(J$9,OpProj!$J$16:$EK$16,0)),0)</f>
        <v>0</v>
      </c>
      <c r="K71" s="285">
        <f>IFERROR((K9&lt;Summary!$C$22)*INDEX(OpProj!$J$27:$EK$27,MATCH(MonthlyCF!K9,OpProj!$J$16:$EK$16,0)),0)</f>
        <v>0</v>
      </c>
      <c r="L71" s="285">
        <f>IFERROR((L9&lt;Summary!$C$22)*INDEX(OpProj!$J$27:$EK$27,MATCH(MonthlyCF!L9,OpProj!$J$16:$EK$16,0)),0)</f>
        <v>0</v>
      </c>
      <c r="M71" s="285">
        <f>IFERROR((M9&lt;Summary!$C$22)*INDEX(OpProj!$J$27:$EK$27,MATCH(MonthlyCF!M9,OpProj!$J$16:$EK$16,0)),0)</f>
        <v>0</v>
      </c>
      <c r="N71" s="285">
        <f>IFERROR((N9&lt;Summary!$C$22)*INDEX(OpProj!$J$27:$EK$27,MATCH(MonthlyCF!N9,OpProj!$J$16:$EK$16,0)),0)</f>
        <v>0</v>
      </c>
      <c r="O71" s="285">
        <f>IFERROR((O9&lt;Summary!$C$22)*INDEX(OpProj!$J$27:$EK$27,MATCH(MonthlyCF!O9,OpProj!$J$16:$EK$16,0)),0)</f>
        <v>0</v>
      </c>
      <c r="P71" s="285">
        <f>IFERROR((P9&lt;Summary!$C$22)*INDEX(OpProj!$J$27:$EK$27,MATCH(MonthlyCF!P9,OpProj!$J$16:$EK$16,0)),0)</f>
        <v>0</v>
      </c>
      <c r="Q71" s="285">
        <f>IFERROR((Q9&lt;Summary!$C$22)*INDEX(OpProj!$J$27:$EK$27,MATCH(MonthlyCF!Q9,OpProj!$J$16:$EK$16,0)),0)</f>
        <v>0</v>
      </c>
      <c r="R71" s="285">
        <f>IFERROR((R9&lt;Summary!$C$22)*INDEX(OpProj!$J$27:$EK$27,MATCH(MonthlyCF!R9,OpProj!$J$16:$EK$16,0)),0)</f>
        <v>0</v>
      </c>
      <c r="S71" s="285">
        <f>IFERROR((S9&lt;Summary!$C$22)*INDEX(OpProj!$J$27:$EK$27,MATCH(MonthlyCF!S9,OpProj!$J$16:$EK$16,0)),0)</f>
        <v>0</v>
      </c>
      <c r="T71" s="285">
        <f>IFERROR((T9&lt;Summary!$C$22)*INDEX(OpProj!$J$27:$EK$27,MATCH(MonthlyCF!T9,OpProj!$J$16:$EK$16,0)),0)</f>
        <v>0</v>
      </c>
      <c r="U71" s="285">
        <f>IFERROR((U9&lt;Summary!$C$22)*INDEX(OpProj!$J$27:$EK$27,MATCH(MonthlyCF!U9,OpProj!$J$16:$EK$16,0)),0)</f>
        <v>0</v>
      </c>
      <c r="V71" s="285">
        <f>IFERROR((V9&lt;Summary!$C$22)*INDEX(OpProj!$J$27:$EK$27,MATCH(MonthlyCF!V9,OpProj!$J$16:$EK$16,0)),0)</f>
        <v>0</v>
      </c>
      <c r="W71" s="285">
        <f>IFERROR((W9&lt;Summary!$C$22)*INDEX(OpProj!$J$27:$EK$27,MATCH(MonthlyCF!W9,OpProj!$J$16:$EK$16,0)),0)</f>
        <v>0</v>
      </c>
      <c r="X71" s="285">
        <f>IFERROR((X9&lt;Summary!$C$22)*INDEX(OpProj!$J$27:$EK$27,MATCH(MonthlyCF!X9,OpProj!$J$16:$EK$16,0)),0)</f>
        <v>0</v>
      </c>
      <c r="Y71" s="285">
        <f>IFERROR((Y9&lt;Summary!$C$22)*INDEX(OpProj!$J$27:$EK$27,MATCH(MonthlyCF!Y9,OpProj!$J$16:$EK$16,0)),0)</f>
        <v>0</v>
      </c>
      <c r="Z71" s="285">
        <f>IFERROR((Z9&lt;Summary!$C$22)*INDEX(OpProj!$J$27:$EK$27,MATCH(MonthlyCF!Z9,OpProj!$J$16:$EK$16,0)),0)</f>
        <v>0</v>
      </c>
      <c r="AA71" s="285">
        <f>IFERROR((AA9&lt;Summary!$C$22)*INDEX(OpProj!$J$27:$EK$27,MATCH(MonthlyCF!AA9,OpProj!$J$16:$EK$16,0)),0)</f>
        <v>0</v>
      </c>
      <c r="AB71" s="285">
        <f>IFERROR((AB9&lt;Summary!$C$22)*INDEX(OpProj!$J$27:$EK$27,MATCH(MonthlyCF!AB9,OpProj!$J$16:$EK$16,0)),0)</f>
        <v>0</v>
      </c>
      <c r="AC71" s="285">
        <f>IFERROR((AC9&lt;Summary!$C$22)*INDEX(OpProj!$J$27:$EK$27,MATCH(MonthlyCF!AC9,OpProj!$J$16:$EK$16,0)),0)</f>
        <v>0</v>
      </c>
      <c r="AD71" s="285">
        <f>IFERROR((AD9&lt;Summary!$C$22)*INDEX(OpProj!$J$27:$EK$27,MATCH(MonthlyCF!AD9,OpProj!$J$16:$EK$16,0)),0)</f>
        <v>0</v>
      </c>
      <c r="AE71" s="285">
        <f>IFERROR((AE9&lt;Summary!$C$22)*INDEX(OpProj!$J$27:$EK$27,MATCH(MonthlyCF!AE9,OpProj!$J$16:$EK$16,0)),0)</f>
        <v>0</v>
      </c>
      <c r="AF71" s="285">
        <f>IFERROR((AF9&lt;Summary!$C$22)*INDEX(OpProj!$J$27:$EK$27,MATCH(MonthlyCF!AF9,OpProj!$J$16:$EK$16,0)),0)</f>
        <v>0</v>
      </c>
      <c r="AG71" s="285">
        <f>IFERROR((AG9&lt;Summary!$C$22)*INDEX(OpProj!$J$27:$EK$27,MATCH(MonthlyCF!AG9,OpProj!$J$16:$EK$16,0)),0)</f>
        <v>0</v>
      </c>
      <c r="AH71" s="285">
        <f>IFERROR((AH9&lt;Summary!$C$22)*INDEX(OpProj!$J$27:$EK$27,MATCH(MonthlyCF!AH9,OpProj!$J$16:$EK$16,0)),0)</f>
        <v>0</v>
      </c>
      <c r="AI71" s="285">
        <f>IFERROR((AI9&lt;Summary!$C$22)*INDEX(OpProj!$J$27:$EK$27,MATCH(MonthlyCF!AI9,OpProj!$J$16:$EK$16,0)),0)</f>
        <v>0</v>
      </c>
      <c r="AJ71" s="285">
        <f>IFERROR((AJ9&lt;Summary!$C$22)*INDEX(OpProj!$J$27:$EK$27,MATCH(MonthlyCF!AJ9,OpProj!$J$16:$EK$16,0)),0)</f>
        <v>0</v>
      </c>
      <c r="AK71" s="285">
        <f>IFERROR((AK9&lt;Summary!$C$22)*INDEX(OpProj!$J$27:$EK$27,MATCH(MonthlyCF!AK9,OpProj!$J$16:$EK$16,0)),0)</f>
        <v>0</v>
      </c>
      <c r="AL71" s="285">
        <f>IFERROR((AL9&lt;Summary!$C$22)*INDEX(OpProj!$J$27:$EK$27,MATCH(MonthlyCF!AL9,OpProj!$J$16:$EK$16,0)),0)</f>
        <v>0</v>
      </c>
      <c r="AM71" s="285">
        <f>IFERROR((AM9&lt;Summary!$C$22)*INDEX(OpProj!$J$27:$EK$27,MATCH(MonthlyCF!AM9,OpProj!$J$16:$EK$16,0)),0)</f>
        <v>0</v>
      </c>
      <c r="AN71" s="285">
        <f>IFERROR((AN9&lt;Summary!$C$22)*INDEX(OpProj!$J$27:$EK$27,MATCH(MonthlyCF!AN9,OpProj!$J$16:$EK$16,0)),0)</f>
        <v>0</v>
      </c>
      <c r="AO71" s="285">
        <f>IFERROR((AO9&lt;Summary!$C$22)*INDEX(OpProj!$J$27:$EK$27,MATCH(MonthlyCF!AO9,OpProj!$J$16:$EK$16,0)),0)</f>
        <v>0</v>
      </c>
      <c r="AP71" s="285">
        <f>IFERROR((AP9&lt;Summary!$C$22)*INDEX(OpProj!$J$27:$EK$27,MATCH(MonthlyCF!AP9,OpProj!$J$16:$EK$16,0)),0)</f>
        <v>0</v>
      </c>
      <c r="AQ71" s="285">
        <f>IFERROR((AQ9&lt;Summary!$C$22)*INDEX(OpProj!$J$27:$EK$27,MATCH(MonthlyCF!AQ9,OpProj!$J$16:$EK$16,0)),0)</f>
        <v>0</v>
      </c>
      <c r="AR71" s="285">
        <f>IFERROR((AR9&lt;Summary!$C$22)*INDEX(OpProj!$J$27:$EK$27,MATCH(MonthlyCF!AR9,OpProj!$J$16:$EK$16,0)),0)</f>
        <v>0</v>
      </c>
      <c r="AS71" s="285">
        <f>IFERROR((AS9&lt;Summary!$C$22)*INDEX(OpProj!$J$27:$EK$27,MATCH(MonthlyCF!AS9,OpProj!$J$16:$EK$16,0)),0)</f>
        <v>0</v>
      </c>
      <c r="AT71" s="285">
        <f>IFERROR((AT9&lt;Summary!$C$22)*INDEX(OpProj!$J$27:$EK$27,MATCH(MonthlyCF!AT9,OpProj!$J$16:$EK$16,0)),0)</f>
        <v>0</v>
      </c>
      <c r="AU71" s="285">
        <f>IFERROR((AU9&lt;Summary!$C$22)*INDEX(OpProj!$J$27:$EK$27,MATCH(MonthlyCF!AU9,OpProj!$J$16:$EK$16,0)),0)</f>
        <v>0</v>
      </c>
      <c r="AV71" s="285">
        <f>IFERROR((AV9&lt;Summary!$C$22)*INDEX(OpProj!$J$27:$EK$27,MATCH(MonthlyCF!AV9,OpProj!$J$16:$EK$16,0)),0)</f>
        <v>0</v>
      </c>
      <c r="AW71" s="285">
        <f>IFERROR((AW9&lt;Summary!$C$22)*INDEX(OpProj!$J$27:$EK$27,MATCH(MonthlyCF!AW9,OpProj!$J$16:$EK$16,0)),0)</f>
        <v>23877.179999999993</v>
      </c>
      <c r="AX71" s="285">
        <f>IFERROR((AX9&lt;Summary!$C$22)*INDEX(OpProj!$J$27:$EK$27,MATCH(MonthlyCF!AX9,OpProj!$J$16:$EK$16,0)),0)</f>
        <v>23877.179999999993</v>
      </c>
      <c r="AY71" s="285">
        <f>IFERROR((AY9&lt;Summary!$C$22)*INDEX(OpProj!$J$27:$EK$27,MATCH(MonthlyCF!AY9,OpProj!$J$16:$EK$16,0)),0)</f>
        <v>23877.179999999993</v>
      </c>
      <c r="AZ71" s="285">
        <f>IFERROR((AZ9&lt;Summary!$C$22)*INDEX(OpProj!$J$27:$EK$27,MATCH(MonthlyCF!AZ9,OpProj!$J$16:$EK$16,0)),0)</f>
        <v>782987.95474354713</v>
      </c>
      <c r="BA71" s="285">
        <f>IFERROR((BA9&lt;Summary!$C$22)*INDEX(OpProj!$J$27:$EK$27,MATCH(MonthlyCF!BA9,OpProj!$J$16:$EK$16,0)),0)</f>
        <v>782987.95474354713</v>
      </c>
      <c r="BB71" s="285">
        <f>IFERROR((BB9&lt;Summary!$C$22)*INDEX(OpProj!$J$27:$EK$27,MATCH(MonthlyCF!BB9,OpProj!$J$16:$EK$16,0)),0)</f>
        <v>782987.95474354713</v>
      </c>
      <c r="BC71" s="285">
        <f>IFERROR((BC9&lt;Summary!$C$22)*INDEX(OpProj!$J$27:$EK$27,MATCH(MonthlyCF!BC9,OpProj!$J$16:$EK$16,0)),0)</f>
        <v>782987.95474354713</v>
      </c>
      <c r="BD71" s="285">
        <f>IFERROR((BD9&lt;Summary!$C$22)*INDEX(OpProj!$J$27:$EK$27,MATCH(MonthlyCF!BD9,OpProj!$J$16:$EK$16,0)),0)</f>
        <v>782987.95474354713</v>
      </c>
      <c r="BE71" s="285">
        <f>IFERROR((BE9&lt;Summary!$C$22)*INDEX(OpProj!$J$27:$EK$27,MATCH(MonthlyCF!BE9,OpProj!$J$16:$EK$16,0)),0)</f>
        <v>0</v>
      </c>
      <c r="BF71" s="285">
        <f>IFERROR((BF9&lt;Summary!$C$22)*INDEX(OpProj!$J$27:$EK$27,MATCH(MonthlyCF!BF9,OpProj!$J$16:$EK$16,0)),0)</f>
        <v>0</v>
      </c>
      <c r="BG71" s="285">
        <f>IFERROR((BG9&lt;Summary!$C$22)*INDEX(OpProj!$J$27:$EK$27,MATCH(MonthlyCF!BG9,OpProj!$J$16:$EK$16,0)),0)</f>
        <v>0</v>
      </c>
      <c r="BH71" s="285">
        <f>IFERROR((BH9&lt;Summary!$C$22)*INDEX(OpProj!$J$27:$EK$27,MATCH(MonthlyCF!BH9,OpProj!$J$16:$EK$16,0)),0)</f>
        <v>0</v>
      </c>
      <c r="BI71" s="285">
        <f>IFERROR((BI9&lt;Summary!$C$22)*INDEX(OpProj!$J$27:$EK$27,MATCH(MonthlyCF!BI9,OpProj!$J$16:$EK$16,0)),0)</f>
        <v>0</v>
      </c>
      <c r="BJ71" s="285">
        <f>IFERROR((BJ9&lt;Summary!$C$22)*INDEX(OpProj!$J$27:$EK$27,MATCH(MonthlyCF!BJ9,OpProj!$J$16:$EK$16,0)),0)</f>
        <v>0</v>
      </c>
      <c r="BK71" s="285">
        <f>IFERROR((BK9&lt;Summary!$C$22)*INDEX(OpProj!$J$27:$EK$27,MATCH(MonthlyCF!BK9,OpProj!$J$16:$EK$16,0)),0)</f>
        <v>0</v>
      </c>
      <c r="BL71" s="285">
        <f>IFERROR((BL9&lt;Summary!$C$22)*INDEX(OpProj!$J$27:$EK$27,MATCH(MonthlyCF!BL9,OpProj!$J$16:$EK$16,0)),0)</f>
        <v>0</v>
      </c>
      <c r="BM71" s="285">
        <f>IFERROR((BM9&lt;Summary!$C$22)*INDEX(OpProj!$J$27:$EK$27,MATCH(MonthlyCF!BM9,OpProj!$J$16:$EK$16,0)),0)</f>
        <v>0</v>
      </c>
      <c r="BN71" s="285">
        <f>IFERROR((BN9&lt;Summary!$C$22)*INDEX(OpProj!$J$27:$EK$27,MATCH(MonthlyCF!BN9,OpProj!$J$16:$EK$16,0)),0)</f>
        <v>0</v>
      </c>
      <c r="BO71" s="285">
        <f>IFERROR((BO9&lt;Summary!$C$22)*INDEX(OpProj!$J$27:$EK$27,MATCH(MonthlyCF!BO9,OpProj!$J$16:$EK$16,0)),0)</f>
        <v>0</v>
      </c>
      <c r="BP71" s="285">
        <f>IFERROR((BP9&lt;Summary!$C$22)*INDEX(OpProj!$J$27:$EK$27,MATCH(MonthlyCF!BP9,OpProj!$J$16:$EK$16,0)),0)</f>
        <v>0</v>
      </c>
      <c r="BQ71" s="285">
        <f>IFERROR((BQ9&lt;Summary!$C$22)*INDEX(OpProj!$J$27:$EK$27,MATCH(MonthlyCF!BQ9,OpProj!$J$16:$EK$16,0)),0)</f>
        <v>0</v>
      </c>
      <c r="BR71" s="297">
        <f>IFERROR((BR9&lt;Summary!$C$22)*INDEX(OpProj!$J$27:$EK$27,MATCH(MonthlyCF!BR9,OpProj!$J$16:$EK$16,0)),0)</f>
        <v>0</v>
      </c>
    </row>
    <row r="72" spans="2:70" x14ac:dyDescent="0.3">
      <c r="B72" s="21" t="s">
        <v>36</v>
      </c>
      <c r="C72" s="1"/>
      <c r="D72" s="1"/>
      <c r="E72" s="1"/>
      <c r="F72" s="1"/>
      <c r="G72" s="1"/>
      <c r="H72" s="1"/>
      <c r="I72" s="1"/>
      <c r="J72" s="90">
        <f>IFERROR((J$9=Summary!$C$22)*INDEX(OpProj!$J$29:$EK$29,MATCH(J$9,OpProj!$J$16:$EK$16,0)),0)</f>
        <v>0</v>
      </c>
      <c r="K72" s="90">
        <f>IFERROR((K$9=Summary!$C$22)*INDEX(OpProj!$J$29:$EK$29,MATCH(K$9,OpProj!$J$16:$EK$16,0)),0)</f>
        <v>0</v>
      </c>
      <c r="L72" s="90">
        <f>IFERROR((L$9=Summary!$C$22)*INDEX(OpProj!$J$29:$EK$29,MATCH(L$9,OpProj!$J$16:$EK$16,0)),0)</f>
        <v>0</v>
      </c>
      <c r="M72" s="90">
        <f>IFERROR((M$9=Summary!$C$22)*INDEX(OpProj!$J$29:$EK$29,MATCH(M$9,OpProj!$J$16:$EK$16,0)),0)</f>
        <v>0</v>
      </c>
      <c r="N72" s="90">
        <f>IFERROR((N$9=Summary!$C$22)*INDEX(OpProj!$J$29:$EK$29,MATCH(N$9,OpProj!$J$16:$EK$16,0)),0)</f>
        <v>0</v>
      </c>
      <c r="O72" s="90">
        <f>IFERROR((O$9=Summary!$C$22)*INDEX(OpProj!$J$29:$EK$29,MATCH(O$9,OpProj!$J$16:$EK$16,0)),0)</f>
        <v>0</v>
      </c>
      <c r="P72" s="90">
        <f>IFERROR((P$9=Summary!$C$22)*INDEX(OpProj!$J$29:$EK$29,MATCH(P$9,OpProj!$J$16:$EK$16,0)),0)</f>
        <v>0</v>
      </c>
      <c r="Q72" s="90">
        <f>IFERROR((Q$9=Summary!$C$22)*INDEX(OpProj!$J$29:$EK$29,MATCH(Q$9,OpProj!$J$16:$EK$16,0)),0)</f>
        <v>0</v>
      </c>
      <c r="R72" s="90">
        <f>IFERROR((R$9=Summary!$C$22)*INDEX(OpProj!$J$29:$EK$29,MATCH(R$9,OpProj!$J$16:$EK$16,0)),0)</f>
        <v>0</v>
      </c>
      <c r="S72" s="90">
        <f>IFERROR((S$9=Summary!$C$22)*INDEX(OpProj!$J$29:$EK$29,MATCH(S$9,OpProj!$J$16:$EK$16,0)),0)</f>
        <v>0</v>
      </c>
      <c r="T72" s="90">
        <f>IFERROR((T$9=Summary!$C$22)*INDEX(OpProj!$J$29:$EK$29,MATCH(T$9,OpProj!$J$16:$EK$16,0)),0)</f>
        <v>0</v>
      </c>
      <c r="U72" s="90">
        <f>IFERROR((U$9=Summary!$C$22)*INDEX(OpProj!$J$29:$EK$29,MATCH(U$9,OpProj!$J$16:$EK$16,0)),0)</f>
        <v>0</v>
      </c>
      <c r="V72" s="90">
        <f>IFERROR((V$9=Summary!$C$22)*INDEX(OpProj!$J$29:$EK$29,MATCH(V$9,OpProj!$J$16:$EK$16,0)),0)</f>
        <v>0</v>
      </c>
      <c r="W72" s="90">
        <f>IFERROR((W$9=Summary!$C$22)*INDEX(OpProj!$J$29:$EK$29,MATCH(W$9,OpProj!$J$16:$EK$16,0)),0)</f>
        <v>0</v>
      </c>
      <c r="X72" s="90">
        <f>IFERROR((X$9=Summary!$C$22)*INDEX(OpProj!$J$29:$EK$29,MATCH(X$9,OpProj!$J$16:$EK$16,0)),0)</f>
        <v>0</v>
      </c>
      <c r="Y72" s="90">
        <f>IFERROR((Y$9=Summary!$C$22)*INDEX(OpProj!$J$29:$EK$29,MATCH(Y$9,OpProj!$J$16:$EK$16,0)),0)</f>
        <v>0</v>
      </c>
      <c r="Z72" s="90">
        <f>IFERROR((Z$9=Summary!$C$22)*INDEX(OpProj!$J$29:$EK$29,MATCH(Z$9,OpProj!$J$16:$EK$16,0)),0)</f>
        <v>0</v>
      </c>
      <c r="AA72" s="90">
        <f>IFERROR((AA$9=Summary!$C$22)*INDEX(OpProj!$J$29:$EK$29,MATCH(AA$9,OpProj!$J$16:$EK$16,0)),0)</f>
        <v>0</v>
      </c>
      <c r="AB72" s="90">
        <f>IFERROR((AB$9=Summary!$C$22)*INDEX(OpProj!$J$29:$EK$29,MATCH(AB$9,OpProj!$J$16:$EK$16,0)),0)</f>
        <v>0</v>
      </c>
      <c r="AC72" s="90">
        <f>IFERROR((AC$9=Summary!$C$22)*INDEX(OpProj!$J$29:$EK$29,MATCH(AC$9,OpProj!$J$16:$EK$16,0)),0)</f>
        <v>0</v>
      </c>
      <c r="AD72" s="90">
        <f>IFERROR((AD$9=Summary!$C$22)*INDEX(OpProj!$J$29:$EK$29,MATCH(AD$9,OpProj!$J$16:$EK$16,0)),0)</f>
        <v>0</v>
      </c>
      <c r="AE72" s="90">
        <f>IFERROR((AE$9=Summary!$C$22)*INDEX(OpProj!$J$29:$EK$29,MATCH(AE$9,OpProj!$J$16:$EK$16,0)),0)</f>
        <v>0</v>
      </c>
      <c r="AF72" s="90">
        <f>IFERROR((AF$9=Summary!$C$22)*INDEX(OpProj!$J$29:$EK$29,MATCH(AF$9,OpProj!$J$16:$EK$16,0)),0)</f>
        <v>0</v>
      </c>
      <c r="AG72" s="90">
        <f>IFERROR((AG$9=Summary!$C$22)*INDEX(OpProj!$J$29:$EK$29,MATCH(AG$9,OpProj!$J$16:$EK$16,0)),0)</f>
        <v>0</v>
      </c>
      <c r="AH72" s="90">
        <f>IFERROR((AH$9=Summary!$C$22)*INDEX(OpProj!$J$29:$EK$29,MATCH(AH$9,OpProj!$J$16:$EK$16,0)),0)</f>
        <v>0</v>
      </c>
      <c r="AI72" s="90">
        <f>IFERROR((AI$9=Summary!$C$22)*INDEX(OpProj!$J$29:$EK$29,MATCH(AI$9,OpProj!$J$16:$EK$16,0)),0)</f>
        <v>0</v>
      </c>
      <c r="AJ72" s="90">
        <f>IFERROR((AJ$9=Summary!$C$22)*INDEX(OpProj!$J$29:$EK$29,MATCH(AJ$9,OpProj!$J$16:$EK$16,0)),0)</f>
        <v>0</v>
      </c>
      <c r="AK72" s="90">
        <f>IFERROR((AK$9=Summary!$C$22)*INDEX(OpProj!$J$29:$EK$29,MATCH(AK$9,OpProj!$J$16:$EK$16,0)),0)</f>
        <v>0</v>
      </c>
      <c r="AL72" s="90">
        <f>IFERROR((AL$9=Summary!$C$22)*INDEX(OpProj!$J$29:$EK$29,MATCH(AL$9,OpProj!$J$16:$EK$16,0)),0)</f>
        <v>0</v>
      </c>
      <c r="AM72" s="90">
        <f>IFERROR((AM$9=Summary!$C$22)*INDEX(OpProj!$J$29:$EK$29,MATCH(AM$9,OpProj!$J$16:$EK$16,0)),0)</f>
        <v>0</v>
      </c>
      <c r="AN72" s="90">
        <f>IFERROR((AN$9=Summary!$C$22)*INDEX(OpProj!$J$29:$EK$29,MATCH(AN$9,OpProj!$J$16:$EK$16,0)),0)</f>
        <v>0</v>
      </c>
      <c r="AO72" s="90">
        <f>IFERROR((AO$9=Summary!$C$22)*INDEX(OpProj!$J$29:$EK$29,MATCH(AO$9,OpProj!$J$16:$EK$16,0)),0)</f>
        <v>0</v>
      </c>
      <c r="AP72" s="90">
        <f>IFERROR((AP$9=Summary!$C$22)*INDEX(OpProj!$J$29:$EK$29,MATCH(AP$9,OpProj!$J$16:$EK$16,0)),0)</f>
        <v>0</v>
      </c>
      <c r="AQ72" s="90">
        <f>IFERROR((AQ$9=Summary!$C$22)*INDEX(OpProj!$J$29:$EK$29,MATCH(AQ$9,OpProj!$J$16:$EK$16,0)),0)</f>
        <v>0</v>
      </c>
      <c r="AR72" s="90">
        <f>IFERROR((AR$9=Summary!$C$22)*INDEX(OpProj!$J$29:$EK$29,MATCH(AR$9,OpProj!$J$16:$EK$16,0)),0)</f>
        <v>0</v>
      </c>
      <c r="AS72" s="90">
        <f>IFERROR((AS$9=Summary!$C$22)*INDEX(OpProj!$J$29:$EK$29,MATCH(AS$9,OpProj!$J$16:$EK$16,0)),0)</f>
        <v>0</v>
      </c>
      <c r="AT72" s="90">
        <f>IFERROR((AT$9=Summary!$C$22)*INDEX(OpProj!$J$29:$EK$29,MATCH(AT$9,OpProj!$J$16:$EK$16,0)),0)</f>
        <v>0</v>
      </c>
      <c r="AU72" s="90">
        <f>IFERROR((AU$9=Summary!$C$22)*INDEX(OpProj!$J$29:$EK$29,MATCH(AU$9,OpProj!$J$16:$EK$16,0)),0)</f>
        <v>0</v>
      </c>
      <c r="AV72" s="90">
        <f>IFERROR((AV$9=Summary!$C$22)*INDEX(OpProj!$J$29:$EK$29,MATCH(AV$9,OpProj!$J$16:$EK$16,0)),0)</f>
        <v>0</v>
      </c>
      <c r="AW72" s="90">
        <f>IFERROR((AW$9=Summary!$C$22)*INDEX(OpProj!$J$29:$EK$29,MATCH(AW$9,OpProj!$J$16:$EK$16,0)),0)</f>
        <v>0</v>
      </c>
      <c r="AX72" s="90">
        <f>IFERROR((AX$9=Summary!$C$22)*INDEX(OpProj!$J$29:$EK$29,MATCH(AX$9,OpProj!$J$16:$EK$16,0)),0)</f>
        <v>0</v>
      </c>
      <c r="AY72" s="90">
        <f>IFERROR((AY$9=Summary!$C$22)*INDEX(OpProj!$J$29:$EK$29,MATCH(AY$9,OpProj!$J$16:$EK$16,0)),0)</f>
        <v>0</v>
      </c>
      <c r="AZ72" s="90">
        <f>IFERROR((AZ$9=Summary!$C$22)*INDEX(OpProj!$J$29:$EK$29,MATCH(AZ$9,OpProj!$J$16:$EK$16,0)),0)</f>
        <v>0</v>
      </c>
      <c r="BA72" s="90">
        <f>IFERROR((BA$9=Summary!$C$22)*INDEX(OpProj!$J$29:$EK$29,MATCH(BA$9,OpProj!$J$16:$EK$16,0)),0)</f>
        <v>0</v>
      </c>
      <c r="BB72" s="90">
        <f>IFERROR((BB$9=Summary!$C$22)*INDEX(OpProj!$J$29:$EK$29,MATCH(BB$9,OpProj!$J$16:$EK$16,0)),0)</f>
        <v>0</v>
      </c>
      <c r="BC72" s="90">
        <f>IFERROR((BC$9=Summary!$C$22)*INDEX(OpProj!$J$29:$EK$29,MATCH(BC$9,OpProj!$J$16:$EK$16,0)),0)</f>
        <v>0</v>
      </c>
      <c r="BD72" s="90">
        <f>IFERROR((BD$9=Summary!$C$22)*INDEX(OpProj!$J$29:$EK$29,MATCH(BD$9,OpProj!$J$16:$EK$16,0)),0)</f>
        <v>0</v>
      </c>
      <c r="BE72" s="90">
        <f>IFERROR((BE$9=Summary!$C$22)*INDEX(OpProj!$J$29:$EK$29,MATCH(BE$9,OpProj!$J$16:$EK$16,0)),0)</f>
        <v>192187727.11954087</v>
      </c>
      <c r="BF72" s="90">
        <f>IFERROR((BF$9=Summary!$C$22)*INDEX(OpProj!$J$29:$EK$29,MATCH(BF$9,OpProj!$J$16:$EK$16,0)),0)</f>
        <v>0</v>
      </c>
      <c r="BG72" s="90">
        <f>IFERROR((BG$9=Summary!$C$22)*INDEX(OpProj!$J$29:$EK$29,MATCH(BG$9,OpProj!$J$16:$EK$16,0)),0)</f>
        <v>0</v>
      </c>
      <c r="BH72" s="90">
        <f>IFERROR((BH$9=Summary!$C$22)*INDEX(OpProj!$J$29:$EK$29,MATCH(BH$9,OpProj!$J$16:$EK$16,0)),0)</f>
        <v>0</v>
      </c>
      <c r="BI72" s="90">
        <f>IFERROR((BI$9=Summary!$C$22)*INDEX(OpProj!$J$29:$EK$29,MATCH(BI$9,OpProj!$J$16:$EK$16,0)),0)</f>
        <v>0</v>
      </c>
      <c r="BJ72" s="90">
        <f>IFERROR((BJ$9=Summary!$C$22)*INDEX(OpProj!$J$29:$EK$29,MATCH(BJ$9,OpProj!$J$16:$EK$16,0)),0)</f>
        <v>0</v>
      </c>
      <c r="BK72" s="90">
        <f>IFERROR((BK$9=Summary!$C$22)*INDEX(OpProj!$J$29:$EK$29,MATCH(BK$9,OpProj!$J$16:$EK$16,0)),0)</f>
        <v>0</v>
      </c>
      <c r="BL72" s="90">
        <f>IFERROR((BL$9=Summary!$C$22)*INDEX(OpProj!$J$29:$EK$29,MATCH(BL$9,OpProj!$J$16:$EK$16,0)),0)</f>
        <v>0</v>
      </c>
      <c r="BM72" s="90">
        <f>IFERROR((BM$9=Summary!$C$22)*INDEX(OpProj!$J$29:$EK$29,MATCH(BM$9,OpProj!$J$16:$EK$16,0)),0)</f>
        <v>0</v>
      </c>
      <c r="BN72" s="90">
        <f>IFERROR((BN$9=Summary!$C$22)*INDEX(OpProj!$J$29:$EK$29,MATCH(BN$9,OpProj!$J$16:$EK$16,0)),0)</f>
        <v>0</v>
      </c>
      <c r="BO72" s="90">
        <f>IFERROR((BO$9=Summary!$C$22)*INDEX(OpProj!$J$29:$EK$29,MATCH(BO$9,OpProj!$J$16:$EK$16,0)),0)</f>
        <v>0</v>
      </c>
      <c r="BP72" s="90">
        <f>IFERROR((BP$9=Summary!$C$22)*INDEX(OpProj!$J$29:$EK$29,MATCH(BP$9,OpProj!$J$16:$EK$16,0)),0)</f>
        <v>0</v>
      </c>
      <c r="BQ72" s="90">
        <f>IFERROR((BQ$9=Summary!$C$22)*INDEX(OpProj!$J$29:$EK$29,MATCH(BQ$9,OpProj!$J$16:$EK$16,0)),0)</f>
        <v>0</v>
      </c>
      <c r="BR72" s="93">
        <f>IFERROR((BR$9=Summary!$C$22)*INDEX(OpProj!$J$29:$EK$29,MATCH(BR$9,OpProj!$J$16:$EK$16,0)),0)</f>
        <v>0</v>
      </c>
    </row>
    <row r="73" spans="2:70" x14ac:dyDescent="0.3">
      <c r="B73" s="21" t="s">
        <v>170</v>
      </c>
      <c r="C73" s="1"/>
      <c r="D73" s="1"/>
      <c r="E73" s="1"/>
      <c r="F73" s="1"/>
      <c r="G73" s="1"/>
      <c r="H73" s="1"/>
      <c r="I73" s="1"/>
      <c r="J73" s="90">
        <f>J72*-Summary!$F$45</f>
        <v>0</v>
      </c>
      <c r="K73" s="90">
        <f>K72*-Summary!$F$45</f>
        <v>0</v>
      </c>
      <c r="L73" s="90">
        <f>L72*-Summary!$F$45</f>
        <v>0</v>
      </c>
      <c r="M73" s="90">
        <f>M72*-Summary!$F$45</f>
        <v>0</v>
      </c>
      <c r="N73" s="90">
        <f>N72*-Summary!$F$45</f>
        <v>0</v>
      </c>
      <c r="O73" s="90">
        <f>O72*-Summary!$F$45</f>
        <v>0</v>
      </c>
      <c r="P73" s="90">
        <f>P72*-Summary!$F$45</f>
        <v>0</v>
      </c>
      <c r="Q73" s="90">
        <f>Q72*-Summary!$F$45</f>
        <v>0</v>
      </c>
      <c r="R73" s="90">
        <f>R72*-Summary!$F$45</f>
        <v>0</v>
      </c>
      <c r="S73" s="90">
        <f>S72*-Summary!$F$45</f>
        <v>0</v>
      </c>
      <c r="T73" s="90">
        <f>T72*-Summary!$F$45</f>
        <v>0</v>
      </c>
      <c r="U73" s="90">
        <f>U72*-Summary!$F$45</f>
        <v>0</v>
      </c>
      <c r="V73" s="90">
        <f>V72*-Summary!$F$45</f>
        <v>0</v>
      </c>
      <c r="W73" s="90">
        <f>W72*-Summary!$F$45</f>
        <v>0</v>
      </c>
      <c r="X73" s="90">
        <f>X72*-Summary!$F$45</f>
        <v>0</v>
      </c>
      <c r="Y73" s="90">
        <f>Y72*-Summary!$F$45</f>
        <v>0</v>
      </c>
      <c r="Z73" s="90">
        <f>Z72*-Summary!$F$45</f>
        <v>0</v>
      </c>
      <c r="AA73" s="90">
        <f>AA72*-Summary!$F$45</f>
        <v>0</v>
      </c>
      <c r="AB73" s="90">
        <f>AB72*-Summary!$F$45</f>
        <v>0</v>
      </c>
      <c r="AC73" s="90">
        <f>AC72*-Summary!$F$45</f>
        <v>0</v>
      </c>
      <c r="AD73" s="90">
        <f>AD72*-Summary!$F$45</f>
        <v>0</v>
      </c>
      <c r="AE73" s="90">
        <f>AE72*-Summary!$F$45</f>
        <v>0</v>
      </c>
      <c r="AF73" s="90">
        <f>AF72*-Summary!$F$45</f>
        <v>0</v>
      </c>
      <c r="AG73" s="90">
        <f>AG72*-Summary!$F$45</f>
        <v>0</v>
      </c>
      <c r="AH73" s="90">
        <f>AH72*-Summary!$F$45</f>
        <v>0</v>
      </c>
      <c r="AI73" s="90">
        <f>AI72*-Summary!$F$45</f>
        <v>0</v>
      </c>
      <c r="AJ73" s="90">
        <f>AJ72*-Summary!$F$45</f>
        <v>0</v>
      </c>
      <c r="AK73" s="90">
        <f>AK72*-Summary!$F$45</f>
        <v>0</v>
      </c>
      <c r="AL73" s="90">
        <f>AL72*-Summary!$F$45</f>
        <v>0</v>
      </c>
      <c r="AM73" s="90">
        <f>AM72*-Summary!$F$45</f>
        <v>0</v>
      </c>
      <c r="AN73" s="90">
        <f>AN72*-Summary!$F$45</f>
        <v>0</v>
      </c>
      <c r="AO73" s="90">
        <f>AO72*-Summary!$F$45</f>
        <v>0</v>
      </c>
      <c r="AP73" s="90">
        <f>AP72*-Summary!$F$45</f>
        <v>0</v>
      </c>
      <c r="AQ73" s="90">
        <f>AQ72*-Summary!$F$45</f>
        <v>0</v>
      </c>
      <c r="AR73" s="90">
        <f>AR72*-Summary!$F$45</f>
        <v>0</v>
      </c>
      <c r="AS73" s="90">
        <f>AS72*-Summary!$F$45</f>
        <v>0</v>
      </c>
      <c r="AT73" s="90">
        <f>AT72*-Summary!$F$45</f>
        <v>0</v>
      </c>
      <c r="AU73" s="90">
        <f>AU72*-Summary!$F$45</f>
        <v>0</v>
      </c>
      <c r="AV73" s="90">
        <f>AV72*-Summary!$F$45</f>
        <v>0</v>
      </c>
      <c r="AW73" s="90">
        <f>AW72*-Summary!$F$45</f>
        <v>0</v>
      </c>
      <c r="AX73" s="90">
        <f>AX72*-Summary!$F$45</f>
        <v>0</v>
      </c>
      <c r="AY73" s="90">
        <f>AY72*-Summary!$F$45</f>
        <v>0</v>
      </c>
      <c r="AZ73" s="90">
        <f>AZ72*-Summary!$F$45</f>
        <v>0</v>
      </c>
      <c r="BA73" s="90">
        <f>BA72*-Summary!$F$45</f>
        <v>0</v>
      </c>
      <c r="BB73" s="90">
        <f>BB72*-Summary!$F$45</f>
        <v>0</v>
      </c>
      <c r="BC73" s="90">
        <f>BC72*-Summary!$F$45</f>
        <v>0</v>
      </c>
      <c r="BD73" s="90">
        <f>BD72*-Summary!$F$45</f>
        <v>0</v>
      </c>
      <c r="BE73" s="90">
        <f>BE72*-Summary!$F$45</f>
        <v>-5765631.8135862257</v>
      </c>
      <c r="BF73" s="90">
        <f>BF72*-Summary!$F$45</f>
        <v>0</v>
      </c>
      <c r="BG73" s="90">
        <f>BG72*-Summary!$F$45</f>
        <v>0</v>
      </c>
      <c r="BH73" s="90">
        <f>BH72*-Summary!$F$45</f>
        <v>0</v>
      </c>
      <c r="BI73" s="90">
        <f>BI72*-Summary!$F$45</f>
        <v>0</v>
      </c>
      <c r="BJ73" s="90">
        <f>BJ72*-Summary!$F$45</f>
        <v>0</v>
      </c>
      <c r="BK73" s="90">
        <f>BK72*-Summary!$F$45</f>
        <v>0</v>
      </c>
      <c r="BL73" s="90">
        <f>BL72*-Summary!$F$45</f>
        <v>0</v>
      </c>
      <c r="BM73" s="90">
        <f>BM72*-Summary!$F$45</f>
        <v>0</v>
      </c>
      <c r="BN73" s="90">
        <f>BN72*-Summary!$F$45</f>
        <v>0</v>
      </c>
      <c r="BO73" s="90">
        <f>BO72*-Summary!$F$45</f>
        <v>0</v>
      </c>
      <c r="BP73" s="90">
        <f>BP72*-Summary!$F$45</f>
        <v>0</v>
      </c>
      <c r="BQ73" s="90">
        <f>BQ72*-Summary!$F$45</f>
        <v>0</v>
      </c>
      <c r="BR73" s="93">
        <f>BR72*-Summary!$F$45</f>
        <v>0</v>
      </c>
    </row>
    <row r="74" spans="2:70" x14ac:dyDescent="0.3">
      <c r="B74" s="202" t="s">
        <v>94</v>
      </c>
      <c r="C74" s="154"/>
      <c r="D74" s="154"/>
      <c r="E74" s="154"/>
      <c r="F74" s="154"/>
      <c r="G74" s="154"/>
      <c r="H74" s="154"/>
      <c r="I74" s="154"/>
      <c r="J74" s="156">
        <f>SUM(J71:J73)</f>
        <v>0</v>
      </c>
      <c r="K74" s="156">
        <f t="shared" ref="K74:BR74" si="18">SUM(K71:K73)</f>
        <v>0</v>
      </c>
      <c r="L74" s="156">
        <f t="shared" si="18"/>
        <v>0</v>
      </c>
      <c r="M74" s="156">
        <f t="shared" si="18"/>
        <v>0</v>
      </c>
      <c r="N74" s="156">
        <f t="shared" si="18"/>
        <v>0</v>
      </c>
      <c r="O74" s="156">
        <f t="shared" si="18"/>
        <v>0</v>
      </c>
      <c r="P74" s="156">
        <f t="shared" si="18"/>
        <v>0</v>
      </c>
      <c r="Q74" s="156">
        <f t="shared" si="18"/>
        <v>0</v>
      </c>
      <c r="R74" s="156">
        <f t="shared" si="18"/>
        <v>0</v>
      </c>
      <c r="S74" s="156">
        <f t="shared" si="18"/>
        <v>0</v>
      </c>
      <c r="T74" s="156">
        <f t="shared" si="18"/>
        <v>0</v>
      </c>
      <c r="U74" s="156">
        <f t="shared" si="18"/>
        <v>0</v>
      </c>
      <c r="V74" s="156">
        <f t="shared" si="18"/>
        <v>0</v>
      </c>
      <c r="W74" s="156">
        <f t="shared" si="18"/>
        <v>0</v>
      </c>
      <c r="X74" s="156">
        <f t="shared" si="18"/>
        <v>0</v>
      </c>
      <c r="Y74" s="156">
        <f t="shared" si="18"/>
        <v>0</v>
      </c>
      <c r="Z74" s="156">
        <f t="shared" si="18"/>
        <v>0</v>
      </c>
      <c r="AA74" s="156">
        <f t="shared" si="18"/>
        <v>0</v>
      </c>
      <c r="AB74" s="156">
        <f t="shared" si="18"/>
        <v>0</v>
      </c>
      <c r="AC74" s="156">
        <f t="shared" si="18"/>
        <v>0</v>
      </c>
      <c r="AD74" s="156">
        <f t="shared" si="18"/>
        <v>0</v>
      </c>
      <c r="AE74" s="156">
        <f t="shared" si="18"/>
        <v>0</v>
      </c>
      <c r="AF74" s="156">
        <f t="shared" si="18"/>
        <v>0</v>
      </c>
      <c r="AG74" s="156">
        <f t="shared" si="18"/>
        <v>0</v>
      </c>
      <c r="AH74" s="156">
        <f t="shared" si="18"/>
        <v>0</v>
      </c>
      <c r="AI74" s="156">
        <f t="shared" si="18"/>
        <v>0</v>
      </c>
      <c r="AJ74" s="156">
        <f t="shared" si="18"/>
        <v>0</v>
      </c>
      <c r="AK74" s="156">
        <f t="shared" si="18"/>
        <v>0</v>
      </c>
      <c r="AL74" s="156">
        <f t="shared" si="18"/>
        <v>0</v>
      </c>
      <c r="AM74" s="156">
        <f t="shared" si="18"/>
        <v>0</v>
      </c>
      <c r="AN74" s="156">
        <f t="shared" si="18"/>
        <v>0</v>
      </c>
      <c r="AO74" s="156">
        <f t="shared" si="18"/>
        <v>0</v>
      </c>
      <c r="AP74" s="156">
        <f t="shared" si="18"/>
        <v>0</v>
      </c>
      <c r="AQ74" s="156">
        <f t="shared" si="18"/>
        <v>0</v>
      </c>
      <c r="AR74" s="156">
        <f t="shared" si="18"/>
        <v>0</v>
      </c>
      <c r="AS74" s="156">
        <f t="shared" si="18"/>
        <v>0</v>
      </c>
      <c r="AT74" s="156">
        <f t="shared" si="18"/>
        <v>0</v>
      </c>
      <c r="AU74" s="156">
        <f t="shared" si="18"/>
        <v>0</v>
      </c>
      <c r="AV74" s="156">
        <f t="shared" si="18"/>
        <v>0</v>
      </c>
      <c r="AW74" s="156">
        <f t="shared" si="18"/>
        <v>23877.179999999993</v>
      </c>
      <c r="AX74" s="156">
        <f t="shared" si="18"/>
        <v>23877.179999999993</v>
      </c>
      <c r="AY74" s="156">
        <f t="shared" si="18"/>
        <v>23877.179999999993</v>
      </c>
      <c r="AZ74" s="156">
        <f t="shared" si="18"/>
        <v>782987.95474354713</v>
      </c>
      <c r="BA74" s="156">
        <f t="shared" si="18"/>
        <v>782987.95474354713</v>
      </c>
      <c r="BB74" s="156">
        <f t="shared" si="18"/>
        <v>782987.95474354713</v>
      </c>
      <c r="BC74" s="156">
        <f t="shared" si="18"/>
        <v>782987.95474354713</v>
      </c>
      <c r="BD74" s="156">
        <f t="shared" si="18"/>
        <v>782987.95474354713</v>
      </c>
      <c r="BE74" s="156">
        <f t="shared" si="18"/>
        <v>186422095.30595464</v>
      </c>
      <c r="BF74" s="156">
        <f t="shared" si="18"/>
        <v>0</v>
      </c>
      <c r="BG74" s="156">
        <f t="shared" si="18"/>
        <v>0</v>
      </c>
      <c r="BH74" s="156">
        <f t="shared" si="18"/>
        <v>0</v>
      </c>
      <c r="BI74" s="156">
        <f t="shared" si="18"/>
        <v>0</v>
      </c>
      <c r="BJ74" s="156">
        <f t="shared" si="18"/>
        <v>0</v>
      </c>
      <c r="BK74" s="156">
        <f t="shared" si="18"/>
        <v>0</v>
      </c>
      <c r="BL74" s="156">
        <f t="shared" si="18"/>
        <v>0</v>
      </c>
      <c r="BM74" s="156">
        <f t="shared" si="18"/>
        <v>0</v>
      </c>
      <c r="BN74" s="156">
        <f t="shared" si="18"/>
        <v>0</v>
      </c>
      <c r="BO74" s="156">
        <f t="shared" si="18"/>
        <v>0</v>
      </c>
      <c r="BP74" s="156">
        <f t="shared" si="18"/>
        <v>0</v>
      </c>
      <c r="BQ74" s="156">
        <f t="shared" si="18"/>
        <v>0</v>
      </c>
      <c r="BR74" s="298">
        <f t="shared" si="18"/>
        <v>0</v>
      </c>
    </row>
    <row r="76" spans="2:70" x14ac:dyDescent="0.3">
      <c r="B76" s="228" t="s">
        <v>171</v>
      </c>
      <c r="C76" s="229"/>
      <c r="D76" s="229"/>
      <c r="E76" s="229"/>
      <c r="F76" s="76"/>
      <c r="G76" s="230"/>
      <c r="H76" s="76"/>
      <c r="I76" s="230"/>
      <c r="J76" s="76"/>
      <c r="K76" s="231"/>
      <c r="L76" s="231"/>
      <c r="M76" s="229"/>
      <c r="N76" s="232"/>
      <c r="O76" s="232"/>
      <c r="P76" s="232"/>
      <c r="Q76" s="232"/>
      <c r="R76" s="232"/>
      <c r="S76" s="232"/>
      <c r="T76" s="232"/>
      <c r="U76" s="232"/>
      <c r="V76" s="232"/>
      <c r="W76" s="232"/>
      <c r="X76" s="232"/>
      <c r="Y76" s="232"/>
      <c r="Z76" s="232"/>
      <c r="AA76" s="232"/>
      <c r="AB76" s="232"/>
      <c r="AC76" s="232"/>
      <c r="AD76" s="232"/>
      <c r="AE76" s="232"/>
      <c r="AF76" s="232"/>
      <c r="AG76" s="232"/>
      <c r="AH76" s="232"/>
      <c r="AI76" s="232"/>
      <c r="AJ76" s="232"/>
      <c r="AK76" s="232"/>
      <c r="AL76" s="232"/>
      <c r="AM76" s="232"/>
      <c r="AN76" s="232"/>
      <c r="AO76" s="232"/>
      <c r="AP76" s="232"/>
      <c r="AQ76" s="232"/>
      <c r="AR76" s="232"/>
      <c r="AS76" s="232"/>
      <c r="AT76" s="232"/>
      <c r="AU76" s="232"/>
      <c r="AV76" s="232"/>
      <c r="AW76" s="232"/>
      <c r="AX76" s="232"/>
      <c r="AY76" s="232"/>
      <c r="AZ76" s="232"/>
      <c r="BA76" s="232"/>
      <c r="BB76" s="232"/>
      <c r="BC76" s="232"/>
      <c r="BD76" s="232"/>
      <c r="BE76" s="232"/>
      <c r="BF76" s="232"/>
      <c r="BG76" s="232"/>
      <c r="BH76" s="232"/>
      <c r="BI76" s="232"/>
      <c r="BJ76" s="232"/>
      <c r="BK76" s="232"/>
      <c r="BL76" s="232"/>
      <c r="BM76" s="232"/>
      <c r="BN76" s="232"/>
      <c r="BO76" s="232"/>
      <c r="BP76" s="232"/>
      <c r="BQ76" s="232"/>
      <c r="BR76" s="233"/>
    </row>
    <row r="77" spans="2:70" x14ac:dyDescent="0.3">
      <c r="B77" s="10" t="s">
        <v>108</v>
      </c>
      <c r="C77" s="353">
        <f>SUM(J77:BR77)</f>
        <v>57767052.60356161</v>
      </c>
      <c r="D77" s="90"/>
      <c r="E77" s="1"/>
      <c r="F77" s="1"/>
      <c r="G77" s="1"/>
      <c r="H77" s="1"/>
      <c r="I77" s="1"/>
      <c r="J77" s="90">
        <f>-J38+J74</f>
        <v>-30676452</v>
      </c>
      <c r="K77" s="90">
        <f t="shared" ref="K77:BR77" si="19">-K38+K74</f>
        <v>-65559.034110700028</v>
      </c>
      <c r="L77" s="90">
        <f t="shared" si="19"/>
        <v>-281353.09570619406</v>
      </c>
      <c r="M77" s="90">
        <f t="shared" si="19"/>
        <v>-150602.57401560858</v>
      </c>
      <c r="N77" s="90">
        <f t="shared" si="19"/>
        <v>-173173.84351414302</v>
      </c>
      <c r="O77" s="90">
        <f t="shared" si="19"/>
        <v>-195706.78939514802</v>
      </c>
      <c r="P77" s="90">
        <f t="shared" si="19"/>
        <v>-216549.50765544316</v>
      </c>
      <c r="Q77" s="90">
        <f t="shared" si="19"/>
        <v>-233981.55305676704</v>
      </c>
      <c r="R77" s="90">
        <f t="shared" si="19"/>
        <v>-246489.36078827205</v>
      </c>
      <c r="S77" s="90">
        <f t="shared" si="19"/>
        <v>-253033.84135757212</v>
      </c>
      <c r="T77" s="90">
        <f t="shared" si="19"/>
        <v>-720704.91643505031</v>
      </c>
      <c r="U77" s="90">
        <f t="shared" si="19"/>
        <v>-213714.88639010041</v>
      </c>
      <c r="V77" s="90">
        <f t="shared" si="19"/>
        <v>-690483.85076655424</v>
      </c>
      <c r="W77" s="90">
        <f t="shared" si="19"/>
        <v>-182195.67828403699</v>
      </c>
      <c r="X77" s="90">
        <f t="shared" si="19"/>
        <v>-163040.51018080971</v>
      </c>
      <c r="Y77" s="90">
        <f t="shared" si="19"/>
        <v>-455487.01836883044</v>
      </c>
      <c r="Z77" s="90">
        <f t="shared" si="19"/>
        <v>-310237.75164071587</v>
      </c>
      <c r="AA77" s="90">
        <f t="shared" si="19"/>
        <v>-374817.80650540115</v>
      </c>
      <c r="AB77" s="90">
        <f t="shared" si="19"/>
        <v>-592377.13930081681</v>
      </c>
      <c r="AC77" s="90">
        <f t="shared" si="19"/>
        <v>-944769.00196916854</v>
      </c>
      <c r="AD77" s="90">
        <f t="shared" si="19"/>
        <v>-1474691.7007434161</v>
      </c>
      <c r="AE77" s="90">
        <f t="shared" si="19"/>
        <v>-2212076.4980085008</v>
      </c>
      <c r="AF77" s="90">
        <f t="shared" si="19"/>
        <v>-3156912.0368439918</v>
      </c>
      <c r="AG77" s="90">
        <f t="shared" si="19"/>
        <v>-4263331.2954537673</v>
      </c>
      <c r="AH77" s="90">
        <f t="shared" si="19"/>
        <v>-6119981.7692248244</v>
      </c>
      <c r="AI77" s="90">
        <f t="shared" si="19"/>
        <v>-6521393.2532082386</v>
      </c>
      <c r="AJ77" s="90">
        <f t="shared" si="19"/>
        <v>-7329931.8034202736</v>
      </c>
      <c r="AK77" s="90">
        <f t="shared" si="19"/>
        <v>-7794766.0712013077</v>
      </c>
      <c r="AL77" s="90">
        <f t="shared" si="19"/>
        <v>-7794766.0712013077</v>
      </c>
      <c r="AM77" s="90">
        <f t="shared" si="19"/>
        <v>-7329931.8034202736</v>
      </c>
      <c r="AN77" s="90">
        <f t="shared" si="19"/>
        <v>-6535279.8117853245</v>
      </c>
      <c r="AO77" s="90">
        <f t="shared" si="19"/>
        <v>-5499067.1318733767</v>
      </c>
      <c r="AP77" s="90">
        <f t="shared" si="19"/>
        <v>-4382504.7309902934</v>
      </c>
      <c r="AQ77" s="90">
        <f t="shared" si="19"/>
        <v>-3328728.9107710519</v>
      </c>
      <c r="AR77" s="90">
        <f t="shared" si="19"/>
        <v>-2436536.8105284632</v>
      </c>
      <c r="AS77" s="90">
        <f t="shared" si="19"/>
        <v>-1751795.4515626901</v>
      </c>
      <c r="AT77" s="90">
        <f t="shared" si="19"/>
        <v>-2985150.5315102902</v>
      </c>
      <c r="AU77" s="90">
        <f t="shared" si="19"/>
        <v>-974767.76719474373</v>
      </c>
      <c r="AV77" s="90">
        <f t="shared" si="19"/>
        <v>-809851.87282178551</v>
      </c>
      <c r="AW77" s="90">
        <f t="shared" si="19"/>
        <v>-12775541.354905527</v>
      </c>
      <c r="AX77" s="90">
        <f t="shared" si="19"/>
        <v>23877.179999999993</v>
      </c>
      <c r="AY77" s="90">
        <f t="shared" si="19"/>
        <v>23877.179999999993</v>
      </c>
      <c r="AZ77" s="90">
        <f t="shared" si="19"/>
        <v>782987.95474354713</v>
      </c>
      <c r="BA77" s="90">
        <f t="shared" si="19"/>
        <v>782987.95474354713</v>
      </c>
      <c r="BB77" s="90">
        <f t="shared" si="19"/>
        <v>782987.95474354713</v>
      </c>
      <c r="BC77" s="90">
        <f t="shared" si="19"/>
        <v>782987.95474354713</v>
      </c>
      <c r="BD77" s="90">
        <f t="shared" si="19"/>
        <v>782987.95474354713</v>
      </c>
      <c r="BE77" s="90">
        <f t="shared" si="19"/>
        <v>186422095.30595464</v>
      </c>
      <c r="BF77" s="90">
        <f t="shared" si="19"/>
        <v>0</v>
      </c>
      <c r="BG77" s="90">
        <f t="shared" si="19"/>
        <v>0</v>
      </c>
      <c r="BH77" s="90">
        <f t="shared" si="19"/>
        <v>0</v>
      </c>
      <c r="BI77" s="90">
        <f t="shared" si="19"/>
        <v>0</v>
      </c>
      <c r="BJ77" s="90">
        <f t="shared" si="19"/>
        <v>0</v>
      </c>
      <c r="BK77" s="90">
        <f t="shared" si="19"/>
        <v>0</v>
      </c>
      <c r="BL77" s="90">
        <f t="shared" si="19"/>
        <v>0</v>
      </c>
      <c r="BM77" s="90">
        <f t="shared" si="19"/>
        <v>0</v>
      </c>
      <c r="BN77" s="90">
        <f t="shared" si="19"/>
        <v>0</v>
      </c>
      <c r="BO77" s="90">
        <f t="shared" si="19"/>
        <v>0</v>
      </c>
      <c r="BP77" s="90">
        <f t="shared" si="19"/>
        <v>0</v>
      </c>
      <c r="BQ77" s="90">
        <f t="shared" si="19"/>
        <v>0</v>
      </c>
      <c r="BR77" s="93">
        <f t="shared" si="19"/>
        <v>0</v>
      </c>
    </row>
    <row r="78" spans="2:70" x14ac:dyDescent="0.3">
      <c r="B78" s="10" t="s">
        <v>110</v>
      </c>
      <c r="C78" s="416">
        <f>XIRR(J77:BR77,J10:BR10)</f>
        <v>0.17884137034416203</v>
      </c>
      <c r="D78" s="296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4"/>
    </row>
    <row r="79" spans="2:70" x14ac:dyDescent="0.3">
      <c r="B79" s="12" t="s">
        <v>109</v>
      </c>
      <c r="C79" s="417">
        <f>SUMIF(J77:BR77,"&gt;0")/-SUMIF(J77:BR77,"&lt;0")</f>
        <v>1.4355906983614886</v>
      </c>
      <c r="D79" s="295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5"/>
    </row>
    <row r="81" spans="2:70" x14ac:dyDescent="0.3">
      <c r="B81" s="301" t="s">
        <v>172</v>
      </c>
      <c r="C81" s="302"/>
      <c r="D81" s="302"/>
      <c r="E81" s="302"/>
      <c r="F81" s="303"/>
      <c r="G81" s="304"/>
      <c r="H81" s="303"/>
      <c r="I81" s="304"/>
      <c r="J81" s="303"/>
      <c r="K81" s="305"/>
      <c r="L81" s="305"/>
      <c r="M81" s="302"/>
      <c r="N81" s="306"/>
      <c r="O81" s="306"/>
      <c r="P81" s="306"/>
      <c r="Q81" s="306"/>
      <c r="R81" s="306"/>
      <c r="S81" s="306"/>
      <c r="T81" s="306"/>
      <c r="U81" s="306"/>
      <c r="V81" s="306"/>
      <c r="W81" s="306"/>
      <c r="X81" s="306"/>
      <c r="Y81" s="306"/>
      <c r="Z81" s="306"/>
      <c r="AA81" s="306"/>
      <c r="AB81" s="306"/>
      <c r="AC81" s="306"/>
      <c r="AD81" s="306"/>
      <c r="AE81" s="306"/>
      <c r="AF81" s="306"/>
      <c r="AG81" s="306"/>
      <c r="AH81" s="306"/>
      <c r="AI81" s="306"/>
      <c r="AJ81" s="306"/>
      <c r="AK81" s="306"/>
      <c r="AL81" s="306"/>
      <c r="AM81" s="306"/>
      <c r="AN81" s="306"/>
      <c r="AO81" s="306"/>
      <c r="AP81" s="306"/>
      <c r="AQ81" s="306"/>
      <c r="AR81" s="306"/>
      <c r="AS81" s="306"/>
      <c r="AT81" s="306"/>
      <c r="AU81" s="306"/>
      <c r="AV81" s="306"/>
      <c r="AW81" s="306"/>
      <c r="AX81" s="306"/>
      <c r="AY81" s="306"/>
      <c r="AZ81" s="306"/>
      <c r="BA81" s="306"/>
      <c r="BB81" s="306"/>
      <c r="BC81" s="306"/>
      <c r="BD81" s="306"/>
      <c r="BE81" s="306"/>
      <c r="BF81" s="306"/>
      <c r="BG81" s="306"/>
      <c r="BH81" s="306"/>
      <c r="BI81" s="306"/>
      <c r="BJ81" s="306"/>
      <c r="BK81" s="306"/>
      <c r="BL81" s="306"/>
      <c r="BM81" s="306"/>
      <c r="BN81" s="306"/>
      <c r="BO81" s="306"/>
      <c r="BP81" s="306"/>
      <c r="BQ81" s="306"/>
      <c r="BR81" s="307"/>
    </row>
    <row r="82" spans="2:70" x14ac:dyDescent="0.3">
      <c r="B82" s="204" t="s">
        <v>108</v>
      </c>
      <c r="C82" s="261">
        <f>SUM(J82:BR82)</f>
        <v>0</v>
      </c>
      <c r="D82" s="261"/>
      <c r="E82" s="218"/>
      <c r="F82" s="218"/>
      <c r="G82" s="218"/>
      <c r="H82" s="218"/>
      <c r="I82" s="218"/>
      <c r="J82" s="261"/>
      <c r="K82" s="261"/>
      <c r="L82" s="261"/>
      <c r="M82" s="261"/>
      <c r="N82" s="261"/>
      <c r="O82" s="261"/>
      <c r="P82" s="261"/>
      <c r="Q82" s="261"/>
      <c r="R82" s="261"/>
      <c r="S82" s="261"/>
      <c r="T82" s="261"/>
      <c r="U82" s="261"/>
      <c r="V82" s="261"/>
      <c r="W82" s="261"/>
      <c r="X82" s="261"/>
      <c r="Y82" s="261"/>
      <c r="Z82" s="261"/>
      <c r="AA82" s="261"/>
      <c r="AB82" s="261"/>
      <c r="AC82" s="261"/>
      <c r="AD82" s="261"/>
      <c r="AE82" s="261"/>
      <c r="AF82" s="261"/>
      <c r="AG82" s="261"/>
      <c r="AH82" s="261"/>
      <c r="AI82" s="261"/>
      <c r="AJ82" s="261"/>
      <c r="AK82" s="261"/>
      <c r="AL82" s="261"/>
      <c r="AM82" s="261"/>
      <c r="AN82" s="261"/>
      <c r="AO82" s="261"/>
      <c r="AP82" s="261"/>
      <c r="AQ82" s="261"/>
      <c r="AR82" s="261"/>
      <c r="AS82" s="261"/>
      <c r="AT82" s="261"/>
      <c r="AU82" s="261"/>
      <c r="AV82" s="261"/>
      <c r="AW82" s="261"/>
      <c r="AX82" s="261"/>
      <c r="AY82" s="261"/>
      <c r="AZ82" s="261"/>
      <c r="BA82" s="261"/>
      <c r="BB82" s="261"/>
      <c r="BC82" s="261"/>
      <c r="BD82" s="261"/>
      <c r="BE82" s="261"/>
      <c r="BF82" s="261"/>
      <c r="BG82" s="261"/>
      <c r="BH82" s="261"/>
      <c r="BI82" s="261"/>
      <c r="BJ82" s="261"/>
      <c r="BK82" s="261"/>
      <c r="BL82" s="261"/>
      <c r="BM82" s="261"/>
      <c r="BN82" s="261"/>
      <c r="BO82" s="261"/>
      <c r="BP82" s="261"/>
      <c r="BQ82" s="261"/>
      <c r="BR82" s="308"/>
    </row>
    <row r="83" spans="2:70" x14ac:dyDescent="0.3">
      <c r="B83" s="204" t="s">
        <v>110</v>
      </c>
      <c r="C83" s="309" t="e">
        <f>XIRR(J82:BR82,J15:BR15)</f>
        <v>#NUM!</v>
      </c>
      <c r="D83" s="309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  <c r="AR83" s="218"/>
      <c r="AS83" s="218"/>
      <c r="AT83" s="218"/>
      <c r="AU83" s="218"/>
      <c r="AV83" s="218"/>
      <c r="AW83" s="218"/>
      <c r="AX83" s="218"/>
      <c r="AY83" s="218"/>
      <c r="AZ83" s="218"/>
      <c r="BA83" s="218"/>
      <c r="BB83" s="218"/>
      <c r="BC83" s="218"/>
      <c r="BD83" s="218"/>
      <c r="BE83" s="218"/>
      <c r="BF83" s="218"/>
      <c r="BG83" s="218"/>
      <c r="BH83" s="218"/>
      <c r="BI83" s="218"/>
      <c r="BJ83" s="218"/>
      <c r="BK83" s="218"/>
      <c r="BL83" s="218"/>
      <c r="BM83" s="218"/>
      <c r="BN83" s="218"/>
      <c r="BO83" s="218"/>
      <c r="BP83" s="218"/>
      <c r="BQ83" s="218"/>
      <c r="BR83" s="278"/>
    </row>
    <row r="84" spans="2:70" x14ac:dyDescent="0.3">
      <c r="B84" s="223" t="s">
        <v>109</v>
      </c>
      <c r="C84" s="310" t="e">
        <f>SUMIF(J82:BR82,"&gt;0")/-SUMIF(J82:BR82,"&lt;0")</f>
        <v>#DIV/0!</v>
      </c>
      <c r="D84" s="310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  <c r="AQ84" s="189"/>
      <c r="AR84" s="189"/>
      <c r="AS84" s="189"/>
      <c r="AT84" s="189"/>
      <c r="AU84" s="189"/>
      <c r="AV84" s="189"/>
      <c r="AW84" s="189"/>
      <c r="AX84" s="189"/>
      <c r="AY84" s="189"/>
      <c r="AZ84" s="189"/>
      <c r="BA84" s="189"/>
      <c r="BB84" s="189"/>
      <c r="BC84" s="189"/>
      <c r="BD84" s="189"/>
      <c r="BE84" s="189"/>
      <c r="BF84" s="189"/>
      <c r="BG84" s="189"/>
      <c r="BH84" s="189"/>
      <c r="BI84" s="189"/>
      <c r="BJ84" s="189"/>
      <c r="BK84" s="189"/>
      <c r="BL84" s="189"/>
      <c r="BM84" s="189"/>
      <c r="BN84" s="189"/>
      <c r="BO84" s="189"/>
      <c r="BP84" s="189"/>
      <c r="BQ84" s="189"/>
      <c r="BR84" s="311"/>
    </row>
  </sheetData>
  <mergeCells count="2">
    <mergeCell ref="H9:H10"/>
    <mergeCell ref="E30:H30"/>
  </mergeCells>
  <conditionalFormatting sqref="F44:G47">
    <cfRule type="expression" dxfId="0" priority="2" stopIfTrue="1">
      <formula>OR(#REF!&lt;#REF!,AND(#REF!="",#REF!&lt;&gt;""))</formula>
    </cfRule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AB44-B16B-405F-8E5B-752466A5091E}">
  <dimension ref="A1:EQ48"/>
  <sheetViews>
    <sheetView topLeftCell="DS6" zoomScaleNormal="100" workbookViewId="0"/>
  </sheetViews>
  <sheetFormatPr defaultColWidth="0" defaultRowHeight="15" customHeight="1" zeroHeight="1" x14ac:dyDescent="0.3"/>
  <cols>
    <col min="1" max="1" width="2.6640625" style="14" customWidth="1"/>
    <col min="2" max="2" width="2.44140625" customWidth="1"/>
    <col min="3" max="7" width="10.6640625" customWidth="1"/>
    <col min="8" max="8" width="12.5546875" style="131" bestFit="1" customWidth="1"/>
    <col min="9" max="9" width="2.88671875" customWidth="1"/>
    <col min="10" max="10" width="9.6640625" customWidth="1"/>
    <col min="11" max="11" width="10.33203125" bestFit="1" customWidth="1"/>
    <col min="12" max="12" width="10" bestFit="1" customWidth="1"/>
    <col min="13" max="13" width="9.6640625" bestFit="1" customWidth="1"/>
    <col min="14" max="14" width="10.33203125" bestFit="1" customWidth="1"/>
    <col min="15" max="15" width="9.5546875" bestFit="1" customWidth="1"/>
    <col min="16" max="16" width="9.109375" bestFit="1" customWidth="1"/>
    <col min="17" max="17" width="10" bestFit="1" customWidth="1"/>
    <col min="18" max="18" width="12.5546875" bestFit="1" customWidth="1"/>
    <col min="19" max="19" width="9.5546875" bestFit="1" customWidth="1"/>
    <col min="20" max="20" width="10.109375" bestFit="1" customWidth="1"/>
    <col min="21" max="21" width="9.88671875" bestFit="1" customWidth="1"/>
    <col min="22" max="22" width="9.44140625" bestFit="1" customWidth="1"/>
    <col min="23" max="23" width="9.88671875" bestFit="1" customWidth="1"/>
    <col min="24" max="24" width="10" bestFit="1" customWidth="1"/>
    <col min="25" max="25" width="9.6640625" bestFit="1" customWidth="1"/>
    <col min="26" max="26" width="10.33203125" bestFit="1" customWidth="1"/>
    <col min="27" max="27" width="9.5546875" bestFit="1" customWidth="1"/>
    <col min="28" max="28" width="9.44140625" bestFit="1" customWidth="1"/>
    <col min="29" max="29" width="10" bestFit="1" customWidth="1"/>
    <col min="30" max="30" width="9.88671875" bestFit="1" customWidth="1"/>
    <col min="31" max="31" width="9.5546875" bestFit="1" customWidth="1"/>
    <col min="32" max="32" width="10.109375" bestFit="1" customWidth="1"/>
    <col min="33" max="33" width="9.88671875" bestFit="1" customWidth="1"/>
    <col min="34" max="34" width="9.44140625" bestFit="1" customWidth="1"/>
    <col min="35" max="35" width="9.88671875" bestFit="1" customWidth="1"/>
    <col min="36" max="36" width="10" bestFit="1" customWidth="1"/>
    <col min="37" max="37" width="11.44140625" bestFit="1" customWidth="1"/>
    <col min="38" max="38" width="10.33203125" bestFit="1" customWidth="1"/>
    <col min="39" max="39" width="9.5546875" bestFit="1" customWidth="1"/>
    <col min="40" max="40" width="9.44140625" bestFit="1" customWidth="1"/>
    <col min="41" max="41" width="10" bestFit="1" customWidth="1"/>
    <col min="42" max="42" width="9.88671875" bestFit="1" customWidth="1"/>
    <col min="43" max="43" width="9.5546875" bestFit="1" customWidth="1"/>
    <col min="44" max="44" width="10.109375" bestFit="1" customWidth="1"/>
    <col min="45" max="45" width="9.88671875" bestFit="1" customWidth="1"/>
    <col min="46" max="46" width="9.44140625" bestFit="1" customWidth="1"/>
    <col min="47" max="47" width="9.88671875" bestFit="1" customWidth="1"/>
    <col min="48" max="48" width="10" bestFit="1" customWidth="1"/>
    <col min="49" max="49" width="9.6640625" bestFit="1" customWidth="1"/>
    <col min="50" max="50" width="10.33203125" bestFit="1" customWidth="1"/>
    <col min="51" max="51" width="9.5546875" bestFit="1" customWidth="1"/>
    <col min="52" max="52" width="9.44140625" bestFit="1" customWidth="1"/>
    <col min="53" max="53" width="10" bestFit="1" customWidth="1"/>
    <col min="54" max="54" width="9.88671875" bestFit="1" customWidth="1"/>
    <col min="55" max="55" width="9.5546875" bestFit="1" customWidth="1"/>
    <col min="56" max="56" width="10.109375" bestFit="1" customWidth="1"/>
    <col min="57" max="57" width="9.88671875" bestFit="1" customWidth="1"/>
    <col min="58" max="58" width="9.44140625" bestFit="1" customWidth="1"/>
    <col min="59" max="59" width="9.88671875" bestFit="1" customWidth="1"/>
    <col min="60" max="60" width="10" bestFit="1" customWidth="1"/>
    <col min="61" max="61" width="9.6640625" bestFit="1" customWidth="1"/>
    <col min="62" max="62" width="10.33203125" bestFit="1" customWidth="1"/>
    <col min="63" max="63" width="9.5546875" bestFit="1" customWidth="1"/>
    <col min="64" max="64" width="9.44140625" bestFit="1" customWidth="1"/>
    <col min="65" max="65" width="10" bestFit="1" customWidth="1"/>
    <col min="66" max="66" width="9.88671875" bestFit="1" customWidth="1"/>
    <col min="67" max="67" width="9.5546875" bestFit="1" customWidth="1"/>
    <col min="68" max="68" width="10.109375" bestFit="1" customWidth="1"/>
    <col min="69" max="69" width="9.88671875" bestFit="1" customWidth="1"/>
    <col min="70" max="70" width="9.44140625" bestFit="1" customWidth="1"/>
    <col min="71" max="71" width="9.88671875" bestFit="1" customWidth="1"/>
    <col min="72" max="72" width="10" bestFit="1" customWidth="1"/>
    <col min="73" max="73" width="9.6640625" bestFit="1" customWidth="1"/>
    <col min="74" max="74" width="10.33203125" bestFit="1" customWidth="1"/>
    <col min="75" max="75" width="9.5546875" bestFit="1" customWidth="1"/>
    <col min="76" max="76" width="9.44140625" bestFit="1" customWidth="1"/>
    <col min="77" max="77" width="10" bestFit="1" customWidth="1"/>
    <col min="78" max="78" width="9.88671875" bestFit="1" customWidth="1"/>
    <col min="79" max="79" width="9.5546875" bestFit="1" customWidth="1"/>
    <col min="80" max="80" width="10.109375" bestFit="1" customWidth="1"/>
    <col min="81" max="81" width="9.88671875" bestFit="1" customWidth="1"/>
    <col min="82" max="82" width="9.44140625" bestFit="1" customWidth="1"/>
    <col min="83" max="83" width="9.88671875" bestFit="1" customWidth="1"/>
    <col min="84" max="84" width="10" bestFit="1" customWidth="1"/>
    <col min="85" max="85" width="9.6640625" bestFit="1" customWidth="1"/>
    <col min="86" max="86" width="10.33203125" bestFit="1" customWidth="1"/>
    <col min="87" max="87" width="9.5546875" bestFit="1" customWidth="1"/>
    <col min="88" max="88" width="9.44140625" bestFit="1" customWidth="1"/>
    <col min="89" max="89" width="10" bestFit="1" customWidth="1"/>
    <col min="90" max="90" width="9.88671875" bestFit="1" customWidth="1"/>
    <col min="91" max="91" width="9.5546875" bestFit="1" customWidth="1"/>
    <col min="92" max="92" width="10.109375" bestFit="1" customWidth="1"/>
    <col min="93" max="93" width="9.88671875" bestFit="1" customWidth="1"/>
    <col min="94" max="94" width="9.44140625" bestFit="1" customWidth="1"/>
    <col min="95" max="95" width="9.88671875" bestFit="1" customWidth="1"/>
    <col min="96" max="96" width="10" bestFit="1" customWidth="1"/>
    <col min="97" max="97" width="9.6640625" bestFit="1" customWidth="1"/>
    <col min="98" max="98" width="10.33203125" bestFit="1" customWidth="1"/>
    <col min="99" max="99" width="9.5546875" bestFit="1" customWidth="1"/>
    <col min="100" max="100" width="9.44140625" bestFit="1" customWidth="1"/>
    <col min="101" max="101" width="10" bestFit="1" customWidth="1"/>
    <col min="102" max="102" width="9.88671875" bestFit="1" customWidth="1"/>
    <col min="103" max="103" width="9.5546875" bestFit="1" customWidth="1"/>
    <col min="104" max="104" width="10.109375" bestFit="1" customWidth="1"/>
    <col min="105" max="105" width="9.88671875" bestFit="1" customWidth="1"/>
    <col min="106" max="106" width="9.44140625" bestFit="1" customWidth="1"/>
    <col min="107" max="107" width="9.88671875" bestFit="1" customWidth="1"/>
    <col min="108" max="108" width="10" bestFit="1" customWidth="1"/>
    <col min="109" max="128" width="10.44140625" bestFit="1" customWidth="1"/>
    <col min="129" max="129" width="11.6640625" bestFit="1" customWidth="1"/>
    <col min="130" max="141" width="10.44140625" bestFit="1" customWidth="1"/>
    <col min="142" max="142" width="2" customWidth="1"/>
    <col min="143" max="143" width="2.6640625" style="14" customWidth="1"/>
    <col min="144" max="146" width="9.109375" style="14" hidden="1" customWidth="1"/>
    <col min="147" max="147" width="0" style="14" hidden="1" customWidth="1"/>
    <col min="148" max="16384" width="9.109375" style="14" hidden="1"/>
  </cols>
  <sheetData>
    <row r="1" spans="2:142" ht="14.4" x14ac:dyDescent="0.3">
      <c r="B1" s="14"/>
      <c r="C1" s="14"/>
      <c r="D1" s="14"/>
      <c r="E1" s="14"/>
      <c r="F1" s="14"/>
      <c r="G1" s="14"/>
      <c r="H1" s="4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</row>
    <row r="2" spans="2:142" ht="14.4" x14ac:dyDescent="0.3">
      <c r="B2" s="14"/>
      <c r="C2" s="14"/>
      <c r="D2" s="14"/>
      <c r="E2" s="14"/>
      <c r="F2" s="14"/>
      <c r="G2" s="14"/>
      <c r="H2" s="4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</row>
    <row r="3" spans="2:142" ht="14.4" x14ac:dyDescent="0.3">
      <c r="B3" s="14"/>
      <c r="C3" s="14"/>
      <c r="D3" s="14"/>
      <c r="E3" s="14"/>
      <c r="F3" s="14"/>
      <c r="G3" s="14"/>
      <c r="H3" s="4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</row>
    <row r="4" spans="2:142" ht="14.4" x14ac:dyDescent="0.3">
      <c r="B4" s="14"/>
      <c r="C4" s="14"/>
      <c r="D4" s="14"/>
      <c r="E4" s="14"/>
      <c r="F4" s="14"/>
      <c r="G4" s="14"/>
      <c r="H4" s="4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</row>
    <row r="5" spans="2:142" ht="14.4" x14ac:dyDescent="0.3">
      <c r="B5" s="14"/>
      <c r="C5" s="14"/>
      <c r="D5" s="14"/>
      <c r="E5" s="14"/>
      <c r="F5" s="14"/>
      <c r="G5" s="14"/>
      <c r="H5" s="4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</row>
    <row r="6" spans="2:142" ht="14.4" x14ac:dyDescent="0.3">
      <c r="B6" s="13" t="s">
        <v>183</v>
      </c>
      <c r="C6" s="14"/>
      <c r="D6" s="14"/>
      <c r="E6" s="14"/>
      <c r="F6" s="14"/>
      <c r="G6" s="14"/>
      <c r="H6" s="4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</row>
    <row r="7" spans="2:142" ht="14.4" x14ac:dyDescent="0.3">
      <c r="B7" s="14"/>
      <c r="C7" s="14"/>
      <c r="D7" s="14"/>
      <c r="E7" s="14"/>
      <c r="F7" s="14"/>
      <c r="G7" s="14"/>
      <c r="H7" s="4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</row>
    <row r="8" spans="2:142" ht="14.4" x14ac:dyDescent="0.3">
      <c r="B8" s="366"/>
      <c r="C8" s="367"/>
      <c r="D8" s="367"/>
      <c r="E8" s="367"/>
      <c r="F8" s="367"/>
      <c r="G8" s="367"/>
      <c r="H8" s="368"/>
      <c r="I8" s="367"/>
      <c r="J8" s="367"/>
      <c r="K8" s="367"/>
      <c r="L8" s="367"/>
      <c r="M8" s="367"/>
      <c r="N8" s="367"/>
      <c r="O8" s="367"/>
      <c r="P8" s="367"/>
      <c r="Q8" s="367"/>
      <c r="R8" s="367"/>
      <c r="S8" s="367"/>
      <c r="T8" s="367"/>
      <c r="U8" s="367"/>
      <c r="V8" s="367"/>
      <c r="W8" s="367"/>
      <c r="X8" s="367"/>
      <c r="Y8" s="367"/>
      <c r="Z8" s="367"/>
      <c r="AA8" s="367"/>
      <c r="AB8" s="367"/>
      <c r="AC8" s="367"/>
      <c r="AD8" s="367"/>
      <c r="AE8" s="367"/>
      <c r="AF8" s="367"/>
      <c r="AG8" s="367"/>
      <c r="AH8" s="367"/>
      <c r="AI8" s="367"/>
      <c r="AJ8" s="367"/>
      <c r="AK8" s="367"/>
      <c r="AL8" s="367"/>
      <c r="AM8" s="367"/>
      <c r="AN8" s="367"/>
      <c r="AO8" s="367"/>
      <c r="AP8" s="367"/>
      <c r="AQ8" s="367"/>
      <c r="AR8" s="367"/>
      <c r="AS8" s="367"/>
      <c r="AT8" s="367"/>
      <c r="AU8" s="367"/>
      <c r="AV8" s="367"/>
      <c r="AW8" s="367"/>
      <c r="AX8" s="367"/>
      <c r="AY8" s="367"/>
      <c r="AZ8" s="367"/>
      <c r="BA8" s="367"/>
      <c r="BB8" s="367"/>
      <c r="BC8" s="367"/>
      <c r="BD8" s="367"/>
      <c r="BE8" s="367"/>
      <c r="BF8" s="367"/>
      <c r="BG8" s="367"/>
      <c r="BH8" s="367"/>
      <c r="BI8" s="367"/>
      <c r="BJ8" s="367"/>
      <c r="BK8" s="367"/>
      <c r="BL8" s="367"/>
      <c r="BM8" s="367"/>
      <c r="BN8" s="367"/>
      <c r="BO8" s="367"/>
      <c r="BP8" s="367"/>
      <c r="BQ8" s="367"/>
      <c r="BR8" s="367"/>
      <c r="BS8" s="367"/>
      <c r="BT8" s="367"/>
      <c r="BU8" s="367"/>
      <c r="BV8" s="367"/>
      <c r="BW8" s="367"/>
      <c r="BX8" s="367"/>
      <c r="BY8" s="367"/>
      <c r="BZ8" s="367"/>
      <c r="CA8" s="367"/>
      <c r="CB8" s="367"/>
      <c r="CC8" s="367"/>
      <c r="CD8" s="367"/>
      <c r="CE8" s="367"/>
      <c r="CF8" s="367"/>
      <c r="CG8" s="367"/>
      <c r="CH8" s="367"/>
      <c r="CI8" s="367"/>
      <c r="CJ8" s="367"/>
      <c r="CK8" s="367"/>
      <c r="CL8" s="367"/>
      <c r="CM8" s="367"/>
      <c r="CN8" s="367"/>
      <c r="CO8" s="367"/>
      <c r="CP8" s="367"/>
      <c r="CQ8" s="367"/>
      <c r="CR8" s="367"/>
      <c r="CS8" s="367"/>
      <c r="CT8" s="367"/>
      <c r="CU8" s="367"/>
      <c r="CV8" s="367"/>
      <c r="CW8" s="367"/>
      <c r="CX8" s="367"/>
      <c r="CY8" s="367"/>
      <c r="CZ8" s="367"/>
      <c r="DA8" s="367"/>
      <c r="DB8" s="367"/>
      <c r="DC8" s="367"/>
      <c r="DD8" s="367"/>
      <c r="DE8" s="367"/>
      <c r="DF8" s="367"/>
      <c r="DG8" s="367"/>
      <c r="DH8" s="367"/>
      <c r="DI8" s="367"/>
      <c r="DJ8" s="367"/>
      <c r="DK8" s="367"/>
      <c r="DL8" s="367"/>
      <c r="DM8" s="367"/>
      <c r="DN8" s="367"/>
      <c r="DO8" s="367"/>
      <c r="DP8" s="367"/>
      <c r="DQ8" s="367"/>
      <c r="DR8" s="367"/>
      <c r="DS8" s="367"/>
      <c r="DT8" s="367"/>
      <c r="DU8" s="367"/>
      <c r="DV8" s="367"/>
      <c r="DW8" s="367"/>
      <c r="DX8" s="367"/>
      <c r="DY8" s="367"/>
      <c r="DZ8" s="367"/>
      <c r="EA8" s="367"/>
      <c r="EB8" s="367"/>
      <c r="EC8" s="367"/>
      <c r="ED8" s="367"/>
      <c r="EE8" s="367"/>
      <c r="EF8" s="367"/>
      <c r="EG8" s="367"/>
      <c r="EH8" s="367"/>
      <c r="EI8" s="367"/>
      <c r="EJ8" s="367"/>
      <c r="EK8" s="367"/>
      <c r="EL8" s="369"/>
    </row>
    <row r="9" spans="2:142" ht="15.6" x14ac:dyDescent="0.3">
      <c r="B9" s="370"/>
      <c r="C9" s="371" t="s">
        <v>113</v>
      </c>
      <c r="D9" s="372"/>
      <c r="E9" s="372"/>
      <c r="F9" s="372"/>
      <c r="G9" s="372"/>
      <c r="H9" s="373"/>
      <c r="EL9" s="374"/>
    </row>
    <row r="10" spans="2:142" ht="5.0999999999999996" customHeight="1" x14ac:dyDescent="0.3">
      <c r="B10" s="370"/>
      <c r="C10" s="375"/>
      <c r="EL10" s="374"/>
    </row>
    <row r="11" spans="2:142" ht="14.4" x14ac:dyDescent="0.3">
      <c r="B11" s="370"/>
      <c r="C11" s="376" t="s">
        <v>114</v>
      </c>
      <c r="D11" s="376"/>
      <c r="E11" s="376"/>
      <c r="F11" s="376"/>
      <c r="G11" s="376"/>
      <c r="H11" s="377"/>
      <c r="EL11" s="374"/>
    </row>
    <row r="12" spans="2:142" ht="14.4" x14ac:dyDescent="0.3">
      <c r="B12" s="370"/>
      <c r="C12" t="s">
        <v>132</v>
      </c>
      <c r="E12" s="378">
        <f>Summary!G41</f>
        <v>0.02</v>
      </c>
      <c r="J12">
        <f>ROUNDUP(J13/12,0)</f>
        <v>1</v>
      </c>
      <c r="K12">
        <f t="shared" ref="K12:BV12" si="0">ROUNDUP(K13/12,0)</f>
        <v>1</v>
      </c>
      <c r="L12">
        <f t="shared" si="0"/>
        <v>1</v>
      </c>
      <c r="M12">
        <f t="shared" si="0"/>
        <v>1</v>
      </c>
      <c r="N12">
        <f t="shared" si="0"/>
        <v>1</v>
      </c>
      <c r="O12">
        <f t="shared" si="0"/>
        <v>1</v>
      </c>
      <c r="P12">
        <f t="shared" si="0"/>
        <v>1</v>
      </c>
      <c r="Q12">
        <f t="shared" si="0"/>
        <v>1</v>
      </c>
      <c r="R12">
        <f t="shared" si="0"/>
        <v>1</v>
      </c>
      <c r="S12">
        <f t="shared" si="0"/>
        <v>1</v>
      </c>
      <c r="T12">
        <f t="shared" si="0"/>
        <v>1</v>
      </c>
      <c r="U12">
        <f t="shared" si="0"/>
        <v>1</v>
      </c>
      <c r="V12">
        <f t="shared" si="0"/>
        <v>2</v>
      </c>
      <c r="W12">
        <f t="shared" si="0"/>
        <v>2</v>
      </c>
      <c r="X12">
        <f t="shared" si="0"/>
        <v>2</v>
      </c>
      <c r="Y12">
        <f t="shared" si="0"/>
        <v>2</v>
      </c>
      <c r="Z12">
        <f t="shared" si="0"/>
        <v>2</v>
      </c>
      <c r="AA12">
        <f t="shared" si="0"/>
        <v>2</v>
      </c>
      <c r="AB12">
        <f t="shared" si="0"/>
        <v>2</v>
      </c>
      <c r="AC12">
        <f t="shared" si="0"/>
        <v>2</v>
      </c>
      <c r="AD12">
        <f t="shared" si="0"/>
        <v>2</v>
      </c>
      <c r="AE12">
        <f t="shared" si="0"/>
        <v>2</v>
      </c>
      <c r="AF12">
        <f t="shared" si="0"/>
        <v>2</v>
      </c>
      <c r="AG12">
        <f t="shared" si="0"/>
        <v>2</v>
      </c>
      <c r="AH12">
        <f t="shared" si="0"/>
        <v>3</v>
      </c>
      <c r="AI12">
        <f t="shared" si="0"/>
        <v>3</v>
      </c>
      <c r="AJ12">
        <f t="shared" si="0"/>
        <v>3</v>
      </c>
      <c r="AK12">
        <f t="shared" si="0"/>
        <v>3</v>
      </c>
      <c r="AL12">
        <f t="shared" si="0"/>
        <v>3</v>
      </c>
      <c r="AM12">
        <f t="shared" si="0"/>
        <v>3</v>
      </c>
      <c r="AN12">
        <f t="shared" si="0"/>
        <v>3</v>
      </c>
      <c r="AO12">
        <f t="shared" si="0"/>
        <v>3</v>
      </c>
      <c r="AP12">
        <f t="shared" si="0"/>
        <v>3</v>
      </c>
      <c r="AQ12">
        <f t="shared" si="0"/>
        <v>3</v>
      </c>
      <c r="AR12">
        <f t="shared" si="0"/>
        <v>3</v>
      </c>
      <c r="AS12">
        <f t="shared" si="0"/>
        <v>3</v>
      </c>
      <c r="AT12">
        <f t="shared" si="0"/>
        <v>4</v>
      </c>
      <c r="AU12">
        <f t="shared" si="0"/>
        <v>4</v>
      </c>
      <c r="AV12">
        <f t="shared" si="0"/>
        <v>4</v>
      </c>
      <c r="AW12">
        <f t="shared" si="0"/>
        <v>4</v>
      </c>
      <c r="AX12">
        <f t="shared" si="0"/>
        <v>4</v>
      </c>
      <c r="AY12">
        <f t="shared" si="0"/>
        <v>4</v>
      </c>
      <c r="AZ12">
        <f t="shared" si="0"/>
        <v>4</v>
      </c>
      <c r="BA12">
        <f t="shared" si="0"/>
        <v>4</v>
      </c>
      <c r="BB12">
        <f t="shared" si="0"/>
        <v>4</v>
      </c>
      <c r="BC12">
        <f t="shared" si="0"/>
        <v>4</v>
      </c>
      <c r="BD12">
        <f t="shared" si="0"/>
        <v>4</v>
      </c>
      <c r="BE12">
        <f t="shared" si="0"/>
        <v>4</v>
      </c>
      <c r="BF12">
        <f t="shared" si="0"/>
        <v>5</v>
      </c>
      <c r="BG12">
        <f t="shared" si="0"/>
        <v>5</v>
      </c>
      <c r="BH12">
        <f t="shared" si="0"/>
        <v>5</v>
      </c>
      <c r="BI12">
        <f t="shared" si="0"/>
        <v>5</v>
      </c>
      <c r="BJ12">
        <f t="shared" si="0"/>
        <v>5</v>
      </c>
      <c r="BK12">
        <f t="shared" si="0"/>
        <v>5</v>
      </c>
      <c r="BL12">
        <f t="shared" si="0"/>
        <v>5</v>
      </c>
      <c r="BM12">
        <f t="shared" si="0"/>
        <v>5</v>
      </c>
      <c r="BN12">
        <f t="shared" si="0"/>
        <v>5</v>
      </c>
      <c r="BO12">
        <f t="shared" si="0"/>
        <v>5</v>
      </c>
      <c r="BP12">
        <f t="shared" si="0"/>
        <v>5</v>
      </c>
      <c r="BQ12">
        <f t="shared" si="0"/>
        <v>5</v>
      </c>
      <c r="BR12">
        <f t="shared" si="0"/>
        <v>6</v>
      </c>
      <c r="BS12">
        <f t="shared" si="0"/>
        <v>6</v>
      </c>
      <c r="BT12">
        <f t="shared" si="0"/>
        <v>6</v>
      </c>
      <c r="BU12">
        <f t="shared" si="0"/>
        <v>6</v>
      </c>
      <c r="BV12">
        <f t="shared" si="0"/>
        <v>6</v>
      </c>
      <c r="BW12">
        <f t="shared" ref="BW12:EH12" si="1">ROUNDUP(BW13/12,0)</f>
        <v>6</v>
      </c>
      <c r="BX12">
        <f t="shared" si="1"/>
        <v>6</v>
      </c>
      <c r="BY12">
        <f t="shared" si="1"/>
        <v>6</v>
      </c>
      <c r="BZ12">
        <f t="shared" si="1"/>
        <v>6</v>
      </c>
      <c r="CA12">
        <f t="shared" si="1"/>
        <v>6</v>
      </c>
      <c r="CB12">
        <f t="shared" si="1"/>
        <v>6</v>
      </c>
      <c r="CC12">
        <f t="shared" si="1"/>
        <v>6</v>
      </c>
      <c r="CD12">
        <f t="shared" si="1"/>
        <v>7</v>
      </c>
      <c r="CE12">
        <f t="shared" si="1"/>
        <v>7</v>
      </c>
      <c r="CF12">
        <f t="shared" si="1"/>
        <v>7</v>
      </c>
      <c r="CG12">
        <f t="shared" si="1"/>
        <v>7</v>
      </c>
      <c r="CH12">
        <f t="shared" si="1"/>
        <v>7</v>
      </c>
      <c r="CI12">
        <f t="shared" si="1"/>
        <v>7</v>
      </c>
      <c r="CJ12">
        <f t="shared" si="1"/>
        <v>7</v>
      </c>
      <c r="CK12">
        <f t="shared" si="1"/>
        <v>7</v>
      </c>
      <c r="CL12">
        <f t="shared" si="1"/>
        <v>7</v>
      </c>
      <c r="CM12">
        <f t="shared" si="1"/>
        <v>7</v>
      </c>
      <c r="CN12">
        <f t="shared" si="1"/>
        <v>7</v>
      </c>
      <c r="CO12">
        <f t="shared" si="1"/>
        <v>7</v>
      </c>
      <c r="CP12">
        <f t="shared" si="1"/>
        <v>8</v>
      </c>
      <c r="CQ12">
        <f t="shared" si="1"/>
        <v>8</v>
      </c>
      <c r="CR12">
        <f t="shared" si="1"/>
        <v>8</v>
      </c>
      <c r="CS12">
        <f t="shared" si="1"/>
        <v>8</v>
      </c>
      <c r="CT12">
        <f t="shared" si="1"/>
        <v>8</v>
      </c>
      <c r="CU12">
        <f t="shared" si="1"/>
        <v>8</v>
      </c>
      <c r="CV12">
        <f t="shared" si="1"/>
        <v>8</v>
      </c>
      <c r="CW12">
        <f t="shared" si="1"/>
        <v>8</v>
      </c>
      <c r="CX12">
        <f t="shared" si="1"/>
        <v>8</v>
      </c>
      <c r="CY12">
        <f t="shared" si="1"/>
        <v>8</v>
      </c>
      <c r="CZ12">
        <f t="shared" si="1"/>
        <v>8</v>
      </c>
      <c r="DA12">
        <f t="shared" si="1"/>
        <v>8</v>
      </c>
      <c r="DB12">
        <f t="shared" si="1"/>
        <v>9</v>
      </c>
      <c r="DC12">
        <f t="shared" si="1"/>
        <v>9</v>
      </c>
      <c r="DD12">
        <f t="shared" si="1"/>
        <v>9</v>
      </c>
      <c r="DE12">
        <f t="shared" si="1"/>
        <v>9</v>
      </c>
      <c r="DF12">
        <f t="shared" si="1"/>
        <v>9</v>
      </c>
      <c r="DG12">
        <f t="shared" si="1"/>
        <v>9</v>
      </c>
      <c r="DH12">
        <f t="shared" si="1"/>
        <v>9</v>
      </c>
      <c r="DI12">
        <f t="shared" si="1"/>
        <v>9</v>
      </c>
      <c r="DJ12">
        <f t="shared" si="1"/>
        <v>9</v>
      </c>
      <c r="DK12">
        <f t="shared" si="1"/>
        <v>9</v>
      </c>
      <c r="DL12">
        <f t="shared" si="1"/>
        <v>9</v>
      </c>
      <c r="DM12">
        <f t="shared" si="1"/>
        <v>9</v>
      </c>
      <c r="DN12">
        <f t="shared" si="1"/>
        <v>10</v>
      </c>
      <c r="DO12">
        <f t="shared" si="1"/>
        <v>10</v>
      </c>
      <c r="DP12">
        <f t="shared" si="1"/>
        <v>10</v>
      </c>
      <c r="DQ12">
        <f t="shared" si="1"/>
        <v>10</v>
      </c>
      <c r="DR12">
        <f t="shared" si="1"/>
        <v>10</v>
      </c>
      <c r="DS12">
        <f t="shared" si="1"/>
        <v>10</v>
      </c>
      <c r="DT12">
        <f t="shared" si="1"/>
        <v>10</v>
      </c>
      <c r="DU12">
        <f t="shared" si="1"/>
        <v>10</v>
      </c>
      <c r="DV12">
        <f t="shared" si="1"/>
        <v>10</v>
      </c>
      <c r="DW12">
        <f t="shared" si="1"/>
        <v>10</v>
      </c>
      <c r="DX12">
        <f t="shared" si="1"/>
        <v>10</v>
      </c>
      <c r="DY12">
        <f t="shared" si="1"/>
        <v>10</v>
      </c>
      <c r="DZ12">
        <f t="shared" si="1"/>
        <v>11</v>
      </c>
      <c r="EA12">
        <f t="shared" si="1"/>
        <v>11</v>
      </c>
      <c r="EB12">
        <f t="shared" si="1"/>
        <v>11</v>
      </c>
      <c r="EC12">
        <f t="shared" si="1"/>
        <v>11</v>
      </c>
      <c r="ED12">
        <f t="shared" si="1"/>
        <v>11</v>
      </c>
      <c r="EE12">
        <f t="shared" si="1"/>
        <v>11</v>
      </c>
      <c r="EF12">
        <f t="shared" si="1"/>
        <v>11</v>
      </c>
      <c r="EG12">
        <f t="shared" si="1"/>
        <v>11</v>
      </c>
      <c r="EH12">
        <f t="shared" si="1"/>
        <v>11</v>
      </c>
      <c r="EI12">
        <f t="shared" ref="EI12:EK12" si="2">ROUNDUP(EI13/12,0)</f>
        <v>11</v>
      </c>
      <c r="EJ12">
        <f t="shared" si="2"/>
        <v>11</v>
      </c>
      <c r="EK12">
        <f t="shared" si="2"/>
        <v>11</v>
      </c>
      <c r="EL12" s="374"/>
    </row>
    <row r="13" spans="2:142" ht="14.4" x14ac:dyDescent="0.3">
      <c r="B13" s="370"/>
      <c r="C13" t="s">
        <v>115</v>
      </c>
      <c r="E13" s="379">
        <v>0.02</v>
      </c>
      <c r="H13" s="379"/>
      <c r="J13">
        <v>1</v>
      </c>
      <c r="K13">
        <f>+J13+1</f>
        <v>2</v>
      </c>
      <c r="L13">
        <f t="shared" ref="L13:BW13" si="3">+K13+1</f>
        <v>3</v>
      </c>
      <c r="M13">
        <f t="shared" si="3"/>
        <v>4</v>
      </c>
      <c r="N13">
        <f t="shared" si="3"/>
        <v>5</v>
      </c>
      <c r="O13">
        <f t="shared" si="3"/>
        <v>6</v>
      </c>
      <c r="P13">
        <f t="shared" si="3"/>
        <v>7</v>
      </c>
      <c r="Q13">
        <f t="shared" si="3"/>
        <v>8</v>
      </c>
      <c r="R13">
        <f t="shared" si="3"/>
        <v>9</v>
      </c>
      <c r="S13">
        <f t="shared" si="3"/>
        <v>10</v>
      </c>
      <c r="T13">
        <f t="shared" si="3"/>
        <v>11</v>
      </c>
      <c r="U13">
        <f t="shared" si="3"/>
        <v>12</v>
      </c>
      <c r="V13">
        <f t="shared" si="3"/>
        <v>13</v>
      </c>
      <c r="W13">
        <f t="shared" si="3"/>
        <v>14</v>
      </c>
      <c r="X13">
        <f t="shared" si="3"/>
        <v>15</v>
      </c>
      <c r="Y13">
        <f t="shared" si="3"/>
        <v>16</v>
      </c>
      <c r="Z13">
        <f t="shared" si="3"/>
        <v>17</v>
      </c>
      <c r="AA13">
        <f t="shared" si="3"/>
        <v>18</v>
      </c>
      <c r="AB13">
        <f t="shared" si="3"/>
        <v>19</v>
      </c>
      <c r="AC13">
        <f t="shared" si="3"/>
        <v>20</v>
      </c>
      <c r="AD13">
        <f t="shared" si="3"/>
        <v>21</v>
      </c>
      <c r="AE13">
        <f t="shared" si="3"/>
        <v>22</v>
      </c>
      <c r="AF13">
        <f t="shared" si="3"/>
        <v>23</v>
      </c>
      <c r="AG13">
        <f t="shared" si="3"/>
        <v>24</v>
      </c>
      <c r="AH13">
        <f t="shared" si="3"/>
        <v>25</v>
      </c>
      <c r="AI13">
        <f t="shared" si="3"/>
        <v>26</v>
      </c>
      <c r="AJ13">
        <f t="shared" si="3"/>
        <v>27</v>
      </c>
      <c r="AK13">
        <f t="shared" si="3"/>
        <v>28</v>
      </c>
      <c r="AL13">
        <f t="shared" si="3"/>
        <v>29</v>
      </c>
      <c r="AM13">
        <f t="shared" si="3"/>
        <v>30</v>
      </c>
      <c r="AN13">
        <f t="shared" si="3"/>
        <v>31</v>
      </c>
      <c r="AO13">
        <f t="shared" si="3"/>
        <v>32</v>
      </c>
      <c r="AP13">
        <f t="shared" si="3"/>
        <v>33</v>
      </c>
      <c r="AQ13">
        <f t="shared" si="3"/>
        <v>34</v>
      </c>
      <c r="AR13">
        <f t="shared" si="3"/>
        <v>35</v>
      </c>
      <c r="AS13">
        <f t="shared" si="3"/>
        <v>36</v>
      </c>
      <c r="AT13">
        <f t="shared" si="3"/>
        <v>37</v>
      </c>
      <c r="AU13">
        <f t="shared" si="3"/>
        <v>38</v>
      </c>
      <c r="AV13">
        <f t="shared" si="3"/>
        <v>39</v>
      </c>
      <c r="AW13">
        <f t="shared" si="3"/>
        <v>40</v>
      </c>
      <c r="AX13">
        <f t="shared" si="3"/>
        <v>41</v>
      </c>
      <c r="AY13">
        <f t="shared" si="3"/>
        <v>42</v>
      </c>
      <c r="AZ13">
        <f t="shared" si="3"/>
        <v>43</v>
      </c>
      <c r="BA13">
        <f t="shared" si="3"/>
        <v>44</v>
      </c>
      <c r="BB13">
        <f t="shared" si="3"/>
        <v>45</v>
      </c>
      <c r="BC13">
        <f t="shared" si="3"/>
        <v>46</v>
      </c>
      <c r="BD13">
        <f t="shared" si="3"/>
        <v>47</v>
      </c>
      <c r="BE13">
        <f t="shared" si="3"/>
        <v>48</v>
      </c>
      <c r="BF13">
        <f t="shared" si="3"/>
        <v>49</v>
      </c>
      <c r="BG13">
        <f t="shared" si="3"/>
        <v>50</v>
      </c>
      <c r="BH13">
        <f t="shared" si="3"/>
        <v>51</v>
      </c>
      <c r="BI13">
        <f t="shared" si="3"/>
        <v>52</v>
      </c>
      <c r="BJ13">
        <f t="shared" si="3"/>
        <v>53</v>
      </c>
      <c r="BK13">
        <f t="shared" si="3"/>
        <v>54</v>
      </c>
      <c r="BL13">
        <f t="shared" si="3"/>
        <v>55</v>
      </c>
      <c r="BM13">
        <f t="shared" si="3"/>
        <v>56</v>
      </c>
      <c r="BN13">
        <f t="shared" si="3"/>
        <v>57</v>
      </c>
      <c r="BO13">
        <f t="shared" si="3"/>
        <v>58</v>
      </c>
      <c r="BP13">
        <f t="shared" si="3"/>
        <v>59</v>
      </c>
      <c r="BQ13">
        <f t="shared" si="3"/>
        <v>60</v>
      </c>
      <c r="BR13">
        <f t="shared" si="3"/>
        <v>61</v>
      </c>
      <c r="BS13">
        <f t="shared" si="3"/>
        <v>62</v>
      </c>
      <c r="BT13">
        <f t="shared" si="3"/>
        <v>63</v>
      </c>
      <c r="BU13">
        <f t="shared" si="3"/>
        <v>64</v>
      </c>
      <c r="BV13">
        <f t="shared" si="3"/>
        <v>65</v>
      </c>
      <c r="BW13">
        <f t="shared" si="3"/>
        <v>66</v>
      </c>
      <c r="BX13">
        <f t="shared" ref="BX13:EI13" si="4">+BW13+1</f>
        <v>67</v>
      </c>
      <c r="BY13">
        <f t="shared" si="4"/>
        <v>68</v>
      </c>
      <c r="BZ13">
        <f t="shared" si="4"/>
        <v>69</v>
      </c>
      <c r="CA13">
        <f t="shared" si="4"/>
        <v>70</v>
      </c>
      <c r="CB13">
        <f t="shared" si="4"/>
        <v>71</v>
      </c>
      <c r="CC13">
        <f t="shared" si="4"/>
        <v>72</v>
      </c>
      <c r="CD13">
        <f t="shared" si="4"/>
        <v>73</v>
      </c>
      <c r="CE13">
        <f t="shared" si="4"/>
        <v>74</v>
      </c>
      <c r="CF13">
        <f t="shared" si="4"/>
        <v>75</v>
      </c>
      <c r="CG13">
        <f t="shared" si="4"/>
        <v>76</v>
      </c>
      <c r="CH13">
        <f t="shared" si="4"/>
        <v>77</v>
      </c>
      <c r="CI13">
        <f t="shared" si="4"/>
        <v>78</v>
      </c>
      <c r="CJ13">
        <f t="shared" si="4"/>
        <v>79</v>
      </c>
      <c r="CK13">
        <f t="shared" si="4"/>
        <v>80</v>
      </c>
      <c r="CL13">
        <f t="shared" si="4"/>
        <v>81</v>
      </c>
      <c r="CM13">
        <f t="shared" si="4"/>
        <v>82</v>
      </c>
      <c r="CN13">
        <f t="shared" si="4"/>
        <v>83</v>
      </c>
      <c r="CO13">
        <f t="shared" si="4"/>
        <v>84</v>
      </c>
      <c r="CP13">
        <f t="shared" si="4"/>
        <v>85</v>
      </c>
      <c r="CQ13">
        <f t="shared" si="4"/>
        <v>86</v>
      </c>
      <c r="CR13">
        <f t="shared" si="4"/>
        <v>87</v>
      </c>
      <c r="CS13">
        <f t="shared" si="4"/>
        <v>88</v>
      </c>
      <c r="CT13">
        <f t="shared" si="4"/>
        <v>89</v>
      </c>
      <c r="CU13">
        <f t="shared" si="4"/>
        <v>90</v>
      </c>
      <c r="CV13">
        <f t="shared" si="4"/>
        <v>91</v>
      </c>
      <c r="CW13">
        <f t="shared" si="4"/>
        <v>92</v>
      </c>
      <c r="CX13">
        <f t="shared" si="4"/>
        <v>93</v>
      </c>
      <c r="CY13">
        <f t="shared" si="4"/>
        <v>94</v>
      </c>
      <c r="CZ13">
        <f t="shared" si="4"/>
        <v>95</v>
      </c>
      <c r="DA13">
        <f t="shared" si="4"/>
        <v>96</v>
      </c>
      <c r="DB13">
        <f t="shared" si="4"/>
        <v>97</v>
      </c>
      <c r="DC13">
        <f t="shared" si="4"/>
        <v>98</v>
      </c>
      <c r="DD13">
        <f t="shared" si="4"/>
        <v>99</v>
      </c>
      <c r="DE13">
        <f t="shared" si="4"/>
        <v>100</v>
      </c>
      <c r="DF13">
        <f t="shared" si="4"/>
        <v>101</v>
      </c>
      <c r="DG13">
        <f t="shared" si="4"/>
        <v>102</v>
      </c>
      <c r="DH13">
        <f t="shared" si="4"/>
        <v>103</v>
      </c>
      <c r="DI13">
        <f t="shared" si="4"/>
        <v>104</v>
      </c>
      <c r="DJ13">
        <f t="shared" si="4"/>
        <v>105</v>
      </c>
      <c r="DK13">
        <f t="shared" si="4"/>
        <v>106</v>
      </c>
      <c r="DL13">
        <f t="shared" si="4"/>
        <v>107</v>
      </c>
      <c r="DM13">
        <f t="shared" si="4"/>
        <v>108</v>
      </c>
      <c r="DN13">
        <f t="shared" si="4"/>
        <v>109</v>
      </c>
      <c r="DO13">
        <f t="shared" si="4"/>
        <v>110</v>
      </c>
      <c r="DP13">
        <f t="shared" si="4"/>
        <v>111</v>
      </c>
      <c r="DQ13">
        <f t="shared" si="4"/>
        <v>112</v>
      </c>
      <c r="DR13">
        <f t="shared" si="4"/>
        <v>113</v>
      </c>
      <c r="DS13">
        <f t="shared" si="4"/>
        <v>114</v>
      </c>
      <c r="DT13">
        <f t="shared" si="4"/>
        <v>115</v>
      </c>
      <c r="DU13">
        <f t="shared" si="4"/>
        <v>116</v>
      </c>
      <c r="DV13">
        <f t="shared" si="4"/>
        <v>117</v>
      </c>
      <c r="DW13">
        <f t="shared" si="4"/>
        <v>118</v>
      </c>
      <c r="DX13">
        <f t="shared" si="4"/>
        <v>119</v>
      </c>
      <c r="DY13">
        <f t="shared" si="4"/>
        <v>120</v>
      </c>
      <c r="DZ13">
        <f t="shared" si="4"/>
        <v>121</v>
      </c>
      <c r="EA13">
        <f t="shared" si="4"/>
        <v>122</v>
      </c>
      <c r="EB13">
        <f t="shared" si="4"/>
        <v>123</v>
      </c>
      <c r="EC13">
        <f t="shared" si="4"/>
        <v>124</v>
      </c>
      <c r="ED13">
        <f t="shared" si="4"/>
        <v>125</v>
      </c>
      <c r="EE13">
        <f t="shared" si="4"/>
        <v>126</v>
      </c>
      <c r="EF13">
        <f t="shared" si="4"/>
        <v>127</v>
      </c>
      <c r="EG13">
        <f t="shared" si="4"/>
        <v>128</v>
      </c>
      <c r="EH13">
        <f t="shared" si="4"/>
        <v>129</v>
      </c>
      <c r="EI13">
        <f t="shared" si="4"/>
        <v>130</v>
      </c>
      <c r="EJ13">
        <f t="shared" ref="EJ13:EK13" si="5">+EI13+1</f>
        <v>131</v>
      </c>
      <c r="EK13">
        <f t="shared" si="5"/>
        <v>132</v>
      </c>
      <c r="EL13" s="374"/>
    </row>
    <row r="14" spans="2:142" ht="14.4" x14ac:dyDescent="0.3">
      <c r="B14" s="370"/>
      <c r="J14" s="380">
        <f>Summary!F21</f>
        <v>44652</v>
      </c>
      <c r="K14" s="380">
        <f>EDATE(J14,1)</f>
        <v>44682</v>
      </c>
      <c r="L14" s="380">
        <f t="shared" ref="L14:BW14" si="6">EDATE(K14,1)</f>
        <v>44713</v>
      </c>
      <c r="M14" s="380">
        <f t="shared" si="6"/>
        <v>44743</v>
      </c>
      <c r="N14" s="380">
        <f t="shared" si="6"/>
        <v>44774</v>
      </c>
      <c r="O14" s="380">
        <f t="shared" si="6"/>
        <v>44805</v>
      </c>
      <c r="P14" s="380">
        <f t="shared" si="6"/>
        <v>44835</v>
      </c>
      <c r="Q14" s="380">
        <f t="shared" si="6"/>
        <v>44866</v>
      </c>
      <c r="R14" s="380">
        <f t="shared" si="6"/>
        <v>44896</v>
      </c>
      <c r="S14" s="380">
        <f t="shared" si="6"/>
        <v>44927</v>
      </c>
      <c r="T14" s="380">
        <f t="shared" si="6"/>
        <v>44958</v>
      </c>
      <c r="U14" s="380">
        <f t="shared" si="6"/>
        <v>44986</v>
      </c>
      <c r="V14" s="380">
        <f t="shared" si="6"/>
        <v>45017</v>
      </c>
      <c r="W14" s="380">
        <f t="shared" si="6"/>
        <v>45047</v>
      </c>
      <c r="X14" s="380">
        <f t="shared" si="6"/>
        <v>45078</v>
      </c>
      <c r="Y14" s="380">
        <f t="shared" si="6"/>
        <v>45108</v>
      </c>
      <c r="Z14" s="380">
        <f t="shared" si="6"/>
        <v>45139</v>
      </c>
      <c r="AA14" s="380">
        <f t="shared" si="6"/>
        <v>45170</v>
      </c>
      <c r="AB14" s="380">
        <f t="shared" si="6"/>
        <v>45200</v>
      </c>
      <c r="AC14" s="380">
        <f t="shared" si="6"/>
        <v>45231</v>
      </c>
      <c r="AD14" s="380">
        <f t="shared" si="6"/>
        <v>45261</v>
      </c>
      <c r="AE14" s="380">
        <f t="shared" si="6"/>
        <v>45292</v>
      </c>
      <c r="AF14" s="380">
        <f t="shared" si="6"/>
        <v>45323</v>
      </c>
      <c r="AG14" s="380">
        <f t="shared" si="6"/>
        <v>45352</v>
      </c>
      <c r="AH14" s="380">
        <f t="shared" si="6"/>
        <v>45383</v>
      </c>
      <c r="AI14" s="380">
        <f t="shared" si="6"/>
        <v>45413</v>
      </c>
      <c r="AJ14" s="380">
        <f t="shared" si="6"/>
        <v>45444</v>
      </c>
      <c r="AK14" s="380">
        <f t="shared" si="6"/>
        <v>45474</v>
      </c>
      <c r="AL14" s="380">
        <f t="shared" si="6"/>
        <v>45505</v>
      </c>
      <c r="AM14" s="380">
        <f t="shared" si="6"/>
        <v>45536</v>
      </c>
      <c r="AN14" s="380">
        <f t="shared" si="6"/>
        <v>45566</v>
      </c>
      <c r="AO14" s="380">
        <f t="shared" si="6"/>
        <v>45597</v>
      </c>
      <c r="AP14" s="380">
        <f t="shared" si="6"/>
        <v>45627</v>
      </c>
      <c r="AQ14" s="380">
        <f t="shared" si="6"/>
        <v>45658</v>
      </c>
      <c r="AR14" s="380">
        <f t="shared" si="6"/>
        <v>45689</v>
      </c>
      <c r="AS14" s="380">
        <f t="shared" si="6"/>
        <v>45717</v>
      </c>
      <c r="AT14" s="380">
        <f t="shared" si="6"/>
        <v>45748</v>
      </c>
      <c r="AU14" s="380">
        <f t="shared" si="6"/>
        <v>45778</v>
      </c>
      <c r="AV14" s="380">
        <f t="shared" si="6"/>
        <v>45809</v>
      </c>
      <c r="AW14" s="380">
        <f t="shared" si="6"/>
        <v>45839</v>
      </c>
      <c r="AX14" s="380">
        <f t="shared" si="6"/>
        <v>45870</v>
      </c>
      <c r="AY14" s="380">
        <f t="shared" si="6"/>
        <v>45901</v>
      </c>
      <c r="AZ14" s="380">
        <f t="shared" si="6"/>
        <v>45931</v>
      </c>
      <c r="BA14" s="380">
        <f t="shared" si="6"/>
        <v>45962</v>
      </c>
      <c r="BB14" s="380">
        <f t="shared" si="6"/>
        <v>45992</v>
      </c>
      <c r="BC14" s="380">
        <f t="shared" si="6"/>
        <v>46023</v>
      </c>
      <c r="BD14" s="380">
        <f t="shared" si="6"/>
        <v>46054</v>
      </c>
      <c r="BE14" s="380">
        <f t="shared" si="6"/>
        <v>46082</v>
      </c>
      <c r="BF14" s="380">
        <f t="shared" si="6"/>
        <v>46113</v>
      </c>
      <c r="BG14" s="380">
        <f t="shared" si="6"/>
        <v>46143</v>
      </c>
      <c r="BH14" s="380">
        <f t="shared" si="6"/>
        <v>46174</v>
      </c>
      <c r="BI14" s="380">
        <f t="shared" si="6"/>
        <v>46204</v>
      </c>
      <c r="BJ14" s="380">
        <f t="shared" si="6"/>
        <v>46235</v>
      </c>
      <c r="BK14" s="380">
        <f t="shared" si="6"/>
        <v>46266</v>
      </c>
      <c r="BL14" s="380">
        <f t="shared" si="6"/>
        <v>46296</v>
      </c>
      <c r="BM14" s="380">
        <f t="shared" si="6"/>
        <v>46327</v>
      </c>
      <c r="BN14" s="380">
        <f t="shared" si="6"/>
        <v>46357</v>
      </c>
      <c r="BO14" s="380">
        <f t="shared" si="6"/>
        <v>46388</v>
      </c>
      <c r="BP14" s="380">
        <f t="shared" si="6"/>
        <v>46419</v>
      </c>
      <c r="BQ14" s="380">
        <f t="shared" si="6"/>
        <v>46447</v>
      </c>
      <c r="BR14" s="380">
        <f t="shared" si="6"/>
        <v>46478</v>
      </c>
      <c r="BS14" s="380">
        <f t="shared" si="6"/>
        <v>46508</v>
      </c>
      <c r="BT14" s="380">
        <f t="shared" si="6"/>
        <v>46539</v>
      </c>
      <c r="BU14" s="380">
        <f t="shared" si="6"/>
        <v>46569</v>
      </c>
      <c r="BV14" s="380">
        <f t="shared" si="6"/>
        <v>46600</v>
      </c>
      <c r="BW14" s="380">
        <f t="shared" si="6"/>
        <v>46631</v>
      </c>
      <c r="BX14" s="380">
        <f t="shared" ref="BX14:EI14" si="7">EDATE(BW14,1)</f>
        <v>46661</v>
      </c>
      <c r="BY14" s="380">
        <f t="shared" si="7"/>
        <v>46692</v>
      </c>
      <c r="BZ14" s="380">
        <f t="shared" si="7"/>
        <v>46722</v>
      </c>
      <c r="CA14" s="380">
        <f t="shared" si="7"/>
        <v>46753</v>
      </c>
      <c r="CB14" s="380">
        <f t="shared" si="7"/>
        <v>46784</v>
      </c>
      <c r="CC14" s="380">
        <f t="shared" si="7"/>
        <v>46813</v>
      </c>
      <c r="CD14" s="380">
        <f t="shared" si="7"/>
        <v>46844</v>
      </c>
      <c r="CE14" s="380">
        <f t="shared" si="7"/>
        <v>46874</v>
      </c>
      <c r="CF14" s="380">
        <f t="shared" si="7"/>
        <v>46905</v>
      </c>
      <c r="CG14" s="380">
        <f t="shared" si="7"/>
        <v>46935</v>
      </c>
      <c r="CH14" s="380">
        <f t="shared" si="7"/>
        <v>46966</v>
      </c>
      <c r="CI14" s="380">
        <f t="shared" si="7"/>
        <v>46997</v>
      </c>
      <c r="CJ14" s="380">
        <f t="shared" si="7"/>
        <v>47027</v>
      </c>
      <c r="CK14" s="380">
        <f t="shared" si="7"/>
        <v>47058</v>
      </c>
      <c r="CL14" s="380">
        <f t="shared" si="7"/>
        <v>47088</v>
      </c>
      <c r="CM14" s="380">
        <f t="shared" si="7"/>
        <v>47119</v>
      </c>
      <c r="CN14" s="380">
        <f t="shared" si="7"/>
        <v>47150</v>
      </c>
      <c r="CO14" s="380">
        <f t="shared" si="7"/>
        <v>47178</v>
      </c>
      <c r="CP14" s="380">
        <f t="shared" si="7"/>
        <v>47209</v>
      </c>
      <c r="CQ14" s="380">
        <f t="shared" si="7"/>
        <v>47239</v>
      </c>
      <c r="CR14" s="380">
        <f t="shared" si="7"/>
        <v>47270</v>
      </c>
      <c r="CS14" s="380">
        <f t="shared" si="7"/>
        <v>47300</v>
      </c>
      <c r="CT14" s="380">
        <f t="shared" si="7"/>
        <v>47331</v>
      </c>
      <c r="CU14" s="380">
        <f t="shared" si="7"/>
        <v>47362</v>
      </c>
      <c r="CV14" s="380">
        <f t="shared" si="7"/>
        <v>47392</v>
      </c>
      <c r="CW14" s="380">
        <f t="shared" si="7"/>
        <v>47423</v>
      </c>
      <c r="CX14" s="380">
        <f t="shared" si="7"/>
        <v>47453</v>
      </c>
      <c r="CY14" s="380">
        <f t="shared" si="7"/>
        <v>47484</v>
      </c>
      <c r="CZ14" s="380">
        <f t="shared" si="7"/>
        <v>47515</v>
      </c>
      <c r="DA14" s="380">
        <f t="shared" si="7"/>
        <v>47543</v>
      </c>
      <c r="DB14" s="380">
        <f t="shared" si="7"/>
        <v>47574</v>
      </c>
      <c r="DC14" s="380">
        <f t="shared" si="7"/>
        <v>47604</v>
      </c>
      <c r="DD14" s="380">
        <f t="shared" si="7"/>
        <v>47635</v>
      </c>
      <c r="DE14" s="380">
        <f t="shared" si="7"/>
        <v>47665</v>
      </c>
      <c r="DF14" s="380">
        <f t="shared" si="7"/>
        <v>47696</v>
      </c>
      <c r="DG14" s="380">
        <f t="shared" si="7"/>
        <v>47727</v>
      </c>
      <c r="DH14" s="380">
        <f t="shared" si="7"/>
        <v>47757</v>
      </c>
      <c r="DI14" s="380">
        <f t="shared" si="7"/>
        <v>47788</v>
      </c>
      <c r="DJ14" s="380">
        <f t="shared" si="7"/>
        <v>47818</v>
      </c>
      <c r="DK14" s="380">
        <f t="shared" si="7"/>
        <v>47849</v>
      </c>
      <c r="DL14" s="380">
        <f t="shared" si="7"/>
        <v>47880</v>
      </c>
      <c r="DM14" s="380">
        <f t="shared" si="7"/>
        <v>47908</v>
      </c>
      <c r="DN14" s="380">
        <f t="shared" si="7"/>
        <v>47939</v>
      </c>
      <c r="DO14" s="380">
        <f t="shared" si="7"/>
        <v>47969</v>
      </c>
      <c r="DP14" s="380">
        <f t="shared" si="7"/>
        <v>48000</v>
      </c>
      <c r="DQ14" s="380">
        <f t="shared" si="7"/>
        <v>48030</v>
      </c>
      <c r="DR14" s="380">
        <f t="shared" si="7"/>
        <v>48061</v>
      </c>
      <c r="DS14" s="380">
        <f t="shared" si="7"/>
        <v>48092</v>
      </c>
      <c r="DT14" s="380">
        <f t="shared" si="7"/>
        <v>48122</v>
      </c>
      <c r="DU14" s="380">
        <f t="shared" si="7"/>
        <v>48153</v>
      </c>
      <c r="DV14" s="380">
        <f t="shared" si="7"/>
        <v>48183</v>
      </c>
      <c r="DW14" s="380">
        <f t="shared" si="7"/>
        <v>48214</v>
      </c>
      <c r="DX14" s="380">
        <f t="shared" si="7"/>
        <v>48245</v>
      </c>
      <c r="DY14" s="380">
        <f t="shared" si="7"/>
        <v>48274</v>
      </c>
      <c r="DZ14" s="380">
        <f t="shared" si="7"/>
        <v>48305</v>
      </c>
      <c r="EA14" s="380">
        <f t="shared" si="7"/>
        <v>48335</v>
      </c>
      <c r="EB14" s="380">
        <f t="shared" si="7"/>
        <v>48366</v>
      </c>
      <c r="EC14" s="380">
        <f t="shared" si="7"/>
        <v>48396</v>
      </c>
      <c r="ED14" s="380">
        <f t="shared" si="7"/>
        <v>48427</v>
      </c>
      <c r="EE14" s="380">
        <f t="shared" si="7"/>
        <v>48458</v>
      </c>
      <c r="EF14" s="380">
        <f t="shared" si="7"/>
        <v>48488</v>
      </c>
      <c r="EG14" s="380">
        <f t="shared" si="7"/>
        <v>48519</v>
      </c>
      <c r="EH14" s="380">
        <f t="shared" si="7"/>
        <v>48549</v>
      </c>
      <c r="EI14" s="380">
        <f t="shared" si="7"/>
        <v>48580</v>
      </c>
      <c r="EJ14" s="380">
        <f t="shared" ref="EJ14:EK14" si="8">EDATE(EI14,1)</f>
        <v>48611</v>
      </c>
      <c r="EK14" s="380">
        <f t="shared" si="8"/>
        <v>48639</v>
      </c>
      <c r="EL14" s="374"/>
    </row>
    <row r="15" spans="2:142" ht="14.4" x14ac:dyDescent="0.3">
      <c r="B15" s="370"/>
      <c r="J15" s="381">
        <f>ROUNDUP(J16/12,0)</f>
        <v>4</v>
      </c>
      <c r="K15" s="381">
        <f t="shared" ref="K15:BV15" si="9">ROUNDUP(K16/12,0)</f>
        <v>4</v>
      </c>
      <c r="L15" s="381">
        <f t="shared" si="9"/>
        <v>4</v>
      </c>
      <c r="M15" s="381">
        <f t="shared" si="9"/>
        <v>4</v>
      </c>
      <c r="N15" s="381">
        <f t="shared" si="9"/>
        <v>4</v>
      </c>
      <c r="O15" s="381">
        <f t="shared" si="9"/>
        <v>4</v>
      </c>
      <c r="P15" s="381">
        <f t="shared" si="9"/>
        <v>4</v>
      </c>
      <c r="Q15" s="381">
        <f t="shared" si="9"/>
        <v>4</v>
      </c>
      <c r="R15" s="381">
        <f t="shared" si="9"/>
        <v>4</v>
      </c>
      <c r="S15" s="381">
        <f t="shared" si="9"/>
        <v>4</v>
      </c>
      <c r="T15" s="381">
        <f t="shared" si="9"/>
        <v>5</v>
      </c>
      <c r="U15" s="381">
        <f t="shared" si="9"/>
        <v>5</v>
      </c>
      <c r="V15" s="381">
        <f t="shared" si="9"/>
        <v>5</v>
      </c>
      <c r="W15" s="381">
        <f t="shared" si="9"/>
        <v>5</v>
      </c>
      <c r="X15" s="381">
        <f t="shared" si="9"/>
        <v>5</v>
      </c>
      <c r="Y15" s="381">
        <f t="shared" si="9"/>
        <v>5</v>
      </c>
      <c r="Z15" s="381">
        <f t="shared" si="9"/>
        <v>5</v>
      </c>
      <c r="AA15" s="381">
        <f t="shared" si="9"/>
        <v>5</v>
      </c>
      <c r="AB15" s="381">
        <f t="shared" si="9"/>
        <v>5</v>
      </c>
      <c r="AC15" s="381">
        <f t="shared" si="9"/>
        <v>5</v>
      </c>
      <c r="AD15" s="381">
        <f t="shared" si="9"/>
        <v>5</v>
      </c>
      <c r="AE15" s="381">
        <f t="shared" si="9"/>
        <v>5</v>
      </c>
      <c r="AF15" s="381">
        <f t="shared" si="9"/>
        <v>6</v>
      </c>
      <c r="AG15" s="381">
        <f t="shared" si="9"/>
        <v>6</v>
      </c>
      <c r="AH15" s="381">
        <f t="shared" si="9"/>
        <v>6</v>
      </c>
      <c r="AI15" s="381">
        <f t="shared" si="9"/>
        <v>6</v>
      </c>
      <c r="AJ15" s="381">
        <f t="shared" si="9"/>
        <v>6</v>
      </c>
      <c r="AK15" s="381">
        <f t="shared" si="9"/>
        <v>6</v>
      </c>
      <c r="AL15" s="381">
        <f t="shared" si="9"/>
        <v>6</v>
      </c>
      <c r="AM15" s="381">
        <f t="shared" si="9"/>
        <v>6</v>
      </c>
      <c r="AN15" s="381">
        <f t="shared" si="9"/>
        <v>6</v>
      </c>
      <c r="AO15" s="381">
        <f t="shared" si="9"/>
        <v>6</v>
      </c>
      <c r="AP15" s="381">
        <f t="shared" si="9"/>
        <v>6</v>
      </c>
      <c r="AQ15" s="381">
        <f t="shared" si="9"/>
        <v>6</v>
      </c>
      <c r="AR15" s="381">
        <f t="shared" si="9"/>
        <v>7</v>
      </c>
      <c r="AS15" s="381">
        <f t="shared" si="9"/>
        <v>7</v>
      </c>
      <c r="AT15" s="381">
        <f t="shared" si="9"/>
        <v>7</v>
      </c>
      <c r="AU15" s="381">
        <f t="shared" si="9"/>
        <v>7</v>
      </c>
      <c r="AV15" s="381">
        <f t="shared" si="9"/>
        <v>7</v>
      </c>
      <c r="AW15" s="381">
        <f t="shared" si="9"/>
        <v>7</v>
      </c>
      <c r="AX15" s="381">
        <f t="shared" si="9"/>
        <v>7</v>
      </c>
      <c r="AY15" s="381">
        <f t="shared" si="9"/>
        <v>7</v>
      </c>
      <c r="AZ15" s="381">
        <f t="shared" si="9"/>
        <v>7</v>
      </c>
      <c r="BA15" s="381">
        <f t="shared" si="9"/>
        <v>7</v>
      </c>
      <c r="BB15" s="381">
        <f t="shared" si="9"/>
        <v>7</v>
      </c>
      <c r="BC15" s="381">
        <f t="shared" si="9"/>
        <v>7</v>
      </c>
      <c r="BD15" s="381">
        <f t="shared" si="9"/>
        <v>8</v>
      </c>
      <c r="BE15" s="381">
        <f t="shared" si="9"/>
        <v>8</v>
      </c>
      <c r="BF15" s="381">
        <f t="shared" si="9"/>
        <v>8</v>
      </c>
      <c r="BG15" s="381">
        <f t="shared" si="9"/>
        <v>8</v>
      </c>
      <c r="BH15" s="381">
        <f t="shared" si="9"/>
        <v>8</v>
      </c>
      <c r="BI15" s="381">
        <f t="shared" si="9"/>
        <v>8</v>
      </c>
      <c r="BJ15" s="381">
        <f t="shared" si="9"/>
        <v>8</v>
      </c>
      <c r="BK15" s="381">
        <f t="shared" si="9"/>
        <v>8</v>
      </c>
      <c r="BL15" s="381">
        <f t="shared" si="9"/>
        <v>8</v>
      </c>
      <c r="BM15" s="381">
        <f t="shared" si="9"/>
        <v>8</v>
      </c>
      <c r="BN15" s="381">
        <f t="shared" si="9"/>
        <v>8</v>
      </c>
      <c r="BO15" s="381">
        <f t="shared" si="9"/>
        <v>8</v>
      </c>
      <c r="BP15" s="381">
        <f t="shared" si="9"/>
        <v>9</v>
      </c>
      <c r="BQ15" s="381">
        <f t="shared" si="9"/>
        <v>9</v>
      </c>
      <c r="BR15" s="381">
        <f t="shared" si="9"/>
        <v>9</v>
      </c>
      <c r="BS15" s="381">
        <f t="shared" si="9"/>
        <v>9</v>
      </c>
      <c r="BT15" s="381">
        <f t="shared" si="9"/>
        <v>9</v>
      </c>
      <c r="BU15" s="381">
        <f t="shared" si="9"/>
        <v>9</v>
      </c>
      <c r="BV15" s="381">
        <f t="shared" si="9"/>
        <v>9</v>
      </c>
      <c r="BW15" s="381">
        <f t="shared" ref="BW15:EH15" si="10">ROUNDUP(BW16/12,0)</f>
        <v>9</v>
      </c>
      <c r="BX15" s="381">
        <f t="shared" si="10"/>
        <v>9</v>
      </c>
      <c r="BY15" s="381">
        <f t="shared" si="10"/>
        <v>9</v>
      </c>
      <c r="BZ15" s="381">
        <f t="shared" si="10"/>
        <v>9</v>
      </c>
      <c r="CA15" s="381">
        <f t="shared" si="10"/>
        <v>9</v>
      </c>
      <c r="CB15" s="381">
        <f t="shared" si="10"/>
        <v>10</v>
      </c>
      <c r="CC15" s="381">
        <f t="shared" si="10"/>
        <v>10</v>
      </c>
      <c r="CD15" s="381">
        <f t="shared" si="10"/>
        <v>10</v>
      </c>
      <c r="CE15" s="381">
        <f t="shared" si="10"/>
        <v>10</v>
      </c>
      <c r="CF15" s="381">
        <f t="shared" si="10"/>
        <v>10</v>
      </c>
      <c r="CG15" s="381">
        <f t="shared" si="10"/>
        <v>10</v>
      </c>
      <c r="CH15" s="381">
        <f t="shared" si="10"/>
        <v>10</v>
      </c>
      <c r="CI15" s="381">
        <f t="shared" si="10"/>
        <v>10</v>
      </c>
      <c r="CJ15" s="381">
        <f t="shared" si="10"/>
        <v>10</v>
      </c>
      <c r="CK15" s="381">
        <f t="shared" si="10"/>
        <v>10</v>
      </c>
      <c r="CL15" s="381">
        <f t="shared" si="10"/>
        <v>10</v>
      </c>
      <c r="CM15" s="381">
        <f t="shared" si="10"/>
        <v>10</v>
      </c>
      <c r="CN15" s="381">
        <f t="shared" si="10"/>
        <v>11</v>
      </c>
      <c r="CO15" s="381">
        <f t="shared" si="10"/>
        <v>11</v>
      </c>
      <c r="CP15" s="381">
        <f t="shared" si="10"/>
        <v>11</v>
      </c>
      <c r="CQ15" s="381">
        <f t="shared" si="10"/>
        <v>11</v>
      </c>
      <c r="CR15" s="381">
        <f t="shared" si="10"/>
        <v>11</v>
      </c>
      <c r="CS15" s="381">
        <f t="shared" si="10"/>
        <v>11</v>
      </c>
      <c r="CT15" s="381">
        <f t="shared" si="10"/>
        <v>11</v>
      </c>
      <c r="CU15" s="381">
        <f t="shared" si="10"/>
        <v>11</v>
      </c>
      <c r="CV15" s="381">
        <f t="shared" si="10"/>
        <v>11</v>
      </c>
      <c r="CW15" s="381">
        <f t="shared" si="10"/>
        <v>11</v>
      </c>
      <c r="CX15" s="381">
        <f t="shared" si="10"/>
        <v>11</v>
      </c>
      <c r="CY15" s="381">
        <f t="shared" si="10"/>
        <v>11</v>
      </c>
      <c r="CZ15" s="381">
        <f t="shared" si="10"/>
        <v>12</v>
      </c>
      <c r="DA15" s="381">
        <f t="shared" si="10"/>
        <v>12</v>
      </c>
      <c r="DB15" s="381">
        <f t="shared" si="10"/>
        <v>12</v>
      </c>
      <c r="DC15" s="381">
        <f t="shared" si="10"/>
        <v>12</v>
      </c>
      <c r="DD15" s="381">
        <f t="shared" si="10"/>
        <v>12</v>
      </c>
      <c r="DE15" s="381">
        <f t="shared" si="10"/>
        <v>12</v>
      </c>
      <c r="DF15" s="381">
        <f t="shared" si="10"/>
        <v>12</v>
      </c>
      <c r="DG15" s="381">
        <f t="shared" si="10"/>
        <v>12</v>
      </c>
      <c r="DH15" s="381">
        <f t="shared" si="10"/>
        <v>12</v>
      </c>
      <c r="DI15" s="381">
        <f t="shared" si="10"/>
        <v>12</v>
      </c>
      <c r="DJ15" s="381">
        <f t="shared" si="10"/>
        <v>12</v>
      </c>
      <c r="DK15" s="381">
        <f t="shared" si="10"/>
        <v>12</v>
      </c>
      <c r="DL15" s="381">
        <f t="shared" si="10"/>
        <v>13</v>
      </c>
      <c r="DM15" s="381">
        <f t="shared" si="10"/>
        <v>13</v>
      </c>
      <c r="DN15" s="381">
        <f t="shared" si="10"/>
        <v>13</v>
      </c>
      <c r="DO15" s="381">
        <f t="shared" si="10"/>
        <v>13</v>
      </c>
      <c r="DP15" s="381">
        <f t="shared" si="10"/>
        <v>13</v>
      </c>
      <c r="DQ15" s="381">
        <f t="shared" si="10"/>
        <v>13</v>
      </c>
      <c r="DR15" s="381">
        <f t="shared" si="10"/>
        <v>13</v>
      </c>
      <c r="DS15" s="381">
        <f t="shared" si="10"/>
        <v>13</v>
      </c>
      <c r="DT15" s="381">
        <f t="shared" si="10"/>
        <v>13</v>
      </c>
      <c r="DU15" s="381">
        <f t="shared" si="10"/>
        <v>13</v>
      </c>
      <c r="DV15" s="381">
        <f t="shared" si="10"/>
        <v>13</v>
      </c>
      <c r="DW15" s="381">
        <f t="shared" si="10"/>
        <v>13</v>
      </c>
      <c r="DX15" s="381">
        <f t="shared" si="10"/>
        <v>14</v>
      </c>
      <c r="DY15" s="381">
        <f t="shared" si="10"/>
        <v>14</v>
      </c>
      <c r="DZ15" s="381">
        <f t="shared" si="10"/>
        <v>14</v>
      </c>
      <c r="EA15" s="381">
        <f t="shared" si="10"/>
        <v>14</v>
      </c>
      <c r="EB15" s="381">
        <f t="shared" si="10"/>
        <v>14</v>
      </c>
      <c r="EC15" s="381">
        <f t="shared" si="10"/>
        <v>14</v>
      </c>
      <c r="ED15" s="381">
        <f t="shared" si="10"/>
        <v>14</v>
      </c>
      <c r="EE15" s="381">
        <f t="shared" si="10"/>
        <v>14</v>
      </c>
      <c r="EF15" s="381">
        <f t="shared" si="10"/>
        <v>14</v>
      </c>
      <c r="EG15" s="381">
        <f t="shared" si="10"/>
        <v>14</v>
      </c>
      <c r="EH15" s="381">
        <f t="shared" si="10"/>
        <v>14</v>
      </c>
      <c r="EI15" s="381">
        <f t="shared" ref="EI15:EK15" si="11">ROUNDUP(EI16/12,0)</f>
        <v>14</v>
      </c>
      <c r="EJ15" s="381">
        <f t="shared" si="11"/>
        <v>15</v>
      </c>
      <c r="EK15" s="381">
        <f t="shared" si="11"/>
        <v>15</v>
      </c>
      <c r="EL15" s="374"/>
    </row>
    <row r="16" spans="2:142" ht="14.4" x14ac:dyDescent="0.3">
      <c r="B16" s="370"/>
      <c r="E16" s="382"/>
      <c r="H16" s="383" t="s">
        <v>116</v>
      </c>
      <c r="J16" s="384">
        <f>INDEX(MonthlyCF!$J$9:$BR$9,MATCH(OpProj!J14,MonthlyCF!$J$10:$BR$10,0))</f>
        <v>39</v>
      </c>
      <c r="K16" s="384">
        <f t="shared" ref="K16:BV16" si="12">J16+1</f>
        <v>40</v>
      </c>
      <c r="L16" s="384">
        <f t="shared" si="12"/>
        <v>41</v>
      </c>
      <c r="M16" s="384">
        <f t="shared" si="12"/>
        <v>42</v>
      </c>
      <c r="N16" s="384">
        <f t="shared" si="12"/>
        <v>43</v>
      </c>
      <c r="O16" s="384">
        <f t="shared" si="12"/>
        <v>44</v>
      </c>
      <c r="P16" s="384">
        <f t="shared" si="12"/>
        <v>45</v>
      </c>
      <c r="Q16" s="384">
        <f t="shared" si="12"/>
        <v>46</v>
      </c>
      <c r="R16" s="384">
        <f t="shared" si="12"/>
        <v>47</v>
      </c>
      <c r="S16" s="384">
        <f t="shared" si="12"/>
        <v>48</v>
      </c>
      <c r="T16" s="384">
        <f t="shared" si="12"/>
        <v>49</v>
      </c>
      <c r="U16" s="384">
        <f t="shared" si="12"/>
        <v>50</v>
      </c>
      <c r="V16" s="384">
        <f t="shared" si="12"/>
        <v>51</v>
      </c>
      <c r="W16" s="384">
        <f t="shared" si="12"/>
        <v>52</v>
      </c>
      <c r="X16" s="384">
        <f t="shared" si="12"/>
        <v>53</v>
      </c>
      <c r="Y16" s="384">
        <f t="shared" si="12"/>
        <v>54</v>
      </c>
      <c r="Z16" s="384">
        <f t="shared" si="12"/>
        <v>55</v>
      </c>
      <c r="AA16" s="384">
        <f t="shared" si="12"/>
        <v>56</v>
      </c>
      <c r="AB16" s="384">
        <f t="shared" si="12"/>
        <v>57</v>
      </c>
      <c r="AC16" s="384">
        <f t="shared" si="12"/>
        <v>58</v>
      </c>
      <c r="AD16" s="384">
        <f t="shared" si="12"/>
        <v>59</v>
      </c>
      <c r="AE16" s="384">
        <f t="shared" si="12"/>
        <v>60</v>
      </c>
      <c r="AF16" s="384">
        <f t="shared" si="12"/>
        <v>61</v>
      </c>
      <c r="AG16" s="384">
        <f t="shared" si="12"/>
        <v>62</v>
      </c>
      <c r="AH16" s="384">
        <f t="shared" si="12"/>
        <v>63</v>
      </c>
      <c r="AI16" s="384">
        <f t="shared" si="12"/>
        <v>64</v>
      </c>
      <c r="AJ16" s="384">
        <f t="shared" si="12"/>
        <v>65</v>
      </c>
      <c r="AK16" s="384">
        <f t="shared" si="12"/>
        <v>66</v>
      </c>
      <c r="AL16" s="384">
        <f t="shared" si="12"/>
        <v>67</v>
      </c>
      <c r="AM16" s="384">
        <f t="shared" si="12"/>
        <v>68</v>
      </c>
      <c r="AN16" s="384">
        <f t="shared" si="12"/>
        <v>69</v>
      </c>
      <c r="AO16" s="384">
        <f t="shared" si="12"/>
        <v>70</v>
      </c>
      <c r="AP16" s="384">
        <f t="shared" si="12"/>
        <v>71</v>
      </c>
      <c r="AQ16" s="384">
        <f t="shared" si="12"/>
        <v>72</v>
      </c>
      <c r="AR16" s="384">
        <f t="shared" si="12"/>
        <v>73</v>
      </c>
      <c r="AS16" s="384">
        <f t="shared" si="12"/>
        <v>74</v>
      </c>
      <c r="AT16" s="384">
        <f t="shared" si="12"/>
        <v>75</v>
      </c>
      <c r="AU16" s="384">
        <f t="shared" si="12"/>
        <v>76</v>
      </c>
      <c r="AV16" s="384">
        <f t="shared" si="12"/>
        <v>77</v>
      </c>
      <c r="AW16" s="384">
        <f t="shared" si="12"/>
        <v>78</v>
      </c>
      <c r="AX16" s="384">
        <f t="shared" si="12"/>
        <v>79</v>
      </c>
      <c r="AY16" s="384">
        <f t="shared" si="12"/>
        <v>80</v>
      </c>
      <c r="AZ16" s="384">
        <f t="shared" si="12"/>
        <v>81</v>
      </c>
      <c r="BA16" s="384">
        <f t="shared" si="12"/>
        <v>82</v>
      </c>
      <c r="BB16" s="384">
        <f t="shared" si="12"/>
        <v>83</v>
      </c>
      <c r="BC16" s="384">
        <f t="shared" si="12"/>
        <v>84</v>
      </c>
      <c r="BD16" s="384">
        <f t="shared" si="12"/>
        <v>85</v>
      </c>
      <c r="BE16" s="384">
        <f t="shared" si="12"/>
        <v>86</v>
      </c>
      <c r="BF16" s="384">
        <f t="shared" si="12"/>
        <v>87</v>
      </c>
      <c r="BG16" s="384">
        <f t="shared" si="12"/>
        <v>88</v>
      </c>
      <c r="BH16" s="384">
        <f t="shared" si="12"/>
        <v>89</v>
      </c>
      <c r="BI16" s="384">
        <f t="shared" si="12"/>
        <v>90</v>
      </c>
      <c r="BJ16" s="384">
        <f t="shared" si="12"/>
        <v>91</v>
      </c>
      <c r="BK16" s="384">
        <f t="shared" si="12"/>
        <v>92</v>
      </c>
      <c r="BL16" s="384">
        <f t="shared" si="12"/>
        <v>93</v>
      </c>
      <c r="BM16" s="384">
        <f t="shared" si="12"/>
        <v>94</v>
      </c>
      <c r="BN16" s="384">
        <f t="shared" si="12"/>
        <v>95</v>
      </c>
      <c r="BO16" s="384">
        <f t="shared" si="12"/>
        <v>96</v>
      </c>
      <c r="BP16" s="384">
        <f t="shared" si="12"/>
        <v>97</v>
      </c>
      <c r="BQ16" s="384">
        <f t="shared" si="12"/>
        <v>98</v>
      </c>
      <c r="BR16" s="384">
        <f t="shared" si="12"/>
        <v>99</v>
      </c>
      <c r="BS16" s="384">
        <f t="shared" si="12"/>
        <v>100</v>
      </c>
      <c r="BT16" s="384">
        <f t="shared" si="12"/>
        <v>101</v>
      </c>
      <c r="BU16" s="384">
        <f t="shared" si="12"/>
        <v>102</v>
      </c>
      <c r="BV16" s="384">
        <f t="shared" si="12"/>
        <v>103</v>
      </c>
      <c r="BW16" s="384">
        <f t="shared" ref="BW16:EH16" si="13">BV16+1</f>
        <v>104</v>
      </c>
      <c r="BX16" s="384">
        <f t="shared" si="13"/>
        <v>105</v>
      </c>
      <c r="BY16" s="384">
        <f t="shared" si="13"/>
        <v>106</v>
      </c>
      <c r="BZ16" s="384">
        <f t="shared" si="13"/>
        <v>107</v>
      </c>
      <c r="CA16" s="384">
        <f t="shared" si="13"/>
        <v>108</v>
      </c>
      <c r="CB16" s="384">
        <f t="shared" si="13"/>
        <v>109</v>
      </c>
      <c r="CC16" s="384">
        <f t="shared" si="13"/>
        <v>110</v>
      </c>
      <c r="CD16" s="384">
        <f t="shared" si="13"/>
        <v>111</v>
      </c>
      <c r="CE16" s="384">
        <f t="shared" si="13"/>
        <v>112</v>
      </c>
      <c r="CF16" s="384">
        <f t="shared" si="13"/>
        <v>113</v>
      </c>
      <c r="CG16" s="384">
        <f t="shared" si="13"/>
        <v>114</v>
      </c>
      <c r="CH16" s="384">
        <f t="shared" si="13"/>
        <v>115</v>
      </c>
      <c r="CI16" s="384">
        <f t="shared" si="13"/>
        <v>116</v>
      </c>
      <c r="CJ16" s="384">
        <f t="shared" si="13"/>
        <v>117</v>
      </c>
      <c r="CK16" s="384">
        <f t="shared" si="13"/>
        <v>118</v>
      </c>
      <c r="CL16" s="384">
        <f t="shared" si="13"/>
        <v>119</v>
      </c>
      <c r="CM16" s="384">
        <f t="shared" si="13"/>
        <v>120</v>
      </c>
      <c r="CN16" s="384">
        <f t="shared" si="13"/>
        <v>121</v>
      </c>
      <c r="CO16" s="384">
        <f t="shared" si="13"/>
        <v>122</v>
      </c>
      <c r="CP16" s="384">
        <f t="shared" si="13"/>
        <v>123</v>
      </c>
      <c r="CQ16" s="384">
        <f t="shared" si="13"/>
        <v>124</v>
      </c>
      <c r="CR16" s="384">
        <f t="shared" si="13"/>
        <v>125</v>
      </c>
      <c r="CS16" s="384">
        <f t="shared" si="13"/>
        <v>126</v>
      </c>
      <c r="CT16" s="384">
        <f t="shared" si="13"/>
        <v>127</v>
      </c>
      <c r="CU16" s="384">
        <f t="shared" si="13"/>
        <v>128</v>
      </c>
      <c r="CV16" s="384">
        <f t="shared" si="13"/>
        <v>129</v>
      </c>
      <c r="CW16" s="384">
        <f t="shared" si="13"/>
        <v>130</v>
      </c>
      <c r="CX16" s="384">
        <f t="shared" si="13"/>
        <v>131</v>
      </c>
      <c r="CY16" s="384">
        <f t="shared" si="13"/>
        <v>132</v>
      </c>
      <c r="CZ16" s="384">
        <f t="shared" si="13"/>
        <v>133</v>
      </c>
      <c r="DA16" s="384">
        <f t="shared" si="13"/>
        <v>134</v>
      </c>
      <c r="DB16" s="384">
        <f t="shared" si="13"/>
        <v>135</v>
      </c>
      <c r="DC16" s="384">
        <f t="shared" si="13"/>
        <v>136</v>
      </c>
      <c r="DD16" s="384">
        <f t="shared" si="13"/>
        <v>137</v>
      </c>
      <c r="DE16" s="384">
        <f t="shared" si="13"/>
        <v>138</v>
      </c>
      <c r="DF16" s="384">
        <f t="shared" si="13"/>
        <v>139</v>
      </c>
      <c r="DG16" s="384">
        <f t="shared" si="13"/>
        <v>140</v>
      </c>
      <c r="DH16" s="384">
        <f t="shared" si="13"/>
        <v>141</v>
      </c>
      <c r="DI16" s="384">
        <f t="shared" si="13"/>
        <v>142</v>
      </c>
      <c r="DJ16" s="384">
        <f t="shared" si="13"/>
        <v>143</v>
      </c>
      <c r="DK16" s="384">
        <f t="shared" si="13"/>
        <v>144</v>
      </c>
      <c r="DL16" s="384">
        <f t="shared" si="13"/>
        <v>145</v>
      </c>
      <c r="DM16" s="384">
        <f t="shared" si="13"/>
        <v>146</v>
      </c>
      <c r="DN16" s="384">
        <f t="shared" si="13"/>
        <v>147</v>
      </c>
      <c r="DO16" s="384">
        <f t="shared" si="13"/>
        <v>148</v>
      </c>
      <c r="DP16" s="384">
        <f t="shared" si="13"/>
        <v>149</v>
      </c>
      <c r="DQ16" s="384">
        <f t="shared" si="13"/>
        <v>150</v>
      </c>
      <c r="DR16" s="384">
        <f t="shared" si="13"/>
        <v>151</v>
      </c>
      <c r="DS16" s="384">
        <f t="shared" si="13"/>
        <v>152</v>
      </c>
      <c r="DT16" s="384">
        <f t="shared" si="13"/>
        <v>153</v>
      </c>
      <c r="DU16" s="384">
        <f t="shared" si="13"/>
        <v>154</v>
      </c>
      <c r="DV16" s="384">
        <f t="shared" si="13"/>
        <v>155</v>
      </c>
      <c r="DW16" s="384">
        <f t="shared" si="13"/>
        <v>156</v>
      </c>
      <c r="DX16" s="384">
        <f t="shared" si="13"/>
        <v>157</v>
      </c>
      <c r="DY16" s="384">
        <f t="shared" si="13"/>
        <v>158</v>
      </c>
      <c r="DZ16" s="384">
        <f t="shared" si="13"/>
        <v>159</v>
      </c>
      <c r="EA16" s="384">
        <f t="shared" si="13"/>
        <v>160</v>
      </c>
      <c r="EB16" s="384">
        <f t="shared" si="13"/>
        <v>161</v>
      </c>
      <c r="EC16" s="384">
        <f t="shared" si="13"/>
        <v>162</v>
      </c>
      <c r="ED16" s="384">
        <f t="shared" si="13"/>
        <v>163</v>
      </c>
      <c r="EE16" s="384">
        <f t="shared" si="13"/>
        <v>164</v>
      </c>
      <c r="EF16" s="384">
        <f t="shared" si="13"/>
        <v>165</v>
      </c>
      <c r="EG16" s="384">
        <f t="shared" si="13"/>
        <v>166</v>
      </c>
      <c r="EH16" s="384">
        <f t="shared" si="13"/>
        <v>167</v>
      </c>
      <c r="EI16" s="384">
        <f t="shared" ref="EI16:EK16" si="14">EH16+1</f>
        <v>168</v>
      </c>
      <c r="EJ16" s="384">
        <f t="shared" si="14"/>
        <v>169</v>
      </c>
      <c r="EK16" s="384">
        <f t="shared" si="14"/>
        <v>170</v>
      </c>
      <c r="EL16" s="374"/>
    </row>
    <row r="17" spans="2:142" ht="14.4" x14ac:dyDescent="0.3">
      <c r="B17" s="370"/>
      <c r="C17" t="s">
        <v>117</v>
      </c>
      <c r="D17" s="385"/>
      <c r="F17" s="385"/>
      <c r="G17" s="386"/>
      <c r="H17" s="131">
        <f>SUM(J17:U17)</f>
        <v>9151080.3895334583</v>
      </c>
      <c r="J17" s="387">
        <f>(Summary!$G$29*Summary!$M$33)/12*(1+Summary!$G$30)^(OpProj!J15-1)</f>
        <v>759110.77474354708</v>
      </c>
      <c r="K17" s="387">
        <f>(Summary!$G$29*Summary!$M$33)/12*(1+Summary!$G$30)^(OpProj!K15-1)</f>
        <v>759110.77474354708</v>
      </c>
      <c r="L17" s="387">
        <f>(Summary!$G$29*Summary!$M$33)/12*(1+Summary!$G$30)^(OpProj!L15-1)</f>
        <v>759110.77474354708</v>
      </c>
      <c r="M17" s="387">
        <f>(Summary!$G$29*Summary!$M$33)/12*(1+Summary!$G$30)^(OpProj!M15-1)</f>
        <v>759110.77474354708</v>
      </c>
      <c r="N17" s="387">
        <f>(Summary!$G$29*Summary!$M$33)/12*(1+Summary!$G$30)^(OpProj!N15-1)</f>
        <v>759110.77474354708</v>
      </c>
      <c r="O17" s="387">
        <f>(Summary!$G$29*Summary!$M$33)/12*(1+Summary!$G$30)^(OpProj!O15-1)</f>
        <v>759110.77474354708</v>
      </c>
      <c r="P17" s="387">
        <f>(Summary!$G$29*Summary!$M$33)/12*(1+Summary!$G$30)^(OpProj!P15-1)</f>
        <v>759110.77474354708</v>
      </c>
      <c r="Q17" s="387">
        <f>(Summary!$G$29*Summary!$M$33)/12*(1+Summary!$G$30)^(OpProj!Q15-1)</f>
        <v>759110.77474354708</v>
      </c>
      <c r="R17" s="387">
        <f>(Summary!$G$29*Summary!$M$33)/12*(1+Summary!$G$30)^(OpProj!R15-1)</f>
        <v>759110.77474354708</v>
      </c>
      <c r="S17" s="387">
        <f>(Summary!$G$29*Summary!$M$33)/12*(1+Summary!$G$30)^(OpProj!S15-1)</f>
        <v>759110.77474354708</v>
      </c>
      <c r="T17" s="387">
        <f>(Summary!$G$29*Summary!$M$33)/12*(1+Summary!$G$30)^(OpProj!T15-1)</f>
        <v>779986.32104899478</v>
      </c>
      <c r="U17" s="387">
        <f>(Summary!$G$29*Summary!$M$33)/12*(1+Summary!$G$30)^(OpProj!U15-1)</f>
        <v>779986.32104899478</v>
      </c>
      <c r="V17" s="387">
        <f>(Summary!$G$29*Summary!$M$33)/12*(1+Summary!$G$30)^(OpProj!V15-1)</f>
        <v>779986.32104899478</v>
      </c>
      <c r="W17" s="387">
        <f>(Summary!$G$29*Summary!$M$33)/12*(1+Summary!$G$30)^(OpProj!W15-1)</f>
        <v>779986.32104899478</v>
      </c>
      <c r="X17" s="387">
        <f>(Summary!$G$29*Summary!$M$33)/12*(1+Summary!$G$30)^(OpProj!X15-1)</f>
        <v>779986.32104899478</v>
      </c>
      <c r="Y17" s="387">
        <f>(Summary!$G$29*Summary!$M$33)/12*(1+Summary!$G$30)^(OpProj!Y15-1)</f>
        <v>779986.32104899478</v>
      </c>
      <c r="Z17" s="387">
        <f>(Summary!$G$29*Summary!$M$33)/12*(1+Summary!$G$30)^(OpProj!Z15-1)</f>
        <v>779986.32104899478</v>
      </c>
      <c r="AA17" s="387">
        <f>(Summary!$G$29*Summary!$M$33)/12*(1+Summary!$G$30)^(OpProj!AA15-1)</f>
        <v>779986.32104899478</v>
      </c>
      <c r="AB17" s="387">
        <f>(Summary!$G$29*Summary!$M$33)/12*(1+Summary!$G$30)^(OpProj!AB15-1)</f>
        <v>779986.32104899478</v>
      </c>
      <c r="AC17" s="387">
        <f>(Summary!$G$29*Summary!$M$33)/12*(1+Summary!$G$30)^(OpProj!AC15-1)</f>
        <v>779986.32104899478</v>
      </c>
      <c r="AD17" s="387">
        <f>(Summary!$G$29*Summary!$M$33)/12*(1+Summary!$G$30)^(OpProj!AD15-1)</f>
        <v>779986.32104899478</v>
      </c>
      <c r="AE17" s="387">
        <f>(Summary!$G$29*Summary!$M$33)/12*(1+Summary!$G$30)^(OpProj!AE15-1)</f>
        <v>779986.32104899478</v>
      </c>
      <c r="AF17" s="387">
        <f>(Summary!$G$29*Summary!$M$33)/12*(1+Summary!$G$30)^(OpProj!AF15-1)</f>
        <v>801435.94487784221</v>
      </c>
      <c r="AG17" s="387">
        <f>(Summary!$G$29*Summary!$M$33)/12*(1+Summary!$G$30)^(OpProj!AG15-1)</f>
        <v>801435.94487784221</v>
      </c>
      <c r="AH17" s="387">
        <f>(Summary!$G$29*Summary!$M$33)/12*(1+Summary!$G$30)^(OpProj!AH15-1)</f>
        <v>801435.94487784221</v>
      </c>
      <c r="AI17" s="387">
        <f>(Summary!$G$29*Summary!$M$33)/12*(1+Summary!$G$30)^(OpProj!AI15-1)</f>
        <v>801435.94487784221</v>
      </c>
      <c r="AJ17" s="387">
        <f>(Summary!$G$29*Summary!$M$33)/12*(1+Summary!$G$30)^(OpProj!AJ15-1)</f>
        <v>801435.94487784221</v>
      </c>
      <c r="AK17" s="387">
        <f>(Summary!$G$29*Summary!$M$33)/12*(1+Summary!$G$30)^(OpProj!AK15-1)</f>
        <v>801435.94487784221</v>
      </c>
      <c r="AL17" s="387">
        <f>(Summary!$G$29*Summary!$M$33)/12*(1+Summary!$G$30)^(OpProj!AL15-1)</f>
        <v>801435.94487784221</v>
      </c>
      <c r="AM17" s="387">
        <f>(Summary!$G$29*Summary!$M$33)/12*(1+Summary!$G$30)^(OpProj!AM15-1)</f>
        <v>801435.94487784221</v>
      </c>
      <c r="AN17" s="387">
        <f>(Summary!$G$29*Summary!$M$33)/12*(1+Summary!$G$30)^(OpProj!AN15-1)</f>
        <v>801435.94487784221</v>
      </c>
      <c r="AO17" s="387">
        <f>(Summary!$G$29*Summary!$M$33)/12*(1+Summary!$G$30)^(OpProj!AO15-1)</f>
        <v>801435.94487784221</v>
      </c>
      <c r="AP17" s="387">
        <f>(Summary!$G$29*Summary!$M$33)/12*(1+Summary!$G$30)^(OpProj!AP15-1)</f>
        <v>801435.94487784221</v>
      </c>
      <c r="AQ17" s="387">
        <f>(Summary!$G$29*Summary!$M$33)/12*(1+Summary!$G$30)^(OpProj!AQ15-1)</f>
        <v>801435.94487784221</v>
      </c>
      <c r="AR17" s="387">
        <f>(Summary!$G$29*Summary!$M$33)/12*(1+Summary!$G$30)^(OpProj!AR15-1)</f>
        <v>823475.43336198293</v>
      </c>
      <c r="AS17" s="387">
        <f>(Summary!$G$29*Summary!$M$33)/12*(1+Summary!$G$30)^(OpProj!AS15-1)</f>
        <v>823475.43336198293</v>
      </c>
      <c r="AT17" s="387">
        <f>(Summary!$G$29*Summary!$M$33)/12*(1+Summary!$G$30)^(OpProj!AT15-1)</f>
        <v>823475.43336198293</v>
      </c>
      <c r="AU17" s="387">
        <f>(Summary!$G$29*Summary!$M$33)/12*(1+Summary!$G$30)^(OpProj!AU15-1)</f>
        <v>823475.43336198293</v>
      </c>
      <c r="AV17" s="387">
        <f>(Summary!$G$29*Summary!$M$33)/12*(1+Summary!$G$30)^(OpProj!AV15-1)</f>
        <v>823475.43336198293</v>
      </c>
      <c r="AW17" s="387">
        <f>(Summary!$G$29*Summary!$M$33)/12*(1+Summary!$G$30)^(OpProj!AW15-1)</f>
        <v>823475.43336198293</v>
      </c>
      <c r="AX17" s="387">
        <f>(Summary!$G$29*Summary!$M$33)/12*(1+Summary!$G$30)^(OpProj!AX15-1)</f>
        <v>823475.43336198293</v>
      </c>
      <c r="AY17" s="387">
        <f>(Summary!$G$29*Summary!$M$33)/12*(1+Summary!$G$30)^(OpProj!AY15-1)</f>
        <v>823475.43336198293</v>
      </c>
      <c r="AZ17" s="387">
        <f>(Summary!$G$29*Summary!$M$33)/12*(1+Summary!$G$30)^(OpProj!AZ15-1)</f>
        <v>823475.43336198293</v>
      </c>
      <c r="BA17" s="387">
        <f>(Summary!$G$29*Summary!$M$33)/12*(1+Summary!$G$30)^(OpProj!BA15-1)</f>
        <v>823475.43336198293</v>
      </c>
      <c r="BB17" s="387">
        <f>(Summary!$G$29*Summary!$M$33)/12*(1+Summary!$G$30)^(OpProj!BB15-1)</f>
        <v>823475.43336198293</v>
      </c>
      <c r="BC17" s="387">
        <f>(Summary!$G$29*Summary!$M$33)/12*(1+Summary!$G$30)^(OpProj!BC15-1)</f>
        <v>823475.43336198293</v>
      </c>
      <c r="BD17" s="387">
        <f>(Summary!$G$29*Summary!$M$33)/12*(1+Summary!$G$30)^(OpProj!BD15-1)</f>
        <v>846121.00777943735</v>
      </c>
      <c r="BE17" s="387">
        <f>(Summary!$G$29*Summary!$M$33)/12*(1+Summary!$G$30)^(OpProj!BE15-1)</f>
        <v>846121.00777943735</v>
      </c>
      <c r="BF17" s="387">
        <f>(Summary!$G$29*Summary!$M$33)/12*(1+Summary!$G$30)^(OpProj!BF15-1)</f>
        <v>846121.00777943735</v>
      </c>
      <c r="BG17" s="387">
        <f>(Summary!$G$29*Summary!$M$33)/12*(1+Summary!$G$30)^(OpProj!BG15-1)</f>
        <v>846121.00777943735</v>
      </c>
      <c r="BH17" s="387">
        <f>(Summary!$G$29*Summary!$M$33)/12*(1+Summary!$G$30)^(OpProj!BH15-1)</f>
        <v>846121.00777943735</v>
      </c>
      <c r="BI17" s="387">
        <f>(Summary!$G$29*Summary!$M$33)/12*(1+Summary!$G$30)^(OpProj!BI15-1)</f>
        <v>846121.00777943735</v>
      </c>
      <c r="BJ17" s="387">
        <f>(Summary!$G$29*Summary!$M$33)/12*(1+Summary!$G$30)^(OpProj!BJ15-1)</f>
        <v>846121.00777943735</v>
      </c>
      <c r="BK17" s="387">
        <f>(Summary!$G$29*Summary!$M$33)/12*(1+Summary!$G$30)^(OpProj!BK15-1)</f>
        <v>846121.00777943735</v>
      </c>
      <c r="BL17" s="387">
        <f>(Summary!$G$29*Summary!$M$33)/12*(1+Summary!$G$30)^(OpProj!BL15-1)</f>
        <v>846121.00777943735</v>
      </c>
      <c r="BM17" s="387">
        <f>(Summary!$G$29*Summary!$M$33)/12*(1+Summary!$G$30)^(OpProj!BM15-1)</f>
        <v>846121.00777943735</v>
      </c>
      <c r="BN17" s="387">
        <f>(Summary!$G$29*Summary!$M$33)/12*(1+Summary!$G$30)^(OpProj!BN15-1)</f>
        <v>846121.00777943735</v>
      </c>
      <c r="BO17" s="387">
        <f>(Summary!$G$29*Summary!$M$33)/12*(1+Summary!$G$30)^(OpProj!BO15-1)</f>
        <v>846121.00777943735</v>
      </c>
      <c r="BP17" s="387">
        <f>(Summary!$G$29*Summary!$M$33)/12*(1+Summary!$G$30)^(OpProj!BP15-1)</f>
        <v>869389.33549337194</v>
      </c>
      <c r="BQ17" s="387">
        <f>(Summary!$G$29*Summary!$M$33)/12*(1+Summary!$G$30)^(OpProj!BQ15-1)</f>
        <v>869389.33549337194</v>
      </c>
      <c r="BR17" s="387">
        <f>(Summary!$G$29*Summary!$M$33)/12*(1+Summary!$G$30)^(OpProj!BR15-1)</f>
        <v>869389.33549337194</v>
      </c>
      <c r="BS17" s="387">
        <f>(Summary!$G$29*Summary!$M$33)/12*(1+Summary!$G$30)^(OpProj!BS15-1)</f>
        <v>869389.33549337194</v>
      </c>
      <c r="BT17" s="387">
        <f>(Summary!$G$29*Summary!$M$33)/12*(1+Summary!$G$30)^(OpProj!BT15-1)</f>
        <v>869389.33549337194</v>
      </c>
      <c r="BU17" s="387">
        <f>(Summary!$G$29*Summary!$M$33)/12*(1+Summary!$G$30)^(OpProj!BU15-1)</f>
        <v>869389.33549337194</v>
      </c>
      <c r="BV17" s="387">
        <f>(Summary!$G$29*Summary!$M$33)/12*(1+Summary!$G$30)^(OpProj!BV15-1)</f>
        <v>869389.33549337194</v>
      </c>
      <c r="BW17" s="387">
        <f>(Summary!$G$29*Summary!$M$33)/12*(1+Summary!$G$30)^(OpProj!BW15-1)</f>
        <v>869389.33549337194</v>
      </c>
      <c r="BX17" s="387">
        <f>(Summary!$G$29*Summary!$M$33)/12*(1+Summary!$G$30)^(OpProj!BX15-1)</f>
        <v>869389.33549337194</v>
      </c>
      <c r="BY17" s="387">
        <f>(Summary!$G$29*Summary!$M$33)/12*(1+Summary!$G$30)^(OpProj!BY15-1)</f>
        <v>869389.33549337194</v>
      </c>
      <c r="BZ17" s="387">
        <f>(Summary!$G$29*Summary!$M$33)/12*(1+Summary!$G$30)^(OpProj!BZ15-1)</f>
        <v>869389.33549337194</v>
      </c>
      <c r="CA17" s="387">
        <f>(Summary!$G$29*Summary!$M$33)/12*(1+Summary!$G$30)^(OpProj!CA15-1)</f>
        <v>869389.33549337194</v>
      </c>
      <c r="CB17" s="387">
        <f>(Summary!$G$29*Summary!$M$33)/12*(1+Summary!$G$30)^(OpProj!CB15-1)</f>
        <v>893297.54221943975</v>
      </c>
      <c r="CC17" s="387">
        <f>(Summary!$G$29*Summary!$M$33)/12*(1+Summary!$G$30)^(OpProj!CC15-1)</f>
        <v>893297.54221943975</v>
      </c>
      <c r="CD17" s="387">
        <f>(Summary!$G$29*Summary!$M$33)/12*(1+Summary!$G$30)^(OpProj!CD15-1)</f>
        <v>893297.54221943975</v>
      </c>
      <c r="CE17" s="387">
        <f>(Summary!$G$29*Summary!$M$33)/12*(1+Summary!$G$30)^(OpProj!CE15-1)</f>
        <v>893297.54221943975</v>
      </c>
      <c r="CF17" s="387">
        <f>(Summary!$G$29*Summary!$M$33)/12*(1+Summary!$G$30)^(OpProj!CF15-1)</f>
        <v>893297.54221943975</v>
      </c>
      <c r="CG17" s="387">
        <f>(Summary!$G$29*Summary!$M$33)/12*(1+Summary!$G$30)^(OpProj!CG15-1)</f>
        <v>893297.54221943975</v>
      </c>
      <c r="CH17" s="387">
        <f>(Summary!$G$29*Summary!$M$33)/12*(1+Summary!$G$30)^(OpProj!CH15-1)</f>
        <v>893297.54221943975</v>
      </c>
      <c r="CI17" s="387">
        <f>(Summary!$G$29*Summary!$M$33)/12*(1+Summary!$G$30)^(OpProj!CI15-1)</f>
        <v>893297.54221943975</v>
      </c>
      <c r="CJ17" s="387">
        <f>(Summary!$G$29*Summary!$M$33)/12*(1+Summary!$G$30)^(OpProj!CJ15-1)</f>
        <v>893297.54221943975</v>
      </c>
      <c r="CK17" s="387">
        <f>(Summary!$G$29*Summary!$M$33)/12*(1+Summary!$G$30)^(OpProj!CK15-1)</f>
        <v>893297.54221943975</v>
      </c>
      <c r="CL17" s="387">
        <f>(Summary!$G$29*Summary!$M$33)/12*(1+Summary!$G$30)^(OpProj!CL15-1)</f>
        <v>893297.54221943975</v>
      </c>
      <c r="CM17" s="387">
        <f>(Summary!$G$29*Summary!$M$33)/12*(1+Summary!$G$30)^(OpProj!CM15-1)</f>
        <v>893297.54221943975</v>
      </c>
      <c r="CN17" s="387">
        <f>(Summary!$G$29*Summary!$M$33)/12*(1+Summary!$G$30)^(OpProj!CN15-1)</f>
        <v>917863.22463047435</v>
      </c>
      <c r="CO17" s="387">
        <f>(Summary!$G$29*Summary!$M$33)/12*(1+Summary!$G$30)^(OpProj!CO15-1)</f>
        <v>917863.22463047435</v>
      </c>
      <c r="CP17" s="387">
        <f>(Summary!$G$29*Summary!$M$33)/12*(1+Summary!$G$30)^(OpProj!CP15-1)</f>
        <v>917863.22463047435</v>
      </c>
      <c r="CQ17" s="387">
        <f>(Summary!$G$29*Summary!$M$33)/12*(1+Summary!$G$30)^(OpProj!CQ15-1)</f>
        <v>917863.22463047435</v>
      </c>
      <c r="CR17" s="387">
        <f>(Summary!$G$29*Summary!$M$33)/12*(1+Summary!$G$30)^(OpProj!CR15-1)</f>
        <v>917863.22463047435</v>
      </c>
      <c r="CS17" s="387">
        <f>(Summary!$G$29*Summary!$M$33)/12*(1+Summary!$G$30)^(OpProj!CS15-1)</f>
        <v>917863.22463047435</v>
      </c>
      <c r="CT17" s="387">
        <f>(Summary!$G$29*Summary!$M$33)/12*(1+Summary!$G$30)^(OpProj!CT15-1)</f>
        <v>917863.22463047435</v>
      </c>
      <c r="CU17" s="387">
        <f>(Summary!$G$29*Summary!$M$33)/12*(1+Summary!$G$30)^(OpProj!CU15-1)</f>
        <v>917863.22463047435</v>
      </c>
      <c r="CV17" s="387">
        <f>(Summary!$G$29*Summary!$M$33)/12*(1+Summary!$G$30)^(OpProj!CV15-1)</f>
        <v>917863.22463047435</v>
      </c>
      <c r="CW17" s="387">
        <f>(Summary!$G$29*Summary!$M$33)/12*(1+Summary!$G$30)^(OpProj!CW15-1)</f>
        <v>917863.22463047435</v>
      </c>
      <c r="CX17" s="387">
        <f>(Summary!$G$29*Summary!$M$33)/12*(1+Summary!$G$30)^(OpProj!CX15-1)</f>
        <v>917863.22463047435</v>
      </c>
      <c r="CY17" s="387">
        <f>(Summary!$G$29*Summary!$M$33)/12*(1+Summary!$G$30)^(OpProj!CY15-1)</f>
        <v>917863.22463047435</v>
      </c>
      <c r="CZ17" s="387">
        <f>(Summary!$G$29*Summary!$M$33)/12*(1+Summary!$G$30)^(OpProj!CZ15-1)</f>
        <v>943104.46330781246</v>
      </c>
      <c r="DA17" s="387">
        <f>(Summary!$G$29*Summary!$M$33)/12*(1+Summary!$G$30)^(OpProj!DA15-1)</f>
        <v>943104.46330781246</v>
      </c>
      <c r="DB17" s="387">
        <f>(Summary!$G$29*Summary!$M$33)/12*(1+Summary!$G$30)^(OpProj!DB15-1)</f>
        <v>943104.46330781246</v>
      </c>
      <c r="DC17" s="387">
        <f>(Summary!$G$29*Summary!$M$33)/12*(1+Summary!$G$30)^(OpProj!DC15-1)</f>
        <v>943104.46330781246</v>
      </c>
      <c r="DD17" s="387">
        <f>(Summary!$G$29*Summary!$M$33)/12*(1+Summary!$G$30)^(OpProj!DD15-1)</f>
        <v>943104.46330781246</v>
      </c>
      <c r="DE17" s="387">
        <f>(Summary!$G$29*Summary!$M$33)/12*(1+Summary!$G$30)^(OpProj!DE15-1)</f>
        <v>943104.46330781246</v>
      </c>
      <c r="DF17" s="387">
        <f>(Summary!$G$29*Summary!$M$33)/12*(1+Summary!$G$30)^(OpProj!DF15-1)</f>
        <v>943104.46330781246</v>
      </c>
      <c r="DG17" s="387">
        <f>(Summary!$G$29*Summary!$M$33)/12*(1+Summary!$G$30)^(OpProj!DG15-1)</f>
        <v>943104.46330781246</v>
      </c>
      <c r="DH17" s="387">
        <f>(Summary!$G$29*Summary!$M$33)/12*(1+Summary!$G$30)^(OpProj!DH15-1)</f>
        <v>943104.46330781246</v>
      </c>
      <c r="DI17" s="387">
        <f>(Summary!$G$29*Summary!$M$33)/12*(1+Summary!$G$30)^(OpProj!DI15-1)</f>
        <v>943104.46330781246</v>
      </c>
      <c r="DJ17" s="387">
        <f>(Summary!$G$29*Summary!$M$33)/12*(1+Summary!$G$30)^(OpProj!DJ15-1)</f>
        <v>943104.46330781246</v>
      </c>
      <c r="DK17" s="387">
        <f>(Summary!$G$29*Summary!$M$33)/12*(1+Summary!$G$30)^(OpProj!DK15-1)</f>
        <v>943104.46330781246</v>
      </c>
      <c r="DL17" s="387">
        <f>(Summary!$G$29*Summary!$M$33)/12*(1+Summary!$G$30)^(OpProj!DL15-1)</f>
        <v>969039.83604877733</v>
      </c>
      <c r="DM17" s="387">
        <f>(Summary!$G$29*Summary!$M$33)/12*(1+Summary!$G$30)^(OpProj!DM15-1)</f>
        <v>969039.83604877733</v>
      </c>
      <c r="DN17" s="387">
        <f>(Summary!$G$29*Summary!$M$33)/12*(1+Summary!$G$30)^(OpProj!DN15-1)</f>
        <v>969039.83604877733</v>
      </c>
      <c r="DO17" s="387">
        <f>(Summary!$G$29*Summary!$M$33)/12*(1+Summary!$G$30)^(OpProj!DO15-1)</f>
        <v>969039.83604877733</v>
      </c>
      <c r="DP17" s="387">
        <f>(Summary!$G$29*Summary!$M$33)/12*(1+Summary!$G$30)^(OpProj!DP15-1)</f>
        <v>969039.83604877733</v>
      </c>
      <c r="DQ17" s="387">
        <f>(Summary!$G$29*Summary!$M$33)/12*(1+Summary!$G$30)^(OpProj!DQ15-1)</f>
        <v>969039.83604877733</v>
      </c>
      <c r="DR17" s="387">
        <f>(Summary!$G$29*Summary!$M$33)/12*(1+Summary!$G$30)^(OpProj!DR15-1)</f>
        <v>969039.83604877733</v>
      </c>
      <c r="DS17" s="387">
        <f>(Summary!$G$29*Summary!$M$33)/12*(1+Summary!$G$30)^(OpProj!DS15-1)</f>
        <v>969039.83604877733</v>
      </c>
      <c r="DT17" s="387">
        <f>(Summary!$G$29*Summary!$M$33)/12*(1+Summary!$G$30)^(OpProj!DT15-1)</f>
        <v>969039.83604877733</v>
      </c>
      <c r="DU17" s="387">
        <f>(Summary!$G$29*Summary!$M$33)/12*(1+Summary!$G$30)^(OpProj!DU15-1)</f>
        <v>969039.83604877733</v>
      </c>
      <c r="DV17" s="387">
        <f>(Summary!$G$29*Summary!$M$33)/12*(1+Summary!$G$30)^(OpProj!DV15-1)</f>
        <v>969039.83604877733</v>
      </c>
      <c r="DW17" s="387">
        <f>(Summary!$G$29*Summary!$M$33)/12*(1+Summary!$G$30)^(OpProj!DW15-1)</f>
        <v>969039.83604877733</v>
      </c>
      <c r="DX17" s="387">
        <f>(Summary!$G$29*Summary!$M$33)/12*(1+Summary!$G$30)^(OpProj!DX15-1)</f>
        <v>995688.43154011888</v>
      </c>
      <c r="DY17" s="387">
        <f>(Summary!$G$29*Summary!$M$33)/12*(1+Summary!$G$30)^(OpProj!DY15-1)</f>
        <v>995688.43154011888</v>
      </c>
      <c r="DZ17" s="387">
        <f>(Summary!$G$29*Summary!$M$33)/12*(1+Summary!$G$30)^(OpProj!DZ15-1)</f>
        <v>995688.43154011888</v>
      </c>
      <c r="EA17" s="387">
        <f>(Summary!$G$29*Summary!$M$33)/12*(1+Summary!$G$30)^(OpProj!EA15-1)</f>
        <v>995688.43154011888</v>
      </c>
      <c r="EB17" s="387">
        <f>(Summary!$G$29*Summary!$M$33)/12*(1+Summary!$G$30)^(OpProj!EB15-1)</f>
        <v>995688.43154011888</v>
      </c>
      <c r="EC17" s="387">
        <f>(Summary!$G$29*Summary!$M$33)/12*(1+Summary!$G$30)^(OpProj!EC15-1)</f>
        <v>995688.43154011888</v>
      </c>
      <c r="ED17" s="387">
        <f>(Summary!$G$29*Summary!$M$33)/12*(1+Summary!$G$30)^(OpProj!ED15-1)</f>
        <v>995688.43154011888</v>
      </c>
      <c r="EE17" s="387">
        <f>(Summary!$G$29*Summary!$M$33)/12*(1+Summary!$G$30)^(OpProj!EE15-1)</f>
        <v>995688.43154011888</v>
      </c>
      <c r="EF17" s="387">
        <f>(Summary!$G$29*Summary!$M$33)/12*(1+Summary!$G$30)^(OpProj!EF15-1)</f>
        <v>995688.43154011888</v>
      </c>
      <c r="EG17" s="387">
        <f>(Summary!$G$29*Summary!$M$33)/12*(1+Summary!$G$30)^(OpProj!EG15-1)</f>
        <v>995688.43154011888</v>
      </c>
      <c r="EH17" s="387">
        <f>(Summary!$G$29*Summary!$M$33)/12*(1+Summary!$G$30)^(OpProj!EH15-1)</f>
        <v>995688.43154011888</v>
      </c>
      <c r="EI17" s="387">
        <f>(Summary!$G$29*Summary!$M$33)/12*(1+Summary!$G$30)^(OpProj!EI15-1)</f>
        <v>995688.43154011888</v>
      </c>
      <c r="EJ17" s="387">
        <f>(Summary!$G$29*Summary!$M$33)/12*(1+Summary!$G$30)^(OpProj!EJ15-1)</f>
        <v>1023069.8634074723</v>
      </c>
      <c r="EK17" s="387">
        <f>(Summary!$G$29*Summary!$M$33)/12*(1+Summary!$G$30)^(OpProj!EK15-1)</f>
        <v>1023069.8634074723</v>
      </c>
      <c r="EL17" s="374"/>
    </row>
    <row r="18" spans="2:142" ht="16.2" x14ac:dyDescent="0.45">
      <c r="B18" s="370"/>
      <c r="C18" s="388" t="s">
        <v>118</v>
      </c>
      <c r="F18" s="385"/>
      <c r="H18" s="389">
        <f>SUM(J18:M18)</f>
        <v>-2277332.3242306411</v>
      </c>
      <c r="J18" s="390">
        <f>(J16&lt;Summary!$G$32+Summary!$F$27)*-OpProj!J17</f>
        <v>-759110.77474354708</v>
      </c>
      <c r="K18" s="391">
        <f>(K16&lt;Summary!$G$32+Summary!$F$27)*-OpProj!K17</f>
        <v>-759110.77474354708</v>
      </c>
      <c r="L18" s="391">
        <f>(L16&lt;Summary!$G$32+Summary!$F$27)*-OpProj!L17</f>
        <v>-759110.77474354708</v>
      </c>
      <c r="M18" s="391">
        <f>(M16&lt;Summary!$G$32+Summary!$F$27)*-OpProj!M17</f>
        <v>0</v>
      </c>
      <c r="N18" s="391">
        <f>(N16&lt;Summary!$G$32+Summary!$F$27)*-OpProj!N17</f>
        <v>0</v>
      </c>
      <c r="O18" s="391">
        <f>(O16&lt;Summary!$G$32+Summary!$F$27)*-OpProj!O17</f>
        <v>0</v>
      </c>
      <c r="P18" s="391">
        <f>(P16&lt;Summary!$G$32+Summary!$F$27)*-OpProj!P17</f>
        <v>0</v>
      </c>
      <c r="Q18" s="391">
        <f>(Q16&lt;Summary!$G$32+Summary!$F$27)*-OpProj!Q17</f>
        <v>0</v>
      </c>
      <c r="R18" s="391">
        <f>(R16&lt;Summary!$G$32+Summary!$F$27)*-OpProj!R17</f>
        <v>0</v>
      </c>
      <c r="S18" s="391">
        <f>(S16&lt;Summary!$G$32+Summary!$F$27)*-OpProj!S17</f>
        <v>0</v>
      </c>
      <c r="T18" s="391">
        <f>(T16&lt;Summary!$G$32+Summary!$F$27)*-OpProj!T17</f>
        <v>0</v>
      </c>
      <c r="U18" s="391">
        <f>(U16&lt;Summary!$G$32+Summary!$F$27)*-OpProj!U17</f>
        <v>0</v>
      </c>
      <c r="V18" s="391">
        <f>(V16&lt;Summary!$G$32+Summary!$F$27)*-OpProj!V17</f>
        <v>0</v>
      </c>
      <c r="W18" s="391">
        <f>(W16&lt;Summary!$G$32+Summary!$F$27)*-OpProj!W17</f>
        <v>0</v>
      </c>
      <c r="X18" s="391">
        <f>(X16&lt;Summary!$G$32+Summary!$F$27)*-OpProj!X17</f>
        <v>0</v>
      </c>
      <c r="Y18" s="391">
        <f>(Y16&lt;Summary!$G$32+Summary!$F$27)*-OpProj!Y17</f>
        <v>0</v>
      </c>
      <c r="Z18" s="391">
        <f>(Z16&lt;Summary!$G$32+Summary!$F$27)*-OpProj!Z17</f>
        <v>0</v>
      </c>
      <c r="AA18" s="391">
        <f>(AA16&lt;Summary!$G$32+Summary!$F$27)*-OpProj!AA17</f>
        <v>0</v>
      </c>
      <c r="AB18" s="391">
        <f>(AB16&lt;Summary!$G$32+Summary!$F$27)*-OpProj!AB17</f>
        <v>0</v>
      </c>
      <c r="AC18" s="391">
        <f>(AC16&lt;Summary!$G$32+Summary!$F$27)*-OpProj!AC17</f>
        <v>0</v>
      </c>
      <c r="AD18" s="391">
        <f>(AD16&lt;Summary!$G$32+Summary!$F$27)*-OpProj!AD17</f>
        <v>0</v>
      </c>
      <c r="AE18" s="391">
        <f>(AE16&lt;Summary!$G$32+Summary!$F$27)*-OpProj!AE17</f>
        <v>0</v>
      </c>
      <c r="AF18" s="391">
        <f>(AF16&lt;Summary!$G$32+Summary!$F$27)*-OpProj!AF17</f>
        <v>0</v>
      </c>
      <c r="AG18" s="391">
        <f>(AG16&lt;Summary!$G$32+Summary!$F$27)*-OpProj!AG17</f>
        <v>0</v>
      </c>
      <c r="AH18" s="391">
        <f>(AH16&lt;Summary!$G$32+Summary!$F$27)*-OpProj!AH17</f>
        <v>0</v>
      </c>
      <c r="AI18" s="391">
        <f>(AI16&lt;Summary!$G$32+Summary!$F$27)*-OpProj!AI17</f>
        <v>0</v>
      </c>
      <c r="AJ18" s="391">
        <f>(AJ16&lt;Summary!$G$32+Summary!$F$27)*-OpProj!AJ17</f>
        <v>0</v>
      </c>
      <c r="AK18" s="391">
        <f>(AK16&lt;Summary!$G$32+Summary!$F$27)*-OpProj!AK17</f>
        <v>0</v>
      </c>
      <c r="AL18" s="391">
        <f>(AL16&lt;Summary!$G$32+Summary!$F$27)*-OpProj!AL17</f>
        <v>0</v>
      </c>
      <c r="AM18" s="391">
        <f>(AM16&lt;Summary!$G$32+Summary!$F$27)*-OpProj!AM17</f>
        <v>0</v>
      </c>
      <c r="AN18" s="391">
        <f>(AN16&lt;Summary!$G$32+Summary!$F$27)*-OpProj!AN17</f>
        <v>0</v>
      </c>
      <c r="AO18" s="391">
        <f>(AO16&lt;Summary!$G$32+Summary!$F$27)*-OpProj!AO17</f>
        <v>0</v>
      </c>
      <c r="AP18" s="391">
        <f>(AP16&lt;Summary!$G$32+Summary!$F$27)*-OpProj!AP17</f>
        <v>0</v>
      </c>
      <c r="AQ18" s="391">
        <f>(AQ16&lt;Summary!$G$32+Summary!$F$27)*-OpProj!AQ17</f>
        <v>0</v>
      </c>
      <c r="AR18" s="391">
        <f>(AR16&lt;Summary!$G$32+Summary!$F$27)*-OpProj!AR17</f>
        <v>0</v>
      </c>
      <c r="AS18" s="391">
        <f>(AS16&lt;Summary!$G$32+Summary!$F$27)*-OpProj!AS17</f>
        <v>0</v>
      </c>
      <c r="AT18" s="391">
        <f>(AT16&lt;Summary!$G$32+Summary!$F$27)*-OpProj!AT17</f>
        <v>0</v>
      </c>
      <c r="AU18" s="391">
        <f>(AU16&lt;Summary!$G$32+Summary!$F$27)*-OpProj!AU17</f>
        <v>0</v>
      </c>
      <c r="AV18" s="391">
        <f>(AV16&lt;Summary!$G$32+Summary!$F$27)*-OpProj!AV17</f>
        <v>0</v>
      </c>
      <c r="AW18" s="391">
        <f>(AW16&lt;Summary!$G$32+Summary!$F$27)*-OpProj!AW17</f>
        <v>0</v>
      </c>
      <c r="AX18" s="391">
        <f>(AX16&lt;Summary!$G$32+Summary!$F$27)*-OpProj!AX17</f>
        <v>0</v>
      </c>
      <c r="AY18" s="391">
        <f>(AY16&lt;Summary!$G$32+Summary!$F$27)*-OpProj!AY17</f>
        <v>0</v>
      </c>
      <c r="AZ18" s="391">
        <f>(AZ16&lt;Summary!$G$32+Summary!$F$27)*-OpProj!AZ17</f>
        <v>0</v>
      </c>
      <c r="BA18" s="391">
        <f>(BA16&lt;Summary!$G$32+Summary!$F$27)*-OpProj!BA17</f>
        <v>0</v>
      </c>
      <c r="BB18" s="391">
        <f>(BB16&lt;Summary!$G$32+Summary!$F$27)*-OpProj!BB17</f>
        <v>0</v>
      </c>
      <c r="BC18" s="391">
        <f>(BC16&lt;Summary!$G$32+Summary!$F$27)*-OpProj!BC17</f>
        <v>0</v>
      </c>
      <c r="BD18" s="391">
        <f>(BD16&lt;Summary!$G$32+Summary!$F$27)*-OpProj!BD17</f>
        <v>0</v>
      </c>
      <c r="BE18" s="391">
        <f>(BE16&lt;Summary!$G$32+Summary!$F$27)*-OpProj!BE17</f>
        <v>0</v>
      </c>
      <c r="BF18" s="391">
        <f>(BF16&lt;Summary!$G$32+Summary!$F$27)*-OpProj!BF17</f>
        <v>0</v>
      </c>
      <c r="BG18" s="391">
        <f>(BG16&lt;Summary!$G$32+Summary!$F$27)*-OpProj!BG17</f>
        <v>0</v>
      </c>
      <c r="BH18" s="391">
        <f>(BH16&lt;Summary!$G$32+Summary!$F$27)*-OpProj!BH17</f>
        <v>0</v>
      </c>
      <c r="BI18" s="391">
        <f>(BI16&lt;Summary!$G$32+Summary!$F$27)*-OpProj!BI17</f>
        <v>0</v>
      </c>
      <c r="BJ18" s="391">
        <f>(BJ16&lt;Summary!$G$32+Summary!$F$27)*-OpProj!BJ17</f>
        <v>0</v>
      </c>
      <c r="BK18" s="391">
        <f>(BK16&lt;Summary!$G$32+Summary!$F$27)*-OpProj!BK17</f>
        <v>0</v>
      </c>
      <c r="BL18" s="391">
        <f>(BL16&lt;Summary!$G$32+Summary!$F$27)*-OpProj!BL17</f>
        <v>0</v>
      </c>
      <c r="BM18" s="391">
        <f>(BM16&lt;Summary!$G$32+Summary!$F$27)*-OpProj!BM17</f>
        <v>0</v>
      </c>
      <c r="BN18" s="391">
        <f>(BN16&lt;Summary!$G$32+Summary!$F$27)*-OpProj!BN17</f>
        <v>0</v>
      </c>
      <c r="BO18" s="391">
        <f>(BO16&lt;Summary!$G$32+Summary!$F$27)*-OpProj!BO17</f>
        <v>0</v>
      </c>
      <c r="BP18" s="391">
        <f>(BP16&lt;Summary!$G$32+Summary!$F$27)*-OpProj!BP17</f>
        <v>0</v>
      </c>
      <c r="BQ18" s="391">
        <f>(BQ16&lt;Summary!$G$32+Summary!$F$27)*-OpProj!BQ17</f>
        <v>0</v>
      </c>
      <c r="BR18" s="391">
        <f>(BR16&lt;Summary!$G$32+Summary!$F$27)*-OpProj!BR17</f>
        <v>0</v>
      </c>
      <c r="BS18" s="391">
        <f>(BS16&lt;Summary!$G$32+Summary!$F$27)*-OpProj!BS17</f>
        <v>0</v>
      </c>
      <c r="BT18" s="391">
        <f>(BT16&lt;Summary!$G$32+Summary!$F$27)*-OpProj!BT17</f>
        <v>0</v>
      </c>
      <c r="BU18" s="391">
        <f>(BU16&lt;Summary!$G$32+Summary!$F$27)*-OpProj!BU17</f>
        <v>0</v>
      </c>
      <c r="BV18" s="391">
        <f>(BV16&lt;Summary!$G$32+Summary!$F$27)*-OpProj!BV17</f>
        <v>0</v>
      </c>
      <c r="BW18" s="391">
        <f>(BW16&lt;Summary!$G$32+Summary!$F$27)*-OpProj!BW17</f>
        <v>0</v>
      </c>
      <c r="BX18" s="391">
        <f>(BX16&lt;Summary!$G$32+Summary!$F$27)*-OpProj!BX17</f>
        <v>0</v>
      </c>
      <c r="BY18" s="391">
        <f>(BY16&lt;Summary!$G$32+Summary!$F$27)*-OpProj!BY17</f>
        <v>0</v>
      </c>
      <c r="BZ18" s="391">
        <f>(BZ16&lt;Summary!$G$32+Summary!$F$27)*-OpProj!BZ17</f>
        <v>0</v>
      </c>
      <c r="CA18" s="391">
        <f>(CA16&lt;Summary!$G$32+Summary!$F$27)*-OpProj!CA17</f>
        <v>0</v>
      </c>
      <c r="CB18" s="391">
        <f>(CB16&lt;Summary!$G$32+Summary!$F$27)*-OpProj!CB17</f>
        <v>0</v>
      </c>
      <c r="CC18" s="391">
        <f>(CC16&lt;Summary!$G$32+Summary!$F$27)*-OpProj!CC17</f>
        <v>0</v>
      </c>
      <c r="CD18" s="391">
        <f>(CD16&lt;Summary!$G$32+Summary!$F$27)*-OpProj!CD17</f>
        <v>0</v>
      </c>
      <c r="CE18" s="391">
        <f>(CE16&lt;Summary!$G$32+Summary!$F$27)*-OpProj!CE17</f>
        <v>0</v>
      </c>
      <c r="CF18" s="391">
        <f>(CF16&lt;Summary!$G$32+Summary!$F$27)*-OpProj!CF17</f>
        <v>0</v>
      </c>
      <c r="CG18" s="391">
        <f>(CG16&lt;Summary!$G$32+Summary!$F$27)*-OpProj!CG17</f>
        <v>0</v>
      </c>
      <c r="CH18" s="391">
        <f>(CH16&lt;Summary!$G$32+Summary!$F$27)*-OpProj!CH17</f>
        <v>0</v>
      </c>
      <c r="CI18" s="391">
        <f>(CI16&lt;Summary!$G$32+Summary!$F$27)*-OpProj!CI17</f>
        <v>0</v>
      </c>
      <c r="CJ18" s="391">
        <f>(CJ16&lt;Summary!$G$32+Summary!$F$27)*-OpProj!CJ17</f>
        <v>0</v>
      </c>
      <c r="CK18" s="391">
        <f>(CK16&lt;Summary!$G$32+Summary!$F$27)*-OpProj!CK17</f>
        <v>0</v>
      </c>
      <c r="CL18" s="391">
        <f>(CL16&lt;Summary!$G$32+Summary!$F$27)*-OpProj!CL17</f>
        <v>0</v>
      </c>
      <c r="CM18" s="391">
        <f>(CM16&lt;Summary!$G$32+Summary!$F$27)*-OpProj!CM17</f>
        <v>0</v>
      </c>
      <c r="CN18" s="391">
        <f>(CN16&lt;Summary!$G$32+Summary!$F$27)*-OpProj!CN17</f>
        <v>0</v>
      </c>
      <c r="CO18" s="391">
        <f>(CO16&lt;Summary!$G$32+Summary!$F$27)*-OpProj!CO17</f>
        <v>0</v>
      </c>
      <c r="CP18" s="391">
        <f>(CP16&lt;Summary!$G$32+Summary!$F$27)*-OpProj!CP17</f>
        <v>0</v>
      </c>
      <c r="CQ18" s="391">
        <f>(CQ16&lt;Summary!$G$32+Summary!$F$27)*-OpProj!CQ17</f>
        <v>0</v>
      </c>
      <c r="CR18" s="391">
        <f>(CR16&lt;Summary!$G$32+Summary!$F$27)*-OpProj!CR17</f>
        <v>0</v>
      </c>
      <c r="CS18" s="391">
        <f>(CS16&lt;Summary!$G$32+Summary!$F$27)*-OpProj!CS17</f>
        <v>0</v>
      </c>
      <c r="CT18" s="391">
        <f>(CT16&lt;Summary!$G$32+Summary!$F$27)*-OpProj!CT17</f>
        <v>0</v>
      </c>
      <c r="CU18" s="391">
        <f>(CU16&lt;Summary!$G$32+Summary!$F$27)*-OpProj!CU17</f>
        <v>0</v>
      </c>
      <c r="CV18" s="391">
        <f>(CV16&lt;Summary!$G$32+Summary!$F$27)*-OpProj!CV17</f>
        <v>0</v>
      </c>
      <c r="CW18" s="391">
        <f>(CW16&lt;Summary!$G$32+Summary!$F$27)*-OpProj!CW17</f>
        <v>0</v>
      </c>
      <c r="CX18" s="391">
        <f>(CX16&lt;Summary!$G$32+Summary!$F$27)*-OpProj!CX17</f>
        <v>0</v>
      </c>
      <c r="CY18" s="391">
        <f>(CY16&lt;Summary!$G$32+Summary!$F$27)*-OpProj!CY17</f>
        <v>0</v>
      </c>
      <c r="CZ18" s="391">
        <f>(CZ16&lt;Summary!$G$32+Summary!$F$27)*-OpProj!CZ17</f>
        <v>0</v>
      </c>
      <c r="DA18" s="391">
        <f>(DA16&lt;Summary!$G$32+Summary!$F$27)*-OpProj!DA17</f>
        <v>0</v>
      </c>
      <c r="DB18" s="391">
        <f>(DB16&lt;Summary!$G$32+Summary!$F$27)*-OpProj!DB17</f>
        <v>0</v>
      </c>
      <c r="DC18" s="391">
        <f>(DC16&lt;Summary!$G$32+Summary!$F$27)*-OpProj!DC17</f>
        <v>0</v>
      </c>
      <c r="DD18" s="391">
        <f>(DD16&lt;Summary!$G$32+Summary!$F$27)*-OpProj!DD17</f>
        <v>0</v>
      </c>
      <c r="DE18" s="391">
        <f>(DE16&lt;Summary!$G$32+Summary!$F$27)*-OpProj!DE17</f>
        <v>0</v>
      </c>
      <c r="DF18" s="391">
        <f>(DF16&lt;Summary!$G$32+Summary!$F$27)*-OpProj!DF17</f>
        <v>0</v>
      </c>
      <c r="DG18" s="391">
        <f>(DG16&lt;Summary!$G$32+Summary!$F$27)*-OpProj!DG17</f>
        <v>0</v>
      </c>
      <c r="DH18" s="391">
        <f>(DH16&lt;Summary!$G$32+Summary!$F$27)*-OpProj!DH17</f>
        <v>0</v>
      </c>
      <c r="DI18" s="391">
        <f>(DI16&lt;Summary!$G$32+Summary!$F$27)*-OpProj!DI17</f>
        <v>0</v>
      </c>
      <c r="DJ18" s="391">
        <f>(DJ16&lt;Summary!$G$32+Summary!$F$27)*-OpProj!DJ17</f>
        <v>0</v>
      </c>
      <c r="DK18" s="391">
        <f>(DK16&lt;Summary!$G$32+Summary!$F$27)*-OpProj!DK17</f>
        <v>0</v>
      </c>
      <c r="DL18" s="391">
        <f>(DL16&lt;Summary!$G$32+Summary!$F$27)*-OpProj!DL17</f>
        <v>0</v>
      </c>
      <c r="DM18" s="391">
        <f>(DM16&lt;Summary!$G$32+Summary!$F$27)*-OpProj!DM17</f>
        <v>0</v>
      </c>
      <c r="DN18" s="391">
        <f>(DN16&lt;Summary!$G$32+Summary!$F$27)*-OpProj!DN17</f>
        <v>0</v>
      </c>
      <c r="DO18" s="391">
        <f>(DO16&lt;Summary!$G$32+Summary!$F$27)*-OpProj!DO17</f>
        <v>0</v>
      </c>
      <c r="DP18" s="391">
        <f>(DP16&lt;Summary!$G$32+Summary!$F$27)*-OpProj!DP17</f>
        <v>0</v>
      </c>
      <c r="DQ18" s="391">
        <f>(DQ16&lt;Summary!$G$32+Summary!$F$27)*-OpProj!DQ17</f>
        <v>0</v>
      </c>
      <c r="DR18" s="391">
        <f>(DR16&lt;Summary!$G$32+Summary!$F$27)*-OpProj!DR17</f>
        <v>0</v>
      </c>
      <c r="DS18" s="391">
        <f>(DS16&lt;Summary!$G$32+Summary!$F$27)*-OpProj!DS17</f>
        <v>0</v>
      </c>
      <c r="DT18" s="391">
        <f>(DT16&lt;Summary!$G$32+Summary!$F$27)*-OpProj!DT17</f>
        <v>0</v>
      </c>
      <c r="DU18" s="391">
        <f>(DU16&lt;Summary!$G$32+Summary!$F$27)*-OpProj!DU17</f>
        <v>0</v>
      </c>
      <c r="DV18" s="391">
        <f>(DV16&lt;Summary!$G$32+Summary!$F$27)*-OpProj!DV17</f>
        <v>0</v>
      </c>
      <c r="DW18" s="391">
        <f>(DW16&lt;Summary!$G$32+Summary!$F$27)*-OpProj!DW17</f>
        <v>0</v>
      </c>
      <c r="DX18" s="391">
        <f>(DX16&lt;Summary!$G$32+Summary!$F$27)*-OpProj!DX17</f>
        <v>0</v>
      </c>
      <c r="DY18" s="391">
        <f>(DY16&lt;Summary!$G$32+Summary!$F$27)*-OpProj!DY17</f>
        <v>0</v>
      </c>
      <c r="DZ18" s="391">
        <f>(DZ16&lt;Summary!$G$32+Summary!$F$27)*-OpProj!DZ17</f>
        <v>0</v>
      </c>
      <c r="EA18" s="391">
        <f>(EA16&lt;Summary!$G$32+Summary!$F$27)*-OpProj!EA17</f>
        <v>0</v>
      </c>
      <c r="EB18" s="391">
        <f>(EB16&lt;Summary!$G$32+Summary!$F$27)*-OpProj!EB17</f>
        <v>0</v>
      </c>
      <c r="EC18" s="391">
        <f>(EC16&lt;Summary!$G$32+Summary!$F$27)*-OpProj!EC17</f>
        <v>0</v>
      </c>
      <c r="ED18" s="391">
        <f>(ED16&lt;Summary!$G$32+Summary!$F$27)*-OpProj!ED17</f>
        <v>0</v>
      </c>
      <c r="EE18" s="391">
        <f>(EE16&lt;Summary!$G$32+Summary!$F$27)*-OpProj!EE17</f>
        <v>0</v>
      </c>
      <c r="EF18" s="391">
        <f>(EF16&lt;Summary!$G$32+Summary!$F$27)*-OpProj!EF17</f>
        <v>0</v>
      </c>
      <c r="EG18" s="391">
        <f>(EG16&lt;Summary!$G$32+Summary!$F$27)*-OpProj!EG17</f>
        <v>0</v>
      </c>
      <c r="EH18" s="391">
        <f>(EH16&lt;Summary!$G$32+Summary!$F$27)*-OpProj!EH17</f>
        <v>0</v>
      </c>
      <c r="EI18" s="391">
        <f>(EI16&lt;Summary!$G$32+Summary!$F$27)*-OpProj!EI17</f>
        <v>0</v>
      </c>
      <c r="EJ18" s="391">
        <f>(EJ16&lt;Summary!$G$32+Summary!$F$27)*-OpProj!EJ17</f>
        <v>0</v>
      </c>
      <c r="EK18" s="391">
        <f>(EK16&lt;Summary!$G$32+Summary!$F$27)*-OpProj!EK17</f>
        <v>0</v>
      </c>
      <c r="EL18" s="374"/>
    </row>
    <row r="19" spans="2:142" ht="14.4" x14ac:dyDescent="0.3">
      <c r="B19" s="370"/>
      <c r="C19" s="392" t="s">
        <v>119</v>
      </c>
      <c r="F19" s="385"/>
      <c r="H19" s="131">
        <f>SUM(H17:H18)</f>
        <v>6873748.0653028172</v>
      </c>
      <c r="J19" s="393">
        <f t="shared" ref="J19:BU19" si="15">SUM(J17:J18)</f>
        <v>0</v>
      </c>
      <c r="K19" s="393">
        <f t="shared" si="15"/>
        <v>0</v>
      </c>
      <c r="L19" s="393">
        <f t="shared" si="15"/>
        <v>0</v>
      </c>
      <c r="M19" s="393">
        <f t="shared" si="15"/>
        <v>759110.77474354708</v>
      </c>
      <c r="N19" s="393">
        <f t="shared" si="15"/>
        <v>759110.77474354708</v>
      </c>
      <c r="O19" s="393">
        <f t="shared" si="15"/>
        <v>759110.77474354708</v>
      </c>
      <c r="P19" s="393">
        <f t="shared" si="15"/>
        <v>759110.77474354708</v>
      </c>
      <c r="Q19" s="393">
        <f t="shared" si="15"/>
        <v>759110.77474354708</v>
      </c>
      <c r="R19" s="393">
        <f t="shared" si="15"/>
        <v>759110.77474354708</v>
      </c>
      <c r="S19" s="393">
        <f t="shared" si="15"/>
        <v>759110.77474354708</v>
      </c>
      <c r="T19" s="393">
        <f t="shared" si="15"/>
        <v>779986.32104899478</v>
      </c>
      <c r="U19" s="393">
        <f t="shared" si="15"/>
        <v>779986.32104899478</v>
      </c>
      <c r="V19" s="393">
        <f t="shared" si="15"/>
        <v>779986.32104899478</v>
      </c>
      <c r="W19" s="393">
        <f t="shared" si="15"/>
        <v>779986.32104899478</v>
      </c>
      <c r="X19" s="393">
        <f t="shared" si="15"/>
        <v>779986.32104899478</v>
      </c>
      <c r="Y19" s="393">
        <f t="shared" si="15"/>
        <v>779986.32104899478</v>
      </c>
      <c r="Z19" s="393">
        <f t="shared" si="15"/>
        <v>779986.32104899478</v>
      </c>
      <c r="AA19" s="393">
        <f t="shared" si="15"/>
        <v>779986.32104899478</v>
      </c>
      <c r="AB19" s="393">
        <f t="shared" si="15"/>
        <v>779986.32104899478</v>
      </c>
      <c r="AC19" s="393">
        <f t="shared" si="15"/>
        <v>779986.32104899478</v>
      </c>
      <c r="AD19" s="393">
        <f t="shared" si="15"/>
        <v>779986.32104899478</v>
      </c>
      <c r="AE19" s="393">
        <f t="shared" si="15"/>
        <v>779986.32104899478</v>
      </c>
      <c r="AF19" s="393">
        <f t="shared" si="15"/>
        <v>801435.94487784221</v>
      </c>
      <c r="AG19" s="393">
        <f t="shared" si="15"/>
        <v>801435.94487784221</v>
      </c>
      <c r="AH19" s="393">
        <f t="shared" si="15"/>
        <v>801435.94487784221</v>
      </c>
      <c r="AI19" s="393">
        <f t="shared" si="15"/>
        <v>801435.94487784221</v>
      </c>
      <c r="AJ19" s="393">
        <f t="shared" si="15"/>
        <v>801435.94487784221</v>
      </c>
      <c r="AK19" s="393">
        <f t="shared" si="15"/>
        <v>801435.94487784221</v>
      </c>
      <c r="AL19" s="393">
        <f t="shared" si="15"/>
        <v>801435.94487784221</v>
      </c>
      <c r="AM19" s="393">
        <f t="shared" si="15"/>
        <v>801435.94487784221</v>
      </c>
      <c r="AN19" s="393">
        <f t="shared" si="15"/>
        <v>801435.94487784221</v>
      </c>
      <c r="AO19" s="393">
        <f t="shared" si="15"/>
        <v>801435.94487784221</v>
      </c>
      <c r="AP19" s="393">
        <f t="shared" si="15"/>
        <v>801435.94487784221</v>
      </c>
      <c r="AQ19" s="393">
        <f t="shared" si="15"/>
        <v>801435.94487784221</v>
      </c>
      <c r="AR19" s="393">
        <f t="shared" si="15"/>
        <v>823475.43336198293</v>
      </c>
      <c r="AS19" s="393">
        <f t="shared" si="15"/>
        <v>823475.43336198293</v>
      </c>
      <c r="AT19" s="393">
        <f t="shared" si="15"/>
        <v>823475.43336198293</v>
      </c>
      <c r="AU19" s="393">
        <f t="shared" si="15"/>
        <v>823475.43336198293</v>
      </c>
      <c r="AV19" s="393">
        <f t="shared" si="15"/>
        <v>823475.43336198293</v>
      </c>
      <c r="AW19" s="393">
        <f t="shared" si="15"/>
        <v>823475.43336198293</v>
      </c>
      <c r="AX19" s="393">
        <f t="shared" si="15"/>
        <v>823475.43336198293</v>
      </c>
      <c r="AY19" s="393">
        <f t="shared" si="15"/>
        <v>823475.43336198293</v>
      </c>
      <c r="AZ19" s="393">
        <f t="shared" si="15"/>
        <v>823475.43336198293</v>
      </c>
      <c r="BA19" s="393">
        <f t="shared" si="15"/>
        <v>823475.43336198293</v>
      </c>
      <c r="BB19" s="393">
        <f t="shared" si="15"/>
        <v>823475.43336198293</v>
      </c>
      <c r="BC19" s="393">
        <f t="shared" si="15"/>
        <v>823475.43336198293</v>
      </c>
      <c r="BD19" s="393">
        <f t="shared" si="15"/>
        <v>846121.00777943735</v>
      </c>
      <c r="BE19" s="393">
        <f t="shared" si="15"/>
        <v>846121.00777943735</v>
      </c>
      <c r="BF19" s="393">
        <f t="shared" si="15"/>
        <v>846121.00777943735</v>
      </c>
      <c r="BG19" s="393">
        <f t="shared" si="15"/>
        <v>846121.00777943735</v>
      </c>
      <c r="BH19" s="393">
        <f t="shared" si="15"/>
        <v>846121.00777943735</v>
      </c>
      <c r="BI19" s="393">
        <f t="shared" si="15"/>
        <v>846121.00777943735</v>
      </c>
      <c r="BJ19" s="393">
        <f t="shared" si="15"/>
        <v>846121.00777943735</v>
      </c>
      <c r="BK19" s="393">
        <f t="shared" si="15"/>
        <v>846121.00777943735</v>
      </c>
      <c r="BL19" s="393">
        <f t="shared" si="15"/>
        <v>846121.00777943735</v>
      </c>
      <c r="BM19" s="393">
        <f t="shared" si="15"/>
        <v>846121.00777943735</v>
      </c>
      <c r="BN19" s="393">
        <f t="shared" si="15"/>
        <v>846121.00777943735</v>
      </c>
      <c r="BO19" s="393">
        <f t="shared" si="15"/>
        <v>846121.00777943735</v>
      </c>
      <c r="BP19" s="393">
        <f t="shared" si="15"/>
        <v>869389.33549337194</v>
      </c>
      <c r="BQ19" s="393">
        <f t="shared" si="15"/>
        <v>869389.33549337194</v>
      </c>
      <c r="BR19" s="393">
        <f t="shared" si="15"/>
        <v>869389.33549337194</v>
      </c>
      <c r="BS19" s="393">
        <f t="shared" si="15"/>
        <v>869389.33549337194</v>
      </c>
      <c r="BT19" s="393">
        <f t="shared" si="15"/>
        <v>869389.33549337194</v>
      </c>
      <c r="BU19" s="393">
        <f t="shared" si="15"/>
        <v>869389.33549337194</v>
      </c>
      <c r="BV19" s="393">
        <f t="shared" ref="BV19:EG19" si="16">SUM(BV17:BV18)</f>
        <v>869389.33549337194</v>
      </c>
      <c r="BW19" s="393">
        <f t="shared" si="16"/>
        <v>869389.33549337194</v>
      </c>
      <c r="BX19" s="393">
        <f t="shared" si="16"/>
        <v>869389.33549337194</v>
      </c>
      <c r="BY19" s="393">
        <f t="shared" si="16"/>
        <v>869389.33549337194</v>
      </c>
      <c r="BZ19" s="393">
        <f t="shared" si="16"/>
        <v>869389.33549337194</v>
      </c>
      <c r="CA19" s="393">
        <f t="shared" si="16"/>
        <v>869389.33549337194</v>
      </c>
      <c r="CB19" s="393">
        <f t="shared" si="16"/>
        <v>893297.54221943975</v>
      </c>
      <c r="CC19" s="393">
        <f t="shared" si="16"/>
        <v>893297.54221943975</v>
      </c>
      <c r="CD19" s="393">
        <f t="shared" si="16"/>
        <v>893297.54221943975</v>
      </c>
      <c r="CE19" s="393">
        <f t="shared" si="16"/>
        <v>893297.54221943975</v>
      </c>
      <c r="CF19" s="393">
        <f t="shared" si="16"/>
        <v>893297.54221943975</v>
      </c>
      <c r="CG19" s="393">
        <f t="shared" si="16"/>
        <v>893297.54221943975</v>
      </c>
      <c r="CH19" s="393">
        <f t="shared" si="16"/>
        <v>893297.54221943975</v>
      </c>
      <c r="CI19" s="393">
        <f t="shared" si="16"/>
        <v>893297.54221943975</v>
      </c>
      <c r="CJ19" s="393">
        <f t="shared" si="16"/>
        <v>893297.54221943975</v>
      </c>
      <c r="CK19" s="393">
        <f t="shared" si="16"/>
        <v>893297.54221943975</v>
      </c>
      <c r="CL19" s="393">
        <f t="shared" si="16"/>
        <v>893297.54221943975</v>
      </c>
      <c r="CM19" s="393">
        <f t="shared" si="16"/>
        <v>893297.54221943975</v>
      </c>
      <c r="CN19" s="393">
        <f t="shared" si="16"/>
        <v>917863.22463047435</v>
      </c>
      <c r="CO19" s="393">
        <f t="shared" si="16"/>
        <v>917863.22463047435</v>
      </c>
      <c r="CP19" s="393">
        <f t="shared" si="16"/>
        <v>917863.22463047435</v>
      </c>
      <c r="CQ19" s="393">
        <f t="shared" si="16"/>
        <v>917863.22463047435</v>
      </c>
      <c r="CR19" s="393">
        <f t="shared" si="16"/>
        <v>917863.22463047435</v>
      </c>
      <c r="CS19" s="393">
        <f t="shared" si="16"/>
        <v>917863.22463047435</v>
      </c>
      <c r="CT19" s="393">
        <f t="shared" si="16"/>
        <v>917863.22463047435</v>
      </c>
      <c r="CU19" s="393">
        <f t="shared" si="16"/>
        <v>917863.22463047435</v>
      </c>
      <c r="CV19" s="393">
        <f t="shared" si="16"/>
        <v>917863.22463047435</v>
      </c>
      <c r="CW19" s="393">
        <f t="shared" si="16"/>
        <v>917863.22463047435</v>
      </c>
      <c r="CX19" s="393">
        <f t="shared" si="16"/>
        <v>917863.22463047435</v>
      </c>
      <c r="CY19" s="393">
        <f t="shared" si="16"/>
        <v>917863.22463047435</v>
      </c>
      <c r="CZ19" s="393">
        <f t="shared" si="16"/>
        <v>943104.46330781246</v>
      </c>
      <c r="DA19" s="393">
        <f t="shared" si="16"/>
        <v>943104.46330781246</v>
      </c>
      <c r="DB19" s="393">
        <f t="shared" si="16"/>
        <v>943104.46330781246</v>
      </c>
      <c r="DC19" s="393">
        <f t="shared" si="16"/>
        <v>943104.46330781246</v>
      </c>
      <c r="DD19" s="393">
        <f t="shared" si="16"/>
        <v>943104.46330781246</v>
      </c>
      <c r="DE19" s="393">
        <f t="shared" si="16"/>
        <v>943104.46330781246</v>
      </c>
      <c r="DF19" s="393">
        <f t="shared" si="16"/>
        <v>943104.46330781246</v>
      </c>
      <c r="DG19" s="393">
        <f t="shared" si="16"/>
        <v>943104.46330781246</v>
      </c>
      <c r="DH19" s="393">
        <f t="shared" si="16"/>
        <v>943104.46330781246</v>
      </c>
      <c r="DI19" s="393">
        <f t="shared" si="16"/>
        <v>943104.46330781246</v>
      </c>
      <c r="DJ19" s="393">
        <f t="shared" si="16"/>
        <v>943104.46330781246</v>
      </c>
      <c r="DK19" s="393">
        <f t="shared" si="16"/>
        <v>943104.46330781246</v>
      </c>
      <c r="DL19" s="393">
        <f t="shared" si="16"/>
        <v>969039.83604877733</v>
      </c>
      <c r="DM19" s="393">
        <f t="shared" si="16"/>
        <v>969039.83604877733</v>
      </c>
      <c r="DN19" s="393">
        <f t="shared" si="16"/>
        <v>969039.83604877733</v>
      </c>
      <c r="DO19" s="393">
        <f t="shared" si="16"/>
        <v>969039.83604877733</v>
      </c>
      <c r="DP19" s="393">
        <f t="shared" si="16"/>
        <v>969039.83604877733</v>
      </c>
      <c r="DQ19" s="393">
        <f t="shared" si="16"/>
        <v>969039.83604877733</v>
      </c>
      <c r="DR19" s="393">
        <f t="shared" si="16"/>
        <v>969039.83604877733</v>
      </c>
      <c r="DS19" s="393">
        <f t="shared" si="16"/>
        <v>969039.83604877733</v>
      </c>
      <c r="DT19" s="393">
        <f t="shared" si="16"/>
        <v>969039.83604877733</v>
      </c>
      <c r="DU19" s="393">
        <f t="shared" si="16"/>
        <v>969039.83604877733</v>
      </c>
      <c r="DV19" s="393">
        <f t="shared" si="16"/>
        <v>969039.83604877733</v>
      </c>
      <c r="DW19" s="393">
        <f t="shared" si="16"/>
        <v>969039.83604877733</v>
      </c>
      <c r="DX19" s="393">
        <f t="shared" si="16"/>
        <v>995688.43154011888</v>
      </c>
      <c r="DY19" s="393">
        <f t="shared" si="16"/>
        <v>995688.43154011888</v>
      </c>
      <c r="DZ19" s="393">
        <f t="shared" si="16"/>
        <v>995688.43154011888</v>
      </c>
      <c r="EA19" s="393">
        <f t="shared" si="16"/>
        <v>995688.43154011888</v>
      </c>
      <c r="EB19" s="393">
        <f t="shared" si="16"/>
        <v>995688.43154011888</v>
      </c>
      <c r="EC19" s="393">
        <f t="shared" si="16"/>
        <v>995688.43154011888</v>
      </c>
      <c r="ED19" s="393">
        <f t="shared" si="16"/>
        <v>995688.43154011888</v>
      </c>
      <c r="EE19" s="393">
        <f t="shared" si="16"/>
        <v>995688.43154011888</v>
      </c>
      <c r="EF19" s="393">
        <f t="shared" si="16"/>
        <v>995688.43154011888</v>
      </c>
      <c r="EG19" s="393">
        <f t="shared" si="16"/>
        <v>995688.43154011888</v>
      </c>
      <c r="EH19" s="393">
        <f t="shared" ref="EH19:EK19" si="17">SUM(EH17:EH18)</f>
        <v>995688.43154011888</v>
      </c>
      <c r="EI19" s="393">
        <f t="shared" si="17"/>
        <v>995688.43154011888</v>
      </c>
      <c r="EJ19" s="393">
        <f t="shared" si="17"/>
        <v>1023069.8634074723</v>
      </c>
      <c r="EK19" s="393">
        <f t="shared" si="17"/>
        <v>1023069.8634074723</v>
      </c>
      <c r="EL19" s="374"/>
    </row>
    <row r="20" spans="2:142" ht="14.4" x14ac:dyDescent="0.3">
      <c r="B20" s="370"/>
      <c r="C20" s="394" t="s">
        <v>120</v>
      </c>
      <c r="F20" s="385"/>
      <c r="G20" s="395">
        <v>1</v>
      </c>
      <c r="H20" s="131">
        <f>+G20*H26</f>
        <v>1895502.2796864002</v>
      </c>
      <c r="J20" s="396">
        <f>J26*$G$20</f>
        <v>157433.74416</v>
      </c>
      <c r="K20" s="387">
        <f t="shared" ref="K20:BV20" si="18">K26*$G$20</f>
        <v>157433.74416</v>
      </c>
      <c r="L20" s="387">
        <f t="shared" si="18"/>
        <v>157433.74416</v>
      </c>
      <c r="M20" s="387">
        <f t="shared" si="18"/>
        <v>157433.74416</v>
      </c>
      <c r="N20" s="387">
        <f t="shared" si="18"/>
        <v>157433.74416</v>
      </c>
      <c r="O20" s="387">
        <f t="shared" si="18"/>
        <v>157433.74416</v>
      </c>
      <c r="P20" s="387">
        <f t="shared" si="18"/>
        <v>157433.74416</v>
      </c>
      <c r="Q20" s="387">
        <f t="shared" si="18"/>
        <v>157433.74416</v>
      </c>
      <c r="R20" s="387">
        <f t="shared" si="18"/>
        <v>157433.74416</v>
      </c>
      <c r="S20" s="387">
        <f t="shared" si="18"/>
        <v>157433.74416</v>
      </c>
      <c r="T20" s="387">
        <f t="shared" si="18"/>
        <v>160582.4190432</v>
      </c>
      <c r="U20" s="387">
        <f t="shared" si="18"/>
        <v>160582.4190432</v>
      </c>
      <c r="V20" s="387">
        <f t="shared" si="18"/>
        <v>160582.4190432</v>
      </c>
      <c r="W20" s="387">
        <f t="shared" si="18"/>
        <v>160582.4190432</v>
      </c>
      <c r="X20" s="387">
        <f t="shared" si="18"/>
        <v>160582.4190432</v>
      </c>
      <c r="Y20" s="387">
        <f t="shared" si="18"/>
        <v>160582.4190432</v>
      </c>
      <c r="Z20" s="387">
        <f t="shared" si="18"/>
        <v>160582.4190432</v>
      </c>
      <c r="AA20" s="387">
        <f t="shared" si="18"/>
        <v>160582.4190432</v>
      </c>
      <c r="AB20" s="387">
        <f t="shared" si="18"/>
        <v>160582.4190432</v>
      </c>
      <c r="AC20" s="387">
        <f t="shared" si="18"/>
        <v>160582.4190432</v>
      </c>
      <c r="AD20" s="387">
        <f t="shared" si="18"/>
        <v>160582.4190432</v>
      </c>
      <c r="AE20" s="387">
        <f t="shared" si="18"/>
        <v>160582.4190432</v>
      </c>
      <c r="AF20" s="387">
        <f t="shared" si="18"/>
        <v>163794.06742406401</v>
      </c>
      <c r="AG20" s="387">
        <f t="shared" si="18"/>
        <v>163794.06742406401</v>
      </c>
      <c r="AH20" s="387">
        <f t="shared" si="18"/>
        <v>163794.06742406401</v>
      </c>
      <c r="AI20" s="387">
        <f t="shared" si="18"/>
        <v>163794.06742406401</v>
      </c>
      <c r="AJ20" s="387">
        <f t="shared" si="18"/>
        <v>163794.06742406401</v>
      </c>
      <c r="AK20" s="387">
        <f t="shared" si="18"/>
        <v>163794.06742406401</v>
      </c>
      <c r="AL20" s="387">
        <f t="shared" si="18"/>
        <v>163794.06742406401</v>
      </c>
      <c r="AM20" s="387">
        <f t="shared" si="18"/>
        <v>163794.06742406401</v>
      </c>
      <c r="AN20" s="387">
        <f t="shared" si="18"/>
        <v>163794.06742406401</v>
      </c>
      <c r="AO20" s="387">
        <f t="shared" si="18"/>
        <v>163794.06742406401</v>
      </c>
      <c r="AP20" s="387">
        <f t="shared" si="18"/>
        <v>163794.06742406401</v>
      </c>
      <c r="AQ20" s="387">
        <f t="shared" si="18"/>
        <v>163794.06742406401</v>
      </c>
      <c r="AR20" s="387">
        <f t="shared" si="18"/>
        <v>167069.94877254529</v>
      </c>
      <c r="AS20" s="387">
        <f t="shared" si="18"/>
        <v>167069.94877254529</v>
      </c>
      <c r="AT20" s="387">
        <f t="shared" si="18"/>
        <v>167069.94877254529</v>
      </c>
      <c r="AU20" s="387">
        <f t="shared" si="18"/>
        <v>167069.94877254529</v>
      </c>
      <c r="AV20" s="387">
        <f t="shared" si="18"/>
        <v>167069.94877254529</v>
      </c>
      <c r="AW20" s="387">
        <f t="shared" si="18"/>
        <v>167069.94877254529</v>
      </c>
      <c r="AX20" s="387">
        <f t="shared" si="18"/>
        <v>167069.94877254529</v>
      </c>
      <c r="AY20" s="387">
        <f t="shared" si="18"/>
        <v>167069.94877254529</v>
      </c>
      <c r="AZ20" s="387">
        <f t="shared" si="18"/>
        <v>167069.94877254529</v>
      </c>
      <c r="BA20" s="387">
        <f t="shared" si="18"/>
        <v>167069.94877254529</v>
      </c>
      <c r="BB20" s="387">
        <f t="shared" si="18"/>
        <v>167069.94877254529</v>
      </c>
      <c r="BC20" s="387">
        <f t="shared" si="18"/>
        <v>167069.94877254529</v>
      </c>
      <c r="BD20" s="387">
        <f t="shared" si="18"/>
        <v>170411.34774799616</v>
      </c>
      <c r="BE20" s="387">
        <f t="shared" si="18"/>
        <v>170411.34774799616</v>
      </c>
      <c r="BF20" s="387">
        <f t="shared" si="18"/>
        <v>170411.34774799616</v>
      </c>
      <c r="BG20" s="387">
        <f t="shared" si="18"/>
        <v>170411.34774799616</v>
      </c>
      <c r="BH20" s="387">
        <f t="shared" si="18"/>
        <v>170411.34774799616</v>
      </c>
      <c r="BI20" s="387">
        <f t="shared" si="18"/>
        <v>170411.34774799616</v>
      </c>
      <c r="BJ20" s="387">
        <f t="shared" si="18"/>
        <v>170411.34774799616</v>
      </c>
      <c r="BK20" s="387">
        <f t="shared" si="18"/>
        <v>170411.34774799616</v>
      </c>
      <c r="BL20" s="387">
        <f t="shared" si="18"/>
        <v>170411.34774799616</v>
      </c>
      <c r="BM20" s="387">
        <f t="shared" si="18"/>
        <v>170411.34774799616</v>
      </c>
      <c r="BN20" s="387">
        <f t="shared" si="18"/>
        <v>170411.34774799616</v>
      </c>
      <c r="BO20" s="387">
        <f t="shared" si="18"/>
        <v>170411.34774799616</v>
      </c>
      <c r="BP20" s="387">
        <f t="shared" si="18"/>
        <v>173819.5747029561</v>
      </c>
      <c r="BQ20" s="387">
        <f t="shared" si="18"/>
        <v>173819.5747029561</v>
      </c>
      <c r="BR20" s="387">
        <f t="shared" si="18"/>
        <v>173819.5747029561</v>
      </c>
      <c r="BS20" s="387">
        <f t="shared" si="18"/>
        <v>173819.5747029561</v>
      </c>
      <c r="BT20" s="387">
        <f t="shared" si="18"/>
        <v>173819.5747029561</v>
      </c>
      <c r="BU20" s="387">
        <f t="shared" si="18"/>
        <v>173819.5747029561</v>
      </c>
      <c r="BV20" s="387">
        <f t="shared" si="18"/>
        <v>173819.5747029561</v>
      </c>
      <c r="BW20" s="387">
        <f t="shared" ref="BW20:EH20" si="19">BW26*$G$20</f>
        <v>173819.5747029561</v>
      </c>
      <c r="BX20" s="387">
        <f t="shared" si="19"/>
        <v>173819.5747029561</v>
      </c>
      <c r="BY20" s="387">
        <f t="shared" si="19"/>
        <v>173819.5747029561</v>
      </c>
      <c r="BZ20" s="387">
        <f t="shared" si="19"/>
        <v>173819.5747029561</v>
      </c>
      <c r="CA20" s="387">
        <f t="shared" si="19"/>
        <v>173819.5747029561</v>
      </c>
      <c r="CB20" s="387">
        <f t="shared" si="19"/>
        <v>177295.96619701522</v>
      </c>
      <c r="CC20" s="387">
        <f t="shared" si="19"/>
        <v>177295.96619701522</v>
      </c>
      <c r="CD20" s="387">
        <f t="shared" si="19"/>
        <v>177295.96619701522</v>
      </c>
      <c r="CE20" s="387">
        <f t="shared" si="19"/>
        <v>177295.96619701522</v>
      </c>
      <c r="CF20" s="387">
        <f t="shared" si="19"/>
        <v>177295.96619701522</v>
      </c>
      <c r="CG20" s="387">
        <f t="shared" si="19"/>
        <v>177295.96619701522</v>
      </c>
      <c r="CH20" s="387">
        <f t="shared" si="19"/>
        <v>177295.96619701522</v>
      </c>
      <c r="CI20" s="387">
        <f t="shared" si="19"/>
        <v>177295.96619701522</v>
      </c>
      <c r="CJ20" s="387">
        <f t="shared" si="19"/>
        <v>177295.96619701522</v>
      </c>
      <c r="CK20" s="387">
        <f t="shared" si="19"/>
        <v>177295.96619701522</v>
      </c>
      <c r="CL20" s="387">
        <f t="shared" si="19"/>
        <v>177295.96619701522</v>
      </c>
      <c r="CM20" s="387">
        <f t="shared" si="19"/>
        <v>177295.96619701522</v>
      </c>
      <c r="CN20" s="387">
        <f t="shared" si="19"/>
        <v>180841.88552095555</v>
      </c>
      <c r="CO20" s="387">
        <f t="shared" si="19"/>
        <v>180841.88552095555</v>
      </c>
      <c r="CP20" s="387">
        <f t="shared" si="19"/>
        <v>180841.88552095555</v>
      </c>
      <c r="CQ20" s="387">
        <f t="shared" si="19"/>
        <v>180841.88552095555</v>
      </c>
      <c r="CR20" s="387">
        <f t="shared" si="19"/>
        <v>180841.88552095555</v>
      </c>
      <c r="CS20" s="387">
        <f t="shared" si="19"/>
        <v>180841.88552095555</v>
      </c>
      <c r="CT20" s="387">
        <f t="shared" si="19"/>
        <v>180841.88552095555</v>
      </c>
      <c r="CU20" s="387">
        <f t="shared" si="19"/>
        <v>180841.88552095555</v>
      </c>
      <c r="CV20" s="387">
        <f t="shared" si="19"/>
        <v>180841.88552095555</v>
      </c>
      <c r="CW20" s="387">
        <f t="shared" si="19"/>
        <v>180841.88552095555</v>
      </c>
      <c r="CX20" s="387">
        <f t="shared" si="19"/>
        <v>180841.88552095555</v>
      </c>
      <c r="CY20" s="387">
        <f t="shared" si="19"/>
        <v>180841.88552095555</v>
      </c>
      <c r="CZ20" s="387">
        <f t="shared" si="19"/>
        <v>184458.72323137464</v>
      </c>
      <c r="DA20" s="387">
        <f t="shared" si="19"/>
        <v>184458.72323137464</v>
      </c>
      <c r="DB20" s="387">
        <f t="shared" si="19"/>
        <v>184458.72323137464</v>
      </c>
      <c r="DC20" s="387">
        <f t="shared" si="19"/>
        <v>184458.72323137464</v>
      </c>
      <c r="DD20" s="387">
        <f t="shared" si="19"/>
        <v>184458.72323137464</v>
      </c>
      <c r="DE20" s="387">
        <f t="shared" si="19"/>
        <v>184458.72323137464</v>
      </c>
      <c r="DF20" s="387">
        <f t="shared" si="19"/>
        <v>184458.72323137464</v>
      </c>
      <c r="DG20" s="387">
        <f t="shared" si="19"/>
        <v>184458.72323137464</v>
      </c>
      <c r="DH20" s="387">
        <f t="shared" si="19"/>
        <v>184458.72323137464</v>
      </c>
      <c r="DI20" s="387">
        <f t="shared" si="19"/>
        <v>184458.72323137464</v>
      </c>
      <c r="DJ20" s="387">
        <f t="shared" si="19"/>
        <v>184458.72323137464</v>
      </c>
      <c r="DK20" s="387">
        <f t="shared" si="19"/>
        <v>184458.72323137464</v>
      </c>
      <c r="DL20" s="387">
        <f t="shared" si="19"/>
        <v>188147.89769600215</v>
      </c>
      <c r="DM20" s="387">
        <f t="shared" si="19"/>
        <v>188147.89769600215</v>
      </c>
      <c r="DN20" s="387">
        <f t="shared" si="19"/>
        <v>188147.89769600215</v>
      </c>
      <c r="DO20" s="387">
        <f t="shared" si="19"/>
        <v>188147.89769600215</v>
      </c>
      <c r="DP20" s="387">
        <f t="shared" si="19"/>
        <v>188147.89769600215</v>
      </c>
      <c r="DQ20" s="387">
        <f t="shared" si="19"/>
        <v>188147.89769600215</v>
      </c>
      <c r="DR20" s="387">
        <f t="shared" si="19"/>
        <v>188147.89769600215</v>
      </c>
      <c r="DS20" s="387">
        <f t="shared" si="19"/>
        <v>188147.89769600215</v>
      </c>
      <c r="DT20" s="387">
        <f t="shared" si="19"/>
        <v>188147.89769600215</v>
      </c>
      <c r="DU20" s="387">
        <f t="shared" si="19"/>
        <v>188147.89769600215</v>
      </c>
      <c r="DV20" s="387">
        <f t="shared" si="19"/>
        <v>188147.89769600215</v>
      </c>
      <c r="DW20" s="387">
        <f t="shared" si="19"/>
        <v>188147.89769600215</v>
      </c>
      <c r="DX20" s="387">
        <f t="shared" si="19"/>
        <v>191910.85564992219</v>
      </c>
      <c r="DY20" s="387">
        <f t="shared" si="19"/>
        <v>191910.85564992219</v>
      </c>
      <c r="DZ20" s="387">
        <f t="shared" si="19"/>
        <v>191910.85564992219</v>
      </c>
      <c r="EA20" s="387">
        <f t="shared" si="19"/>
        <v>191910.85564992219</v>
      </c>
      <c r="EB20" s="387">
        <f t="shared" si="19"/>
        <v>191910.85564992219</v>
      </c>
      <c r="EC20" s="387">
        <f t="shared" si="19"/>
        <v>191910.85564992219</v>
      </c>
      <c r="ED20" s="387">
        <f t="shared" si="19"/>
        <v>191910.85564992219</v>
      </c>
      <c r="EE20" s="387">
        <f t="shared" si="19"/>
        <v>191910.85564992219</v>
      </c>
      <c r="EF20" s="387">
        <f t="shared" si="19"/>
        <v>191910.85564992219</v>
      </c>
      <c r="EG20" s="387">
        <f t="shared" si="19"/>
        <v>191910.85564992219</v>
      </c>
      <c r="EH20" s="387">
        <f t="shared" si="19"/>
        <v>191910.85564992219</v>
      </c>
      <c r="EI20" s="387">
        <f t="shared" ref="EI20:EK20" si="20">EI26*$G$20</f>
        <v>191910.85564992219</v>
      </c>
      <c r="EJ20" s="387">
        <f t="shared" si="20"/>
        <v>195749.07276292064</v>
      </c>
      <c r="EK20" s="387">
        <f t="shared" si="20"/>
        <v>195749.07276292064</v>
      </c>
      <c r="EL20" s="374"/>
    </row>
    <row r="21" spans="2:142" ht="16.2" x14ac:dyDescent="0.45">
      <c r="B21" s="370"/>
      <c r="C21" s="397" t="s">
        <v>129</v>
      </c>
      <c r="F21" s="385"/>
      <c r="H21" s="398">
        <f>SUM(J21:U21)</f>
        <v>287481.24719999998</v>
      </c>
      <c r="J21" s="399">
        <f>(Summary!$G$39*Summary!$G$40*12)/12*(1+$E$12)^(J$15-1)</f>
        <v>23877.179999999997</v>
      </c>
      <c r="K21" s="399">
        <f>(Summary!$G$39*Summary!$G$40*12)/12*(1+$E$12)^(K$15-1)</f>
        <v>23877.179999999997</v>
      </c>
      <c r="L21" s="399">
        <f>(Summary!$G$39*Summary!$G$40*12)/12*(1+$E$12)^(L$15-1)</f>
        <v>23877.179999999997</v>
      </c>
      <c r="M21" s="399">
        <f>(Summary!$G$39*Summary!$G$40*12)/12*(1+$E$12)^(M$15-1)</f>
        <v>23877.179999999997</v>
      </c>
      <c r="N21" s="399">
        <f>(Summary!$G$39*Summary!$G$40*12)/12*(1+$E$12)^(N$15-1)</f>
        <v>23877.179999999997</v>
      </c>
      <c r="O21" s="399">
        <f>(Summary!$G$39*Summary!$G$40*12)/12*(1+$E$12)^(O$15-1)</f>
        <v>23877.179999999997</v>
      </c>
      <c r="P21" s="399">
        <f>(Summary!$G$39*Summary!$G$40*12)/12*(1+$E$12)^(P$15-1)</f>
        <v>23877.179999999997</v>
      </c>
      <c r="Q21" s="399">
        <f>(Summary!$G$39*Summary!$G$40*12)/12*(1+$E$12)^(Q$15-1)</f>
        <v>23877.179999999997</v>
      </c>
      <c r="R21" s="399">
        <f>(Summary!$G$39*Summary!$G$40*12)/12*(1+$E$12)^(R$15-1)</f>
        <v>23877.179999999997</v>
      </c>
      <c r="S21" s="399">
        <f>(Summary!$G$39*Summary!$G$40*12)/12*(1+$E$12)^(S$15-1)</f>
        <v>23877.179999999997</v>
      </c>
      <c r="T21" s="399">
        <f>(Summary!$G$39*Summary!$G$40*12)/12*(1+$E$12)^(T$15-1)</f>
        <v>24354.723600000001</v>
      </c>
      <c r="U21" s="399">
        <f>(Summary!$G$39*Summary!$G$40*12)/12*(1+$E$12)^(U$15-1)</f>
        <v>24354.723600000001</v>
      </c>
      <c r="V21" s="399">
        <f>(Summary!$G$39*Summary!$G$40*12)/12*(1+$E$12)^(V$15-1)</f>
        <v>24354.723600000001</v>
      </c>
      <c r="W21" s="399">
        <f>(Summary!$G$39*Summary!$G$40*12)/12*(1+$E$12)^(W$15-1)</f>
        <v>24354.723600000001</v>
      </c>
      <c r="X21" s="399">
        <f>(Summary!$G$39*Summary!$G$40*12)/12*(1+$E$12)^(X$15-1)</f>
        <v>24354.723600000001</v>
      </c>
      <c r="Y21" s="399">
        <f>(Summary!$G$39*Summary!$G$40*12)/12*(1+$E$12)^(Y$15-1)</f>
        <v>24354.723600000001</v>
      </c>
      <c r="Z21" s="399">
        <f>(Summary!$G$39*Summary!$G$40*12)/12*(1+$E$12)^(Z$15-1)</f>
        <v>24354.723600000001</v>
      </c>
      <c r="AA21" s="399">
        <f>(Summary!$G$39*Summary!$G$40*12)/12*(1+$E$12)^(AA$15-1)</f>
        <v>24354.723600000001</v>
      </c>
      <c r="AB21" s="399">
        <f>(Summary!$G$39*Summary!$G$40*12)/12*(1+$E$12)^(AB$15-1)</f>
        <v>24354.723600000001</v>
      </c>
      <c r="AC21" s="399">
        <f>(Summary!$G$39*Summary!$G$40*12)/12*(1+$E$12)^(AC$15-1)</f>
        <v>24354.723600000001</v>
      </c>
      <c r="AD21" s="399">
        <f>(Summary!$G$39*Summary!$G$40*12)/12*(1+$E$12)^(AD$15-1)</f>
        <v>24354.723600000001</v>
      </c>
      <c r="AE21" s="399">
        <f>(Summary!$G$39*Summary!$G$40*12)/12*(1+$E$12)^(AE$15-1)</f>
        <v>24354.723600000001</v>
      </c>
      <c r="AF21" s="399">
        <f>(Summary!$G$39*Summary!$G$40*12)/12*(1+$E$12)^(AF$15-1)</f>
        <v>24841.818072000002</v>
      </c>
      <c r="AG21" s="399">
        <f>(Summary!$G$39*Summary!$G$40*12)/12*(1+$E$12)^(AG$15-1)</f>
        <v>24841.818072000002</v>
      </c>
      <c r="AH21" s="399">
        <f>(Summary!$G$39*Summary!$G$40*12)/12*(1+$E$12)^(AH$15-1)</f>
        <v>24841.818072000002</v>
      </c>
      <c r="AI21" s="399">
        <f>(Summary!$G$39*Summary!$G$40*12)/12*(1+$E$12)^(AI$15-1)</f>
        <v>24841.818072000002</v>
      </c>
      <c r="AJ21" s="399">
        <f>(Summary!$G$39*Summary!$G$40*12)/12*(1+$E$12)^(AJ$15-1)</f>
        <v>24841.818072000002</v>
      </c>
      <c r="AK21" s="399">
        <f>(Summary!$G$39*Summary!$G$40*12)/12*(1+$E$12)^(AK$15-1)</f>
        <v>24841.818072000002</v>
      </c>
      <c r="AL21" s="399">
        <f>(Summary!$G$39*Summary!$G$40*12)/12*(1+$E$12)^(AL$15-1)</f>
        <v>24841.818072000002</v>
      </c>
      <c r="AM21" s="399">
        <f>(Summary!$G$39*Summary!$G$40*12)/12*(1+$E$12)^(AM$15-1)</f>
        <v>24841.818072000002</v>
      </c>
      <c r="AN21" s="399">
        <f>(Summary!$G$39*Summary!$G$40*12)/12*(1+$E$12)^(AN$15-1)</f>
        <v>24841.818072000002</v>
      </c>
      <c r="AO21" s="399">
        <f>(Summary!$G$39*Summary!$G$40*12)/12*(1+$E$12)^(AO$15-1)</f>
        <v>24841.818072000002</v>
      </c>
      <c r="AP21" s="399">
        <f>(Summary!$G$39*Summary!$G$40*12)/12*(1+$E$12)^(AP$15-1)</f>
        <v>24841.818072000002</v>
      </c>
      <c r="AQ21" s="399">
        <f>(Summary!$G$39*Summary!$G$40*12)/12*(1+$E$12)^(AQ$15-1)</f>
        <v>24841.818072000002</v>
      </c>
      <c r="AR21" s="399">
        <f>(Summary!$G$39*Summary!$G$40*12)/12*(1+$E$12)^(AR$15-1)</f>
        <v>25338.654433440002</v>
      </c>
      <c r="AS21" s="399">
        <f>(Summary!$G$39*Summary!$G$40*12)/12*(1+$E$12)^(AS$15-1)</f>
        <v>25338.654433440002</v>
      </c>
      <c r="AT21" s="399">
        <f>(Summary!$G$39*Summary!$G$40*12)/12*(1+$E$12)^(AT$15-1)</f>
        <v>25338.654433440002</v>
      </c>
      <c r="AU21" s="399">
        <f>(Summary!$G$39*Summary!$G$40*12)/12*(1+$E$12)^(AU$15-1)</f>
        <v>25338.654433440002</v>
      </c>
      <c r="AV21" s="399">
        <f>(Summary!$G$39*Summary!$G$40*12)/12*(1+$E$12)^(AV$15-1)</f>
        <v>25338.654433440002</v>
      </c>
      <c r="AW21" s="399">
        <f>(Summary!$G$39*Summary!$G$40*12)/12*(1+$E$12)^(AW$15-1)</f>
        <v>25338.654433440002</v>
      </c>
      <c r="AX21" s="399">
        <f>(Summary!$G$39*Summary!$G$40*12)/12*(1+$E$12)^(AX$15-1)</f>
        <v>25338.654433440002</v>
      </c>
      <c r="AY21" s="399">
        <f>(Summary!$G$39*Summary!$G$40*12)/12*(1+$E$12)^(AY$15-1)</f>
        <v>25338.654433440002</v>
      </c>
      <c r="AZ21" s="399">
        <f>(Summary!$G$39*Summary!$G$40*12)/12*(1+$E$12)^(AZ$15-1)</f>
        <v>25338.654433440002</v>
      </c>
      <c r="BA21" s="399">
        <f>(Summary!$G$39*Summary!$G$40*12)/12*(1+$E$12)^(BA$15-1)</f>
        <v>25338.654433440002</v>
      </c>
      <c r="BB21" s="399">
        <f>(Summary!$G$39*Summary!$G$40*12)/12*(1+$E$12)^(BB$15-1)</f>
        <v>25338.654433440002</v>
      </c>
      <c r="BC21" s="399">
        <f>(Summary!$G$39*Summary!$G$40*12)/12*(1+$E$12)^(BC$15-1)</f>
        <v>25338.654433440002</v>
      </c>
      <c r="BD21" s="399">
        <f>(Summary!$G$39*Summary!$G$40*12)/12*(1+$E$12)^(BD$15-1)</f>
        <v>25845.427522108796</v>
      </c>
      <c r="BE21" s="399">
        <f>(Summary!$G$39*Summary!$G$40*12)/12*(1+$E$12)^(BE$15-1)</f>
        <v>25845.427522108796</v>
      </c>
      <c r="BF21" s="399">
        <f>(Summary!$G$39*Summary!$G$40*12)/12*(1+$E$12)^(BF$15-1)</f>
        <v>25845.427522108796</v>
      </c>
      <c r="BG21" s="399">
        <f>(Summary!$G$39*Summary!$G$40*12)/12*(1+$E$12)^(BG$15-1)</f>
        <v>25845.427522108796</v>
      </c>
      <c r="BH21" s="399">
        <f>(Summary!$G$39*Summary!$G$40*12)/12*(1+$E$12)^(BH$15-1)</f>
        <v>25845.427522108796</v>
      </c>
      <c r="BI21" s="399">
        <f>(Summary!$G$39*Summary!$G$40*12)/12*(1+$E$12)^(BI$15-1)</f>
        <v>25845.427522108796</v>
      </c>
      <c r="BJ21" s="399">
        <f>(Summary!$G$39*Summary!$G$40*12)/12*(1+$E$12)^(BJ$15-1)</f>
        <v>25845.427522108796</v>
      </c>
      <c r="BK21" s="399">
        <f>(Summary!$G$39*Summary!$G$40*12)/12*(1+$E$12)^(BK$15-1)</f>
        <v>25845.427522108796</v>
      </c>
      <c r="BL21" s="399">
        <f>(Summary!$G$39*Summary!$G$40*12)/12*(1+$E$12)^(BL$15-1)</f>
        <v>25845.427522108796</v>
      </c>
      <c r="BM21" s="399">
        <f>(Summary!$G$39*Summary!$G$40*12)/12*(1+$E$12)^(BM$15-1)</f>
        <v>25845.427522108796</v>
      </c>
      <c r="BN21" s="399">
        <f>(Summary!$G$39*Summary!$G$40*12)/12*(1+$E$12)^(BN$15-1)</f>
        <v>25845.427522108796</v>
      </c>
      <c r="BO21" s="399">
        <f>(Summary!$G$39*Summary!$G$40*12)/12*(1+$E$12)^(BO$15-1)</f>
        <v>25845.427522108796</v>
      </c>
      <c r="BP21" s="399">
        <f>(Summary!$G$39*Summary!$G$40*12)/12*(1+$E$12)^(BP$15-1)</f>
        <v>26362.336072550974</v>
      </c>
      <c r="BQ21" s="399">
        <f>(Summary!$G$39*Summary!$G$40*12)/12*(1+$E$12)^(BQ$15-1)</f>
        <v>26362.336072550974</v>
      </c>
      <c r="BR21" s="399">
        <f>(Summary!$G$39*Summary!$G$40*12)/12*(1+$E$12)^(BR$15-1)</f>
        <v>26362.336072550974</v>
      </c>
      <c r="BS21" s="399">
        <f>(Summary!$G$39*Summary!$G$40*12)/12*(1+$E$12)^(BS$15-1)</f>
        <v>26362.336072550974</v>
      </c>
      <c r="BT21" s="399">
        <f>(Summary!$G$39*Summary!$G$40*12)/12*(1+$E$12)^(BT$15-1)</f>
        <v>26362.336072550974</v>
      </c>
      <c r="BU21" s="399">
        <f>(Summary!$G$39*Summary!$G$40*12)/12*(1+$E$12)^(BU$15-1)</f>
        <v>26362.336072550974</v>
      </c>
      <c r="BV21" s="399">
        <f>(Summary!$G$39*Summary!$G$40*12)/12*(1+$E$12)^(BV$15-1)</f>
        <v>26362.336072550974</v>
      </c>
      <c r="BW21" s="399">
        <f>(Summary!$G$39*Summary!$G$40*12)/12*(1+$E$12)^(BW$15-1)</f>
        <v>26362.336072550974</v>
      </c>
      <c r="BX21" s="399">
        <f>(Summary!$G$39*Summary!$G$40*12)/12*(1+$E$12)^(BX$15-1)</f>
        <v>26362.336072550974</v>
      </c>
      <c r="BY21" s="399">
        <f>(Summary!$G$39*Summary!$G$40*12)/12*(1+$E$12)^(BY$15-1)</f>
        <v>26362.336072550974</v>
      </c>
      <c r="BZ21" s="399">
        <f>(Summary!$G$39*Summary!$G$40*12)/12*(1+$E$12)^(BZ$15-1)</f>
        <v>26362.336072550974</v>
      </c>
      <c r="CA21" s="399">
        <f>(Summary!$G$39*Summary!$G$40*12)/12*(1+$E$12)^(CA$15-1)</f>
        <v>26362.336072550974</v>
      </c>
      <c r="CB21" s="399">
        <f>(Summary!$G$39*Summary!$G$40*12)/12*(1+$E$12)^(CB$15-1)</f>
        <v>26889.582794001995</v>
      </c>
      <c r="CC21" s="399">
        <f>(Summary!$G$39*Summary!$G$40*12)/12*(1+$E$12)^(CC$15-1)</f>
        <v>26889.582794001995</v>
      </c>
      <c r="CD21" s="399">
        <f>(Summary!$G$39*Summary!$G$40*12)/12*(1+$E$12)^(CD$15-1)</f>
        <v>26889.582794001995</v>
      </c>
      <c r="CE21" s="399">
        <f>(Summary!$G$39*Summary!$G$40*12)/12*(1+$E$12)^(CE$15-1)</f>
        <v>26889.582794001995</v>
      </c>
      <c r="CF21" s="399">
        <f>(Summary!$G$39*Summary!$G$40*12)/12*(1+$E$12)^(CF$15-1)</f>
        <v>26889.582794001995</v>
      </c>
      <c r="CG21" s="399">
        <f>(Summary!$G$39*Summary!$G$40*12)/12*(1+$E$12)^(CG$15-1)</f>
        <v>26889.582794001995</v>
      </c>
      <c r="CH21" s="399">
        <f>(Summary!$G$39*Summary!$G$40*12)/12*(1+$E$12)^(CH$15-1)</f>
        <v>26889.582794001995</v>
      </c>
      <c r="CI21" s="399">
        <f>(Summary!$G$39*Summary!$G$40*12)/12*(1+$E$12)^(CI$15-1)</f>
        <v>26889.582794001995</v>
      </c>
      <c r="CJ21" s="399">
        <f>(Summary!$G$39*Summary!$G$40*12)/12*(1+$E$12)^(CJ$15-1)</f>
        <v>26889.582794001995</v>
      </c>
      <c r="CK21" s="399">
        <f>(Summary!$G$39*Summary!$G$40*12)/12*(1+$E$12)^(CK$15-1)</f>
        <v>26889.582794001995</v>
      </c>
      <c r="CL21" s="399">
        <f>(Summary!$G$39*Summary!$G$40*12)/12*(1+$E$12)^(CL$15-1)</f>
        <v>26889.582794001995</v>
      </c>
      <c r="CM21" s="399">
        <f>(Summary!$G$39*Summary!$G$40*12)/12*(1+$E$12)^(CM$15-1)</f>
        <v>26889.582794001995</v>
      </c>
      <c r="CN21" s="399">
        <f>(Summary!$G$39*Summary!$G$40*12)/12*(1+$E$12)^(CN$15-1)</f>
        <v>27427.374449882034</v>
      </c>
      <c r="CO21" s="399">
        <f>(Summary!$G$39*Summary!$G$40*12)/12*(1+$E$12)^(CO$15-1)</f>
        <v>27427.374449882034</v>
      </c>
      <c r="CP21" s="399">
        <f>(Summary!$G$39*Summary!$G$40*12)/12*(1+$E$12)^(CP$15-1)</f>
        <v>27427.374449882034</v>
      </c>
      <c r="CQ21" s="399">
        <f>(Summary!$G$39*Summary!$G$40*12)/12*(1+$E$12)^(CQ$15-1)</f>
        <v>27427.374449882034</v>
      </c>
      <c r="CR21" s="399">
        <f>(Summary!$G$39*Summary!$G$40*12)/12*(1+$E$12)^(CR$15-1)</f>
        <v>27427.374449882034</v>
      </c>
      <c r="CS21" s="399">
        <f>(Summary!$G$39*Summary!$G$40*12)/12*(1+$E$12)^(CS$15-1)</f>
        <v>27427.374449882034</v>
      </c>
      <c r="CT21" s="399">
        <f>(Summary!$G$39*Summary!$G$40*12)/12*(1+$E$12)^(CT$15-1)</f>
        <v>27427.374449882034</v>
      </c>
      <c r="CU21" s="399">
        <f>(Summary!$G$39*Summary!$G$40*12)/12*(1+$E$12)^(CU$15-1)</f>
        <v>27427.374449882034</v>
      </c>
      <c r="CV21" s="399">
        <f>(Summary!$G$39*Summary!$G$40*12)/12*(1+$E$12)^(CV$15-1)</f>
        <v>27427.374449882034</v>
      </c>
      <c r="CW21" s="399">
        <f>(Summary!$G$39*Summary!$G$40*12)/12*(1+$E$12)^(CW$15-1)</f>
        <v>27427.374449882034</v>
      </c>
      <c r="CX21" s="399">
        <f>(Summary!$G$39*Summary!$G$40*12)/12*(1+$E$12)^(CX$15-1)</f>
        <v>27427.374449882034</v>
      </c>
      <c r="CY21" s="399">
        <f>(Summary!$G$39*Summary!$G$40*12)/12*(1+$E$12)^(CY$15-1)</f>
        <v>27427.374449882034</v>
      </c>
      <c r="CZ21" s="399">
        <f>(Summary!$G$39*Summary!$G$40*12)/12*(1+$E$12)^(CZ$15-1)</f>
        <v>27975.92193887967</v>
      </c>
      <c r="DA21" s="399">
        <f>(Summary!$G$39*Summary!$G$40*12)/12*(1+$E$12)^(DA$15-1)</f>
        <v>27975.92193887967</v>
      </c>
      <c r="DB21" s="399">
        <f>(Summary!$G$39*Summary!$G$40*12)/12*(1+$E$12)^(DB$15-1)</f>
        <v>27975.92193887967</v>
      </c>
      <c r="DC21" s="399">
        <f>(Summary!$G$39*Summary!$G$40*12)/12*(1+$E$12)^(DC$15-1)</f>
        <v>27975.92193887967</v>
      </c>
      <c r="DD21" s="399">
        <f>(Summary!$G$39*Summary!$G$40*12)/12*(1+$E$12)^(DD$15-1)</f>
        <v>27975.92193887967</v>
      </c>
      <c r="DE21" s="399">
        <f>(Summary!$G$39*Summary!$G$40*12)/12*(1+$E$12)^(DE$15-1)</f>
        <v>27975.92193887967</v>
      </c>
      <c r="DF21" s="399">
        <f>(Summary!$G$39*Summary!$G$40*12)/12*(1+$E$12)^(DF$15-1)</f>
        <v>27975.92193887967</v>
      </c>
      <c r="DG21" s="399">
        <f>(Summary!$G$39*Summary!$G$40*12)/12*(1+$E$12)^(DG$15-1)</f>
        <v>27975.92193887967</v>
      </c>
      <c r="DH21" s="399">
        <f>(Summary!$G$39*Summary!$G$40*12)/12*(1+$E$12)^(DH$15-1)</f>
        <v>27975.92193887967</v>
      </c>
      <c r="DI21" s="399">
        <f>(Summary!$G$39*Summary!$G$40*12)/12*(1+$E$12)^(DI$15-1)</f>
        <v>27975.92193887967</v>
      </c>
      <c r="DJ21" s="399">
        <f>(Summary!$G$39*Summary!$G$40*12)/12*(1+$E$12)^(DJ$15-1)</f>
        <v>27975.92193887967</v>
      </c>
      <c r="DK21" s="399">
        <f>(Summary!$G$39*Summary!$G$40*12)/12*(1+$E$12)^(DK$15-1)</f>
        <v>27975.92193887967</v>
      </c>
      <c r="DL21" s="399">
        <f>(Summary!$G$39*Summary!$G$40*12)/12*(1+$E$12)^(DL$15-1)</f>
        <v>28535.440377657269</v>
      </c>
      <c r="DM21" s="399">
        <f>(Summary!$G$39*Summary!$G$40*12)/12*(1+$E$12)^(DM$15-1)</f>
        <v>28535.440377657269</v>
      </c>
      <c r="DN21" s="399">
        <f>(Summary!$G$39*Summary!$G$40*12)/12*(1+$E$12)^(DN$15-1)</f>
        <v>28535.440377657269</v>
      </c>
      <c r="DO21" s="399">
        <f>(Summary!$G$39*Summary!$G$40*12)/12*(1+$E$12)^(DO$15-1)</f>
        <v>28535.440377657269</v>
      </c>
      <c r="DP21" s="399">
        <f>(Summary!$G$39*Summary!$G$40*12)/12*(1+$E$12)^(DP$15-1)</f>
        <v>28535.440377657269</v>
      </c>
      <c r="DQ21" s="399">
        <f>(Summary!$G$39*Summary!$G$40*12)/12*(1+$E$12)^(DQ$15-1)</f>
        <v>28535.440377657269</v>
      </c>
      <c r="DR21" s="399">
        <f>(Summary!$G$39*Summary!$G$40*12)/12*(1+$E$12)^(DR$15-1)</f>
        <v>28535.440377657269</v>
      </c>
      <c r="DS21" s="399">
        <f>(Summary!$G$39*Summary!$G$40*12)/12*(1+$E$12)^(DS$15-1)</f>
        <v>28535.440377657269</v>
      </c>
      <c r="DT21" s="399">
        <f>(Summary!$G$39*Summary!$G$40*12)/12*(1+$E$12)^(DT$15-1)</f>
        <v>28535.440377657269</v>
      </c>
      <c r="DU21" s="399">
        <f>(Summary!$G$39*Summary!$G$40*12)/12*(1+$E$12)^(DU$15-1)</f>
        <v>28535.440377657269</v>
      </c>
      <c r="DV21" s="399">
        <f>(Summary!$G$39*Summary!$G$40*12)/12*(1+$E$12)^(DV$15-1)</f>
        <v>28535.440377657269</v>
      </c>
      <c r="DW21" s="399">
        <f>(Summary!$G$39*Summary!$G$40*12)/12*(1+$E$12)^(DW$15-1)</f>
        <v>28535.440377657269</v>
      </c>
      <c r="DX21" s="399">
        <f>(Summary!$G$39*Summary!$G$40*12)/12*(1+$E$12)^(DX$15-1)</f>
        <v>29106.149185210412</v>
      </c>
      <c r="DY21" s="399">
        <f>(Summary!$G$39*Summary!$G$40*12)/12*(1+$E$12)^(DY$15-1)</f>
        <v>29106.149185210412</v>
      </c>
      <c r="DZ21" s="399">
        <f>(Summary!$G$39*Summary!$G$40*12)/12*(1+$E$12)^(DZ$15-1)</f>
        <v>29106.149185210412</v>
      </c>
      <c r="EA21" s="399">
        <f>(Summary!$G$39*Summary!$G$40*12)/12*(1+$E$12)^(EA$15-1)</f>
        <v>29106.149185210412</v>
      </c>
      <c r="EB21" s="399">
        <f>(Summary!$G$39*Summary!$G$40*12)/12*(1+$E$12)^(EB$15-1)</f>
        <v>29106.149185210412</v>
      </c>
      <c r="EC21" s="399">
        <f>(Summary!$G$39*Summary!$G$40*12)/12*(1+$E$12)^(EC$15-1)</f>
        <v>29106.149185210412</v>
      </c>
      <c r="ED21" s="399">
        <f>(Summary!$G$39*Summary!$G$40*12)/12*(1+$E$12)^(ED$15-1)</f>
        <v>29106.149185210412</v>
      </c>
      <c r="EE21" s="399">
        <f>(Summary!$G$39*Summary!$G$40*12)/12*(1+$E$12)^(EE$15-1)</f>
        <v>29106.149185210412</v>
      </c>
      <c r="EF21" s="399">
        <f>(Summary!$G$39*Summary!$G$40*12)/12*(1+$E$12)^(EF$15-1)</f>
        <v>29106.149185210412</v>
      </c>
      <c r="EG21" s="399">
        <f>(Summary!$G$39*Summary!$G$40*12)/12*(1+$E$12)^(EG$15-1)</f>
        <v>29106.149185210412</v>
      </c>
      <c r="EH21" s="399">
        <f>(Summary!$G$39*Summary!$G$40*12)/12*(1+$E$12)^(EH$15-1)</f>
        <v>29106.149185210412</v>
      </c>
      <c r="EI21" s="399">
        <f>(Summary!$G$39*Summary!$G$40*12)/12*(1+$E$12)^(EI$15-1)</f>
        <v>29106.149185210412</v>
      </c>
      <c r="EJ21" s="399">
        <f>(Summary!$G$39*Summary!$G$40*12)/12*(1+$E$12)^(EJ$15-1)</f>
        <v>29688.272168914624</v>
      </c>
      <c r="EK21" s="399">
        <f>(Summary!$G$39*Summary!$G$40*12)/12*(1+$E$12)^(EK$15-1)</f>
        <v>29688.272168914624</v>
      </c>
      <c r="EL21" s="400"/>
    </row>
    <row r="22" spans="2:142" ht="14.4" x14ac:dyDescent="0.3">
      <c r="B22" s="370"/>
      <c r="C22" t="s">
        <v>121</v>
      </c>
      <c r="F22" s="385"/>
      <c r="H22" s="131">
        <f>SUM(H19:H21)</f>
        <v>9056731.592189217</v>
      </c>
      <c r="J22" s="393">
        <f t="shared" ref="J22:BU22" si="21">SUM(J19:J21)</f>
        <v>181310.92416</v>
      </c>
      <c r="K22" s="393">
        <f t="shared" si="21"/>
        <v>181310.92416</v>
      </c>
      <c r="L22" s="393">
        <f t="shared" si="21"/>
        <v>181310.92416</v>
      </c>
      <c r="M22" s="393">
        <f t="shared" si="21"/>
        <v>940421.69890354713</v>
      </c>
      <c r="N22" s="393">
        <f t="shared" si="21"/>
        <v>940421.69890354713</v>
      </c>
      <c r="O22" s="393">
        <f t="shared" si="21"/>
        <v>940421.69890354713</v>
      </c>
      <c r="P22" s="393">
        <f t="shared" si="21"/>
        <v>940421.69890354713</v>
      </c>
      <c r="Q22" s="393">
        <f t="shared" si="21"/>
        <v>940421.69890354713</v>
      </c>
      <c r="R22" s="393">
        <f t="shared" si="21"/>
        <v>940421.69890354713</v>
      </c>
      <c r="S22" s="393">
        <f t="shared" si="21"/>
        <v>940421.69890354713</v>
      </c>
      <c r="T22" s="393">
        <f t="shared" si="21"/>
        <v>964923.46369219478</v>
      </c>
      <c r="U22" s="393">
        <f t="shared" si="21"/>
        <v>964923.46369219478</v>
      </c>
      <c r="V22" s="393">
        <f t="shared" si="21"/>
        <v>964923.46369219478</v>
      </c>
      <c r="W22" s="393">
        <f t="shared" si="21"/>
        <v>964923.46369219478</v>
      </c>
      <c r="X22" s="393">
        <f t="shared" si="21"/>
        <v>964923.46369219478</v>
      </c>
      <c r="Y22" s="393">
        <f t="shared" si="21"/>
        <v>964923.46369219478</v>
      </c>
      <c r="Z22" s="393">
        <f t="shared" si="21"/>
        <v>964923.46369219478</v>
      </c>
      <c r="AA22" s="393">
        <f t="shared" si="21"/>
        <v>964923.46369219478</v>
      </c>
      <c r="AB22" s="393">
        <f t="shared" si="21"/>
        <v>964923.46369219478</v>
      </c>
      <c r="AC22" s="393">
        <f t="shared" si="21"/>
        <v>964923.46369219478</v>
      </c>
      <c r="AD22" s="393">
        <f t="shared" si="21"/>
        <v>964923.46369219478</v>
      </c>
      <c r="AE22" s="393">
        <f t="shared" si="21"/>
        <v>964923.46369219478</v>
      </c>
      <c r="AF22" s="393">
        <f t="shared" si="21"/>
        <v>990071.8303739063</v>
      </c>
      <c r="AG22" s="393">
        <f t="shared" si="21"/>
        <v>990071.8303739063</v>
      </c>
      <c r="AH22" s="393">
        <f t="shared" si="21"/>
        <v>990071.8303739063</v>
      </c>
      <c r="AI22" s="393">
        <f t="shared" si="21"/>
        <v>990071.8303739063</v>
      </c>
      <c r="AJ22" s="393">
        <f t="shared" si="21"/>
        <v>990071.8303739063</v>
      </c>
      <c r="AK22" s="393">
        <f t="shared" si="21"/>
        <v>990071.8303739063</v>
      </c>
      <c r="AL22" s="393">
        <f t="shared" si="21"/>
        <v>990071.8303739063</v>
      </c>
      <c r="AM22" s="393">
        <f t="shared" si="21"/>
        <v>990071.8303739063</v>
      </c>
      <c r="AN22" s="393">
        <f t="shared" si="21"/>
        <v>990071.8303739063</v>
      </c>
      <c r="AO22" s="393">
        <f t="shared" si="21"/>
        <v>990071.8303739063</v>
      </c>
      <c r="AP22" s="393">
        <f t="shared" si="21"/>
        <v>990071.8303739063</v>
      </c>
      <c r="AQ22" s="393">
        <f t="shared" si="21"/>
        <v>990071.8303739063</v>
      </c>
      <c r="AR22" s="393">
        <f t="shared" si="21"/>
        <v>1015884.0365679682</v>
      </c>
      <c r="AS22" s="393">
        <f t="shared" si="21"/>
        <v>1015884.0365679682</v>
      </c>
      <c r="AT22" s="393">
        <f t="shared" si="21"/>
        <v>1015884.0365679682</v>
      </c>
      <c r="AU22" s="393">
        <f t="shared" si="21"/>
        <v>1015884.0365679682</v>
      </c>
      <c r="AV22" s="393">
        <f t="shared" si="21"/>
        <v>1015884.0365679682</v>
      </c>
      <c r="AW22" s="393">
        <f t="shared" si="21"/>
        <v>1015884.0365679682</v>
      </c>
      <c r="AX22" s="393">
        <f t="shared" si="21"/>
        <v>1015884.0365679682</v>
      </c>
      <c r="AY22" s="393">
        <f t="shared" si="21"/>
        <v>1015884.0365679682</v>
      </c>
      <c r="AZ22" s="393">
        <f t="shared" si="21"/>
        <v>1015884.0365679682</v>
      </c>
      <c r="BA22" s="393">
        <f t="shared" si="21"/>
        <v>1015884.0365679682</v>
      </c>
      <c r="BB22" s="393">
        <f t="shared" si="21"/>
        <v>1015884.0365679682</v>
      </c>
      <c r="BC22" s="393">
        <f t="shared" si="21"/>
        <v>1015884.0365679682</v>
      </c>
      <c r="BD22" s="393">
        <f t="shared" si="21"/>
        <v>1042377.7830495423</v>
      </c>
      <c r="BE22" s="393">
        <f t="shared" si="21"/>
        <v>1042377.7830495423</v>
      </c>
      <c r="BF22" s="393">
        <f t="shared" si="21"/>
        <v>1042377.7830495423</v>
      </c>
      <c r="BG22" s="393">
        <f t="shared" si="21"/>
        <v>1042377.7830495423</v>
      </c>
      <c r="BH22" s="393">
        <f t="shared" si="21"/>
        <v>1042377.7830495423</v>
      </c>
      <c r="BI22" s="393">
        <f t="shared" si="21"/>
        <v>1042377.7830495423</v>
      </c>
      <c r="BJ22" s="393">
        <f t="shared" si="21"/>
        <v>1042377.7830495423</v>
      </c>
      <c r="BK22" s="393">
        <f t="shared" si="21"/>
        <v>1042377.7830495423</v>
      </c>
      <c r="BL22" s="393">
        <f t="shared" si="21"/>
        <v>1042377.7830495423</v>
      </c>
      <c r="BM22" s="393">
        <f t="shared" si="21"/>
        <v>1042377.7830495423</v>
      </c>
      <c r="BN22" s="393">
        <f t="shared" si="21"/>
        <v>1042377.7830495423</v>
      </c>
      <c r="BO22" s="393">
        <f t="shared" si="21"/>
        <v>1042377.7830495423</v>
      </c>
      <c r="BP22" s="393">
        <f t="shared" si="21"/>
        <v>1069571.2462688792</v>
      </c>
      <c r="BQ22" s="393">
        <f t="shared" si="21"/>
        <v>1069571.2462688792</v>
      </c>
      <c r="BR22" s="393">
        <f t="shared" si="21"/>
        <v>1069571.2462688792</v>
      </c>
      <c r="BS22" s="393">
        <f t="shared" si="21"/>
        <v>1069571.2462688792</v>
      </c>
      <c r="BT22" s="393">
        <f t="shared" si="21"/>
        <v>1069571.2462688792</v>
      </c>
      <c r="BU22" s="393">
        <f t="shared" si="21"/>
        <v>1069571.2462688792</v>
      </c>
      <c r="BV22" s="393">
        <f t="shared" ref="BV22:EG22" si="22">SUM(BV19:BV21)</f>
        <v>1069571.2462688792</v>
      </c>
      <c r="BW22" s="393">
        <f t="shared" si="22"/>
        <v>1069571.2462688792</v>
      </c>
      <c r="BX22" s="393">
        <f t="shared" si="22"/>
        <v>1069571.2462688792</v>
      </c>
      <c r="BY22" s="393">
        <f t="shared" si="22"/>
        <v>1069571.2462688792</v>
      </c>
      <c r="BZ22" s="393">
        <f t="shared" si="22"/>
        <v>1069571.2462688792</v>
      </c>
      <c r="CA22" s="393">
        <f t="shared" si="22"/>
        <v>1069571.2462688792</v>
      </c>
      <c r="CB22" s="393">
        <f t="shared" si="22"/>
        <v>1097483.091210457</v>
      </c>
      <c r="CC22" s="393">
        <f t="shared" si="22"/>
        <v>1097483.091210457</v>
      </c>
      <c r="CD22" s="393">
        <f t="shared" si="22"/>
        <v>1097483.091210457</v>
      </c>
      <c r="CE22" s="393">
        <f t="shared" si="22"/>
        <v>1097483.091210457</v>
      </c>
      <c r="CF22" s="393">
        <f t="shared" si="22"/>
        <v>1097483.091210457</v>
      </c>
      <c r="CG22" s="393">
        <f t="shared" si="22"/>
        <v>1097483.091210457</v>
      </c>
      <c r="CH22" s="393">
        <f t="shared" si="22"/>
        <v>1097483.091210457</v>
      </c>
      <c r="CI22" s="393">
        <f t="shared" si="22"/>
        <v>1097483.091210457</v>
      </c>
      <c r="CJ22" s="393">
        <f t="shared" si="22"/>
        <v>1097483.091210457</v>
      </c>
      <c r="CK22" s="393">
        <f t="shared" si="22"/>
        <v>1097483.091210457</v>
      </c>
      <c r="CL22" s="393">
        <f t="shared" si="22"/>
        <v>1097483.091210457</v>
      </c>
      <c r="CM22" s="393">
        <f t="shared" si="22"/>
        <v>1097483.091210457</v>
      </c>
      <c r="CN22" s="393">
        <f t="shared" si="22"/>
        <v>1126132.4846013119</v>
      </c>
      <c r="CO22" s="393">
        <f t="shared" si="22"/>
        <v>1126132.4846013119</v>
      </c>
      <c r="CP22" s="393">
        <f t="shared" si="22"/>
        <v>1126132.4846013119</v>
      </c>
      <c r="CQ22" s="393">
        <f t="shared" si="22"/>
        <v>1126132.4846013119</v>
      </c>
      <c r="CR22" s="393">
        <f t="shared" si="22"/>
        <v>1126132.4846013119</v>
      </c>
      <c r="CS22" s="393">
        <f t="shared" si="22"/>
        <v>1126132.4846013119</v>
      </c>
      <c r="CT22" s="393">
        <f t="shared" si="22"/>
        <v>1126132.4846013119</v>
      </c>
      <c r="CU22" s="393">
        <f t="shared" si="22"/>
        <v>1126132.4846013119</v>
      </c>
      <c r="CV22" s="393">
        <f t="shared" si="22"/>
        <v>1126132.4846013119</v>
      </c>
      <c r="CW22" s="393">
        <f t="shared" si="22"/>
        <v>1126132.4846013119</v>
      </c>
      <c r="CX22" s="393">
        <f t="shared" si="22"/>
        <v>1126132.4846013119</v>
      </c>
      <c r="CY22" s="393">
        <f t="shared" si="22"/>
        <v>1126132.4846013119</v>
      </c>
      <c r="CZ22" s="393">
        <f t="shared" si="22"/>
        <v>1155539.1084780667</v>
      </c>
      <c r="DA22" s="393">
        <f t="shared" si="22"/>
        <v>1155539.1084780667</v>
      </c>
      <c r="DB22" s="393">
        <f t="shared" si="22"/>
        <v>1155539.1084780667</v>
      </c>
      <c r="DC22" s="393">
        <f t="shared" si="22"/>
        <v>1155539.1084780667</v>
      </c>
      <c r="DD22" s="393">
        <f t="shared" si="22"/>
        <v>1155539.1084780667</v>
      </c>
      <c r="DE22" s="393">
        <f t="shared" si="22"/>
        <v>1155539.1084780667</v>
      </c>
      <c r="DF22" s="393">
        <f t="shared" si="22"/>
        <v>1155539.1084780667</v>
      </c>
      <c r="DG22" s="393">
        <f t="shared" si="22"/>
        <v>1155539.1084780667</v>
      </c>
      <c r="DH22" s="393">
        <f t="shared" si="22"/>
        <v>1155539.1084780667</v>
      </c>
      <c r="DI22" s="393">
        <f t="shared" si="22"/>
        <v>1155539.1084780667</v>
      </c>
      <c r="DJ22" s="393">
        <f t="shared" si="22"/>
        <v>1155539.1084780667</v>
      </c>
      <c r="DK22" s="393">
        <f t="shared" si="22"/>
        <v>1155539.1084780667</v>
      </c>
      <c r="DL22" s="393">
        <f t="shared" si="22"/>
        <v>1185723.1741224369</v>
      </c>
      <c r="DM22" s="393">
        <f t="shared" si="22"/>
        <v>1185723.1741224369</v>
      </c>
      <c r="DN22" s="393">
        <f t="shared" si="22"/>
        <v>1185723.1741224369</v>
      </c>
      <c r="DO22" s="393">
        <f t="shared" si="22"/>
        <v>1185723.1741224369</v>
      </c>
      <c r="DP22" s="393">
        <f t="shared" si="22"/>
        <v>1185723.1741224369</v>
      </c>
      <c r="DQ22" s="393">
        <f t="shared" si="22"/>
        <v>1185723.1741224369</v>
      </c>
      <c r="DR22" s="393">
        <f t="shared" si="22"/>
        <v>1185723.1741224369</v>
      </c>
      <c r="DS22" s="393">
        <f t="shared" si="22"/>
        <v>1185723.1741224369</v>
      </c>
      <c r="DT22" s="393">
        <f t="shared" si="22"/>
        <v>1185723.1741224369</v>
      </c>
      <c r="DU22" s="393">
        <f t="shared" si="22"/>
        <v>1185723.1741224369</v>
      </c>
      <c r="DV22" s="393">
        <f t="shared" si="22"/>
        <v>1185723.1741224369</v>
      </c>
      <c r="DW22" s="393">
        <f t="shared" si="22"/>
        <v>1185723.1741224369</v>
      </c>
      <c r="DX22" s="393">
        <f t="shared" si="22"/>
        <v>1216705.4363752515</v>
      </c>
      <c r="DY22" s="393">
        <f t="shared" si="22"/>
        <v>1216705.4363752515</v>
      </c>
      <c r="DZ22" s="393">
        <f t="shared" si="22"/>
        <v>1216705.4363752515</v>
      </c>
      <c r="EA22" s="393">
        <f t="shared" si="22"/>
        <v>1216705.4363752515</v>
      </c>
      <c r="EB22" s="393">
        <f t="shared" si="22"/>
        <v>1216705.4363752515</v>
      </c>
      <c r="EC22" s="393">
        <f t="shared" si="22"/>
        <v>1216705.4363752515</v>
      </c>
      <c r="ED22" s="393">
        <f t="shared" si="22"/>
        <v>1216705.4363752515</v>
      </c>
      <c r="EE22" s="393">
        <f t="shared" si="22"/>
        <v>1216705.4363752515</v>
      </c>
      <c r="EF22" s="393">
        <f t="shared" si="22"/>
        <v>1216705.4363752515</v>
      </c>
      <c r="EG22" s="393">
        <f t="shared" si="22"/>
        <v>1216705.4363752515</v>
      </c>
      <c r="EH22" s="393">
        <f t="shared" ref="EH22:EK22" si="23">SUM(EH19:EH21)</f>
        <v>1216705.4363752515</v>
      </c>
      <c r="EI22" s="393">
        <f t="shared" si="23"/>
        <v>1216705.4363752515</v>
      </c>
      <c r="EJ22" s="393">
        <f t="shared" si="23"/>
        <v>1248507.2083393075</v>
      </c>
      <c r="EK22" s="393">
        <f t="shared" si="23"/>
        <v>1248507.2083393075</v>
      </c>
      <c r="EL22" s="400"/>
    </row>
    <row r="23" spans="2:142" ht="16.2" x14ac:dyDescent="0.45">
      <c r="B23" s="370"/>
      <c r="C23" s="397" t="s">
        <v>122</v>
      </c>
      <c r="G23" s="382">
        <v>0</v>
      </c>
      <c r="H23" s="401">
        <f>+-G23*H22</f>
        <v>0</v>
      </c>
      <c r="J23" s="399">
        <f t="shared" ref="J23:BU23" si="24">-$G$23*J22</f>
        <v>0</v>
      </c>
      <c r="K23" s="399">
        <f t="shared" si="24"/>
        <v>0</v>
      </c>
      <c r="L23" s="399">
        <f t="shared" si="24"/>
        <v>0</v>
      </c>
      <c r="M23" s="399">
        <f t="shared" si="24"/>
        <v>0</v>
      </c>
      <c r="N23" s="399">
        <f t="shared" si="24"/>
        <v>0</v>
      </c>
      <c r="O23" s="399">
        <f t="shared" si="24"/>
        <v>0</v>
      </c>
      <c r="P23" s="399">
        <f t="shared" si="24"/>
        <v>0</v>
      </c>
      <c r="Q23" s="399">
        <f t="shared" si="24"/>
        <v>0</v>
      </c>
      <c r="R23" s="399">
        <f t="shared" si="24"/>
        <v>0</v>
      </c>
      <c r="S23" s="399">
        <f t="shared" si="24"/>
        <v>0</v>
      </c>
      <c r="T23" s="399">
        <f t="shared" si="24"/>
        <v>0</v>
      </c>
      <c r="U23" s="399">
        <f t="shared" si="24"/>
        <v>0</v>
      </c>
      <c r="V23" s="399">
        <f t="shared" si="24"/>
        <v>0</v>
      </c>
      <c r="W23" s="399">
        <f t="shared" si="24"/>
        <v>0</v>
      </c>
      <c r="X23" s="399">
        <f t="shared" si="24"/>
        <v>0</v>
      </c>
      <c r="Y23" s="399">
        <f t="shared" si="24"/>
        <v>0</v>
      </c>
      <c r="Z23" s="399">
        <f t="shared" si="24"/>
        <v>0</v>
      </c>
      <c r="AA23" s="399">
        <f t="shared" si="24"/>
        <v>0</v>
      </c>
      <c r="AB23" s="399">
        <f t="shared" si="24"/>
        <v>0</v>
      </c>
      <c r="AC23" s="399">
        <f t="shared" si="24"/>
        <v>0</v>
      </c>
      <c r="AD23" s="399">
        <f t="shared" si="24"/>
        <v>0</v>
      </c>
      <c r="AE23" s="399">
        <f t="shared" si="24"/>
        <v>0</v>
      </c>
      <c r="AF23" s="399">
        <f t="shared" si="24"/>
        <v>0</v>
      </c>
      <c r="AG23" s="399">
        <f t="shared" si="24"/>
        <v>0</v>
      </c>
      <c r="AH23" s="399">
        <f t="shared" si="24"/>
        <v>0</v>
      </c>
      <c r="AI23" s="399">
        <f t="shared" si="24"/>
        <v>0</v>
      </c>
      <c r="AJ23" s="399">
        <f t="shared" si="24"/>
        <v>0</v>
      </c>
      <c r="AK23" s="399">
        <f t="shared" si="24"/>
        <v>0</v>
      </c>
      <c r="AL23" s="399">
        <f t="shared" si="24"/>
        <v>0</v>
      </c>
      <c r="AM23" s="399">
        <f t="shared" si="24"/>
        <v>0</v>
      </c>
      <c r="AN23" s="399">
        <f t="shared" si="24"/>
        <v>0</v>
      </c>
      <c r="AO23" s="399">
        <f t="shared" si="24"/>
        <v>0</v>
      </c>
      <c r="AP23" s="399">
        <f t="shared" si="24"/>
        <v>0</v>
      </c>
      <c r="AQ23" s="399">
        <f t="shared" si="24"/>
        <v>0</v>
      </c>
      <c r="AR23" s="399">
        <f t="shared" si="24"/>
        <v>0</v>
      </c>
      <c r="AS23" s="399">
        <f t="shared" si="24"/>
        <v>0</v>
      </c>
      <c r="AT23" s="399">
        <f t="shared" si="24"/>
        <v>0</v>
      </c>
      <c r="AU23" s="399">
        <f t="shared" si="24"/>
        <v>0</v>
      </c>
      <c r="AV23" s="399">
        <f t="shared" si="24"/>
        <v>0</v>
      </c>
      <c r="AW23" s="399">
        <f t="shared" si="24"/>
        <v>0</v>
      </c>
      <c r="AX23" s="399">
        <f t="shared" si="24"/>
        <v>0</v>
      </c>
      <c r="AY23" s="399">
        <f t="shared" si="24"/>
        <v>0</v>
      </c>
      <c r="AZ23" s="399">
        <f t="shared" si="24"/>
        <v>0</v>
      </c>
      <c r="BA23" s="399">
        <f t="shared" si="24"/>
        <v>0</v>
      </c>
      <c r="BB23" s="399">
        <f t="shared" si="24"/>
        <v>0</v>
      </c>
      <c r="BC23" s="399">
        <f t="shared" si="24"/>
        <v>0</v>
      </c>
      <c r="BD23" s="399">
        <f t="shared" si="24"/>
        <v>0</v>
      </c>
      <c r="BE23" s="399">
        <f t="shared" si="24"/>
        <v>0</v>
      </c>
      <c r="BF23" s="399">
        <f t="shared" si="24"/>
        <v>0</v>
      </c>
      <c r="BG23" s="399">
        <f t="shared" si="24"/>
        <v>0</v>
      </c>
      <c r="BH23" s="399">
        <f t="shared" si="24"/>
        <v>0</v>
      </c>
      <c r="BI23" s="399">
        <f t="shared" si="24"/>
        <v>0</v>
      </c>
      <c r="BJ23" s="399">
        <f t="shared" si="24"/>
        <v>0</v>
      </c>
      <c r="BK23" s="399">
        <f t="shared" si="24"/>
        <v>0</v>
      </c>
      <c r="BL23" s="399">
        <f t="shared" si="24"/>
        <v>0</v>
      </c>
      <c r="BM23" s="399">
        <f t="shared" si="24"/>
        <v>0</v>
      </c>
      <c r="BN23" s="399">
        <f t="shared" si="24"/>
        <v>0</v>
      </c>
      <c r="BO23" s="399">
        <f t="shared" si="24"/>
        <v>0</v>
      </c>
      <c r="BP23" s="399">
        <f t="shared" si="24"/>
        <v>0</v>
      </c>
      <c r="BQ23" s="399">
        <f t="shared" si="24"/>
        <v>0</v>
      </c>
      <c r="BR23" s="399">
        <f t="shared" si="24"/>
        <v>0</v>
      </c>
      <c r="BS23" s="399">
        <f t="shared" si="24"/>
        <v>0</v>
      </c>
      <c r="BT23" s="399">
        <f t="shared" si="24"/>
        <v>0</v>
      </c>
      <c r="BU23" s="399">
        <f t="shared" si="24"/>
        <v>0</v>
      </c>
      <c r="BV23" s="399">
        <f t="shared" ref="BV23:EG23" si="25">-$G$23*BV22</f>
        <v>0</v>
      </c>
      <c r="BW23" s="399">
        <f t="shared" si="25"/>
        <v>0</v>
      </c>
      <c r="BX23" s="399">
        <f t="shared" si="25"/>
        <v>0</v>
      </c>
      <c r="BY23" s="399">
        <f t="shared" si="25"/>
        <v>0</v>
      </c>
      <c r="BZ23" s="399">
        <f t="shared" si="25"/>
        <v>0</v>
      </c>
      <c r="CA23" s="399">
        <f t="shared" si="25"/>
        <v>0</v>
      </c>
      <c r="CB23" s="399">
        <f t="shared" si="25"/>
        <v>0</v>
      </c>
      <c r="CC23" s="399">
        <f t="shared" si="25"/>
        <v>0</v>
      </c>
      <c r="CD23" s="399">
        <f t="shared" si="25"/>
        <v>0</v>
      </c>
      <c r="CE23" s="399">
        <f t="shared" si="25"/>
        <v>0</v>
      </c>
      <c r="CF23" s="399">
        <f t="shared" si="25"/>
        <v>0</v>
      </c>
      <c r="CG23" s="399">
        <f t="shared" si="25"/>
        <v>0</v>
      </c>
      <c r="CH23" s="399">
        <f t="shared" si="25"/>
        <v>0</v>
      </c>
      <c r="CI23" s="399">
        <f t="shared" si="25"/>
        <v>0</v>
      </c>
      <c r="CJ23" s="399">
        <f t="shared" si="25"/>
        <v>0</v>
      </c>
      <c r="CK23" s="399">
        <f t="shared" si="25"/>
        <v>0</v>
      </c>
      <c r="CL23" s="399">
        <f t="shared" si="25"/>
        <v>0</v>
      </c>
      <c r="CM23" s="399">
        <f t="shared" si="25"/>
        <v>0</v>
      </c>
      <c r="CN23" s="399">
        <f t="shared" si="25"/>
        <v>0</v>
      </c>
      <c r="CO23" s="399">
        <f t="shared" si="25"/>
        <v>0</v>
      </c>
      <c r="CP23" s="399">
        <f t="shared" si="25"/>
        <v>0</v>
      </c>
      <c r="CQ23" s="399">
        <f t="shared" si="25"/>
        <v>0</v>
      </c>
      <c r="CR23" s="399">
        <f t="shared" si="25"/>
        <v>0</v>
      </c>
      <c r="CS23" s="399">
        <f t="shared" si="25"/>
        <v>0</v>
      </c>
      <c r="CT23" s="399">
        <f t="shared" si="25"/>
        <v>0</v>
      </c>
      <c r="CU23" s="399">
        <f t="shared" si="25"/>
        <v>0</v>
      </c>
      <c r="CV23" s="399">
        <f t="shared" si="25"/>
        <v>0</v>
      </c>
      <c r="CW23" s="399">
        <f t="shared" si="25"/>
        <v>0</v>
      </c>
      <c r="CX23" s="399">
        <f t="shared" si="25"/>
        <v>0</v>
      </c>
      <c r="CY23" s="399">
        <f t="shared" si="25"/>
        <v>0</v>
      </c>
      <c r="CZ23" s="399">
        <f t="shared" si="25"/>
        <v>0</v>
      </c>
      <c r="DA23" s="399">
        <f t="shared" si="25"/>
        <v>0</v>
      </c>
      <c r="DB23" s="399">
        <f t="shared" si="25"/>
        <v>0</v>
      </c>
      <c r="DC23" s="399">
        <f t="shared" si="25"/>
        <v>0</v>
      </c>
      <c r="DD23" s="399">
        <f t="shared" si="25"/>
        <v>0</v>
      </c>
      <c r="DE23" s="399">
        <f t="shared" si="25"/>
        <v>0</v>
      </c>
      <c r="DF23" s="399">
        <f t="shared" si="25"/>
        <v>0</v>
      </c>
      <c r="DG23" s="399">
        <f t="shared" si="25"/>
        <v>0</v>
      </c>
      <c r="DH23" s="399">
        <f t="shared" si="25"/>
        <v>0</v>
      </c>
      <c r="DI23" s="399">
        <f t="shared" si="25"/>
        <v>0</v>
      </c>
      <c r="DJ23" s="399">
        <f t="shared" si="25"/>
        <v>0</v>
      </c>
      <c r="DK23" s="399">
        <f t="shared" si="25"/>
        <v>0</v>
      </c>
      <c r="DL23" s="399">
        <f t="shared" si="25"/>
        <v>0</v>
      </c>
      <c r="DM23" s="399">
        <f t="shared" si="25"/>
        <v>0</v>
      </c>
      <c r="DN23" s="399">
        <f t="shared" si="25"/>
        <v>0</v>
      </c>
      <c r="DO23" s="399">
        <f t="shared" si="25"/>
        <v>0</v>
      </c>
      <c r="DP23" s="399">
        <f t="shared" si="25"/>
        <v>0</v>
      </c>
      <c r="DQ23" s="399">
        <f t="shared" si="25"/>
        <v>0</v>
      </c>
      <c r="DR23" s="399">
        <f t="shared" si="25"/>
        <v>0</v>
      </c>
      <c r="DS23" s="399">
        <f t="shared" si="25"/>
        <v>0</v>
      </c>
      <c r="DT23" s="399">
        <f t="shared" si="25"/>
        <v>0</v>
      </c>
      <c r="DU23" s="399">
        <f t="shared" si="25"/>
        <v>0</v>
      </c>
      <c r="DV23" s="399">
        <f t="shared" si="25"/>
        <v>0</v>
      </c>
      <c r="DW23" s="399">
        <f t="shared" si="25"/>
        <v>0</v>
      </c>
      <c r="DX23" s="399">
        <f t="shared" si="25"/>
        <v>0</v>
      </c>
      <c r="DY23" s="399">
        <f t="shared" si="25"/>
        <v>0</v>
      </c>
      <c r="DZ23" s="399">
        <f t="shared" si="25"/>
        <v>0</v>
      </c>
      <c r="EA23" s="399">
        <f t="shared" si="25"/>
        <v>0</v>
      </c>
      <c r="EB23" s="399">
        <f t="shared" si="25"/>
        <v>0</v>
      </c>
      <c r="EC23" s="399">
        <f t="shared" si="25"/>
        <v>0</v>
      </c>
      <c r="ED23" s="399">
        <f t="shared" si="25"/>
        <v>0</v>
      </c>
      <c r="EE23" s="399">
        <f t="shared" si="25"/>
        <v>0</v>
      </c>
      <c r="EF23" s="399">
        <f t="shared" si="25"/>
        <v>0</v>
      </c>
      <c r="EG23" s="399">
        <f t="shared" si="25"/>
        <v>0</v>
      </c>
      <c r="EH23" s="399">
        <f t="shared" ref="EH23:EK23" si="26">-$G$23*EH22</f>
        <v>0</v>
      </c>
      <c r="EI23" s="399">
        <f t="shared" si="26"/>
        <v>0</v>
      </c>
      <c r="EJ23" s="399">
        <f t="shared" si="26"/>
        <v>0</v>
      </c>
      <c r="EK23" s="399">
        <f t="shared" si="26"/>
        <v>0</v>
      </c>
      <c r="EL23" s="400"/>
    </row>
    <row r="24" spans="2:142" ht="14.4" x14ac:dyDescent="0.3">
      <c r="B24" s="370"/>
      <c r="C24" t="s">
        <v>123</v>
      </c>
      <c r="F24" s="385"/>
      <c r="H24" s="131">
        <f>SUM(H22:H23)</f>
        <v>9056731.592189217</v>
      </c>
      <c r="J24" s="393">
        <f t="shared" ref="J24:BU24" si="27">SUM(J22:J23)</f>
        <v>181310.92416</v>
      </c>
      <c r="K24" s="393">
        <f t="shared" si="27"/>
        <v>181310.92416</v>
      </c>
      <c r="L24" s="393">
        <f t="shared" si="27"/>
        <v>181310.92416</v>
      </c>
      <c r="M24" s="393">
        <f t="shared" si="27"/>
        <v>940421.69890354713</v>
      </c>
      <c r="N24" s="393">
        <f t="shared" si="27"/>
        <v>940421.69890354713</v>
      </c>
      <c r="O24" s="393">
        <f t="shared" si="27"/>
        <v>940421.69890354713</v>
      </c>
      <c r="P24" s="393">
        <f t="shared" si="27"/>
        <v>940421.69890354713</v>
      </c>
      <c r="Q24" s="393">
        <f t="shared" si="27"/>
        <v>940421.69890354713</v>
      </c>
      <c r="R24" s="393">
        <f t="shared" si="27"/>
        <v>940421.69890354713</v>
      </c>
      <c r="S24" s="393">
        <f t="shared" si="27"/>
        <v>940421.69890354713</v>
      </c>
      <c r="T24" s="393">
        <f t="shared" si="27"/>
        <v>964923.46369219478</v>
      </c>
      <c r="U24" s="393">
        <f t="shared" si="27"/>
        <v>964923.46369219478</v>
      </c>
      <c r="V24" s="393">
        <f t="shared" si="27"/>
        <v>964923.46369219478</v>
      </c>
      <c r="W24" s="393">
        <f t="shared" si="27"/>
        <v>964923.46369219478</v>
      </c>
      <c r="X24" s="393">
        <f t="shared" si="27"/>
        <v>964923.46369219478</v>
      </c>
      <c r="Y24" s="393">
        <f t="shared" si="27"/>
        <v>964923.46369219478</v>
      </c>
      <c r="Z24" s="393">
        <f t="shared" si="27"/>
        <v>964923.46369219478</v>
      </c>
      <c r="AA24" s="393">
        <f t="shared" si="27"/>
        <v>964923.46369219478</v>
      </c>
      <c r="AB24" s="393">
        <f t="shared" si="27"/>
        <v>964923.46369219478</v>
      </c>
      <c r="AC24" s="393">
        <f t="shared" si="27"/>
        <v>964923.46369219478</v>
      </c>
      <c r="AD24" s="393">
        <f t="shared" si="27"/>
        <v>964923.46369219478</v>
      </c>
      <c r="AE24" s="393">
        <f t="shared" si="27"/>
        <v>964923.46369219478</v>
      </c>
      <c r="AF24" s="393">
        <f t="shared" si="27"/>
        <v>990071.8303739063</v>
      </c>
      <c r="AG24" s="393">
        <f t="shared" si="27"/>
        <v>990071.8303739063</v>
      </c>
      <c r="AH24" s="393">
        <f t="shared" si="27"/>
        <v>990071.8303739063</v>
      </c>
      <c r="AI24" s="393">
        <f t="shared" si="27"/>
        <v>990071.8303739063</v>
      </c>
      <c r="AJ24" s="393">
        <f t="shared" si="27"/>
        <v>990071.8303739063</v>
      </c>
      <c r="AK24" s="393">
        <f t="shared" si="27"/>
        <v>990071.8303739063</v>
      </c>
      <c r="AL24" s="393">
        <f t="shared" si="27"/>
        <v>990071.8303739063</v>
      </c>
      <c r="AM24" s="393">
        <f t="shared" si="27"/>
        <v>990071.8303739063</v>
      </c>
      <c r="AN24" s="393">
        <f t="shared" si="27"/>
        <v>990071.8303739063</v>
      </c>
      <c r="AO24" s="393">
        <f t="shared" si="27"/>
        <v>990071.8303739063</v>
      </c>
      <c r="AP24" s="393">
        <f t="shared" si="27"/>
        <v>990071.8303739063</v>
      </c>
      <c r="AQ24" s="393">
        <f t="shared" si="27"/>
        <v>990071.8303739063</v>
      </c>
      <c r="AR24" s="393">
        <f t="shared" si="27"/>
        <v>1015884.0365679682</v>
      </c>
      <c r="AS24" s="393">
        <f t="shared" si="27"/>
        <v>1015884.0365679682</v>
      </c>
      <c r="AT24" s="393">
        <f t="shared" si="27"/>
        <v>1015884.0365679682</v>
      </c>
      <c r="AU24" s="393">
        <f t="shared" si="27"/>
        <v>1015884.0365679682</v>
      </c>
      <c r="AV24" s="393">
        <f t="shared" si="27"/>
        <v>1015884.0365679682</v>
      </c>
      <c r="AW24" s="393">
        <f t="shared" si="27"/>
        <v>1015884.0365679682</v>
      </c>
      <c r="AX24" s="393">
        <f t="shared" si="27"/>
        <v>1015884.0365679682</v>
      </c>
      <c r="AY24" s="393">
        <f t="shared" si="27"/>
        <v>1015884.0365679682</v>
      </c>
      <c r="AZ24" s="393">
        <f t="shared" si="27"/>
        <v>1015884.0365679682</v>
      </c>
      <c r="BA24" s="393">
        <f t="shared" si="27"/>
        <v>1015884.0365679682</v>
      </c>
      <c r="BB24" s="393">
        <f t="shared" si="27"/>
        <v>1015884.0365679682</v>
      </c>
      <c r="BC24" s="393">
        <f t="shared" si="27"/>
        <v>1015884.0365679682</v>
      </c>
      <c r="BD24" s="393">
        <f t="shared" si="27"/>
        <v>1042377.7830495423</v>
      </c>
      <c r="BE24" s="393">
        <f t="shared" si="27"/>
        <v>1042377.7830495423</v>
      </c>
      <c r="BF24" s="393">
        <f t="shared" si="27"/>
        <v>1042377.7830495423</v>
      </c>
      <c r="BG24" s="393">
        <f t="shared" si="27"/>
        <v>1042377.7830495423</v>
      </c>
      <c r="BH24" s="393">
        <f t="shared" si="27"/>
        <v>1042377.7830495423</v>
      </c>
      <c r="BI24" s="393">
        <f t="shared" si="27"/>
        <v>1042377.7830495423</v>
      </c>
      <c r="BJ24" s="393">
        <f t="shared" si="27"/>
        <v>1042377.7830495423</v>
      </c>
      <c r="BK24" s="393">
        <f t="shared" si="27"/>
        <v>1042377.7830495423</v>
      </c>
      <c r="BL24" s="393">
        <f t="shared" si="27"/>
        <v>1042377.7830495423</v>
      </c>
      <c r="BM24" s="393">
        <f t="shared" si="27"/>
        <v>1042377.7830495423</v>
      </c>
      <c r="BN24" s="393">
        <f t="shared" si="27"/>
        <v>1042377.7830495423</v>
      </c>
      <c r="BO24" s="393">
        <f t="shared" si="27"/>
        <v>1042377.7830495423</v>
      </c>
      <c r="BP24" s="393">
        <f t="shared" si="27"/>
        <v>1069571.2462688792</v>
      </c>
      <c r="BQ24" s="393">
        <f t="shared" si="27"/>
        <v>1069571.2462688792</v>
      </c>
      <c r="BR24" s="393">
        <f t="shared" si="27"/>
        <v>1069571.2462688792</v>
      </c>
      <c r="BS24" s="393">
        <f t="shared" si="27"/>
        <v>1069571.2462688792</v>
      </c>
      <c r="BT24" s="393">
        <f t="shared" si="27"/>
        <v>1069571.2462688792</v>
      </c>
      <c r="BU24" s="393">
        <f t="shared" si="27"/>
        <v>1069571.2462688792</v>
      </c>
      <c r="BV24" s="393">
        <f t="shared" ref="BV24:EG24" si="28">SUM(BV22:BV23)</f>
        <v>1069571.2462688792</v>
      </c>
      <c r="BW24" s="393">
        <f t="shared" si="28"/>
        <v>1069571.2462688792</v>
      </c>
      <c r="BX24" s="393">
        <f t="shared" si="28"/>
        <v>1069571.2462688792</v>
      </c>
      <c r="BY24" s="393">
        <f t="shared" si="28"/>
        <v>1069571.2462688792</v>
      </c>
      <c r="BZ24" s="393">
        <f t="shared" si="28"/>
        <v>1069571.2462688792</v>
      </c>
      <c r="CA24" s="393">
        <f t="shared" si="28"/>
        <v>1069571.2462688792</v>
      </c>
      <c r="CB24" s="393">
        <f t="shared" si="28"/>
        <v>1097483.091210457</v>
      </c>
      <c r="CC24" s="393">
        <f t="shared" si="28"/>
        <v>1097483.091210457</v>
      </c>
      <c r="CD24" s="393">
        <f t="shared" si="28"/>
        <v>1097483.091210457</v>
      </c>
      <c r="CE24" s="393">
        <f t="shared" si="28"/>
        <v>1097483.091210457</v>
      </c>
      <c r="CF24" s="393">
        <f t="shared" si="28"/>
        <v>1097483.091210457</v>
      </c>
      <c r="CG24" s="393">
        <f t="shared" si="28"/>
        <v>1097483.091210457</v>
      </c>
      <c r="CH24" s="393">
        <f t="shared" si="28"/>
        <v>1097483.091210457</v>
      </c>
      <c r="CI24" s="393">
        <f t="shared" si="28"/>
        <v>1097483.091210457</v>
      </c>
      <c r="CJ24" s="393">
        <f t="shared" si="28"/>
        <v>1097483.091210457</v>
      </c>
      <c r="CK24" s="393">
        <f t="shared" si="28"/>
        <v>1097483.091210457</v>
      </c>
      <c r="CL24" s="393">
        <f t="shared" si="28"/>
        <v>1097483.091210457</v>
      </c>
      <c r="CM24" s="393">
        <f t="shared" si="28"/>
        <v>1097483.091210457</v>
      </c>
      <c r="CN24" s="393">
        <f t="shared" si="28"/>
        <v>1126132.4846013119</v>
      </c>
      <c r="CO24" s="393">
        <f t="shared" si="28"/>
        <v>1126132.4846013119</v>
      </c>
      <c r="CP24" s="393">
        <f t="shared" si="28"/>
        <v>1126132.4846013119</v>
      </c>
      <c r="CQ24" s="393">
        <f t="shared" si="28"/>
        <v>1126132.4846013119</v>
      </c>
      <c r="CR24" s="393">
        <f t="shared" si="28"/>
        <v>1126132.4846013119</v>
      </c>
      <c r="CS24" s="393">
        <f t="shared" si="28"/>
        <v>1126132.4846013119</v>
      </c>
      <c r="CT24" s="393">
        <f t="shared" si="28"/>
        <v>1126132.4846013119</v>
      </c>
      <c r="CU24" s="393">
        <f t="shared" si="28"/>
        <v>1126132.4846013119</v>
      </c>
      <c r="CV24" s="393">
        <f t="shared" si="28"/>
        <v>1126132.4846013119</v>
      </c>
      <c r="CW24" s="393">
        <f t="shared" si="28"/>
        <v>1126132.4846013119</v>
      </c>
      <c r="CX24" s="393">
        <f t="shared" si="28"/>
        <v>1126132.4846013119</v>
      </c>
      <c r="CY24" s="393">
        <f t="shared" si="28"/>
        <v>1126132.4846013119</v>
      </c>
      <c r="CZ24" s="393">
        <f t="shared" si="28"/>
        <v>1155539.1084780667</v>
      </c>
      <c r="DA24" s="393">
        <f t="shared" si="28"/>
        <v>1155539.1084780667</v>
      </c>
      <c r="DB24" s="393">
        <f t="shared" si="28"/>
        <v>1155539.1084780667</v>
      </c>
      <c r="DC24" s="393">
        <f t="shared" si="28"/>
        <v>1155539.1084780667</v>
      </c>
      <c r="DD24" s="393">
        <f t="shared" si="28"/>
        <v>1155539.1084780667</v>
      </c>
      <c r="DE24" s="393">
        <f t="shared" si="28"/>
        <v>1155539.1084780667</v>
      </c>
      <c r="DF24" s="393">
        <f t="shared" si="28"/>
        <v>1155539.1084780667</v>
      </c>
      <c r="DG24" s="393">
        <f t="shared" si="28"/>
        <v>1155539.1084780667</v>
      </c>
      <c r="DH24" s="393">
        <f t="shared" si="28"/>
        <v>1155539.1084780667</v>
      </c>
      <c r="DI24" s="393">
        <f t="shared" si="28"/>
        <v>1155539.1084780667</v>
      </c>
      <c r="DJ24" s="393">
        <f t="shared" si="28"/>
        <v>1155539.1084780667</v>
      </c>
      <c r="DK24" s="393">
        <f t="shared" si="28"/>
        <v>1155539.1084780667</v>
      </c>
      <c r="DL24" s="393">
        <f t="shared" si="28"/>
        <v>1185723.1741224369</v>
      </c>
      <c r="DM24" s="393">
        <f t="shared" si="28"/>
        <v>1185723.1741224369</v>
      </c>
      <c r="DN24" s="393">
        <f t="shared" si="28"/>
        <v>1185723.1741224369</v>
      </c>
      <c r="DO24" s="393">
        <f t="shared" si="28"/>
        <v>1185723.1741224369</v>
      </c>
      <c r="DP24" s="393">
        <f t="shared" si="28"/>
        <v>1185723.1741224369</v>
      </c>
      <c r="DQ24" s="393">
        <f t="shared" si="28"/>
        <v>1185723.1741224369</v>
      </c>
      <c r="DR24" s="393">
        <f t="shared" si="28"/>
        <v>1185723.1741224369</v>
      </c>
      <c r="DS24" s="393">
        <f t="shared" si="28"/>
        <v>1185723.1741224369</v>
      </c>
      <c r="DT24" s="393">
        <f t="shared" si="28"/>
        <v>1185723.1741224369</v>
      </c>
      <c r="DU24" s="393">
        <f t="shared" si="28"/>
        <v>1185723.1741224369</v>
      </c>
      <c r="DV24" s="393">
        <f t="shared" si="28"/>
        <v>1185723.1741224369</v>
      </c>
      <c r="DW24" s="393">
        <f t="shared" si="28"/>
        <v>1185723.1741224369</v>
      </c>
      <c r="DX24" s="393">
        <f t="shared" si="28"/>
        <v>1216705.4363752515</v>
      </c>
      <c r="DY24" s="393">
        <f t="shared" si="28"/>
        <v>1216705.4363752515</v>
      </c>
      <c r="DZ24" s="393">
        <f t="shared" si="28"/>
        <v>1216705.4363752515</v>
      </c>
      <c r="EA24" s="393">
        <f t="shared" si="28"/>
        <v>1216705.4363752515</v>
      </c>
      <c r="EB24" s="393">
        <f t="shared" si="28"/>
        <v>1216705.4363752515</v>
      </c>
      <c r="EC24" s="393">
        <f t="shared" si="28"/>
        <v>1216705.4363752515</v>
      </c>
      <c r="ED24" s="393">
        <f t="shared" si="28"/>
        <v>1216705.4363752515</v>
      </c>
      <c r="EE24" s="393">
        <f t="shared" si="28"/>
        <v>1216705.4363752515</v>
      </c>
      <c r="EF24" s="393">
        <f t="shared" si="28"/>
        <v>1216705.4363752515</v>
      </c>
      <c r="EG24" s="393">
        <f t="shared" si="28"/>
        <v>1216705.4363752515</v>
      </c>
      <c r="EH24" s="393">
        <f t="shared" ref="EH24:EK24" si="29">SUM(EH22:EH23)</f>
        <v>1216705.4363752515</v>
      </c>
      <c r="EI24" s="393">
        <f t="shared" si="29"/>
        <v>1216705.4363752515</v>
      </c>
      <c r="EJ24" s="393">
        <f t="shared" si="29"/>
        <v>1248507.2083393075</v>
      </c>
      <c r="EK24" s="393">
        <f t="shared" si="29"/>
        <v>1248507.2083393075</v>
      </c>
      <c r="EL24" s="400"/>
    </row>
    <row r="25" spans="2:142" ht="14.4" x14ac:dyDescent="0.3">
      <c r="B25" s="370"/>
      <c r="J25" s="393"/>
      <c r="K25" s="393"/>
      <c r="L25" s="393"/>
      <c r="M25" s="393"/>
      <c r="N25" s="393"/>
      <c r="O25" s="393"/>
      <c r="P25" s="393"/>
      <c r="Q25" s="393"/>
      <c r="R25" s="393"/>
      <c r="S25" s="393"/>
      <c r="T25" s="393"/>
      <c r="U25" s="393"/>
      <c r="V25" s="393"/>
      <c r="W25" s="393"/>
      <c r="X25" s="393"/>
      <c r="Y25" s="393"/>
      <c r="Z25" s="393"/>
      <c r="AA25" s="393"/>
      <c r="AB25" s="393"/>
      <c r="AC25" s="393"/>
      <c r="AD25" s="393"/>
      <c r="AE25" s="393"/>
      <c r="AF25" s="393"/>
      <c r="AG25" s="393"/>
      <c r="AH25" s="393"/>
      <c r="AI25" s="393"/>
      <c r="AJ25" s="393"/>
      <c r="AK25" s="393"/>
      <c r="AL25" s="393"/>
      <c r="AM25" s="393"/>
      <c r="AN25" s="393"/>
      <c r="AO25" s="393"/>
      <c r="AP25" s="393"/>
      <c r="AQ25" s="393"/>
      <c r="AR25" s="393"/>
      <c r="AS25" s="393"/>
      <c r="AT25" s="393"/>
      <c r="AU25" s="393"/>
      <c r="AV25" s="393"/>
      <c r="AW25" s="393"/>
      <c r="AX25" s="393"/>
      <c r="AY25" s="393"/>
      <c r="AZ25" s="393"/>
      <c r="BA25" s="393"/>
      <c r="BB25" s="393"/>
      <c r="BC25" s="393"/>
      <c r="BD25" s="393"/>
      <c r="BE25" s="393"/>
      <c r="BF25" s="393"/>
      <c r="BG25" s="393"/>
      <c r="BH25" s="393"/>
      <c r="BI25" s="393"/>
      <c r="BJ25" s="393"/>
      <c r="BK25" s="393"/>
      <c r="BL25" s="393"/>
      <c r="BM25" s="393"/>
      <c r="BN25" s="393"/>
      <c r="BO25" s="393"/>
      <c r="BP25" s="393"/>
      <c r="BQ25" s="393"/>
      <c r="BR25" s="393"/>
      <c r="BS25" s="393"/>
      <c r="BT25" s="393"/>
      <c r="BU25" s="393"/>
      <c r="BV25" s="393"/>
      <c r="BW25" s="393"/>
      <c r="BX25" s="393"/>
      <c r="BY25" s="393"/>
      <c r="BZ25" s="393"/>
      <c r="CA25" s="393"/>
      <c r="CB25" s="393"/>
      <c r="CC25" s="393"/>
      <c r="CD25" s="393"/>
      <c r="CE25" s="393"/>
      <c r="CF25" s="393"/>
      <c r="CG25" s="393"/>
      <c r="CH25" s="393"/>
      <c r="CI25" s="393"/>
      <c r="CJ25" s="393"/>
      <c r="CK25" s="393"/>
      <c r="CL25" s="393"/>
      <c r="CM25" s="393"/>
      <c r="CN25" s="393"/>
      <c r="CO25" s="393"/>
      <c r="CP25" s="393"/>
      <c r="CQ25" s="393"/>
      <c r="CR25" s="393"/>
      <c r="CS25" s="393"/>
      <c r="CT25" s="393"/>
      <c r="CU25" s="393"/>
      <c r="CV25" s="393"/>
      <c r="CW25" s="393"/>
      <c r="CX25" s="393"/>
      <c r="CY25" s="393"/>
      <c r="CZ25" s="393"/>
      <c r="DA25" s="393"/>
      <c r="DB25" s="393"/>
      <c r="DC25" s="393"/>
      <c r="DD25" s="393"/>
      <c r="DE25" s="393"/>
      <c r="DF25" s="393"/>
      <c r="DG25" s="393"/>
      <c r="DH25" s="393"/>
      <c r="DI25" s="393"/>
      <c r="DJ25" s="393"/>
      <c r="DK25" s="393"/>
      <c r="DL25" s="393"/>
      <c r="DM25" s="393"/>
      <c r="DN25" s="393"/>
      <c r="DO25" s="393"/>
      <c r="DP25" s="393"/>
      <c r="DQ25" s="393"/>
      <c r="DR25" s="393"/>
      <c r="DS25" s="393"/>
      <c r="DT25" s="393"/>
      <c r="DU25" s="393"/>
      <c r="DV25" s="393"/>
      <c r="DW25" s="393"/>
      <c r="DX25" s="393"/>
      <c r="DY25" s="393"/>
      <c r="DZ25" s="393"/>
      <c r="EA25" s="393"/>
      <c r="EB25" s="393"/>
      <c r="EC25" s="393"/>
      <c r="ED25" s="393"/>
      <c r="EE25" s="393"/>
      <c r="EF25" s="393"/>
      <c r="EG25" s="393"/>
      <c r="EH25" s="393"/>
      <c r="EI25" s="393"/>
      <c r="EJ25" s="393"/>
      <c r="EK25" s="393"/>
      <c r="EL25" s="400"/>
    </row>
    <row r="26" spans="2:142" ht="16.2" x14ac:dyDescent="0.45">
      <c r="B26" s="370"/>
      <c r="C26" s="402" t="s">
        <v>124</v>
      </c>
      <c r="F26" s="385"/>
      <c r="G26" s="403">
        <v>1780240</v>
      </c>
      <c r="H26" s="418">
        <f>SUM(J26:U26)</f>
        <v>1895502.2796864002</v>
      </c>
      <c r="J26" s="399">
        <f>$G$26/12*(1+$E$13)^(J$15-1)</f>
        <v>157433.74416</v>
      </c>
      <c r="K26" s="399">
        <f t="shared" ref="K26:BV26" si="30">$G$26/12*(1+$E$13)^(K$15-1)</f>
        <v>157433.74416</v>
      </c>
      <c r="L26" s="399">
        <f t="shared" si="30"/>
        <v>157433.74416</v>
      </c>
      <c r="M26" s="399">
        <f t="shared" si="30"/>
        <v>157433.74416</v>
      </c>
      <c r="N26" s="399">
        <f t="shared" si="30"/>
        <v>157433.74416</v>
      </c>
      <c r="O26" s="399">
        <f t="shared" si="30"/>
        <v>157433.74416</v>
      </c>
      <c r="P26" s="399">
        <f t="shared" si="30"/>
        <v>157433.74416</v>
      </c>
      <c r="Q26" s="399">
        <f t="shared" si="30"/>
        <v>157433.74416</v>
      </c>
      <c r="R26" s="399">
        <f t="shared" si="30"/>
        <v>157433.74416</v>
      </c>
      <c r="S26" s="399">
        <f t="shared" si="30"/>
        <v>157433.74416</v>
      </c>
      <c r="T26" s="399">
        <f t="shared" si="30"/>
        <v>160582.4190432</v>
      </c>
      <c r="U26" s="399">
        <f t="shared" si="30"/>
        <v>160582.4190432</v>
      </c>
      <c r="V26" s="399">
        <f t="shared" si="30"/>
        <v>160582.4190432</v>
      </c>
      <c r="W26" s="399">
        <f t="shared" si="30"/>
        <v>160582.4190432</v>
      </c>
      <c r="X26" s="399">
        <f t="shared" si="30"/>
        <v>160582.4190432</v>
      </c>
      <c r="Y26" s="399">
        <f t="shared" si="30"/>
        <v>160582.4190432</v>
      </c>
      <c r="Z26" s="399">
        <f t="shared" si="30"/>
        <v>160582.4190432</v>
      </c>
      <c r="AA26" s="399">
        <f t="shared" si="30"/>
        <v>160582.4190432</v>
      </c>
      <c r="AB26" s="399">
        <f t="shared" si="30"/>
        <v>160582.4190432</v>
      </c>
      <c r="AC26" s="399">
        <f t="shared" si="30"/>
        <v>160582.4190432</v>
      </c>
      <c r="AD26" s="399">
        <f t="shared" si="30"/>
        <v>160582.4190432</v>
      </c>
      <c r="AE26" s="399">
        <f t="shared" si="30"/>
        <v>160582.4190432</v>
      </c>
      <c r="AF26" s="399">
        <f t="shared" si="30"/>
        <v>163794.06742406401</v>
      </c>
      <c r="AG26" s="399">
        <f t="shared" si="30"/>
        <v>163794.06742406401</v>
      </c>
      <c r="AH26" s="399">
        <f t="shared" si="30"/>
        <v>163794.06742406401</v>
      </c>
      <c r="AI26" s="399">
        <f t="shared" si="30"/>
        <v>163794.06742406401</v>
      </c>
      <c r="AJ26" s="399">
        <f t="shared" si="30"/>
        <v>163794.06742406401</v>
      </c>
      <c r="AK26" s="399">
        <f t="shared" si="30"/>
        <v>163794.06742406401</v>
      </c>
      <c r="AL26" s="399">
        <f t="shared" si="30"/>
        <v>163794.06742406401</v>
      </c>
      <c r="AM26" s="399">
        <f t="shared" si="30"/>
        <v>163794.06742406401</v>
      </c>
      <c r="AN26" s="399">
        <f t="shared" si="30"/>
        <v>163794.06742406401</v>
      </c>
      <c r="AO26" s="399">
        <f t="shared" si="30"/>
        <v>163794.06742406401</v>
      </c>
      <c r="AP26" s="399">
        <f t="shared" si="30"/>
        <v>163794.06742406401</v>
      </c>
      <c r="AQ26" s="399">
        <f t="shared" si="30"/>
        <v>163794.06742406401</v>
      </c>
      <c r="AR26" s="399">
        <f t="shared" si="30"/>
        <v>167069.94877254529</v>
      </c>
      <c r="AS26" s="399">
        <f t="shared" si="30"/>
        <v>167069.94877254529</v>
      </c>
      <c r="AT26" s="399">
        <f t="shared" si="30"/>
        <v>167069.94877254529</v>
      </c>
      <c r="AU26" s="399">
        <f t="shared" si="30"/>
        <v>167069.94877254529</v>
      </c>
      <c r="AV26" s="399">
        <f t="shared" si="30"/>
        <v>167069.94877254529</v>
      </c>
      <c r="AW26" s="399">
        <f t="shared" si="30"/>
        <v>167069.94877254529</v>
      </c>
      <c r="AX26" s="399">
        <f t="shared" si="30"/>
        <v>167069.94877254529</v>
      </c>
      <c r="AY26" s="399">
        <f t="shared" si="30"/>
        <v>167069.94877254529</v>
      </c>
      <c r="AZ26" s="399">
        <f t="shared" si="30"/>
        <v>167069.94877254529</v>
      </c>
      <c r="BA26" s="399">
        <f t="shared" si="30"/>
        <v>167069.94877254529</v>
      </c>
      <c r="BB26" s="399">
        <f t="shared" si="30"/>
        <v>167069.94877254529</v>
      </c>
      <c r="BC26" s="399">
        <f t="shared" si="30"/>
        <v>167069.94877254529</v>
      </c>
      <c r="BD26" s="399">
        <f t="shared" si="30"/>
        <v>170411.34774799616</v>
      </c>
      <c r="BE26" s="399">
        <f t="shared" si="30"/>
        <v>170411.34774799616</v>
      </c>
      <c r="BF26" s="399">
        <f t="shared" si="30"/>
        <v>170411.34774799616</v>
      </c>
      <c r="BG26" s="399">
        <f t="shared" si="30"/>
        <v>170411.34774799616</v>
      </c>
      <c r="BH26" s="399">
        <f t="shared" si="30"/>
        <v>170411.34774799616</v>
      </c>
      <c r="BI26" s="399">
        <f t="shared" si="30"/>
        <v>170411.34774799616</v>
      </c>
      <c r="BJ26" s="399">
        <f t="shared" si="30"/>
        <v>170411.34774799616</v>
      </c>
      <c r="BK26" s="399">
        <f t="shared" si="30"/>
        <v>170411.34774799616</v>
      </c>
      <c r="BL26" s="399">
        <f t="shared" si="30"/>
        <v>170411.34774799616</v>
      </c>
      <c r="BM26" s="399">
        <f t="shared" si="30"/>
        <v>170411.34774799616</v>
      </c>
      <c r="BN26" s="399">
        <f t="shared" si="30"/>
        <v>170411.34774799616</v>
      </c>
      <c r="BO26" s="399">
        <f t="shared" si="30"/>
        <v>170411.34774799616</v>
      </c>
      <c r="BP26" s="399">
        <f t="shared" si="30"/>
        <v>173819.5747029561</v>
      </c>
      <c r="BQ26" s="399">
        <f t="shared" si="30"/>
        <v>173819.5747029561</v>
      </c>
      <c r="BR26" s="399">
        <f t="shared" si="30"/>
        <v>173819.5747029561</v>
      </c>
      <c r="BS26" s="399">
        <f t="shared" si="30"/>
        <v>173819.5747029561</v>
      </c>
      <c r="BT26" s="399">
        <f t="shared" si="30"/>
        <v>173819.5747029561</v>
      </c>
      <c r="BU26" s="399">
        <f t="shared" si="30"/>
        <v>173819.5747029561</v>
      </c>
      <c r="BV26" s="399">
        <f t="shared" si="30"/>
        <v>173819.5747029561</v>
      </c>
      <c r="BW26" s="399">
        <f t="shared" ref="BW26:EH26" si="31">$G$26/12*(1+$E$13)^(BW$15-1)</f>
        <v>173819.5747029561</v>
      </c>
      <c r="BX26" s="399">
        <f t="shared" si="31"/>
        <v>173819.5747029561</v>
      </c>
      <c r="BY26" s="399">
        <f t="shared" si="31"/>
        <v>173819.5747029561</v>
      </c>
      <c r="BZ26" s="399">
        <f t="shared" si="31"/>
        <v>173819.5747029561</v>
      </c>
      <c r="CA26" s="399">
        <f t="shared" si="31"/>
        <v>173819.5747029561</v>
      </c>
      <c r="CB26" s="399">
        <f t="shared" si="31"/>
        <v>177295.96619701522</v>
      </c>
      <c r="CC26" s="399">
        <f t="shared" si="31"/>
        <v>177295.96619701522</v>
      </c>
      <c r="CD26" s="399">
        <f t="shared" si="31"/>
        <v>177295.96619701522</v>
      </c>
      <c r="CE26" s="399">
        <f t="shared" si="31"/>
        <v>177295.96619701522</v>
      </c>
      <c r="CF26" s="399">
        <f t="shared" si="31"/>
        <v>177295.96619701522</v>
      </c>
      <c r="CG26" s="399">
        <f t="shared" si="31"/>
        <v>177295.96619701522</v>
      </c>
      <c r="CH26" s="399">
        <f t="shared" si="31"/>
        <v>177295.96619701522</v>
      </c>
      <c r="CI26" s="399">
        <f t="shared" si="31"/>
        <v>177295.96619701522</v>
      </c>
      <c r="CJ26" s="399">
        <f t="shared" si="31"/>
        <v>177295.96619701522</v>
      </c>
      <c r="CK26" s="399">
        <f t="shared" si="31"/>
        <v>177295.96619701522</v>
      </c>
      <c r="CL26" s="399">
        <f t="shared" si="31"/>
        <v>177295.96619701522</v>
      </c>
      <c r="CM26" s="399">
        <f t="shared" si="31"/>
        <v>177295.96619701522</v>
      </c>
      <c r="CN26" s="399">
        <f t="shared" si="31"/>
        <v>180841.88552095555</v>
      </c>
      <c r="CO26" s="399">
        <f t="shared" si="31"/>
        <v>180841.88552095555</v>
      </c>
      <c r="CP26" s="399">
        <f t="shared" si="31"/>
        <v>180841.88552095555</v>
      </c>
      <c r="CQ26" s="399">
        <f t="shared" si="31"/>
        <v>180841.88552095555</v>
      </c>
      <c r="CR26" s="399">
        <f t="shared" si="31"/>
        <v>180841.88552095555</v>
      </c>
      <c r="CS26" s="399">
        <f t="shared" si="31"/>
        <v>180841.88552095555</v>
      </c>
      <c r="CT26" s="399">
        <f t="shared" si="31"/>
        <v>180841.88552095555</v>
      </c>
      <c r="CU26" s="399">
        <f t="shared" si="31"/>
        <v>180841.88552095555</v>
      </c>
      <c r="CV26" s="399">
        <f t="shared" si="31"/>
        <v>180841.88552095555</v>
      </c>
      <c r="CW26" s="399">
        <f t="shared" si="31"/>
        <v>180841.88552095555</v>
      </c>
      <c r="CX26" s="399">
        <f t="shared" si="31"/>
        <v>180841.88552095555</v>
      </c>
      <c r="CY26" s="399">
        <f t="shared" si="31"/>
        <v>180841.88552095555</v>
      </c>
      <c r="CZ26" s="399">
        <f t="shared" si="31"/>
        <v>184458.72323137464</v>
      </c>
      <c r="DA26" s="399">
        <f t="shared" si="31"/>
        <v>184458.72323137464</v>
      </c>
      <c r="DB26" s="399">
        <f t="shared" si="31"/>
        <v>184458.72323137464</v>
      </c>
      <c r="DC26" s="399">
        <f t="shared" si="31"/>
        <v>184458.72323137464</v>
      </c>
      <c r="DD26" s="399">
        <f t="shared" si="31"/>
        <v>184458.72323137464</v>
      </c>
      <c r="DE26" s="399">
        <f t="shared" si="31"/>
        <v>184458.72323137464</v>
      </c>
      <c r="DF26" s="399">
        <f t="shared" si="31"/>
        <v>184458.72323137464</v>
      </c>
      <c r="DG26" s="399">
        <f t="shared" si="31"/>
        <v>184458.72323137464</v>
      </c>
      <c r="DH26" s="399">
        <f t="shared" si="31"/>
        <v>184458.72323137464</v>
      </c>
      <c r="DI26" s="399">
        <f t="shared" si="31"/>
        <v>184458.72323137464</v>
      </c>
      <c r="DJ26" s="399">
        <f t="shared" si="31"/>
        <v>184458.72323137464</v>
      </c>
      <c r="DK26" s="399">
        <f t="shared" si="31"/>
        <v>184458.72323137464</v>
      </c>
      <c r="DL26" s="399">
        <f t="shared" si="31"/>
        <v>188147.89769600215</v>
      </c>
      <c r="DM26" s="399">
        <f t="shared" si="31"/>
        <v>188147.89769600215</v>
      </c>
      <c r="DN26" s="399">
        <f t="shared" si="31"/>
        <v>188147.89769600215</v>
      </c>
      <c r="DO26" s="399">
        <f t="shared" si="31"/>
        <v>188147.89769600215</v>
      </c>
      <c r="DP26" s="399">
        <f t="shared" si="31"/>
        <v>188147.89769600215</v>
      </c>
      <c r="DQ26" s="399">
        <f t="shared" si="31"/>
        <v>188147.89769600215</v>
      </c>
      <c r="DR26" s="399">
        <f t="shared" si="31"/>
        <v>188147.89769600215</v>
      </c>
      <c r="DS26" s="399">
        <f t="shared" si="31"/>
        <v>188147.89769600215</v>
      </c>
      <c r="DT26" s="399">
        <f t="shared" si="31"/>
        <v>188147.89769600215</v>
      </c>
      <c r="DU26" s="399">
        <f t="shared" si="31"/>
        <v>188147.89769600215</v>
      </c>
      <c r="DV26" s="399">
        <f t="shared" si="31"/>
        <v>188147.89769600215</v>
      </c>
      <c r="DW26" s="399">
        <f t="shared" si="31"/>
        <v>188147.89769600215</v>
      </c>
      <c r="DX26" s="399">
        <f t="shared" si="31"/>
        <v>191910.85564992219</v>
      </c>
      <c r="DY26" s="399">
        <f t="shared" si="31"/>
        <v>191910.85564992219</v>
      </c>
      <c r="DZ26" s="399">
        <f t="shared" si="31"/>
        <v>191910.85564992219</v>
      </c>
      <c r="EA26" s="399">
        <f t="shared" si="31"/>
        <v>191910.85564992219</v>
      </c>
      <c r="EB26" s="399">
        <f t="shared" si="31"/>
        <v>191910.85564992219</v>
      </c>
      <c r="EC26" s="399">
        <f t="shared" si="31"/>
        <v>191910.85564992219</v>
      </c>
      <c r="ED26" s="399">
        <f t="shared" si="31"/>
        <v>191910.85564992219</v>
      </c>
      <c r="EE26" s="399">
        <f t="shared" si="31"/>
        <v>191910.85564992219</v>
      </c>
      <c r="EF26" s="399">
        <f t="shared" si="31"/>
        <v>191910.85564992219</v>
      </c>
      <c r="EG26" s="399">
        <f t="shared" si="31"/>
        <v>191910.85564992219</v>
      </c>
      <c r="EH26" s="399">
        <f t="shared" si="31"/>
        <v>191910.85564992219</v>
      </c>
      <c r="EI26" s="399">
        <f t="shared" ref="EI26:EK26" si="32">$G$26/12*(1+$E$13)^(EI$15-1)</f>
        <v>191910.85564992219</v>
      </c>
      <c r="EJ26" s="399">
        <f t="shared" si="32"/>
        <v>195749.07276292064</v>
      </c>
      <c r="EK26" s="399">
        <f t="shared" si="32"/>
        <v>195749.07276292064</v>
      </c>
      <c r="EL26" s="400"/>
    </row>
    <row r="27" spans="2:142" ht="14.4" x14ac:dyDescent="0.3">
      <c r="B27" s="370"/>
      <c r="C27" t="s">
        <v>125</v>
      </c>
      <c r="F27" s="385"/>
      <c r="H27" s="131">
        <f>H24-H26</f>
        <v>7161229.3125028163</v>
      </c>
      <c r="J27" s="393">
        <f t="shared" ref="J27:BU27" si="33">+J24-J26</f>
        <v>23877.179999999993</v>
      </c>
      <c r="K27" s="393">
        <f t="shared" si="33"/>
        <v>23877.179999999993</v>
      </c>
      <c r="L27" s="393">
        <f t="shared" si="33"/>
        <v>23877.179999999993</v>
      </c>
      <c r="M27" s="393">
        <f t="shared" si="33"/>
        <v>782987.95474354713</v>
      </c>
      <c r="N27" s="393">
        <f t="shared" si="33"/>
        <v>782987.95474354713</v>
      </c>
      <c r="O27" s="393">
        <f t="shared" si="33"/>
        <v>782987.95474354713</v>
      </c>
      <c r="P27" s="393">
        <f t="shared" si="33"/>
        <v>782987.95474354713</v>
      </c>
      <c r="Q27" s="393">
        <f t="shared" si="33"/>
        <v>782987.95474354713</v>
      </c>
      <c r="R27" s="393">
        <f t="shared" si="33"/>
        <v>782987.95474354713</v>
      </c>
      <c r="S27" s="393">
        <f t="shared" si="33"/>
        <v>782987.95474354713</v>
      </c>
      <c r="T27" s="393">
        <f t="shared" si="33"/>
        <v>804341.04464899481</v>
      </c>
      <c r="U27" s="393">
        <f t="shared" si="33"/>
        <v>804341.04464899481</v>
      </c>
      <c r="V27" s="393">
        <f t="shared" si="33"/>
        <v>804341.04464899481</v>
      </c>
      <c r="W27" s="393">
        <f t="shared" si="33"/>
        <v>804341.04464899481</v>
      </c>
      <c r="X27" s="393">
        <f t="shared" si="33"/>
        <v>804341.04464899481</v>
      </c>
      <c r="Y27" s="393">
        <f t="shared" si="33"/>
        <v>804341.04464899481</v>
      </c>
      <c r="Z27" s="393">
        <f t="shared" si="33"/>
        <v>804341.04464899481</v>
      </c>
      <c r="AA27" s="393">
        <f t="shared" si="33"/>
        <v>804341.04464899481</v>
      </c>
      <c r="AB27" s="393">
        <f t="shared" si="33"/>
        <v>804341.04464899481</v>
      </c>
      <c r="AC27" s="393">
        <f t="shared" si="33"/>
        <v>804341.04464899481</v>
      </c>
      <c r="AD27" s="393">
        <f t="shared" si="33"/>
        <v>804341.04464899481</v>
      </c>
      <c r="AE27" s="393">
        <f t="shared" si="33"/>
        <v>804341.04464899481</v>
      </c>
      <c r="AF27" s="393">
        <f t="shared" si="33"/>
        <v>826277.76294984226</v>
      </c>
      <c r="AG27" s="393">
        <f t="shared" si="33"/>
        <v>826277.76294984226</v>
      </c>
      <c r="AH27" s="393">
        <f t="shared" si="33"/>
        <v>826277.76294984226</v>
      </c>
      <c r="AI27" s="393">
        <f t="shared" si="33"/>
        <v>826277.76294984226</v>
      </c>
      <c r="AJ27" s="393">
        <f t="shared" si="33"/>
        <v>826277.76294984226</v>
      </c>
      <c r="AK27" s="393">
        <f t="shared" si="33"/>
        <v>826277.76294984226</v>
      </c>
      <c r="AL27" s="393">
        <f t="shared" si="33"/>
        <v>826277.76294984226</v>
      </c>
      <c r="AM27" s="393">
        <f t="shared" si="33"/>
        <v>826277.76294984226</v>
      </c>
      <c r="AN27" s="393">
        <f t="shared" si="33"/>
        <v>826277.76294984226</v>
      </c>
      <c r="AO27" s="393">
        <f t="shared" si="33"/>
        <v>826277.76294984226</v>
      </c>
      <c r="AP27" s="393">
        <f t="shared" si="33"/>
        <v>826277.76294984226</v>
      </c>
      <c r="AQ27" s="393">
        <f t="shared" si="33"/>
        <v>826277.76294984226</v>
      </c>
      <c r="AR27" s="393">
        <f t="shared" si="33"/>
        <v>848814.08779542288</v>
      </c>
      <c r="AS27" s="393">
        <f t="shared" si="33"/>
        <v>848814.08779542288</v>
      </c>
      <c r="AT27" s="393">
        <f t="shared" si="33"/>
        <v>848814.08779542288</v>
      </c>
      <c r="AU27" s="393">
        <f t="shared" si="33"/>
        <v>848814.08779542288</v>
      </c>
      <c r="AV27" s="393">
        <f t="shared" si="33"/>
        <v>848814.08779542288</v>
      </c>
      <c r="AW27" s="393">
        <f t="shared" si="33"/>
        <v>848814.08779542288</v>
      </c>
      <c r="AX27" s="393">
        <f t="shared" si="33"/>
        <v>848814.08779542288</v>
      </c>
      <c r="AY27" s="393">
        <f t="shared" si="33"/>
        <v>848814.08779542288</v>
      </c>
      <c r="AZ27" s="393">
        <f t="shared" si="33"/>
        <v>848814.08779542288</v>
      </c>
      <c r="BA27" s="393">
        <f t="shared" si="33"/>
        <v>848814.08779542288</v>
      </c>
      <c r="BB27" s="393">
        <f t="shared" si="33"/>
        <v>848814.08779542288</v>
      </c>
      <c r="BC27" s="393">
        <f t="shared" si="33"/>
        <v>848814.08779542288</v>
      </c>
      <c r="BD27" s="393">
        <f t="shared" si="33"/>
        <v>871966.43530154624</v>
      </c>
      <c r="BE27" s="393">
        <f t="shared" si="33"/>
        <v>871966.43530154624</v>
      </c>
      <c r="BF27" s="393">
        <f t="shared" si="33"/>
        <v>871966.43530154624</v>
      </c>
      <c r="BG27" s="393">
        <f t="shared" si="33"/>
        <v>871966.43530154624</v>
      </c>
      <c r="BH27" s="393">
        <f t="shared" si="33"/>
        <v>871966.43530154624</v>
      </c>
      <c r="BI27" s="393">
        <f t="shared" si="33"/>
        <v>871966.43530154624</v>
      </c>
      <c r="BJ27" s="393">
        <f t="shared" si="33"/>
        <v>871966.43530154624</v>
      </c>
      <c r="BK27" s="393">
        <f t="shared" si="33"/>
        <v>871966.43530154624</v>
      </c>
      <c r="BL27" s="393">
        <f t="shared" si="33"/>
        <v>871966.43530154624</v>
      </c>
      <c r="BM27" s="393">
        <f t="shared" si="33"/>
        <v>871966.43530154624</v>
      </c>
      <c r="BN27" s="393">
        <f t="shared" si="33"/>
        <v>871966.43530154624</v>
      </c>
      <c r="BO27" s="393">
        <f t="shared" si="33"/>
        <v>871966.43530154624</v>
      </c>
      <c r="BP27" s="393">
        <f t="shared" si="33"/>
        <v>895751.67156592302</v>
      </c>
      <c r="BQ27" s="393">
        <f t="shared" si="33"/>
        <v>895751.67156592302</v>
      </c>
      <c r="BR27" s="393">
        <f t="shared" si="33"/>
        <v>895751.67156592302</v>
      </c>
      <c r="BS27" s="393">
        <f t="shared" si="33"/>
        <v>895751.67156592302</v>
      </c>
      <c r="BT27" s="393">
        <f t="shared" si="33"/>
        <v>895751.67156592302</v>
      </c>
      <c r="BU27" s="393">
        <f t="shared" si="33"/>
        <v>895751.67156592302</v>
      </c>
      <c r="BV27" s="393">
        <f t="shared" ref="BV27:EG27" si="34">+BV24-BV26</f>
        <v>895751.67156592302</v>
      </c>
      <c r="BW27" s="393">
        <f t="shared" si="34"/>
        <v>895751.67156592302</v>
      </c>
      <c r="BX27" s="393">
        <f t="shared" si="34"/>
        <v>895751.67156592302</v>
      </c>
      <c r="BY27" s="393">
        <f t="shared" si="34"/>
        <v>895751.67156592302</v>
      </c>
      <c r="BZ27" s="393">
        <f t="shared" si="34"/>
        <v>895751.67156592302</v>
      </c>
      <c r="CA27" s="393">
        <f t="shared" si="34"/>
        <v>895751.67156592302</v>
      </c>
      <c r="CB27" s="393">
        <f t="shared" si="34"/>
        <v>920187.12501344178</v>
      </c>
      <c r="CC27" s="393">
        <f t="shared" si="34"/>
        <v>920187.12501344178</v>
      </c>
      <c r="CD27" s="393">
        <f t="shared" si="34"/>
        <v>920187.12501344178</v>
      </c>
      <c r="CE27" s="393">
        <f t="shared" si="34"/>
        <v>920187.12501344178</v>
      </c>
      <c r="CF27" s="393">
        <f t="shared" si="34"/>
        <v>920187.12501344178</v>
      </c>
      <c r="CG27" s="393">
        <f t="shared" si="34"/>
        <v>920187.12501344178</v>
      </c>
      <c r="CH27" s="393">
        <f t="shared" si="34"/>
        <v>920187.12501344178</v>
      </c>
      <c r="CI27" s="393">
        <f t="shared" si="34"/>
        <v>920187.12501344178</v>
      </c>
      <c r="CJ27" s="393">
        <f t="shared" si="34"/>
        <v>920187.12501344178</v>
      </c>
      <c r="CK27" s="393">
        <f t="shared" si="34"/>
        <v>920187.12501344178</v>
      </c>
      <c r="CL27" s="393">
        <f t="shared" si="34"/>
        <v>920187.12501344178</v>
      </c>
      <c r="CM27" s="393">
        <f t="shared" si="34"/>
        <v>920187.12501344178</v>
      </c>
      <c r="CN27" s="393">
        <f t="shared" si="34"/>
        <v>945290.5990803563</v>
      </c>
      <c r="CO27" s="393">
        <f t="shared" si="34"/>
        <v>945290.5990803563</v>
      </c>
      <c r="CP27" s="393">
        <f t="shared" si="34"/>
        <v>945290.5990803563</v>
      </c>
      <c r="CQ27" s="393">
        <f t="shared" si="34"/>
        <v>945290.5990803563</v>
      </c>
      <c r="CR27" s="393">
        <f t="shared" si="34"/>
        <v>945290.5990803563</v>
      </c>
      <c r="CS27" s="393">
        <f t="shared" si="34"/>
        <v>945290.5990803563</v>
      </c>
      <c r="CT27" s="393">
        <f t="shared" si="34"/>
        <v>945290.5990803563</v>
      </c>
      <c r="CU27" s="393">
        <f t="shared" si="34"/>
        <v>945290.5990803563</v>
      </c>
      <c r="CV27" s="393">
        <f t="shared" si="34"/>
        <v>945290.5990803563</v>
      </c>
      <c r="CW27" s="393">
        <f t="shared" si="34"/>
        <v>945290.5990803563</v>
      </c>
      <c r="CX27" s="393">
        <f t="shared" si="34"/>
        <v>945290.5990803563</v>
      </c>
      <c r="CY27" s="393">
        <f t="shared" si="34"/>
        <v>945290.5990803563</v>
      </c>
      <c r="CZ27" s="393">
        <f t="shared" si="34"/>
        <v>971080.38524669211</v>
      </c>
      <c r="DA27" s="393">
        <f t="shared" si="34"/>
        <v>971080.38524669211</v>
      </c>
      <c r="DB27" s="393">
        <f t="shared" si="34"/>
        <v>971080.38524669211</v>
      </c>
      <c r="DC27" s="393">
        <f t="shared" si="34"/>
        <v>971080.38524669211</v>
      </c>
      <c r="DD27" s="393">
        <f t="shared" si="34"/>
        <v>971080.38524669211</v>
      </c>
      <c r="DE27" s="393">
        <f t="shared" si="34"/>
        <v>971080.38524669211</v>
      </c>
      <c r="DF27" s="393">
        <f t="shared" si="34"/>
        <v>971080.38524669211</v>
      </c>
      <c r="DG27" s="393">
        <f t="shared" si="34"/>
        <v>971080.38524669211</v>
      </c>
      <c r="DH27" s="393">
        <f t="shared" si="34"/>
        <v>971080.38524669211</v>
      </c>
      <c r="DI27" s="393">
        <f t="shared" si="34"/>
        <v>971080.38524669211</v>
      </c>
      <c r="DJ27" s="393">
        <f t="shared" si="34"/>
        <v>971080.38524669211</v>
      </c>
      <c r="DK27" s="393">
        <f t="shared" si="34"/>
        <v>971080.38524669211</v>
      </c>
      <c r="DL27" s="393">
        <f t="shared" si="34"/>
        <v>997575.27642643475</v>
      </c>
      <c r="DM27" s="393">
        <f t="shared" si="34"/>
        <v>997575.27642643475</v>
      </c>
      <c r="DN27" s="393">
        <f t="shared" si="34"/>
        <v>997575.27642643475</v>
      </c>
      <c r="DO27" s="393">
        <f t="shared" si="34"/>
        <v>997575.27642643475</v>
      </c>
      <c r="DP27" s="393">
        <f t="shared" si="34"/>
        <v>997575.27642643475</v>
      </c>
      <c r="DQ27" s="393">
        <f t="shared" si="34"/>
        <v>997575.27642643475</v>
      </c>
      <c r="DR27" s="393">
        <f t="shared" si="34"/>
        <v>997575.27642643475</v>
      </c>
      <c r="DS27" s="393">
        <f t="shared" si="34"/>
        <v>997575.27642643475</v>
      </c>
      <c r="DT27" s="393">
        <f t="shared" si="34"/>
        <v>997575.27642643475</v>
      </c>
      <c r="DU27" s="393">
        <f t="shared" si="34"/>
        <v>997575.27642643475</v>
      </c>
      <c r="DV27" s="393">
        <f t="shared" si="34"/>
        <v>997575.27642643475</v>
      </c>
      <c r="DW27" s="393">
        <f t="shared" si="34"/>
        <v>997575.27642643475</v>
      </c>
      <c r="DX27" s="393">
        <f t="shared" si="34"/>
        <v>1024794.5807253293</v>
      </c>
      <c r="DY27" s="393">
        <f t="shared" si="34"/>
        <v>1024794.5807253293</v>
      </c>
      <c r="DZ27" s="393">
        <f t="shared" si="34"/>
        <v>1024794.5807253293</v>
      </c>
      <c r="EA27" s="393">
        <f t="shared" si="34"/>
        <v>1024794.5807253293</v>
      </c>
      <c r="EB27" s="393">
        <f t="shared" si="34"/>
        <v>1024794.5807253293</v>
      </c>
      <c r="EC27" s="393">
        <f t="shared" si="34"/>
        <v>1024794.5807253293</v>
      </c>
      <c r="ED27" s="393">
        <f t="shared" si="34"/>
        <v>1024794.5807253293</v>
      </c>
      <c r="EE27" s="393">
        <f t="shared" si="34"/>
        <v>1024794.5807253293</v>
      </c>
      <c r="EF27" s="393">
        <f t="shared" si="34"/>
        <v>1024794.5807253293</v>
      </c>
      <c r="EG27" s="393">
        <f t="shared" si="34"/>
        <v>1024794.5807253293</v>
      </c>
      <c r="EH27" s="393">
        <f t="shared" ref="EH27:EK27" si="35">+EH24-EH26</f>
        <v>1024794.5807253293</v>
      </c>
      <c r="EI27" s="393">
        <f t="shared" si="35"/>
        <v>1024794.5807253293</v>
      </c>
      <c r="EJ27" s="393">
        <f t="shared" si="35"/>
        <v>1052758.1355763869</v>
      </c>
      <c r="EK27" s="393">
        <f t="shared" si="35"/>
        <v>1052758.1355763869</v>
      </c>
      <c r="EL27" s="400"/>
    </row>
    <row r="28" spans="2:142" ht="14.4" x14ac:dyDescent="0.3">
      <c r="B28" s="370"/>
      <c r="C28" s="402"/>
      <c r="F28" s="404"/>
      <c r="G28" s="405"/>
      <c r="J28" s="406"/>
      <c r="K28" s="406"/>
      <c r="L28" s="406"/>
      <c r="M28" s="406"/>
      <c r="N28" s="406"/>
      <c r="O28" s="406"/>
      <c r="P28" s="406"/>
      <c r="Q28" s="406"/>
      <c r="R28" s="406"/>
      <c r="S28" s="406"/>
      <c r="T28" s="406"/>
      <c r="U28" s="406"/>
      <c r="V28" s="406"/>
      <c r="W28" s="406"/>
      <c r="X28" s="406"/>
      <c r="Y28" s="406"/>
      <c r="Z28" s="406"/>
      <c r="AA28" s="406"/>
      <c r="AB28" s="406"/>
      <c r="AC28" s="406"/>
      <c r="AD28" s="406"/>
      <c r="AE28" s="406"/>
      <c r="AF28" s="406"/>
      <c r="AG28" s="406"/>
      <c r="AH28" s="406"/>
      <c r="AI28" s="406"/>
      <c r="AJ28" s="406"/>
      <c r="AK28" s="406"/>
      <c r="AL28" s="406"/>
      <c r="AM28" s="406"/>
      <c r="AN28" s="406"/>
      <c r="AO28" s="406"/>
      <c r="AP28" s="406"/>
      <c r="AQ28" s="406"/>
      <c r="AR28" s="406"/>
      <c r="AS28" s="406"/>
      <c r="AT28" s="406"/>
      <c r="AU28" s="406"/>
      <c r="AV28" s="406"/>
      <c r="AW28" s="406"/>
      <c r="AX28" s="406"/>
      <c r="AY28" s="406"/>
      <c r="AZ28" s="406"/>
      <c r="BA28" s="406"/>
      <c r="BB28" s="406"/>
      <c r="BC28" s="406"/>
      <c r="BD28" s="406"/>
      <c r="BE28" s="406"/>
      <c r="BF28" s="406"/>
      <c r="BG28" s="406"/>
      <c r="BH28" s="406"/>
      <c r="BI28" s="406"/>
      <c r="BJ28" s="406"/>
      <c r="BK28" s="406"/>
      <c r="BL28" s="406"/>
      <c r="BM28" s="406"/>
      <c r="BN28" s="406"/>
      <c r="BO28" s="406"/>
      <c r="BP28" s="406"/>
      <c r="BQ28" s="406"/>
      <c r="BR28" s="406"/>
      <c r="BS28" s="406"/>
      <c r="BT28" s="406"/>
      <c r="BU28" s="406"/>
      <c r="BV28" s="406"/>
      <c r="BW28" s="406"/>
      <c r="BX28" s="406"/>
      <c r="BY28" s="406"/>
      <c r="BZ28" s="406"/>
      <c r="CA28" s="406"/>
      <c r="CB28" s="406"/>
      <c r="CC28" s="406"/>
      <c r="CD28" s="406"/>
      <c r="CE28" s="406"/>
      <c r="CF28" s="406"/>
      <c r="CG28" s="406"/>
      <c r="CH28" s="406"/>
      <c r="CI28" s="406"/>
      <c r="CJ28" s="406"/>
      <c r="CK28" s="406"/>
      <c r="CL28" s="406"/>
      <c r="CM28" s="406"/>
      <c r="CN28" s="406"/>
      <c r="CO28" s="406"/>
      <c r="CP28" s="406"/>
      <c r="CQ28" s="406"/>
      <c r="CR28" s="406"/>
      <c r="CS28" s="406"/>
      <c r="CT28" s="406"/>
      <c r="CU28" s="406"/>
      <c r="CV28" s="406"/>
      <c r="CW28" s="406"/>
      <c r="CX28" s="406"/>
      <c r="CY28" s="406"/>
      <c r="CZ28" s="406"/>
      <c r="DA28" s="406"/>
      <c r="DB28" s="406"/>
      <c r="DC28" s="406"/>
      <c r="DD28" s="406"/>
      <c r="DE28" s="406"/>
      <c r="DF28" s="406"/>
      <c r="DG28" s="406"/>
      <c r="DH28" s="406"/>
      <c r="DI28" s="406"/>
      <c r="DJ28" s="406"/>
      <c r="DK28" s="406"/>
      <c r="DL28" s="406"/>
      <c r="DM28" s="406"/>
      <c r="DN28" s="406"/>
      <c r="DO28" s="406"/>
      <c r="DP28" s="406"/>
      <c r="DQ28" s="406"/>
      <c r="DR28" s="406"/>
      <c r="DS28" s="406"/>
      <c r="DT28" s="406"/>
      <c r="DU28" s="406"/>
      <c r="DV28" s="406"/>
      <c r="DW28" s="406"/>
      <c r="DX28" s="406"/>
      <c r="DY28" s="406"/>
      <c r="DZ28" s="406"/>
      <c r="EA28" s="406"/>
      <c r="EB28" s="406"/>
      <c r="EC28" s="406"/>
      <c r="ED28" s="406"/>
      <c r="EE28" s="406"/>
      <c r="EF28" s="406"/>
      <c r="EG28" s="406"/>
      <c r="EH28" s="406"/>
      <c r="EI28" s="406"/>
      <c r="EJ28" s="406"/>
      <c r="EK28" s="406"/>
      <c r="EL28" s="400"/>
    </row>
    <row r="29" spans="2:142" ht="14.4" x14ac:dyDescent="0.3">
      <c r="B29" s="370"/>
      <c r="C29" s="286" t="s">
        <v>36</v>
      </c>
      <c r="D29" s="287"/>
      <c r="E29" s="287"/>
      <c r="F29" s="288"/>
      <c r="G29" s="289"/>
      <c r="H29" s="290">
        <f>SUM(J29:EK29)</f>
        <v>192187727.11954087</v>
      </c>
      <c r="I29" s="287"/>
      <c r="J29" s="291">
        <f>(J16=Summary!$C$22)*SUM(OpProj!J27:U27)/Summary!$G$43</f>
        <v>0</v>
      </c>
      <c r="K29" s="291">
        <f>(K16=Summary!$C$22)*SUM(OpProj!K27:V27)/Summary!$G$43</f>
        <v>0</v>
      </c>
      <c r="L29" s="291">
        <f>(L16=Summary!$C$22)*SUM(OpProj!L27:W27)/Summary!$G$43</f>
        <v>0</v>
      </c>
      <c r="M29" s="291">
        <f>(M16=Summary!$C$22)*SUM(OpProj!M27:X27)/Summary!$G$43</f>
        <v>0</v>
      </c>
      <c r="N29" s="291">
        <f>(N16=Summary!$C$22)*SUM(OpProj!N27:Y27)/Summary!$G$43</f>
        <v>0</v>
      </c>
      <c r="O29" s="291">
        <f>(O16=Summary!$C$22)*SUM(OpProj!O27:Z27)/Summary!$G$43</f>
        <v>0</v>
      </c>
      <c r="P29" s="291">
        <f>(P16=Summary!$C$22)*SUM(OpProj!P27:AA27)/Summary!$G$43</f>
        <v>0</v>
      </c>
      <c r="Q29" s="291">
        <f>(Q16=Summary!$C$22)*SUM(OpProj!Q27:AB27)/Summary!$G$43</f>
        <v>0</v>
      </c>
      <c r="R29" s="291">
        <f>(R16=Summary!$C$22)*SUM(OpProj!R27:AC27)/Summary!$G$43</f>
        <v>192187727.11954087</v>
      </c>
      <c r="S29" s="291">
        <f>(S16=Summary!$C$22)*SUM(OpProj!S27:AD27)/Summary!$G$43</f>
        <v>0</v>
      </c>
      <c r="T29" s="291">
        <f>(T16=Summary!$C$22)*SUM(OpProj!T27:AE27)/Summary!$G$43</f>
        <v>0</v>
      </c>
      <c r="U29" s="291">
        <f>(U16=Summary!$C$22)*SUM(OpProj!U27:AF27)/Summary!$G$43</f>
        <v>0</v>
      </c>
      <c r="V29" s="291">
        <f>(V16=Summary!$C$22)*SUM(OpProj!V27:AG27)/Summary!$G$43</f>
        <v>0</v>
      </c>
      <c r="W29" s="291">
        <f>(W16=Summary!$C$22)*SUM(OpProj!W27:AH27)/Summary!$G$43</f>
        <v>0</v>
      </c>
      <c r="X29" s="291">
        <f>(X16=Summary!$C$22)*SUM(OpProj!X27:AI27)/Summary!$G$43</f>
        <v>0</v>
      </c>
      <c r="Y29" s="291">
        <f>(Y16=Summary!$C$22)*SUM(OpProj!Y27:AJ27)/Summary!$G$43</f>
        <v>0</v>
      </c>
      <c r="Z29" s="291">
        <f>(Z16=Summary!$C$22)*SUM(OpProj!Z27:AK27)/Summary!$G$43</f>
        <v>0</v>
      </c>
      <c r="AA29" s="291">
        <f>(AA16=Summary!$C$22)*SUM(OpProj!AA27:AL27)/Summary!$G$43</f>
        <v>0</v>
      </c>
      <c r="AB29" s="291">
        <f>(AB16=Summary!$C$22)*SUM(OpProj!AB27:AM27)/Summary!$G$43</f>
        <v>0</v>
      </c>
      <c r="AC29" s="291">
        <f>(AC16=Summary!$C$22)*SUM(OpProj!AC27:AN27)/Summary!$G$43</f>
        <v>0</v>
      </c>
      <c r="AD29" s="291">
        <f>(AD16=Summary!$C$22)*SUM(OpProj!AD27:AO27)/Summary!$G$43</f>
        <v>0</v>
      </c>
      <c r="AE29" s="291">
        <f>(AE16=Summary!$C$22)*SUM(OpProj!AE27:AP27)/Summary!$G$43</f>
        <v>0</v>
      </c>
      <c r="AF29" s="291">
        <f>(AF16=Summary!$C$22)*SUM(OpProj!AF27:AQ27)/Summary!$G$43</f>
        <v>0</v>
      </c>
      <c r="AG29" s="291">
        <f>(AG16=Summary!$C$22)*SUM(OpProj!AG27:AR27)/Summary!$G$43</f>
        <v>0</v>
      </c>
      <c r="AH29" s="291">
        <f>(AH16=Summary!$C$22)*SUM(OpProj!AH27:AS27)/Summary!$G$43</f>
        <v>0</v>
      </c>
      <c r="AI29" s="291">
        <f>(AI16=Summary!$C$22)*SUM(OpProj!AI27:AT27)/Summary!$G$43</f>
        <v>0</v>
      </c>
      <c r="AJ29" s="291">
        <f>(AJ16=Summary!$C$22)*SUM(OpProj!AJ27:AU27)/Summary!$G$43</f>
        <v>0</v>
      </c>
      <c r="AK29" s="291">
        <f>(AK16=Summary!$C$22)*SUM(OpProj!AK27:AV27)/Summary!$G$43</f>
        <v>0</v>
      </c>
      <c r="AL29" s="291">
        <f>(AL16=Summary!$C$22)*SUM(OpProj!AL27:AW27)/Summary!$G$43</f>
        <v>0</v>
      </c>
      <c r="AM29" s="291">
        <f>(AM16=Summary!$C$22)*SUM(OpProj!AM27:AX27)/Summary!$G$43</f>
        <v>0</v>
      </c>
      <c r="AN29" s="291">
        <f>(AN16=Summary!$C$22)*SUM(OpProj!AN27:AY27)/Summary!$G$43</f>
        <v>0</v>
      </c>
      <c r="AO29" s="291">
        <f>(AO16=Summary!$C$22)*SUM(OpProj!AO27:AZ27)/Summary!$G$43</f>
        <v>0</v>
      </c>
      <c r="AP29" s="291">
        <f>(AP16=Summary!$C$22)*SUM(OpProj!AP27:BA27)/Summary!$G$43</f>
        <v>0</v>
      </c>
      <c r="AQ29" s="291">
        <f>(AQ16=Summary!$C$22)*SUM(OpProj!AQ27:BB27)/Summary!$G$43</f>
        <v>0</v>
      </c>
      <c r="AR29" s="291">
        <f>(AR16=Summary!$C$22)*SUM(OpProj!AR27:BC27)/Summary!$G$43</f>
        <v>0</v>
      </c>
      <c r="AS29" s="291">
        <f>(AS16=Summary!$C$22)*SUM(OpProj!AS27:BD27)/Summary!$G$43</f>
        <v>0</v>
      </c>
      <c r="AT29" s="291">
        <f>(AT16=Summary!$C$22)*SUM(OpProj!AT27:BE27)/Summary!$G$43</f>
        <v>0</v>
      </c>
      <c r="AU29" s="291">
        <f>(AU16=Summary!$C$22)*SUM(OpProj!AU27:BF27)/Summary!$G$43</f>
        <v>0</v>
      </c>
      <c r="AV29" s="291">
        <f>(AV16=Summary!$C$22)*SUM(OpProj!AV27:BG27)/Summary!$G$43</f>
        <v>0</v>
      </c>
      <c r="AW29" s="291">
        <f>(AW16=Summary!$C$22)*SUM(OpProj!AW27:BH27)/Summary!$G$43</f>
        <v>0</v>
      </c>
      <c r="AX29" s="291">
        <f>(AX16=Summary!$C$22)*SUM(OpProj!AX27:BI27)/Summary!$G$43</f>
        <v>0</v>
      </c>
      <c r="AY29" s="291">
        <f>(AY16=Summary!$C$22)*SUM(OpProj!AY27:BJ27)/Summary!$G$43</f>
        <v>0</v>
      </c>
      <c r="AZ29" s="291">
        <f>(AZ16=Summary!$C$22)*SUM(OpProj!AZ27:BK27)/Summary!$G$43</f>
        <v>0</v>
      </c>
      <c r="BA29" s="291">
        <f>(BA16=Summary!$C$22)*SUM(OpProj!BA27:BL27)/Summary!$G$43</f>
        <v>0</v>
      </c>
      <c r="BB29" s="291">
        <f>(BB16=Summary!$C$22)*SUM(OpProj!BB27:BM27)/Summary!$G$43</f>
        <v>0</v>
      </c>
      <c r="BC29" s="291">
        <f>(BC16=Summary!$C$22)*SUM(OpProj!BC27:BN27)/Summary!$G$43</f>
        <v>0</v>
      </c>
      <c r="BD29" s="291">
        <f>(BD16=Summary!$C$22)*SUM(OpProj!BD27:BO27)/Summary!$G$43</f>
        <v>0</v>
      </c>
      <c r="BE29" s="291">
        <f>(BE16=Summary!$C$22)*SUM(OpProj!BE27:BP27)/Summary!$G$43</f>
        <v>0</v>
      </c>
      <c r="BF29" s="291">
        <f>(BF16=Summary!$C$22)*SUM(OpProj!BF27:BQ27)/Summary!$G$43</f>
        <v>0</v>
      </c>
      <c r="BG29" s="291">
        <f>(BG16=Summary!$C$22)*SUM(OpProj!BG27:BR27)/Summary!$G$43</f>
        <v>0</v>
      </c>
      <c r="BH29" s="291">
        <f>(BH16=Summary!$C$22)*SUM(OpProj!BH27:BS27)/Summary!$G$43</f>
        <v>0</v>
      </c>
      <c r="BI29" s="291">
        <f>(BI16=Summary!$C$22)*SUM(OpProj!BI27:BT27)/Summary!$G$43</f>
        <v>0</v>
      </c>
      <c r="BJ29" s="291">
        <f>(BJ16=Summary!$C$22)*SUM(OpProj!BJ27:BU27)/Summary!$G$43</f>
        <v>0</v>
      </c>
      <c r="BK29" s="291">
        <f>(BK16=Summary!$C$22)*SUM(OpProj!BK27:BV27)/Summary!$G$43</f>
        <v>0</v>
      </c>
      <c r="BL29" s="291">
        <f>(BL16=Summary!$C$22)*SUM(OpProj!BL27:BW27)/Summary!$G$43</f>
        <v>0</v>
      </c>
      <c r="BM29" s="291">
        <f>(BM16=Summary!$C$22)*SUM(OpProj!BM27:BX27)/Summary!$G$43</f>
        <v>0</v>
      </c>
      <c r="BN29" s="291">
        <f>(BN16=Summary!$C$22)*SUM(OpProj!BN27:BY27)/Summary!$G$43</f>
        <v>0</v>
      </c>
      <c r="BO29" s="291">
        <f>(BO16=Summary!$C$22)*SUM(OpProj!BO27:BZ27)/Summary!$G$43</f>
        <v>0</v>
      </c>
      <c r="BP29" s="291">
        <f>(BP16=Summary!$C$22)*SUM(OpProj!BP27:CA27)/Summary!$G$43</f>
        <v>0</v>
      </c>
      <c r="BQ29" s="291">
        <f>(BQ16=Summary!$C$22)*SUM(OpProj!BQ27:CB27)/Summary!$G$43</f>
        <v>0</v>
      </c>
      <c r="BR29" s="291">
        <f>(BR16=Summary!$C$22)*SUM(OpProj!BR27:CC27)/Summary!$G$43</f>
        <v>0</v>
      </c>
      <c r="BS29" s="291">
        <f>(BS16=Summary!$C$22)*SUM(OpProj!BS27:CD27)/Summary!$G$43</f>
        <v>0</v>
      </c>
      <c r="BT29" s="291">
        <f>(BT16=Summary!$C$22)*SUM(OpProj!BT27:CE27)/Summary!$G$43</f>
        <v>0</v>
      </c>
      <c r="BU29" s="291">
        <f>(BU16=Summary!$C$22)*SUM(OpProj!BU27:CF27)/Summary!$G$43</f>
        <v>0</v>
      </c>
      <c r="BV29" s="291">
        <f>(BV16=Summary!$C$22)*SUM(OpProj!BV27:CG27)/Summary!$G$43</f>
        <v>0</v>
      </c>
      <c r="BW29" s="291">
        <f>(BW16=Summary!$C$22)*SUM(OpProj!BW27:CH27)/Summary!$G$43</f>
        <v>0</v>
      </c>
      <c r="BX29" s="291">
        <f>(BX16=Summary!$C$22)*SUM(OpProj!BX27:CI27)/Summary!$G$43</f>
        <v>0</v>
      </c>
      <c r="BY29" s="291">
        <f>(BY16=Summary!$C$22)*SUM(OpProj!BY27:CJ27)/Summary!$G$43</f>
        <v>0</v>
      </c>
      <c r="BZ29" s="291">
        <f>(BZ16=Summary!$C$22)*SUM(OpProj!BZ27:CK27)/Summary!$G$43</f>
        <v>0</v>
      </c>
      <c r="CA29" s="291">
        <f>(CA16=Summary!$C$22)*SUM(OpProj!CA27:CL27)/Summary!$G$43</f>
        <v>0</v>
      </c>
      <c r="CB29" s="291">
        <f>(CB16=Summary!$C$22)*SUM(OpProj!CB27:CM27)/Summary!$G$43</f>
        <v>0</v>
      </c>
      <c r="CC29" s="291">
        <f>(CC16=Summary!$C$22)*SUM(OpProj!CC27:CN27)/Summary!$G$43</f>
        <v>0</v>
      </c>
      <c r="CD29" s="291">
        <f>(CD16=Summary!$C$22)*SUM(OpProj!CD27:CO27)/Summary!$G$43</f>
        <v>0</v>
      </c>
      <c r="CE29" s="291">
        <f>(CE16=Summary!$C$22)*SUM(OpProj!CE27:CP27)/Summary!$G$43</f>
        <v>0</v>
      </c>
      <c r="CF29" s="291">
        <f>(CF16=Summary!$C$22)*SUM(OpProj!CF27:CQ27)/Summary!$G$43</f>
        <v>0</v>
      </c>
      <c r="CG29" s="291">
        <f>(CG16=Summary!$C$22)*SUM(OpProj!CG27:CR27)/Summary!$G$43</f>
        <v>0</v>
      </c>
      <c r="CH29" s="291">
        <f>(CH16=Summary!$C$22)*SUM(OpProj!CH27:CS27)/Summary!$G$43</f>
        <v>0</v>
      </c>
      <c r="CI29" s="291">
        <f>(CI16=Summary!$C$22)*SUM(OpProj!CI27:CT27)/Summary!$G$43</f>
        <v>0</v>
      </c>
      <c r="CJ29" s="291">
        <f>(CJ16=Summary!$C$22)*SUM(OpProj!CJ27:CU27)/Summary!$G$43</f>
        <v>0</v>
      </c>
      <c r="CK29" s="291">
        <f>(CK16=Summary!$C$22)*SUM(OpProj!CK27:CV27)/Summary!$G$43</f>
        <v>0</v>
      </c>
      <c r="CL29" s="291">
        <f>(CL16=Summary!$C$22)*SUM(OpProj!CL27:CW27)/Summary!$G$43</f>
        <v>0</v>
      </c>
      <c r="CM29" s="291">
        <f>(CM16=Summary!$C$22)*SUM(OpProj!CM27:CX27)/Summary!$G$43</f>
        <v>0</v>
      </c>
      <c r="CN29" s="291">
        <f>(CN16=Summary!$C$22)*SUM(OpProj!CN27:CY27)/Summary!$G$43</f>
        <v>0</v>
      </c>
      <c r="CO29" s="291">
        <f>(CO16=Summary!$C$22)*SUM(OpProj!CO27:CZ27)/Summary!$G$43</f>
        <v>0</v>
      </c>
      <c r="CP29" s="291">
        <f>(CP16=Summary!$C$22)*SUM(OpProj!CP27:DA27)/Summary!$G$43</f>
        <v>0</v>
      </c>
      <c r="CQ29" s="291">
        <f>(CQ16=Summary!$C$22)*SUM(OpProj!CQ27:DB27)/Summary!$G$43</f>
        <v>0</v>
      </c>
      <c r="CR29" s="291">
        <f>(CR16=Summary!$C$22)*SUM(OpProj!CR27:DC27)/Summary!$G$43</f>
        <v>0</v>
      </c>
      <c r="CS29" s="291">
        <f>(CS16=Summary!$C$22)*SUM(OpProj!CS27:DD27)/Summary!$G$43</f>
        <v>0</v>
      </c>
      <c r="CT29" s="291">
        <f>(CT16=Summary!$C$22)*SUM(OpProj!CT27:DE27)/Summary!$G$43</f>
        <v>0</v>
      </c>
      <c r="CU29" s="291">
        <f>(CU16=Summary!$C$22)*SUM(OpProj!CU27:DF27)/Summary!$G$43</f>
        <v>0</v>
      </c>
      <c r="CV29" s="291">
        <f>(CV16=Summary!$C$22)*SUM(OpProj!CV27:DG27)/Summary!$G$43</f>
        <v>0</v>
      </c>
      <c r="CW29" s="291">
        <f>(CW16=Summary!$C$22)*SUM(OpProj!CW27:DH27)/Summary!$G$43</f>
        <v>0</v>
      </c>
      <c r="CX29" s="291">
        <f>(CX16=Summary!$C$22)*SUM(OpProj!CX27:DI27)/Summary!$G$43</f>
        <v>0</v>
      </c>
      <c r="CY29" s="291">
        <f>(CY16=Summary!$C$22)*SUM(OpProj!CY27:DJ27)/Summary!$G$43</f>
        <v>0</v>
      </c>
      <c r="CZ29" s="291">
        <f>(CZ16=Summary!$C$22)*SUM(OpProj!CZ27:DK27)/Summary!$G$43</f>
        <v>0</v>
      </c>
      <c r="DA29" s="291">
        <f>(DA16=Summary!$C$22)*SUM(OpProj!DA27:DL27)/Summary!$G$43</f>
        <v>0</v>
      </c>
      <c r="DB29" s="291">
        <f>(DB16=Summary!$C$22)*SUM(OpProj!DB27:DM27)/Summary!$G$43</f>
        <v>0</v>
      </c>
      <c r="DC29" s="291">
        <f>(DC16=Summary!$C$22)*SUM(OpProj!DC27:DN27)/Summary!$G$43</f>
        <v>0</v>
      </c>
      <c r="DD29" s="291">
        <f>(DD16=Summary!$C$22)*SUM(OpProj!DD27:DO27)/Summary!$G$43</f>
        <v>0</v>
      </c>
      <c r="DE29" s="291">
        <f>(DE16=Summary!$C$22)*SUM(OpProj!DE27:DP27)/Summary!$G$43</f>
        <v>0</v>
      </c>
      <c r="DF29" s="291">
        <f>(DF16=Summary!$C$22)*SUM(OpProj!DF27:DQ27)/Summary!$G$43</f>
        <v>0</v>
      </c>
      <c r="DG29" s="291">
        <f>(DG16=Summary!$C$22)*SUM(OpProj!DG27:DR27)/Summary!$G$43</f>
        <v>0</v>
      </c>
      <c r="DH29" s="291">
        <f>(DH16=Summary!$C$22)*SUM(OpProj!DH27:DS27)/Summary!$G$43</f>
        <v>0</v>
      </c>
      <c r="DI29" s="291">
        <f>(DI16=Summary!$C$22)*SUM(OpProj!DI27:DT27)/Summary!$G$43</f>
        <v>0</v>
      </c>
      <c r="DJ29" s="291">
        <f>(DJ16=Summary!$C$22)*SUM(OpProj!DJ27:DU27)/Summary!$G$43</f>
        <v>0</v>
      </c>
      <c r="DK29" s="291">
        <f>(DK16=Summary!$C$22)*SUM(OpProj!DK27:DV27)/Summary!$G$43</f>
        <v>0</v>
      </c>
      <c r="DL29" s="291">
        <f>(DL16=Summary!$C$22)*SUM(OpProj!DL27:DW27)/Summary!$G$43</f>
        <v>0</v>
      </c>
      <c r="DM29" s="291">
        <f>(DM16=Summary!$C$22)*SUM(OpProj!DM27:DX27)/Summary!$G$43</f>
        <v>0</v>
      </c>
      <c r="DN29" s="291">
        <f>(DN16=Summary!$C$22)*SUM(OpProj!DN27:DY27)/Summary!$G$43</f>
        <v>0</v>
      </c>
      <c r="DO29" s="291">
        <f>(DO16=Summary!$C$22)*SUM(OpProj!DO27:DZ27)/Summary!$G$43</f>
        <v>0</v>
      </c>
      <c r="DP29" s="291">
        <f>(DP16=Summary!$C$22)*SUM(OpProj!DP27:EA27)/Summary!$G$43</f>
        <v>0</v>
      </c>
      <c r="DQ29" s="291">
        <f>(DQ16=Summary!$C$22)*SUM(OpProj!DQ27:EB27)/Summary!$G$43</f>
        <v>0</v>
      </c>
      <c r="DR29" s="291">
        <f>(DR16=Summary!$C$22)*SUM(OpProj!DR27:EC27)/Summary!$G$43</f>
        <v>0</v>
      </c>
      <c r="DS29" s="291">
        <f>(DS16=Summary!$C$22)*SUM(OpProj!DS27:ED27)/Summary!$G$43</f>
        <v>0</v>
      </c>
      <c r="DT29" s="291">
        <f>(DT16=Summary!$C$22)*SUM(OpProj!DT27:EE27)/Summary!$G$43</f>
        <v>0</v>
      </c>
      <c r="DU29" s="291">
        <f>(DU16=Summary!$C$22)*SUM(OpProj!DU27:EF27)/Summary!$G$43</f>
        <v>0</v>
      </c>
      <c r="DV29" s="291">
        <f>(DV16=Summary!$C$22)*SUM(OpProj!DV27:EG27)/Summary!$G$43</f>
        <v>0</v>
      </c>
      <c r="DW29" s="291">
        <f>(DW16=Summary!$C$22)*SUM(OpProj!DW27:EH27)/Summary!$G$43</f>
        <v>0</v>
      </c>
      <c r="DX29" s="291">
        <f>(DX16=Summary!$C$22)*SUM(OpProj!DX27:EI27)/Summary!$G$43</f>
        <v>0</v>
      </c>
      <c r="DY29" s="291">
        <f>(DY16=Summary!$C$22)*SUM(OpProj!DY27:EJ27)/Summary!$G$43</f>
        <v>0</v>
      </c>
      <c r="DZ29" s="291">
        <f>(DZ16=Summary!$C$22)*SUM(OpProj!DZ27:EK27)/Summary!$G$43</f>
        <v>0</v>
      </c>
      <c r="EA29" s="291">
        <f>(EA16=Summary!$C$22)*SUM(OpProj!EA27:EL27)/Summary!$G$43</f>
        <v>0</v>
      </c>
      <c r="EB29" s="291">
        <f>(EB16=Summary!$C$22)*SUM(OpProj!EB27:EM27)/Summary!$G$43</f>
        <v>0</v>
      </c>
      <c r="EC29" s="291">
        <f>(EC16=Summary!$C$22)*SUM(OpProj!EC27:EN27)/Summary!$G$43</f>
        <v>0</v>
      </c>
      <c r="ED29" s="291">
        <f>(ED16=Summary!$C$22)*SUM(OpProj!ED27:EO27)/Summary!$G$43</f>
        <v>0</v>
      </c>
      <c r="EE29" s="291">
        <f>(EE16=Summary!$C$22)*SUM(OpProj!EE27:EP27)/Summary!$G$43</f>
        <v>0</v>
      </c>
      <c r="EF29" s="291">
        <f>(EF16=Summary!$C$22)*SUM(OpProj!EF27:EQ27)/Summary!$G$43</f>
        <v>0</v>
      </c>
      <c r="EG29" s="291">
        <f>(EG16=Summary!$C$22)*SUM(OpProj!EG27:ER27)/Summary!$G$43</f>
        <v>0</v>
      </c>
      <c r="EH29" s="291">
        <f>(EH16=Summary!$C$22)*SUM(OpProj!EH27:ES27)/Summary!$G$43</f>
        <v>0</v>
      </c>
      <c r="EI29" s="291">
        <f>(EI16=Summary!$C$22)*SUM(OpProj!EI27:ET27)/Summary!$G$43</f>
        <v>0</v>
      </c>
      <c r="EJ29" s="291">
        <f>(EJ16=Summary!$C$22)*SUM(OpProj!EJ27:EU27)/Summary!$G$43</f>
        <v>0</v>
      </c>
      <c r="EK29" s="292">
        <f>(EK16=Summary!$C$22)*SUM(OpProj!EK27:EV27)/Summary!$G$43</f>
        <v>0</v>
      </c>
      <c r="EL29" s="400"/>
    </row>
    <row r="30" spans="2:142" ht="14.4" x14ac:dyDescent="0.3">
      <c r="B30" s="370"/>
      <c r="C30" s="402"/>
      <c r="F30" s="404"/>
      <c r="G30" s="405"/>
      <c r="J30" s="406"/>
      <c r="K30" s="406"/>
      <c r="L30" s="406"/>
      <c r="M30" s="406"/>
      <c r="N30" s="406"/>
      <c r="O30" s="406"/>
      <c r="P30" s="406"/>
      <c r="Q30" s="406"/>
      <c r="R30" s="406"/>
      <c r="S30" s="406"/>
      <c r="T30" s="406"/>
      <c r="U30" s="406"/>
      <c r="V30" s="406"/>
      <c r="W30" s="406"/>
      <c r="X30" s="406"/>
      <c r="Y30" s="406"/>
      <c r="Z30" s="406"/>
      <c r="AA30" s="406"/>
      <c r="AB30" s="406"/>
      <c r="AC30" s="406"/>
      <c r="AD30" s="406"/>
      <c r="AE30" s="406"/>
      <c r="AF30" s="406"/>
      <c r="AG30" s="406"/>
      <c r="AH30" s="406"/>
      <c r="AI30" s="406"/>
      <c r="AJ30" s="406"/>
      <c r="AK30" s="406"/>
      <c r="AL30" s="406"/>
      <c r="AM30" s="406"/>
      <c r="AN30" s="406"/>
      <c r="AO30" s="406"/>
      <c r="AP30" s="406"/>
      <c r="AQ30" s="406"/>
      <c r="AR30" s="406"/>
      <c r="AS30" s="406"/>
      <c r="AT30" s="406"/>
      <c r="AU30" s="406"/>
      <c r="AV30" s="406"/>
      <c r="AW30" s="406"/>
      <c r="AX30" s="406"/>
      <c r="AY30" s="406"/>
      <c r="AZ30" s="406"/>
      <c r="BA30" s="406"/>
      <c r="BB30" s="406"/>
      <c r="BC30" s="406"/>
      <c r="BD30" s="406"/>
      <c r="BE30" s="406"/>
      <c r="BF30" s="406"/>
      <c r="BG30" s="406"/>
      <c r="BH30" s="406"/>
      <c r="BI30" s="406"/>
      <c r="BJ30" s="406"/>
      <c r="BK30" s="406"/>
      <c r="BL30" s="406"/>
      <c r="BM30" s="406"/>
      <c r="BN30" s="406"/>
      <c r="BO30" s="406"/>
      <c r="BP30" s="406"/>
      <c r="BQ30" s="406"/>
      <c r="BR30" s="406"/>
      <c r="BS30" s="406"/>
      <c r="BT30" s="406"/>
      <c r="BU30" s="406"/>
      <c r="BV30" s="406"/>
      <c r="BW30" s="406"/>
      <c r="BX30" s="406"/>
      <c r="BY30" s="406"/>
      <c r="BZ30" s="406"/>
      <c r="CA30" s="406"/>
      <c r="CB30" s="406"/>
      <c r="CC30" s="406"/>
      <c r="CD30" s="406"/>
      <c r="CE30" s="406"/>
      <c r="CF30" s="406"/>
      <c r="CG30" s="406"/>
      <c r="CH30" s="406"/>
      <c r="CI30" s="406"/>
      <c r="CJ30" s="406"/>
      <c r="CK30" s="406"/>
      <c r="CL30" s="406"/>
      <c r="CM30" s="406"/>
      <c r="CN30" s="406"/>
      <c r="CO30" s="406"/>
      <c r="CP30" s="406"/>
      <c r="CQ30" s="406"/>
      <c r="CR30" s="406"/>
      <c r="CS30" s="406"/>
      <c r="CT30" s="406"/>
      <c r="CU30" s="406"/>
      <c r="CV30" s="406"/>
      <c r="CW30" s="406"/>
      <c r="CX30" s="406"/>
      <c r="CY30" s="406"/>
      <c r="CZ30" s="406"/>
      <c r="DA30" s="406"/>
      <c r="DB30" s="406"/>
      <c r="DC30" s="406"/>
      <c r="DD30" s="406"/>
      <c r="DE30" s="406"/>
      <c r="DF30" s="406"/>
      <c r="DG30" s="406"/>
      <c r="DH30" s="406"/>
      <c r="DI30" s="406"/>
      <c r="DJ30" s="406"/>
      <c r="DK30" s="406"/>
      <c r="DL30" s="406"/>
      <c r="DM30" s="406"/>
      <c r="DN30" s="406"/>
      <c r="DO30" s="406"/>
      <c r="DP30" s="406"/>
      <c r="DQ30" s="406"/>
      <c r="DR30" s="406"/>
      <c r="DS30" s="406"/>
      <c r="DT30" s="406"/>
      <c r="DU30" s="406"/>
      <c r="DV30" s="406"/>
      <c r="DW30" s="406"/>
      <c r="DX30" s="406"/>
      <c r="DY30" s="406"/>
      <c r="DZ30" s="406"/>
      <c r="EA30" s="406"/>
      <c r="EB30" s="406"/>
      <c r="EC30" s="406"/>
      <c r="ED30" s="406"/>
      <c r="EE30" s="406"/>
      <c r="EF30" s="406"/>
      <c r="EG30" s="406"/>
      <c r="EH30" s="406"/>
      <c r="EI30" s="406"/>
      <c r="EJ30" s="406"/>
      <c r="EK30" s="406"/>
      <c r="EL30" s="400"/>
    </row>
    <row r="31" spans="2:142" ht="16.2" x14ac:dyDescent="0.45">
      <c r="B31" s="370"/>
      <c r="C31" s="402" t="s">
        <v>157</v>
      </c>
      <c r="F31" s="404"/>
      <c r="G31" s="405"/>
      <c r="H31" s="401"/>
      <c r="J31" s="407"/>
      <c r="K31" s="407"/>
      <c r="L31" s="407"/>
      <c r="M31" s="407"/>
      <c r="N31" s="407"/>
      <c r="O31" s="407"/>
      <c r="P31" s="407"/>
      <c r="Q31" s="407"/>
      <c r="R31" s="407"/>
      <c r="S31" s="407"/>
      <c r="T31" s="407"/>
      <c r="U31" s="407"/>
      <c r="V31" s="407"/>
      <c r="W31" s="407"/>
      <c r="X31" s="407"/>
      <c r="Y31" s="407"/>
      <c r="Z31" s="407"/>
      <c r="AA31" s="407"/>
      <c r="AB31" s="407"/>
      <c r="AC31" s="407"/>
      <c r="AD31" s="407"/>
      <c r="AE31" s="407"/>
      <c r="AF31" s="407"/>
      <c r="AG31" s="407"/>
      <c r="AH31" s="407"/>
      <c r="AI31" s="407"/>
      <c r="AJ31" s="407"/>
      <c r="AK31" s="407"/>
      <c r="AL31" s="407"/>
      <c r="AM31" s="407"/>
      <c r="AN31" s="407"/>
      <c r="AO31" s="407"/>
      <c r="AP31" s="407"/>
      <c r="AQ31" s="407"/>
      <c r="AR31" s="407"/>
      <c r="AS31" s="407"/>
      <c r="AT31" s="407"/>
      <c r="AU31" s="407"/>
      <c r="AV31" s="407"/>
      <c r="AW31" s="407"/>
      <c r="AX31" s="407"/>
      <c r="AY31" s="407"/>
      <c r="AZ31" s="407"/>
      <c r="BA31" s="407"/>
      <c r="BB31" s="407"/>
      <c r="BC31" s="407"/>
      <c r="BD31" s="407"/>
      <c r="BE31" s="407"/>
      <c r="BF31" s="407"/>
      <c r="BG31" s="407"/>
      <c r="BH31" s="407"/>
      <c r="BI31" s="407"/>
      <c r="BJ31" s="407"/>
      <c r="BK31" s="407"/>
      <c r="BL31" s="407"/>
      <c r="BM31" s="407"/>
      <c r="BN31" s="407"/>
      <c r="BO31" s="407"/>
      <c r="BP31" s="407"/>
      <c r="BQ31" s="407"/>
      <c r="BR31" s="407"/>
      <c r="BS31" s="407"/>
      <c r="BT31" s="407"/>
      <c r="BU31" s="407"/>
      <c r="BV31" s="407"/>
      <c r="BW31" s="407"/>
      <c r="BX31" s="407"/>
      <c r="BY31" s="407"/>
      <c r="BZ31" s="407"/>
      <c r="CA31" s="407"/>
      <c r="CB31" s="407"/>
      <c r="CC31" s="407"/>
      <c r="CD31" s="407"/>
      <c r="CE31" s="407"/>
      <c r="CF31" s="407"/>
      <c r="CG31" s="407"/>
      <c r="CH31" s="407"/>
      <c r="CI31" s="407"/>
      <c r="CJ31" s="407"/>
      <c r="CK31" s="407"/>
      <c r="CL31" s="407"/>
      <c r="CM31" s="407"/>
      <c r="CN31" s="407"/>
      <c r="CO31" s="407"/>
      <c r="CP31" s="407"/>
      <c r="CQ31" s="407"/>
      <c r="CR31" s="407"/>
      <c r="CS31" s="407"/>
      <c r="CT31" s="407"/>
      <c r="CU31" s="407"/>
      <c r="CV31" s="407"/>
      <c r="CW31" s="407"/>
      <c r="CX31" s="407"/>
      <c r="CY31" s="407"/>
      <c r="CZ31" s="407"/>
      <c r="DA31" s="407"/>
      <c r="DB31" s="407"/>
      <c r="DC31" s="407"/>
      <c r="DD31" s="407"/>
      <c r="DE31" s="407"/>
      <c r="DF31" s="407"/>
      <c r="DG31" s="407"/>
      <c r="DH31" s="407"/>
      <c r="DI31" s="407"/>
      <c r="DJ31" s="407"/>
      <c r="DK31" s="407"/>
      <c r="DL31" s="407"/>
      <c r="DM31" s="407"/>
      <c r="DN31" s="407"/>
      <c r="DO31" s="407"/>
      <c r="DP31" s="407"/>
      <c r="DQ31" s="407"/>
      <c r="DR31" s="407"/>
      <c r="DS31" s="407"/>
      <c r="DT31" s="407"/>
      <c r="DU31" s="407"/>
      <c r="DV31" s="407"/>
      <c r="DW31" s="407"/>
      <c r="DX31" s="407"/>
      <c r="DY31" s="407"/>
      <c r="DZ31" s="407"/>
      <c r="EA31" s="407"/>
      <c r="EB31" s="407"/>
      <c r="EC31" s="407"/>
      <c r="ED31" s="407"/>
      <c r="EE31" s="407"/>
      <c r="EF31" s="407"/>
      <c r="EG31" s="407"/>
      <c r="EH31" s="407"/>
      <c r="EI31" s="407"/>
      <c r="EJ31" s="407"/>
      <c r="EK31" s="407"/>
      <c r="EL31" s="400"/>
    </row>
    <row r="32" spans="2:142" ht="14.4" x14ac:dyDescent="0.3">
      <c r="B32" s="408"/>
      <c r="C32" s="409"/>
      <c r="D32" s="409"/>
      <c r="E32" s="409"/>
      <c r="F32" s="409"/>
      <c r="G32" s="409"/>
      <c r="H32" s="410"/>
      <c r="I32" s="409"/>
      <c r="J32" s="411"/>
      <c r="K32" s="411"/>
      <c r="L32" s="411"/>
      <c r="M32" s="411"/>
      <c r="N32" s="411"/>
      <c r="O32" s="411"/>
      <c r="P32" s="411"/>
      <c r="Q32" s="411"/>
      <c r="R32" s="411"/>
      <c r="S32" s="411"/>
      <c r="T32" s="411"/>
      <c r="U32" s="411"/>
      <c r="V32" s="411"/>
      <c r="W32" s="411"/>
      <c r="X32" s="411"/>
      <c r="Y32" s="411"/>
      <c r="Z32" s="411"/>
      <c r="AA32" s="411"/>
      <c r="AB32" s="411"/>
      <c r="AC32" s="411"/>
      <c r="AD32" s="411"/>
      <c r="AE32" s="411"/>
      <c r="AF32" s="411"/>
      <c r="AG32" s="411"/>
      <c r="AH32" s="411"/>
      <c r="AI32" s="411"/>
      <c r="AJ32" s="411"/>
      <c r="AK32" s="411"/>
      <c r="AL32" s="411"/>
      <c r="AM32" s="411"/>
      <c r="AN32" s="411"/>
      <c r="AO32" s="411"/>
      <c r="AP32" s="411"/>
      <c r="AQ32" s="411"/>
      <c r="AR32" s="411"/>
      <c r="AS32" s="411"/>
      <c r="AT32" s="411"/>
      <c r="AU32" s="411"/>
      <c r="AV32" s="411"/>
      <c r="AW32" s="411"/>
      <c r="AX32" s="411"/>
      <c r="AY32" s="411"/>
      <c r="AZ32" s="411"/>
      <c r="BA32" s="411"/>
      <c r="BB32" s="411"/>
      <c r="BC32" s="411"/>
      <c r="BD32" s="411"/>
      <c r="BE32" s="411"/>
      <c r="BF32" s="411"/>
      <c r="BG32" s="411"/>
      <c r="BH32" s="411"/>
      <c r="BI32" s="411"/>
      <c r="BJ32" s="411"/>
      <c r="BK32" s="411"/>
      <c r="BL32" s="411"/>
      <c r="BM32" s="411"/>
      <c r="BN32" s="411"/>
      <c r="BO32" s="411"/>
      <c r="BP32" s="411"/>
      <c r="BQ32" s="411"/>
      <c r="BR32" s="411"/>
      <c r="BS32" s="411"/>
      <c r="BT32" s="411"/>
      <c r="BU32" s="411"/>
      <c r="BV32" s="411"/>
      <c r="BW32" s="411"/>
      <c r="BX32" s="411"/>
      <c r="BY32" s="411"/>
      <c r="BZ32" s="411"/>
      <c r="CA32" s="411"/>
      <c r="CB32" s="411"/>
      <c r="CC32" s="411"/>
      <c r="CD32" s="411"/>
      <c r="CE32" s="411"/>
      <c r="CF32" s="411"/>
      <c r="CG32" s="411"/>
      <c r="CH32" s="411"/>
      <c r="CI32" s="411"/>
      <c r="CJ32" s="411"/>
      <c r="CK32" s="411"/>
      <c r="CL32" s="411"/>
      <c r="CM32" s="411"/>
      <c r="CN32" s="411"/>
      <c r="CO32" s="411"/>
      <c r="CP32" s="411"/>
      <c r="CQ32" s="411"/>
      <c r="CR32" s="411"/>
      <c r="CS32" s="411"/>
      <c r="CT32" s="411"/>
      <c r="CU32" s="411"/>
      <c r="CV32" s="411"/>
      <c r="CW32" s="411"/>
      <c r="CX32" s="411"/>
      <c r="CY32" s="411"/>
      <c r="CZ32" s="411"/>
      <c r="DA32" s="411"/>
      <c r="DB32" s="411"/>
      <c r="DC32" s="411"/>
      <c r="DD32" s="411"/>
      <c r="DE32" s="411"/>
      <c r="DF32" s="411"/>
      <c r="DG32" s="411"/>
      <c r="DH32" s="411"/>
      <c r="DI32" s="411"/>
      <c r="DJ32" s="411"/>
      <c r="DK32" s="411"/>
      <c r="DL32" s="411"/>
      <c r="DM32" s="411"/>
      <c r="DN32" s="411"/>
      <c r="DO32" s="411"/>
      <c r="DP32" s="411"/>
      <c r="DQ32" s="411"/>
      <c r="DR32" s="411"/>
      <c r="DS32" s="411"/>
      <c r="DT32" s="411"/>
      <c r="DU32" s="411"/>
      <c r="DV32" s="411"/>
      <c r="DW32" s="411"/>
      <c r="DX32" s="411"/>
      <c r="DY32" s="411"/>
      <c r="DZ32" s="411"/>
      <c r="EA32" s="411"/>
      <c r="EB32" s="411"/>
      <c r="EC32" s="411"/>
      <c r="ED32" s="411"/>
      <c r="EE32" s="411"/>
      <c r="EF32" s="411"/>
      <c r="EG32" s="411"/>
      <c r="EH32" s="411"/>
      <c r="EI32" s="411"/>
      <c r="EJ32" s="411"/>
      <c r="EK32" s="411"/>
      <c r="EL32" s="412"/>
    </row>
    <row r="33" spans="2:145" ht="14.4" x14ac:dyDescent="0.3">
      <c r="B33" s="14"/>
      <c r="C33" s="14"/>
      <c r="D33" s="14"/>
      <c r="E33" s="14"/>
      <c r="F33" s="14"/>
      <c r="G33" s="14"/>
      <c r="H33" s="414"/>
      <c r="I33" s="14"/>
      <c r="J33" s="171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171"/>
      <c r="AN33" s="171"/>
      <c r="AO33" s="171"/>
      <c r="AP33" s="171"/>
      <c r="AQ33" s="171"/>
      <c r="AR33" s="171"/>
      <c r="AS33" s="171"/>
      <c r="AT33" s="171"/>
      <c r="AU33" s="171"/>
      <c r="AV33" s="171"/>
      <c r="AW33" s="171"/>
      <c r="AX33" s="171"/>
      <c r="AY33" s="171"/>
      <c r="AZ33" s="171"/>
      <c r="BA33" s="171"/>
      <c r="BB33" s="171"/>
      <c r="BC33" s="171"/>
      <c r="BD33" s="171"/>
      <c r="BE33" s="171"/>
      <c r="BF33" s="171"/>
      <c r="BG33" s="171"/>
      <c r="BH33" s="171"/>
      <c r="BI33" s="171"/>
      <c r="BJ33" s="171"/>
      <c r="BK33" s="171"/>
      <c r="BL33" s="171"/>
      <c r="BM33" s="171"/>
      <c r="BN33" s="171"/>
      <c r="BO33" s="171"/>
      <c r="BP33" s="171"/>
      <c r="BQ33" s="171"/>
      <c r="BR33" s="171"/>
      <c r="BS33" s="171"/>
      <c r="BT33" s="171"/>
      <c r="BU33" s="171"/>
      <c r="BV33" s="171"/>
      <c r="BW33" s="171"/>
      <c r="BX33" s="171"/>
      <c r="BY33" s="171"/>
      <c r="BZ33" s="171"/>
      <c r="CA33" s="171"/>
      <c r="CB33" s="171"/>
      <c r="CC33" s="171"/>
      <c r="CD33" s="171"/>
      <c r="CE33" s="171"/>
      <c r="CF33" s="171"/>
      <c r="CG33" s="171"/>
      <c r="CH33" s="171"/>
      <c r="CI33" s="171"/>
      <c r="CJ33" s="171"/>
      <c r="CK33" s="171"/>
      <c r="CL33" s="171"/>
      <c r="CM33" s="171"/>
      <c r="CN33" s="171"/>
      <c r="CO33" s="171"/>
      <c r="CP33" s="171"/>
      <c r="CQ33" s="171"/>
      <c r="CR33" s="171"/>
      <c r="CS33" s="171"/>
      <c r="CT33" s="171"/>
      <c r="CU33" s="171"/>
      <c r="CV33" s="171"/>
      <c r="CW33" s="171"/>
      <c r="CX33" s="171"/>
      <c r="CY33" s="171"/>
      <c r="CZ33" s="171"/>
      <c r="DA33" s="171"/>
      <c r="DB33" s="171"/>
      <c r="DC33" s="171"/>
      <c r="DD33" s="171"/>
      <c r="DE33" s="171"/>
      <c r="DF33" s="171"/>
      <c r="DG33" s="171"/>
      <c r="DH33" s="171"/>
      <c r="DI33" s="171"/>
      <c r="DJ33" s="171"/>
      <c r="DK33" s="171"/>
      <c r="DL33" s="171"/>
      <c r="DM33" s="171"/>
      <c r="DN33" s="171"/>
      <c r="DO33" s="171"/>
      <c r="DP33" s="171"/>
      <c r="DQ33" s="171"/>
      <c r="DR33" s="171"/>
      <c r="DS33" s="171"/>
      <c r="DT33" s="171"/>
      <c r="DU33" s="171"/>
      <c r="DV33" s="171"/>
      <c r="DW33" s="171"/>
      <c r="DX33" s="171"/>
      <c r="DY33" s="171"/>
      <c r="DZ33" s="171"/>
      <c r="EA33" s="171"/>
      <c r="EB33" s="171"/>
      <c r="EC33" s="171"/>
      <c r="ED33" s="171"/>
      <c r="EE33" s="171"/>
      <c r="EF33" s="171"/>
      <c r="EG33" s="171"/>
      <c r="EH33" s="171"/>
      <c r="EI33" s="171"/>
      <c r="EJ33" s="171"/>
      <c r="EK33" s="171"/>
      <c r="EL33" s="171"/>
    </row>
    <row r="34" spans="2:145" ht="14.4" x14ac:dyDescent="0.3">
      <c r="B34" s="14"/>
      <c r="C34" s="14"/>
      <c r="D34" s="14"/>
      <c r="E34" s="14"/>
      <c r="F34" s="14"/>
      <c r="G34" s="14"/>
      <c r="H34" s="414"/>
      <c r="I34" s="14"/>
      <c r="J34" s="171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171"/>
      <c r="AN34" s="171"/>
      <c r="AO34" s="171"/>
      <c r="AP34" s="171"/>
      <c r="AQ34" s="171"/>
      <c r="AR34" s="171"/>
      <c r="AS34" s="171"/>
      <c r="AT34" s="171"/>
      <c r="AU34" s="171"/>
      <c r="AV34" s="171"/>
      <c r="AW34" s="171"/>
      <c r="AX34" s="171"/>
      <c r="AY34" s="171"/>
      <c r="AZ34" s="171"/>
      <c r="BA34" s="171"/>
      <c r="BB34" s="171"/>
      <c r="BC34" s="171"/>
      <c r="BD34" s="171"/>
      <c r="BE34" s="171"/>
      <c r="BF34" s="171"/>
      <c r="BG34" s="171"/>
      <c r="BH34" s="171"/>
      <c r="BI34" s="171"/>
      <c r="BJ34" s="171"/>
      <c r="BK34" s="171"/>
      <c r="BL34" s="171"/>
      <c r="BM34" s="171"/>
      <c r="BN34" s="171"/>
      <c r="BO34" s="171"/>
      <c r="BP34" s="171"/>
      <c r="BQ34" s="171"/>
      <c r="BR34" s="171"/>
      <c r="BS34" s="171"/>
      <c r="BT34" s="171"/>
      <c r="BU34" s="171"/>
      <c r="BV34" s="171"/>
      <c r="BW34" s="171"/>
      <c r="BX34" s="171"/>
      <c r="BY34" s="171"/>
      <c r="BZ34" s="171"/>
      <c r="CA34" s="171"/>
      <c r="CB34" s="171"/>
      <c r="CC34" s="171"/>
      <c r="CD34" s="171"/>
      <c r="CE34" s="171"/>
      <c r="CF34" s="171"/>
      <c r="CG34" s="171"/>
      <c r="CH34" s="171"/>
      <c r="CI34" s="171"/>
      <c r="CJ34" s="171"/>
      <c r="CK34" s="171"/>
      <c r="CL34" s="171"/>
      <c r="CM34" s="171"/>
      <c r="CN34" s="171"/>
      <c r="CO34" s="171"/>
      <c r="CP34" s="171"/>
      <c r="CQ34" s="171"/>
      <c r="CR34" s="171"/>
      <c r="CS34" s="171"/>
      <c r="CT34" s="171"/>
      <c r="CU34" s="171"/>
      <c r="CV34" s="171"/>
      <c r="CW34" s="171"/>
      <c r="CX34" s="171"/>
      <c r="CY34" s="171"/>
      <c r="CZ34" s="171"/>
      <c r="DA34" s="171"/>
      <c r="DB34" s="171"/>
      <c r="DC34" s="171"/>
      <c r="DD34" s="171"/>
      <c r="DE34" s="171"/>
      <c r="DF34" s="171"/>
      <c r="DG34" s="171"/>
      <c r="DH34" s="171"/>
      <c r="DI34" s="171"/>
      <c r="DJ34" s="171"/>
      <c r="DK34" s="171"/>
      <c r="DL34" s="171"/>
      <c r="DM34" s="171"/>
      <c r="DN34" s="171"/>
      <c r="DO34" s="171"/>
      <c r="DP34" s="171"/>
      <c r="DQ34" s="171"/>
      <c r="DR34" s="171"/>
      <c r="DS34" s="171"/>
      <c r="DT34" s="171"/>
      <c r="DU34" s="171"/>
      <c r="DV34" s="171"/>
      <c r="DW34" s="171"/>
      <c r="DX34" s="171"/>
      <c r="DY34" s="171"/>
      <c r="DZ34" s="171"/>
      <c r="EA34" s="171"/>
      <c r="EB34" s="171"/>
      <c r="EC34" s="171"/>
      <c r="ED34" s="171"/>
      <c r="EE34" s="171"/>
      <c r="EF34" s="171"/>
      <c r="EG34" s="171"/>
      <c r="EH34" s="171"/>
      <c r="EI34" s="171"/>
      <c r="EJ34" s="171"/>
      <c r="EK34" s="171"/>
      <c r="EL34" s="171"/>
    </row>
    <row r="35" spans="2:145" ht="14.4" x14ac:dyDescent="0.3">
      <c r="B35" s="14"/>
      <c r="C35" s="14"/>
      <c r="D35" s="14"/>
      <c r="E35" s="14"/>
      <c r="F35" s="14"/>
      <c r="G35" s="14"/>
      <c r="H35" s="171"/>
      <c r="I35" s="14"/>
      <c r="J35" s="413"/>
      <c r="K35" s="413"/>
      <c r="L35" s="413"/>
      <c r="M35" s="413"/>
      <c r="N35" s="413"/>
      <c r="O35" s="413"/>
      <c r="P35" s="413"/>
      <c r="Q35" s="413"/>
      <c r="R35" s="413"/>
      <c r="S35" s="413"/>
      <c r="T35" s="413"/>
      <c r="U35" s="413"/>
      <c r="V35" s="413"/>
      <c r="W35" s="413"/>
      <c r="X35" s="413"/>
      <c r="Y35" s="413"/>
      <c r="Z35" s="413"/>
      <c r="AA35" s="413"/>
      <c r="AB35" s="413"/>
      <c r="AC35" s="413"/>
      <c r="AD35" s="413"/>
      <c r="AE35" s="413"/>
      <c r="AF35" s="413"/>
      <c r="AG35" s="413"/>
      <c r="AH35" s="413"/>
      <c r="AI35" s="413"/>
      <c r="AJ35" s="413"/>
      <c r="AK35" s="413"/>
      <c r="AL35" s="413"/>
      <c r="AM35" s="413"/>
      <c r="AN35" s="413"/>
      <c r="AO35" s="413"/>
      <c r="AP35" s="413"/>
      <c r="AQ35" s="413"/>
      <c r="AR35" s="413"/>
      <c r="AS35" s="413"/>
      <c r="AT35" s="413"/>
      <c r="AU35" s="413"/>
      <c r="AV35" s="413"/>
      <c r="AW35" s="413"/>
      <c r="AX35" s="413"/>
      <c r="AY35" s="413"/>
      <c r="AZ35" s="413"/>
      <c r="BA35" s="413"/>
      <c r="BB35" s="413"/>
      <c r="BC35" s="413"/>
      <c r="BD35" s="413"/>
      <c r="BE35" s="413"/>
      <c r="BF35" s="413"/>
      <c r="BG35" s="413"/>
      <c r="BH35" s="413"/>
      <c r="BI35" s="413"/>
      <c r="BJ35" s="413"/>
      <c r="BK35" s="413"/>
      <c r="BL35" s="413"/>
      <c r="BM35" s="413"/>
      <c r="BN35" s="413"/>
      <c r="BO35" s="413"/>
      <c r="BP35" s="413"/>
      <c r="BQ35" s="413"/>
      <c r="BR35" s="413"/>
      <c r="BS35" s="413"/>
      <c r="BT35" s="413"/>
      <c r="BU35" s="413"/>
      <c r="BV35" s="413"/>
      <c r="BW35" s="413"/>
      <c r="BX35" s="413"/>
      <c r="BY35" s="413"/>
      <c r="BZ35" s="413"/>
      <c r="CA35" s="413"/>
      <c r="CB35" s="413"/>
      <c r="CC35" s="413"/>
      <c r="CD35" s="413"/>
      <c r="CE35" s="413"/>
      <c r="CF35" s="413"/>
      <c r="CG35" s="413"/>
      <c r="CH35" s="413"/>
      <c r="CI35" s="413"/>
      <c r="CJ35" s="413"/>
      <c r="CK35" s="413"/>
      <c r="CL35" s="413"/>
      <c r="CM35" s="413"/>
      <c r="CN35" s="413"/>
      <c r="CO35" s="413"/>
      <c r="CP35" s="413"/>
      <c r="CQ35" s="413"/>
      <c r="CR35" s="413"/>
      <c r="CS35" s="413"/>
      <c r="CT35" s="413"/>
      <c r="CU35" s="413"/>
      <c r="CV35" s="413"/>
      <c r="CW35" s="413"/>
      <c r="CX35" s="413"/>
      <c r="CY35" s="413"/>
      <c r="CZ35" s="413"/>
      <c r="DA35" s="413"/>
      <c r="DB35" s="413"/>
      <c r="DC35" s="413"/>
      <c r="DD35" s="413"/>
      <c r="DE35" s="413"/>
      <c r="DF35" s="413"/>
      <c r="DG35" s="413"/>
      <c r="DH35" s="413"/>
      <c r="DI35" s="413"/>
      <c r="DJ35" s="413"/>
      <c r="DK35" s="413"/>
      <c r="DL35" s="413"/>
      <c r="DM35" s="413"/>
      <c r="DN35" s="413"/>
      <c r="DO35" s="413"/>
      <c r="DP35" s="413"/>
      <c r="DQ35" s="413"/>
      <c r="DR35" s="413"/>
      <c r="DS35" s="413"/>
      <c r="DT35" s="413"/>
      <c r="DU35" s="413"/>
      <c r="DV35" s="413"/>
      <c r="DW35" s="413"/>
      <c r="DX35" s="413"/>
      <c r="DY35" s="413"/>
      <c r="DZ35" s="413"/>
      <c r="EA35" s="413"/>
      <c r="EB35" s="413"/>
      <c r="EC35" s="413"/>
      <c r="ED35" s="413"/>
      <c r="EE35" s="413"/>
      <c r="EF35" s="413"/>
      <c r="EG35" s="413"/>
      <c r="EH35" s="413"/>
      <c r="EI35" s="413"/>
      <c r="EJ35" s="413"/>
      <c r="EK35" s="413"/>
      <c r="EL35" s="413"/>
      <c r="EM35" s="413"/>
      <c r="EN35" s="413"/>
      <c r="EO35" s="171"/>
    </row>
    <row r="36" spans="2:145" ht="14.4" x14ac:dyDescent="0.3">
      <c r="B36" s="14"/>
      <c r="C36" s="36"/>
      <c r="D36" s="14"/>
      <c r="E36" s="14"/>
      <c r="F36" s="14"/>
      <c r="G36" s="14"/>
      <c r="H36" s="171"/>
      <c r="I36" s="14"/>
      <c r="J36" s="171"/>
      <c r="K36" s="414"/>
      <c r="L36" s="171"/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171"/>
      <c r="AN36" s="171"/>
      <c r="AO36" s="171"/>
      <c r="AP36" s="171"/>
      <c r="AQ36" s="171"/>
      <c r="AR36" s="171"/>
      <c r="AS36" s="171"/>
      <c r="AT36" s="171"/>
      <c r="AU36" s="171"/>
      <c r="AV36" s="171"/>
      <c r="AW36" s="171"/>
      <c r="AX36" s="171"/>
      <c r="AY36" s="171"/>
      <c r="AZ36" s="171"/>
      <c r="BA36" s="171"/>
      <c r="BB36" s="171"/>
      <c r="BC36" s="171"/>
      <c r="BD36" s="171"/>
      <c r="BE36" s="171"/>
      <c r="BF36" s="171"/>
      <c r="BG36" s="171"/>
      <c r="BH36" s="171"/>
      <c r="BI36" s="171"/>
      <c r="BJ36" s="171"/>
      <c r="BK36" s="171"/>
      <c r="BL36" s="171"/>
      <c r="BM36" s="171"/>
      <c r="BN36" s="171"/>
      <c r="BO36" s="171"/>
      <c r="BP36" s="171"/>
      <c r="BQ36" s="171"/>
      <c r="BR36" s="171"/>
      <c r="BS36" s="171"/>
      <c r="BT36" s="171"/>
      <c r="BU36" s="171"/>
      <c r="BV36" s="171"/>
      <c r="BW36" s="171"/>
      <c r="BX36" s="171"/>
      <c r="BY36" s="171"/>
      <c r="BZ36" s="171"/>
      <c r="CA36" s="171"/>
      <c r="CB36" s="171"/>
      <c r="CC36" s="171"/>
      <c r="CD36" s="171"/>
      <c r="CE36" s="171"/>
      <c r="CF36" s="171"/>
      <c r="CG36" s="171"/>
      <c r="CH36" s="171"/>
      <c r="CI36" s="171"/>
      <c r="CJ36" s="171"/>
      <c r="CK36" s="171"/>
      <c r="CL36" s="171"/>
      <c r="CM36" s="171"/>
      <c r="CN36" s="171"/>
      <c r="CO36" s="171"/>
      <c r="CP36" s="171"/>
      <c r="CQ36" s="171"/>
      <c r="CR36" s="171"/>
      <c r="CS36" s="171"/>
      <c r="CT36" s="171"/>
      <c r="CU36" s="171"/>
      <c r="CV36" s="171"/>
      <c r="CW36" s="171"/>
      <c r="CX36" s="171"/>
      <c r="CY36" s="171"/>
      <c r="CZ36" s="171"/>
      <c r="DA36" s="171"/>
      <c r="DB36" s="171"/>
      <c r="DC36" s="171"/>
      <c r="DD36" s="171"/>
      <c r="DE36" s="171"/>
      <c r="DF36" s="171"/>
      <c r="DG36" s="171"/>
      <c r="DH36" s="171"/>
      <c r="DI36" s="171"/>
      <c r="DJ36" s="171"/>
      <c r="DK36" s="171"/>
      <c r="DL36" s="171"/>
      <c r="DM36" s="171"/>
      <c r="DN36" s="171"/>
      <c r="DO36" s="171"/>
      <c r="DP36" s="171"/>
      <c r="DQ36" s="171"/>
      <c r="DR36" s="171"/>
      <c r="DS36" s="171"/>
      <c r="DT36" s="171"/>
      <c r="DU36" s="171"/>
      <c r="DV36" s="171"/>
      <c r="DW36" s="171"/>
      <c r="DX36" s="171"/>
      <c r="DY36" s="171"/>
      <c r="DZ36" s="171"/>
      <c r="EA36" s="171"/>
      <c r="EB36" s="171"/>
      <c r="EC36" s="171"/>
      <c r="ED36" s="171"/>
      <c r="EE36" s="171"/>
      <c r="EF36" s="171"/>
      <c r="EG36" s="171"/>
      <c r="EH36" s="171"/>
      <c r="EI36" s="171"/>
      <c r="EJ36" s="171"/>
      <c r="EK36" s="171"/>
      <c r="EL36" s="171"/>
      <c r="EM36" s="171"/>
      <c r="EN36" s="171"/>
      <c r="EO36" s="171"/>
    </row>
    <row r="37" spans="2:145" ht="14.4" x14ac:dyDescent="0.3">
      <c r="B37" s="14"/>
      <c r="C37" s="14"/>
      <c r="D37" s="14"/>
      <c r="E37" s="14"/>
      <c r="F37" s="14"/>
      <c r="G37" s="14"/>
      <c r="H37" s="171"/>
      <c r="I37" s="14"/>
      <c r="J37" s="171"/>
      <c r="K37" s="414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1"/>
      <c r="BA37" s="171"/>
      <c r="BB37" s="171"/>
      <c r="BC37" s="171"/>
      <c r="BD37" s="171"/>
      <c r="BE37" s="171"/>
      <c r="BF37" s="171"/>
      <c r="BG37" s="171"/>
      <c r="BH37" s="171"/>
      <c r="BI37" s="171"/>
      <c r="BJ37" s="171"/>
      <c r="BK37" s="171"/>
      <c r="BL37" s="171"/>
      <c r="BM37" s="171"/>
      <c r="BN37" s="171"/>
      <c r="BO37" s="171"/>
      <c r="BP37" s="171"/>
      <c r="BQ37" s="171"/>
      <c r="BR37" s="171"/>
      <c r="BS37" s="171"/>
      <c r="BT37" s="171"/>
      <c r="BU37" s="171"/>
      <c r="BV37" s="171"/>
      <c r="BW37" s="171"/>
      <c r="BX37" s="171"/>
      <c r="BY37" s="171"/>
      <c r="BZ37" s="171"/>
      <c r="CA37" s="171"/>
      <c r="CB37" s="171"/>
      <c r="CC37" s="171"/>
      <c r="CD37" s="171"/>
      <c r="CE37" s="171"/>
      <c r="CF37" s="171"/>
      <c r="CG37" s="171"/>
      <c r="CH37" s="171"/>
      <c r="CI37" s="171"/>
      <c r="CJ37" s="171"/>
      <c r="CK37" s="171"/>
      <c r="CL37" s="171"/>
      <c r="CM37" s="171"/>
      <c r="CN37" s="171"/>
      <c r="CO37" s="171"/>
      <c r="CP37" s="171"/>
      <c r="CQ37" s="171"/>
      <c r="CR37" s="171"/>
      <c r="CS37" s="171"/>
      <c r="CT37" s="171"/>
      <c r="CU37" s="171"/>
      <c r="CV37" s="171"/>
      <c r="CW37" s="171"/>
      <c r="CX37" s="171"/>
      <c r="CY37" s="171"/>
      <c r="CZ37" s="171"/>
      <c r="DA37" s="171"/>
      <c r="DB37" s="171"/>
      <c r="DC37" s="171"/>
      <c r="DD37" s="171"/>
      <c r="DE37" s="171"/>
      <c r="DF37" s="171"/>
      <c r="DG37" s="171"/>
      <c r="DH37" s="171"/>
      <c r="DI37" s="171"/>
      <c r="DJ37" s="171"/>
      <c r="DK37" s="171"/>
      <c r="DL37" s="171"/>
      <c r="DM37" s="171"/>
      <c r="DN37" s="171"/>
      <c r="DO37" s="171"/>
      <c r="DP37" s="171"/>
      <c r="DQ37" s="171"/>
      <c r="DR37" s="171"/>
      <c r="DS37" s="171"/>
      <c r="DT37" s="171"/>
      <c r="DU37" s="171"/>
      <c r="DV37" s="171"/>
      <c r="DW37" s="171"/>
      <c r="DX37" s="171"/>
      <c r="DY37" s="171"/>
      <c r="DZ37" s="171"/>
      <c r="EA37" s="171"/>
      <c r="EB37" s="171"/>
      <c r="EC37" s="171"/>
      <c r="ED37" s="171"/>
      <c r="EE37" s="171"/>
      <c r="EF37" s="171"/>
      <c r="EG37" s="171"/>
      <c r="EH37" s="171"/>
      <c r="EI37" s="171"/>
      <c r="EJ37" s="171"/>
      <c r="EK37" s="171"/>
      <c r="EL37" s="171"/>
      <c r="EM37" s="171"/>
      <c r="EN37" s="171"/>
      <c r="EO37" s="171"/>
    </row>
    <row r="38" spans="2:145" ht="14.4" x14ac:dyDescent="0.3">
      <c r="B38" s="14"/>
      <c r="C38" s="14"/>
      <c r="D38" s="14"/>
      <c r="E38" s="14"/>
      <c r="F38" s="14"/>
      <c r="G38" s="14"/>
      <c r="H38" s="171"/>
      <c r="I38" s="14"/>
      <c r="J38" s="171"/>
      <c r="K38" s="171"/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171"/>
      <c r="AN38" s="171"/>
      <c r="AO38" s="171"/>
      <c r="AP38" s="171"/>
      <c r="AQ38" s="171"/>
      <c r="AR38" s="171"/>
      <c r="AS38" s="171"/>
      <c r="AT38" s="171"/>
      <c r="AU38" s="171"/>
      <c r="AV38" s="171"/>
      <c r="AW38" s="171"/>
      <c r="AX38" s="171"/>
      <c r="AY38" s="171"/>
      <c r="AZ38" s="171"/>
      <c r="BA38" s="171"/>
      <c r="BB38" s="171"/>
      <c r="BC38" s="171"/>
      <c r="BD38" s="171"/>
      <c r="BE38" s="171"/>
      <c r="BF38" s="171"/>
      <c r="BG38" s="171"/>
      <c r="BH38" s="171"/>
      <c r="BI38" s="171"/>
      <c r="BJ38" s="171"/>
      <c r="BK38" s="171"/>
      <c r="BL38" s="171"/>
      <c r="BM38" s="171"/>
      <c r="BN38" s="171"/>
      <c r="BO38" s="171"/>
      <c r="BP38" s="171"/>
      <c r="BQ38" s="171"/>
      <c r="BR38" s="171"/>
      <c r="BS38" s="171"/>
      <c r="BT38" s="171"/>
      <c r="BU38" s="171"/>
      <c r="BV38" s="171"/>
      <c r="BW38" s="171"/>
      <c r="BX38" s="171"/>
      <c r="BY38" s="171"/>
      <c r="BZ38" s="171"/>
      <c r="CA38" s="171"/>
      <c r="CB38" s="171"/>
      <c r="CC38" s="171"/>
      <c r="CD38" s="171"/>
      <c r="CE38" s="171"/>
      <c r="CF38" s="171"/>
      <c r="CG38" s="171"/>
      <c r="CH38" s="171"/>
      <c r="CI38" s="171"/>
      <c r="CJ38" s="171"/>
      <c r="CK38" s="171"/>
      <c r="CL38" s="171"/>
      <c r="CM38" s="171"/>
      <c r="CN38" s="171"/>
      <c r="CO38" s="171"/>
      <c r="CP38" s="171"/>
      <c r="CQ38" s="171"/>
      <c r="CR38" s="171"/>
      <c r="CS38" s="171"/>
      <c r="CT38" s="171"/>
      <c r="CU38" s="171"/>
      <c r="CV38" s="171"/>
      <c r="CW38" s="171"/>
      <c r="CX38" s="171"/>
      <c r="CY38" s="171"/>
      <c r="CZ38" s="171"/>
      <c r="DA38" s="171"/>
      <c r="DB38" s="171"/>
      <c r="DC38" s="171"/>
      <c r="DD38" s="171"/>
      <c r="DE38" s="171"/>
      <c r="DF38" s="171"/>
      <c r="DG38" s="171"/>
      <c r="DH38" s="171"/>
      <c r="DI38" s="171"/>
      <c r="DJ38" s="171"/>
      <c r="DK38" s="171"/>
      <c r="DL38" s="171"/>
      <c r="DM38" s="171"/>
      <c r="DN38" s="171"/>
      <c r="DO38" s="171"/>
      <c r="DP38" s="171"/>
      <c r="DQ38" s="171"/>
      <c r="DR38" s="171"/>
      <c r="DS38" s="171"/>
      <c r="DT38" s="171"/>
      <c r="DU38" s="171"/>
      <c r="DV38" s="171"/>
      <c r="DW38" s="171"/>
      <c r="DX38" s="171"/>
      <c r="DY38" s="171"/>
      <c r="DZ38" s="171"/>
      <c r="EA38" s="171"/>
      <c r="EB38" s="171"/>
      <c r="EC38" s="171"/>
      <c r="ED38" s="171"/>
      <c r="EE38" s="171"/>
      <c r="EF38" s="171"/>
      <c r="EG38" s="171"/>
      <c r="EH38" s="171"/>
      <c r="EI38" s="171"/>
      <c r="EJ38" s="171"/>
      <c r="EK38" s="171"/>
      <c r="EL38" s="171"/>
      <c r="EM38" s="171"/>
      <c r="EN38" s="171"/>
      <c r="EO38" s="171"/>
    </row>
    <row r="39" spans="2:145" ht="14.4" x14ac:dyDescent="0.3">
      <c r="B39" s="14"/>
      <c r="C39" s="36"/>
      <c r="D39" s="14"/>
      <c r="E39" s="14"/>
      <c r="F39" s="14"/>
      <c r="G39" s="14"/>
      <c r="H39" s="415"/>
      <c r="I39" s="14"/>
      <c r="J39" s="171"/>
      <c r="K39" s="414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1"/>
      <c r="AI39" s="171"/>
      <c r="AJ39" s="171"/>
      <c r="AK39" s="171"/>
      <c r="AL39" s="171"/>
      <c r="AM39" s="171"/>
      <c r="AN39" s="171"/>
      <c r="AO39" s="171"/>
      <c r="AP39" s="171"/>
      <c r="AQ39" s="171"/>
      <c r="AR39" s="171"/>
      <c r="AS39" s="171"/>
      <c r="AT39" s="171"/>
      <c r="AU39" s="171"/>
      <c r="AV39" s="171"/>
      <c r="AW39" s="171"/>
      <c r="AX39" s="171"/>
      <c r="AY39" s="171"/>
      <c r="AZ39" s="171"/>
      <c r="BA39" s="171"/>
      <c r="BB39" s="171"/>
      <c r="BC39" s="171"/>
      <c r="BD39" s="171"/>
      <c r="BE39" s="171"/>
      <c r="BF39" s="171"/>
      <c r="BG39" s="171"/>
      <c r="BH39" s="171"/>
      <c r="BI39" s="171"/>
      <c r="BJ39" s="171"/>
      <c r="BK39" s="171"/>
      <c r="BL39" s="171"/>
      <c r="BM39" s="171"/>
      <c r="BN39" s="171"/>
      <c r="BO39" s="171"/>
      <c r="BP39" s="171"/>
      <c r="BQ39" s="171"/>
      <c r="BR39" s="171"/>
      <c r="BS39" s="171"/>
      <c r="BT39" s="171"/>
      <c r="BU39" s="171"/>
      <c r="BV39" s="171"/>
      <c r="BW39" s="171"/>
      <c r="BX39" s="171"/>
      <c r="BY39" s="171"/>
      <c r="BZ39" s="171"/>
      <c r="CA39" s="171"/>
      <c r="CB39" s="171"/>
      <c r="CC39" s="171"/>
      <c r="CD39" s="171"/>
      <c r="CE39" s="171"/>
      <c r="CF39" s="171"/>
      <c r="CG39" s="171"/>
      <c r="CH39" s="171"/>
      <c r="CI39" s="171"/>
      <c r="CJ39" s="171"/>
      <c r="CK39" s="171"/>
      <c r="CL39" s="171"/>
      <c r="CM39" s="171"/>
      <c r="CN39" s="171"/>
      <c r="CO39" s="171"/>
      <c r="CP39" s="171"/>
      <c r="CQ39" s="171"/>
      <c r="CR39" s="171"/>
      <c r="CS39" s="171"/>
      <c r="CT39" s="171"/>
      <c r="CU39" s="171"/>
      <c r="CV39" s="171"/>
      <c r="CW39" s="171"/>
      <c r="CX39" s="171"/>
      <c r="CY39" s="171"/>
      <c r="CZ39" s="171"/>
      <c r="DA39" s="171"/>
      <c r="DB39" s="171"/>
      <c r="DC39" s="171"/>
      <c r="DD39" s="171"/>
      <c r="DE39" s="171"/>
      <c r="DF39" s="171"/>
      <c r="DG39" s="171"/>
      <c r="DH39" s="171"/>
      <c r="DI39" s="171"/>
      <c r="DJ39" s="171"/>
      <c r="DK39" s="171"/>
      <c r="DL39" s="171"/>
      <c r="DM39" s="171"/>
      <c r="DN39" s="171"/>
      <c r="DO39" s="171"/>
      <c r="DP39" s="171"/>
      <c r="DQ39" s="171"/>
      <c r="DR39" s="171"/>
      <c r="DS39" s="171"/>
      <c r="DT39" s="171"/>
      <c r="DU39" s="171"/>
      <c r="DV39" s="171"/>
      <c r="DW39" s="171"/>
      <c r="DX39" s="171"/>
      <c r="DY39" s="171"/>
      <c r="DZ39" s="171"/>
      <c r="EA39" s="171"/>
      <c r="EB39" s="171"/>
      <c r="EC39" s="171"/>
      <c r="ED39" s="171"/>
      <c r="EE39" s="171"/>
      <c r="EF39" s="171"/>
      <c r="EG39" s="171"/>
      <c r="EH39" s="171"/>
      <c r="EI39" s="171"/>
      <c r="EJ39" s="171"/>
      <c r="EK39" s="171"/>
      <c r="EL39" s="171"/>
      <c r="EM39" s="171"/>
      <c r="EN39" s="171"/>
      <c r="EO39" s="171"/>
    </row>
    <row r="40" spans="2:145" ht="14.4" x14ac:dyDescent="0.3">
      <c r="B40" s="14"/>
      <c r="C40" s="14"/>
      <c r="D40" s="14"/>
      <c r="E40" s="14"/>
      <c r="F40" s="14"/>
      <c r="G40" s="14"/>
      <c r="H40" s="414"/>
      <c r="I40" s="14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171"/>
      <c r="AN40" s="171"/>
      <c r="AO40" s="171"/>
      <c r="AP40" s="171"/>
      <c r="AQ40" s="171"/>
      <c r="AR40" s="171"/>
      <c r="AS40" s="171"/>
      <c r="AT40" s="171"/>
      <c r="AU40" s="171"/>
      <c r="AV40" s="171"/>
      <c r="AW40" s="171"/>
      <c r="AX40" s="171"/>
      <c r="AY40" s="171"/>
      <c r="AZ40" s="171"/>
      <c r="BA40" s="171"/>
      <c r="BB40" s="171"/>
      <c r="BC40" s="171"/>
      <c r="BD40" s="171"/>
      <c r="BE40" s="171"/>
      <c r="BF40" s="171"/>
      <c r="BG40" s="171"/>
      <c r="BH40" s="171"/>
      <c r="BI40" s="171"/>
      <c r="BJ40" s="171"/>
      <c r="BK40" s="171"/>
      <c r="BL40" s="171"/>
      <c r="BM40" s="171"/>
      <c r="BN40" s="171"/>
      <c r="BO40" s="171"/>
      <c r="BP40" s="171"/>
      <c r="BQ40" s="171"/>
      <c r="BR40" s="171"/>
      <c r="BS40" s="171"/>
      <c r="BT40" s="171"/>
      <c r="BU40" s="171"/>
      <c r="BV40" s="171"/>
      <c r="BW40" s="171"/>
      <c r="BX40" s="171"/>
      <c r="BY40" s="171"/>
      <c r="BZ40" s="171"/>
      <c r="CA40" s="171"/>
      <c r="CB40" s="171"/>
      <c r="CC40" s="171"/>
      <c r="CD40" s="171"/>
      <c r="CE40" s="171"/>
      <c r="CF40" s="171"/>
      <c r="CG40" s="171"/>
      <c r="CH40" s="171"/>
      <c r="CI40" s="171"/>
      <c r="CJ40" s="171"/>
      <c r="CK40" s="171"/>
      <c r="CL40" s="171"/>
      <c r="CM40" s="171"/>
      <c r="CN40" s="171"/>
      <c r="CO40" s="171"/>
      <c r="CP40" s="171"/>
      <c r="CQ40" s="171"/>
      <c r="CR40" s="171"/>
      <c r="CS40" s="171"/>
      <c r="CT40" s="171"/>
      <c r="CU40" s="171"/>
      <c r="CV40" s="171"/>
      <c r="CW40" s="171"/>
      <c r="CX40" s="171"/>
      <c r="CY40" s="171"/>
      <c r="CZ40" s="171"/>
      <c r="DA40" s="171"/>
      <c r="DB40" s="171"/>
      <c r="DC40" s="171"/>
      <c r="DD40" s="171"/>
      <c r="DE40" s="171"/>
      <c r="DF40" s="171"/>
      <c r="DG40" s="171"/>
      <c r="DH40" s="171"/>
      <c r="DI40" s="171"/>
      <c r="DJ40" s="171"/>
      <c r="DK40" s="171"/>
      <c r="DL40" s="171"/>
      <c r="DM40" s="171"/>
      <c r="DN40" s="171"/>
      <c r="DO40" s="171"/>
      <c r="DP40" s="171"/>
      <c r="DQ40" s="171"/>
      <c r="DR40" s="171"/>
      <c r="DS40" s="171"/>
      <c r="DT40" s="171"/>
      <c r="DU40" s="171"/>
      <c r="DV40" s="171"/>
      <c r="DW40" s="171"/>
      <c r="DX40" s="171"/>
      <c r="DY40" s="171"/>
      <c r="DZ40" s="171"/>
      <c r="EA40" s="171"/>
      <c r="EB40" s="171"/>
      <c r="EC40" s="171"/>
      <c r="ED40" s="171"/>
      <c r="EE40" s="171"/>
      <c r="EF40" s="171"/>
      <c r="EG40" s="171"/>
      <c r="EH40" s="171"/>
      <c r="EI40" s="171"/>
      <c r="EJ40" s="171"/>
      <c r="EK40" s="171"/>
      <c r="EL40" s="14"/>
    </row>
    <row r="41" spans="2:145" ht="14.4" x14ac:dyDescent="0.3">
      <c r="B41" s="14"/>
      <c r="C41" s="14"/>
      <c r="D41" s="14"/>
      <c r="E41" s="14"/>
      <c r="F41" s="14"/>
      <c r="G41" s="14"/>
      <c r="H41" s="414"/>
      <c r="I41" s="14"/>
      <c r="J41" s="171"/>
      <c r="K41" s="171"/>
      <c r="L41" s="171"/>
      <c r="M41" s="171"/>
      <c r="N41" s="171"/>
      <c r="O41" s="171"/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/>
      <c r="AM41" s="171"/>
      <c r="AN41" s="171"/>
      <c r="AO41" s="171"/>
      <c r="AP41" s="171"/>
      <c r="AQ41" s="171"/>
      <c r="AR41" s="171"/>
      <c r="AS41" s="171"/>
      <c r="AT41" s="171"/>
      <c r="AU41" s="171"/>
      <c r="AV41" s="171"/>
      <c r="AW41" s="171"/>
      <c r="AX41" s="171"/>
      <c r="AY41" s="171"/>
      <c r="AZ41" s="171"/>
      <c r="BA41" s="171"/>
      <c r="BB41" s="171"/>
      <c r="BC41" s="171"/>
      <c r="BD41" s="171"/>
      <c r="BE41" s="171"/>
      <c r="BF41" s="171"/>
      <c r="BG41" s="171"/>
      <c r="BH41" s="171"/>
      <c r="BI41" s="171"/>
      <c r="BJ41" s="171"/>
      <c r="BK41" s="171"/>
      <c r="BL41" s="171"/>
      <c r="BM41" s="171"/>
      <c r="BN41" s="171"/>
      <c r="BO41" s="171"/>
      <c r="BP41" s="171"/>
      <c r="BQ41" s="171"/>
      <c r="BR41" s="171"/>
      <c r="BS41" s="171"/>
      <c r="BT41" s="171"/>
      <c r="BU41" s="171"/>
      <c r="BV41" s="171"/>
      <c r="BW41" s="171"/>
      <c r="BX41" s="171"/>
      <c r="BY41" s="171"/>
      <c r="BZ41" s="171"/>
      <c r="CA41" s="171"/>
      <c r="CB41" s="171"/>
      <c r="CC41" s="171"/>
      <c r="CD41" s="171"/>
      <c r="CE41" s="171"/>
      <c r="CF41" s="171"/>
      <c r="CG41" s="171"/>
      <c r="CH41" s="171"/>
      <c r="CI41" s="171"/>
      <c r="CJ41" s="171"/>
      <c r="CK41" s="171"/>
      <c r="CL41" s="171"/>
      <c r="CM41" s="171"/>
      <c r="CN41" s="171"/>
      <c r="CO41" s="171"/>
      <c r="CP41" s="171"/>
      <c r="CQ41" s="171"/>
      <c r="CR41" s="171"/>
      <c r="CS41" s="171"/>
      <c r="CT41" s="171"/>
      <c r="CU41" s="171"/>
      <c r="CV41" s="171"/>
      <c r="CW41" s="171"/>
      <c r="CX41" s="171"/>
      <c r="CY41" s="171"/>
      <c r="CZ41" s="171"/>
      <c r="DA41" s="171"/>
      <c r="DB41" s="171"/>
      <c r="DC41" s="171"/>
      <c r="DD41" s="171"/>
      <c r="DE41" s="171"/>
      <c r="DF41" s="171"/>
      <c r="DG41" s="171"/>
      <c r="DH41" s="171"/>
      <c r="DI41" s="171"/>
      <c r="DJ41" s="171"/>
      <c r="DK41" s="171"/>
      <c r="DL41" s="171"/>
      <c r="DM41" s="171"/>
      <c r="DN41" s="171"/>
      <c r="DO41" s="171"/>
      <c r="DP41" s="171"/>
      <c r="DQ41" s="171"/>
      <c r="DR41" s="171"/>
      <c r="DS41" s="171"/>
      <c r="DT41" s="171"/>
      <c r="DU41" s="171"/>
      <c r="DV41" s="171"/>
      <c r="DW41" s="171"/>
      <c r="DX41" s="171"/>
      <c r="DY41" s="171"/>
      <c r="DZ41" s="171"/>
      <c r="EA41" s="171"/>
      <c r="EB41" s="171"/>
      <c r="EC41" s="171"/>
      <c r="ED41" s="171"/>
      <c r="EE41" s="171"/>
      <c r="EF41" s="171"/>
      <c r="EG41" s="171"/>
      <c r="EH41" s="171"/>
      <c r="EI41" s="171"/>
      <c r="EJ41" s="171"/>
      <c r="EK41" s="171"/>
      <c r="EL41" s="14"/>
    </row>
    <row r="42" spans="2:145" ht="14.4" hidden="1" x14ac:dyDescent="0.3">
      <c r="B42" s="14"/>
      <c r="C42" s="14"/>
      <c r="D42" s="14"/>
      <c r="E42" s="14"/>
      <c r="F42" s="14"/>
      <c r="G42" s="14"/>
      <c r="H42" s="414"/>
      <c r="I42" s="14"/>
      <c r="J42" s="171"/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/>
      <c r="AH42" s="171"/>
      <c r="AI42" s="171"/>
      <c r="AJ42" s="171"/>
      <c r="AK42" s="171"/>
      <c r="AL42" s="171"/>
      <c r="AM42" s="171"/>
      <c r="AN42" s="171"/>
      <c r="AO42" s="171"/>
      <c r="AP42" s="171"/>
      <c r="AQ42" s="171"/>
      <c r="AR42" s="171"/>
      <c r="AS42" s="171"/>
      <c r="AT42" s="171"/>
      <c r="AU42" s="171"/>
      <c r="AV42" s="171"/>
      <c r="AW42" s="171"/>
      <c r="AX42" s="171"/>
      <c r="AY42" s="171"/>
      <c r="AZ42" s="171"/>
      <c r="BA42" s="171"/>
      <c r="BB42" s="171"/>
      <c r="BC42" s="171"/>
      <c r="BD42" s="171"/>
      <c r="BE42" s="171"/>
      <c r="BF42" s="171"/>
      <c r="BG42" s="171"/>
      <c r="BH42" s="171"/>
      <c r="BI42" s="171"/>
      <c r="BJ42" s="171"/>
      <c r="BK42" s="171"/>
      <c r="BL42" s="171"/>
      <c r="BM42" s="171"/>
      <c r="BN42" s="171"/>
      <c r="BO42" s="171"/>
      <c r="BP42" s="171"/>
      <c r="BQ42" s="171"/>
      <c r="BR42" s="171"/>
      <c r="BS42" s="171"/>
      <c r="BT42" s="171"/>
      <c r="BU42" s="171"/>
      <c r="BV42" s="171"/>
      <c r="BW42" s="171"/>
      <c r="BX42" s="171"/>
      <c r="BY42" s="171"/>
      <c r="BZ42" s="171"/>
      <c r="CA42" s="171"/>
      <c r="CB42" s="171"/>
      <c r="CC42" s="171"/>
      <c r="CD42" s="171"/>
      <c r="CE42" s="171"/>
      <c r="CF42" s="171"/>
      <c r="CG42" s="171"/>
      <c r="CH42" s="171"/>
      <c r="CI42" s="171"/>
      <c r="CJ42" s="171"/>
      <c r="CK42" s="171"/>
      <c r="CL42" s="171"/>
      <c r="CM42" s="171"/>
      <c r="CN42" s="171"/>
      <c r="CO42" s="171"/>
      <c r="CP42" s="171"/>
      <c r="CQ42" s="171"/>
      <c r="CR42" s="171"/>
      <c r="CS42" s="171"/>
      <c r="CT42" s="171"/>
      <c r="CU42" s="171"/>
      <c r="CV42" s="171"/>
      <c r="CW42" s="171"/>
      <c r="CX42" s="171"/>
      <c r="CY42" s="171"/>
      <c r="CZ42" s="171"/>
      <c r="DA42" s="171"/>
      <c r="DB42" s="171"/>
      <c r="DC42" s="171"/>
      <c r="DD42" s="171"/>
      <c r="DE42" s="171"/>
      <c r="DF42" s="171"/>
      <c r="DG42" s="171"/>
      <c r="DH42" s="171"/>
      <c r="DI42" s="171"/>
      <c r="DJ42" s="171"/>
      <c r="DK42" s="171"/>
      <c r="DL42" s="171"/>
      <c r="DM42" s="171"/>
      <c r="DN42" s="171"/>
      <c r="DO42" s="171"/>
      <c r="DP42" s="171"/>
      <c r="DQ42" s="171"/>
      <c r="DR42" s="171"/>
      <c r="DS42" s="171"/>
      <c r="DT42" s="171"/>
      <c r="DU42" s="171"/>
      <c r="DV42" s="171"/>
      <c r="DW42" s="171"/>
      <c r="DX42" s="171"/>
      <c r="DY42" s="171"/>
      <c r="DZ42" s="171"/>
      <c r="EA42" s="171"/>
      <c r="EB42" s="171"/>
      <c r="EC42" s="171"/>
      <c r="ED42" s="171"/>
      <c r="EE42" s="171"/>
      <c r="EF42" s="171"/>
      <c r="EG42" s="171"/>
      <c r="EH42" s="171"/>
      <c r="EI42" s="171"/>
      <c r="EJ42" s="171"/>
      <c r="EK42" s="171"/>
      <c r="EL42" s="14"/>
    </row>
    <row r="43" spans="2:145" ht="14.4" hidden="1" x14ac:dyDescent="0.3">
      <c r="B43" s="14"/>
      <c r="C43" s="14"/>
      <c r="D43" s="14"/>
      <c r="E43" s="14"/>
      <c r="F43" s="14"/>
      <c r="G43" s="14"/>
      <c r="H43" s="414"/>
      <c r="I43" s="14"/>
      <c r="J43" s="171"/>
      <c r="K43" s="171"/>
      <c r="L43" s="171"/>
      <c r="M43" s="171"/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171"/>
      <c r="AN43" s="171"/>
      <c r="AO43" s="171"/>
      <c r="AP43" s="171"/>
      <c r="AQ43" s="171"/>
      <c r="AR43" s="171"/>
      <c r="AS43" s="171"/>
      <c r="AT43" s="171"/>
      <c r="AU43" s="171"/>
      <c r="AV43" s="171"/>
      <c r="AW43" s="171"/>
      <c r="AX43" s="171"/>
      <c r="AY43" s="171"/>
      <c r="AZ43" s="171"/>
      <c r="BA43" s="171"/>
      <c r="BB43" s="171"/>
      <c r="BC43" s="171"/>
      <c r="BD43" s="171"/>
      <c r="BE43" s="171"/>
      <c r="BF43" s="171"/>
      <c r="BG43" s="171"/>
      <c r="BH43" s="171"/>
      <c r="BI43" s="171"/>
      <c r="BJ43" s="171"/>
      <c r="BK43" s="171"/>
      <c r="BL43" s="171"/>
      <c r="BM43" s="171"/>
      <c r="BN43" s="171"/>
      <c r="BO43" s="171"/>
      <c r="BP43" s="171"/>
      <c r="BQ43" s="171"/>
      <c r="BR43" s="171"/>
      <c r="BS43" s="171"/>
      <c r="BT43" s="171"/>
      <c r="BU43" s="171"/>
      <c r="BV43" s="171"/>
      <c r="BW43" s="171"/>
      <c r="BX43" s="171"/>
      <c r="BY43" s="171"/>
      <c r="BZ43" s="171"/>
      <c r="CA43" s="171"/>
      <c r="CB43" s="171"/>
      <c r="CC43" s="171"/>
      <c r="CD43" s="171"/>
      <c r="CE43" s="171"/>
      <c r="CF43" s="171"/>
      <c r="CG43" s="171"/>
      <c r="CH43" s="171"/>
      <c r="CI43" s="171"/>
      <c r="CJ43" s="171"/>
      <c r="CK43" s="171"/>
      <c r="CL43" s="171"/>
      <c r="CM43" s="171"/>
      <c r="CN43" s="171"/>
      <c r="CO43" s="171"/>
      <c r="CP43" s="171"/>
      <c r="CQ43" s="171"/>
      <c r="CR43" s="171"/>
      <c r="CS43" s="171"/>
      <c r="CT43" s="171"/>
      <c r="CU43" s="171"/>
      <c r="CV43" s="171"/>
      <c r="CW43" s="171"/>
      <c r="CX43" s="171"/>
      <c r="CY43" s="171"/>
      <c r="CZ43" s="171"/>
      <c r="DA43" s="171"/>
      <c r="DB43" s="171"/>
      <c r="DC43" s="171"/>
      <c r="DD43" s="171"/>
      <c r="DE43" s="171"/>
      <c r="DF43" s="171"/>
      <c r="DG43" s="171"/>
      <c r="DH43" s="171"/>
      <c r="DI43" s="171"/>
      <c r="DJ43" s="171"/>
      <c r="DK43" s="171"/>
      <c r="DL43" s="171"/>
      <c r="DM43" s="171"/>
      <c r="DN43" s="171"/>
      <c r="DO43" s="171"/>
      <c r="DP43" s="171"/>
      <c r="DQ43" s="171"/>
      <c r="DR43" s="171"/>
      <c r="DS43" s="171"/>
      <c r="DT43" s="171"/>
      <c r="DU43" s="171"/>
      <c r="DV43" s="171"/>
      <c r="DW43" s="171"/>
      <c r="DX43" s="171"/>
      <c r="DY43" s="171"/>
      <c r="DZ43" s="171"/>
      <c r="EA43" s="171"/>
      <c r="EB43" s="171"/>
      <c r="EC43" s="171"/>
      <c r="ED43" s="171"/>
      <c r="EE43" s="171"/>
      <c r="EF43" s="171"/>
      <c r="EG43" s="171"/>
      <c r="EH43" s="171"/>
      <c r="EI43" s="171"/>
      <c r="EJ43" s="171"/>
      <c r="EK43" s="171"/>
      <c r="EL43" s="14"/>
    </row>
    <row r="44" spans="2:145" ht="14.4" hidden="1" x14ac:dyDescent="0.3">
      <c r="B44" s="14"/>
      <c r="C44" s="14"/>
      <c r="D44" s="14"/>
      <c r="E44" s="14"/>
      <c r="F44" s="14"/>
      <c r="G44" s="14"/>
      <c r="H44" s="414"/>
      <c r="I44" s="14"/>
      <c r="J44" s="171"/>
      <c r="K44" s="171"/>
      <c r="L44" s="171"/>
      <c r="M44" s="171"/>
      <c r="N44" s="171"/>
      <c r="O44" s="171"/>
      <c r="P44" s="171"/>
      <c r="Q44" s="171"/>
      <c r="R44" s="171"/>
      <c r="S44" s="171"/>
      <c r="T44" s="171"/>
      <c r="U44" s="171"/>
      <c r="V44" s="171"/>
      <c r="W44" s="171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1"/>
      <c r="AI44" s="171"/>
      <c r="AJ44" s="171"/>
      <c r="AK44" s="171"/>
      <c r="AL44" s="171"/>
      <c r="AM44" s="171"/>
      <c r="AN44" s="171"/>
      <c r="AO44" s="171"/>
      <c r="AP44" s="171"/>
      <c r="AQ44" s="171"/>
      <c r="AR44" s="171"/>
      <c r="AS44" s="171"/>
      <c r="AT44" s="171"/>
      <c r="AU44" s="171"/>
      <c r="AV44" s="171"/>
      <c r="AW44" s="171"/>
      <c r="AX44" s="171"/>
      <c r="AY44" s="171"/>
      <c r="AZ44" s="171"/>
      <c r="BA44" s="171"/>
      <c r="BB44" s="171"/>
      <c r="BC44" s="171"/>
      <c r="BD44" s="171"/>
      <c r="BE44" s="171"/>
      <c r="BF44" s="171"/>
      <c r="BG44" s="171"/>
      <c r="BH44" s="171"/>
      <c r="BI44" s="171"/>
      <c r="BJ44" s="171"/>
      <c r="BK44" s="171"/>
      <c r="BL44" s="171"/>
      <c r="BM44" s="171"/>
      <c r="BN44" s="171"/>
      <c r="BO44" s="171"/>
      <c r="BP44" s="171"/>
      <c r="BQ44" s="171"/>
      <c r="BR44" s="171"/>
      <c r="BS44" s="171"/>
      <c r="BT44" s="171"/>
      <c r="BU44" s="171"/>
      <c r="BV44" s="171"/>
      <c r="BW44" s="171"/>
      <c r="BX44" s="171"/>
      <c r="BY44" s="171"/>
      <c r="BZ44" s="171"/>
      <c r="CA44" s="171"/>
      <c r="CB44" s="171"/>
      <c r="CC44" s="171"/>
      <c r="CD44" s="171"/>
      <c r="CE44" s="171"/>
      <c r="CF44" s="171"/>
      <c r="CG44" s="171"/>
      <c r="CH44" s="171"/>
      <c r="CI44" s="171"/>
      <c r="CJ44" s="171"/>
      <c r="CK44" s="171"/>
      <c r="CL44" s="171"/>
      <c r="CM44" s="171"/>
      <c r="CN44" s="171"/>
      <c r="CO44" s="171"/>
      <c r="CP44" s="171"/>
      <c r="CQ44" s="171"/>
      <c r="CR44" s="171"/>
      <c r="CS44" s="171"/>
      <c r="CT44" s="171"/>
      <c r="CU44" s="171"/>
      <c r="CV44" s="171"/>
      <c r="CW44" s="171"/>
      <c r="CX44" s="171"/>
      <c r="CY44" s="171"/>
      <c r="CZ44" s="171"/>
      <c r="DA44" s="171"/>
      <c r="DB44" s="171"/>
      <c r="DC44" s="171"/>
      <c r="DD44" s="171"/>
      <c r="DE44" s="171"/>
      <c r="DF44" s="171"/>
      <c r="DG44" s="171"/>
      <c r="DH44" s="171"/>
      <c r="DI44" s="171"/>
      <c r="DJ44" s="171"/>
      <c r="DK44" s="171"/>
      <c r="DL44" s="171"/>
      <c r="DM44" s="171"/>
      <c r="DN44" s="171"/>
      <c r="DO44" s="171"/>
      <c r="DP44" s="171"/>
      <c r="DQ44" s="171"/>
      <c r="DR44" s="171"/>
      <c r="DS44" s="171"/>
      <c r="DT44" s="171"/>
      <c r="DU44" s="171"/>
      <c r="DV44" s="171"/>
      <c r="DW44" s="171"/>
      <c r="DX44" s="171"/>
      <c r="DY44" s="171"/>
      <c r="DZ44" s="171"/>
      <c r="EA44" s="171"/>
      <c r="EB44" s="171"/>
      <c r="EC44" s="171"/>
      <c r="ED44" s="171"/>
      <c r="EE44" s="171"/>
      <c r="EF44" s="171"/>
      <c r="EG44" s="171"/>
      <c r="EH44" s="171"/>
      <c r="EI44" s="171"/>
      <c r="EJ44" s="171"/>
      <c r="EK44" s="171"/>
      <c r="EL44" s="14"/>
    </row>
    <row r="45" spans="2:145" ht="14.4" hidden="1" x14ac:dyDescent="0.3">
      <c r="B45" s="14"/>
      <c r="C45" s="14"/>
      <c r="D45" s="14"/>
      <c r="E45" s="14"/>
      <c r="F45" s="14"/>
      <c r="G45" s="14"/>
      <c r="H45" s="414"/>
      <c r="I45" s="14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  <c r="AX45" s="171"/>
      <c r="AY45" s="171"/>
      <c r="AZ45" s="171"/>
      <c r="BA45" s="171"/>
      <c r="BB45" s="171"/>
      <c r="BC45" s="171"/>
      <c r="BD45" s="171"/>
      <c r="BE45" s="171"/>
      <c r="BF45" s="171"/>
      <c r="BG45" s="171"/>
      <c r="BH45" s="171"/>
      <c r="BI45" s="171"/>
      <c r="BJ45" s="171"/>
      <c r="BK45" s="171"/>
      <c r="BL45" s="171"/>
      <c r="BM45" s="171"/>
      <c r="BN45" s="171"/>
      <c r="BO45" s="171"/>
      <c r="BP45" s="171"/>
      <c r="BQ45" s="171"/>
      <c r="BR45" s="171"/>
      <c r="BS45" s="171"/>
      <c r="BT45" s="171"/>
      <c r="BU45" s="171"/>
      <c r="BV45" s="171"/>
      <c r="BW45" s="171"/>
      <c r="BX45" s="171"/>
      <c r="BY45" s="171"/>
      <c r="BZ45" s="171"/>
      <c r="CA45" s="171"/>
      <c r="CB45" s="171"/>
      <c r="CC45" s="171"/>
      <c r="CD45" s="171"/>
      <c r="CE45" s="171"/>
      <c r="CF45" s="171"/>
      <c r="CG45" s="171"/>
      <c r="CH45" s="171"/>
      <c r="CI45" s="171"/>
      <c r="CJ45" s="171"/>
      <c r="CK45" s="171"/>
      <c r="CL45" s="171"/>
      <c r="CM45" s="171"/>
      <c r="CN45" s="171"/>
      <c r="CO45" s="171"/>
      <c r="CP45" s="171"/>
      <c r="CQ45" s="171"/>
      <c r="CR45" s="171"/>
      <c r="CS45" s="171"/>
      <c r="CT45" s="171"/>
      <c r="CU45" s="171"/>
      <c r="CV45" s="171"/>
      <c r="CW45" s="171"/>
      <c r="CX45" s="171"/>
      <c r="CY45" s="171"/>
      <c r="CZ45" s="171"/>
      <c r="DA45" s="171"/>
      <c r="DB45" s="171"/>
      <c r="DC45" s="171"/>
      <c r="DD45" s="171"/>
      <c r="DE45" s="171"/>
      <c r="DF45" s="171"/>
      <c r="DG45" s="171"/>
      <c r="DH45" s="171"/>
      <c r="DI45" s="171"/>
      <c r="DJ45" s="171"/>
      <c r="DK45" s="171"/>
      <c r="DL45" s="171"/>
      <c r="DM45" s="171"/>
      <c r="DN45" s="171"/>
      <c r="DO45" s="171"/>
      <c r="DP45" s="171"/>
      <c r="DQ45" s="171"/>
      <c r="DR45" s="171"/>
      <c r="DS45" s="171"/>
      <c r="DT45" s="171"/>
      <c r="DU45" s="171"/>
      <c r="DV45" s="171"/>
      <c r="DW45" s="171"/>
      <c r="DX45" s="171"/>
      <c r="DY45" s="171"/>
      <c r="DZ45" s="171"/>
      <c r="EA45" s="171"/>
      <c r="EB45" s="171"/>
      <c r="EC45" s="171"/>
      <c r="ED45" s="171"/>
      <c r="EE45" s="171"/>
      <c r="EF45" s="171"/>
      <c r="EG45" s="171"/>
      <c r="EH45" s="171"/>
      <c r="EI45" s="171"/>
      <c r="EJ45" s="171"/>
      <c r="EK45" s="171"/>
      <c r="EL45" s="14"/>
    </row>
    <row r="46" spans="2:145" ht="14.4" hidden="1" x14ac:dyDescent="0.3">
      <c r="B46" s="14"/>
      <c r="C46" s="14"/>
      <c r="D46" s="14"/>
      <c r="E46" s="14"/>
      <c r="F46" s="14"/>
      <c r="G46" s="14"/>
      <c r="H46" s="414"/>
      <c r="I46" s="14"/>
      <c r="J46" s="171"/>
      <c r="K46" s="171"/>
      <c r="L46" s="171"/>
      <c r="M46" s="171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171"/>
      <c r="AN46" s="171"/>
      <c r="AO46" s="171"/>
      <c r="AP46" s="171"/>
      <c r="AQ46" s="171"/>
      <c r="AR46" s="171"/>
      <c r="AS46" s="171"/>
      <c r="AT46" s="171"/>
      <c r="AU46" s="171"/>
      <c r="AV46" s="171"/>
      <c r="AW46" s="171"/>
      <c r="AX46" s="171"/>
      <c r="AY46" s="171"/>
      <c r="AZ46" s="171"/>
      <c r="BA46" s="171"/>
      <c r="BB46" s="171"/>
      <c r="BC46" s="171"/>
      <c r="BD46" s="171"/>
      <c r="BE46" s="171"/>
      <c r="BF46" s="171"/>
      <c r="BG46" s="171"/>
      <c r="BH46" s="171"/>
      <c r="BI46" s="171"/>
      <c r="BJ46" s="171"/>
      <c r="BK46" s="171"/>
      <c r="BL46" s="171"/>
      <c r="BM46" s="171"/>
      <c r="BN46" s="171"/>
      <c r="BO46" s="171"/>
      <c r="BP46" s="171"/>
      <c r="BQ46" s="171"/>
      <c r="BR46" s="171"/>
      <c r="BS46" s="171"/>
      <c r="BT46" s="171"/>
      <c r="BU46" s="171"/>
      <c r="BV46" s="171"/>
      <c r="BW46" s="171"/>
      <c r="BX46" s="171"/>
      <c r="BY46" s="171"/>
      <c r="BZ46" s="171"/>
      <c r="CA46" s="171"/>
      <c r="CB46" s="171"/>
      <c r="CC46" s="171"/>
      <c r="CD46" s="171"/>
      <c r="CE46" s="171"/>
      <c r="CF46" s="171"/>
      <c r="CG46" s="171"/>
      <c r="CH46" s="171"/>
      <c r="CI46" s="171"/>
      <c r="CJ46" s="171"/>
      <c r="CK46" s="171"/>
      <c r="CL46" s="171"/>
      <c r="CM46" s="171"/>
      <c r="CN46" s="171"/>
      <c r="CO46" s="171"/>
      <c r="CP46" s="171"/>
      <c r="CQ46" s="171"/>
      <c r="CR46" s="171"/>
      <c r="CS46" s="171"/>
      <c r="CT46" s="171"/>
      <c r="CU46" s="171"/>
      <c r="CV46" s="171"/>
      <c r="CW46" s="171"/>
      <c r="CX46" s="171"/>
      <c r="CY46" s="171"/>
      <c r="CZ46" s="171"/>
      <c r="DA46" s="171"/>
      <c r="DB46" s="171"/>
      <c r="DC46" s="171"/>
      <c r="DD46" s="171"/>
      <c r="DE46" s="171"/>
      <c r="DF46" s="171"/>
      <c r="DG46" s="171"/>
      <c r="DH46" s="171"/>
      <c r="DI46" s="171"/>
      <c r="DJ46" s="171"/>
      <c r="DK46" s="171"/>
      <c r="DL46" s="171"/>
      <c r="DM46" s="171"/>
      <c r="DN46" s="171"/>
      <c r="DO46" s="171"/>
      <c r="DP46" s="171"/>
      <c r="DQ46" s="171"/>
      <c r="DR46" s="171"/>
      <c r="DS46" s="171"/>
      <c r="DT46" s="171"/>
      <c r="DU46" s="171"/>
      <c r="DV46" s="171"/>
      <c r="DW46" s="171"/>
      <c r="DX46" s="171"/>
      <c r="DY46" s="171"/>
      <c r="DZ46" s="171"/>
      <c r="EA46" s="171"/>
      <c r="EB46" s="171"/>
      <c r="EC46" s="171"/>
      <c r="ED46" s="171"/>
      <c r="EE46" s="171"/>
      <c r="EF46" s="171"/>
      <c r="EG46" s="171"/>
      <c r="EH46" s="171"/>
      <c r="EI46" s="171"/>
      <c r="EJ46" s="171"/>
      <c r="EK46" s="171"/>
      <c r="EL46" s="14"/>
    </row>
    <row r="47" spans="2:145" ht="15" customHeight="1" x14ac:dyDescent="0.3">
      <c r="B47" s="14"/>
      <c r="C47" s="14"/>
      <c r="D47" s="14"/>
      <c r="E47" s="14"/>
      <c r="F47" s="14"/>
      <c r="G47" s="14"/>
      <c r="H47" s="4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</row>
    <row r="48" spans="2:145" ht="15" customHeight="1" x14ac:dyDescent="0.3">
      <c r="B48" s="14"/>
      <c r="C48" s="14"/>
      <c r="D48" s="14"/>
      <c r="E48" s="14"/>
      <c r="F48" s="14"/>
      <c r="G48" s="14"/>
      <c r="H48" s="4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 Page</vt:lpstr>
      <vt:lpstr>Summary</vt:lpstr>
      <vt:lpstr>Area</vt:lpstr>
      <vt:lpstr>Budget</vt:lpstr>
      <vt:lpstr>MonthlyCF</vt:lpstr>
      <vt:lpstr>OpProj</vt:lpstr>
      <vt:lpstr>Area!Print_Area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David Polnick</cp:lastModifiedBy>
  <dcterms:created xsi:type="dcterms:W3CDTF">2019-02-20T07:18:50Z</dcterms:created>
  <dcterms:modified xsi:type="dcterms:W3CDTF">2026-10-12T03:57:00Z</dcterms:modified>
</cp:coreProperties>
</file>