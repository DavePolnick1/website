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4. Income Statements\"/>
    </mc:Choice>
  </mc:AlternateContent>
  <xr:revisionPtr revIDLastSave="0" documentId="13_ncr:1_{3FABAAB3-2FB1-43B4-970B-47FB673ADF2B}" xr6:coauthVersionLast="47" xr6:coauthVersionMax="47" xr10:uidLastSave="{00000000-0000-0000-0000-000000000000}"/>
  <bookViews>
    <workbookView xWindow="-108" yWindow="-108" windowWidth="23256" windowHeight="12456" xr2:uid="{8CDE68B2-B08C-422C-A07C-020C4F14F553}"/>
  </bookViews>
  <sheets>
    <sheet name="Industrial" sheetId="2" r:id="rId1"/>
    <sheet name="OpSt" sheetId="1" r:id="rId2"/>
    <sheet name="Leasing Cost Calcula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1" l="1"/>
  <c r="I59" i="1"/>
  <c r="I61" i="1"/>
  <c r="D61" i="2"/>
  <c r="C61" i="2" s="1"/>
  <c r="D70" i="2"/>
  <c r="D69" i="2"/>
  <c r="D68" i="2"/>
  <c r="D66" i="2"/>
  <c r="D64" i="2"/>
  <c r="C64" i="2" s="1"/>
  <c r="D63" i="2"/>
  <c r="C63" i="2" s="1"/>
  <c r="D62" i="2"/>
  <c r="C62" i="2" s="1"/>
  <c r="D59" i="2"/>
  <c r="D58" i="2"/>
  <c r="D57" i="2"/>
  <c r="D56" i="2"/>
  <c r="D55" i="2"/>
  <c r="D54" i="2"/>
  <c r="D53" i="2"/>
  <c r="D52" i="2"/>
  <c r="D51" i="2"/>
  <c r="D50" i="2"/>
  <c r="D49" i="2"/>
  <c r="C49" i="2" s="1"/>
  <c r="D48" i="2"/>
  <c r="C48" i="2" s="1"/>
  <c r="D47" i="2"/>
  <c r="C47" i="2" s="1"/>
  <c r="D46" i="2"/>
  <c r="C46" i="2" s="1"/>
  <c r="D45" i="2"/>
  <c r="C45" i="2" s="1"/>
  <c r="D44" i="2"/>
  <c r="C44" i="2" s="1"/>
  <c r="D43" i="2"/>
  <c r="D42" i="2"/>
  <c r="D41" i="2"/>
  <c r="D40" i="2"/>
  <c r="D39" i="2"/>
  <c r="D38" i="2"/>
  <c r="D37" i="2"/>
  <c r="D36" i="2"/>
  <c r="C36" i="2" s="1"/>
  <c r="D35" i="2"/>
  <c r="D34" i="2"/>
  <c r="D33" i="2"/>
  <c r="D32" i="2"/>
  <c r="C32" i="2" s="1"/>
  <c r="D31" i="2"/>
  <c r="D30" i="2"/>
  <c r="C30" i="2" s="1"/>
  <c r="D29" i="2"/>
  <c r="C29" i="2" s="1"/>
  <c r="D28" i="2"/>
  <c r="C28" i="2" s="1"/>
  <c r="D27" i="2"/>
  <c r="D26" i="2"/>
  <c r="D25" i="2"/>
  <c r="D24" i="2"/>
  <c r="D23" i="2"/>
  <c r="D22" i="2"/>
  <c r="D21" i="2"/>
  <c r="D20" i="2"/>
  <c r="D19" i="2"/>
  <c r="D18" i="2"/>
  <c r="D17" i="2"/>
  <c r="D16" i="2"/>
  <c r="C16" i="2" s="1"/>
  <c r="D15" i="2"/>
  <c r="C15" i="2" s="1"/>
  <c r="D14" i="2"/>
  <c r="D13" i="2"/>
  <c r="D12" i="2"/>
  <c r="C12" i="2" s="1"/>
  <c r="D11" i="2"/>
  <c r="D10" i="2"/>
  <c r="D9" i="2"/>
  <c r="C37" i="2"/>
  <c r="C33" i="2"/>
  <c r="C19" i="2"/>
  <c r="C17" i="2"/>
  <c r="D8" i="2"/>
  <c r="H21" i="3"/>
  <c r="I50" i="1"/>
  <c r="I49" i="1"/>
  <c r="I46" i="1"/>
  <c r="I45" i="1"/>
  <c r="I44" i="1"/>
  <c r="I43" i="1"/>
  <c r="I42" i="1"/>
  <c r="I35" i="1"/>
  <c r="I34" i="1"/>
  <c r="I31" i="1"/>
  <c r="I30" i="1"/>
  <c r="I29" i="1"/>
  <c r="I28" i="1"/>
  <c r="I27" i="1"/>
  <c r="I26" i="1"/>
  <c r="J65" i="1"/>
  <c r="J57" i="1"/>
  <c r="J55" i="1"/>
  <c r="I16" i="1"/>
  <c r="I15" i="1"/>
  <c r="I14" i="1"/>
  <c r="I13" i="1"/>
  <c r="I9" i="1"/>
  <c r="I8" i="1"/>
  <c r="I7" i="1"/>
  <c r="I6" i="1"/>
  <c r="J22" i="1"/>
  <c r="C8" i="2"/>
  <c r="C9" i="2"/>
  <c r="C10" i="2"/>
  <c r="C11" i="2"/>
  <c r="C18" i="2"/>
  <c r="C23" i="2"/>
  <c r="C38" i="2"/>
  <c r="C51" i="2"/>
  <c r="C52" i="2"/>
  <c r="C53" i="2"/>
  <c r="C55" i="2"/>
  <c r="I63" i="1" l="1"/>
  <c r="D65" i="2" s="1"/>
  <c r="C65" i="2" s="1"/>
  <c r="H13" i="3"/>
  <c r="H15" i="3"/>
  <c r="H16" i="3"/>
  <c r="H14" i="3"/>
  <c r="I17" i="1"/>
  <c r="I51" i="1"/>
  <c r="I47" i="1"/>
  <c r="I36" i="1"/>
  <c r="I10" i="1"/>
  <c r="C24" i="2"/>
  <c r="C22" i="2"/>
  <c r="H17" i="3" l="1"/>
  <c r="H19" i="3" s="1"/>
  <c r="I53" i="1"/>
  <c r="I20" i="1"/>
  <c r="I22" i="1" s="1"/>
  <c r="I32" i="1"/>
  <c r="C31" i="2"/>
  <c r="I38" i="1" l="1"/>
  <c r="C34" i="2"/>
  <c r="I55" i="1" l="1"/>
  <c r="C40" i="2"/>
  <c r="I57" i="1" l="1"/>
  <c r="C57" i="2"/>
  <c r="I65" i="1" l="1"/>
  <c r="C59" i="2"/>
  <c r="I69" i="1" l="1"/>
  <c r="D71" i="2" s="1"/>
  <c r="D67" i="2"/>
</calcChain>
</file>

<file path=xl/sharedStrings.xml><?xml version="1.0" encoding="utf-8"?>
<sst xmlns="http://schemas.openxmlformats.org/spreadsheetml/2006/main" count="319" uniqueCount="204">
  <si>
    <t>Annual Statement</t>
  </si>
  <si>
    <t>EOY</t>
  </si>
  <si>
    <t> Base Rent</t>
  </si>
  <si>
    <t> Rent Concessions</t>
  </si>
  <si>
    <t>     Base Income</t>
  </si>
  <si>
    <t>     Revenues</t>
  </si>
  <si>
    <t> Cleaning-Window Cleaning</t>
  </si>
  <si>
    <t>     Cleaning Expenses</t>
  </si>
  <si>
    <t> R&amp;M-Staff Payroll</t>
  </si>
  <si>
    <t> R&amp;M-HVAC-Contract</t>
  </si>
  <si>
    <t> R&amp;M-HVAC-Maintenance&amp;Repairs</t>
  </si>
  <si>
    <t> R&amp;M-Plumbing-Supplies</t>
  </si>
  <si>
    <t> R&amp;M-Plumbing-Maint &amp; Repairs</t>
  </si>
  <si>
    <t> R&amp;M-Electrical-Maint &amp; Repairs</t>
  </si>
  <si>
    <t> R&amp;M-Genl Bldg-Tools &amp; Supplies</t>
  </si>
  <si>
    <t> R&amp;M-Genl Bldg-Hardware/Keys</t>
  </si>
  <si>
    <t> R&amp;M-Genl Bldg-Roof Repairs</t>
  </si>
  <si>
    <t> R&amp;M-Genl Bldg-Other</t>
  </si>
  <si>
    <t> R&amp;M-Life Safety-Monit Contract</t>
  </si>
  <si>
    <t> R&amp;M-Life Safety-Supplies</t>
  </si>
  <si>
    <t> R&amp;M-Life Safety-Maint &amp; Repair</t>
  </si>
  <si>
    <t> R&amp;M Other</t>
  </si>
  <si>
    <t> R&amp;M Billed to Tenant</t>
  </si>
  <si>
    <t> R&amp;M-Other-Miscellaneous</t>
  </si>
  <si>
    <t> Landscaping-Contracted Service</t>
  </si>
  <si>
    <t>     Repairs/Maintenance</t>
  </si>
  <si>
    <t> Utilities-Electric Expense</t>
  </si>
  <si>
    <t> Utilities-Gas/Oil Expense</t>
  </si>
  <si>
    <t> Utilities-Water/Sewer Expense</t>
  </si>
  <si>
    <t>     Utilities</t>
  </si>
  <si>
    <t> Mgmt Office-Staff Payroll</t>
  </si>
  <si>
    <t> Mgmt Office-Telephone</t>
  </si>
  <si>
    <t> Mgmt Office-Postage/Delivery</t>
  </si>
  <si>
    <t> Mgmt Office-Admin-Other</t>
  </si>
  <si>
    <t> Admin-Travel Expense</t>
  </si>
  <si>
    <t>     Administrative Services</t>
  </si>
  <si>
    <t>     Real Estate Taxes</t>
  </si>
  <si>
    <t> Taxes-Real Estate</t>
  </si>
  <si>
    <t> Taxes-Real Estate-PY Adj</t>
  </si>
  <si>
    <t> Taxes-Tax Consultant</t>
  </si>
  <si>
    <t> Land Owner Assoc. Fees</t>
  </si>
  <si>
    <t>     Other Taxes and Fees</t>
  </si>
  <si>
    <t> Insurance-Casualty</t>
  </si>
  <si>
    <t>     Insurance Expense</t>
  </si>
  <si>
    <t> Marketing-Holiday Gifts</t>
  </si>
  <si>
    <t> Marketing-Signage</t>
  </si>
  <si>
    <t>     Marketing/Advertising</t>
  </si>
  <si>
    <t> Gar/Park-Snow Removal/Salt</t>
  </si>
  <si>
    <t> Gar/Park-Cleaning Exp</t>
  </si>
  <si>
    <t> Gar/Park-Paving/Patching/Walks</t>
  </si>
  <si>
    <t>     Parking Operations</t>
  </si>
  <si>
    <t> Leasing Trans-Legal Expenses</t>
  </si>
  <si>
    <t>     Leasing Expenses</t>
  </si>
  <si>
    <t> Property Management Fee</t>
  </si>
  <si>
    <t>     Property Management Fee</t>
  </si>
  <si>
    <t> Non Oper - Legal</t>
  </si>
  <si>
    <t>     Non-Operating Expenses</t>
  </si>
  <si>
    <t>     Expenses</t>
  </si>
  <si>
    <t>    ADJUSTMENTS</t>
  </si>
  <si>
    <t> Building And Improvements</t>
  </si>
  <si>
    <t>Gully Logistics Center</t>
  </si>
  <si>
    <t>Period = Jan 2017-Dec 2019</t>
  </si>
  <si>
    <t> Dec 2017</t>
  </si>
  <si>
    <t> Dec 2018</t>
  </si>
  <si>
    <t> Dec 2019</t>
  </si>
  <si>
    <t> Tenant Improvements</t>
  </si>
  <si>
    <t> Leasing Commissions</t>
  </si>
  <si>
    <t>NET OPERATING INCOME</t>
  </si>
  <si>
    <t>CASH FLOW</t>
  </si>
  <si>
    <t> Non-Recoverable - Utilities</t>
  </si>
  <si>
    <t>     Non-Recoverable</t>
  </si>
  <si>
    <t>Recoveries-Operating Expense</t>
  </si>
  <si>
    <t>Recoveries-Real Estate Tax</t>
  </si>
  <si>
    <t>Recoveries-Insurance</t>
  </si>
  <si>
    <t>Recoveries-Utilities</t>
  </si>
  <si>
    <t>     Recovery Income</t>
  </si>
  <si>
    <t>Property size: 156,160 SF</t>
  </si>
  <si>
    <t>Cash flow from operations minus debt service and any ground lease payments, if applicable; commonly referred to as CFAF</t>
  </si>
  <si>
    <t>CASH FLOW AFTER FINANCING</t>
  </si>
  <si>
    <t>Payment to lender(s); payment is principal + interest unless loan is interest-only; commonly referred to as DS</t>
  </si>
  <si>
    <t>Debt Service</t>
  </si>
  <si>
    <t>Net operating income minus total capital expenditures; commonly referred to as CFO</t>
  </si>
  <si>
    <t>CASH FLOW FROM OPERATIONS</t>
  </si>
  <si>
    <t>Total Capital Expenditures</t>
  </si>
  <si>
    <t>Amount set aside for future capital improvements and/or leasing costs</t>
  </si>
  <si>
    <t>Capital Reserve</t>
  </si>
  <si>
    <t>Expenditures with a depreciable life greater than one year (e.g. roof repair, structural repairs, etc)</t>
  </si>
  <si>
    <t>Capital Improvements</t>
  </si>
  <si>
    <t>Allowances offered to tenants upon signing a new lease or lease renewal; used to improve the tenant's physical space</t>
  </si>
  <si>
    <t>Tenant Improvements</t>
  </si>
  <si>
    <t>Commissions paid to leasing brokers</t>
  </si>
  <si>
    <t>Leasing Commissions</t>
  </si>
  <si>
    <t>CAPITAL EXPENDITURES</t>
  </si>
  <si>
    <t>Effective gross income minus total operating expenses; commonly referred to as NOI</t>
  </si>
  <si>
    <t>Sum of reimbursable and non-reimbursable operating expenses; commonly referred to as OpEx</t>
  </si>
  <si>
    <t>Total Operating Expenses</t>
  </si>
  <si>
    <t>Total operating expenses that are not reimbursable</t>
  </si>
  <si>
    <t>Total Non-Reimbursable OpEx</t>
  </si>
  <si>
    <t>Total Fixed Operating Expenses</t>
  </si>
  <si>
    <t>Property and casualty insurance</t>
  </si>
  <si>
    <t>Insurance</t>
  </si>
  <si>
    <t>Real estate taxes levied by the local government</t>
  </si>
  <si>
    <t>Real Estate Taxes</t>
  </si>
  <si>
    <t>Expense that are fixed regardless of occupancy</t>
  </si>
  <si>
    <t>Fixed Expenses</t>
  </si>
  <si>
    <t>Total Variable Expenses</t>
  </si>
  <si>
    <t>Other variable expenses that are not reimbursable</t>
  </si>
  <si>
    <t>Other Variable Expenses</t>
  </si>
  <si>
    <t>Electricity, gas, water, sewer, internet, and other utilities related to the common areas</t>
  </si>
  <si>
    <t>Utilities</t>
  </si>
  <si>
    <t>Expenses related to maintaining the landscaping in the common areas</t>
  </si>
  <si>
    <t>Landscaping</t>
  </si>
  <si>
    <t>Expenses related to securing the premises</t>
  </si>
  <si>
    <t>Security</t>
  </si>
  <si>
    <t>Expenses related to maintaining the general condition of the common areas</t>
  </si>
  <si>
    <t>Repairs and Maintenance</t>
  </si>
  <si>
    <t>Expenses that fluctuate based on occupancy</t>
  </si>
  <si>
    <t>Variable Operating Expenses</t>
  </si>
  <si>
    <t>Operating expenses incurred by landlord that tenants are not obligated to reimburse</t>
  </si>
  <si>
    <t>Non-Reimbursable Operating Expenses</t>
  </si>
  <si>
    <t>Total operating expenses that are reimbursable</t>
  </si>
  <si>
    <t>Total Reimbursable OpEx</t>
  </si>
  <si>
    <t>Other variable expenses that are reimbursable</t>
  </si>
  <si>
    <t>Fee paid to professional property management</t>
  </si>
  <si>
    <t>Property Management</t>
  </si>
  <si>
    <t>Operating expenses incurred by landlord that tenants have agreed to reimburse</t>
  </si>
  <si>
    <t>Reimbursable Operating Expenses</t>
  </si>
  <si>
    <t>OPERATING EXPENSES</t>
  </si>
  <si>
    <t>Gross revenue after adjusting for general vacancy and credit loss; commonly referred to as EGR</t>
  </si>
  <si>
    <t>Total Effective Gross Revenue</t>
  </si>
  <si>
    <t>Additional vacancy taken on gross Revenue to account for unforeseen vacancy or credit loss; used in forecasted periods</t>
  </si>
  <si>
    <t>General Vacancy and Credit Loss</t>
  </si>
  <si>
    <t>Sum of other income and rental revenue</t>
  </si>
  <si>
    <t>Gross Revenue</t>
  </si>
  <si>
    <t>Effective Gross Revenue</t>
  </si>
  <si>
    <t>Actual other Revenue</t>
  </si>
  <si>
    <t>Total Other Income</t>
  </si>
  <si>
    <t>Actual other income</t>
  </si>
  <si>
    <t>Other Income</t>
  </si>
  <si>
    <t>Actual tenant reimbursement of real estate taxes</t>
  </si>
  <si>
    <t>Real Estate Tax Reimbursement</t>
  </si>
  <si>
    <t>Actual tenant reimbursement of utility expenses</t>
  </si>
  <si>
    <t>Utility Reimbursement</t>
  </si>
  <si>
    <t>Actual tenant reimbursement of common area maintenance (security, repairs and maintenance, landscaping, etc)</t>
  </si>
  <si>
    <t>CAM Reimbursement</t>
  </si>
  <si>
    <t>Actual rental Revenue in period</t>
  </si>
  <si>
    <t>Total Rental Revenue</t>
  </si>
  <si>
    <t>Concessed space (e.g. free rent) at contract rate</t>
  </si>
  <si>
    <t>Concessions</t>
  </si>
  <si>
    <t>Loss due to tenants' nonpayment of rental obligations</t>
  </si>
  <si>
    <t>Actual Credit Loss</t>
  </si>
  <si>
    <t>Vacant space at market rent</t>
  </si>
  <si>
    <t>Actual Vacancy</t>
  </si>
  <si>
    <t>Sum of all contract rent plus vacant space at market rent; concessed space at contract rate</t>
  </si>
  <si>
    <t>Potential Base Rent</t>
  </si>
  <si>
    <t>Amount</t>
  </si>
  <si>
    <t>PSF</t>
  </si>
  <si>
    <t>Rental Revenue</t>
  </si>
  <si>
    <t>REVENUE</t>
  </si>
  <si>
    <t>Period Ending</t>
  </si>
  <si>
    <t>Net Rentable Area</t>
  </si>
  <si>
    <t>INDUSTRIAL - SUMMARY INCOME STATEMENT</t>
  </si>
  <si>
    <t>Label</t>
  </si>
  <si>
    <t>RENT</t>
  </si>
  <si>
    <t>VAC</t>
  </si>
  <si>
    <t>CREDIT</t>
  </si>
  <si>
    <t>CONC</t>
  </si>
  <si>
    <t>CAM</t>
  </si>
  <si>
    <t>U</t>
  </si>
  <si>
    <t>RET</t>
  </si>
  <si>
    <t>OI</t>
  </si>
  <si>
    <t>I</t>
  </si>
  <si>
    <t>Error Check</t>
  </si>
  <si>
    <t>RM</t>
  </si>
  <si>
    <t>PM</t>
  </si>
  <si>
    <t>OVE</t>
  </si>
  <si>
    <t>SEC</t>
  </si>
  <si>
    <t>LAND</t>
  </si>
  <si>
    <t>RETR</t>
  </si>
  <si>
    <t>IR</t>
  </si>
  <si>
    <t>UR</t>
  </si>
  <si>
    <t>RMN</t>
  </si>
  <si>
    <t>SECN</t>
  </si>
  <si>
    <t>LANDN</t>
  </si>
  <si>
    <t>UN</t>
  </si>
  <si>
    <t>OVEN</t>
  </si>
  <si>
    <t>RETN</t>
  </si>
  <si>
    <t>IN</t>
  </si>
  <si>
    <t xml:space="preserve">LEASING COST RESERVE CALCULATION </t>
  </si>
  <si>
    <t>Property Size</t>
  </si>
  <si>
    <t>Renewal Probability</t>
  </si>
  <si>
    <t>Typical Lease Term</t>
  </si>
  <si>
    <t>Market Rent /SF</t>
  </si>
  <si>
    <t>Tenant Improvement Allowance /SF (New)</t>
  </si>
  <si>
    <t>Tenant Improvement Allowance /SF (Renewal)</t>
  </si>
  <si>
    <t>Leasing Commission % (New)</t>
  </si>
  <si>
    <t>Leasing Commission % (Renewal)</t>
  </si>
  <si>
    <t>Tenant Improvement Allowance (New)</t>
  </si>
  <si>
    <t>Tenant Improvement Allowance (Renewal)</t>
  </si>
  <si>
    <t>Leasing Commission (New)</t>
  </si>
  <si>
    <t>Leasing Commission (Renewal)</t>
  </si>
  <si>
    <t>Total Leasing Costs</t>
  </si>
  <si>
    <t>Annual Leasing Cost Reserve</t>
  </si>
  <si>
    <r>
      <t>Annual Leasing Cost Reserve (</t>
    </r>
    <r>
      <rPr>
        <i/>
        <sz val="11"/>
        <color theme="1"/>
        <rFont val="Calibri"/>
        <family val="2"/>
      </rPr>
      <t>In one formula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</si>
</sst>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##0_);_(* \(###0\);_(* &quot;-&quot;_);_(@_)"/>
    <numFmt numFmtId="167" formatCode="#,##0\ &quot;SF&quot;"/>
    <numFmt numFmtId="168" formatCode="0.0%"/>
    <numFmt numFmtId="169" formatCode="0\ &quot;Years&quot;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505050"/>
      <name val="Verdana"/>
      <family val="2"/>
    </font>
    <font>
      <b/>
      <sz val="12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505050"/>
      <name val="Verdana"/>
      <family val="2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u val="singleAccounting"/>
      <sz val="11"/>
      <color indexed="12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8"/>
      <color theme="1"/>
      <name val="Verdana"/>
      <family val="2"/>
    </font>
    <font>
      <b/>
      <sz val="12"/>
      <color indexed="12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" fontId="5" fillId="0" borderId="0" xfId="0" applyNumberFormat="1" applyFont="1" applyAlignment="1">
      <alignment horizontal="right"/>
    </xf>
    <xf numFmtId="4" fontId="5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4" fontId="0" fillId="0" borderId="0" xfId="0" applyNumberFormat="1"/>
    <xf numFmtId="0" fontId="4" fillId="0" borderId="0" xfId="0" applyFont="1" applyAlignment="1">
      <alignment horizontal="left"/>
    </xf>
    <xf numFmtId="4" fontId="4" fillId="0" borderId="2" xfId="0" applyNumberFormat="1" applyFont="1" applyBorder="1" applyAlignment="1">
      <alignment horizontal="right"/>
    </xf>
    <xf numFmtId="0" fontId="1" fillId="0" borderId="0" xfId="0" applyFont="1"/>
    <xf numFmtId="4" fontId="5" fillId="0" borderId="4" xfId="0" applyNumberFormat="1" applyFont="1" applyBorder="1" applyAlignment="1">
      <alignment horizontal="right"/>
    </xf>
    <xf numFmtId="4" fontId="4" fillId="0" borderId="3" xfId="0" applyNumberFormat="1" applyFont="1" applyBorder="1" applyAlignment="1">
      <alignment horizontal="right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164" fontId="0" fillId="0" borderId="0" xfId="0" applyNumberFormat="1"/>
    <xf numFmtId="43" fontId="9" fillId="0" borderId="0" xfId="0" applyNumberFormat="1" applyFont="1"/>
    <xf numFmtId="43" fontId="0" fillId="0" borderId="0" xfId="0" applyNumberFormat="1"/>
    <xf numFmtId="0" fontId="10" fillId="0" borderId="0" xfId="0" applyFont="1"/>
    <xf numFmtId="164" fontId="1" fillId="0" borderId="0" xfId="0" applyNumberFormat="1" applyFont="1"/>
    <xf numFmtId="43" fontId="11" fillId="0" borderId="0" xfId="0" applyNumberFormat="1" applyFont="1"/>
    <xf numFmtId="164" fontId="12" fillId="0" borderId="0" xfId="0" applyNumberFormat="1" applyFont="1"/>
    <xf numFmtId="43" fontId="9" fillId="0" borderId="0" xfId="0" applyNumberFormat="1" applyFont="1" applyAlignment="1">
      <alignment horizontal="left" indent="1"/>
    </xf>
    <xf numFmtId="0" fontId="0" fillId="3" borderId="0" xfId="0" applyFill="1"/>
    <xf numFmtId="0" fontId="8" fillId="3" borderId="0" xfId="0" applyFont="1" applyFill="1"/>
    <xf numFmtId="164" fontId="0" fillId="3" borderId="0" xfId="0" applyNumberFormat="1" applyFill="1"/>
    <xf numFmtId="43" fontId="9" fillId="3" borderId="0" xfId="0" applyNumberFormat="1" applyFont="1" applyFill="1"/>
    <xf numFmtId="43" fontId="8" fillId="0" borderId="0" xfId="0" applyNumberFormat="1" applyFont="1"/>
    <xf numFmtId="0" fontId="1" fillId="0" borderId="0" xfId="0" applyFont="1" applyAlignment="1">
      <alignment horizontal="left"/>
    </xf>
    <xf numFmtId="164" fontId="13" fillId="0" borderId="0" xfId="0" applyNumberFormat="1" applyFont="1"/>
    <xf numFmtId="43" fontId="14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0" fontId="1" fillId="3" borderId="0" xfId="0" applyFont="1" applyFill="1"/>
    <xf numFmtId="0" fontId="0" fillId="0" borderId="0" xfId="0" applyAlignment="1">
      <alignment horizontal="left"/>
    </xf>
    <xf numFmtId="0" fontId="15" fillId="0" borderId="0" xfId="0" applyFont="1"/>
    <xf numFmtId="3" fontId="8" fillId="0" borderId="0" xfId="0" applyNumberFormat="1" applyFont="1"/>
    <xf numFmtId="43" fontId="11" fillId="3" borderId="0" xfId="0" applyNumberFormat="1" applyFont="1" applyFill="1"/>
    <xf numFmtId="43" fontId="11" fillId="0" borderId="0" xfId="0" applyNumberFormat="1" applyFont="1" applyAlignment="1">
      <alignment horizontal="left" indent="1"/>
    </xf>
    <xf numFmtId="164" fontId="16" fillId="0" borderId="0" xfId="0" applyNumberFormat="1" applyFont="1"/>
    <xf numFmtId="43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11" fillId="3" borderId="0" xfId="0" applyFont="1" applyFill="1"/>
    <xf numFmtId="0" fontId="11" fillId="0" borderId="0" xfId="0" applyFont="1"/>
    <xf numFmtId="165" fontId="12" fillId="0" borderId="0" xfId="0" applyNumberFormat="1" applyFont="1"/>
    <xf numFmtId="3" fontId="12" fillId="0" borderId="0" xfId="0" applyNumberFormat="1" applyFont="1"/>
    <xf numFmtId="0" fontId="9" fillId="0" borderId="0" xfId="0" applyFont="1"/>
    <xf numFmtId="0" fontId="7" fillId="4" borderId="0" xfId="0" applyFont="1" applyFill="1"/>
    <xf numFmtId="0" fontId="19" fillId="4" borderId="0" xfId="0" applyFont="1" applyFill="1"/>
    <xf numFmtId="0" fontId="20" fillId="4" borderId="0" xfId="0" applyFont="1" applyFill="1"/>
    <xf numFmtId="0" fontId="21" fillId="4" borderId="0" xfId="0" applyFont="1" applyFill="1"/>
    <xf numFmtId="0" fontId="0" fillId="0" borderId="0" xfId="0" applyAlignment="1">
      <alignment horizontal="right" indent="1"/>
    </xf>
    <xf numFmtId="0" fontId="1" fillId="0" borderId="0" xfId="0" applyFont="1" applyAlignment="1">
      <alignment horizontal="right" indent="1"/>
    </xf>
    <xf numFmtId="0" fontId="22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right" indent="1"/>
    </xf>
    <xf numFmtId="3" fontId="0" fillId="0" borderId="0" xfId="0" applyNumberFormat="1"/>
    <xf numFmtId="0" fontId="21" fillId="6" borderId="0" xfId="0" applyFont="1" applyFill="1"/>
    <xf numFmtId="0" fontId="23" fillId="6" borderId="0" xfId="0" applyFont="1" applyFill="1"/>
    <xf numFmtId="0" fontId="12" fillId="0" borderId="0" xfId="0" applyFont="1"/>
    <xf numFmtId="167" fontId="12" fillId="0" borderId="0" xfId="0" applyNumberFormat="1" applyFont="1"/>
    <xf numFmtId="168" fontId="12" fillId="0" borderId="0" xfId="0" applyNumberFormat="1" applyFont="1"/>
    <xf numFmtId="169" fontId="12" fillId="0" borderId="0" xfId="0" applyNumberFormat="1" applyFont="1"/>
    <xf numFmtId="4" fontId="12" fillId="0" borderId="0" xfId="0" applyNumberFormat="1" applyFont="1"/>
    <xf numFmtId="10" fontId="12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D6A9-D852-4BEF-9098-10A1E3510F40}">
  <dimension ref="A1:O72"/>
  <sheetViews>
    <sheetView showGridLines="0" tabSelected="1" zoomScaleNormal="100" workbookViewId="0">
      <selection activeCell="D61" sqref="D61"/>
    </sheetView>
  </sheetViews>
  <sheetFormatPr defaultColWidth="0" defaultRowHeight="14.4" zeroHeight="1" x14ac:dyDescent="0.3"/>
  <cols>
    <col min="1" max="1" width="1.6640625" customWidth="1"/>
    <col min="2" max="2" width="27.5546875" bestFit="1" customWidth="1"/>
    <col min="3" max="3" width="9.88671875" style="21" bestFit="1" customWidth="1"/>
    <col min="4" max="4" width="11" style="20" bestFit="1" customWidth="1"/>
    <col min="5" max="5" width="8.88671875" style="19" customWidth="1"/>
    <col min="6" max="14" width="8.88671875" customWidth="1"/>
    <col min="15" max="15" width="1.6640625" customWidth="1"/>
    <col min="16" max="16384" width="8.88671875" hidden="1"/>
  </cols>
  <sheetData>
    <row r="1" spans="2:14" ht="9.9" customHeight="1" x14ac:dyDescent="0.3">
      <c r="C1" s="50"/>
      <c r="D1"/>
    </row>
    <row r="2" spans="2:14" ht="15.6" x14ac:dyDescent="0.3">
      <c r="B2" s="54" t="s">
        <v>161</v>
      </c>
      <c r="C2" s="53"/>
      <c r="D2" s="51"/>
      <c r="E2" s="52"/>
      <c r="F2" s="51"/>
      <c r="G2" s="51"/>
      <c r="H2" s="51"/>
      <c r="I2" s="51"/>
      <c r="J2" s="51"/>
      <c r="K2" s="51"/>
      <c r="L2" s="51"/>
      <c r="M2" s="51"/>
      <c r="N2" s="51"/>
    </row>
    <row r="3" spans="2:14" ht="5.0999999999999996" customHeight="1" x14ac:dyDescent="0.3">
      <c r="C3" s="50"/>
      <c r="D3"/>
    </row>
    <row r="4" spans="2:14" x14ac:dyDescent="0.3">
      <c r="B4" s="47" t="s">
        <v>160</v>
      </c>
      <c r="D4" s="49">
        <v>156160</v>
      </c>
    </row>
    <row r="5" spans="2:14" s="47" customFormat="1" ht="15" customHeight="1" x14ac:dyDescent="0.3">
      <c r="B5" s="47" t="s">
        <v>159</v>
      </c>
      <c r="D5" s="48">
        <v>2019</v>
      </c>
      <c r="E5" s="23"/>
    </row>
    <row r="6" spans="2:14" x14ac:dyDescent="0.3">
      <c r="B6" s="37" t="s">
        <v>158</v>
      </c>
      <c r="C6" s="46"/>
      <c r="D6" s="28"/>
      <c r="E6" s="29"/>
      <c r="F6" s="28"/>
      <c r="G6" s="28"/>
      <c r="H6" s="28"/>
      <c r="I6" s="28"/>
      <c r="J6" s="28"/>
      <c r="K6" s="28"/>
      <c r="L6" s="28"/>
      <c r="M6" s="28"/>
      <c r="N6" s="28"/>
    </row>
    <row r="7" spans="2:14" x14ac:dyDescent="0.3">
      <c r="B7" s="11" t="s">
        <v>157</v>
      </c>
      <c r="C7" s="45" t="s">
        <v>156</v>
      </c>
      <c r="D7" s="44" t="s">
        <v>155</v>
      </c>
    </row>
    <row r="8" spans="2:14" x14ac:dyDescent="0.3">
      <c r="B8" s="36" t="s">
        <v>154</v>
      </c>
      <c r="C8" s="27">
        <f>+D8/$D$4</f>
        <v>4.4499969902663938</v>
      </c>
      <c r="D8" s="26">
        <f>OpSt!I6</f>
        <v>694911.53</v>
      </c>
      <c r="E8" s="19" t="s">
        <v>153</v>
      </c>
    </row>
    <row r="9" spans="2:14" x14ac:dyDescent="0.3">
      <c r="B9" s="36" t="s">
        <v>152</v>
      </c>
      <c r="C9" s="27">
        <f>+D9/$D$4</f>
        <v>0</v>
      </c>
      <c r="D9" s="26">
        <f>OpSt!I7</f>
        <v>0</v>
      </c>
      <c r="E9" s="19" t="s">
        <v>151</v>
      </c>
    </row>
    <row r="10" spans="2:14" x14ac:dyDescent="0.3">
      <c r="B10" s="36" t="s">
        <v>150</v>
      </c>
      <c r="C10" s="27">
        <f>+D10/$D$4</f>
        <v>0</v>
      </c>
      <c r="D10" s="26">
        <f>OpSt!I8</f>
        <v>0</v>
      </c>
      <c r="E10" s="19" t="s">
        <v>149</v>
      </c>
    </row>
    <row r="11" spans="2:14" ht="16.2" x14ac:dyDescent="0.45">
      <c r="B11" s="36" t="s">
        <v>148</v>
      </c>
      <c r="C11" s="35">
        <f>+D11/$D$4</f>
        <v>0</v>
      </c>
      <c r="D11" s="26">
        <f>OpSt!I9</f>
        <v>0</v>
      </c>
      <c r="E11" s="19" t="s">
        <v>147</v>
      </c>
    </row>
    <row r="12" spans="2:14" x14ac:dyDescent="0.3">
      <c r="B12" s="38" t="s">
        <v>146</v>
      </c>
      <c r="C12" s="27">
        <f>+D12/$D$4</f>
        <v>4.4499969902663938</v>
      </c>
      <c r="D12" s="26">
        <f>OpSt!I10</f>
        <v>694911.53</v>
      </c>
      <c r="E12" s="19" t="s">
        <v>145</v>
      </c>
    </row>
    <row r="13" spans="2:14" ht="5.0999999999999996" customHeight="1" x14ac:dyDescent="0.3">
      <c r="D13" s="26">
        <f>OpSt!I11</f>
        <v>0</v>
      </c>
    </row>
    <row r="14" spans="2:14" x14ac:dyDescent="0.3">
      <c r="B14" s="11" t="s">
        <v>138</v>
      </c>
      <c r="C14" s="25"/>
      <c r="D14" s="26">
        <f>OpSt!I12</f>
        <v>0</v>
      </c>
    </row>
    <row r="15" spans="2:14" x14ac:dyDescent="0.3">
      <c r="B15" s="36" t="s">
        <v>144</v>
      </c>
      <c r="C15" s="27">
        <f>+D15/$D$4</f>
        <v>0</v>
      </c>
      <c r="D15" s="26">
        <f>OpSt!I13</f>
        <v>0</v>
      </c>
      <c r="E15" s="19" t="s">
        <v>143</v>
      </c>
    </row>
    <row r="16" spans="2:14" x14ac:dyDescent="0.3">
      <c r="B16" s="36" t="s">
        <v>142</v>
      </c>
      <c r="C16" s="27">
        <f>+D16/$D$4</f>
        <v>9.6878842213114751E-3</v>
      </c>
      <c r="D16" s="26">
        <f>OpSt!I14</f>
        <v>1512.86</v>
      </c>
      <c r="E16" s="19" t="s">
        <v>141</v>
      </c>
    </row>
    <row r="17" spans="2:14" x14ac:dyDescent="0.3">
      <c r="B17" s="36" t="s">
        <v>140</v>
      </c>
      <c r="C17" s="27">
        <f>+D17/$D$4</f>
        <v>0.79059919313524596</v>
      </c>
      <c r="D17" s="26">
        <f>OpSt!I15</f>
        <v>123459.97</v>
      </c>
      <c r="E17" s="19" t="s">
        <v>139</v>
      </c>
    </row>
    <row r="18" spans="2:14" ht="16.2" x14ac:dyDescent="0.45">
      <c r="B18" s="36" t="s">
        <v>138</v>
      </c>
      <c r="C18" s="35">
        <f>+D18/$D$4</f>
        <v>0.4665285604508197</v>
      </c>
      <c r="D18" s="26">
        <f>OpSt!I16</f>
        <v>72853.100000000006</v>
      </c>
      <c r="E18" s="19" t="s">
        <v>137</v>
      </c>
    </row>
    <row r="19" spans="2:14" x14ac:dyDescent="0.3">
      <c r="B19" s="38" t="s">
        <v>136</v>
      </c>
      <c r="C19" s="27">
        <f>+D19/$D$4</f>
        <v>1.2668156378073769</v>
      </c>
      <c r="D19" s="26">
        <f>OpSt!I17</f>
        <v>197825.93</v>
      </c>
      <c r="E19" s="19" t="s">
        <v>135</v>
      </c>
    </row>
    <row r="20" spans="2:14" ht="5.0999999999999996" customHeight="1" x14ac:dyDescent="0.3">
      <c r="D20" s="26">
        <f>OpSt!I18</f>
        <v>0</v>
      </c>
    </row>
    <row r="21" spans="2:14" x14ac:dyDescent="0.3">
      <c r="B21" s="11" t="s">
        <v>134</v>
      </c>
      <c r="C21" s="25"/>
      <c r="D21" s="26">
        <f>OpSt!I19</f>
        <v>0</v>
      </c>
    </row>
    <row r="22" spans="2:14" x14ac:dyDescent="0.3">
      <c r="B22" s="36" t="s">
        <v>133</v>
      </c>
      <c r="C22" s="27">
        <f>+D22/$D$4</f>
        <v>5.7168126280737699</v>
      </c>
      <c r="D22" s="26">
        <f>OpSt!I20</f>
        <v>892737.46</v>
      </c>
      <c r="E22" s="19" t="s">
        <v>132</v>
      </c>
    </row>
    <row r="23" spans="2:14" ht="16.2" x14ac:dyDescent="0.45">
      <c r="B23" s="36" t="s">
        <v>131</v>
      </c>
      <c r="C23" s="35">
        <f>+D23/$D$4</f>
        <v>0</v>
      </c>
      <c r="D23" s="26">
        <f>OpSt!I21</f>
        <v>0</v>
      </c>
      <c r="E23" s="19" t="s">
        <v>130</v>
      </c>
    </row>
    <row r="24" spans="2:14" s="11" customFormat="1" x14ac:dyDescent="0.3">
      <c r="B24" s="33" t="s">
        <v>129</v>
      </c>
      <c r="C24" s="42">
        <f>+D24/$D$4</f>
        <v>5.7168126280737699</v>
      </c>
      <c r="D24" s="26">
        <f>OpSt!I22</f>
        <v>892737.46</v>
      </c>
      <c r="E24" s="23" t="s">
        <v>128</v>
      </c>
    </row>
    <row r="25" spans="2:14" x14ac:dyDescent="0.3">
      <c r="B25" s="37" t="s">
        <v>127</v>
      </c>
      <c r="C25" s="41"/>
      <c r="D25" s="26">
        <f>OpSt!I23</f>
        <v>0</v>
      </c>
      <c r="E25" s="29"/>
      <c r="F25" s="28"/>
      <c r="G25" s="28"/>
      <c r="H25" s="28"/>
      <c r="I25" s="28"/>
      <c r="J25" s="28"/>
      <c r="K25" s="28"/>
      <c r="L25" s="28"/>
      <c r="M25" s="28"/>
      <c r="N25" s="28"/>
    </row>
    <row r="26" spans="2:14" x14ac:dyDescent="0.3">
      <c r="B26" s="11" t="s">
        <v>126</v>
      </c>
      <c r="C26" s="25"/>
      <c r="D26" s="26">
        <f>OpSt!I24</f>
        <v>0</v>
      </c>
      <c r="E26" s="40" t="s">
        <v>125</v>
      </c>
    </row>
    <row r="27" spans="2:14" x14ac:dyDescent="0.3">
      <c r="B27" s="39" t="s">
        <v>117</v>
      </c>
      <c r="C27" s="32"/>
      <c r="D27" s="26">
        <f>OpSt!I25</f>
        <v>0</v>
      </c>
      <c r="E27" s="40" t="s">
        <v>116</v>
      </c>
    </row>
    <row r="28" spans="2:14" x14ac:dyDescent="0.3">
      <c r="B28" s="36" t="s">
        <v>115</v>
      </c>
      <c r="C28" s="27">
        <f>+D28/$D$4</f>
        <v>0.21162897028688527</v>
      </c>
      <c r="D28" s="26">
        <f>OpSt!I26</f>
        <v>33047.980000000003</v>
      </c>
      <c r="E28" s="40" t="s">
        <v>114</v>
      </c>
    </row>
    <row r="29" spans="2:14" x14ac:dyDescent="0.3">
      <c r="B29" s="36" t="s">
        <v>113</v>
      </c>
      <c r="C29" s="27">
        <f>+D29/$D$4</f>
        <v>0</v>
      </c>
      <c r="D29" s="26">
        <f>OpSt!I27</f>
        <v>0</v>
      </c>
      <c r="E29" s="40" t="s">
        <v>112</v>
      </c>
    </row>
    <row r="30" spans="2:14" x14ac:dyDescent="0.3">
      <c r="B30" s="36" t="s">
        <v>111</v>
      </c>
      <c r="C30" s="27">
        <f>+D30/$D$4</f>
        <v>8.0530737704918032E-2</v>
      </c>
      <c r="D30" s="26">
        <f>OpSt!I28</f>
        <v>12575.68</v>
      </c>
      <c r="E30" s="40" t="s">
        <v>110</v>
      </c>
    </row>
    <row r="31" spans="2:14" x14ac:dyDescent="0.3">
      <c r="B31" s="36" t="s">
        <v>124</v>
      </c>
      <c r="C31" s="27">
        <f>+D31/$D$4</f>
        <v>4.4499679815573769E-2</v>
      </c>
      <c r="D31" s="26">
        <f>OpSt!I29</f>
        <v>6949.07</v>
      </c>
      <c r="E31" s="40" t="s">
        <v>123</v>
      </c>
    </row>
    <row r="32" spans="2:14" x14ac:dyDescent="0.3">
      <c r="B32" s="36" t="s">
        <v>109</v>
      </c>
      <c r="C32" s="27">
        <f>+D32/$D$4</f>
        <v>4.8220414959016397E-2</v>
      </c>
      <c r="D32" s="26">
        <f>OpSt!I30</f>
        <v>7530.1</v>
      </c>
      <c r="E32" s="40" t="s">
        <v>108</v>
      </c>
    </row>
    <row r="33" spans="2:5" ht="16.2" x14ac:dyDescent="0.45">
      <c r="B33" s="36" t="s">
        <v>107</v>
      </c>
      <c r="C33" s="35">
        <f>+D33/$D$4</f>
        <v>0.13726908299180327</v>
      </c>
      <c r="D33" s="26">
        <f>OpSt!I31</f>
        <v>21435.94</v>
      </c>
      <c r="E33" s="40" t="s">
        <v>122</v>
      </c>
    </row>
    <row r="34" spans="2:5" x14ac:dyDescent="0.3">
      <c r="B34" s="38" t="s">
        <v>105</v>
      </c>
      <c r="C34" s="27">
        <f>+D34/$D$4</f>
        <v>0.52214888575819673</v>
      </c>
      <c r="D34" s="26">
        <f>OpSt!I32</f>
        <v>81538.77</v>
      </c>
    </row>
    <row r="35" spans="2:5" x14ac:dyDescent="0.3">
      <c r="B35" s="39" t="s">
        <v>104</v>
      </c>
      <c r="C35" s="32"/>
      <c r="D35" s="26">
        <f>OpSt!I33</f>
        <v>0</v>
      </c>
      <c r="E35" s="19" t="s">
        <v>103</v>
      </c>
    </row>
    <row r="36" spans="2:5" x14ac:dyDescent="0.3">
      <c r="B36" s="36" t="s">
        <v>102</v>
      </c>
      <c r="C36" s="27">
        <f>+D36/$D$4</f>
        <v>0.7543985655737705</v>
      </c>
      <c r="D36" s="26">
        <f>OpSt!I34</f>
        <v>117806.88</v>
      </c>
      <c r="E36" s="19" t="s">
        <v>101</v>
      </c>
    </row>
    <row r="37" spans="2:5" ht="16.2" x14ac:dyDescent="0.45">
      <c r="B37" s="36" t="s">
        <v>100</v>
      </c>
      <c r="C37" s="35">
        <f>+D37/$D$4</f>
        <v>5.3944736168032789E-2</v>
      </c>
      <c r="D37" s="26">
        <f>OpSt!I35</f>
        <v>8424.01</v>
      </c>
      <c r="E37" s="19" t="s">
        <v>99</v>
      </c>
    </row>
    <row r="38" spans="2:5" x14ac:dyDescent="0.3">
      <c r="B38" s="38" t="s">
        <v>98</v>
      </c>
      <c r="C38" s="27">
        <f>+D38/$D$4</f>
        <v>0.80834330174180324</v>
      </c>
      <c r="D38" s="26">
        <f>OpSt!I36</f>
        <v>126230.89</v>
      </c>
    </row>
    <row r="39" spans="2:5" ht="5.0999999999999996" customHeight="1" x14ac:dyDescent="0.3">
      <c r="D39" s="26">
        <f>OpSt!I37</f>
        <v>0</v>
      </c>
    </row>
    <row r="40" spans="2:5" x14ac:dyDescent="0.3">
      <c r="B40" t="s">
        <v>121</v>
      </c>
      <c r="C40" s="27">
        <f>+D40/$D$4</f>
        <v>1.3304921875</v>
      </c>
      <c r="D40" s="26">
        <f>OpSt!I38</f>
        <v>207769.66</v>
      </c>
      <c r="E40" s="19" t="s">
        <v>120</v>
      </c>
    </row>
    <row r="41" spans="2:5" ht="5.0999999999999996" customHeight="1" x14ac:dyDescent="0.3">
      <c r="C41" s="27"/>
      <c r="D41" s="26">
        <f>OpSt!I39</f>
        <v>0</v>
      </c>
    </row>
    <row r="42" spans="2:5" x14ac:dyDescent="0.3">
      <c r="B42" s="11" t="s">
        <v>119</v>
      </c>
      <c r="D42" s="26">
        <f>OpSt!I40</f>
        <v>0</v>
      </c>
      <c r="E42" s="19" t="s">
        <v>118</v>
      </c>
    </row>
    <row r="43" spans="2:5" x14ac:dyDescent="0.3">
      <c r="B43" s="39" t="s">
        <v>117</v>
      </c>
      <c r="D43" s="26">
        <f>OpSt!I41</f>
        <v>0</v>
      </c>
      <c r="E43" s="19" t="s">
        <v>116</v>
      </c>
    </row>
    <row r="44" spans="2:5" x14ac:dyDescent="0.3">
      <c r="B44" s="36" t="s">
        <v>115</v>
      </c>
      <c r="C44" s="27">
        <f>+D44/$D$4</f>
        <v>0</v>
      </c>
      <c r="D44" s="26">
        <f>OpSt!I42</f>
        <v>0</v>
      </c>
      <c r="E44" s="40" t="s">
        <v>114</v>
      </c>
    </row>
    <row r="45" spans="2:5" x14ac:dyDescent="0.3">
      <c r="B45" s="36" t="s">
        <v>113</v>
      </c>
      <c r="C45" s="27">
        <f>+D45/$D$4</f>
        <v>0</v>
      </c>
      <c r="D45" s="26">
        <f>OpSt!I43</f>
        <v>0</v>
      </c>
      <c r="E45" s="40" t="s">
        <v>112</v>
      </c>
    </row>
    <row r="46" spans="2:5" x14ac:dyDescent="0.3">
      <c r="B46" s="36" t="s">
        <v>111</v>
      </c>
      <c r="C46" s="27">
        <f>+D46/$D$4</f>
        <v>0</v>
      </c>
      <c r="D46" s="26">
        <f>OpSt!I44</f>
        <v>0</v>
      </c>
      <c r="E46" s="40" t="s">
        <v>110</v>
      </c>
    </row>
    <row r="47" spans="2:5" x14ac:dyDescent="0.3">
      <c r="B47" s="36" t="s">
        <v>109</v>
      </c>
      <c r="C47" s="27">
        <f>+D47/$D$4</f>
        <v>0</v>
      </c>
      <c r="D47" s="26">
        <f>OpSt!I45</f>
        <v>0</v>
      </c>
      <c r="E47" s="40" t="s">
        <v>108</v>
      </c>
    </row>
    <row r="48" spans="2:5" ht="16.2" x14ac:dyDescent="0.45">
      <c r="B48" s="36" t="s">
        <v>107</v>
      </c>
      <c r="C48" s="35">
        <f>+D48/$D$4</f>
        <v>0</v>
      </c>
      <c r="D48" s="26">
        <f>OpSt!I46</f>
        <v>0</v>
      </c>
      <c r="E48" s="40" t="s">
        <v>106</v>
      </c>
    </row>
    <row r="49" spans="2:14" x14ac:dyDescent="0.3">
      <c r="B49" s="38" t="s">
        <v>105</v>
      </c>
      <c r="C49" s="27">
        <f>+D49/$D$4</f>
        <v>0</v>
      </c>
      <c r="D49" s="26">
        <f>OpSt!I47</f>
        <v>0</v>
      </c>
    </row>
    <row r="50" spans="2:14" x14ac:dyDescent="0.3">
      <c r="B50" s="39" t="s">
        <v>104</v>
      </c>
      <c r="C50" s="32"/>
      <c r="D50" s="26">
        <f>OpSt!I48</f>
        <v>0</v>
      </c>
      <c r="E50" s="19" t="s">
        <v>103</v>
      </c>
    </row>
    <row r="51" spans="2:14" x14ac:dyDescent="0.3">
      <c r="B51" s="36" t="s">
        <v>102</v>
      </c>
      <c r="C51" s="27">
        <f>+D51/$D$4</f>
        <v>0</v>
      </c>
      <c r="D51" s="26">
        <f>OpSt!I49</f>
        <v>0</v>
      </c>
      <c r="E51" s="19" t="s">
        <v>101</v>
      </c>
    </row>
    <row r="52" spans="2:14" ht="16.2" x14ac:dyDescent="0.45">
      <c r="B52" s="36" t="s">
        <v>100</v>
      </c>
      <c r="C52" s="35">
        <f>+D52/$D$4</f>
        <v>0</v>
      </c>
      <c r="D52" s="26">
        <f>OpSt!I50</f>
        <v>0</v>
      </c>
      <c r="E52" s="19" t="s">
        <v>99</v>
      </c>
    </row>
    <row r="53" spans="2:14" x14ac:dyDescent="0.3">
      <c r="B53" s="38" t="s">
        <v>98</v>
      </c>
      <c r="C53" s="27">
        <f>+D53/$D$4</f>
        <v>0</v>
      </c>
      <c r="D53" s="26">
        <f>OpSt!I51</f>
        <v>0</v>
      </c>
    </row>
    <row r="54" spans="2:14" ht="5.0999999999999996" customHeight="1" x14ac:dyDescent="0.3">
      <c r="D54" s="26">
        <f>OpSt!I52</f>
        <v>0</v>
      </c>
    </row>
    <row r="55" spans="2:14" x14ac:dyDescent="0.3">
      <c r="B55" t="s">
        <v>97</v>
      </c>
      <c r="C55" s="27">
        <f>+D55/$D$4</f>
        <v>0</v>
      </c>
      <c r="D55" s="26">
        <f>OpSt!I53</f>
        <v>0</v>
      </c>
      <c r="E55" s="19" t="s">
        <v>96</v>
      </c>
    </row>
    <row r="56" spans="2:14" ht="5.0999999999999996" customHeight="1" x14ac:dyDescent="0.3">
      <c r="D56" s="26">
        <f>OpSt!I54</f>
        <v>0</v>
      </c>
    </row>
    <row r="57" spans="2:14" s="11" customFormat="1" x14ac:dyDescent="0.3">
      <c r="B57" s="11" t="s">
        <v>95</v>
      </c>
      <c r="C57" s="25">
        <f>+D57/$D$4</f>
        <v>1.3304921875</v>
      </c>
      <c r="D57" s="26">
        <f>OpSt!I55</f>
        <v>207769.66</v>
      </c>
      <c r="E57" s="23" t="s">
        <v>94</v>
      </c>
    </row>
    <row r="58" spans="2:14" ht="5.0999999999999996" customHeight="1" x14ac:dyDescent="0.3">
      <c r="B58" s="28"/>
      <c r="C58" s="31"/>
      <c r="D58" s="26">
        <f>OpSt!I56</f>
        <v>0</v>
      </c>
      <c r="E58" s="29"/>
      <c r="F58" s="28"/>
      <c r="G58" s="28"/>
      <c r="H58" s="28"/>
      <c r="I58" s="28"/>
      <c r="J58" s="28"/>
      <c r="K58" s="28"/>
      <c r="L58" s="28"/>
      <c r="M58" s="28"/>
      <c r="N58" s="28"/>
    </row>
    <row r="59" spans="2:14" s="11" customFormat="1" x14ac:dyDescent="0.3">
      <c r="B59" s="11" t="s">
        <v>67</v>
      </c>
      <c r="C59" s="25">
        <f>+D59/$D$4</f>
        <v>4.3863204405737699</v>
      </c>
      <c r="D59" s="26">
        <f>OpSt!I57</f>
        <v>684967.79999999993</v>
      </c>
      <c r="E59" s="23" t="s">
        <v>93</v>
      </c>
    </row>
    <row r="60" spans="2:14" x14ac:dyDescent="0.3">
      <c r="B60" s="37" t="s">
        <v>92</v>
      </c>
      <c r="C60" s="31"/>
      <c r="D60" s="30"/>
      <c r="E60" s="29"/>
      <c r="F60" s="28"/>
      <c r="G60" s="28"/>
      <c r="H60" s="28"/>
      <c r="I60" s="28"/>
      <c r="J60" s="28"/>
      <c r="K60" s="28"/>
      <c r="L60" s="28"/>
      <c r="M60" s="28"/>
      <c r="N60" s="28"/>
    </row>
    <row r="61" spans="2:14" x14ac:dyDescent="0.3">
      <c r="B61" s="36" t="s">
        <v>91</v>
      </c>
      <c r="C61" s="27">
        <f>+D61/$D$4</f>
        <v>0.54782927766393441</v>
      </c>
      <c r="D61" s="26">
        <f>OpSt!I59</f>
        <v>85549.02</v>
      </c>
      <c r="E61" s="19" t="s">
        <v>90</v>
      </c>
    </row>
    <row r="62" spans="2:14" x14ac:dyDescent="0.3">
      <c r="B62" s="36" t="s">
        <v>89</v>
      </c>
      <c r="C62" s="27">
        <f>+D62/$D$4</f>
        <v>0</v>
      </c>
      <c r="D62" s="26">
        <f>OpSt!I60</f>
        <v>0</v>
      </c>
      <c r="E62" s="19" t="s">
        <v>88</v>
      </c>
    </row>
    <row r="63" spans="2:14" x14ac:dyDescent="0.3">
      <c r="B63" s="36" t="s">
        <v>87</v>
      </c>
      <c r="C63" s="27">
        <f>+D63/$D$4</f>
        <v>6.2246926229508191E-2</v>
      </c>
      <c r="D63" s="26">
        <f>OpSt!I61</f>
        <v>9720.48</v>
      </c>
      <c r="E63" s="19" t="s">
        <v>86</v>
      </c>
    </row>
    <row r="64" spans="2:14" ht="16.2" x14ac:dyDescent="0.45">
      <c r="B64" s="36" t="s">
        <v>85</v>
      </c>
      <c r="C64" s="35">
        <f>+D64/$D$4</f>
        <v>0</v>
      </c>
      <c r="D64" s="26">
        <f>OpSt!I62</f>
        <v>0</v>
      </c>
      <c r="E64" s="19" t="s">
        <v>84</v>
      </c>
    </row>
    <row r="65" spans="2:14" x14ac:dyDescent="0.3">
      <c r="B65" s="33" t="s">
        <v>83</v>
      </c>
      <c r="C65" s="27">
        <f>+D65/$D$4</f>
        <v>0.61007620389344264</v>
      </c>
      <c r="D65" s="26">
        <f>OpSt!I63</f>
        <v>95269.5</v>
      </c>
      <c r="E65" s="32"/>
    </row>
    <row r="66" spans="2:14" ht="5.0999999999999996" customHeight="1" x14ac:dyDescent="0.3">
      <c r="B66" s="28"/>
      <c r="C66" s="31"/>
      <c r="D66" s="26">
        <f>OpSt!I64</f>
        <v>0</v>
      </c>
      <c r="E66" s="29"/>
      <c r="F66" s="28"/>
      <c r="G66" s="28"/>
      <c r="H66" s="28"/>
      <c r="I66" s="28"/>
      <c r="J66" s="28"/>
      <c r="K66" s="28"/>
      <c r="L66" s="28"/>
      <c r="M66" s="28"/>
      <c r="N66" s="28"/>
    </row>
    <row r="67" spans="2:14" s="11" customFormat="1" x14ac:dyDescent="0.3">
      <c r="B67" s="11" t="s">
        <v>82</v>
      </c>
      <c r="C67" s="25"/>
      <c r="D67" s="26">
        <f>OpSt!I65</f>
        <v>589698.29999999993</v>
      </c>
      <c r="E67" s="23" t="s">
        <v>81</v>
      </c>
    </row>
    <row r="68" spans="2:14" ht="5.0999999999999996" customHeight="1" x14ac:dyDescent="0.3">
      <c r="D68" s="26">
        <f>OpSt!I66</f>
        <v>0</v>
      </c>
    </row>
    <row r="69" spans="2:14" x14ac:dyDescent="0.3">
      <c r="B69" t="s">
        <v>80</v>
      </c>
      <c r="C69" s="27"/>
      <c r="D69" s="26">
        <f>OpSt!I67</f>
        <v>120000</v>
      </c>
      <c r="E69" s="19" t="s">
        <v>79</v>
      </c>
    </row>
    <row r="70" spans="2:14" ht="5.0999999999999996" customHeight="1" x14ac:dyDescent="0.3">
      <c r="D70" s="26">
        <f>OpSt!I68</f>
        <v>0</v>
      </c>
    </row>
    <row r="71" spans="2:14" s="11" customFormat="1" x14ac:dyDescent="0.3">
      <c r="B71" s="11" t="s">
        <v>78</v>
      </c>
      <c r="C71" s="25"/>
      <c r="D71" s="26">
        <f>OpSt!I69</f>
        <v>469698.29999999993</v>
      </c>
      <c r="E71" s="23" t="s">
        <v>77</v>
      </c>
    </row>
    <row r="72" spans="2:14" ht="9.9" customHeight="1" x14ac:dyDescent="0.3">
      <c r="D72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0F4C-E9DC-494E-BE7E-A9448382581E}">
  <dimension ref="A1:J80"/>
  <sheetViews>
    <sheetView workbookViewId="0">
      <selection activeCell="I63" sqref="I63"/>
    </sheetView>
  </sheetViews>
  <sheetFormatPr defaultRowHeight="14.4" x14ac:dyDescent="0.3"/>
  <cols>
    <col min="1" max="1" width="37.109375" customWidth="1"/>
    <col min="2" max="4" width="17.109375" customWidth="1"/>
    <col min="5" max="5" width="8.88671875" style="38"/>
    <col min="7" max="7" width="8.88671875" style="55"/>
    <col min="8" max="8" width="29.77734375" customWidth="1"/>
    <col min="9" max="9" width="13.109375" customWidth="1"/>
    <col min="10" max="10" width="10" bestFit="1" customWidth="1"/>
  </cols>
  <sheetData>
    <row r="1" spans="1:10" x14ac:dyDescent="0.3">
      <c r="A1" s="16" t="s">
        <v>60</v>
      </c>
      <c r="B1" s="16"/>
      <c r="C1" s="16"/>
      <c r="D1" s="16"/>
    </row>
    <row r="2" spans="1:10" ht="16.2" x14ac:dyDescent="0.3">
      <c r="A2" s="17" t="s">
        <v>0</v>
      </c>
      <c r="B2" s="17"/>
      <c r="C2" s="17"/>
      <c r="D2" s="17"/>
    </row>
    <row r="3" spans="1:10" x14ac:dyDescent="0.3">
      <c r="A3" s="16" t="s">
        <v>61</v>
      </c>
      <c r="B3" s="16"/>
      <c r="C3" s="16"/>
      <c r="D3" s="16"/>
    </row>
    <row r="4" spans="1:10" x14ac:dyDescent="0.3">
      <c r="A4" s="18" t="s">
        <v>76</v>
      </c>
      <c r="B4" s="18"/>
      <c r="C4" s="18"/>
      <c r="D4" s="18"/>
    </row>
    <row r="5" spans="1:10" x14ac:dyDescent="0.3">
      <c r="A5" s="14"/>
      <c r="B5" s="1" t="s">
        <v>1</v>
      </c>
      <c r="C5" s="1" t="s">
        <v>1</v>
      </c>
      <c r="D5" s="1" t="s">
        <v>1</v>
      </c>
      <c r="E5" s="57" t="s">
        <v>162</v>
      </c>
      <c r="G5" s="58" t="s">
        <v>162</v>
      </c>
      <c r="H5" s="11" t="s">
        <v>157</v>
      </c>
      <c r="I5" s="44" t="s">
        <v>155</v>
      </c>
      <c r="J5" s="39" t="s">
        <v>172</v>
      </c>
    </row>
    <row r="6" spans="1:10" ht="15" thickBot="1" x14ac:dyDescent="0.35">
      <c r="A6" s="15"/>
      <c r="B6" s="2" t="s">
        <v>62</v>
      </c>
      <c r="C6" s="2" t="s">
        <v>63</v>
      </c>
      <c r="D6" s="2" t="s">
        <v>64</v>
      </c>
      <c r="G6" s="55" t="s">
        <v>163</v>
      </c>
      <c r="H6" s="36" t="s">
        <v>154</v>
      </c>
      <c r="I6" s="26">
        <f>SUMIF($E$7:$E$79,G6,$D$7:$D$79)</f>
        <v>694911.53</v>
      </c>
    </row>
    <row r="7" spans="1:10" x14ac:dyDescent="0.3">
      <c r="A7" s="4" t="s">
        <v>2</v>
      </c>
      <c r="B7" s="5">
        <v>409632.48</v>
      </c>
      <c r="C7" s="5">
        <v>528775.31000000006</v>
      </c>
      <c r="D7" s="5">
        <v>694911.53</v>
      </c>
      <c r="E7" s="38" t="s">
        <v>163</v>
      </c>
      <c r="G7" s="55" t="s">
        <v>164</v>
      </c>
      <c r="H7" s="36" t="s">
        <v>152</v>
      </c>
      <c r="I7" s="26">
        <f t="shared" ref="I7:I9" si="0">SUMIF($E$7:$E$79,G7,$D$7:$D$79)</f>
        <v>0</v>
      </c>
    </row>
    <row r="8" spans="1:10" ht="15" thickBot="1" x14ac:dyDescent="0.35">
      <c r="A8" s="4" t="s">
        <v>3</v>
      </c>
      <c r="B8" s="5">
        <v>0</v>
      </c>
      <c r="C8" s="5">
        <v>-27929.37</v>
      </c>
      <c r="D8" s="5">
        <v>0</v>
      </c>
      <c r="E8" s="38" t="s">
        <v>166</v>
      </c>
      <c r="G8" s="55" t="s">
        <v>165</v>
      </c>
      <c r="H8" s="36" t="s">
        <v>150</v>
      </c>
      <c r="I8" s="26">
        <f t="shared" si="0"/>
        <v>0</v>
      </c>
    </row>
    <row r="9" spans="1:10" x14ac:dyDescent="0.3">
      <c r="A9" s="4" t="s">
        <v>4</v>
      </c>
      <c r="B9" s="6">
        <v>409632.48</v>
      </c>
      <c r="C9" s="6">
        <v>500845.94</v>
      </c>
      <c r="D9" s="6">
        <v>694911.53</v>
      </c>
      <c r="G9" s="55" t="s">
        <v>166</v>
      </c>
      <c r="H9" s="36" t="s">
        <v>148</v>
      </c>
      <c r="I9" s="43">
        <f t="shared" si="0"/>
        <v>0</v>
      </c>
    </row>
    <row r="10" spans="1:10" x14ac:dyDescent="0.3">
      <c r="A10" s="4" t="s">
        <v>71</v>
      </c>
      <c r="B10" s="5">
        <v>66729.86</v>
      </c>
      <c r="C10" s="5">
        <v>76534.69</v>
      </c>
      <c r="D10" s="5">
        <v>72853.100000000006</v>
      </c>
      <c r="E10" s="38" t="s">
        <v>170</v>
      </c>
      <c r="H10" s="38" t="s">
        <v>146</v>
      </c>
      <c r="I10" s="20">
        <f>SUM(I6:I9)</f>
        <v>694911.53</v>
      </c>
    </row>
    <row r="11" spans="1:10" x14ac:dyDescent="0.3">
      <c r="A11" s="4" t="s">
        <v>72</v>
      </c>
      <c r="B11" s="5">
        <v>0</v>
      </c>
      <c r="C11" s="5">
        <v>15066.4</v>
      </c>
      <c r="D11" s="5">
        <v>123459.97</v>
      </c>
      <c r="E11" s="38" t="s">
        <v>169</v>
      </c>
      <c r="I11" s="20"/>
    </row>
    <row r="12" spans="1:10" x14ac:dyDescent="0.3">
      <c r="A12" s="4" t="s">
        <v>73</v>
      </c>
      <c r="B12" s="5">
        <v>57167.15</v>
      </c>
      <c r="C12" s="5">
        <v>82929.42</v>
      </c>
      <c r="D12" s="5">
        <v>0</v>
      </c>
      <c r="E12" s="38" t="s">
        <v>171</v>
      </c>
      <c r="H12" s="11" t="s">
        <v>138</v>
      </c>
      <c r="I12" s="20"/>
    </row>
    <row r="13" spans="1:10" ht="15" thickBot="1" x14ac:dyDescent="0.35">
      <c r="A13" s="4" t="s">
        <v>74</v>
      </c>
      <c r="B13" s="5">
        <v>0</v>
      </c>
      <c r="C13" s="5">
        <v>0</v>
      </c>
      <c r="D13" s="5">
        <v>1512.86</v>
      </c>
      <c r="E13" s="38" t="s">
        <v>168</v>
      </c>
      <c r="G13" s="55" t="s">
        <v>167</v>
      </c>
      <c r="H13" s="36" t="s">
        <v>144</v>
      </c>
      <c r="I13" s="26">
        <f t="shared" ref="I13:I16" si="1">SUMIF($E$7:$E$79,G13,$D$7:$D$79)</f>
        <v>0</v>
      </c>
    </row>
    <row r="14" spans="1:10" ht="15" thickBot="1" x14ac:dyDescent="0.35">
      <c r="A14" s="4" t="s">
        <v>75</v>
      </c>
      <c r="B14" s="6">
        <v>123897.01</v>
      </c>
      <c r="C14" s="6">
        <v>174530.51</v>
      </c>
      <c r="D14" s="6">
        <v>197825.93</v>
      </c>
      <c r="G14" s="55" t="s">
        <v>168</v>
      </c>
      <c r="H14" s="36" t="s">
        <v>142</v>
      </c>
      <c r="I14" s="26">
        <f t="shared" si="1"/>
        <v>1512.86</v>
      </c>
    </row>
    <row r="15" spans="1:10" s="11" customFormat="1" x14ac:dyDescent="0.3">
      <c r="A15" s="9" t="s">
        <v>5</v>
      </c>
      <c r="B15" s="10">
        <v>533529.49</v>
      </c>
      <c r="C15" s="10">
        <v>675376.45</v>
      </c>
      <c r="D15" s="10">
        <v>892737.46</v>
      </c>
      <c r="E15" s="33"/>
      <c r="G15" s="55" t="s">
        <v>169</v>
      </c>
      <c r="H15" s="36" t="s">
        <v>140</v>
      </c>
      <c r="I15" s="26">
        <f t="shared" si="1"/>
        <v>123459.97</v>
      </c>
    </row>
    <row r="16" spans="1:10" ht="16.2" x14ac:dyDescent="0.45">
      <c r="A16" s="4"/>
      <c r="B16" s="5"/>
      <c r="C16" s="5"/>
      <c r="D16" s="5"/>
      <c r="G16" s="55" t="s">
        <v>170</v>
      </c>
      <c r="H16" s="36" t="s">
        <v>138</v>
      </c>
      <c r="I16" s="34">
        <f t="shared" si="1"/>
        <v>72853.100000000006</v>
      </c>
    </row>
    <row r="17" spans="1:10" ht="15" thickBot="1" x14ac:dyDescent="0.35">
      <c r="A17" s="4" t="s">
        <v>6</v>
      </c>
      <c r="B17" s="5">
        <v>320</v>
      </c>
      <c r="C17" s="5">
        <v>160</v>
      </c>
      <c r="D17" s="5">
        <v>320</v>
      </c>
      <c r="H17" s="38" t="s">
        <v>136</v>
      </c>
      <c r="I17" s="20">
        <f>SUM(I13:I16)</f>
        <v>197825.93</v>
      </c>
    </row>
    <row r="18" spans="1:10" x14ac:dyDescent="0.3">
      <c r="A18" s="4" t="s">
        <v>7</v>
      </c>
      <c r="B18" s="6">
        <v>320</v>
      </c>
      <c r="C18" s="6">
        <v>160</v>
      </c>
      <c r="D18" s="6">
        <v>320</v>
      </c>
      <c r="E18" s="38" t="s">
        <v>173</v>
      </c>
      <c r="I18" s="20"/>
    </row>
    <row r="19" spans="1:10" x14ac:dyDescent="0.3">
      <c r="A19" s="4" t="s">
        <v>8</v>
      </c>
      <c r="B19" s="5">
        <v>6488.1</v>
      </c>
      <c r="C19" s="5">
        <v>4818.88</v>
      </c>
      <c r="D19" s="5">
        <v>2698</v>
      </c>
      <c r="E19" s="38" t="s">
        <v>173</v>
      </c>
      <c r="H19" s="11" t="s">
        <v>134</v>
      </c>
      <c r="I19" s="20"/>
    </row>
    <row r="20" spans="1:10" x14ac:dyDescent="0.3">
      <c r="A20" s="4" t="s">
        <v>9</v>
      </c>
      <c r="B20" s="5">
        <v>0</v>
      </c>
      <c r="C20" s="5">
        <v>3438</v>
      </c>
      <c r="D20" s="5">
        <v>2777</v>
      </c>
      <c r="E20" s="38" t="s">
        <v>173</v>
      </c>
      <c r="H20" s="36" t="s">
        <v>133</v>
      </c>
      <c r="I20" s="20">
        <f>+I17+I10</f>
        <v>892737.46</v>
      </c>
    </row>
    <row r="21" spans="1:10" ht="16.2" x14ac:dyDescent="0.45">
      <c r="A21" s="4" t="s">
        <v>10</v>
      </c>
      <c r="B21" s="5">
        <v>3677.63</v>
      </c>
      <c r="C21" s="5">
        <v>1689.5</v>
      </c>
      <c r="D21" s="5">
        <v>7187.87</v>
      </c>
      <c r="E21" s="38" t="s">
        <v>173</v>
      </c>
      <c r="H21" s="36" t="s">
        <v>131</v>
      </c>
      <c r="I21" s="34">
        <v>0</v>
      </c>
    </row>
    <row r="22" spans="1:10" x14ac:dyDescent="0.3">
      <c r="A22" s="4" t="s">
        <v>11</v>
      </c>
      <c r="B22" s="5">
        <v>0</v>
      </c>
      <c r="C22" s="5">
        <v>0</v>
      </c>
      <c r="D22" s="5">
        <v>60.1</v>
      </c>
      <c r="E22" s="38" t="s">
        <v>173</v>
      </c>
      <c r="H22" s="33" t="s">
        <v>129</v>
      </c>
      <c r="I22" s="24">
        <f>+I20+I21</f>
        <v>892737.46</v>
      </c>
      <c r="J22" s="59">
        <f>D15</f>
        <v>892737.46</v>
      </c>
    </row>
    <row r="23" spans="1:10" x14ac:dyDescent="0.3">
      <c r="A23" s="4" t="s">
        <v>12</v>
      </c>
      <c r="B23" s="5">
        <v>1746</v>
      </c>
      <c r="C23" s="5">
        <v>1490</v>
      </c>
      <c r="D23" s="5">
        <v>0</v>
      </c>
      <c r="E23" s="38" t="s">
        <v>173</v>
      </c>
      <c r="H23" s="37" t="s">
        <v>127</v>
      </c>
      <c r="I23" s="30"/>
    </row>
    <row r="24" spans="1:10" x14ac:dyDescent="0.3">
      <c r="A24" s="4" t="s">
        <v>13</v>
      </c>
      <c r="B24" s="5">
        <v>1876.62</v>
      </c>
      <c r="C24" s="5">
        <v>1380.84</v>
      </c>
      <c r="D24" s="5">
        <v>961.34</v>
      </c>
      <c r="E24" s="38" t="s">
        <v>173</v>
      </c>
      <c r="H24" s="11" t="s">
        <v>126</v>
      </c>
      <c r="I24" s="20"/>
    </row>
    <row r="25" spans="1:10" x14ac:dyDescent="0.3">
      <c r="A25" s="4" t="s">
        <v>14</v>
      </c>
      <c r="B25" s="5">
        <v>0</v>
      </c>
      <c r="C25" s="5">
        <v>0</v>
      </c>
      <c r="D25" s="5">
        <v>41.49</v>
      </c>
      <c r="E25" s="38" t="s">
        <v>173</v>
      </c>
      <c r="H25" s="39" t="s">
        <v>117</v>
      </c>
      <c r="I25" s="20"/>
    </row>
    <row r="26" spans="1:10" x14ac:dyDescent="0.3">
      <c r="A26" s="4" t="s">
        <v>15</v>
      </c>
      <c r="B26" s="5">
        <v>0</v>
      </c>
      <c r="C26" s="5">
        <v>0</v>
      </c>
      <c r="D26" s="5">
        <v>483.5</v>
      </c>
      <c r="E26" s="38" t="s">
        <v>173</v>
      </c>
      <c r="G26" s="55" t="s">
        <v>173</v>
      </c>
      <c r="H26" s="36" t="s">
        <v>115</v>
      </c>
      <c r="I26" s="26">
        <f t="shared" ref="I26:I31" si="2">SUMIF($E$7:$E$79,G26,$D$7:$D$79)</f>
        <v>33047.980000000003</v>
      </c>
    </row>
    <row r="27" spans="1:10" x14ac:dyDescent="0.3">
      <c r="A27" s="4" t="s">
        <v>16</v>
      </c>
      <c r="B27" s="5">
        <v>0</v>
      </c>
      <c r="C27" s="5">
        <v>1464.5</v>
      </c>
      <c r="D27" s="5">
        <v>5411.6</v>
      </c>
      <c r="E27" s="38" t="s">
        <v>173</v>
      </c>
      <c r="G27" s="55" t="s">
        <v>176</v>
      </c>
      <c r="H27" s="36" t="s">
        <v>113</v>
      </c>
      <c r="I27" s="26">
        <f t="shared" si="2"/>
        <v>0</v>
      </c>
    </row>
    <row r="28" spans="1:10" x14ac:dyDescent="0.3">
      <c r="A28" s="4" t="s">
        <v>17</v>
      </c>
      <c r="B28" s="5">
        <v>0</v>
      </c>
      <c r="C28" s="5">
        <v>328.72</v>
      </c>
      <c r="D28" s="5">
        <v>0</v>
      </c>
      <c r="E28" s="38" t="s">
        <v>173</v>
      </c>
      <c r="G28" s="55" t="s">
        <v>177</v>
      </c>
      <c r="H28" s="36" t="s">
        <v>111</v>
      </c>
      <c r="I28" s="26">
        <f t="shared" si="2"/>
        <v>12575.68</v>
      </c>
    </row>
    <row r="29" spans="1:10" x14ac:dyDescent="0.3">
      <c r="A29" s="4" t="s">
        <v>18</v>
      </c>
      <c r="B29" s="5">
        <v>6609.25</v>
      </c>
      <c r="C29" s="5">
        <v>4529.84</v>
      </c>
      <c r="D29" s="5">
        <v>5287.41</v>
      </c>
      <c r="E29" s="38" t="s">
        <v>173</v>
      </c>
      <c r="G29" s="55" t="s">
        <v>174</v>
      </c>
      <c r="H29" s="36" t="s">
        <v>124</v>
      </c>
      <c r="I29" s="26">
        <f t="shared" si="2"/>
        <v>6949.07</v>
      </c>
    </row>
    <row r="30" spans="1:10" x14ac:dyDescent="0.3">
      <c r="A30" s="4" t="s">
        <v>19</v>
      </c>
      <c r="B30" s="5">
        <v>0</v>
      </c>
      <c r="C30" s="5">
        <v>0</v>
      </c>
      <c r="D30" s="5">
        <v>80.19</v>
      </c>
      <c r="E30" s="38" t="s">
        <v>173</v>
      </c>
      <c r="G30" s="55" t="s">
        <v>180</v>
      </c>
      <c r="H30" s="36" t="s">
        <v>109</v>
      </c>
      <c r="I30" s="26">
        <f t="shared" si="2"/>
        <v>7530.1</v>
      </c>
    </row>
    <row r="31" spans="1:10" ht="16.2" x14ac:dyDescent="0.45">
      <c r="A31" s="4" t="s">
        <v>20</v>
      </c>
      <c r="B31" s="5">
        <v>1900</v>
      </c>
      <c r="C31" s="5">
        <v>516</v>
      </c>
      <c r="D31" s="5">
        <v>3051.08</v>
      </c>
      <c r="E31" s="38" t="s">
        <v>173</v>
      </c>
      <c r="G31" s="55" t="s">
        <v>175</v>
      </c>
      <c r="H31" s="36" t="s">
        <v>107</v>
      </c>
      <c r="I31" s="34">
        <f t="shared" si="2"/>
        <v>21435.94</v>
      </c>
    </row>
    <row r="32" spans="1:10" x14ac:dyDescent="0.3">
      <c r="A32" s="4" t="s">
        <v>21</v>
      </c>
      <c r="B32" s="5">
        <v>2928</v>
      </c>
      <c r="C32" s="5">
        <v>0</v>
      </c>
      <c r="D32" s="5">
        <v>0</v>
      </c>
      <c r="E32" s="38" t="s">
        <v>173</v>
      </c>
      <c r="H32" s="38" t="s">
        <v>105</v>
      </c>
      <c r="I32" s="20">
        <f>SUM(I26:I31)</f>
        <v>81538.77</v>
      </c>
    </row>
    <row r="33" spans="1:9" x14ac:dyDescent="0.3">
      <c r="A33" s="4" t="s">
        <v>22</v>
      </c>
      <c r="B33" s="5">
        <v>-469.36</v>
      </c>
      <c r="C33" s="5">
        <v>0</v>
      </c>
      <c r="D33" s="5">
        <v>-77.62</v>
      </c>
      <c r="E33" s="38" t="s">
        <v>173</v>
      </c>
      <c r="H33" s="39" t="s">
        <v>104</v>
      </c>
      <c r="I33" s="20"/>
    </row>
    <row r="34" spans="1:9" x14ac:dyDescent="0.3">
      <c r="A34" s="4" t="s">
        <v>23</v>
      </c>
      <c r="B34" s="5">
        <v>401.54</v>
      </c>
      <c r="C34" s="5">
        <v>131.21</v>
      </c>
      <c r="D34" s="5">
        <v>4766.0200000000004</v>
      </c>
      <c r="E34" s="38" t="s">
        <v>173</v>
      </c>
      <c r="G34" s="55" t="s">
        <v>178</v>
      </c>
      <c r="H34" s="36" t="s">
        <v>102</v>
      </c>
      <c r="I34" s="26">
        <f>SUMIF($E$7:$E$79,G34,$D$7:$D$79)</f>
        <v>117806.88</v>
      </c>
    </row>
    <row r="35" spans="1:9" ht="16.8" thickBot="1" x14ac:dyDescent="0.5">
      <c r="A35" s="4" t="s">
        <v>24</v>
      </c>
      <c r="B35" s="5">
        <v>10530.36</v>
      </c>
      <c r="C35" s="5">
        <v>11197.64</v>
      </c>
      <c r="D35" s="5">
        <v>12575.68</v>
      </c>
      <c r="E35" s="38" t="s">
        <v>177</v>
      </c>
      <c r="G35" s="55" t="s">
        <v>179</v>
      </c>
      <c r="H35" s="36" t="s">
        <v>100</v>
      </c>
      <c r="I35" s="34">
        <f>SUMIF($E$7:$E$79,G35,$D$7:$D$79)</f>
        <v>8424.01</v>
      </c>
    </row>
    <row r="36" spans="1:9" x14ac:dyDescent="0.3">
      <c r="A36" s="4" t="s">
        <v>25</v>
      </c>
      <c r="B36" s="6">
        <v>35688.14</v>
      </c>
      <c r="C36" s="6">
        <v>30985.13</v>
      </c>
      <c r="D36" s="6">
        <v>45303.66</v>
      </c>
      <c r="H36" s="38" t="s">
        <v>98</v>
      </c>
      <c r="I36" s="20">
        <f>SUM(I34:I35)</f>
        <v>126230.89</v>
      </c>
    </row>
    <row r="37" spans="1:9" x14ac:dyDescent="0.3">
      <c r="A37" s="4" t="s">
        <v>26</v>
      </c>
      <c r="B37" s="5">
        <v>9773.8799999999992</v>
      </c>
      <c r="C37" s="5">
        <v>9175.94</v>
      </c>
      <c r="D37" s="5">
        <v>7239.11</v>
      </c>
      <c r="I37" s="20"/>
    </row>
    <row r="38" spans="1:9" x14ac:dyDescent="0.3">
      <c r="A38" s="4" t="s">
        <v>27</v>
      </c>
      <c r="B38" s="5">
        <v>3182</v>
      </c>
      <c r="C38" s="5">
        <v>2210.48</v>
      </c>
      <c r="D38" s="5">
        <v>-620</v>
      </c>
      <c r="H38" t="s">
        <v>121</v>
      </c>
      <c r="I38" s="20">
        <f>+I36+I32</f>
        <v>207769.66</v>
      </c>
    </row>
    <row r="39" spans="1:9" ht="15" thickBot="1" x14ac:dyDescent="0.35">
      <c r="A39" s="4" t="s">
        <v>28</v>
      </c>
      <c r="B39" s="5">
        <v>810.63</v>
      </c>
      <c r="C39" s="5">
        <v>1131.26</v>
      </c>
      <c r="D39" s="5">
        <v>910.99</v>
      </c>
      <c r="I39" s="20"/>
    </row>
    <row r="40" spans="1:9" x14ac:dyDescent="0.3">
      <c r="A40" s="4" t="s">
        <v>29</v>
      </c>
      <c r="B40" s="6">
        <v>13766.51</v>
      </c>
      <c r="C40" s="6">
        <v>12517.68</v>
      </c>
      <c r="D40" s="6">
        <v>7530.1</v>
      </c>
      <c r="E40" s="38" t="s">
        <v>180</v>
      </c>
      <c r="H40" s="11" t="s">
        <v>119</v>
      </c>
      <c r="I40" s="20"/>
    </row>
    <row r="41" spans="1:9" x14ac:dyDescent="0.3">
      <c r="A41" s="4" t="s">
        <v>30</v>
      </c>
      <c r="B41" s="5">
        <v>346.74</v>
      </c>
      <c r="C41" s="5">
        <v>0</v>
      </c>
      <c r="D41" s="5">
        <v>0</v>
      </c>
      <c r="H41" s="39" t="s">
        <v>117</v>
      </c>
      <c r="I41" s="20"/>
    </row>
    <row r="42" spans="1:9" x14ac:dyDescent="0.3">
      <c r="A42" s="4" t="s">
        <v>31</v>
      </c>
      <c r="B42" s="5">
        <v>0</v>
      </c>
      <c r="C42" s="5">
        <v>0</v>
      </c>
      <c r="D42" s="5">
        <v>147.25</v>
      </c>
      <c r="G42" s="55" t="s">
        <v>181</v>
      </c>
      <c r="H42" s="36" t="s">
        <v>115</v>
      </c>
      <c r="I42" s="26">
        <f t="shared" ref="I42:I46" si="3">SUMIF($E$7:$E$79,G42,$D$7:$D$79)</f>
        <v>0</v>
      </c>
    </row>
    <row r="43" spans="1:9" x14ac:dyDescent="0.3">
      <c r="A43" s="4" t="s">
        <v>32</v>
      </c>
      <c r="B43" s="5">
        <v>10.94</v>
      </c>
      <c r="C43" s="5">
        <v>117.11</v>
      </c>
      <c r="D43" s="5">
        <v>98.32</v>
      </c>
      <c r="G43" s="55" t="s">
        <v>182</v>
      </c>
      <c r="H43" s="36" t="s">
        <v>113</v>
      </c>
      <c r="I43" s="26">
        <f t="shared" si="3"/>
        <v>0</v>
      </c>
    </row>
    <row r="44" spans="1:9" x14ac:dyDescent="0.3">
      <c r="A44" s="4" t="s">
        <v>33</v>
      </c>
      <c r="B44" s="5">
        <v>0</v>
      </c>
      <c r="C44" s="5">
        <v>12.53</v>
      </c>
      <c r="D44" s="5">
        <v>0</v>
      </c>
      <c r="G44" s="55" t="s">
        <v>183</v>
      </c>
      <c r="H44" s="36" t="s">
        <v>111</v>
      </c>
      <c r="I44" s="26">
        <f t="shared" si="3"/>
        <v>0</v>
      </c>
    </row>
    <row r="45" spans="1:9" ht="15" thickBot="1" x14ac:dyDescent="0.35">
      <c r="A45" s="4" t="s">
        <v>34</v>
      </c>
      <c r="B45" s="5">
        <v>0</v>
      </c>
      <c r="C45" s="5">
        <v>9.1999999999999993</v>
      </c>
      <c r="D45" s="5">
        <v>38.18</v>
      </c>
      <c r="G45" s="55" t="s">
        <v>184</v>
      </c>
      <c r="H45" s="36" t="s">
        <v>109</v>
      </c>
      <c r="I45" s="26">
        <f t="shared" si="3"/>
        <v>0</v>
      </c>
    </row>
    <row r="46" spans="1:9" ht="16.2" x14ac:dyDescent="0.45">
      <c r="A46" s="4" t="s">
        <v>35</v>
      </c>
      <c r="B46" s="6">
        <v>357.68</v>
      </c>
      <c r="C46" s="6">
        <v>138.84</v>
      </c>
      <c r="D46" s="6">
        <v>283.75</v>
      </c>
      <c r="E46" s="38" t="s">
        <v>175</v>
      </c>
      <c r="G46" s="55" t="s">
        <v>185</v>
      </c>
      <c r="H46" s="36" t="s">
        <v>107</v>
      </c>
      <c r="I46" s="34">
        <f t="shared" si="3"/>
        <v>0</v>
      </c>
    </row>
    <row r="47" spans="1:9" x14ac:dyDescent="0.3">
      <c r="A47" s="4" t="s">
        <v>36</v>
      </c>
      <c r="B47" s="7"/>
      <c r="C47" s="7"/>
      <c r="D47" s="7"/>
      <c r="H47" s="38" t="s">
        <v>105</v>
      </c>
      <c r="I47" s="20">
        <f>SUM(I42:I46)</f>
        <v>0</v>
      </c>
    </row>
    <row r="48" spans="1:9" x14ac:dyDescent="0.3">
      <c r="A48" s="4" t="s">
        <v>37</v>
      </c>
      <c r="B48" s="5">
        <v>121662</v>
      </c>
      <c r="C48" s="5">
        <v>122160</v>
      </c>
      <c r="D48" s="5">
        <v>121200</v>
      </c>
      <c r="H48" s="39" t="s">
        <v>104</v>
      </c>
      <c r="I48" s="20"/>
    </row>
    <row r="49" spans="1:10" x14ac:dyDescent="0.3">
      <c r="A49" s="4" t="s">
        <v>38</v>
      </c>
      <c r="B49" s="5">
        <v>-18376.919999999998</v>
      </c>
      <c r="C49" s="5">
        <v>-3056.04</v>
      </c>
      <c r="D49" s="5">
        <v>-4496.22</v>
      </c>
      <c r="G49" s="55" t="s">
        <v>186</v>
      </c>
      <c r="H49" s="36" t="s">
        <v>102</v>
      </c>
      <c r="I49" s="26">
        <f t="shared" ref="I49:I50" si="4">SUMIF($E$7:$E$79,G49,$D$7:$D$79)</f>
        <v>0</v>
      </c>
    </row>
    <row r="50" spans="1:10" ht="16.8" thickBot="1" x14ac:dyDescent="0.5">
      <c r="A50" s="4" t="s">
        <v>39</v>
      </c>
      <c r="B50" s="5">
        <v>6151.44</v>
      </c>
      <c r="C50" s="5">
        <v>608.70000000000005</v>
      </c>
      <c r="D50" s="5">
        <v>1103.0999999999999</v>
      </c>
      <c r="G50" s="55" t="s">
        <v>187</v>
      </c>
      <c r="H50" s="36" t="s">
        <v>100</v>
      </c>
      <c r="I50" s="34">
        <f t="shared" si="4"/>
        <v>0</v>
      </c>
    </row>
    <row r="51" spans="1:10" x14ac:dyDescent="0.3">
      <c r="A51" s="4" t="s">
        <v>36</v>
      </c>
      <c r="B51" s="6">
        <v>109436.52</v>
      </c>
      <c r="C51" s="6">
        <v>119712.66</v>
      </c>
      <c r="D51" s="6">
        <v>117806.88</v>
      </c>
      <c r="E51" s="38" t="s">
        <v>178</v>
      </c>
      <c r="H51" s="38" t="s">
        <v>98</v>
      </c>
      <c r="I51" s="20">
        <f>SUM(I49:I50)</f>
        <v>0</v>
      </c>
    </row>
    <row r="52" spans="1:10" ht="15" thickBot="1" x14ac:dyDescent="0.35">
      <c r="A52" s="4" t="s">
        <v>40</v>
      </c>
      <c r="B52" s="5">
        <v>0</v>
      </c>
      <c r="C52" s="5">
        <v>3920</v>
      </c>
      <c r="D52" s="5">
        <v>0</v>
      </c>
      <c r="I52" s="20"/>
    </row>
    <row r="53" spans="1:10" x14ac:dyDescent="0.3">
      <c r="A53" s="4" t="s">
        <v>41</v>
      </c>
      <c r="B53" s="6">
        <v>0</v>
      </c>
      <c r="C53" s="6">
        <v>3920</v>
      </c>
      <c r="D53" s="6">
        <v>0</v>
      </c>
      <c r="E53" s="38" t="s">
        <v>175</v>
      </c>
      <c r="H53" t="s">
        <v>97</v>
      </c>
      <c r="I53" s="20">
        <f>+I51+I47</f>
        <v>0</v>
      </c>
    </row>
    <row r="54" spans="1:10" ht="15" thickBot="1" x14ac:dyDescent="0.35">
      <c r="A54" s="4" t="s">
        <v>42</v>
      </c>
      <c r="B54" s="5">
        <v>9763</v>
      </c>
      <c r="C54" s="5">
        <v>8995.9</v>
      </c>
      <c r="D54" s="5">
        <v>8424.01</v>
      </c>
      <c r="I54" s="20"/>
    </row>
    <row r="55" spans="1:10" x14ac:dyDescent="0.3">
      <c r="A55" s="4" t="s">
        <v>43</v>
      </c>
      <c r="B55" s="6">
        <v>9763</v>
      </c>
      <c r="C55" s="6">
        <v>8995.9</v>
      </c>
      <c r="D55" s="6">
        <v>8424.01</v>
      </c>
      <c r="E55" s="38" t="s">
        <v>179</v>
      </c>
      <c r="H55" s="11" t="s">
        <v>95</v>
      </c>
      <c r="I55" s="24">
        <f>I53+I38</f>
        <v>207769.66</v>
      </c>
      <c r="J55" s="59">
        <f>D71</f>
        <v>207769.66</v>
      </c>
    </row>
    <row r="56" spans="1:10" x14ac:dyDescent="0.3">
      <c r="A56" s="4" t="s">
        <v>44</v>
      </c>
      <c r="B56" s="5">
        <v>150</v>
      </c>
      <c r="C56" s="5">
        <v>258.58</v>
      </c>
      <c r="D56" s="5">
        <v>263.44</v>
      </c>
      <c r="H56" s="28"/>
      <c r="I56" s="30"/>
    </row>
    <row r="57" spans="1:10" ht="15" thickBot="1" x14ac:dyDescent="0.35">
      <c r="A57" s="4" t="s">
        <v>45</v>
      </c>
      <c r="B57" s="5">
        <v>1860</v>
      </c>
      <c r="C57" s="5">
        <v>3000</v>
      </c>
      <c r="D57" s="5">
        <v>0</v>
      </c>
      <c r="H57" s="11" t="s">
        <v>67</v>
      </c>
      <c r="I57" s="24">
        <f>+I22-I55</f>
        <v>684967.79999999993</v>
      </c>
      <c r="J57" s="59">
        <f>D73</f>
        <v>684967.79999999993</v>
      </c>
    </row>
    <row r="58" spans="1:10" x14ac:dyDescent="0.3">
      <c r="A58" s="4" t="s">
        <v>46</v>
      </c>
      <c r="B58" s="6">
        <v>2010</v>
      </c>
      <c r="C58" s="6">
        <v>3258.58</v>
      </c>
      <c r="D58" s="6">
        <v>263.44</v>
      </c>
      <c r="E58" s="38" t="s">
        <v>175</v>
      </c>
      <c r="H58" s="37" t="s">
        <v>92</v>
      </c>
      <c r="I58" s="30"/>
    </row>
    <row r="59" spans="1:10" x14ac:dyDescent="0.3">
      <c r="A59" s="4" t="s">
        <v>47</v>
      </c>
      <c r="B59" s="5">
        <v>24180</v>
      </c>
      <c r="C59" s="5">
        <v>18971.88</v>
      </c>
      <c r="D59" s="5">
        <v>16990</v>
      </c>
      <c r="H59" s="36" t="s">
        <v>91</v>
      </c>
      <c r="I59" s="26">
        <f>-D78</f>
        <v>85549.02</v>
      </c>
    </row>
    <row r="60" spans="1:10" x14ac:dyDescent="0.3">
      <c r="A60" s="4" t="s">
        <v>48</v>
      </c>
      <c r="B60" s="5">
        <v>0</v>
      </c>
      <c r="C60" s="5">
        <v>0</v>
      </c>
      <c r="D60" s="5">
        <v>900</v>
      </c>
      <c r="H60" s="36" t="s">
        <v>89</v>
      </c>
      <c r="I60" s="26">
        <f>D77</f>
        <v>0</v>
      </c>
    </row>
    <row r="61" spans="1:10" ht="15" thickBot="1" x14ac:dyDescent="0.35">
      <c r="A61" s="4" t="s">
        <v>49</v>
      </c>
      <c r="B61" s="5">
        <v>10790</v>
      </c>
      <c r="C61" s="5">
        <v>10255</v>
      </c>
      <c r="D61" s="5">
        <v>2998.75</v>
      </c>
      <c r="H61" s="36" t="s">
        <v>87</v>
      </c>
      <c r="I61" s="26">
        <f>-D76</f>
        <v>9720.48</v>
      </c>
    </row>
    <row r="62" spans="1:10" ht="16.2" x14ac:dyDescent="0.45">
      <c r="A62" s="4" t="s">
        <v>50</v>
      </c>
      <c r="B62" s="6">
        <v>34970</v>
      </c>
      <c r="C62" s="6">
        <v>29226.880000000001</v>
      </c>
      <c r="D62" s="6">
        <v>20888.75</v>
      </c>
      <c r="E62" s="38" t="s">
        <v>175</v>
      </c>
      <c r="H62" s="36" t="s">
        <v>85</v>
      </c>
      <c r="I62" s="34">
        <v>0</v>
      </c>
    </row>
    <row r="63" spans="1:10" ht="15" thickBot="1" x14ac:dyDescent="0.35">
      <c r="A63" s="4" t="s">
        <v>51</v>
      </c>
      <c r="B63" s="5">
        <v>0</v>
      </c>
      <c r="C63" s="5">
        <v>4650</v>
      </c>
      <c r="D63" s="5">
        <v>0</v>
      </c>
      <c r="H63" s="33" t="s">
        <v>83</v>
      </c>
      <c r="I63" s="20">
        <f>SUM(I59:I62)</f>
        <v>95269.5</v>
      </c>
    </row>
    <row r="64" spans="1:10" x14ac:dyDescent="0.3">
      <c r="A64" s="4" t="s">
        <v>52</v>
      </c>
      <c r="B64" s="6">
        <v>0</v>
      </c>
      <c r="C64" s="6">
        <v>4650</v>
      </c>
      <c r="D64" s="6">
        <v>0</v>
      </c>
      <c r="E64" s="38" t="s">
        <v>175</v>
      </c>
      <c r="H64" s="28"/>
      <c r="I64" s="30"/>
    </row>
    <row r="65" spans="1:10" ht="15" thickBot="1" x14ac:dyDescent="0.35">
      <c r="A65" s="4" t="s">
        <v>69</v>
      </c>
      <c r="B65" s="5">
        <v>11894.81</v>
      </c>
      <c r="C65" s="5">
        <v>6480.01</v>
      </c>
      <c r="D65" s="5">
        <v>0</v>
      </c>
      <c r="H65" s="11" t="s">
        <v>82</v>
      </c>
      <c r="I65" s="24">
        <f>+I57-I63</f>
        <v>589698.29999999993</v>
      </c>
      <c r="J65" s="8">
        <f>D79</f>
        <v>589698.29999999993</v>
      </c>
    </row>
    <row r="66" spans="1:10" x14ac:dyDescent="0.3">
      <c r="A66" s="4" t="s">
        <v>70</v>
      </c>
      <c r="B66" s="6">
        <v>11894.81</v>
      </c>
      <c r="C66" s="6">
        <v>6480.01</v>
      </c>
      <c r="D66" s="6">
        <v>0</v>
      </c>
      <c r="E66" s="38" t="s">
        <v>184</v>
      </c>
      <c r="I66" s="20"/>
    </row>
    <row r="67" spans="1:10" ht="15" thickBot="1" x14ac:dyDescent="0.35">
      <c r="A67" s="4" t="s">
        <v>53</v>
      </c>
      <c r="B67" s="5">
        <v>4411.25</v>
      </c>
      <c r="C67" s="5">
        <v>5682.74</v>
      </c>
      <c r="D67" s="5">
        <v>6949.07</v>
      </c>
      <c r="H67" t="s">
        <v>80</v>
      </c>
      <c r="I67" s="26">
        <v>120000</v>
      </c>
    </row>
    <row r="68" spans="1:10" x14ac:dyDescent="0.3">
      <c r="A68" s="4" t="s">
        <v>54</v>
      </c>
      <c r="B68" s="6">
        <v>4411.25</v>
      </c>
      <c r="C68" s="6">
        <v>5682.74</v>
      </c>
      <c r="D68" s="6">
        <v>6949.07</v>
      </c>
      <c r="E68" s="38" t="s">
        <v>174</v>
      </c>
      <c r="I68" s="20"/>
    </row>
    <row r="69" spans="1:10" ht="15" thickBot="1" x14ac:dyDescent="0.35">
      <c r="A69" s="4" t="s">
        <v>55</v>
      </c>
      <c r="B69" s="5">
        <v>1137.5</v>
      </c>
      <c r="C69" s="5">
        <v>0</v>
      </c>
      <c r="D69" s="5">
        <v>0</v>
      </c>
      <c r="H69" s="11" t="s">
        <v>78</v>
      </c>
      <c r="I69" s="24">
        <f>+I65-I67</f>
        <v>469698.29999999993</v>
      </c>
    </row>
    <row r="70" spans="1:10" ht="15" thickBot="1" x14ac:dyDescent="0.35">
      <c r="A70" s="4" t="s">
        <v>56</v>
      </c>
      <c r="B70" s="6">
        <v>1137.5</v>
      </c>
      <c r="C70" s="6">
        <v>0</v>
      </c>
      <c r="D70" s="6">
        <v>0</v>
      </c>
      <c r="E70" s="38" t="s">
        <v>175</v>
      </c>
    </row>
    <row r="71" spans="1:10" s="11" customFormat="1" x14ac:dyDescent="0.3">
      <c r="A71" s="9" t="s">
        <v>57</v>
      </c>
      <c r="B71" s="10">
        <v>223755.41</v>
      </c>
      <c r="C71" s="10">
        <v>225728.42</v>
      </c>
      <c r="D71" s="10">
        <v>207769.66</v>
      </c>
      <c r="E71" s="33"/>
      <c r="G71" s="56"/>
    </row>
    <row r="72" spans="1:10" ht="15" thickBot="1" x14ac:dyDescent="0.35">
      <c r="A72" s="4"/>
      <c r="B72" s="12"/>
      <c r="C72" s="12"/>
      <c r="D72" s="12"/>
    </row>
    <row r="73" spans="1:10" s="11" customFormat="1" ht="15" thickBot="1" x14ac:dyDescent="0.35">
      <c r="A73" s="9" t="s">
        <v>67</v>
      </c>
      <c r="B73" s="13">
        <v>309774.07999999996</v>
      </c>
      <c r="C73" s="13">
        <v>449648.02999999991</v>
      </c>
      <c r="D73" s="13">
        <v>684967.79999999993</v>
      </c>
      <c r="E73" s="33"/>
      <c r="G73" s="56"/>
    </row>
    <row r="74" spans="1:10" x14ac:dyDescent="0.3">
      <c r="A74" s="4"/>
      <c r="B74" s="3"/>
      <c r="C74" s="3"/>
      <c r="D74" s="3"/>
    </row>
    <row r="75" spans="1:10" x14ac:dyDescent="0.3">
      <c r="A75" s="4" t="s">
        <v>58</v>
      </c>
      <c r="B75" s="7"/>
      <c r="C75" s="7"/>
      <c r="D75" s="7"/>
    </row>
    <row r="76" spans="1:10" x14ac:dyDescent="0.3">
      <c r="A76" s="4" t="s">
        <v>59</v>
      </c>
      <c r="B76" s="5">
        <v>0</v>
      </c>
      <c r="C76" s="5">
        <v>0</v>
      </c>
      <c r="D76" s="5">
        <v>-9720.48</v>
      </c>
    </row>
    <row r="77" spans="1:10" x14ac:dyDescent="0.3">
      <c r="A77" s="4" t="s">
        <v>65</v>
      </c>
      <c r="B77" s="5">
        <v>-11320</v>
      </c>
      <c r="C77" s="5">
        <v>-83553</v>
      </c>
      <c r="D77" s="5">
        <v>0</v>
      </c>
    </row>
    <row r="78" spans="1:10" ht="15" thickBot="1" x14ac:dyDescent="0.35">
      <c r="A78" s="4" t="s">
        <v>66</v>
      </c>
      <c r="B78" s="5">
        <v>0</v>
      </c>
      <c r="C78" s="5">
        <v>-75608</v>
      </c>
      <c r="D78" s="5">
        <v>-85549.02</v>
      </c>
    </row>
    <row r="79" spans="1:10" s="11" customFormat="1" x14ac:dyDescent="0.3">
      <c r="A79" s="9" t="s">
        <v>68</v>
      </c>
      <c r="B79" s="10">
        <v>298454.07999999996</v>
      </c>
      <c r="C79" s="10">
        <v>290487.02999999991</v>
      </c>
      <c r="D79" s="10">
        <v>589698.29999999993</v>
      </c>
      <c r="E79" s="33"/>
      <c r="G79" s="56"/>
    </row>
    <row r="80" spans="1:10" x14ac:dyDescent="0.3">
      <c r="B80" s="8"/>
      <c r="C80" s="8"/>
      <c r="D80" s="8"/>
    </row>
  </sheetData>
  <mergeCells count="5">
    <mergeCell ref="A5:A6"/>
    <mergeCell ref="A1:D1"/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572D-6F39-4244-BFEF-B38BFB7AAB10}">
  <dimension ref="B2:H21"/>
  <sheetViews>
    <sheetView workbookViewId="0">
      <selection activeCell="H19" sqref="H19"/>
    </sheetView>
  </sheetViews>
  <sheetFormatPr defaultRowHeight="14.4" x14ac:dyDescent="0.3"/>
  <cols>
    <col min="8" max="8" width="9.6640625" bestFit="1" customWidth="1"/>
  </cols>
  <sheetData>
    <row r="2" spans="2:8" ht="15.6" x14ac:dyDescent="0.3">
      <c r="B2" s="60" t="s">
        <v>188</v>
      </c>
      <c r="C2" s="60"/>
      <c r="D2" s="60"/>
      <c r="E2" s="60"/>
      <c r="F2" s="60"/>
      <c r="G2" s="60"/>
      <c r="H2" s="61"/>
    </row>
    <row r="3" spans="2:8" x14ac:dyDescent="0.3">
      <c r="H3" s="62"/>
    </row>
    <row r="4" spans="2:8" x14ac:dyDescent="0.3">
      <c r="B4" t="s">
        <v>189</v>
      </c>
      <c r="H4" s="63">
        <v>156160</v>
      </c>
    </row>
    <row r="5" spans="2:8" x14ac:dyDescent="0.3">
      <c r="B5" t="s">
        <v>190</v>
      </c>
      <c r="H5" s="64">
        <v>0.7</v>
      </c>
    </row>
    <row r="6" spans="2:8" x14ac:dyDescent="0.3">
      <c r="B6" t="s">
        <v>191</v>
      </c>
      <c r="H6" s="65">
        <v>7</v>
      </c>
    </row>
    <row r="7" spans="2:8" x14ac:dyDescent="0.3">
      <c r="B7" t="s">
        <v>192</v>
      </c>
      <c r="H7" s="66">
        <v>4.5</v>
      </c>
    </row>
    <row r="8" spans="2:8" x14ac:dyDescent="0.3">
      <c r="B8" t="s">
        <v>193</v>
      </c>
      <c r="H8" s="66">
        <v>1.5</v>
      </c>
    </row>
    <row r="9" spans="2:8" x14ac:dyDescent="0.3">
      <c r="B9" t="s">
        <v>194</v>
      </c>
      <c r="H9" s="66">
        <v>0.5</v>
      </c>
    </row>
    <row r="10" spans="2:8" x14ac:dyDescent="0.3">
      <c r="B10" t="s">
        <v>195</v>
      </c>
      <c r="H10" s="67">
        <v>0.05</v>
      </c>
    </row>
    <row r="11" spans="2:8" x14ac:dyDescent="0.3">
      <c r="B11" t="s">
        <v>196</v>
      </c>
      <c r="H11" s="67">
        <v>2.5000000000000001E-2</v>
      </c>
    </row>
    <row r="12" spans="2:8" x14ac:dyDescent="0.3">
      <c r="H12" s="62"/>
    </row>
    <row r="13" spans="2:8" x14ac:dyDescent="0.3">
      <c r="B13" s="36" t="s">
        <v>197</v>
      </c>
      <c r="H13" s="68">
        <f>H8*H4*(1-H5)</f>
        <v>70272.000000000015</v>
      </c>
    </row>
    <row r="14" spans="2:8" x14ac:dyDescent="0.3">
      <c r="B14" s="36" t="s">
        <v>198</v>
      </c>
      <c r="H14" s="68">
        <f>H9*H4*H5</f>
        <v>54656</v>
      </c>
    </row>
    <row r="15" spans="2:8" x14ac:dyDescent="0.3">
      <c r="B15" s="36" t="s">
        <v>199</v>
      </c>
      <c r="H15" s="68">
        <f>H4*H7*H6*H10*(1-H5)</f>
        <v>73785.600000000006</v>
      </c>
    </row>
    <row r="16" spans="2:8" x14ac:dyDescent="0.3">
      <c r="B16" s="36" t="s">
        <v>200</v>
      </c>
      <c r="H16" s="69">
        <f>H4*H7*H6*H11*H5</f>
        <v>86083.199999999997</v>
      </c>
    </row>
    <row r="17" spans="2:8" x14ac:dyDescent="0.3">
      <c r="B17" t="s">
        <v>201</v>
      </c>
      <c r="H17" s="70">
        <f>SUM(H13:H16)</f>
        <v>284796.80000000005</v>
      </c>
    </row>
    <row r="18" spans="2:8" x14ac:dyDescent="0.3">
      <c r="H18" s="62"/>
    </row>
    <row r="19" spans="2:8" x14ac:dyDescent="0.3">
      <c r="B19" s="38" t="s">
        <v>202</v>
      </c>
      <c r="H19" s="70">
        <f>H17/H6</f>
        <v>40685.257142857146</v>
      </c>
    </row>
    <row r="20" spans="2:8" x14ac:dyDescent="0.3">
      <c r="H20" s="62"/>
    </row>
    <row r="21" spans="2:8" x14ac:dyDescent="0.3">
      <c r="B21" t="s">
        <v>203</v>
      </c>
      <c r="H21" s="70">
        <f>(H8*(1-H5)+H9*H5+H10*(1-H5)*H7*H6+H11*H5*H7*H6)*H4/H6</f>
        <v>40685.257142857139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Industrial</vt:lpstr>
      <vt:lpstr>OpSt</vt:lpstr>
      <vt:lpstr>Leasing Cost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Burton</dc:creator>
  <cp:lastModifiedBy>David Polnick</cp:lastModifiedBy>
  <dcterms:created xsi:type="dcterms:W3CDTF">2019-02-12T23:04:53Z</dcterms:created>
  <dcterms:modified xsi:type="dcterms:W3CDTF">2026-10-09T03:53:30Z</dcterms:modified>
</cp:coreProperties>
</file>