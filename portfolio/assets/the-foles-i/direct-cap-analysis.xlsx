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1. Direct Cap Analysis\The Foles Direct Cap Method\"/>
    </mc:Choice>
  </mc:AlternateContent>
  <xr:revisionPtr revIDLastSave="0" documentId="8_{500941DC-E400-45A3-B2F2-9A25CB67EF9E}" xr6:coauthVersionLast="47" xr6:coauthVersionMax="47" xr10:uidLastSave="{00000000-0000-0000-0000-000000000000}"/>
  <bookViews>
    <workbookView xWindow="-19310" yWindow="-40" windowWidth="19420" windowHeight="10300" xr2:uid="{00000000-000D-0000-FFFF-FFFF00000000}"/>
  </bookViews>
  <sheets>
    <sheet name="Direct Cap" sheetId="2" r:id="rId1"/>
    <sheet name="Rent Roll 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" l="1"/>
  <c r="I42" i="2"/>
  <c r="I40" i="2"/>
  <c r="I39" i="2"/>
  <c r="I38" i="2"/>
  <c r="I37" i="2"/>
  <c r="I31" i="2"/>
  <c r="I35" i="2"/>
  <c r="I34" i="2"/>
  <c r="I33" i="2"/>
  <c r="I32" i="2"/>
  <c r="I30" i="2"/>
  <c r="I29" i="2"/>
  <c r="I20" i="2"/>
  <c r="I19" i="2"/>
  <c r="I18" i="2"/>
  <c r="I17" i="2"/>
  <c r="I13" i="2"/>
  <c r="I11" i="2"/>
  <c r="I10" i="2" l="1"/>
  <c r="O11" i="3"/>
  <c r="N11" i="3"/>
  <c r="M11" i="3"/>
  <c r="P11" i="3" s="1"/>
  <c r="O10" i="3"/>
  <c r="N10" i="3"/>
  <c r="M10" i="3"/>
  <c r="P10" i="3" s="1"/>
  <c r="O9" i="3"/>
  <c r="N9" i="3"/>
  <c r="M9" i="3"/>
  <c r="P9" i="3" s="1"/>
  <c r="I21" i="2"/>
  <c r="I14" i="2" l="1"/>
  <c r="I24" i="2" s="1"/>
  <c r="I25" i="2" l="1"/>
  <c r="I26" i="2" s="1"/>
  <c r="A3" i="3"/>
  <c r="A4" i="3"/>
  <c r="M8" i="3"/>
  <c r="N8" i="3"/>
  <c r="N12" i="3" s="1"/>
  <c r="O8" i="3"/>
  <c r="O12" i="3" s="1"/>
  <c r="P8" i="3"/>
  <c r="P12" i="3" s="1"/>
  <c r="Q8" i="3"/>
  <c r="Q9" i="3"/>
  <c r="Q10" i="3"/>
  <c r="Q11" i="3"/>
  <c r="M12" i="3"/>
  <c r="Q12" i="3" l="1"/>
  <c r="H11" i="2"/>
  <c r="H31" i="2"/>
  <c r="H13" i="2"/>
  <c r="H10" i="2"/>
  <c r="H38" i="2"/>
  <c r="H35" i="2"/>
  <c r="H34" i="2"/>
  <c r="H33" i="2"/>
  <c r="H32" i="2"/>
  <c r="H30" i="2"/>
  <c r="H29" i="2"/>
  <c r="H37" i="2"/>
  <c r="H17" i="2"/>
  <c r="H20" i="2"/>
  <c r="H19" i="2"/>
  <c r="H18" i="2"/>
  <c r="H12" i="2"/>
  <c r="H21" i="2" l="1"/>
  <c r="H14" i="2"/>
  <c r="H24" i="2" l="1"/>
  <c r="H25" i="2" l="1"/>
  <c r="H26" i="2" l="1"/>
  <c r="H39" i="2" l="1"/>
  <c r="H40" i="2" s="1"/>
  <c r="H42" i="2" l="1"/>
</calcChain>
</file>

<file path=xl/sharedStrings.xml><?xml version="1.0" encoding="utf-8"?>
<sst xmlns="http://schemas.openxmlformats.org/spreadsheetml/2006/main" count="91" uniqueCount="80">
  <si>
    <t>INCOME APPROACH - METHOD #1 DIRECT CAPITALIZATION</t>
  </si>
  <si>
    <t>Units</t>
  </si>
  <si>
    <t>Average Unit Size</t>
  </si>
  <si>
    <t>Period</t>
  </si>
  <si>
    <t>T12 Oct. '18</t>
  </si>
  <si>
    <t>Broker</t>
  </si>
  <si>
    <t>Underwriting Notes</t>
  </si>
  <si>
    <t>REVENUE</t>
  </si>
  <si>
    <t>Rental Revenue</t>
  </si>
  <si>
    <t>Market Rent</t>
  </si>
  <si>
    <t>Loss-to-Lease</t>
  </si>
  <si>
    <t>Actual Vacancy &amp; Credit Loss</t>
  </si>
  <si>
    <t>Concessions</t>
  </si>
  <si>
    <t>Total Rental Revenue</t>
  </si>
  <si>
    <t>Other Income</t>
  </si>
  <si>
    <t>RUBS</t>
  </si>
  <si>
    <t>Storage Income</t>
  </si>
  <si>
    <t>Parking Income</t>
  </si>
  <si>
    <t>Total Other Income</t>
  </si>
  <si>
    <t>Effective Gross Revenue</t>
  </si>
  <si>
    <t>Gross Revenue</t>
  </si>
  <si>
    <t>General Vacancy and Credit Loss</t>
  </si>
  <si>
    <t>Total Effective Gross Revenue</t>
  </si>
  <si>
    <t>OPERATING EXPENSES</t>
  </si>
  <si>
    <t>Controllable</t>
  </si>
  <si>
    <t>Repairs and Maintenance</t>
  </si>
  <si>
    <t>Contract Services</t>
  </si>
  <si>
    <t>Turnover</t>
  </si>
  <si>
    <t>Administrative</t>
  </si>
  <si>
    <t>Advertising and Marketing</t>
  </si>
  <si>
    <t>Payroll</t>
  </si>
  <si>
    <t>Utilities</t>
  </si>
  <si>
    <t>Fixed</t>
  </si>
  <si>
    <t>Property Taxes</t>
  </si>
  <si>
    <t>Insurance</t>
  </si>
  <si>
    <t>Property Management</t>
  </si>
  <si>
    <t>Total Operating Expenses</t>
  </si>
  <si>
    <t>NET OPERATING INCOME</t>
  </si>
  <si>
    <t>Pro Forma</t>
  </si>
  <si>
    <t>Total</t>
  </si>
  <si>
    <t>/SF</t>
  </si>
  <si>
    <t>Metrics</t>
  </si>
  <si>
    <t>A.CRE ACCELERATOR</t>
  </si>
  <si>
    <t>Totals / Averages:</t>
  </si>
  <si>
    <t>A3 - 3 Bed</t>
  </si>
  <si>
    <t>A2 - 2 Bed</t>
  </si>
  <si>
    <t>A1 - 1 Bed</t>
  </si>
  <si>
    <t>A - Studio</t>
  </si>
  <si>
    <t>Error Check</t>
  </si>
  <si>
    <t>Actual Vacancy</t>
  </si>
  <si>
    <t>Actual Loss-to-Lease</t>
  </si>
  <si>
    <t>Units _x000D_
Available</t>
  </si>
  <si>
    <t>Occupancy %</t>
  </si>
  <si>
    <t>Units _x000D_
Occupied</t>
  </si>
  <si>
    <t>Leased Amt/SQFT</t>
  </si>
  <si>
    <t>Average _x000D_
Leased</t>
  </si>
  <si>
    <t>Market _x000D_
Amt/SQFT</t>
  </si>
  <si>
    <t>Average Market + Addl.</t>
  </si>
  <si>
    <t>Total SQFT</t>
  </si>
  <si>
    <t>Average _x000D_
SQFT</t>
  </si>
  <si>
    <t># Units</t>
  </si>
  <si>
    <t>Floorplan</t>
  </si>
  <si>
    <t>Amt / SQFT: Market = 236,925 SQFT; Leased = 225,535 SQFT;</t>
  </si>
  <si>
    <t>Parameters: Properties: - all subproperties-; Show All Unit Designations or Filter by: ALL; Subjournals: ALL; Sort by: Unit; Report Type: Details + Summary; Exclude Formers?: Yes; Show Unit Rent as: Market + Addl.</t>
  </si>
  <si>
    <t>RENT ROLL SUMMARY</t>
  </si>
  <si>
    <t>The Foles Apartments LLC - The Foles</t>
  </si>
  <si>
    <t>Stabilized (underwritten) value.</t>
  </si>
  <si>
    <t>Cap rate based on analysis of asset and sales comps.</t>
  </si>
  <si>
    <t>/Unit/Yr</t>
  </si>
  <si>
    <t>Market Rent * 325 * 12</t>
  </si>
  <si>
    <t>See Rent Roll</t>
  </si>
  <si>
    <t>2 % of Market Rent</t>
  </si>
  <si>
    <t>$65/month/unit</t>
  </si>
  <si>
    <t>Use Broker Assumption</t>
  </si>
  <si>
    <t>5% of Gross Revenue</t>
  </si>
  <si>
    <t>$425/unit. Do not grow</t>
  </si>
  <si>
    <t>Grow at 2.5% of T12</t>
  </si>
  <si>
    <t>Assessment Value of 90% at $115MM. Mill rate of 1.6%</t>
  </si>
  <si>
    <t>3% of EGR</t>
  </si>
  <si>
    <t>NA. Included in general vacancy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</si>
</sst>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\ &quot;SF&quot;"/>
    <numFmt numFmtId="165" formatCode="_(* #,##0_);_(* \(#,##0\);_(* &quot;-&quot;??_);_(@_)"/>
    <numFmt numFmtId="166" formatCode="0.000%"/>
    <numFmt numFmtId="167" formatCode="_(* #,##0.00000_);_(* \(#,##0.00000\);_(* &quot;-&quot;??_);_(@_)"/>
    <numFmt numFmtId="168" formatCode="0.0%"/>
    <numFmt numFmtId="169" formatCode="_(* #,##0.00_);_(* \(#,##0.00\);_(* &quot;-&quot;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Roboto Bold"/>
    </font>
    <font>
      <sz val="11"/>
      <color theme="1"/>
      <name val="Roboto Bold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color indexed="12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u val="singleAccounting"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u val="singleAccounting"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" tint="0.499984740745262"/>
      <name val="Calibri"/>
      <family val="2"/>
      <scheme val="minor"/>
    </font>
    <font>
      <u val="singleAccounting"/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3" borderId="0" xfId="0" applyFont="1" applyFill="1"/>
    <xf numFmtId="0" fontId="7" fillId="3" borderId="1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left" indent="1"/>
    </xf>
    <xf numFmtId="165" fontId="4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right"/>
    </xf>
    <xf numFmtId="43" fontId="4" fillId="0" borderId="0" xfId="0" applyNumberFormat="1" applyFont="1" applyAlignment="1">
      <alignment horizontal="right"/>
    </xf>
    <xf numFmtId="43" fontId="4" fillId="0" borderId="0" xfId="0" applyNumberFormat="1" applyFont="1"/>
    <xf numFmtId="166" fontId="4" fillId="0" borderId="0" xfId="1" applyNumberFormat="1" applyFont="1" applyBorder="1" applyAlignment="1">
      <alignment horizontal="right"/>
    </xf>
    <xf numFmtId="167" fontId="4" fillId="0" borderId="0" xfId="0" applyNumberFormat="1" applyFont="1"/>
    <xf numFmtId="41" fontId="8" fillId="0" borderId="0" xfId="0" applyNumberFormat="1" applyFont="1" applyAlignment="1">
      <alignment horizontal="right"/>
    </xf>
    <xf numFmtId="41" fontId="10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right" indent="1"/>
    </xf>
    <xf numFmtId="41" fontId="10" fillId="0" borderId="0" xfId="0" applyNumberFormat="1" applyFont="1" applyAlignment="1">
      <alignment horizontal="right" indent="1"/>
    </xf>
    <xf numFmtId="41" fontId="7" fillId="3" borderId="0" xfId="0" applyNumberFormat="1" applyFont="1" applyFill="1" applyAlignment="1">
      <alignment horizontal="right"/>
    </xf>
    <xf numFmtId="0" fontId="7" fillId="4" borderId="0" xfId="0" applyFont="1" applyFill="1"/>
    <xf numFmtId="41" fontId="7" fillId="4" borderId="0" xfId="0" applyNumberFormat="1" applyFont="1" applyFill="1" applyAlignment="1">
      <alignment horizontal="right"/>
    </xf>
    <xf numFmtId="41" fontId="7" fillId="0" borderId="0" xfId="0" applyNumberFormat="1" applyFont="1" applyAlignment="1">
      <alignment horizontal="right"/>
    </xf>
    <xf numFmtId="3" fontId="4" fillId="5" borderId="0" xfId="0" applyNumberFormat="1" applyFont="1" applyFill="1" applyAlignment="1">
      <alignment horizontal="right"/>
    </xf>
    <xf numFmtId="43" fontId="0" fillId="0" borderId="0" xfId="0" applyNumberFormat="1" applyAlignment="1">
      <alignment horizontal="right"/>
    </xf>
    <xf numFmtId="0" fontId="7" fillId="3" borderId="2" xfId="0" quotePrefix="1" applyFont="1" applyFill="1" applyBorder="1" applyAlignment="1">
      <alignment horizontal="right"/>
    </xf>
    <xf numFmtId="41" fontId="13" fillId="0" borderId="2" xfId="0" applyNumberFormat="1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0" xfId="0" quotePrefix="1" applyFont="1" applyFill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65" fontId="12" fillId="0" borderId="4" xfId="0" applyNumberFormat="1" applyFont="1" applyBorder="1" applyAlignment="1">
      <alignment horizontal="right"/>
    </xf>
    <xf numFmtId="41" fontId="12" fillId="0" borderId="4" xfId="0" applyNumberFormat="1" applyFont="1" applyBorder="1" applyAlignment="1">
      <alignment horizontal="right"/>
    </xf>
    <xf numFmtId="169" fontId="12" fillId="0" borderId="0" xfId="0" applyNumberFormat="1" applyFont="1" applyAlignment="1">
      <alignment horizontal="right"/>
    </xf>
    <xf numFmtId="41" fontId="5" fillId="0" borderId="2" xfId="0" applyNumberFormat="1" applyFont="1" applyBorder="1" applyAlignment="1">
      <alignment horizontal="right"/>
    </xf>
    <xf numFmtId="41" fontId="14" fillId="0" borderId="4" xfId="0" applyNumberFormat="1" applyFont="1" applyBorder="1" applyAlignment="1">
      <alignment horizontal="right"/>
    </xf>
    <xf numFmtId="169" fontId="14" fillId="0" borderId="0" xfId="0" applyNumberFormat="1" applyFont="1" applyAlignment="1">
      <alignment horizontal="right"/>
    </xf>
    <xf numFmtId="41" fontId="12" fillId="0" borderId="0" xfId="0" applyNumberFormat="1" applyFont="1" applyAlignment="1">
      <alignment horizontal="right"/>
    </xf>
    <xf numFmtId="41" fontId="15" fillId="0" borderId="4" xfId="0" applyNumberFormat="1" applyFont="1" applyBorder="1" applyAlignment="1">
      <alignment horizontal="right"/>
    </xf>
    <xf numFmtId="169" fontId="15" fillId="0" borderId="0" xfId="0" applyNumberFormat="1" applyFont="1" applyAlignment="1">
      <alignment horizontal="right"/>
    </xf>
    <xf numFmtId="41" fontId="12" fillId="0" borderId="4" xfId="0" applyNumberFormat="1" applyFont="1" applyBorder="1" applyAlignment="1">
      <alignment horizontal="right" indent="1"/>
    </xf>
    <xf numFmtId="169" fontId="12" fillId="0" borderId="0" xfId="0" applyNumberFormat="1" applyFont="1" applyAlignment="1">
      <alignment horizontal="right" indent="1"/>
    </xf>
    <xf numFmtId="41" fontId="15" fillId="0" borderId="4" xfId="0" applyNumberFormat="1" applyFont="1" applyBorder="1" applyAlignment="1">
      <alignment horizontal="right" indent="1"/>
    </xf>
    <xf numFmtId="169" fontId="15" fillId="0" borderId="0" xfId="0" applyNumberFormat="1" applyFont="1" applyAlignment="1">
      <alignment horizontal="right" indent="1"/>
    </xf>
    <xf numFmtId="41" fontId="13" fillId="3" borderId="4" xfId="0" applyNumberFormat="1" applyFont="1" applyFill="1" applyBorder="1" applyAlignment="1">
      <alignment horizontal="right"/>
    </xf>
    <xf numFmtId="41" fontId="13" fillId="3" borderId="0" xfId="0" applyNumberFormat="1" applyFont="1" applyFill="1" applyAlignment="1">
      <alignment horizontal="right"/>
    </xf>
    <xf numFmtId="41" fontId="16" fillId="3" borderId="2" xfId="0" applyNumberFormat="1" applyFont="1" applyFill="1" applyBorder="1" applyAlignment="1">
      <alignment horizontal="right"/>
    </xf>
    <xf numFmtId="41" fontId="13" fillId="4" borderId="4" xfId="0" applyNumberFormat="1" applyFont="1" applyFill="1" applyBorder="1" applyAlignment="1">
      <alignment horizontal="right"/>
    </xf>
    <xf numFmtId="41" fontId="16" fillId="4" borderId="2" xfId="0" applyNumberFormat="1" applyFont="1" applyFill="1" applyBorder="1" applyAlignment="1">
      <alignment horizontal="right"/>
    </xf>
    <xf numFmtId="165" fontId="12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3" fillId="0" borderId="4" xfId="0" applyNumberFormat="1" applyFont="1" applyBorder="1" applyAlignment="1">
      <alignment horizontal="right"/>
    </xf>
    <xf numFmtId="41" fontId="13" fillId="0" borderId="0" xfId="0" applyNumberFormat="1" applyFont="1" applyAlignment="1">
      <alignment horizontal="right"/>
    </xf>
    <xf numFmtId="165" fontId="17" fillId="0" borderId="1" xfId="0" applyNumberFormat="1" applyFont="1" applyBorder="1" applyAlignment="1">
      <alignment horizontal="right"/>
    </xf>
    <xf numFmtId="41" fontId="17" fillId="0" borderId="1" xfId="0" applyNumberFormat="1" applyFont="1" applyBorder="1" applyAlignment="1">
      <alignment horizontal="right"/>
    </xf>
    <xf numFmtId="165" fontId="17" fillId="0" borderId="3" xfId="0" applyNumberFormat="1" applyFont="1" applyBorder="1" applyAlignment="1">
      <alignment horizontal="right"/>
    </xf>
    <xf numFmtId="41" fontId="17" fillId="0" borderId="3" xfId="0" applyNumberFormat="1" applyFont="1" applyBorder="1" applyAlignment="1">
      <alignment horizontal="right"/>
    </xf>
    <xf numFmtId="41" fontId="18" fillId="0" borderId="1" xfId="0" applyNumberFormat="1" applyFont="1" applyBorder="1" applyAlignment="1">
      <alignment horizontal="right"/>
    </xf>
    <xf numFmtId="41" fontId="18" fillId="0" borderId="3" xfId="0" applyNumberFormat="1" applyFont="1" applyBorder="1" applyAlignment="1">
      <alignment horizontal="right"/>
    </xf>
    <xf numFmtId="41" fontId="19" fillId="0" borderId="1" xfId="0" applyNumberFormat="1" applyFont="1" applyBorder="1" applyAlignment="1">
      <alignment horizontal="right"/>
    </xf>
    <xf numFmtId="41" fontId="19" fillId="0" borderId="3" xfId="0" applyNumberFormat="1" applyFont="1" applyBorder="1" applyAlignment="1">
      <alignment horizontal="right"/>
    </xf>
    <xf numFmtId="41" fontId="17" fillId="0" borderId="1" xfId="0" applyNumberFormat="1" applyFont="1" applyBorder="1" applyAlignment="1">
      <alignment horizontal="right" indent="1"/>
    </xf>
    <xf numFmtId="41" fontId="17" fillId="0" borderId="3" xfId="0" applyNumberFormat="1" applyFont="1" applyBorder="1" applyAlignment="1">
      <alignment horizontal="right" indent="1"/>
    </xf>
    <xf numFmtId="41" fontId="19" fillId="0" borderId="1" xfId="0" applyNumberFormat="1" applyFont="1" applyBorder="1" applyAlignment="1">
      <alignment horizontal="right" indent="1"/>
    </xf>
    <xf numFmtId="41" fontId="19" fillId="0" borderId="3" xfId="0" applyNumberFormat="1" applyFont="1" applyBorder="1" applyAlignment="1">
      <alignment horizontal="right" indent="1"/>
    </xf>
    <xf numFmtId="41" fontId="20" fillId="3" borderId="1" xfId="0" applyNumberFormat="1" applyFont="1" applyFill="1" applyBorder="1" applyAlignment="1">
      <alignment horizontal="right"/>
    </xf>
    <xf numFmtId="41" fontId="20" fillId="3" borderId="3" xfId="0" applyNumberFormat="1" applyFont="1" applyFill="1" applyBorder="1" applyAlignment="1">
      <alignment horizontal="right"/>
    </xf>
    <xf numFmtId="41" fontId="20" fillId="4" borderId="1" xfId="0" applyNumberFormat="1" applyFont="1" applyFill="1" applyBorder="1" applyAlignment="1">
      <alignment horizontal="right"/>
    </xf>
    <xf numFmtId="41" fontId="20" fillId="4" borderId="3" xfId="0" applyNumberFormat="1" applyFont="1" applyFill="1" applyBorder="1" applyAlignment="1">
      <alignment horizontal="right"/>
    </xf>
    <xf numFmtId="41" fontId="20" fillId="0" borderId="1" xfId="0" applyNumberFormat="1" applyFont="1" applyBorder="1" applyAlignment="1">
      <alignment horizontal="right"/>
    </xf>
    <xf numFmtId="41" fontId="20" fillId="0" borderId="3" xfId="0" applyNumberFormat="1" applyFont="1" applyBorder="1" applyAlignment="1">
      <alignment horizontal="right"/>
    </xf>
    <xf numFmtId="168" fontId="13" fillId="0" borderId="0" xfId="0" applyNumberFormat="1" applyFont="1" applyAlignment="1">
      <alignment horizontal="right"/>
    </xf>
    <xf numFmtId="168" fontId="7" fillId="0" borderId="0" xfId="0" applyNumberFormat="1" applyFont="1"/>
    <xf numFmtId="0" fontId="8" fillId="0" borderId="0" xfId="0" quotePrefix="1" applyFont="1" applyAlignment="1">
      <alignment horizontal="right"/>
    </xf>
    <xf numFmtId="3" fontId="4" fillId="0" borderId="0" xfId="1" applyNumberFormat="1" applyFont="1" applyBorder="1" applyAlignment="1">
      <alignment horizontal="right"/>
    </xf>
    <xf numFmtId="43" fontId="0" fillId="0" borderId="0" xfId="0" applyNumberFormat="1"/>
    <xf numFmtId="43" fontId="22" fillId="0" borderId="0" xfId="0" applyNumberFormat="1" applyFont="1"/>
    <xf numFmtId="41" fontId="0" fillId="0" borderId="0" xfId="0" applyNumberFormat="1" applyAlignment="1">
      <alignment horizontal="right"/>
    </xf>
    <xf numFmtId="3" fontId="0" fillId="0" borderId="0" xfId="0" applyNumberFormat="1"/>
    <xf numFmtId="41" fontId="23" fillId="0" borderId="5" xfId="0" applyNumberFormat="1" applyFont="1" applyBorder="1" applyAlignment="1">
      <alignment horizontal="right"/>
    </xf>
    <xf numFmtId="0" fontId="21" fillId="0" borderId="8" xfId="0" applyFont="1" applyBorder="1"/>
    <xf numFmtId="10" fontId="21" fillId="0" borderId="8" xfId="0" applyNumberFormat="1" applyFont="1" applyBorder="1"/>
    <xf numFmtId="4" fontId="21" fillId="0" borderId="8" xfId="0" applyNumberFormat="1" applyFont="1" applyBorder="1"/>
    <xf numFmtId="41" fontId="23" fillId="0" borderId="9" xfId="0" applyNumberFormat="1" applyFont="1" applyBorder="1" applyAlignment="1">
      <alignment horizontal="right"/>
    </xf>
    <xf numFmtId="0" fontId="0" fillId="0" borderId="8" xfId="0" applyBorder="1"/>
    <xf numFmtId="10" fontId="0" fillId="0" borderId="8" xfId="0" applyNumberFormat="1" applyBorder="1"/>
    <xf numFmtId="4" fontId="0" fillId="0" borderId="8" xfId="0" applyNumberFormat="1" applyBorder="1"/>
    <xf numFmtId="0" fontId="0" fillId="0" borderId="0" xfId="0" applyAlignment="1">
      <alignment wrapText="1"/>
    </xf>
    <xf numFmtId="0" fontId="23" fillId="0" borderId="5" xfId="0" applyFon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4" xfId="0" applyBorder="1" applyAlignment="1">
      <alignment wrapText="1"/>
    </xf>
    <xf numFmtId="0" fontId="21" fillId="0" borderId="8" xfId="0" applyFont="1" applyBorder="1" applyAlignment="1">
      <alignment horizontal="center" wrapText="1"/>
    </xf>
    <xf numFmtId="0" fontId="21" fillId="0" borderId="0" xfId="0" applyFont="1"/>
    <xf numFmtId="22" fontId="0" fillId="0" borderId="0" xfId="0" applyNumberFormat="1"/>
    <xf numFmtId="41" fontId="5" fillId="6" borderId="2" xfId="0" applyNumberFormat="1" applyFont="1" applyFill="1" applyBorder="1" applyAlignment="1">
      <alignment horizontal="right"/>
    </xf>
    <xf numFmtId="41" fontId="11" fillId="6" borderId="2" xfId="0" applyNumberFormat="1" applyFont="1" applyFill="1" applyBorder="1" applyAlignment="1">
      <alignment horizontal="right"/>
    </xf>
    <xf numFmtId="10" fontId="5" fillId="6" borderId="0" xfId="0" applyNumberFormat="1" applyFont="1" applyFill="1" applyAlignment="1">
      <alignment horizontal="right"/>
    </xf>
    <xf numFmtId="41" fontId="12" fillId="5" borderId="2" xfId="0" applyNumberFormat="1" applyFont="1" applyFill="1" applyBorder="1" applyAlignment="1">
      <alignment horizontal="right"/>
    </xf>
    <xf numFmtId="41" fontId="13" fillId="5" borderId="2" xfId="0" applyNumberFormat="1" applyFont="1" applyFill="1" applyBorder="1" applyAlignment="1">
      <alignment horizontal="right"/>
    </xf>
    <xf numFmtId="41" fontId="5" fillId="6" borderId="2" xfId="0" applyNumberFormat="1" applyFont="1" applyFill="1" applyBorder="1"/>
    <xf numFmtId="41" fontId="9" fillId="6" borderId="2" xfId="0" applyNumberFormat="1" applyFont="1" applyFill="1" applyBorder="1"/>
    <xf numFmtId="41" fontId="12" fillId="5" borderId="2" xfId="0" applyNumberFormat="1" applyFont="1" applyFill="1" applyBorder="1" applyAlignment="1">
      <alignment horizontal="right" indent="1"/>
    </xf>
    <xf numFmtId="41" fontId="25" fillId="6" borderId="4" xfId="0" applyNumberFormat="1" applyFont="1" applyFill="1" applyBorder="1" applyAlignment="1">
      <alignment horizontal="right"/>
    </xf>
    <xf numFmtId="41" fontId="25" fillId="6" borderId="0" xfId="0" applyNumberFormat="1" applyFont="1" applyFill="1" applyAlignment="1">
      <alignment horizontal="right"/>
    </xf>
    <xf numFmtId="41" fontId="24" fillId="6" borderId="0" xfId="0" applyNumberFormat="1" applyFont="1" applyFill="1" applyAlignment="1">
      <alignment horizontal="right"/>
    </xf>
    <xf numFmtId="41" fontId="0" fillId="6" borderId="7" xfId="0" applyNumberFormat="1" applyFill="1" applyBorder="1" applyAlignment="1">
      <alignment horizontal="right"/>
    </xf>
    <xf numFmtId="41" fontId="0" fillId="6" borderId="6" xfId="0" applyNumberFormat="1" applyFill="1" applyBorder="1" applyAlignment="1">
      <alignment horizontal="right"/>
    </xf>
    <xf numFmtId="169" fontId="13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B1" workbookViewId="0">
      <selection activeCell="J13" sqref="J13"/>
    </sheetView>
  </sheetViews>
  <sheetFormatPr defaultRowHeight="14.4" zeroHeight="1"/>
  <cols>
    <col min="1" max="1" width="3.5546875" customWidth="1"/>
    <col min="2" max="2" width="30" bestFit="1" customWidth="1"/>
    <col min="3" max="3" width="11.44140625" style="1" bestFit="1" customWidth="1"/>
    <col min="4" max="4" width="11.33203125" style="1" bestFit="1" customWidth="1"/>
    <col min="5" max="5" width="11.5546875" style="1" bestFit="1" customWidth="1"/>
    <col min="6" max="6" width="12.33203125" style="1" bestFit="1" customWidth="1"/>
    <col min="7" max="7" width="2.44140625" style="1" customWidth="1"/>
    <col min="8" max="8" width="8.33203125" style="1" bestFit="1" customWidth="1"/>
    <col min="9" max="9" width="12.33203125" style="1" bestFit="1" customWidth="1"/>
    <col min="10" max="10" width="14" bestFit="1" customWidth="1"/>
    <col min="13" max="13" width="9.88671875" customWidth="1"/>
    <col min="14" max="14" width="12.44140625" bestFit="1" customWidth="1"/>
    <col min="15" max="15" width="11.33203125" bestFit="1" customWidth="1"/>
    <col min="16" max="16" width="18.33203125" bestFit="1" customWidth="1"/>
    <col min="17" max="17" width="9.109375" customWidth="1"/>
    <col min="18" max="18" width="14.5546875" bestFit="1" customWidth="1"/>
  </cols>
  <sheetData>
    <row r="1" spans="2:18"/>
    <row r="2" spans="2:18" s="6" customFormat="1" ht="13.8">
      <c r="B2" s="2" t="s">
        <v>0</v>
      </c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5" t="s">
        <v>42</v>
      </c>
    </row>
    <row r="3" spans="2:18" s="7" customFormat="1" ht="13.8">
      <c r="C3" s="8"/>
      <c r="D3" s="8"/>
      <c r="E3" s="8"/>
      <c r="F3" s="8"/>
      <c r="G3" s="8"/>
      <c r="H3" s="8"/>
      <c r="I3" s="8"/>
    </row>
    <row r="4" spans="2:18" s="7" customFormat="1" ht="13.8">
      <c r="B4" s="7" t="s">
        <v>1</v>
      </c>
      <c r="C4" s="9">
        <v>325</v>
      </c>
      <c r="D4" s="8"/>
      <c r="E4" s="8"/>
      <c r="F4" s="8"/>
      <c r="G4" s="8"/>
      <c r="H4" s="8"/>
      <c r="I4" s="8"/>
    </row>
    <row r="5" spans="2:18" s="7" customFormat="1" ht="13.8">
      <c r="B5" s="7" t="s">
        <v>2</v>
      </c>
      <c r="C5" s="10">
        <v>789.75</v>
      </c>
      <c r="D5" s="8"/>
      <c r="E5" s="8"/>
      <c r="F5" s="8"/>
      <c r="G5" s="8"/>
      <c r="H5" s="8"/>
      <c r="I5" s="8"/>
    </row>
    <row r="6" spans="2:18" s="7" customFormat="1" ht="5.0999999999999996" customHeight="1">
      <c r="C6" s="8"/>
      <c r="D6" s="8"/>
      <c r="E6" s="8"/>
      <c r="F6" s="8"/>
      <c r="G6" s="8"/>
      <c r="H6" s="8"/>
      <c r="I6" s="8"/>
    </row>
    <row r="7" spans="2:18" s="13" customFormat="1" ht="15" customHeight="1">
      <c r="B7" s="11" t="s">
        <v>3</v>
      </c>
      <c r="C7" s="12">
        <v>2016</v>
      </c>
      <c r="D7" s="12">
        <v>2017</v>
      </c>
      <c r="E7" s="12" t="s">
        <v>4</v>
      </c>
      <c r="F7" s="38" t="s">
        <v>5</v>
      </c>
      <c r="G7" s="41"/>
      <c r="H7" s="124" t="s">
        <v>38</v>
      </c>
      <c r="I7" s="125"/>
      <c r="J7" s="13" t="s">
        <v>6</v>
      </c>
      <c r="O7" s="14"/>
      <c r="P7" s="14"/>
    </row>
    <row r="8" spans="2:18" s="13" customFormat="1" ht="13.8">
      <c r="B8" s="15" t="s">
        <v>7</v>
      </c>
      <c r="C8" s="16"/>
      <c r="D8" s="16"/>
      <c r="E8" s="16"/>
      <c r="F8" s="39"/>
      <c r="G8" s="42"/>
      <c r="H8" s="43" t="s">
        <v>41</v>
      </c>
      <c r="I8" s="36" t="s">
        <v>39</v>
      </c>
      <c r="J8" s="15"/>
      <c r="K8" s="15"/>
      <c r="L8" s="15"/>
      <c r="M8" s="15"/>
      <c r="N8" s="15"/>
      <c r="O8" s="17"/>
      <c r="P8" s="17"/>
    </row>
    <row r="9" spans="2:18" s="7" customFormat="1" ht="13.8">
      <c r="B9" s="13" t="s">
        <v>8</v>
      </c>
      <c r="C9" s="18"/>
      <c r="D9" s="18"/>
      <c r="E9" s="18"/>
      <c r="F9" s="40"/>
      <c r="G9" s="44"/>
      <c r="H9" s="88" t="s">
        <v>40</v>
      </c>
      <c r="I9" s="45"/>
      <c r="O9" s="8"/>
      <c r="P9" s="8"/>
    </row>
    <row r="10" spans="2:18" s="7" customFormat="1" ht="13.8">
      <c r="B10" s="19" t="s">
        <v>9</v>
      </c>
      <c r="C10" s="68">
        <v>4081465.5948658339</v>
      </c>
      <c r="D10" s="68">
        <v>9370461.1764705889</v>
      </c>
      <c r="E10" s="69">
        <v>9557870.4000000004</v>
      </c>
      <c r="F10" s="70">
        <v>9892395.8640000001</v>
      </c>
      <c r="G10" s="46"/>
      <c r="H10" s="48">
        <f>I10/($C$4*$C$5)/12</f>
        <v>3.1213383008254802</v>
      </c>
      <c r="I10" s="115">
        <f>'Rent Roll Summary'!M12</f>
        <v>9613800</v>
      </c>
      <c r="J10" s="7" t="s">
        <v>69</v>
      </c>
      <c r="M10" s="20"/>
      <c r="N10" s="20"/>
      <c r="O10" s="21"/>
      <c r="P10" s="22"/>
      <c r="R10" s="23"/>
    </row>
    <row r="11" spans="2:18" s="7" customFormat="1" ht="13.8">
      <c r="B11" s="19" t="s">
        <v>10</v>
      </c>
      <c r="C11" s="69">
        <v>-36733.190353792503</v>
      </c>
      <c r="D11" s="69">
        <v>-112445.53411764708</v>
      </c>
      <c r="E11" s="69">
        <v>-191157.40800000002</v>
      </c>
      <c r="F11" s="71">
        <v>-148385.93795999998</v>
      </c>
      <c r="G11" s="47"/>
      <c r="H11" s="48">
        <f t="shared" ref="H11:H13" si="0">I11/($C$4*$C$5)/12</f>
        <v>-4.031749092945678E-2</v>
      </c>
      <c r="I11" s="115">
        <f>'Rent Roll Summary'!N12</f>
        <v>-124178.88000000011</v>
      </c>
      <c r="J11" s="7" t="s">
        <v>70</v>
      </c>
      <c r="M11" s="21"/>
      <c r="N11" s="21"/>
      <c r="O11" s="21"/>
      <c r="P11" s="21"/>
      <c r="R11" s="23"/>
    </row>
    <row r="12" spans="2:18" s="7" customFormat="1" ht="13.8">
      <c r="B12" s="19" t="s">
        <v>11</v>
      </c>
      <c r="C12" s="69">
        <v>-152375</v>
      </c>
      <c r="D12" s="69">
        <v>-376233.55865740083</v>
      </c>
      <c r="E12" s="69">
        <v>-477893.52</v>
      </c>
      <c r="F12" s="71">
        <v>-395695.83455999999</v>
      </c>
      <c r="G12" s="47"/>
      <c r="H12" s="48">
        <f t="shared" si="0"/>
        <v>0</v>
      </c>
      <c r="I12" s="115"/>
      <c r="J12" s="7" t="s">
        <v>79</v>
      </c>
      <c r="K12" s="24"/>
      <c r="L12" s="24"/>
      <c r="M12" s="89"/>
      <c r="N12" s="21"/>
      <c r="O12" s="21"/>
      <c r="P12" s="21"/>
      <c r="R12" s="23"/>
    </row>
    <row r="13" spans="2:18" s="7" customFormat="1" ht="13.8">
      <c r="B13" s="19" t="s">
        <v>12</v>
      </c>
      <c r="C13" s="72">
        <v>-464599.35926773457</v>
      </c>
      <c r="D13" s="72">
        <v>-403590.98059496563</v>
      </c>
      <c r="E13" s="72">
        <v>-412900.00128000003</v>
      </c>
      <c r="F13" s="73">
        <v>-197847.91727999999</v>
      </c>
      <c r="G13" s="50"/>
      <c r="H13" s="51">
        <f t="shared" si="0"/>
        <v>-6.2426766016509601E-2</v>
      </c>
      <c r="I13" s="116">
        <f>-I10*0.02</f>
        <v>-192276</v>
      </c>
      <c r="J13" s="7" t="s">
        <v>71</v>
      </c>
      <c r="K13" s="25"/>
      <c r="L13" s="25"/>
      <c r="M13" s="26"/>
      <c r="N13" s="26"/>
      <c r="O13" s="26"/>
      <c r="P13" s="26"/>
      <c r="R13" s="23"/>
    </row>
    <row r="14" spans="2:18" s="7" customFormat="1" ht="13.8">
      <c r="B14" s="7" t="s">
        <v>13</v>
      </c>
      <c r="C14" s="69">
        <v>3427758.0452443068</v>
      </c>
      <c r="D14" s="69">
        <v>8478191.1031005774</v>
      </c>
      <c r="E14" s="69">
        <v>8475919.4707200006</v>
      </c>
      <c r="F14" s="71">
        <v>9150466.1742000002</v>
      </c>
      <c r="G14" s="47"/>
      <c r="H14" s="48">
        <f>SUM(H10:H13)</f>
        <v>3.018594043879514</v>
      </c>
      <c r="I14" s="113">
        <f>SUM(I10:I13)</f>
        <v>9297345.1199999992</v>
      </c>
      <c r="M14" s="21"/>
      <c r="N14" s="21"/>
      <c r="O14" s="21"/>
      <c r="P14" s="21"/>
    </row>
    <row r="15" spans="2:18" s="7" customFormat="1" ht="5.0999999999999996" customHeight="1">
      <c r="C15" s="69"/>
      <c r="D15" s="69"/>
      <c r="E15" s="69"/>
      <c r="F15" s="71"/>
      <c r="G15" s="47"/>
      <c r="H15" s="52"/>
      <c r="I15" s="49"/>
      <c r="M15" s="21"/>
      <c r="N15" s="21"/>
      <c r="O15" s="21"/>
      <c r="P15" s="21"/>
    </row>
    <row r="16" spans="2:18" s="7" customFormat="1" ht="13.8">
      <c r="B16" s="13" t="s">
        <v>14</v>
      </c>
      <c r="C16" s="69"/>
      <c r="D16" s="69"/>
      <c r="E16" s="69"/>
      <c r="F16" s="71"/>
      <c r="G16" s="47"/>
      <c r="H16" s="52"/>
      <c r="I16" s="49"/>
      <c r="M16" s="21"/>
      <c r="N16" s="21"/>
      <c r="O16" s="21"/>
      <c r="P16" s="21"/>
    </row>
    <row r="17" spans="2:17" s="7" customFormat="1" ht="13.8">
      <c r="B17" s="19" t="s">
        <v>15</v>
      </c>
      <c r="C17" s="69">
        <v>103545.86868629348</v>
      </c>
      <c r="D17" s="69">
        <v>235270.71868965839</v>
      </c>
      <c r="E17" s="69">
        <v>234000</v>
      </c>
      <c r="F17" s="71">
        <v>263055</v>
      </c>
      <c r="G17" s="47"/>
      <c r="H17" s="48">
        <f t="shared" ref="H17:H20" si="1">I17/($C$4*$C$5)/12</f>
        <v>8.2304526748971193E-2</v>
      </c>
      <c r="I17" s="110">
        <f>65*C4*12</f>
        <v>253500</v>
      </c>
      <c r="J17" s="7" t="s">
        <v>72</v>
      </c>
      <c r="K17" s="23"/>
      <c r="M17" s="21"/>
      <c r="N17" s="21"/>
      <c r="O17" s="21"/>
      <c r="P17" s="21"/>
    </row>
    <row r="18" spans="2:17" s="7" customFormat="1" ht="13.8">
      <c r="B18" s="19" t="s">
        <v>14</v>
      </c>
      <c r="C18" s="69">
        <v>61779.351646551724</v>
      </c>
      <c r="D18" s="69">
        <v>132614.76420151812</v>
      </c>
      <c r="E18" s="69">
        <v>136220</v>
      </c>
      <c r="F18" s="71">
        <v>140306.6</v>
      </c>
      <c r="G18" s="47"/>
      <c r="H18" s="48">
        <f t="shared" si="1"/>
        <v>4.5553721154860755E-2</v>
      </c>
      <c r="I18" s="110">
        <f>F18</f>
        <v>140306.6</v>
      </c>
      <c r="J18" s="7" t="s">
        <v>73</v>
      </c>
      <c r="M18" s="21"/>
      <c r="N18" s="21"/>
      <c r="O18" s="21"/>
      <c r="P18" s="21"/>
    </row>
    <row r="19" spans="2:17" s="7" customFormat="1" ht="13.8">
      <c r="B19" s="19" t="s">
        <v>16</v>
      </c>
      <c r="C19" s="69">
        <v>82030.434782608689</v>
      </c>
      <c r="D19" s="69">
        <v>166663.04347826086</v>
      </c>
      <c r="E19" s="69">
        <v>171000</v>
      </c>
      <c r="F19" s="71">
        <v>176130</v>
      </c>
      <c r="G19" s="47"/>
      <c r="H19" s="48">
        <f t="shared" si="1"/>
        <v>5.7184600774344369E-2</v>
      </c>
      <c r="I19" s="110">
        <f t="shared" ref="I19:I20" si="2">F19</f>
        <v>176130</v>
      </c>
      <c r="J19" s="7" t="s">
        <v>73</v>
      </c>
      <c r="M19" s="21"/>
      <c r="N19" s="21"/>
      <c r="O19" s="21"/>
      <c r="P19" s="21"/>
    </row>
    <row r="20" spans="2:17" s="7" customFormat="1" ht="15.6">
      <c r="B20" s="19" t="s">
        <v>17</v>
      </c>
      <c r="C20" s="74">
        <v>161190</v>
      </c>
      <c r="D20" s="74">
        <v>315948.59999999998</v>
      </c>
      <c r="E20" s="74">
        <v>324000</v>
      </c>
      <c r="F20" s="75">
        <v>333720</v>
      </c>
      <c r="G20" s="53"/>
      <c r="H20" s="54">
        <f t="shared" si="1"/>
        <v>0.10834976988823142</v>
      </c>
      <c r="I20" s="111">
        <f t="shared" si="2"/>
        <v>333720</v>
      </c>
      <c r="J20" s="7" t="s">
        <v>73</v>
      </c>
      <c r="M20" s="27"/>
      <c r="N20" s="27"/>
      <c r="O20" s="27"/>
      <c r="P20" s="27"/>
    </row>
    <row r="21" spans="2:17" s="7" customFormat="1" ht="13.8">
      <c r="B21" s="7" t="s">
        <v>18</v>
      </c>
      <c r="C21" s="69">
        <v>408545.65511545388</v>
      </c>
      <c r="D21" s="69">
        <v>849893.04340169323</v>
      </c>
      <c r="E21" s="69">
        <v>865220</v>
      </c>
      <c r="F21" s="71">
        <v>913211.6</v>
      </c>
      <c r="G21" s="47"/>
      <c r="H21" s="48">
        <f>SUM(H17:H20)</f>
        <v>0.29339261856640775</v>
      </c>
      <c r="I21" s="113">
        <f>SUM(I17:I20)</f>
        <v>903656.6</v>
      </c>
      <c r="M21" s="21"/>
      <c r="N21" s="21"/>
      <c r="O21" s="21"/>
      <c r="P21" s="21"/>
    </row>
    <row r="22" spans="2:17" s="7" customFormat="1" ht="5.0999999999999996" customHeight="1">
      <c r="C22" s="69"/>
      <c r="D22" s="69"/>
      <c r="E22" s="69"/>
      <c r="F22" s="71"/>
      <c r="G22" s="47"/>
      <c r="H22" s="52"/>
      <c r="I22" s="49"/>
      <c r="M22" s="21"/>
      <c r="N22" s="21"/>
      <c r="O22" s="21"/>
      <c r="P22" s="21"/>
    </row>
    <row r="23" spans="2:17" s="7" customFormat="1" ht="13.8">
      <c r="B23" s="13" t="s">
        <v>19</v>
      </c>
      <c r="C23" s="69"/>
      <c r="D23" s="69"/>
      <c r="E23" s="69"/>
      <c r="F23" s="71"/>
      <c r="G23" s="47"/>
      <c r="H23" s="52"/>
      <c r="I23" s="49"/>
      <c r="M23" s="21"/>
      <c r="N23" s="21"/>
      <c r="O23" s="21"/>
      <c r="P23" s="21"/>
    </row>
    <row r="24" spans="2:17" s="19" customFormat="1" ht="13.8">
      <c r="B24" s="19" t="s">
        <v>20</v>
      </c>
      <c r="C24" s="76">
        <v>3836303.7003597608</v>
      </c>
      <c r="D24" s="76">
        <v>9327621.8990803212</v>
      </c>
      <c r="E24" s="76">
        <v>9341139.4707200006</v>
      </c>
      <c r="F24" s="77">
        <v>10063677.7742</v>
      </c>
      <c r="G24" s="55"/>
      <c r="H24" s="56">
        <f t="shared" ref="H24:H26" si="3">I24/($C$4*$C$5)/12</f>
        <v>3.3119866624459213</v>
      </c>
      <c r="I24" s="117">
        <f>+I21+I14</f>
        <v>10201001.719999999</v>
      </c>
      <c r="M24" s="28"/>
      <c r="N24" s="28"/>
      <c r="O24" s="28"/>
      <c r="P24" s="28"/>
    </row>
    <row r="25" spans="2:17" s="19" customFormat="1" ht="15.6">
      <c r="B25" s="19" t="s">
        <v>21</v>
      </c>
      <c r="C25" s="78">
        <v>-11062.5</v>
      </c>
      <c r="D25" s="78">
        <v>-19059.723509025273</v>
      </c>
      <c r="E25" s="78">
        <v>-28673.611200000003</v>
      </c>
      <c r="F25" s="79">
        <v>-24730.989659999999</v>
      </c>
      <c r="G25" s="57"/>
      <c r="H25" s="58">
        <f t="shared" si="3"/>
        <v>-0.16559933312229608</v>
      </c>
      <c r="I25" s="111">
        <f>I24*-0.05</f>
        <v>-510050.08599999995</v>
      </c>
      <c r="J25" s="19" t="s">
        <v>74</v>
      </c>
      <c r="M25" s="29"/>
      <c r="N25" s="29"/>
      <c r="O25" s="29"/>
      <c r="P25" s="29"/>
    </row>
    <row r="26" spans="2:17" s="7" customFormat="1" ht="13.8">
      <c r="B26" s="13" t="s">
        <v>22</v>
      </c>
      <c r="C26" s="84">
        <v>3825241.2003597608</v>
      </c>
      <c r="D26" s="84">
        <v>9308533.0557592846</v>
      </c>
      <c r="E26" s="84">
        <v>9312465.8595200013</v>
      </c>
      <c r="F26" s="85">
        <v>10038946.784539999</v>
      </c>
      <c r="G26" s="66"/>
      <c r="H26" s="123">
        <f t="shared" si="3"/>
        <v>3.1463873293236255</v>
      </c>
      <c r="I26" s="114">
        <f>SUM(I24:I25)</f>
        <v>9690951.6339999996</v>
      </c>
      <c r="M26" s="21"/>
      <c r="N26" s="21"/>
      <c r="O26" s="21"/>
      <c r="P26" s="21"/>
    </row>
    <row r="27" spans="2:17" s="13" customFormat="1" ht="13.8">
      <c r="B27" s="15" t="s">
        <v>23</v>
      </c>
      <c r="C27" s="80"/>
      <c r="D27" s="80"/>
      <c r="E27" s="80"/>
      <c r="F27" s="81"/>
      <c r="G27" s="59"/>
      <c r="H27" s="60"/>
      <c r="I27" s="61"/>
      <c r="J27" s="15"/>
      <c r="K27" s="15"/>
      <c r="L27" s="15"/>
      <c r="M27" s="30"/>
      <c r="N27" s="30"/>
      <c r="O27" s="30"/>
      <c r="P27" s="30"/>
    </row>
    <row r="28" spans="2:17" s="13" customFormat="1" ht="13.8">
      <c r="B28" s="31" t="s">
        <v>24</v>
      </c>
      <c r="C28" s="82"/>
      <c r="D28" s="82"/>
      <c r="E28" s="82"/>
      <c r="F28" s="83"/>
      <c r="G28" s="62"/>
      <c r="H28" s="88" t="s">
        <v>68</v>
      </c>
      <c r="I28" s="63"/>
      <c r="J28" s="31"/>
      <c r="K28" s="31"/>
      <c r="L28" s="31"/>
      <c r="M28" s="32"/>
      <c r="N28" s="32"/>
      <c r="O28" s="32"/>
      <c r="P28" s="32"/>
      <c r="Q28" s="31"/>
    </row>
    <row r="29" spans="2:17" s="7" customFormat="1" ht="13.8">
      <c r="B29" s="19" t="s">
        <v>25</v>
      </c>
      <c r="C29" s="69">
        <v>56628</v>
      </c>
      <c r="D29" s="69">
        <v>121118.75480144405</v>
      </c>
      <c r="E29" s="69">
        <v>123541.12989747294</v>
      </c>
      <c r="F29" s="71">
        <v>127247.36379439714</v>
      </c>
      <c r="G29" s="47"/>
      <c r="H29" s="64">
        <f>I29/$C$4</f>
        <v>389.6297173689531</v>
      </c>
      <c r="I29" s="110">
        <f>E29*1.025</f>
        <v>126629.65814490976</v>
      </c>
      <c r="J29" s="7" t="s">
        <v>76</v>
      </c>
      <c r="M29" s="21"/>
      <c r="N29" s="21"/>
      <c r="O29" s="21"/>
      <c r="P29" s="21"/>
    </row>
    <row r="30" spans="2:17" s="7" customFormat="1" ht="13.8">
      <c r="B30" s="19" t="s">
        <v>26</v>
      </c>
      <c r="C30" s="69">
        <v>36298.5</v>
      </c>
      <c r="D30" s="69">
        <v>93006.807465703969</v>
      </c>
      <c r="E30" s="69">
        <v>99368.923364620947</v>
      </c>
      <c r="F30" s="71">
        <v>102349.99106555957</v>
      </c>
      <c r="G30" s="47"/>
      <c r="H30" s="64">
        <f t="shared" ref="H30:H35" si="4">I30/$C$4</f>
        <v>313.39429676534297</v>
      </c>
      <c r="I30" s="110">
        <f>E30*1.025</f>
        <v>101853.14644873646</v>
      </c>
      <c r="J30" s="7" t="s">
        <v>76</v>
      </c>
      <c r="M30" s="21"/>
      <c r="N30" s="21"/>
      <c r="O30" s="21"/>
      <c r="P30" s="21"/>
    </row>
    <row r="31" spans="2:17" s="7" customFormat="1" ht="13.8">
      <c r="B31" s="19" t="s">
        <v>27</v>
      </c>
      <c r="C31" s="69">
        <v>71781</v>
      </c>
      <c r="D31" s="69">
        <v>120802.45945126354</v>
      </c>
      <c r="E31" s="69">
        <v>133120.93862815885</v>
      </c>
      <c r="F31" s="71">
        <v>137114.56678700363</v>
      </c>
      <c r="G31" s="47"/>
      <c r="H31" s="64">
        <f t="shared" si="4"/>
        <v>425</v>
      </c>
      <c r="I31" s="110">
        <f>425*C4</f>
        <v>138125</v>
      </c>
      <c r="J31" s="7" t="s">
        <v>75</v>
      </c>
      <c r="M31" s="21"/>
      <c r="N31" s="21"/>
      <c r="O31" s="21"/>
      <c r="P31" s="21"/>
    </row>
    <row r="32" spans="2:17" s="7" customFormat="1" ht="13.8">
      <c r="B32" s="19" t="s">
        <v>28</v>
      </c>
      <c r="C32" s="69">
        <v>45165</v>
      </c>
      <c r="D32" s="69">
        <v>98988.272027870029</v>
      </c>
      <c r="E32" s="69">
        <v>100968.03746842743</v>
      </c>
      <c r="F32" s="71">
        <v>103997.07859248025</v>
      </c>
      <c r="G32" s="47"/>
      <c r="H32" s="64">
        <f t="shared" si="4"/>
        <v>318.43765663119416</v>
      </c>
      <c r="I32" s="110">
        <f t="shared" ref="I32:I35" si="5">E32*1.025</f>
        <v>103492.23840513811</v>
      </c>
      <c r="J32" s="7" t="s">
        <v>76</v>
      </c>
      <c r="M32" s="21"/>
      <c r="N32" s="21"/>
      <c r="O32" s="21"/>
      <c r="P32" s="21"/>
    </row>
    <row r="33" spans="2:16" s="7" customFormat="1" ht="13.8">
      <c r="B33" s="19" t="s">
        <v>29</v>
      </c>
      <c r="C33" s="69">
        <v>104715</v>
      </c>
      <c r="D33" s="69">
        <v>127189.06960288809</v>
      </c>
      <c r="E33" s="69">
        <v>87859.819494584837</v>
      </c>
      <c r="F33" s="71">
        <v>90495.61407942239</v>
      </c>
      <c r="G33" s="47"/>
      <c r="H33" s="64">
        <f t="shared" si="4"/>
        <v>277.0963537906137</v>
      </c>
      <c r="I33" s="110">
        <f t="shared" si="5"/>
        <v>90056.314981949457</v>
      </c>
      <c r="J33" s="7" t="s">
        <v>76</v>
      </c>
      <c r="M33" s="21"/>
      <c r="N33" s="21"/>
      <c r="O33" s="21"/>
      <c r="P33" s="21"/>
    </row>
    <row r="34" spans="2:16" s="7" customFormat="1" ht="13.8">
      <c r="B34" s="19" t="s">
        <v>30</v>
      </c>
      <c r="C34" s="69">
        <v>277666.5</v>
      </c>
      <c r="D34" s="69">
        <v>604830.19230324915</v>
      </c>
      <c r="E34" s="69">
        <v>607031.48014440434</v>
      </c>
      <c r="F34" s="71">
        <v>625242.42454873654</v>
      </c>
      <c r="G34" s="47"/>
      <c r="H34" s="64">
        <f t="shared" si="4"/>
        <v>1914.4838989169673</v>
      </c>
      <c r="I34" s="110">
        <f t="shared" si="5"/>
        <v>622207.26714801439</v>
      </c>
      <c r="J34" s="7" t="s">
        <v>76</v>
      </c>
      <c r="M34" s="21"/>
      <c r="N34" s="21"/>
      <c r="O34" s="21"/>
      <c r="P34" s="21"/>
    </row>
    <row r="35" spans="2:16" s="7" customFormat="1" ht="13.8">
      <c r="B35" s="19" t="s">
        <v>31</v>
      </c>
      <c r="C35" s="69">
        <v>174231.74618181819</v>
      </c>
      <c r="D35" s="69">
        <v>348601.23130889714</v>
      </c>
      <c r="E35" s="69">
        <v>386857.96739350184</v>
      </c>
      <c r="F35" s="71">
        <v>398463.70641530689</v>
      </c>
      <c r="G35" s="47"/>
      <c r="H35" s="64">
        <f t="shared" si="4"/>
        <v>1220.0905125487366</v>
      </c>
      <c r="I35" s="110">
        <f t="shared" si="5"/>
        <v>396529.41657833935</v>
      </c>
      <c r="J35" s="7" t="s">
        <v>76</v>
      </c>
      <c r="M35" s="21"/>
      <c r="N35" s="21"/>
      <c r="O35" s="21"/>
      <c r="P35" s="21"/>
    </row>
    <row r="36" spans="2:16" s="7" customFormat="1" ht="13.8">
      <c r="B36" s="31" t="s">
        <v>32</v>
      </c>
      <c r="C36" s="69"/>
      <c r="D36" s="69"/>
      <c r="E36" s="69"/>
      <c r="F36" s="71"/>
      <c r="G36" s="47"/>
      <c r="H36" s="52"/>
      <c r="I36" s="49"/>
      <c r="M36" s="21"/>
      <c r="N36" s="21"/>
      <c r="O36" s="21"/>
      <c r="P36" s="21"/>
    </row>
    <row r="37" spans="2:16" s="7" customFormat="1" ht="13.8">
      <c r="B37" s="19" t="s">
        <v>33</v>
      </c>
      <c r="C37" s="69">
        <v>495793.5</v>
      </c>
      <c r="D37" s="69">
        <v>1500000</v>
      </c>
      <c r="E37" s="69">
        <v>1520000</v>
      </c>
      <c r="F37" s="71">
        <v>1687016</v>
      </c>
      <c r="G37" s="47"/>
      <c r="H37" s="52">
        <f t="shared" ref="H37:H39" si="6">I37/$C$4</f>
        <v>5095.3846153846152</v>
      </c>
      <c r="I37" s="110">
        <f>115000000*0.9*0.016</f>
        <v>1656000</v>
      </c>
      <c r="J37" s="7" t="s">
        <v>77</v>
      </c>
      <c r="M37" s="21"/>
      <c r="N37" s="21"/>
      <c r="O37" s="21"/>
      <c r="P37" s="21"/>
    </row>
    <row r="38" spans="2:16" s="7" customFormat="1" ht="13.8">
      <c r="B38" s="19" t="s">
        <v>34</v>
      </c>
      <c r="C38" s="69">
        <v>107481.93641618497</v>
      </c>
      <c r="D38" s="69">
        <v>234825.33574007222</v>
      </c>
      <c r="E38" s="69">
        <v>238739.09133574009</v>
      </c>
      <c r="F38" s="71">
        <v>243513.8731624549</v>
      </c>
      <c r="G38" s="47"/>
      <c r="H38" s="52">
        <f t="shared" si="6"/>
        <v>749.27345588447656</v>
      </c>
      <c r="I38" s="110">
        <f>F38</f>
        <v>243513.8731624549</v>
      </c>
      <c r="J38" s="7" t="s">
        <v>73</v>
      </c>
      <c r="M38" s="21"/>
      <c r="N38" s="21"/>
      <c r="O38" s="21"/>
      <c r="P38" s="21"/>
    </row>
    <row r="39" spans="2:16" s="7" customFormat="1" ht="15.6">
      <c r="B39" s="19" t="s">
        <v>35</v>
      </c>
      <c r="C39" s="74">
        <v>112355.4603159386</v>
      </c>
      <c r="D39" s="74">
        <v>274599.40857953794</v>
      </c>
      <c r="E39" s="74">
        <v>279373.97578560002</v>
      </c>
      <c r="F39" s="75">
        <v>301168.4035362</v>
      </c>
      <c r="G39" s="53"/>
      <c r="H39" s="65">
        <f t="shared" si="6"/>
        <v>894.54938159999995</v>
      </c>
      <c r="I39" s="111">
        <f>I26*0.03</f>
        <v>290728.54901999998</v>
      </c>
      <c r="J39" s="7" t="s">
        <v>78</v>
      </c>
      <c r="M39" s="27"/>
      <c r="N39" s="27"/>
      <c r="O39" s="27"/>
      <c r="P39" s="27"/>
    </row>
    <row r="40" spans="2:16" s="13" customFormat="1" ht="13.8">
      <c r="B40" s="13" t="s">
        <v>36</v>
      </c>
      <c r="C40" s="84">
        <v>1482116.6429139418</v>
      </c>
      <c r="D40" s="84">
        <v>3523961.5312809264</v>
      </c>
      <c r="E40" s="84">
        <v>3576861.3635125114</v>
      </c>
      <c r="F40" s="85">
        <v>3816609.0219815616</v>
      </c>
      <c r="G40" s="66"/>
      <c r="H40" s="67">
        <f>SUM(H29:H35,H37:H39)</f>
        <v>11597.3398888909</v>
      </c>
      <c r="I40" s="114">
        <f>SUM(I29:I39)</f>
        <v>3769135.463889542</v>
      </c>
      <c r="M40" s="33"/>
      <c r="N40" s="33"/>
      <c r="O40" s="33"/>
      <c r="P40" s="33"/>
    </row>
    <row r="41" spans="2:16" s="7" customFormat="1" ht="5.0999999999999996" customHeight="1">
      <c r="C41" s="84"/>
      <c r="D41" s="84"/>
      <c r="E41" s="84"/>
      <c r="F41" s="85"/>
      <c r="G41" s="47"/>
      <c r="H41" s="52"/>
      <c r="I41" s="49"/>
      <c r="M41" s="21"/>
      <c r="N41" s="21"/>
      <c r="O41" s="21"/>
      <c r="P41" s="21"/>
    </row>
    <row r="42" spans="2:16" s="13" customFormat="1" ht="13.8">
      <c r="B42" s="13" t="s">
        <v>37</v>
      </c>
      <c r="C42" s="37">
        <v>2343124.557445819</v>
      </c>
      <c r="D42" s="37">
        <v>5784571.5244783582</v>
      </c>
      <c r="E42" s="37">
        <v>5735604.49600749</v>
      </c>
      <c r="F42" s="37">
        <v>6222337.7625584379</v>
      </c>
      <c r="G42" s="66"/>
      <c r="H42" s="86">
        <f>I42/I26</f>
        <v>0.61106652821733176</v>
      </c>
      <c r="I42" s="114">
        <f>I26-I40</f>
        <v>5921816.1701104576</v>
      </c>
      <c r="J42" s="87"/>
      <c r="M42" s="33"/>
      <c r="N42" s="33"/>
      <c r="O42" s="33"/>
      <c r="P42" s="33"/>
    </row>
    <row r="43" spans="2:16" ht="5.0999999999999996" customHeight="1"/>
    <row r="44" spans="2:16" s="7" customFormat="1" ht="13.8">
      <c r="C44" s="8"/>
      <c r="D44" s="8"/>
      <c r="E44" s="22"/>
      <c r="F44" s="8"/>
      <c r="G44" s="8"/>
      <c r="H44" s="8"/>
      <c r="I44" s="112">
        <v>5.0999999999999997E-2</v>
      </c>
      <c r="J44" s="7" t="s">
        <v>67</v>
      </c>
    </row>
    <row r="45" spans="2:16" s="7" customFormat="1" ht="5.0999999999999996" customHeight="1">
      <c r="C45" s="8"/>
      <c r="D45" s="8"/>
      <c r="E45" s="8"/>
      <c r="F45" s="8"/>
      <c r="G45" s="8"/>
      <c r="H45" s="8"/>
      <c r="I45" s="8"/>
    </row>
    <row r="46" spans="2:16" s="7" customFormat="1" ht="13.8">
      <c r="C46" s="8"/>
      <c r="D46" s="8"/>
      <c r="E46" s="22"/>
      <c r="F46" s="8"/>
      <c r="G46" s="8"/>
      <c r="H46" s="8"/>
      <c r="I46" s="34">
        <f>I42/I44</f>
        <v>116114042.55118544</v>
      </c>
      <c r="J46" s="7" t="s">
        <v>66</v>
      </c>
    </row>
    <row r="47" spans="2:16">
      <c r="E47" s="35"/>
      <c r="F47" s="92"/>
    </row>
  </sheetData>
  <mergeCells count="1">
    <mergeCell ref="H7:I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0BC-B44F-4E16-BDF6-D11DDD349F8D}">
  <dimension ref="A1:R16"/>
  <sheetViews>
    <sheetView workbookViewId="0">
      <selection activeCell="B19" sqref="B19"/>
    </sheetView>
  </sheetViews>
  <sheetFormatPr defaultRowHeight="14.4"/>
  <cols>
    <col min="1" max="1" width="16.88671875" bestFit="1" customWidth="1"/>
    <col min="2" max="2" width="7" bestFit="1" customWidth="1"/>
    <col min="3" max="3" width="8.6640625" bestFit="1" customWidth="1"/>
    <col min="4" max="4" width="10.109375" bestFit="1" customWidth="1"/>
    <col min="5" max="5" width="14.33203125" customWidth="1"/>
    <col min="6" max="6" width="12" customWidth="1"/>
    <col min="7" max="7" width="9.5546875" customWidth="1"/>
    <col min="8" max="8" width="10" bestFit="1" customWidth="1"/>
    <col min="9" max="9" width="9.33203125" bestFit="1" customWidth="1"/>
    <col min="10" max="10" width="10.44140625" bestFit="1" customWidth="1"/>
    <col min="11" max="11" width="9.33203125" bestFit="1" customWidth="1"/>
    <col min="13" max="13" width="10.5546875" bestFit="1" customWidth="1"/>
    <col min="14" max="14" width="10.88671875" customWidth="1"/>
    <col min="15" max="15" width="9.6640625" bestFit="1" customWidth="1"/>
    <col min="16" max="16" width="10.5546875" bestFit="1" customWidth="1"/>
    <col min="17" max="17" width="11" bestFit="1" customWidth="1"/>
    <col min="18" max="18" width="10.109375" bestFit="1" customWidth="1"/>
  </cols>
  <sheetData>
    <row r="1" spans="1:18">
      <c r="A1" s="108" t="s">
        <v>65</v>
      </c>
    </row>
    <row r="2" spans="1:18">
      <c r="A2" t="s">
        <v>64</v>
      </c>
    </row>
    <row r="3" spans="1:18">
      <c r="A3" s="109">
        <f ca="1">TODAY()</f>
        <v>46299</v>
      </c>
    </row>
    <row r="4" spans="1:18">
      <c r="A4" t="str">
        <f ca="1">"As of Date: "&amp;TEXT(TODAY(),"mm/dd/yyyy")</f>
        <v>As of Date: 10/04/2026</v>
      </c>
    </row>
    <row r="5" spans="1:18">
      <c r="A5" t="s">
        <v>63</v>
      </c>
    </row>
    <row r="6" spans="1:18">
      <c r="A6" t="s">
        <v>62</v>
      </c>
      <c r="M6" s="108"/>
    </row>
    <row r="7" spans="1:18" s="102" customFormat="1" ht="28.8">
      <c r="A7" s="107" t="s">
        <v>61</v>
      </c>
      <c r="B7" s="107" t="s">
        <v>60</v>
      </c>
      <c r="C7" s="107" t="s">
        <v>59</v>
      </c>
      <c r="D7" s="107" t="s">
        <v>58</v>
      </c>
      <c r="E7" s="107" t="s">
        <v>57</v>
      </c>
      <c r="F7" s="107" t="s">
        <v>56</v>
      </c>
      <c r="G7" s="107" t="s">
        <v>55</v>
      </c>
      <c r="H7" s="107" t="s">
        <v>54</v>
      </c>
      <c r="I7" s="107" t="s">
        <v>53</v>
      </c>
      <c r="J7" s="107" t="s">
        <v>52</v>
      </c>
      <c r="K7" s="107" t="s">
        <v>51</v>
      </c>
      <c r="L7" s="106"/>
      <c r="M7" s="105" t="s">
        <v>9</v>
      </c>
      <c r="N7" s="104" t="s">
        <v>50</v>
      </c>
      <c r="O7" s="104" t="s">
        <v>49</v>
      </c>
      <c r="P7" s="104" t="s">
        <v>8</v>
      </c>
      <c r="Q7" s="103" t="s">
        <v>48</v>
      </c>
    </row>
    <row r="8" spans="1:18">
      <c r="A8" s="99" t="s">
        <v>47</v>
      </c>
      <c r="B8" s="99">
        <v>48</v>
      </c>
      <c r="C8" s="101">
        <v>572</v>
      </c>
      <c r="D8" s="101">
        <v>27456</v>
      </c>
      <c r="E8" s="101">
        <v>1800</v>
      </c>
      <c r="F8" s="101">
        <v>3.1468531468531467</v>
      </c>
      <c r="G8" s="101">
        <v>1773.2</v>
      </c>
      <c r="H8" s="101">
        <v>3.1</v>
      </c>
      <c r="I8" s="99">
        <v>44</v>
      </c>
      <c r="J8" s="100">
        <v>0.91666666666666663</v>
      </c>
      <c r="K8" s="99">
        <v>4</v>
      </c>
      <c r="L8" s="93"/>
      <c r="M8" s="118">
        <f>E8*B8*12</f>
        <v>1036800</v>
      </c>
      <c r="N8" s="119">
        <f>-(E8-G8)*I8*12</f>
        <v>-14150.399999999976</v>
      </c>
      <c r="O8" s="119">
        <f>-E8*K8*12</f>
        <v>-86400</v>
      </c>
      <c r="P8" s="119">
        <f>SUM(M8:O8)</f>
        <v>936249.6</v>
      </c>
      <c r="Q8" s="98">
        <f>I8*G8*12</f>
        <v>936249.60000000009</v>
      </c>
    </row>
    <row r="9" spans="1:18">
      <c r="A9" s="99" t="s">
        <v>46</v>
      </c>
      <c r="B9" s="99">
        <v>130</v>
      </c>
      <c r="C9" s="101">
        <v>795</v>
      </c>
      <c r="D9" s="101">
        <v>103350</v>
      </c>
      <c r="E9" s="101">
        <v>2475</v>
      </c>
      <c r="F9" s="101">
        <v>3.1132075471698113</v>
      </c>
      <c r="G9" s="101">
        <v>2448.6</v>
      </c>
      <c r="H9" s="101">
        <v>3.08</v>
      </c>
      <c r="I9" s="99">
        <v>126</v>
      </c>
      <c r="J9" s="100">
        <v>0.96923076923076923</v>
      </c>
      <c r="K9" s="99">
        <v>4</v>
      </c>
      <c r="L9" s="93"/>
      <c r="M9" s="118">
        <f t="shared" ref="M9:M11" si="0">E9*B9*12</f>
        <v>3861000</v>
      </c>
      <c r="N9" s="119">
        <f t="shared" ref="N9:N11" si="1">-(E9-G9)*I9*12</f>
        <v>-39916.800000000134</v>
      </c>
      <c r="O9" s="119">
        <f t="shared" ref="O9:O11" si="2">-E9*K9*12</f>
        <v>-118800</v>
      </c>
      <c r="P9" s="119">
        <f t="shared" ref="P9:P11" si="3">SUM(M9:O9)</f>
        <v>3702283.1999999997</v>
      </c>
      <c r="Q9" s="98">
        <f>I9*G9*12</f>
        <v>3702283.1999999997</v>
      </c>
    </row>
    <row r="10" spans="1:18">
      <c r="A10" s="99" t="s">
        <v>45</v>
      </c>
      <c r="B10" s="99">
        <v>114</v>
      </c>
      <c r="C10" s="101">
        <v>825</v>
      </c>
      <c r="D10" s="101">
        <v>94050</v>
      </c>
      <c r="E10" s="101">
        <v>2550</v>
      </c>
      <c r="F10" s="101">
        <v>3.0909090909090908</v>
      </c>
      <c r="G10" s="101">
        <v>2524.5</v>
      </c>
      <c r="H10" s="101">
        <v>3.06</v>
      </c>
      <c r="I10" s="99">
        <v>108</v>
      </c>
      <c r="J10" s="100">
        <v>0.94736842105263153</v>
      </c>
      <c r="K10" s="99">
        <v>6</v>
      </c>
      <c r="L10" s="93"/>
      <c r="M10" s="118">
        <f t="shared" si="0"/>
        <v>3488400</v>
      </c>
      <c r="N10" s="119">
        <f t="shared" si="1"/>
        <v>-33048</v>
      </c>
      <c r="O10" s="119">
        <f t="shared" si="2"/>
        <v>-183600</v>
      </c>
      <c r="P10" s="119">
        <f t="shared" si="3"/>
        <v>3271752</v>
      </c>
      <c r="Q10" s="98">
        <f>I10*G10*12</f>
        <v>3271752</v>
      </c>
    </row>
    <row r="11" spans="1:18" ht="16.2">
      <c r="A11" s="99" t="s">
        <v>44</v>
      </c>
      <c r="B11" s="99">
        <v>33</v>
      </c>
      <c r="C11" s="101">
        <v>972</v>
      </c>
      <c r="D11" s="101">
        <v>32076</v>
      </c>
      <c r="E11" s="101">
        <v>3100</v>
      </c>
      <c r="F11" s="101">
        <v>3.1893004115226335</v>
      </c>
      <c r="G11" s="101">
        <v>3003.48</v>
      </c>
      <c r="H11" s="101">
        <v>3.09</v>
      </c>
      <c r="I11" s="99">
        <v>32</v>
      </c>
      <c r="J11" s="100">
        <v>0.96969696969696972</v>
      </c>
      <c r="K11" s="99">
        <v>1</v>
      </c>
      <c r="L11" s="93"/>
      <c r="M11" s="118">
        <f t="shared" si="0"/>
        <v>1227600</v>
      </c>
      <c r="N11" s="119">
        <f t="shared" si="1"/>
        <v>-37063.679999999993</v>
      </c>
      <c r="O11" s="120">
        <f t="shared" si="2"/>
        <v>-37200</v>
      </c>
      <c r="P11" s="120">
        <f t="shared" si="3"/>
        <v>1153336.3200000001</v>
      </c>
      <c r="Q11" s="98">
        <f>I11*G11*12</f>
        <v>1153336.3200000001</v>
      </c>
    </row>
    <row r="12" spans="1:18">
      <c r="A12" s="95" t="s">
        <v>43</v>
      </c>
      <c r="B12" s="95">
        <v>325</v>
      </c>
      <c r="C12" s="97">
        <v>790.56</v>
      </c>
      <c r="D12" s="97">
        <v>256932</v>
      </c>
      <c r="E12" s="97">
        <v>2465.0769230769229</v>
      </c>
      <c r="F12" s="97">
        <v>3.1181402083041427</v>
      </c>
      <c r="G12" s="97">
        <v>2436.4572903225803</v>
      </c>
      <c r="H12" s="97">
        <v>3.0819384870504205</v>
      </c>
      <c r="I12" s="95">
        <v>310</v>
      </c>
      <c r="J12" s="96">
        <v>0.9538461538461539</v>
      </c>
      <c r="K12" s="95">
        <v>15</v>
      </c>
      <c r="L12" s="93"/>
      <c r="M12" s="121">
        <f>SUM(M8:M11)</f>
        <v>9613800</v>
      </c>
      <c r="N12" s="122">
        <f>SUM(N8:N11)</f>
        <v>-124178.88000000011</v>
      </c>
      <c r="O12" s="122">
        <f>SUM(O8:O11)</f>
        <v>-426000</v>
      </c>
      <c r="P12" s="122">
        <f>SUM(P8:P11)</f>
        <v>9063621.1199999992</v>
      </c>
      <c r="Q12" s="94">
        <f>SUM(Q8:Q11)</f>
        <v>9063621.1199999992</v>
      </c>
      <c r="R12" s="93"/>
    </row>
    <row r="13" spans="1:18">
      <c r="L13" s="93"/>
      <c r="N13" s="92"/>
      <c r="O13" s="91"/>
    </row>
    <row r="14" spans="1:18">
      <c r="O14" s="91"/>
    </row>
    <row r="15" spans="1:18">
      <c r="M15" s="90"/>
    </row>
    <row r="16" spans="1:18">
      <c r="M16" s="90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Cap</vt:lpstr>
      <vt:lpstr>Rent Roll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2018-06-11T02:52:26Z</dcterms:created>
  <dcterms:modified xsi:type="dcterms:W3CDTF">2026-10-05T00:20:36Z</dcterms:modified>
</cp:coreProperties>
</file>