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3. Calculating Key RiskReturn Metrics\"/>
    </mc:Choice>
  </mc:AlternateContent>
  <xr:revisionPtr revIDLastSave="0" documentId="8_{DAA96FE9-FD0C-49A6-9280-62A5DDADBF24}" xr6:coauthVersionLast="47" xr6:coauthVersionMax="47" xr10:uidLastSave="{00000000-0000-0000-0000-000000000000}"/>
  <bookViews>
    <workbookView xWindow="-108" yWindow="-108" windowWidth="23256" windowHeight="12456" xr2:uid="{75B91729-989D-4FE1-AD20-D1F2F2118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0" i="1" l="1"/>
  <c r="Z71" i="1"/>
  <c r="X71" i="1"/>
  <c r="W71" i="1"/>
  <c r="V71" i="1"/>
  <c r="U71" i="1"/>
  <c r="T71" i="1"/>
  <c r="S71" i="1"/>
  <c r="R71" i="1"/>
  <c r="Q71" i="1"/>
  <c r="P71" i="1"/>
  <c r="X70" i="1"/>
  <c r="W70" i="1"/>
  <c r="V70" i="1"/>
  <c r="U70" i="1"/>
  <c r="T70" i="1"/>
  <c r="S70" i="1"/>
  <c r="R70" i="1"/>
  <c r="Q70" i="1"/>
  <c r="P70" i="1"/>
  <c r="O71" i="1"/>
  <c r="O70" i="1"/>
  <c r="L68" i="1"/>
  <c r="E94" i="1" l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L85" i="1" s="1"/>
  <c r="C94" i="1"/>
  <c r="D94" i="1" s="1"/>
  <c r="C93" i="1"/>
  <c r="D93" i="1" s="1"/>
  <c r="C92" i="1"/>
  <c r="D92" i="1" s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K85" i="1" s="1"/>
  <c r="C81" i="1"/>
  <c r="C80" i="1"/>
  <c r="M79" i="1"/>
  <c r="L79" i="1"/>
  <c r="K79" i="1"/>
  <c r="J79" i="1"/>
  <c r="I79" i="1"/>
  <c r="H79" i="1"/>
  <c r="G79" i="1"/>
  <c r="F79" i="1"/>
  <c r="E79" i="1"/>
  <c r="D79" i="1"/>
  <c r="C79" i="1"/>
  <c r="M78" i="1"/>
  <c r="M77" i="1"/>
  <c r="L77" i="1"/>
  <c r="K77" i="1"/>
  <c r="J77" i="1"/>
  <c r="I77" i="1"/>
  <c r="H77" i="1"/>
  <c r="G77" i="1"/>
  <c r="F77" i="1"/>
  <c r="E77" i="1"/>
  <c r="D77" i="1"/>
  <c r="C76" i="1"/>
  <c r="B86" i="1"/>
  <c r="B87" i="1" s="1"/>
  <c r="J85" i="1"/>
  <c r="D75" i="1"/>
  <c r="E75" i="1" s="1"/>
  <c r="F75" i="1" s="1"/>
  <c r="G75" i="1" s="1"/>
  <c r="H75" i="1" s="1"/>
  <c r="I75" i="1" s="1"/>
  <c r="J75" i="1" s="1"/>
  <c r="K75" i="1" s="1"/>
  <c r="L75" i="1" s="1"/>
  <c r="M75" i="1" s="1"/>
  <c r="F85" i="1" l="1"/>
  <c r="D85" i="1"/>
  <c r="M85" i="1"/>
  <c r="L87" i="1"/>
  <c r="B88" i="1"/>
  <c r="J87" i="1"/>
  <c r="J86" i="1"/>
  <c r="G85" i="1"/>
  <c r="L86" i="1"/>
  <c r="G87" i="1" l="1"/>
  <c r="K87" i="1"/>
  <c r="M87" i="1" s="1"/>
  <c r="H87" i="1"/>
  <c r="K86" i="1"/>
  <c r="G86" i="1"/>
  <c r="L88" i="1"/>
  <c r="J88" i="1"/>
  <c r="B89" i="1"/>
  <c r="H85" i="1"/>
  <c r="H86" i="1" l="1"/>
  <c r="K88" i="1"/>
  <c r="M88" i="1" s="1"/>
  <c r="G88" i="1"/>
  <c r="J89" i="1"/>
  <c r="B90" i="1"/>
  <c r="L89" i="1"/>
  <c r="M86" i="1"/>
  <c r="K89" i="1" l="1"/>
  <c r="G89" i="1"/>
  <c r="H88" i="1"/>
  <c r="L90" i="1"/>
  <c r="B91" i="1"/>
  <c r="J90" i="1"/>
  <c r="H89" i="1" l="1"/>
  <c r="D95" i="1"/>
  <c r="G90" i="1"/>
  <c r="K90" i="1"/>
  <c r="M90" i="1" s="1"/>
  <c r="J91" i="1"/>
  <c r="L91" i="1"/>
  <c r="B92" i="1"/>
  <c r="M89" i="1"/>
  <c r="H90" i="1"/>
  <c r="H91" i="1" l="1"/>
  <c r="J92" i="1"/>
  <c r="B93" i="1"/>
  <c r="L92" i="1"/>
  <c r="K91" i="1"/>
  <c r="M91" i="1" s="1"/>
  <c r="G91" i="1"/>
  <c r="G92" i="1" l="1"/>
  <c r="K92" i="1"/>
  <c r="H92" i="1"/>
  <c r="B94" i="1"/>
  <c r="L93" i="1"/>
  <c r="J93" i="1"/>
  <c r="G93" i="1" l="1"/>
  <c r="K93" i="1"/>
  <c r="M93" i="1" s="1"/>
  <c r="J94" i="1"/>
  <c r="M92" i="1"/>
  <c r="L94" i="1" l="1"/>
  <c r="L95" i="1" s="1"/>
  <c r="E95" i="1"/>
  <c r="F95" i="1"/>
  <c r="H93" i="1"/>
  <c r="G94" i="1"/>
  <c r="G95" i="1" s="1"/>
  <c r="K94" i="1"/>
  <c r="C95" i="1"/>
  <c r="M94" i="1" l="1"/>
  <c r="M95" i="1" s="1"/>
  <c r="K95" i="1"/>
  <c r="H94" i="1"/>
  <c r="H95" i="1" s="1"/>
  <c r="D96" i="1" s="1"/>
  <c r="K96" i="1" l="1"/>
  <c r="L96" i="1"/>
  <c r="F96" i="1"/>
  <c r="F9" i="1" l="1"/>
  <c r="F5" i="1"/>
  <c r="Z24" i="1"/>
  <c r="Z23" i="1"/>
  <c r="Z21" i="1"/>
  <c r="H51" i="1"/>
  <c r="L53" i="1" s="1"/>
  <c r="X24" i="1"/>
  <c r="W24" i="1"/>
  <c r="V24" i="1"/>
  <c r="U24" i="1"/>
  <c r="T24" i="1"/>
  <c r="S24" i="1"/>
  <c r="R24" i="1"/>
  <c r="Q24" i="1"/>
  <c r="P24" i="1"/>
  <c r="X23" i="1"/>
  <c r="W23" i="1"/>
  <c r="V23" i="1"/>
  <c r="U23" i="1"/>
  <c r="T23" i="1"/>
  <c r="S23" i="1"/>
  <c r="R23" i="1"/>
  <c r="Q23" i="1"/>
  <c r="P23" i="1"/>
  <c r="O24" i="1"/>
  <c r="O23" i="1"/>
  <c r="K21" i="1"/>
  <c r="X21" i="1"/>
  <c r="W21" i="1"/>
  <c r="V21" i="1"/>
  <c r="U21" i="1"/>
  <c r="T21" i="1"/>
  <c r="S21" i="1"/>
  <c r="R21" i="1"/>
  <c r="Q21" i="1"/>
  <c r="P21" i="1"/>
  <c r="O21" i="1"/>
  <c r="L47" i="1"/>
  <c r="L33" i="1"/>
  <c r="L25" i="1"/>
  <c r="L37" i="1" s="1"/>
  <c r="O6" i="1"/>
  <c r="O46" i="1" s="1"/>
  <c r="L14" i="1"/>
  <c r="N14" i="1" s="1"/>
  <c r="F8" i="1"/>
  <c r="L36" i="1" l="1"/>
  <c r="L54" i="1"/>
  <c r="U53" i="1"/>
  <c r="P53" i="1"/>
  <c r="X53" i="1"/>
  <c r="J51" i="1"/>
  <c r="O51" i="1" s="1"/>
  <c r="O45" i="1"/>
  <c r="L15" i="1"/>
  <c r="N15" i="1" s="1"/>
  <c r="O29" i="1"/>
  <c r="V53" i="1"/>
  <c r="O42" i="1"/>
  <c r="W53" i="1"/>
  <c r="O14" i="1"/>
  <c r="O30" i="1"/>
  <c r="O31" i="1"/>
  <c r="Q53" i="1"/>
  <c r="O32" i="1"/>
  <c r="R53" i="1"/>
  <c r="O43" i="1"/>
  <c r="O22" i="1"/>
  <c r="O25" i="1" s="1"/>
  <c r="O37" i="1" s="1"/>
  <c r="O44" i="1"/>
  <c r="O28" i="1"/>
  <c r="O52" i="1"/>
  <c r="S53" i="1"/>
  <c r="O53" i="1"/>
  <c r="T53" i="1"/>
  <c r="L38" i="1"/>
  <c r="L49" i="1" s="1"/>
  <c r="L56" i="1" s="1"/>
  <c r="P6" i="1"/>
  <c r="O54" i="1" l="1"/>
  <c r="O15" i="1"/>
  <c r="L16" i="1"/>
  <c r="N16" i="1" s="1"/>
  <c r="N64" i="1" s="1"/>
  <c r="O33" i="1"/>
  <c r="O36" i="1" s="1"/>
  <c r="O38" i="1" s="1"/>
  <c r="P44" i="1"/>
  <c r="P32" i="1" s="1"/>
  <c r="P22" i="1"/>
  <c r="P25" i="1" s="1"/>
  <c r="P37" i="1" s="1"/>
  <c r="P42" i="1"/>
  <c r="P28" i="1" s="1"/>
  <c r="P43" i="1"/>
  <c r="P29" i="1" s="1"/>
  <c r="P46" i="1"/>
  <c r="P31" i="1" s="1"/>
  <c r="P52" i="1"/>
  <c r="P51" i="1"/>
  <c r="P45" i="1"/>
  <c r="P30" i="1" s="1"/>
  <c r="O16" i="1"/>
  <c r="O47" i="1"/>
  <c r="P14" i="1"/>
  <c r="Q6" i="1"/>
  <c r="P15" i="1"/>
  <c r="P54" i="1" l="1"/>
  <c r="P16" i="1"/>
  <c r="O49" i="1"/>
  <c r="O56" i="1" s="1"/>
  <c r="O67" i="1" s="1"/>
  <c r="P33" i="1"/>
  <c r="P36" i="1" s="1"/>
  <c r="P38" i="1" s="1"/>
  <c r="Q22" i="1"/>
  <c r="Q25" i="1" s="1"/>
  <c r="Q37" i="1" s="1"/>
  <c r="Q43" i="1"/>
  <c r="Q29" i="1" s="1"/>
  <c r="Q46" i="1"/>
  <c r="Q31" i="1" s="1"/>
  <c r="Q42" i="1"/>
  <c r="Q52" i="1"/>
  <c r="Q51" i="1"/>
  <c r="Q45" i="1"/>
  <c r="Q30" i="1" s="1"/>
  <c r="Q44" i="1"/>
  <c r="Q32" i="1" s="1"/>
  <c r="P47" i="1"/>
  <c r="R6" i="1"/>
  <c r="Q15" i="1"/>
  <c r="Q16" i="1"/>
  <c r="Q14" i="1"/>
  <c r="Q54" i="1" l="1"/>
  <c r="Q47" i="1"/>
  <c r="R43" i="1"/>
  <c r="R29" i="1" s="1"/>
  <c r="R42" i="1"/>
  <c r="R28" i="1" s="1"/>
  <c r="R52" i="1"/>
  <c r="R51" i="1"/>
  <c r="R45" i="1"/>
  <c r="R30" i="1" s="1"/>
  <c r="R22" i="1"/>
  <c r="R25" i="1" s="1"/>
  <c r="R37" i="1" s="1"/>
  <c r="R46" i="1"/>
  <c r="R31" i="1" s="1"/>
  <c r="R44" i="1"/>
  <c r="R32" i="1" s="1"/>
  <c r="P49" i="1"/>
  <c r="P56" i="1" s="1"/>
  <c r="P67" i="1" s="1"/>
  <c r="Q28" i="1"/>
  <c r="Q33" i="1" s="1"/>
  <c r="Q36" i="1" s="1"/>
  <c r="Q38" i="1" s="1"/>
  <c r="S6" i="1"/>
  <c r="R16" i="1"/>
  <c r="R14" i="1"/>
  <c r="R15" i="1"/>
  <c r="Q49" i="1" l="1"/>
  <c r="Q56" i="1" s="1"/>
  <c r="Q67" i="1" s="1"/>
  <c r="R33" i="1"/>
  <c r="R36" i="1" s="1"/>
  <c r="R38" i="1" s="1"/>
  <c r="R54" i="1"/>
  <c r="R47" i="1"/>
  <c r="S45" i="1"/>
  <c r="S30" i="1" s="1"/>
  <c r="S46" i="1"/>
  <c r="S31" i="1" s="1"/>
  <c r="S42" i="1"/>
  <c r="S52" i="1"/>
  <c r="S51" i="1"/>
  <c r="S44" i="1"/>
  <c r="S32" i="1" s="1"/>
  <c r="S22" i="1"/>
  <c r="S25" i="1" s="1"/>
  <c r="S37" i="1" s="1"/>
  <c r="S43" i="1"/>
  <c r="S29" i="1" s="1"/>
  <c r="T6" i="1"/>
  <c r="S16" i="1"/>
  <c r="S15" i="1"/>
  <c r="S14" i="1"/>
  <c r="S54" i="1" l="1"/>
  <c r="S47" i="1"/>
  <c r="S28" i="1"/>
  <c r="S33" i="1" s="1"/>
  <c r="S36" i="1" s="1"/>
  <c r="S38" i="1" s="1"/>
  <c r="T46" i="1"/>
  <c r="T31" i="1" s="1"/>
  <c r="T42" i="1"/>
  <c r="T28" i="1" s="1"/>
  <c r="T52" i="1"/>
  <c r="T44" i="1"/>
  <c r="T32" i="1" s="1"/>
  <c r="T51" i="1"/>
  <c r="T45" i="1"/>
  <c r="T30" i="1" s="1"/>
  <c r="T22" i="1"/>
  <c r="T25" i="1" s="1"/>
  <c r="T37" i="1" s="1"/>
  <c r="T43" i="1"/>
  <c r="T29" i="1" s="1"/>
  <c r="R49" i="1"/>
  <c r="R56" i="1" s="1"/>
  <c r="R67" i="1" s="1"/>
  <c r="U6" i="1"/>
  <c r="T16" i="1"/>
  <c r="T15" i="1"/>
  <c r="T14" i="1"/>
  <c r="S49" i="1" l="1"/>
  <c r="S56" i="1" s="1"/>
  <c r="S67" i="1" s="1"/>
  <c r="T47" i="1"/>
  <c r="T33" i="1"/>
  <c r="T36" i="1" s="1"/>
  <c r="T38" i="1" s="1"/>
  <c r="U52" i="1"/>
  <c r="U22" i="1"/>
  <c r="U25" i="1" s="1"/>
  <c r="U37" i="1" s="1"/>
  <c r="U51" i="1"/>
  <c r="U54" i="1" s="1"/>
  <c r="U45" i="1"/>
  <c r="U30" i="1" s="1"/>
  <c r="U44" i="1"/>
  <c r="U32" i="1" s="1"/>
  <c r="U43" i="1"/>
  <c r="U29" i="1" s="1"/>
  <c r="U42" i="1"/>
  <c r="U46" i="1"/>
  <c r="U31" i="1" s="1"/>
  <c r="T54" i="1"/>
  <c r="V6" i="1"/>
  <c r="U15" i="1"/>
  <c r="U14" i="1"/>
  <c r="U16" i="1"/>
  <c r="T49" i="1" l="1"/>
  <c r="T56" i="1" s="1"/>
  <c r="T67" i="1" s="1"/>
  <c r="U47" i="1"/>
  <c r="U28" i="1"/>
  <c r="U33" i="1" s="1"/>
  <c r="U36" i="1" s="1"/>
  <c r="U38" i="1" s="1"/>
  <c r="V51" i="1"/>
  <c r="V45" i="1"/>
  <c r="V30" i="1" s="1"/>
  <c r="V44" i="1"/>
  <c r="V32" i="1" s="1"/>
  <c r="V22" i="1"/>
  <c r="V25" i="1" s="1"/>
  <c r="V37" i="1" s="1"/>
  <c r="V43" i="1"/>
  <c r="V29" i="1" s="1"/>
  <c r="V46" i="1"/>
  <c r="V31" i="1" s="1"/>
  <c r="V42" i="1"/>
  <c r="V52" i="1"/>
  <c r="W6" i="1"/>
  <c r="V15" i="1"/>
  <c r="V14" i="1"/>
  <c r="V16" i="1"/>
  <c r="V54" i="1" l="1"/>
  <c r="U49" i="1"/>
  <c r="U56" i="1" s="1"/>
  <c r="U67" i="1" s="1"/>
  <c r="W44" i="1"/>
  <c r="W32" i="1" s="1"/>
  <c r="W22" i="1"/>
  <c r="W25" i="1" s="1"/>
  <c r="W37" i="1" s="1"/>
  <c r="W43" i="1"/>
  <c r="W29" i="1" s="1"/>
  <c r="W46" i="1"/>
  <c r="W31" i="1" s="1"/>
  <c r="W42" i="1"/>
  <c r="W28" i="1" s="1"/>
  <c r="W52" i="1"/>
  <c r="W51" i="1"/>
  <c r="W45" i="1"/>
  <c r="W30" i="1" s="1"/>
  <c r="V47" i="1"/>
  <c r="V28" i="1"/>
  <c r="V33" i="1" s="1"/>
  <c r="V36" i="1" s="1"/>
  <c r="V38" i="1" s="1"/>
  <c r="X6" i="1"/>
  <c r="W14" i="1"/>
  <c r="W16" i="1"/>
  <c r="W15" i="1"/>
  <c r="V49" i="1" l="1"/>
  <c r="V56" i="1" s="1"/>
  <c r="V67" i="1" s="1"/>
  <c r="W54" i="1"/>
  <c r="W33" i="1"/>
  <c r="W36" i="1" s="1"/>
  <c r="W38" i="1" s="1"/>
  <c r="X44" i="1"/>
  <c r="X32" i="1" s="1"/>
  <c r="X46" i="1"/>
  <c r="X31" i="1" s="1"/>
  <c r="X42" i="1"/>
  <c r="X22" i="1"/>
  <c r="X25" i="1" s="1"/>
  <c r="X37" i="1" s="1"/>
  <c r="X43" i="1"/>
  <c r="X29" i="1" s="1"/>
  <c r="Z6" i="1"/>
  <c r="X52" i="1"/>
  <c r="X51" i="1"/>
  <c r="X45" i="1"/>
  <c r="X30" i="1" s="1"/>
  <c r="W47" i="1"/>
  <c r="X14" i="1"/>
  <c r="X15" i="1"/>
  <c r="X16" i="1"/>
  <c r="X54" i="1" l="1"/>
  <c r="X47" i="1"/>
  <c r="X28" i="1"/>
  <c r="X33" i="1" s="1"/>
  <c r="X36" i="1" s="1"/>
  <c r="X38" i="1" s="1"/>
  <c r="Z43" i="1"/>
  <c r="Z44" i="1"/>
  <c r="Z32" i="1" s="1"/>
  <c r="Z42" i="1"/>
  <c r="Z29" i="1"/>
  <c r="Z45" i="1"/>
  <c r="Z30" i="1" s="1"/>
  <c r="Z31" i="1"/>
  <c r="Z22" i="1"/>
  <c r="Z25" i="1" s="1"/>
  <c r="Z37" i="1" s="1"/>
  <c r="W49" i="1"/>
  <c r="W56" i="1" s="1"/>
  <c r="W67" i="1" s="1"/>
  <c r="Z47" i="1" l="1"/>
  <c r="X49" i="1"/>
  <c r="X56" i="1" s="1"/>
  <c r="X67" i="1" s="1"/>
  <c r="L67" i="1" s="1"/>
  <c r="Z28" i="1"/>
  <c r="Z33" i="1" s="1"/>
  <c r="Z36" i="1" s="1"/>
  <c r="Z38" i="1" s="1"/>
  <c r="Z49" i="1" l="1"/>
  <c r="E59" i="1" s="1"/>
  <c r="L59" i="1" s="1"/>
  <c r="T59" i="1" s="1"/>
  <c r="U59" i="1" l="1"/>
  <c r="S59" i="1"/>
  <c r="R59" i="1"/>
  <c r="Q59" i="1"/>
  <c r="O59" i="1"/>
  <c r="Z59" i="1"/>
  <c r="W59" i="1"/>
  <c r="L60" i="1"/>
  <c r="L61" i="1" s="1"/>
  <c r="P59" i="1"/>
  <c r="X59" i="1"/>
  <c r="V59" i="1"/>
  <c r="U60" i="1" l="1"/>
  <c r="U61" i="1" s="1"/>
  <c r="U64" i="1" s="1"/>
  <c r="S60" i="1"/>
  <c r="S61" i="1" s="1"/>
  <c r="S64" i="1" s="1"/>
  <c r="X60" i="1"/>
  <c r="X61" i="1" s="1"/>
  <c r="X64" i="1" s="1"/>
  <c r="W60" i="1"/>
  <c r="W61" i="1" s="1"/>
  <c r="W64" i="1" s="1"/>
  <c r="V60" i="1"/>
  <c r="V61" i="1" s="1"/>
  <c r="V64" i="1" s="1"/>
  <c r="O60" i="1"/>
  <c r="O61" i="1" s="1"/>
  <c r="O64" i="1" s="1"/>
  <c r="R60" i="1"/>
  <c r="R61" i="1" s="1"/>
  <c r="R64" i="1" s="1"/>
  <c r="T60" i="1"/>
  <c r="T61" i="1" s="1"/>
  <c r="T64" i="1" s="1"/>
  <c r="Z60" i="1"/>
  <c r="Z61" i="1" s="1"/>
  <c r="Q60" i="1"/>
  <c r="Q61" i="1" s="1"/>
  <c r="Q64" i="1" s="1"/>
  <c r="P60" i="1"/>
  <c r="P61" i="1" s="1"/>
  <c r="P64" i="1" s="1"/>
  <c r="L66" i="1" l="1"/>
  <c r="L69" i="1"/>
  <c r="L65" i="1"/>
  <c r="F6" i="1" s="1"/>
</calcChain>
</file>

<file path=xl/sharedStrings.xml><?xml version="1.0" encoding="utf-8"?>
<sst xmlns="http://schemas.openxmlformats.org/spreadsheetml/2006/main" count="115" uniqueCount="96">
  <si>
    <t>HOLD/SELL ANALYSIS</t>
  </si>
  <si>
    <t>Comparison</t>
  </si>
  <si>
    <t>Subject Property</t>
  </si>
  <si>
    <t>Lakefront Industrial I</t>
  </si>
  <si>
    <t>Alternative Property</t>
  </si>
  <si>
    <t>Smithtown Industrial IV</t>
  </si>
  <si>
    <t>NRA</t>
  </si>
  <si>
    <t>Unlevered IRR</t>
  </si>
  <si>
    <t>Investment Description</t>
  </si>
  <si>
    <t>Property Name</t>
  </si>
  <si>
    <t>Address</t>
  </si>
  <si>
    <t>City</t>
  </si>
  <si>
    <t>State</t>
  </si>
  <si>
    <t>Zip Code</t>
  </si>
  <si>
    <t>Lesure St.</t>
  </si>
  <si>
    <t>Duluth</t>
  </si>
  <si>
    <t>MN</t>
  </si>
  <si>
    <t>Net Rentable Area</t>
  </si>
  <si>
    <t>Clear Height</t>
  </si>
  <si>
    <t>32'</t>
  </si>
  <si>
    <t>Land Size</t>
  </si>
  <si>
    <t>Investment Cash Flows</t>
  </si>
  <si>
    <t>Gross Market Value</t>
  </si>
  <si>
    <t>Selling Costs</t>
  </si>
  <si>
    <t>Net Market Value</t>
  </si>
  <si>
    <t>NOI</t>
  </si>
  <si>
    <t>Cap Rate</t>
  </si>
  <si>
    <t>Operating Cash Flows</t>
  </si>
  <si>
    <t>REVENUE</t>
  </si>
  <si>
    <t>Rental Revenue</t>
  </si>
  <si>
    <t>Base Rental Revenue</t>
  </si>
  <si>
    <t>Actual Vacancy</t>
  </si>
  <si>
    <t>Free Rent</t>
  </si>
  <si>
    <t>Total Rental Revenue</t>
  </si>
  <si>
    <t>Other Income</t>
  </si>
  <si>
    <t>CAM Reimbursement</t>
  </si>
  <si>
    <t>Utility Reimbursement</t>
  </si>
  <si>
    <t>Insurance Reimbursement</t>
  </si>
  <si>
    <t>Property Tax Reimbursement</t>
  </si>
  <si>
    <t>Total Other Income</t>
  </si>
  <si>
    <t>Effective Gross Revenue</t>
  </si>
  <si>
    <t>Gross Revenue</t>
  </si>
  <si>
    <t>General Vacancy and Credit Loss</t>
  </si>
  <si>
    <t>Total Effective Gross Revenue</t>
  </si>
  <si>
    <t>EXPENSES</t>
  </si>
  <si>
    <t>Operating Expense</t>
  </si>
  <si>
    <t>Common Area Maintenance</t>
  </si>
  <si>
    <t>Utilities</t>
  </si>
  <si>
    <t>Property Taxes</t>
  </si>
  <si>
    <t>Insurance</t>
  </si>
  <si>
    <t>Management Fee</t>
  </si>
  <si>
    <t>Total Operating Expenses</t>
  </si>
  <si>
    <t>NET OPERATING INCOME</t>
  </si>
  <si>
    <t>Tenant Improvements</t>
  </si>
  <si>
    <t>Leasing Commission</t>
  </si>
  <si>
    <t>Capital Reserves</t>
  </si>
  <si>
    <t>Total Capital Expenditures</t>
  </si>
  <si>
    <t>CASH FLOW FROM OPERATIONS</t>
  </si>
  <si>
    <t>Rent Bump</t>
  </si>
  <si>
    <t>Pro Forma</t>
  </si>
  <si>
    <t>/SF</t>
  </si>
  <si>
    <t>/SF/YR</t>
  </si>
  <si>
    <t>Management Fee Reimbursement</t>
  </si>
  <si>
    <t>Recovery %</t>
  </si>
  <si>
    <t>% of Total Rental Revenue</t>
  </si>
  <si>
    <t>Growth Factor</t>
  </si>
  <si>
    <t>Renewal Year</t>
  </si>
  <si>
    <t>Amount</t>
  </si>
  <si>
    <t>Reversion Cash Flows</t>
  </si>
  <si>
    <t>Gross Reversion Value</t>
  </si>
  <si>
    <t>Net Reversion Value</t>
  </si>
  <si>
    <t>Exit Cap</t>
  </si>
  <si>
    <t>Return</t>
  </si>
  <si>
    <t>Net Unlevered Cash Flow</t>
  </si>
  <si>
    <t>Unlevered Internal Rate of Return</t>
  </si>
  <si>
    <t>Reversion</t>
  </si>
  <si>
    <t>Unlevered Equity Multiple</t>
  </si>
  <si>
    <t>Free and Clear Return</t>
  </si>
  <si>
    <t>Average Rate of Return</t>
  </si>
  <si>
    <t>Net Profit</t>
  </si>
  <si>
    <t>Expense Recovery Ratio</t>
  </si>
  <si>
    <t>Operating Expense Ratio</t>
  </si>
  <si>
    <t>Average</t>
  </si>
  <si>
    <t>PARTITIONING IRR AND EQUITY MULTIPLE</t>
  </si>
  <si>
    <t>Year</t>
  </si>
  <si>
    <t>Investment CF</t>
  </si>
  <si>
    <t>CFO</t>
  </si>
  <si>
    <t>Reversion CF</t>
  </si>
  <si>
    <t>Unlevered CF</t>
  </si>
  <si>
    <t>IRR</t>
  </si>
  <si>
    <t>Equity Multiple</t>
  </si>
  <si>
    <t>IRR Partition</t>
  </si>
  <si>
    <t>Equity Multiple Partition</t>
  </si>
  <si>
    <t>PV</t>
  </si>
  <si>
    <t>Sale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</si>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</sst>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u val="singleAccounting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1" fontId="0" fillId="0" borderId="0" xfId="0" applyNumberFormat="1"/>
    <xf numFmtId="41" fontId="0" fillId="0" borderId="0" xfId="0" applyNumberFormat="1" applyAlignment="1">
      <alignment horizontal="right"/>
    </xf>
    <xf numFmtId="41" fontId="8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64" fontId="8" fillId="0" borderId="0" xfId="0" applyNumberFormat="1" applyFont="1" applyAlignment="1">
      <alignment horizontal="right"/>
    </xf>
    <xf numFmtId="0" fontId="0" fillId="2" borderId="0" xfId="0" applyFill="1"/>
    <xf numFmtId="0" fontId="3" fillId="2" borderId="0" xfId="0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10" fontId="0" fillId="2" borderId="0" xfId="0" applyNumberFormat="1" applyFill="1" applyAlignment="1">
      <alignment horizontal="right"/>
    </xf>
    <xf numFmtId="10" fontId="3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3" fontId="6" fillId="2" borderId="0" xfId="0" applyNumberFormat="1" applyFont="1" applyFill="1"/>
    <xf numFmtId="10" fontId="6" fillId="2" borderId="0" xfId="0" applyNumberFormat="1" applyFont="1" applyFill="1" applyAlignment="1">
      <alignment horizontal="right"/>
    </xf>
    <xf numFmtId="3" fontId="4" fillId="2" borderId="0" xfId="0" applyNumberFormat="1" applyFont="1" applyFill="1" applyAlignment="1">
      <alignment horizontal="right"/>
    </xf>
    <xf numFmtId="10" fontId="6" fillId="2" borderId="0" xfId="0" applyNumberFormat="1" applyFont="1" applyFill="1"/>
    <xf numFmtId="3" fontId="7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left"/>
    </xf>
    <xf numFmtId="0" fontId="7" fillId="2" borderId="0" xfId="0" applyFont="1" applyFill="1" applyAlignment="1">
      <alignment horizontal="right"/>
    </xf>
    <xf numFmtId="0" fontId="7" fillId="2" borderId="0" xfId="0" quotePrefix="1" applyFont="1" applyFill="1" applyAlignment="1">
      <alignment horizontal="right"/>
    </xf>
    <xf numFmtId="0" fontId="0" fillId="2" borderId="0" xfId="0" applyFill="1" applyAlignment="1">
      <alignment horizontal="left" indent="1"/>
    </xf>
    <xf numFmtId="3" fontId="3" fillId="2" borderId="0" xfId="0" applyNumberFormat="1" applyFont="1" applyFill="1"/>
    <xf numFmtId="43" fontId="0" fillId="2" borderId="0" xfId="0" applyNumberFormat="1" applyFill="1"/>
    <xf numFmtId="41" fontId="3" fillId="2" borderId="0" xfId="0" applyNumberFormat="1" applyFont="1" applyFill="1" applyAlignment="1">
      <alignment horizontal="right"/>
    </xf>
    <xf numFmtId="4" fontId="3" fillId="2" borderId="0" xfId="0" applyNumberFormat="1" applyFont="1" applyFill="1" applyAlignment="1">
      <alignment horizontal="right"/>
    </xf>
    <xf numFmtId="41" fontId="9" fillId="2" borderId="0" xfId="0" applyNumberFormat="1" applyFont="1" applyFill="1" applyAlignment="1">
      <alignment horizontal="right"/>
    </xf>
    <xf numFmtId="41" fontId="0" fillId="2" borderId="0" xfId="0" applyNumberFormat="1" applyFill="1" applyAlignment="1">
      <alignment horizontal="right"/>
    </xf>
    <xf numFmtId="41" fontId="10" fillId="2" borderId="0" xfId="0" applyNumberFormat="1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3" fontId="4" fillId="2" borderId="0" xfId="0" applyNumberFormat="1" applyFont="1" applyFill="1"/>
    <xf numFmtId="4" fontId="3" fillId="2" borderId="0" xfId="0" applyNumberFormat="1" applyFont="1" applyFill="1"/>
    <xf numFmtId="3" fontId="0" fillId="2" borderId="0" xfId="0" applyNumberFormat="1" applyFill="1"/>
    <xf numFmtId="41" fontId="11" fillId="2" borderId="0" xfId="0" applyNumberFormat="1" applyFont="1" applyFill="1" applyAlignment="1">
      <alignment horizontal="right"/>
    </xf>
    <xf numFmtId="10" fontId="3" fillId="2" borderId="0" xfId="0" applyNumberFormat="1" applyFont="1" applyFill="1"/>
    <xf numFmtId="164" fontId="7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right"/>
    </xf>
    <xf numFmtId="0" fontId="0" fillId="3" borderId="0" xfId="0" applyFill="1"/>
    <xf numFmtId="0" fontId="3" fillId="3" borderId="0" xfId="0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10" fontId="0" fillId="3" borderId="0" xfId="0" applyNumberFormat="1" applyFill="1" applyAlignment="1">
      <alignment horizontal="right"/>
    </xf>
    <xf numFmtId="10" fontId="3" fillId="3" borderId="0" xfId="0" applyNumberFormat="1" applyFont="1" applyFill="1" applyAlignment="1">
      <alignment horizontal="right"/>
    </xf>
    <xf numFmtId="43" fontId="0" fillId="2" borderId="0" xfId="0" applyNumberFormat="1" applyFill="1" applyAlignment="1">
      <alignment horizontal="right"/>
    </xf>
    <xf numFmtId="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41" fontId="0" fillId="0" borderId="1" xfId="0" applyNumberFormat="1" applyBorder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41" fontId="0" fillId="0" borderId="3" xfId="0" applyNumberFormat="1" applyBorder="1" applyAlignment="1">
      <alignment horizontal="right"/>
    </xf>
    <xf numFmtId="41" fontId="0" fillId="0" borderId="4" xfId="0" applyNumberFormat="1" applyBorder="1" applyAlignment="1">
      <alignment horizontal="right"/>
    </xf>
    <xf numFmtId="41" fontId="0" fillId="0" borderId="5" xfId="0" applyNumberFormat="1" applyBorder="1" applyAlignment="1">
      <alignment horizontal="right"/>
    </xf>
    <xf numFmtId="41" fontId="0" fillId="0" borderId="6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8" fontId="0" fillId="0" borderId="5" xfId="0" applyNumberForma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" fillId="4" borderId="0" xfId="0" applyFont="1" applyFill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B044-0233-4E47-B632-B63B21ACC021}">
  <dimension ref="A1:AE100"/>
  <sheetViews>
    <sheetView showGridLines="0" tabSelected="1" workbookViewId="0">
      <pane ySplit="6" topLeftCell="A7" activePane="bottomLeft" state="frozen"/>
      <selection pane="bottomLeft" activeCell="N84" sqref="N84"/>
    </sheetView>
  </sheetViews>
  <sheetFormatPr defaultColWidth="0" defaultRowHeight="14.4" zeroHeight="1" x14ac:dyDescent="0.3"/>
  <cols>
    <col min="1" max="1" width="1.6640625" customWidth="1"/>
    <col min="2" max="2" width="16" customWidth="1"/>
    <col min="3" max="3" width="13.77734375" bestFit="1" customWidth="1"/>
    <col min="4" max="4" width="12.88671875" customWidth="1"/>
    <col min="5" max="5" width="10.77734375" customWidth="1"/>
    <col min="6" max="6" width="14.5546875" style="1" customWidth="1"/>
    <col min="7" max="7" width="13.6640625" customWidth="1"/>
    <col min="8" max="8" width="11.44140625" customWidth="1"/>
    <col min="9" max="9" width="10.5546875" customWidth="1"/>
    <col min="10" max="10" width="11.5546875" customWidth="1"/>
    <col min="11" max="11" width="12.33203125" customWidth="1"/>
    <col min="12" max="12" width="14" style="1" bestFit="1" customWidth="1"/>
    <col min="13" max="13" width="12.88671875" customWidth="1"/>
    <col min="14" max="14" width="12.33203125" style="4" bestFit="1" customWidth="1"/>
    <col min="15" max="15" width="11.33203125" style="4" bestFit="1" customWidth="1"/>
    <col min="16" max="23" width="10.5546875" style="4" bestFit="1" customWidth="1"/>
    <col min="24" max="24" width="11.5546875" style="4" bestFit="1" customWidth="1"/>
    <col min="25" max="25" width="1.6640625" style="4" customWidth="1"/>
    <col min="26" max="26" width="10.5546875" style="4" bestFit="1" customWidth="1"/>
    <col min="27" max="29" width="9.109375" style="4" customWidth="1"/>
    <col min="30" max="30" width="9.109375" style="3" customWidth="1"/>
    <col min="31" max="31" width="9.109375" customWidth="1"/>
    <col min="32" max="16384" width="9.109375" hidden="1"/>
  </cols>
  <sheetData>
    <row r="1" spans="2:26" x14ac:dyDescent="0.3"/>
    <row r="2" spans="2:26" x14ac:dyDescent="0.3">
      <c r="B2" s="64" t="s">
        <v>0</v>
      </c>
      <c r="C2" s="65"/>
      <c r="D2" s="65"/>
      <c r="E2" s="65"/>
      <c r="F2" s="66"/>
      <c r="G2" s="65"/>
      <c r="H2" s="65"/>
      <c r="I2" s="65"/>
      <c r="J2" s="65"/>
      <c r="K2" s="65"/>
      <c r="L2" s="66"/>
    </row>
    <row r="3" spans="2:26" x14ac:dyDescent="0.3">
      <c r="B3" s="67" t="s">
        <v>1</v>
      </c>
      <c r="C3" s="67"/>
      <c r="D3" s="67"/>
      <c r="E3" s="67"/>
      <c r="F3" s="68"/>
      <c r="G3" s="67"/>
      <c r="H3" s="67"/>
      <c r="I3" s="67"/>
      <c r="J3" s="67"/>
      <c r="K3" s="67"/>
      <c r="L3" s="68"/>
    </row>
    <row r="4" spans="2:26" x14ac:dyDescent="0.3">
      <c r="B4" s="38" t="s">
        <v>2</v>
      </c>
      <c r="C4" s="38"/>
      <c r="D4" s="38"/>
      <c r="E4" s="38"/>
      <c r="F4" s="39" t="s">
        <v>3</v>
      </c>
      <c r="G4" s="38"/>
      <c r="H4" s="38" t="s">
        <v>4</v>
      </c>
      <c r="I4" s="38"/>
      <c r="J4" s="38"/>
      <c r="K4" s="38"/>
      <c r="L4" s="39" t="s">
        <v>5</v>
      </c>
    </row>
    <row r="5" spans="2:26" x14ac:dyDescent="0.3">
      <c r="B5" s="38" t="s">
        <v>6</v>
      </c>
      <c r="C5" s="38"/>
      <c r="D5" s="38"/>
      <c r="E5" s="38"/>
      <c r="F5" s="40">
        <f>E21</f>
        <v>366698</v>
      </c>
      <c r="G5" s="38"/>
      <c r="H5" s="38" t="s">
        <v>6</v>
      </c>
      <c r="I5" s="38"/>
      <c r="J5" s="38"/>
      <c r="K5" s="38"/>
      <c r="L5" s="39">
        <v>0</v>
      </c>
    </row>
    <row r="6" spans="2:26" x14ac:dyDescent="0.3">
      <c r="B6" s="38" t="s">
        <v>7</v>
      </c>
      <c r="C6" s="38"/>
      <c r="D6" s="38"/>
      <c r="E6" s="38"/>
      <c r="F6" s="41">
        <f>L65</f>
        <v>7.3433150832143523E-2</v>
      </c>
      <c r="G6" s="38"/>
      <c r="H6" s="38" t="s">
        <v>7</v>
      </c>
      <c r="I6" s="38"/>
      <c r="J6" s="38"/>
      <c r="K6" s="38"/>
      <c r="L6" s="42">
        <v>8.1199999999999994E-2</v>
      </c>
      <c r="N6" s="2">
        <v>0</v>
      </c>
      <c r="O6" s="2">
        <f t="shared" ref="O6:X6" si="0">+N6+1</f>
        <v>1</v>
      </c>
      <c r="P6" s="2">
        <f t="shared" si="0"/>
        <v>2</v>
      </c>
      <c r="Q6" s="2">
        <f t="shared" si="0"/>
        <v>3</v>
      </c>
      <c r="R6" s="2">
        <f t="shared" si="0"/>
        <v>4</v>
      </c>
      <c r="S6" s="2">
        <f t="shared" si="0"/>
        <v>5</v>
      </c>
      <c r="T6" s="2">
        <f t="shared" si="0"/>
        <v>6</v>
      </c>
      <c r="U6" s="2">
        <f t="shared" si="0"/>
        <v>7</v>
      </c>
      <c r="V6" s="2">
        <f t="shared" si="0"/>
        <v>8</v>
      </c>
      <c r="W6" s="2">
        <f t="shared" si="0"/>
        <v>9</v>
      </c>
      <c r="X6" s="2">
        <f t="shared" si="0"/>
        <v>10</v>
      </c>
      <c r="Y6" s="2"/>
      <c r="Z6" s="2">
        <f>+X6+1</f>
        <v>11</v>
      </c>
    </row>
    <row r="7" spans="2:26" x14ac:dyDescent="0.3">
      <c r="B7" s="67" t="s">
        <v>8</v>
      </c>
      <c r="C7" s="67"/>
      <c r="D7" s="67"/>
      <c r="E7" s="67"/>
      <c r="F7" s="68"/>
      <c r="G7" s="67"/>
      <c r="H7" s="67"/>
      <c r="I7" s="67"/>
      <c r="J7" s="67"/>
      <c r="K7" s="67"/>
      <c r="L7" s="68"/>
    </row>
    <row r="8" spans="2:26" x14ac:dyDescent="0.3">
      <c r="B8" s="8" t="s">
        <v>9</v>
      </c>
      <c r="C8" s="8"/>
      <c r="D8" s="8"/>
      <c r="E8" s="8"/>
      <c r="F8" s="13" t="str">
        <f>+F4</f>
        <v>Lakefront Industrial I</v>
      </c>
      <c r="G8" s="8"/>
      <c r="H8" s="8" t="s">
        <v>10</v>
      </c>
      <c r="I8" s="8"/>
      <c r="J8" s="8"/>
      <c r="K8" s="8"/>
      <c r="L8" s="9" t="s">
        <v>14</v>
      </c>
    </row>
    <row r="9" spans="2:26" x14ac:dyDescent="0.3">
      <c r="B9" s="8" t="s">
        <v>17</v>
      </c>
      <c r="C9" s="8"/>
      <c r="D9" s="8"/>
      <c r="E9" s="8"/>
      <c r="F9" s="10">
        <f>E21</f>
        <v>366698</v>
      </c>
      <c r="G9" s="8"/>
      <c r="H9" s="8" t="s">
        <v>11</v>
      </c>
      <c r="I9" s="8"/>
      <c r="J9" s="8"/>
      <c r="K9" s="8"/>
      <c r="L9" s="9" t="s">
        <v>15</v>
      </c>
    </row>
    <row r="10" spans="2:26" x14ac:dyDescent="0.3">
      <c r="B10" s="8" t="s">
        <v>18</v>
      </c>
      <c r="C10" s="8"/>
      <c r="D10" s="8"/>
      <c r="E10" s="8"/>
      <c r="F10" s="9" t="s">
        <v>19</v>
      </c>
      <c r="G10" s="8"/>
      <c r="H10" s="8" t="s">
        <v>12</v>
      </c>
      <c r="I10" s="8"/>
      <c r="J10" s="8"/>
      <c r="K10" s="8"/>
      <c r="L10" s="9" t="s">
        <v>16</v>
      </c>
    </row>
    <row r="11" spans="2:26" x14ac:dyDescent="0.3">
      <c r="B11" s="8" t="s">
        <v>20</v>
      </c>
      <c r="C11" s="8"/>
      <c r="D11" s="8"/>
      <c r="E11" s="8"/>
      <c r="F11" s="9">
        <v>16.059999999999999</v>
      </c>
      <c r="G11" s="8"/>
      <c r="H11" s="8" t="s">
        <v>13</v>
      </c>
      <c r="I11" s="8"/>
      <c r="J11" s="8"/>
      <c r="K11" s="8"/>
      <c r="L11" s="9">
        <v>55807</v>
      </c>
    </row>
    <row r="12" spans="2:26" x14ac:dyDescent="0.3">
      <c r="B12" s="8"/>
      <c r="C12" s="8"/>
      <c r="D12" s="8"/>
      <c r="E12" s="8"/>
      <c r="F12" s="13"/>
      <c r="G12" s="8"/>
      <c r="H12" s="8"/>
      <c r="I12" s="8"/>
      <c r="J12" s="8"/>
      <c r="K12" s="8"/>
      <c r="L12" s="13"/>
    </row>
    <row r="13" spans="2:26" x14ac:dyDescent="0.3">
      <c r="B13" s="67" t="s">
        <v>21</v>
      </c>
      <c r="C13" s="67"/>
      <c r="D13" s="69"/>
      <c r="E13" s="70" t="s">
        <v>25</v>
      </c>
      <c r="F13" s="70" t="s">
        <v>26</v>
      </c>
      <c r="G13" s="69"/>
      <c r="H13" s="69" t="s">
        <v>23</v>
      </c>
      <c r="I13" s="69"/>
      <c r="J13" s="69"/>
      <c r="K13" s="69"/>
      <c r="L13" s="70"/>
    </row>
    <row r="14" spans="2:26" x14ac:dyDescent="0.3">
      <c r="B14" s="8" t="s">
        <v>22</v>
      </c>
      <c r="C14" s="8"/>
      <c r="D14" s="8"/>
      <c r="E14" s="14">
        <v>1709441</v>
      </c>
      <c r="F14" s="15">
        <v>5.7500000000000002E-2</v>
      </c>
      <c r="G14" s="8"/>
      <c r="H14" s="8"/>
      <c r="I14" s="8"/>
      <c r="J14" s="8"/>
      <c r="K14" s="8"/>
      <c r="L14" s="16">
        <f>E14/F14</f>
        <v>29729408.695652172</v>
      </c>
      <c r="N14" s="4">
        <f t="shared" ref="N14:X16" si="1">(N$6=0)*$L14</f>
        <v>29729408.695652172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</row>
    <row r="15" spans="2:26" ht="16.2" x14ac:dyDescent="0.45">
      <c r="B15" s="8" t="s">
        <v>23</v>
      </c>
      <c r="C15" s="8"/>
      <c r="D15" s="8"/>
      <c r="E15" s="8"/>
      <c r="F15" s="13"/>
      <c r="G15" s="8"/>
      <c r="H15" s="17">
        <v>0.03</v>
      </c>
      <c r="I15" s="8"/>
      <c r="J15" s="8"/>
      <c r="K15" s="8"/>
      <c r="L15" s="18">
        <f>-H15*L14</f>
        <v>-891882.26086956507</v>
      </c>
      <c r="N15" s="5">
        <f t="shared" si="1"/>
        <v>-891882.26086956507</v>
      </c>
      <c r="O15" s="5">
        <f t="shared" si="1"/>
        <v>0</v>
      </c>
      <c r="P15" s="5">
        <f t="shared" si="1"/>
        <v>0</v>
      </c>
      <c r="Q15" s="5">
        <f t="shared" si="1"/>
        <v>0</v>
      </c>
      <c r="R15" s="5">
        <f t="shared" si="1"/>
        <v>0</v>
      </c>
      <c r="S15" s="5">
        <f t="shared" si="1"/>
        <v>0</v>
      </c>
      <c r="T15" s="5">
        <f t="shared" si="1"/>
        <v>0</v>
      </c>
      <c r="U15" s="5">
        <f t="shared" si="1"/>
        <v>0</v>
      </c>
      <c r="V15" s="5">
        <f t="shared" si="1"/>
        <v>0</v>
      </c>
      <c r="W15" s="5">
        <f t="shared" si="1"/>
        <v>0</v>
      </c>
      <c r="X15" s="5">
        <f t="shared" si="1"/>
        <v>0</v>
      </c>
      <c r="Y15" s="5"/>
      <c r="Z15" s="5"/>
    </row>
    <row r="16" spans="2:26" x14ac:dyDescent="0.3">
      <c r="B16" s="8" t="s">
        <v>24</v>
      </c>
      <c r="C16" s="8"/>
      <c r="D16" s="8"/>
      <c r="E16" s="8"/>
      <c r="F16" s="13"/>
      <c r="G16" s="8"/>
      <c r="H16" s="8"/>
      <c r="I16" s="8"/>
      <c r="J16" s="8"/>
      <c r="K16" s="8"/>
      <c r="L16" s="10">
        <f>SUM(L14:L15)</f>
        <v>28837526.434782606</v>
      </c>
      <c r="N16" s="4">
        <f t="shared" si="1"/>
        <v>28837526.434782606</v>
      </c>
      <c r="O16" s="4">
        <f t="shared" si="1"/>
        <v>0</v>
      </c>
      <c r="P16" s="4">
        <f t="shared" si="1"/>
        <v>0</v>
      </c>
      <c r="Q16" s="4">
        <f t="shared" si="1"/>
        <v>0</v>
      </c>
      <c r="R16" s="4">
        <f t="shared" si="1"/>
        <v>0</v>
      </c>
      <c r="S16" s="4">
        <f t="shared" si="1"/>
        <v>0</v>
      </c>
      <c r="T16" s="4">
        <f t="shared" si="1"/>
        <v>0</v>
      </c>
      <c r="U16" s="4">
        <f t="shared" si="1"/>
        <v>0</v>
      </c>
      <c r="V16" s="4">
        <f t="shared" si="1"/>
        <v>0</v>
      </c>
      <c r="W16" s="4">
        <f t="shared" si="1"/>
        <v>0</v>
      </c>
      <c r="X16" s="4">
        <f t="shared" si="1"/>
        <v>0</v>
      </c>
    </row>
    <row r="17" spans="2:26" x14ac:dyDescent="0.3">
      <c r="B17" s="8"/>
      <c r="C17" s="8"/>
      <c r="D17" s="8"/>
      <c r="E17" s="8"/>
      <c r="F17" s="13"/>
      <c r="G17" s="8"/>
      <c r="H17" s="8"/>
      <c r="I17" s="8"/>
      <c r="J17" s="8"/>
      <c r="K17" s="8"/>
      <c r="L17" s="13"/>
    </row>
    <row r="18" spans="2:26" x14ac:dyDescent="0.3">
      <c r="B18" s="67" t="s">
        <v>27</v>
      </c>
      <c r="C18" s="67"/>
      <c r="D18" s="67"/>
      <c r="E18" s="67"/>
      <c r="F18" s="68"/>
      <c r="G18" s="67"/>
      <c r="H18" s="67"/>
      <c r="I18" s="67"/>
      <c r="J18" s="67"/>
      <c r="K18" s="67"/>
      <c r="L18" s="68"/>
    </row>
    <row r="19" spans="2:26" x14ac:dyDescent="0.3">
      <c r="B19" s="8" t="s">
        <v>28</v>
      </c>
      <c r="C19" s="8"/>
      <c r="D19" s="8"/>
      <c r="E19" s="8"/>
      <c r="F19" s="13"/>
      <c r="G19" s="8"/>
      <c r="H19" s="8"/>
      <c r="I19" s="8"/>
      <c r="J19" s="8"/>
      <c r="K19" s="8"/>
      <c r="L19" s="13"/>
      <c r="Z19" s="3" t="s">
        <v>75</v>
      </c>
    </row>
    <row r="20" spans="2:26" x14ac:dyDescent="0.3">
      <c r="B20" s="19" t="s">
        <v>29</v>
      </c>
      <c r="C20" s="8"/>
      <c r="D20" s="8"/>
      <c r="E20" s="20" t="s">
        <v>6</v>
      </c>
      <c r="F20" s="13"/>
      <c r="G20" s="8"/>
      <c r="H20" s="8"/>
      <c r="I20" s="8"/>
      <c r="J20" s="8"/>
      <c r="K20" s="21" t="s">
        <v>60</v>
      </c>
      <c r="L20" s="20" t="s">
        <v>59</v>
      </c>
      <c r="Z20" s="3" t="s">
        <v>59</v>
      </c>
    </row>
    <row r="21" spans="2:26" x14ac:dyDescent="0.3">
      <c r="B21" s="22" t="s">
        <v>30</v>
      </c>
      <c r="C21" s="8"/>
      <c r="D21" s="8"/>
      <c r="E21" s="23">
        <v>366698</v>
      </c>
      <c r="F21" s="21" t="s">
        <v>61</v>
      </c>
      <c r="G21" s="8"/>
      <c r="H21" s="8"/>
      <c r="I21" s="8"/>
      <c r="J21" s="8"/>
      <c r="K21" s="24">
        <f>L21/E21</f>
        <v>5.1407997862000885</v>
      </c>
      <c r="L21" s="25">
        <v>1885121</v>
      </c>
      <c r="O21" s="4">
        <f>$L$21</f>
        <v>1885121</v>
      </c>
      <c r="P21" s="4">
        <f t="shared" ref="P21:Z21" si="2">$L$21</f>
        <v>1885121</v>
      </c>
      <c r="Q21" s="4">
        <f t="shared" si="2"/>
        <v>1885121</v>
      </c>
      <c r="R21" s="4">
        <f t="shared" si="2"/>
        <v>1885121</v>
      </c>
      <c r="S21" s="4">
        <f t="shared" si="2"/>
        <v>1885121</v>
      </c>
      <c r="T21" s="4">
        <f t="shared" si="2"/>
        <v>1885121</v>
      </c>
      <c r="U21" s="4">
        <f t="shared" si="2"/>
        <v>1885121</v>
      </c>
      <c r="V21" s="4">
        <f t="shared" si="2"/>
        <v>1885121</v>
      </c>
      <c r="W21" s="4">
        <f t="shared" si="2"/>
        <v>1885121</v>
      </c>
      <c r="X21" s="4">
        <f t="shared" si="2"/>
        <v>1885121</v>
      </c>
      <c r="Z21" s="25">
        <f t="shared" si="2"/>
        <v>1885121</v>
      </c>
    </row>
    <row r="22" spans="2:26" x14ac:dyDescent="0.3">
      <c r="B22" s="22" t="s">
        <v>58</v>
      </c>
      <c r="C22" s="8"/>
      <c r="D22" s="8"/>
      <c r="E22" s="8"/>
      <c r="F22" s="26">
        <v>0.1</v>
      </c>
      <c r="G22" s="8"/>
      <c r="H22" s="8"/>
      <c r="I22" s="8"/>
      <c r="J22" s="8"/>
      <c r="K22" s="8"/>
      <c r="L22" s="25">
        <v>0</v>
      </c>
      <c r="O22" s="4">
        <f t="shared" ref="O22:X22" si="3">$E$21*$F$22*(O6-1)</f>
        <v>0</v>
      </c>
      <c r="P22" s="4">
        <f t="shared" si="3"/>
        <v>36669.800000000003</v>
      </c>
      <c r="Q22" s="4">
        <f t="shared" si="3"/>
        <v>73339.600000000006</v>
      </c>
      <c r="R22" s="4">
        <f t="shared" si="3"/>
        <v>110009.40000000001</v>
      </c>
      <c r="S22" s="4">
        <f t="shared" si="3"/>
        <v>146679.20000000001</v>
      </c>
      <c r="T22" s="4">
        <f t="shared" si="3"/>
        <v>183349</v>
      </c>
      <c r="U22" s="4">
        <f t="shared" si="3"/>
        <v>220018.80000000002</v>
      </c>
      <c r="V22" s="4">
        <f t="shared" si="3"/>
        <v>256688.60000000003</v>
      </c>
      <c r="W22" s="4">
        <f t="shared" si="3"/>
        <v>293358.40000000002</v>
      </c>
      <c r="X22" s="4">
        <f t="shared" si="3"/>
        <v>330028.2</v>
      </c>
      <c r="Z22" s="25">
        <f>$E$21*$F$22*(Z6-1)</f>
        <v>366698</v>
      </c>
    </row>
    <row r="23" spans="2:26" x14ac:dyDescent="0.3">
      <c r="B23" s="22" t="s">
        <v>31</v>
      </c>
      <c r="C23" s="8"/>
      <c r="D23" s="8"/>
      <c r="E23" s="8"/>
      <c r="F23" s="13"/>
      <c r="G23" s="8"/>
      <c r="H23" s="8"/>
      <c r="I23" s="8"/>
      <c r="J23" s="8"/>
      <c r="K23" s="8"/>
      <c r="L23" s="25">
        <v>0</v>
      </c>
      <c r="O23" s="4">
        <f>$L$23</f>
        <v>0</v>
      </c>
      <c r="P23" s="4">
        <f t="shared" ref="P23:Z23" si="4">$L$23</f>
        <v>0</v>
      </c>
      <c r="Q23" s="4">
        <f t="shared" si="4"/>
        <v>0</v>
      </c>
      <c r="R23" s="4">
        <f t="shared" si="4"/>
        <v>0</v>
      </c>
      <c r="S23" s="4">
        <f t="shared" si="4"/>
        <v>0</v>
      </c>
      <c r="T23" s="4">
        <f t="shared" si="4"/>
        <v>0</v>
      </c>
      <c r="U23" s="4">
        <f t="shared" si="4"/>
        <v>0</v>
      </c>
      <c r="V23" s="4">
        <f t="shared" si="4"/>
        <v>0</v>
      </c>
      <c r="W23" s="4">
        <f t="shared" si="4"/>
        <v>0</v>
      </c>
      <c r="X23" s="4">
        <f t="shared" si="4"/>
        <v>0</v>
      </c>
      <c r="Z23" s="25">
        <f t="shared" si="4"/>
        <v>0</v>
      </c>
    </row>
    <row r="24" spans="2:26" ht="16.2" x14ac:dyDescent="0.45">
      <c r="B24" s="22" t="s">
        <v>32</v>
      </c>
      <c r="C24" s="8"/>
      <c r="D24" s="8"/>
      <c r="E24" s="8"/>
      <c r="F24" s="13"/>
      <c r="G24" s="8"/>
      <c r="H24" s="8"/>
      <c r="I24" s="8"/>
      <c r="J24" s="8"/>
      <c r="K24" s="8"/>
      <c r="L24" s="27">
        <v>0</v>
      </c>
      <c r="O24" s="5">
        <f>$L$24</f>
        <v>0</v>
      </c>
      <c r="P24" s="5">
        <f t="shared" ref="P24:Z24" si="5">$L$24</f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si="5"/>
        <v>0</v>
      </c>
      <c r="U24" s="5">
        <f t="shared" si="5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/>
      <c r="Z24" s="29">
        <f t="shared" si="5"/>
        <v>0</v>
      </c>
    </row>
    <row r="25" spans="2:26" x14ac:dyDescent="0.3">
      <c r="B25" s="8" t="s">
        <v>33</v>
      </c>
      <c r="C25" s="8"/>
      <c r="D25" s="8"/>
      <c r="E25" s="8"/>
      <c r="F25" s="13"/>
      <c r="G25" s="8"/>
      <c r="H25" s="8"/>
      <c r="I25" s="8"/>
      <c r="J25" s="8"/>
      <c r="K25" s="8"/>
      <c r="L25" s="28">
        <f>SUM(L21:L24)</f>
        <v>1885121</v>
      </c>
      <c r="O25" s="4">
        <f>SUM(O21:O24)</f>
        <v>1885121</v>
      </c>
      <c r="P25" s="4">
        <f t="shared" ref="P25:Z25" si="6">SUM(P21:P24)</f>
        <v>1921790.8</v>
      </c>
      <c r="Q25" s="4">
        <f t="shared" si="6"/>
        <v>1958460.6</v>
      </c>
      <c r="R25" s="4">
        <f t="shared" si="6"/>
        <v>1995130.4</v>
      </c>
      <c r="S25" s="4">
        <f t="shared" si="6"/>
        <v>2031800.2</v>
      </c>
      <c r="T25" s="4">
        <f t="shared" si="6"/>
        <v>2068470</v>
      </c>
      <c r="U25" s="4">
        <f t="shared" si="6"/>
        <v>2105139.7999999998</v>
      </c>
      <c r="V25" s="4">
        <f t="shared" si="6"/>
        <v>2141809.6</v>
      </c>
      <c r="W25" s="4">
        <f t="shared" si="6"/>
        <v>2178479.4</v>
      </c>
      <c r="X25" s="4">
        <f t="shared" si="6"/>
        <v>2215149.2000000002</v>
      </c>
      <c r="Z25" s="28">
        <f t="shared" si="6"/>
        <v>2251819</v>
      </c>
    </row>
    <row r="26" spans="2:26" x14ac:dyDescent="0.3">
      <c r="B26" s="8"/>
      <c r="C26" s="8"/>
      <c r="D26" s="8"/>
      <c r="E26" s="8"/>
      <c r="F26" s="13"/>
      <c r="G26" s="8"/>
      <c r="H26" s="8"/>
      <c r="I26" s="8"/>
      <c r="J26" s="8"/>
      <c r="K26" s="8"/>
      <c r="L26" s="28"/>
      <c r="Z26" s="28"/>
    </row>
    <row r="27" spans="2:26" x14ac:dyDescent="0.3">
      <c r="B27" s="8" t="s">
        <v>34</v>
      </c>
      <c r="C27" s="8"/>
      <c r="D27" s="8"/>
      <c r="E27" s="8"/>
      <c r="F27" s="20" t="s">
        <v>63</v>
      </c>
      <c r="G27" s="8"/>
      <c r="H27" s="8"/>
      <c r="I27" s="8"/>
      <c r="J27" s="8"/>
      <c r="K27" s="8"/>
      <c r="L27" s="2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11"/>
    </row>
    <row r="28" spans="2:26" x14ac:dyDescent="0.3">
      <c r="B28" s="22" t="s">
        <v>35</v>
      </c>
      <c r="C28" s="8"/>
      <c r="D28" s="8"/>
      <c r="E28" s="8"/>
      <c r="F28" s="12">
        <v>1</v>
      </c>
      <c r="G28" s="8"/>
      <c r="H28" s="8"/>
      <c r="I28" s="8"/>
      <c r="J28" s="8"/>
      <c r="K28" s="8"/>
      <c r="L28" s="25">
        <v>456325</v>
      </c>
      <c r="O28" s="4">
        <f>IF(O$6=1,$L28,O42*$F28)</f>
        <v>456325</v>
      </c>
      <c r="P28" s="4">
        <f t="shared" ref="P28:X28" si="7">IF(P$6=1,$L28,P42*$F28)</f>
        <v>467540.46</v>
      </c>
      <c r="Q28" s="4">
        <f t="shared" si="7"/>
        <v>476891.26919999998</v>
      </c>
      <c r="R28" s="4">
        <f t="shared" si="7"/>
        <v>486429.09458399995</v>
      </c>
      <c r="S28" s="4">
        <f t="shared" si="7"/>
        <v>496157.67647567997</v>
      </c>
      <c r="T28" s="4">
        <f t="shared" si="7"/>
        <v>506080.83000519359</v>
      </c>
      <c r="U28" s="4">
        <f t="shared" si="7"/>
        <v>516202.4466052975</v>
      </c>
      <c r="V28" s="4">
        <f t="shared" si="7"/>
        <v>526526.49553740339</v>
      </c>
      <c r="W28" s="4">
        <f t="shared" si="7"/>
        <v>537057.0254481514</v>
      </c>
      <c r="X28" s="4">
        <f t="shared" si="7"/>
        <v>547798.16595711454</v>
      </c>
      <c r="Z28" s="25">
        <f t="shared" ref="Z28" si="8">IF(Z$6=1,$L28,Z42*$F28)</f>
        <v>558754.12927625678</v>
      </c>
    </row>
    <row r="29" spans="2:26" x14ac:dyDescent="0.3">
      <c r="B29" s="22" t="s">
        <v>36</v>
      </c>
      <c r="C29" s="8"/>
      <c r="D29" s="8"/>
      <c r="E29" s="8"/>
      <c r="F29" s="12">
        <v>1</v>
      </c>
      <c r="G29" s="8"/>
      <c r="H29" s="8"/>
      <c r="I29" s="8"/>
      <c r="J29" s="8"/>
      <c r="K29" s="8"/>
      <c r="L29" s="25">
        <v>0</v>
      </c>
      <c r="O29" s="4">
        <f t="shared" ref="O29" si="9">IF(O$6=1,$L29,O43*$F29)</f>
        <v>0</v>
      </c>
      <c r="P29" s="4">
        <f t="shared" ref="P29:X29" si="10">IF(P$6=1,$L29,P43*$F29)</f>
        <v>0</v>
      </c>
      <c r="Q29" s="4">
        <f t="shared" si="10"/>
        <v>0</v>
      </c>
      <c r="R29" s="4">
        <f t="shared" si="10"/>
        <v>0</v>
      </c>
      <c r="S29" s="4">
        <f t="shared" si="10"/>
        <v>0</v>
      </c>
      <c r="T29" s="4">
        <f t="shared" si="10"/>
        <v>0</v>
      </c>
      <c r="U29" s="4">
        <f t="shared" si="10"/>
        <v>0</v>
      </c>
      <c r="V29" s="4">
        <f t="shared" si="10"/>
        <v>0</v>
      </c>
      <c r="W29" s="4">
        <f t="shared" si="10"/>
        <v>0</v>
      </c>
      <c r="X29" s="4">
        <f t="shared" si="10"/>
        <v>0</v>
      </c>
      <c r="Z29" s="25">
        <f t="shared" ref="Z29" si="11">IF(Z$6=1,$L29,Z43*$F29)</f>
        <v>0</v>
      </c>
    </row>
    <row r="30" spans="2:26" x14ac:dyDescent="0.3">
      <c r="B30" s="22" t="s">
        <v>37</v>
      </c>
      <c r="C30" s="8"/>
      <c r="D30" s="8"/>
      <c r="E30" s="8"/>
      <c r="F30" s="12">
        <v>1</v>
      </c>
      <c r="G30" s="8"/>
      <c r="H30" s="8"/>
      <c r="I30" s="8"/>
      <c r="J30" s="8"/>
      <c r="K30" s="8"/>
      <c r="L30" s="25">
        <v>91675</v>
      </c>
      <c r="O30" s="4">
        <f>IF(O$6=1,$L30,O45*$F30)</f>
        <v>91675</v>
      </c>
      <c r="P30" s="4">
        <f t="shared" ref="P30:X30" si="12">IF(P$6=1,$L30,P45*$F30)</f>
        <v>93508.5</v>
      </c>
      <c r="Q30" s="4">
        <f t="shared" si="12"/>
        <v>95378.67</v>
      </c>
      <c r="R30" s="4">
        <f t="shared" si="12"/>
        <v>97286.243399999992</v>
      </c>
      <c r="S30" s="4">
        <f t="shared" si="12"/>
        <v>99231.968267999997</v>
      </c>
      <c r="T30" s="4">
        <f t="shared" si="12"/>
        <v>101216.60763336001</v>
      </c>
      <c r="U30" s="4">
        <f t="shared" si="12"/>
        <v>103240.9397860272</v>
      </c>
      <c r="V30" s="4">
        <f t="shared" si="12"/>
        <v>105305.75858174772</v>
      </c>
      <c r="W30" s="4">
        <f t="shared" si="12"/>
        <v>107411.87375338269</v>
      </c>
      <c r="X30" s="4">
        <f t="shared" si="12"/>
        <v>109560.11122845035</v>
      </c>
      <c r="Z30" s="25">
        <f t="shared" ref="Z30" si="13">IF(Z$6=1,$L30,Z45*$F30)</f>
        <v>111751.31345301936</v>
      </c>
    </row>
    <row r="31" spans="2:26" x14ac:dyDescent="0.3">
      <c r="B31" s="22" t="s">
        <v>62</v>
      </c>
      <c r="C31" s="8"/>
      <c r="D31" s="8"/>
      <c r="E31" s="8"/>
      <c r="F31" s="12">
        <v>0</v>
      </c>
      <c r="G31" s="8"/>
      <c r="H31" s="8"/>
      <c r="I31" s="8"/>
      <c r="J31" s="8"/>
      <c r="K31" s="8"/>
      <c r="L31" s="25">
        <v>0</v>
      </c>
      <c r="O31" s="4">
        <f>IF(O$6=1,$L31,O46*$F31)</f>
        <v>0</v>
      </c>
      <c r="P31" s="4">
        <f t="shared" ref="P31:X31" si="14">IF(P$6=1,$L31,P46*$F31)</f>
        <v>0</v>
      </c>
      <c r="Q31" s="4">
        <f t="shared" si="14"/>
        <v>0</v>
      </c>
      <c r="R31" s="4">
        <f t="shared" si="14"/>
        <v>0</v>
      </c>
      <c r="S31" s="4">
        <f t="shared" si="14"/>
        <v>0</v>
      </c>
      <c r="T31" s="4">
        <f t="shared" si="14"/>
        <v>0</v>
      </c>
      <c r="U31" s="4">
        <f t="shared" si="14"/>
        <v>0</v>
      </c>
      <c r="V31" s="4">
        <f t="shared" si="14"/>
        <v>0</v>
      </c>
      <c r="W31" s="4">
        <f t="shared" si="14"/>
        <v>0</v>
      </c>
      <c r="X31" s="4">
        <f t="shared" si="14"/>
        <v>0</v>
      </c>
      <c r="Z31" s="25">
        <f t="shared" ref="Z31" si="15">IF(Z$6=1,$L31,Z46*$F31)</f>
        <v>0</v>
      </c>
    </row>
    <row r="32" spans="2:26" ht="16.2" x14ac:dyDescent="0.45">
      <c r="B32" s="22" t="s">
        <v>38</v>
      </c>
      <c r="C32" s="8"/>
      <c r="D32" s="8"/>
      <c r="E32" s="8"/>
      <c r="F32" s="12">
        <v>1</v>
      </c>
      <c r="G32" s="8"/>
      <c r="H32" s="8"/>
      <c r="I32" s="8"/>
      <c r="J32" s="8"/>
      <c r="K32" s="8"/>
      <c r="L32" s="29">
        <v>307000</v>
      </c>
      <c r="O32" s="5">
        <f>IF(O$6=1,$L32,O44*$F32)</f>
        <v>307000</v>
      </c>
      <c r="P32" s="5">
        <f t="shared" ref="P32:X32" si="16">IF(P$6=1,$L32,P44*$F32)</f>
        <v>316210</v>
      </c>
      <c r="Q32" s="5">
        <f t="shared" si="16"/>
        <v>325696.3</v>
      </c>
      <c r="R32" s="5">
        <f t="shared" si="16"/>
        <v>335467.18900000001</v>
      </c>
      <c r="S32" s="5">
        <f t="shared" si="16"/>
        <v>345531.20466999995</v>
      </c>
      <c r="T32" s="5">
        <f t="shared" si="16"/>
        <v>355897.14081009995</v>
      </c>
      <c r="U32" s="5">
        <f t="shared" si="16"/>
        <v>366574.05503440299</v>
      </c>
      <c r="V32" s="5">
        <f t="shared" si="16"/>
        <v>377571.27668543509</v>
      </c>
      <c r="W32" s="5">
        <f t="shared" si="16"/>
        <v>388898.41498599807</v>
      </c>
      <c r="X32" s="5">
        <f t="shared" si="16"/>
        <v>400565.36743557802</v>
      </c>
      <c r="Y32" s="5"/>
      <c r="Z32" s="29">
        <f t="shared" ref="Z32" si="17">IF(Z$6=1,$L32,Z44*$F32)</f>
        <v>412582.32845864538</v>
      </c>
    </row>
    <row r="33" spans="2:26" x14ac:dyDescent="0.3">
      <c r="B33" s="8" t="s">
        <v>39</v>
      </c>
      <c r="C33" s="8"/>
      <c r="D33" s="8"/>
      <c r="E33" s="8"/>
      <c r="F33" s="13"/>
      <c r="G33" s="8"/>
      <c r="H33" s="8"/>
      <c r="I33" s="8"/>
      <c r="J33" s="8"/>
      <c r="K33" s="8"/>
      <c r="L33" s="28">
        <f>SUM(L28:L32)</f>
        <v>855000</v>
      </c>
      <c r="O33" s="4">
        <f>SUM(O28:O32)</f>
        <v>855000</v>
      </c>
      <c r="P33" s="4">
        <f t="shared" ref="P33:Z33" si="18">SUM(P28:P32)</f>
        <v>877258.96</v>
      </c>
      <c r="Q33" s="4">
        <f t="shared" si="18"/>
        <v>897966.23919999995</v>
      </c>
      <c r="R33" s="4">
        <f t="shared" si="18"/>
        <v>919182.526984</v>
      </c>
      <c r="S33" s="4">
        <f t="shared" si="18"/>
        <v>940920.84941367991</v>
      </c>
      <c r="T33" s="4">
        <f t="shared" si="18"/>
        <v>963194.57844865345</v>
      </c>
      <c r="U33" s="4">
        <f t="shared" si="18"/>
        <v>986017.44142572768</v>
      </c>
      <c r="V33" s="4">
        <f t="shared" si="18"/>
        <v>1009403.5308045862</v>
      </c>
      <c r="W33" s="4">
        <f t="shared" si="18"/>
        <v>1033367.3141875322</v>
      </c>
      <c r="X33" s="4">
        <f t="shared" si="18"/>
        <v>1057923.6446211429</v>
      </c>
      <c r="Z33" s="28">
        <f t="shared" si="18"/>
        <v>1083087.7711879215</v>
      </c>
    </row>
    <row r="34" spans="2:26" x14ac:dyDescent="0.3">
      <c r="B34" s="8"/>
      <c r="C34" s="8"/>
      <c r="D34" s="8"/>
      <c r="E34" s="8"/>
      <c r="F34" s="13"/>
      <c r="G34" s="8"/>
      <c r="H34" s="8"/>
      <c r="I34" s="8"/>
      <c r="J34" s="8"/>
      <c r="K34" s="8"/>
      <c r="L34" s="28"/>
      <c r="Z34" s="28"/>
    </row>
    <row r="35" spans="2:26" x14ac:dyDescent="0.3">
      <c r="B35" s="8" t="s">
        <v>40</v>
      </c>
      <c r="C35" s="8"/>
      <c r="D35" s="8"/>
      <c r="E35" s="8"/>
      <c r="F35" s="13"/>
      <c r="G35" s="8"/>
      <c r="H35" s="8"/>
      <c r="I35" s="8"/>
      <c r="J35" s="8"/>
      <c r="K35" s="8"/>
      <c r="L35" s="28"/>
      <c r="Z35" s="28"/>
    </row>
    <row r="36" spans="2:26" x14ac:dyDescent="0.3">
      <c r="B36" s="22" t="s">
        <v>41</v>
      </c>
      <c r="C36" s="8"/>
      <c r="D36" s="8"/>
      <c r="E36" s="8"/>
      <c r="F36" s="20" t="s">
        <v>64</v>
      </c>
      <c r="G36" s="8"/>
      <c r="H36" s="8"/>
      <c r="I36" s="8"/>
      <c r="J36" s="8"/>
      <c r="K36" s="8"/>
      <c r="L36" s="28">
        <f>+L33+L25</f>
        <v>2740121</v>
      </c>
      <c r="O36" s="4">
        <f>O33+O25</f>
        <v>2740121</v>
      </c>
      <c r="P36" s="4">
        <f t="shared" ref="P36:X36" si="19">P33+P25</f>
        <v>2799049.76</v>
      </c>
      <c r="Q36" s="4">
        <f t="shared" si="19"/>
        <v>2856426.8392000003</v>
      </c>
      <c r="R36" s="4">
        <f t="shared" si="19"/>
        <v>2914312.926984</v>
      </c>
      <c r="S36" s="4">
        <f t="shared" si="19"/>
        <v>2972721.0494136801</v>
      </c>
      <c r="T36" s="4">
        <f t="shared" si="19"/>
        <v>3031664.5784486532</v>
      </c>
      <c r="U36" s="4">
        <f t="shared" si="19"/>
        <v>3091157.2414257275</v>
      </c>
      <c r="V36" s="4">
        <f t="shared" si="19"/>
        <v>3151213.1308045862</v>
      </c>
      <c r="W36" s="4">
        <f t="shared" si="19"/>
        <v>3211846.7141875322</v>
      </c>
      <c r="X36" s="4">
        <f t="shared" si="19"/>
        <v>3273072.8446211433</v>
      </c>
      <c r="Z36" s="28">
        <f t="shared" ref="Z36" si="20">Z33+Z25</f>
        <v>3334906.7711879215</v>
      </c>
    </row>
    <row r="37" spans="2:26" ht="16.2" x14ac:dyDescent="0.45">
      <c r="B37" s="22" t="s">
        <v>42</v>
      </c>
      <c r="C37" s="8"/>
      <c r="D37" s="8"/>
      <c r="E37" s="8"/>
      <c r="F37" s="12">
        <v>0.05</v>
      </c>
      <c r="G37" s="8"/>
      <c r="H37" s="8"/>
      <c r="I37" s="8"/>
      <c r="J37" s="8"/>
      <c r="K37" s="8"/>
      <c r="L37" s="30">
        <f>-F37*L25</f>
        <v>-94256.05</v>
      </c>
      <c r="O37" s="7">
        <f>-$F$37*O25</f>
        <v>-94256.05</v>
      </c>
      <c r="P37" s="7">
        <f t="shared" ref="P37:X37" si="21">-$F$37*P25</f>
        <v>-96089.540000000008</v>
      </c>
      <c r="Q37" s="7">
        <f t="shared" si="21"/>
        <v>-97923.030000000013</v>
      </c>
      <c r="R37" s="7">
        <f t="shared" si="21"/>
        <v>-99756.52</v>
      </c>
      <c r="S37" s="7">
        <f t="shared" si="21"/>
        <v>-101590.01000000001</v>
      </c>
      <c r="T37" s="7">
        <f t="shared" si="21"/>
        <v>-103423.5</v>
      </c>
      <c r="U37" s="7">
        <f t="shared" si="21"/>
        <v>-105256.98999999999</v>
      </c>
      <c r="V37" s="7">
        <f t="shared" si="21"/>
        <v>-107090.48000000001</v>
      </c>
      <c r="W37" s="7">
        <f t="shared" si="21"/>
        <v>-108923.97</v>
      </c>
      <c r="X37" s="7">
        <f t="shared" si="21"/>
        <v>-110757.46000000002</v>
      </c>
      <c r="Y37" s="7"/>
      <c r="Z37" s="37">
        <f>-0.03*Z25</f>
        <v>-67554.569999999992</v>
      </c>
    </row>
    <row r="38" spans="2:26" x14ac:dyDescent="0.3">
      <c r="B38" s="8" t="s">
        <v>43</v>
      </c>
      <c r="C38" s="8"/>
      <c r="D38" s="8"/>
      <c r="E38" s="8"/>
      <c r="F38" s="13"/>
      <c r="G38" s="8"/>
      <c r="H38" s="8"/>
      <c r="I38" s="8"/>
      <c r="J38" s="8"/>
      <c r="K38" s="8"/>
      <c r="L38" s="28">
        <f>SUM(L36:L37)</f>
        <v>2645864.9500000002</v>
      </c>
      <c r="O38" s="4">
        <f>SUM(O36:O37)</f>
        <v>2645864.9500000002</v>
      </c>
      <c r="P38" s="4">
        <f t="shared" ref="P38:Z38" si="22">SUM(P36:P37)</f>
        <v>2702960.2199999997</v>
      </c>
      <c r="Q38" s="4">
        <f t="shared" si="22"/>
        <v>2758503.8092000005</v>
      </c>
      <c r="R38" s="4">
        <f t="shared" si="22"/>
        <v>2814556.406984</v>
      </c>
      <c r="S38" s="4">
        <f t="shared" si="22"/>
        <v>2871131.0394136803</v>
      </c>
      <c r="T38" s="4">
        <f t="shared" si="22"/>
        <v>2928241.0784486532</v>
      </c>
      <c r="U38" s="4">
        <f t="shared" si="22"/>
        <v>2985900.2514257273</v>
      </c>
      <c r="V38" s="4">
        <f t="shared" si="22"/>
        <v>3044122.6508045862</v>
      </c>
      <c r="W38" s="4">
        <f t="shared" si="22"/>
        <v>3102922.744187532</v>
      </c>
      <c r="X38" s="4">
        <f t="shared" si="22"/>
        <v>3162315.3846211433</v>
      </c>
      <c r="Z38" s="28">
        <f t="shared" si="22"/>
        <v>3267352.2011879217</v>
      </c>
    </row>
    <row r="39" spans="2:26" x14ac:dyDescent="0.3">
      <c r="B39" s="8"/>
      <c r="C39" s="8"/>
      <c r="D39" s="8"/>
      <c r="E39" s="8"/>
      <c r="F39" s="13"/>
      <c r="G39" s="8"/>
      <c r="H39" s="8"/>
      <c r="I39" s="8"/>
      <c r="J39" s="8"/>
      <c r="K39" s="8"/>
      <c r="L39" s="28"/>
      <c r="Z39" s="28"/>
    </row>
    <row r="40" spans="2:26" x14ac:dyDescent="0.3">
      <c r="B40" s="8" t="s">
        <v>44</v>
      </c>
      <c r="C40" s="8"/>
      <c r="D40" s="8"/>
      <c r="E40" s="8"/>
      <c r="F40" s="13"/>
      <c r="G40" s="8"/>
      <c r="H40" s="8"/>
      <c r="I40" s="8"/>
      <c r="J40" s="8"/>
      <c r="K40" s="8"/>
      <c r="L40" s="28"/>
      <c r="Z40" s="28"/>
    </row>
    <row r="41" spans="2:26" x14ac:dyDescent="0.3">
      <c r="B41" s="19" t="s">
        <v>45</v>
      </c>
      <c r="C41" s="8"/>
      <c r="D41" s="8"/>
      <c r="E41" s="8"/>
      <c r="F41" s="20" t="s">
        <v>65</v>
      </c>
      <c r="G41" s="8"/>
      <c r="H41" s="8"/>
      <c r="I41" s="8"/>
      <c r="J41" s="8"/>
      <c r="K41" s="8"/>
      <c r="L41" s="2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11"/>
    </row>
    <row r="42" spans="2:26" x14ac:dyDescent="0.3">
      <c r="B42" s="22" t="s">
        <v>46</v>
      </c>
      <c r="C42" s="8"/>
      <c r="D42" s="8"/>
      <c r="E42" s="8"/>
      <c r="F42" s="12">
        <v>0.02</v>
      </c>
      <c r="G42" s="8"/>
      <c r="H42" s="8"/>
      <c r="I42" s="8"/>
      <c r="J42" s="8"/>
      <c r="K42" s="8"/>
      <c r="L42" s="25">
        <v>458373</v>
      </c>
      <c r="O42" s="4">
        <f>$L42*(1+$F42)^(O$6-1)</f>
        <v>458373</v>
      </c>
      <c r="P42" s="4">
        <f t="shared" ref="P42:Z46" si="23">$L42*(1+$F42)^(P$6-1)</f>
        <v>467540.46</v>
      </c>
      <c r="Q42" s="4">
        <f t="shared" si="23"/>
        <v>476891.26919999998</v>
      </c>
      <c r="R42" s="4">
        <f t="shared" si="23"/>
        <v>486429.09458399995</v>
      </c>
      <c r="S42" s="4">
        <f t="shared" si="23"/>
        <v>496157.67647567997</v>
      </c>
      <c r="T42" s="4">
        <f t="shared" si="23"/>
        <v>506080.83000519359</v>
      </c>
      <c r="U42" s="4">
        <f t="shared" si="23"/>
        <v>516202.4466052975</v>
      </c>
      <c r="V42" s="4">
        <f t="shared" si="23"/>
        <v>526526.49553740339</v>
      </c>
      <c r="W42" s="4">
        <f t="shared" si="23"/>
        <v>537057.0254481514</v>
      </c>
      <c r="X42" s="4">
        <f t="shared" si="23"/>
        <v>547798.16595711454</v>
      </c>
      <c r="Z42" s="25">
        <f t="shared" si="23"/>
        <v>558754.12927625678</v>
      </c>
    </row>
    <row r="43" spans="2:26" x14ac:dyDescent="0.3">
      <c r="B43" s="22" t="s">
        <v>47</v>
      </c>
      <c r="C43" s="8"/>
      <c r="D43" s="8"/>
      <c r="E43" s="8"/>
      <c r="F43" s="12">
        <v>0</v>
      </c>
      <c r="G43" s="8"/>
      <c r="H43" s="8"/>
      <c r="I43" s="8"/>
      <c r="J43" s="8"/>
      <c r="K43" s="8"/>
      <c r="L43" s="25">
        <v>0</v>
      </c>
      <c r="O43" s="4">
        <f t="shared" ref="O43:O46" si="24">$L43*(1+$F43)^(O$6-1)</f>
        <v>0</v>
      </c>
      <c r="P43" s="4">
        <f t="shared" si="23"/>
        <v>0</v>
      </c>
      <c r="Q43" s="4">
        <f t="shared" si="23"/>
        <v>0</v>
      </c>
      <c r="R43" s="4">
        <f t="shared" si="23"/>
        <v>0</v>
      </c>
      <c r="S43" s="4">
        <f t="shared" si="23"/>
        <v>0</v>
      </c>
      <c r="T43" s="4">
        <f t="shared" si="23"/>
        <v>0</v>
      </c>
      <c r="U43" s="4">
        <f t="shared" si="23"/>
        <v>0</v>
      </c>
      <c r="V43" s="4">
        <f t="shared" si="23"/>
        <v>0</v>
      </c>
      <c r="W43" s="4">
        <f t="shared" si="23"/>
        <v>0</v>
      </c>
      <c r="X43" s="4">
        <f t="shared" si="23"/>
        <v>0</v>
      </c>
      <c r="Z43" s="25">
        <f t="shared" si="23"/>
        <v>0</v>
      </c>
    </row>
    <row r="44" spans="2:26" x14ac:dyDescent="0.3">
      <c r="B44" s="22" t="s">
        <v>48</v>
      </c>
      <c r="C44" s="8"/>
      <c r="D44" s="8"/>
      <c r="E44" s="8"/>
      <c r="F44" s="12">
        <v>0.03</v>
      </c>
      <c r="G44" s="8"/>
      <c r="H44" s="8"/>
      <c r="I44" s="8"/>
      <c r="J44" s="8"/>
      <c r="K44" s="8"/>
      <c r="L44" s="25">
        <v>307000</v>
      </c>
      <c r="O44" s="4">
        <f t="shared" si="24"/>
        <v>307000</v>
      </c>
      <c r="P44" s="4">
        <f t="shared" si="23"/>
        <v>316210</v>
      </c>
      <c r="Q44" s="4">
        <f t="shared" si="23"/>
        <v>325696.3</v>
      </c>
      <c r="R44" s="4">
        <f t="shared" si="23"/>
        <v>335467.18900000001</v>
      </c>
      <c r="S44" s="4">
        <f t="shared" si="23"/>
        <v>345531.20466999995</v>
      </c>
      <c r="T44" s="4">
        <f t="shared" si="23"/>
        <v>355897.14081009995</v>
      </c>
      <c r="U44" s="4">
        <f t="shared" si="23"/>
        <v>366574.05503440299</v>
      </c>
      <c r="V44" s="4">
        <f t="shared" si="23"/>
        <v>377571.27668543509</v>
      </c>
      <c r="W44" s="4">
        <f t="shared" si="23"/>
        <v>388898.41498599807</v>
      </c>
      <c r="X44" s="4">
        <f t="shared" si="23"/>
        <v>400565.36743557802</v>
      </c>
      <c r="Z44" s="25">
        <f t="shared" si="23"/>
        <v>412582.32845864538</v>
      </c>
    </row>
    <row r="45" spans="2:26" x14ac:dyDescent="0.3">
      <c r="B45" s="22" t="s">
        <v>49</v>
      </c>
      <c r="C45" s="8"/>
      <c r="D45" s="8"/>
      <c r="E45" s="8"/>
      <c r="F45" s="12">
        <v>0.02</v>
      </c>
      <c r="G45" s="8"/>
      <c r="H45" s="8"/>
      <c r="I45" s="8"/>
      <c r="J45" s="8"/>
      <c r="K45" s="8"/>
      <c r="L45" s="25">
        <v>91675</v>
      </c>
      <c r="O45" s="4">
        <f t="shared" si="24"/>
        <v>91675</v>
      </c>
      <c r="P45" s="4">
        <f t="shared" si="23"/>
        <v>93508.5</v>
      </c>
      <c r="Q45" s="4">
        <f t="shared" si="23"/>
        <v>95378.67</v>
      </c>
      <c r="R45" s="4">
        <f t="shared" si="23"/>
        <v>97286.243399999992</v>
      </c>
      <c r="S45" s="4">
        <f t="shared" si="23"/>
        <v>99231.968267999997</v>
      </c>
      <c r="T45" s="4">
        <f t="shared" si="23"/>
        <v>101216.60763336001</v>
      </c>
      <c r="U45" s="4">
        <f t="shared" si="23"/>
        <v>103240.9397860272</v>
      </c>
      <c r="V45" s="4">
        <f t="shared" si="23"/>
        <v>105305.75858174772</v>
      </c>
      <c r="W45" s="4">
        <f t="shared" si="23"/>
        <v>107411.87375338269</v>
      </c>
      <c r="X45" s="4">
        <f t="shared" si="23"/>
        <v>109560.11122845035</v>
      </c>
      <c r="Z45" s="25">
        <f t="shared" si="23"/>
        <v>111751.31345301936</v>
      </c>
    </row>
    <row r="46" spans="2:26" ht="16.2" x14ac:dyDescent="0.45">
      <c r="B46" s="22" t="s">
        <v>50</v>
      </c>
      <c r="C46" s="8"/>
      <c r="D46" s="8"/>
      <c r="E46" s="8"/>
      <c r="F46" s="12">
        <v>1.4999999999999999E-2</v>
      </c>
      <c r="G46" s="8"/>
      <c r="H46" s="8"/>
      <c r="I46" s="8"/>
      <c r="J46" s="8"/>
      <c r="K46" s="8"/>
      <c r="L46" s="29">
        <v>79376</v>
      </c>
      <c r="O46" s="5">
        <f t="shared" si="24"/>
        <v>79376</v>
      </c>
      <c r="P46" s="5">
        <f t="shared" si="23"/>
        <v>80566.64</v>
      </c>
      <c r="Q46" s="5">
        <f t="shared" si="23"/>
        <v>81775.13959999998</v>
      </c>
      <c r="R46" s="5">
        <f t="shared" si="23"/>
        <v>83001.766693999962</v>
      </c>
      <c r="S46" s="5">
        <f t="shared" si="23"/>
        <v>84246.793194409955</v>
      </c>
      <c r="T46" s="5">
        <f t="shared" si="23"/>
        <v>85510.495092326091</v>
      </c>
      <c r="U46" s="5">
        <f t="shared" si="23"/>
        <v>86793.152518710966</v>
      </c>
      <c r="V46" s="5">
        <f t="shared" si="23"/>
        <v>88095.049806491617</v>
      </c>
      <c r="W46" s="5">
        <f t="shared" si="23"/>
        <v>89416.475553588985</v>
      </c>
      <c r="X46" s="5">
        <f t="shared" si="23"/>
        <v>90757.722686892812</v>
      </c>
      <c r="Y46" s="5"/>
      <c r="Z46" s="29">
        <v>0</v>
      </c>
    </row>
    <row r="47" spans="2:26" x14ac:dyDescent="0.3">
      <c r="B47" s="8" t="s">
        <v>51</v>
      </c>
      <c r="C47" s="8"/>
      <c r="D47" s="8"/>
      <c r="E47" s="8"/>
      <c r="F47" s="13"/>
      <c r="G47" s="8"/>
      <c r="H47" s="8"/>
      <c r="I47" s="8"/>
      <c r="J47" s="8"/>
      <c r="K47" s="8"/>
      <c r="L47" s="28">
        <f>SUM(L42:L46)</f>
        <v>936424</v>
      </c>
      <c r="O47" s="4">
        <f>SUM(O42:O46)</f>
        <v>936424</v>
      </c>
      <c r="P47" s="4">
        <f t="shared" ref="P47:Z47" si="25">SUM(P42:P46)</f>
        <v>957825.6</v>
      </c>
      <c r="Q47" s="4">
        <f t="shared" si="25"/>
        <v>979741.37880000006</v>
      </c>
      <c r="R47" s="4">
        <f t="shared" si="25"/>
        <v>1002184.293678</v>
      </c>
      <c r="S47" s="4">
        <f t="shared" si="25"/>
        <v>1025167.6426080898</v>
      </c>
      <c r="T47" s="4">
        <f t="shared" si="25"/>
        <v>1048705.0735409795</v>
      </c>
      <c r="U47" s="4">
        <f t="shared" si="25"/>
        <v>1072810.5939444387</v>
      </c>
      <c r="V47" s="4">
        <f t="shared" si="25"/>
        <v>1097498.5806110778</v>
      </c>
      <c r="W47" s="4">
        <f t="shared" si="25"/>
        <v>1122783.7897411212</v>
      </c>
      <c r="X47" s="4">
        <f t="shared" si="25"/>
        <v>1148681.3673080357</v>
      </c>
      <c r="Z47" s="28">
        <f t="shared" si="25"/>
        <v>1083087.7711879215</v>
      </c>
    </row>
    <row r="48" spans="2:26" x14ac:dyDescent="0.3">
      <c r="B48" s="8"/>
      <c r="C48" s="8"/>
      <c r="D48" s="8"/>
      <c r="E48" s="8"/>
      <c r="F48" s="13"/>
      <c r="G48" s="8"/>
      <c r="H48" s="8"/>
      <c r="I48" s="8"/>
      <c r="J48" s="8"/>
      <c r="K48" s="8"/>
      <c r="L48" s="28"/>
      <c r="Z48" s="28"/>
    </row>
    <row r="49" spans="2:26" x14ac:dyDescent="0.3">
      <c r="B49" s="8" t="s">
        <v>52</v>
      </c>
      <c r="C49" s="8"/>
      <c r="D49" s="8"/>
      <c r="E49" s="8"/>
      <c r="F49" s="13"/>
      <c r="G49" s="8"/>
      <c r="H49" s="8"/>
      <c r="I49" s="8"/>
      <c r="J49" s="8"/>
      <c r="K49" s="8"/>
      <c r="L49" s="28">
        <f>L38-L47</f>
        <v>1709440.9500000002</v>
      </c>
      <c r="O49" s="4">
        <f>+O38-O47</f>
        <v>1709440.9500000002</v>
      </c>
      <c r="P49" s="4">
        <f t="shared" ref="P49:X49" si="26">+P38-P47</f>
        <v>1745134.6199999996</v>
      </c>
      <c r="Q49" s="4">
        <f t="shared" si="26"/>
        <v>1778762.4304000004</v>
      </c>
      <c r="R49" s="4">
        <f t="shared" si="26"/>
        <v>1812372.1133059999</v>
      </c>
      <c r="S49" s="4">
        <f t="shared" si="26"/>
        <v>1845963.3968055905</v>
      </c>
      <c r="T49" s="4">
        <f t="shared" si="26"/>
        <v>1879536.0049076737</v>
      </c>
      <c r="U49" s="4">
        <f t="shared" si="26"/>
        <v>1913089.6574812885</v>
      </c>
      <c r="V49" s="4">
        <f t="shared" si="26"/>
        <v>1946624.0701935084</v>
      </c>
      <c r="W49" s="4">
        <f t="shared" si="26"/>
        <v>1980138.9544464108</v>
      </c>
      <c r="X49" s="4">
        <f t="shared" si="26"/>
        <v>2013634.0173131076</v>
      </c>
      <c r="Z49" s="28">
        <f t="shared" ref="Z49" si="27">+Z38-Z47</f>
        <v>2184264.4300000002</v>
      </c>
    </row>
    <row r="50" spans="2:26" x14ac:dyDescent="0.3">
      <c r="B50" s="8"/>
      <c r="C50" s="8"/>
      <c r="D50" s="8"/>
      <c r="E50" s="8"/>
      <c r="F50" s="20" t="s">
        <v>66</v>
      </c>
      <c r="G50" s="8"/>
      <c r="H50" s="20" t="s">
        <v>6</v>
      </c>
      <c r="I50" s="21" t="s">
        <v>60</v>
      </c>
      <c r="J50" s="20" t="s">
        <v>67</v>
      </c>
      <c r="K50" s="8"/>
      <c r="L50" s="28"/>
    </row>
    <row r="51" spans="2:26" x14ac:dyDescent="0.3">
      <c r="B51" s="22" t="s">
        <v>53</v>
      </c>
      <c r="C51" s="8"/>
      <c r="D51" s="8"/>
      <c r="E51" s="8"/>
      <c r="F51" s="26">
        <v>7</v>
      </c>
      <c r="G51" s="8"/>
      <c r="H51" s="31">
        <f>+E21</f>
        <v>366698</v>
      </c>
      <c r="I51" s="32">
        <v>0.75</v>
      </c>
      <c r="J51" s="33">
        <f>+I51*H51</f>
        <v>275023.5</v>
      </c>
      <c r="K51" s="8"/>
      <c r="L51" s="25">
        <v>0</v>
      </c>
      <c r="O51" s="4">
        <f>(O$6=$F51)*$J51</f>
        <v>0</v>
      </c>
      <c r="P51" s="4">
        <f t="shared" ref="P51:X52" si="28">(P$6=$F51)*$J51</f>
        <v>0</v>
      </c>
      <c r="Q51" s="4">
        <f t="shared" si="28"/>
        <v>0</v>
      </c>
      <c r="R51" s="4">
        <f t="shared" si="28"/>
        <v>0</v>
      </c>
      <c r="S51" s="4">
        <f t="shared" si="28"/>
        <v>0</v>
      </c>
      <c r="T51" s="4">
        <f t="shared" si="28"/>
        <v>0</v>
      </c>
      <c r="U51" s="4">
        <f t="shared" si="28"/>
        <v>275023.5</v>
      </c>
      <c r="V51" s="4">
        <f t="shared" si="28"/>
        <v>0</v>
      </c>
      <c r="W51" s="4">
        <f t="shared" si="28"/>
        <v>0</v>
      </c>
      <c r="X51" s="4">
        <f t="shared" si="28"/>
        <v>0</v>
      </c>
    </row>
    <row r="52" spans="2:26" x14ac:dyDescent="0.3">
      <c r="B52" s="22" t="s">
        <v>54</v>
      </c>
      <c r="C52" s="8"/>
      <c r="D52" s="8"/>
      <c r="E52" s="8"/>
      <c r="F52" s="26">
        <v>7</v>
      </c>
      <c r="G52" s="21" t="s">
        <v>61</v>
      </c>
      <c r="H52" s="8"/>
      <c r="I52" s="8"/>
      <c r="J52" s="23">
        <v>282750</v>
      </c>
      <c r="K52" s="8"/>
      <c r="L52" s="25">
        <v>0</v>
      </c>
      <c r="O52" s="4">
        <f>(O$6=$F52)*$J52</f>
        <v>0</v>
      </c>
      <c r="P52" s="4">
        <f t="shared" si="28"/>
        <v>0</v>
      </c>
      <c r="Q52" s="4">
        <f t="shared" si="28"/>
        <v>0</v>
      </c>
      <c r="R52" s="4">
        <f t="shared" si="28"/>
        <v>0</v>
      </c>
      <c r="S52" s="4">
        <f t="shared" si="28"/>
        <v>0</v>
      </c>
      <c r="T52" s="4">
        <f t="shared" si="28"/>
        <v>0</v>
      </c>
      <c r="U52" s="4">
        <f t="shared" si="28"/>
        <v>282750</v>
      </c>
      <c r="V52" s="4">
        <f t="shared" si="28"/>
        <v>0</v>
      </c>
      <c r="W52" s="4">
        <f t="shared" si="28"/>
        <v>0</v>
      </c>
      <c r="X52" s="4">
        <f t="shared" si="28"/>
        <v>0</v>
      </c>
    </row>
    <row r="53" spans="2:26" ht="16.2" x14ac:dyDescent="0.45">
      <c r="B53" s="22" t="s">
        <v>55</v>
      </c>
      <c r="C53" s="8"/>
      <c r="D53" s="8"/>
      <c r="E53" s="8"/>
      <c r="F53" s="13"/>
      <c r="G53" s="32">
        <v>0.1</v>
      </c>
      <c r="H53" s="8"/>
      <c r="I53" s="8"/>
      <c r="J53" s="8"/>
      <c r="K53" s="8"/>
      <c r="L53" s="34">
        <f>+G53*$H$51</f>
        <v>36669.800000000003</v>
      </c>
      <c r="O53" s="5">
        <f>$L$53</f>
        <v>36669.800000000003</v>
      </c>
      <c r="P53" s="5">
        <f t="shared" ref="P53:X53" si="29">$L$53</f>
        <v>36669.800000000003</v>
      </c>
      <c r="Q53" s="5">
        <f t="shared" si="29"/>
        <v>36669.800000000003</v>
      </c>
      <c r="R53" s="5">
        <f t="shared" si="29"/>
        <v>36669.800000000003</v>
      </c>
      <c r="S53" s="5">
        <f t="shared" si="29"/>
        <v>36669.800000000003</v>
      </c>
      <c r="T53" s="5">
        <f t="shared" si="29"/>
        <v>36669.800000000003</v>
      </c>
      <c r="U53" s="5">
        <f t="shared" si="29"/>
        <v>36669.800000000003</v>
      </c>
      <c r="V53" s="5">
        <f t="shared" si="29"/>
        <v>36669.800000000003</v>
      </c>
      <c r="W53" s="5">
        <f t="shared" si="29"/>
        <v>36669.800000000003</v>
      </c>
      <c r="X53" s="5">
        <f t="shared" si="29"/>
        <v>36669.800000000003</v>
      </c>
      <c r="Y53" s="5"/>
      <c r="Z53" s="5"/>
    </row>
    <row r="54" spans="2:26" x14ac:dyDescent="0.3">
      <c r="B54" s="8" t="s">
        <v>56</v>
      </c>
      <c r="C54" s="8"/>
      <c r="D54" s="8"/>
      <c r="E54" s="8"/>
      <c r="F54" s="13"/>
      <c r="G54" s="8"/>
      <c r="H54" s="8"/>
      <c r="I54" s="8"/>
      <c r="J54" s="8"/>
      <c r="K54" s="8"/>
      <c r="L54" s="28">
        <f>SUM(L51:L53)</f>
        <v>36669.800000000003</v>
      </c>
      <c r="O54" s="4">
        <f>SUM(O51:O53)</f>
        <v>36669.800000000003</v>
      </c>
      <c r="P54" s="4">
        <f t="shared" ref="P54:X54" si="30">SUM(P51:P53)</f>
        <v>36669.800000000003</v>
      </c>
      <c r="Q54" s="4">
        <f t="shared" si="30"/>
        <v>36669.800000000003</v>
      </c>
      <c r="R54" s="4">
        <f t="shared" si="30"/>
        <v>36669.800000000003</v>
      </c>
      <c r="S54" s="4">
        <f t="shared" si="30"/>
        <v>36669.800000000003</v>
      </c>
      <c r="T54" s="4">
        <f t="shared" si="30"/>
        <v>36669.800000000003</v>
      </c>
      <c r="U54" s="4">
        <f t="shared" si="30"/>
        <v>594443.30000000005</v>
      </c>
      <c r="V54" s="4">
        <f t="shared" si="30"/>
        <v>36669.800000000003</v>
      </c>
      <c r="W54" s="4">
        <f t="shared" si="30"/>
        <v>36669.800000000003</v>
      </c>
      <c r="X54" s="4">
        <f t="shared" si="30"/>
        <v>36669.800000000003</v>
      </c>
    </row>
    <row r="55" spans="2:26" x14ac:dyDescent="0.3">
      <c r="B55" s="8"/>
      <c r="C55" s="8"/>
      <c r="D55" s="8"/>
      <c r="E55" s="8"/>
      <c r="F55" s="13"/>
      <c r="G55" s="8"/>
      <c r="H55" s="8"/>
      <c r="I55" s="8"/>
      <c r="J55" s="8"/>
      <c r="K55" s="8"/>
      <c r="L55" s="28"/>
    </row>
    <row r="56" spans="2:26" x14ac:dyDescent="0.3">
      <c r="B56" s="8" t="s">
        <v>57</v>
      </c>
      <c r="C56" s="8"/>
      <c r="D56" s="8"/>
      <c r="E56" s="8"/>
      <c r="F56" s="13"/>
      <c r="G56" s="8"/>
      <c r="H56" s="8"/>
      <c r="I56" s="8"/>
      <c r="J56" s="8"/>
      <c r="K56" s="8"/>
      <c r="L56" s="28">
        <f>L49-L54</f>
        <v>1672771.1500000001</v>
      </c>
      <c r="O56" s="4">
        <f>O49-O54</f>
        <v>1672771.1500000001</v>
      </c>
      <c r="P56" s="4">
        <f t="shared" ref="P56:X56" si="31">P49-P54</f>
        <v>1708464.8199999996</v>
      </c>
      <c r="Q56" s="4">
        <f t="shared" si="31"/>
        <v>1742092.6304000004</v>
      </c>
      <c r="R56" s="4">
        <f t="shared" si="31"/>
        <v>1775702.3133059999</v>
      </c>
      <c r="S56" s="4">
        <f t="shared" si="31"/>
        <v>1809293.5968055904</v>
      </c>
      <c r="T56" s="4">
        <f t="shared" si="31"/>
        <v>1842866.2049076736</v>
      </c>
      <c r="U56" s="4">
        <f t="shared" si="31"/>
        <v>1318646.3574812885</v>
      </c>
      <c r="V56" s="4">
        <f t="shared" si="31"/>
        <v>1909954.2701935084</v>
      </c>
      <c r="W56" s="4">
        <f t="shared" si="31"/>
        <v>1943469.1544464107</v>
      </c>
      <c r="X56" s="4">
        <f t="shared" si="31"/>
        <v>1976964.2173131076</v>
      </c>
    </row>
    <row r="57" spans="2:26" x14ac:dyDescent="0.3">
      <c r="B57" s="8"/>
      <c r="C57" s="8"/>
      <c r="D57" s="8"/>
      <c r="E57" s="8"/>
      <c r="F57" s="13"/>
      <c r="G57" s="8"/>
      <c r="H57" s="8"/>
      <c r="I57" s="8"/>
      <c r="J57" s="8"/>
      <c r="K57" s="8"/>
      <c r="L57" s="13"/>
    </row>
    <row r="58" spans="2:26" x14ac:dyDescent="0.3">
      <c r="B58" s="67" t="s">
        <v>68</v>
      </c>
      <c r="C58" s="67"/>
      <c r="D58" s="67"/>
      <c r="E58" s="68" t="s">
        <v>25</v>
      </c>
      <c r="F58" s="68" t="s">
        <v>71</v>
      </c>
      <c r="G58" s="67"/>
      <c r="H58" s="67" t="s">
        <v>23</v>
      </c>
      <c r="I58" s="67"/>
      <c r="J58" s="67"/>
      <c r="K58" s="67"/>
      <c r="L58" s="68"/>
    </row>
    <row r="59" spans="2:26" x14ac:dyDescent="0.3">
      <c r="B59" s="22" t="s">
        <v>69</v>
      </c>
      <c r="C59" s="8"/>
      <c r="D59" s="8"/>
      <c r="E59" s="31">
        <f>Z49</f>
        <v>2184264.4300000002</v>
      </c>
      <c r="F59" s="12">
        <v>6.25E-2</v>
      </c>
      <c r="G59" s="8"/>
      <c r="H59" s="8"/>
      <c r="I59" s="8"/>
      <c r="J59" s="8"/>
      <c r="K59" s="8"/>
      <c r="L59" s="28">
        <f>E59/F59</f>
        <v>34948230.880000003</v>
      </c>
      <c r="O59" s="4">
        <f>(O$6=10)*$L59</f>
        <v>0</v>
      </c>
      <c r="P59" s="4">
        <f t="shared" ref="P59:Z60" si="32">(P$6=10)*$L59</f>
        <v>0</v>
      </c>
      <c r="Q59" s="4">
        <f t="shared" si="32"/>
        <v>0</v>
      </c>
      <c r="R59" s="4">
        <f t="shared" si="32"/>
        <v>0</v>
      </c>
      <c r="S59" s="4">
        <f t="shared" si="32"/>
        <v>0</v>
      </c>
      <c r="T59" s="4">
        <f t="shared" si="32"/>
        <v>0</v>
      </c>
      <c r="U59" s="4">
        <f t="shared" si="32"/>
        <v>0</v>
      </c>
      <c r="V59" s="4">
        <f t="shared" si="32"/>
        <v>0</v>
      </c>
      <c r="W59" s="4">
        <f t="shared" si="32"/>
        <v>0</v>
      </c>
      <c r="X59" s="4">
        <f t="shared" si="32"/>
        <v>34948230.880000003</v>
      </c>
      <c r="Z59" s="4">
        <f t="shared" si="32"/>
        <v>0</v>
      </c>
    </row>
    <row r="60" spans="2:26" ht="16.2" x14ac:dyDescent="0.45">
      <c r="B60" s="22" t="s">
        <v>23</v>
      </c>
      <c r="C60" s="8"/>
      <c r="D60" s="8"/>
      <c r="E60" s="8"/>
      <c r="F60" s="13"/>
      <c r="G60" s="8"/>
      <c r="H60" s="35">
        <v>0.03</v>
      </c>
      <c r="I60" s="8"/>
      <c r="J60" s="8"/>
      <c r="K60" s="8"/>
      <c r="L60" s="36">
        <f>-H60*L59</f>
        <v>-1048446.9264</v>
      </c>
      <c r="O60" s="5">
        <f>(O$6=10)*$L60</f>
        <v>0</v>
      </c>
      <c r="P60" s="5">
        <f t="shared" si="32"/>
        <v>0</v>
      </c>
      <c r="Q60" s="5">
        <f t="shared" si="32"/>
        <v>0</v>
      </c>
      <c r="R60" s="5">
        <f t="shared" si="32"/>
        <v>0</v>
      </c>
      <c r="S60" s="5">
        <f t="shared" si="32"/>
        <v>0</v>
      </c>
      <c r="T60" s="5">
        <f t="shared" si="32"/>
        <v>0</v>
      </c>
      <c r="U60" s="5">
        <f t="shared" si="32"/>
        <v>0</v>
      </c>
      <c r="V60" s="5">
        <f t="shared" si="32"/>
        <v>0</v>
      </c>
      <c r="W60" s="5">
        <f t="shared" si="32"/>
        <v>0</v>
      </c>
      <c r="X60" s="5">
        <f t="shared" si="32"/>
        <v>-1048446.9264</v>
      </c>
      <c r="Y60" s="5"/>
      <c r="Z60" s="5">
        <f t="shared" si="32"/>
        <v>0</v>
      </c>
    </row>
    <row r="61" spans="2:26" x14ac:dyDescent="0.3">
      <c r="B61" s="8" t="s">
        <v>70</v>
      </c>
      <c r="C61" s="8"/>
      <c r="D61" s="8"/>
      <c r="E61" s="8"/>
      <c r="F61" s="13"/>
      <c r="G61" s="8"/>
      <c r="H61" s="8"/>
      <c r="I61" s="8"/>
      <c r="J61" s="8"/>
      <c r="K61" s="8"/>
      <c r="L61" s="28">
        <f>SUM(L59:L60)</f>
        <v>33899783.953600004</v>
      </c>
      <c r="O61" s="4">
        <f>SUM(O59:O60)</f>
        <v>0</v>
      </c>
      <c r="P61" s="4">
        <f t="shared" ref="P61:Z61" si="33">SUM(P59:P60)</f>
        <v>0</v>
      </c>
      <c r="Q61" s="4">
        <f t="shared" si="33"/>
        <v>0</v>
      </c>
      <c r="R61" s="4">
        <f t="shared" si="33"/>
        <v>0</v>
      </c>
      <c r="S61" s="4">
        <f t="shared" si="33"/>
        <v>0</v>
      </c>
      <c r="T61" s="4">
        <f t="shared" si="33"/>
        <v>0</v>
      </c>
      <c r="U61" s="4">
        <f t="shared" si="33"/>
        <v>0</v>
      </c>
      <c r="V61" s="4">
        <f t="shared" si="33"/>
        <v>0</v>
      </c>
      <c r="W61" s="4">
        <f t="shared" si="33"/>
        <v>0</v>
      </c>
      <c r="X61" s="4">
        <f t="shared" si="33"/>
        <v>33899783.953600004</v>
      </c>
      <c r="Z61" s="4">
        <f t="shared" si="33"/>
        <v>0</v>
      </c>
    </row>
    <row r="62" spans="2:26" x14ac:dyDescent="0.3">
      <c r="B62" s="8"/>
      <c r="C62" s="8"/>
      <c r="D62" s="8"/>
      <c r="E62" s="8"/>
      <c r="F62" s="13"/>
      <c r="G62" s="8"/>
      <c r="H62" s="8"/>
      <c r="I62" s="8"/>
      <c r="J62" s="8"/>
      <c r="K62" s="8"/>
      <c r="L62" s="13"/>
    </row>
    <row r="63" spans="2:26" x14ac:dyDescent="0.3">
      <c r="B63" s="67" t="s">
        <v>72</v>
      </c>
      <c r="C63" s="67"/>
      <c r="D63" s="67"/>
      <c r="E63" s="67"/>
      <c r="F63" s="68"/>
      <c r="G63" s="67"/>
      <c r="H63" s="67"/>
      <c r="I63" s="67"/>
      <c r="J63" s="67"/>
      <c r="K63" s="67"/>
      <c r="L63" s="68"/>
    </row>
    <row r="64" spans="2:26" x14ac:dyDescent="0.3">
      <c r="B64" s="8" t="s">
        <v>73</v>
      </c>
      <c r="C64" s="8"/>
      <c r="D64" s="8"/>
      <c r="E64" s="8"/>
      <c r="F64" s="13"/>
      <c r="G64" s="8"/>
      <c r="H64" s="8"/>
      <c r="I64" s="8"/>
      <c r="J64" s="8"/>
      <c r="K64" s="8"/>
      <c r="L64" s="13"/>
      <c r="N64" s="4">
        <f>-N16+N56+N61</f>
        <v>-28837526.434782606</v>
      </c>
      <c r="O64" s="4">
        <f t="shared" ref="O64:X64" si="34">-O16+O56+O61</f>
        <v>1672771.1500000001</v>
      </c>
      <c r="P64" s="4">
        <f t="shared" si="34"/>
        <v>1708464.8199999996</v>
      </c>
      <c r="Q64" s="4">
        <f t="shared" si="34"/>
        <v>1742092.6304000004</v>
      </c>
      <c r="R64" s="4">
        <f t="shared" si="34"/>
        <v>1775702.3133059999</v>
      </c>
      <c r="S64" s="4">
        <f t="shared" si="34"/>
        <v>1809293.5968055904</v>
      </c>
      <c r="T64" s="4">
        <f t="shared" si="34"/>
        <v>1842866.2049076736</v>
      </c>
      <c r="U64" s="4">
        <f t="shared" si="34"/>
        <v>1318646.3574812885</v>
      </c>
      <c r="V64" s="4">
        <f t="shared" si="34"/>
        <v>1909954.2701935084</v>
      </c>
      <c r="W64" s="4">
        <f t="shared" si="34"/>
        <v>1943469.1544464107</v>
      </c>
      <c r="X64" s="4">
        <f t="shared" si="34"/>
        <v>35876748.170913115</v>
      </c>
    </row>
    <row r="65" spans="2:26" x14ac:dyDescent="0.3">
      <c r="B65" s="8" t="s">
        <v>74</v>
      </c>
      <c r="C65" s="8"/>
      <c r="D65" s="8"/>
      <c r="E65" s="8"/>
      <c r="F65" s="13"/>
      <c r="G65" s="8"/>
      <c r="H65" s="8"/>
      <c r="I65" s="8"/>
      <c r="J65" s="8"/>
      <c r="K65" s="8"/>
      <c r="L65" s="11">
        <f>IRR(N64:X64)</f>
        <v>7.3433150832143523E-2</v>
      </c>
    </row>
    <row r="66" spans="2:26" x14ac:dyDescent="0.3">
      <c r="B66" s="8" t="s">
        <v>76</v>
      </c>
      <c r="C66" s="8"/>
      <c r="D66" s="8"/>
      <c r="E66" s="8"/>
      <c r="F66" s="13"/>
      <c r="G66" s="8"/>
      <c r="H66" s="8"/>
      <c r="I66" s="8"/>
      <c r="J66" s="8"/>
      <c r="K66" s="8"/>
      <c r="L66" s="43">
        <f>SUMIF(N64:X64,"&gt;0")/-SUMIF(N64:X64,"&lt;0")</f>
        <v>1.7893354613874177</v>
      </c>
    </row>
    <row r="67" spans="2:26" x14ac:dyDescent="0.3">
      <c r="B67" s="8" t="s">
        <v>77</v>
      </c>
      <c r="C67" s="8"/>
      <c r="D67" s="8"/>
      <c r="E67" s="8"/>
      <c r="F67" s="13"/>
      <c r="G67" s="8"/>
      <c r="H67" s="8"/>
      <c r="I67" s="8"/>
      <c r="J67" s="8"/>
      <c r="K67" s="8" t="s">
        <v>82</v>
      </c>
      <c r="L67" s="11">
        <f>AVERAGE(O67:X67)</f>
        <v>6.137913650424718E-2</v>
      </c>
      <c r="O67" s="6">
        <f>O56/SUM($N$16:O16)</f>
        <v>5.8006748733565934E-2</v>
      </c>
      <c r="P67" s="6">
        <f>P56/SUM($N$16:P16)</f>
        <v>5.9244499484509237E-2</v>
      </c>
      <c r="Q67" s="6">
        <f>Q56/SUM($N$16:Q16)</f>
        <v>6.0410612343601074E-2</v>
      </c>
      <c r="R67" s="6">
        <f>R56/SUM($N$16:R16)</f>
        <v>6.1576096594894589E-2</v>
      </c>
      <c r="S67" s="6">
        <f>S56/SUM($N$16:S16)</f>
        <v>6.2740942809272879E-2</v>
      </c>
      <c r="T67" s="6">
        <f>T56/SUM($N$16:T16)</f>
        <v>6.3905141416182157E-2</v>
      </c>
      <c r="U67" s="6">
        <f>U56/SUM($N$16:U16)</f>
        <v>4.5726749846713377E-2</v>
      </c>
      <c r="V67" s="6">
        <f>V56/SUM($N$16:V16)</f>
        <v>6.623155680543398E-2</v>
      </c>
      <c r="W67" s="6">
        <f>W56/SUM($N$16:W16)</f>
        <v>6.7393753720231722E-2</v>
      </c>
      <c r="X67" s="6">
        <f>X56/SUM($N$16:X16)</f>
        <v>6.8555263288066784E-2</v>
      </c>
    </row>
    <row r="68" spans="2:26" x14ac:dyDescent="0.3">
      <c r="B68" s="8" t="s">
        <v>78</v>
      </c>
      <c r="C68" s="8"/>
      <c r="D68" s="8"/>
      <c r="E68" s="8"/>
      <c r="F68" s="13"/>
      <c r="G68" s="8"/>
      <c r="H68" s="8"/>
      <c r="I68" s="8"/>
      <c r="J68" s="8"/>
      <c r="K68" s="8"/>
      <c r="L68" s="11">
        <f>L69/10/N16</f>
        <v>7.8933546138741775E-2</v>
      </c>
    </row>
    <row r="69" spans="2:26" x14ac:dyDescent="0.3">
      <c r="B69" s="8" t="s">
        <v>79</v>
      </c>
      <c r="C69" s="8"/>
      <c r="D69" s="8"/>
      <c r="E69" s="8"/>
      <c r="F69" s="13"/>
      <c r="G69" s="8"/>
      <c r="H69" s="8"/>
      <c r="I69" s="8"/>
      <c r="J69" s="8"/>
      <c r="K69" s="8"/>
      <c r="L69" s="28">
        <f>SUM(N64:X64)</f>
        <v>22762482.233670983</v>
      </c>
    </row>
    <row r="70" spans="2:26" x14ac:dyDescent="0.3">
      <c r="B70" s="8" t="s">
        <v>80</v>
      </c>
      <c r="C70" s="8"/>
      <c r="D70" s="8"/>
      <c r="E70" s="8"/>
      <c r="F70" s="13"/>
      <c r="G70" s="8"/>
      <c r="H70" s="8"/>
      <c r="I70" s="8"/>
      <c r="J70" s="8"/>
      <c r="K70" s="8"/>
      <c r="L70" s="11"/>
      <c r="O70" s="45">
        <f>+SUM(O28:O32)/SUM(O42:O46)</f>
        <v>0.91304793555056252</v>
      </c>
      <c r="P70" s="45">
        <f t="shared" ref="P70:Z70" si="35">+SUM(P28:P32)/SUM(P42:P46)</f>
        <v>0.91588589822614885</v>
      </c>
      <c r="Q70" s="45">
        <f t="shared" si="35"/>
        <v>0.91653395337843202</v>
      </c>
      <c r="R70" s="45">
        <f t="shared" si="35"/>
        <v>0.91717913839042031</v>
      </c>
      <c r="S70" s="45">
        <f t="shared" si="35"/>
        <v>0.91782144725122139</v>
      </c>
      <c r="T70" s="45">
        <f t="shared" si="35"/>
        <v>0.91846087403430055</v>
      </c>
      <c r="U70" s="45">
        <f t="shared" si="35"/>
        <v>0.91909741289970326</v>
      </c>
      <c r="V70" s="45">
        <f t="shared" si="35"/>
        <v>0.91973105809627465</v>
      </c>
      <c r="W70" s="45">
        <f t="shared" si="35"/>
        <v>0.9203618039638729</v>
      </c>
      <c r="X70" s="45">
        <f t="shared" si="35"/>
        <v>0.92098964493557867</v>
      </c>
      <c r="Z70" s="45">
        <f t="shared" si="35"/>
        <v>1</v>
      </c>
    </row>
    <row r="71" spans="2:26" x14ac:dyDescent="0.3">
      <c r="B71" s="8" t="s">
        <v>81</v>
      </c>
      <c r="C71" s="8"/>
      <c r="D71" s="8"/>
      <c r="E71" s="8"/>
      <c r="F71" s="13"/>
      <c r="G71" s="8"/>
      <c r="H71" s="8"/>
      <c r="I71" s="8"/>
      <c r="J71" s="8"/>
      <c r="K71" s="8"/>
      <c r="L71" s="13"/>
      <c r="O71" s="63">
        <f>O47/O38</f>
        <v>0.35391980229376407</v>
      </c>
      <c r="P71" s="63">
        <f t="shared" ref="P71:X71" si="36">P47/P38</f>
        <v>0.35436170792036298</v>
      </c>
      <c r="Q71" s="63">
        <f t="shared" si="36"/>
        <v>0.35517129812633352</v>
      </c>
      <c r="R71" s="63">
        <f t="shared" si="36"/>
        <v>0.3560718453505477</v>
      </c>
      <c r="S71" s="63">
        <f t="shared" si="36"/>
        <v>0.35706055506872353</v>
      </c>
      <c r="T71" s="63">
        <f t="shared" si="36"/>
        <v>0.35813481385097257</v>
      </c>
      <c r="U71" s="63">
        <f t="shared" si="36"/>
        <v>0.35929217442283484</v>
      </c>
      <c r="V71" s="63">
        <f t="shared" si="36"/>
        <v>0.36053034207442336</v>
      </c>
      <c r="W71" s="63">
        <f t="shared" si="36"/>
        <v>0.3618471622744544</v>
      </c>
      <c r="X71" s="63">
        <f t="shared" si="36"/>
        <v>0.36324060936308283</v>
      </c>
      <c r="Z71" s="63">
        <f>Z47/Z38</f>
        <v>0.33148791574845826</v>
      </c>
    </row>
    <row r="72" spans="2:26" x14ac:dyDescent="0.3"/>
    <row r="73" spans="2:26" x14ac:dyDescent="0.3">
      <c r="B73" s="65" t="s">
        <v>83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V73" s="45"/>
    </row>
    <row r="74" spans="2:26" x14ac:dyDescent="0.3">
      <c r="C74" s="1"/>
      <c r="D74" s="1"/>
      <c r="E74" s="1"/>
      <c r="G74" s="1"/>
      <c r="H74" s="1"/>
      <c r="I74" s="1"/>
      <c r="J74" s="1"/>
      <c r="K74" s="1"/>
      <c r="M74" s="1"/>
    </row>
    <row r="75" spans="2:26" x14ac:dyDescent="0.3">
      <c r="B75" s="46" t="s">
        <v>84</v>
      </c>
      <c r="C75" s="46">
        <v>0</v>
      </c>
      <c r="D75" s="46">
        <f>C75+1</f>
        <v>1</v>
      </c>
      <c r="E75" s="46">
        <f t="shared" ref="E75:M75" si="37">D75+1</f>
        <v>2</v>
      </c>
      <c r="F75" s="46">
        <f t="shared" si="37"/>
        <v>3</v>
      </c>
      <c r="G75" s="46">
        <f t="shared" si="37"/>
        <v>4</v>
      </c>
      <c r="H75" s="46">
        <f t="shared" si="37"/>
        <v>5</v>
      </c>
      <c r="I75" s="46">
        <f t="shared" si="37"/>
        <v>6</v>
      </c>
      <c r="J75" s="46">
        <f t="shared" si="37"/>
        <v>7</v>
      </c>
      <c r="K75" s="46">
        <f t="shared" si="37"/>
        <v>8</v>
      </c>
      <c r="L75" s="46">
        <f t="shared" si="37"/>
        <v>9</v>
      </c>
      <c r="M75" s="46">
        <f t="shared" si="37"/>
        <v>10</v>
      </c>
    </row>
    <row r="76" spans="2:26" x14ac:dyDescent="0.3">
      <c r="B76" s="1" t="s">
        <v>85</v>
      </c>
      <c r="C76" s="4">
        <f>N64</f>
        <v>-28837526.434782606</v>
      </c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2:26" x14ac:dyDescent="0.3">
      <c r="B77" s="1" t="s">
        <v>86</v>
      </c>
      <c r="C77" s="4"/>
      <c r="D77" s="4">
        <f>O56</f>
        <v>1672771.1500000001</v>
      </c>
      <c r="E77" s="4">
        <f t="shared" ref="E77:M77" si="38">P56</f>
        <v>1708464.8199999996</v>
      </c>
      <c r="F77" s="4">
        <f t="shared" si="38"/>
        <v>1742092.6304000004</v>
      </c>
      <c r="G77" s="4">
        <f t="shared" si="38"/>
        <v>1775702.3133059999</v>
      </c>
      <c r="H77" s="4">
        <f t="shared" si="38"/>
        <v>1809293.5968055904</v>
      </c>
      <c r="I77" s="4">
        <f t="shared" si="38"/>
        <v>1842866.2049076736</v>
      </c>
      <c r="J77" s="4">
        <f t="shared" si="38"/>
        <v>1318646.3574812885</v>
      </c>
      <c r="K77" s="4">
        <f t="shared" si="38"/>
        <v>1909954.2701935084</v>
      </c>
      <c r="L77" s="4">
        <f t="shared" si="38"/>
        <v>1943469.1544464107</v>
      </c>
      <c r="M77" s="4">
        <f t="shared" si="38"/>
        <v>1976964.2173131076</v>
      </c>
    </row>
    <row r="78" spans="2:26" x14ac:dyDescent="0.3">
      <c r="B78" s="46" t="s">
        <v>87</v>
      </c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>
        <f>X61</f>
        <v>33899783.953600004</v>
      </c>
    </row>
    <row r="79" spans="2:26" x14ac:dyDescent="0.3">
      <c r="B79" s="1" t="s">
        <v>88</v>
      </c>
      <c r="C79" s="4">
        <f>SUM(C76:C78)</f>
        <v>-28837526.434782606</v>
      </c>
      <c r="D79" s="4">
        <f t="shared" ref="D79:M79" si="39">SUM(D76:D78)</f>
        <v>1672771.1500000001</v>
      </c>
      <c r="E79" s="4">
        <f t="shared" si="39"/>
        <v>1708464.8199999996</v>
      </c>
      <c r="F79" s="4">
        <f t="shared" si="39"/>
        <v>1742092.6304000004</v>
      </c>
      <c r="G79" s="4">
        <f t="shared" si="39"/>
        <v>1775702.3133059999</v>
      </c>
      <c r="H79" s="4">
        <f t="shared" si="39"/>
        <v>1809293.5968055904</v>
      </c>
      <c r="I79" s="4">
        <f t="shared" si="39"/>
        <v>1842866.2049076736</v>
      </c>
      <c r="J79" s="4">
        <f t="shared" si="39"/>
        <v>1318646.3574812885</v>
      </c>
      <c r="K79" s="4">
        <f t="shared" si="39"/>
        <v>1909954.2701935084</v>
      </c>
      <c r="L79" s="4">
        <f t="shared" si="39"/>
        <v>1943469.1544464107</v>
      </c>
      <c r="M79" s="4">
        <f t="shared" si="39"/>
        <v>35876748.170913115</v>
      </c>
    </row>
    <row r="80" spans="2:26" x14ac:dyDescent="0.3">
      <c r="B80" s="1" t="s">
        <v>89</v>
      </c>
      <c r="C80" s="6">
        <f>IRR(C79:M79)</f>
        <v>7.3433150832143523E-2</v>
      </c>
      <c r="D80" s="1"/>
      <c r="E80" s="1"/>
      <c r="G80" s="1"/>
      <c r="H80" s="1"/>
      <c r="I80" s="1"/>
      <c r="J80" s="1"/>
      <c r="K80" s="1"/>
      <c r="M80" s="1"/>
    </row>
    <row r="81" spans="2:16" x14ac:dyDescent="0.3">
      <c r="B81" s="1" t="s">
        <v>90</v>
      </c>
      <c r="C81" s="48">
        <f>SUM($D$79:$M$79)/-SUM($C$76:$M$76)</f>
        <v>1.7893354613874177</v>
      </c>
      <c r="D81" s="1"/>
      <c r="E81" s="1"/>
      <c r="G81" s="1"/>
      <c r="H81" s="1"/>
      <c r="I81" s="1"/>
      <c r="J81" s="1"/>
      <c r="K81" s="1"/>
      <c r="M81" s="1"/>
    </row>
    <row r="82" spans="2:16" ht="15" thickBot="1" x14ac:dyDescent="0.35">
      <c r="B82" s="49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</row>
    <row r="83" spans="2:16" ht="15" thickTop="1" x14ac:dyDescent="0.3">
      <c r="B83" s="51" t="s">
        <v>91</v>
      </c>
      <c r="C83" s="1"/>
      <c r="D83" s="1"/>
      <c r="E83" s="1"/>
      <c r="G83" s="1"/>
      <c r="H83" s="1"/>
      <c r="I83" s="1"/>
      <c r="J83" s="52" t="s">
        <v>92</v>
      </c>
      <c r="K83" s="1"/>
      <c r="M83" s="1"/>
    </row>
    <row r="84" spans="2:16" x14ac:dyDescent="0.3">
      <c r="B84" s="53" t="s">
        <v>84</v>
      </c>
      <c r="C84" s="53" t="s">
        <v>86</v>
      </c>
      <c r="D84" s="54" t="s">
        <v>93</v>
      </c>
      <c r="E84" s="55" t="s">
        <v>94</v>
      </c>
      <c r="F84" s="54" t="s">
        <v>93</v>
      </c>
      <c r="G84" s="53" t="s">
        <v>95</v>
      </c>
      <c r="H84" s="53" t="s">
        <v>93</v>
      </c>
      <c r="I84" s="53"/>
      <c r="J84" s="53" t="s">
        <v>84</v>
      </c>
      <c r="K84" s="53" t="s">
        <v>86</v>
      </c>
      <c r="L84" s="53" t="s">
        <v>94</v>
      </c>
      <c r="M84" s="55" t="s">
        <v>95</v>
      </c>
    </row>
    <row r="85" spans="2:16" x14ac:dyDescent="0.3">
      <c r="B85" s="1">
        <v>1</v>
      </c>
      <c r="C85" s="4">
        <f ca="1">OFFSET($C$77,,B85,1,1)</f>
        <v>1672771.1500000001</v>
      </c>
      <c r="D85" s="4">
        <f ca="1">-PV($C$80,$B85,,C85)</f>
        <v>1558337.5161305943</v>
      </c>
      <c r="E85" s="4">
        <f ca="1">OFFSET($C$78,,B85,1,1)</f>
        <v>0</v>
      </c>
      <c r="F85" s="4">
        <f ca="1">-PV($C$80,$B85,,E85)</f>
        <v>0</v>
      </c>
      <c r="G85" s="4">
        <f ca="1">C85+E85</f>
        <v>1672771.1500000001</v>
      </c>
      <c r="H85" s="4">
        <f ca="1">SUM(D85+F85)</f>
        <v>1558337.5161305943</v>
      </c>
      <c r="I85" s="1"/>
      <c r="J85" s="1">
        <f>B85</f>
        <v>1</v>
      </c>
      <c r="K85" s="4">
        <f ca="1">C85</f>
        <v>1672771.1500000001</v>
      </c>
      <c r="L85" s="4">
        <f ca="1">E85</f>
        <v>0</v>
      </c>
      <c r="M85" s="57">
        <f ca="1">SUM(K85:L85)</f>
        <v>1672771.1500000001</v>
      </c>
    </row>
    <row r="86" spans="2:16" x14ac:dyDescent="0.3">
      <c r="B86" s="1">
        <f>B85+1</f>
        <v>2</v>
      </c>
      <c r="C86" s="4">
        <f t="shared" ref="C86:C94" ca="1" si="40">OFFSET($C$77,,B86,1,1)</f>
        <v>1708464.8199999996</v>
      </c>
      <c r="D86" s="56">
        <f t="shared" ref="D86:D94" ca="1" si="41">-PV($C$80,$B86,,C86)</f>
        <v>1482709.3746817217</v>
      </c>
      <c r="E86" s="57">
        <f t="shared" ref="E86:E94" ca="1" si="42">OFFSET($C$78,,B86,1,1)</f>
        <v>0</v>
      </c>
      <c r="F86" s="56">
        <f t="shared" ref="F86:F94" ca="1" si="43">-PV($C$80,$B86,,E86)</f>
        <v>0</v>
      </c>
      <c r="G86" s="4">
        <f t="shared" ref="G86:G94" ca="1" si="44">C86+E86</f>
        <v>1708464.8199999996</v>
      </c>
      <c r="H86" s="4">
        <f t="shared" ref="H86:H94" ca="1" si="45">SUM(D86+F86)</f>
        <v>1482709.3746817217</v>
      </c>
      <c r="I86" s="1"/>
      <c r="J86" s="1">
        <f t="shared" ref="J86:K94" si="46">B86</f>
        <v>2</v>
      </c>
      <c r="K86" s="4">
        <f t="shared" ca="1" si="46"/>
        <v>1708464.8199999996</v>
      </c>
      <c r="L86" s="4">
        <f t="shared" ref="L86:L94" ca="1" si="47">E86</f>
        <v>0</v>
      </c>
      <c r="M86" s="57">
        <f t="shared" ref="M86:M94" ca="1" si="48">SUM(K86:L86)</f>
        <v>1708464.8199999996</v>
      </c>
    </row>
    <row r="87" spans="2:16" x14ac:dyDescent="0.3">
      <c r="B87" s="1">
        <f t="shared" ref="B87:B94" si="49">B86+1</f>
        <v>3</v>
      </c>
      <c r="C87" s="4">
        <f t="shared" ca="1" si="40"/>
        <v>1742092.6304000004</v>
      </c>
      <c r="D87" s="56">
        <f t="shared" ca="1" si="41"/>
        <v>1408465.5636133307</v>
      </c>
      <c r="E87" s="57">
        <f t="shared" ca="1" si="42"/>
        <v>0</v>
      </c>
      <c r="F87" s="56">
        <f t="shared" ca="1" si="43"/>
        <v>0</v>
      </c>
      <c r="G87" s="4">
        <f t="shared" ca="1" si="44"/>
        <v>1742092.6304000004</v>
      </c>
      <c r="H87" s="4">
        <f t="shared" ca="1" si="45"/>
        <v>1408465.5636133307</v>
      </c>
      <c r="I87" s="1"/>
      <c r="J87" s="1">
        <f t="shared" si="46"/>
        <v>3</v>
      </c>
      <c r="K87" s="4">
        <f t="shared" ca="1" si="46"/>
        <v>1742092.6304000004</v>
      </c>
      <c r="L87" s="4">
        <f t="shared" ca="1" si="47"/>
        <v>0</v>
      </c>
      <c r="M87" s="57">
        <f t="shared" ca="1" si="48"/>
        <v>1742092.6304000004</v>
      </c>
    </row>
    <row r="88" spans="2:16" x14ac:dyDescent="0.3">
      <c r="B88" s="1">
        <f t="shared" si="49"/>
        <v>4</v>
      </c>
      <c r="C88" s="4">
        <f t="shared" ca="1" si="40"/>
        <v>1775702.3133059999</v>
      </c>
      <c r="D88" s="56">
        <f t="shared" ca="1" si="41"/>
        <v>1337427.1850252831</v>
      </c>
      <c r="E88" s="57">
        <f t="shared" ca="1" si="42"/>
        <v>0</v>
      </c>
      <c r="F88" s="56">
        <f t="shared" ca="1" si="43"/>
        <v>0</v>
      </c>
      <c r="G88" s="4">
        <f t="shared" ca="1" si="44"/>
        <v>1775702.3133059999</v>
      </c>
      <c r="H88" s="4">
        <f t="shared" ca="1" si="45"/>
        <v>1337427.1850252831</v>
      </c>
      <c r="I88" s="1"/>
      <c r="J88" s="1">
        <f t="shared" si="46"/>
        <v>4</v>
      </c>
      <c r="K88" s="4">
        <f t="shared" ca="1" si="46"/>
        <v>1775702.3133059999</v>
      </c>
      <c r="L88" s="4">
        <f t="shared" ca="1" si="47"/>
        <v>0</v>
      </c>
      <c r="M88" s="57">
        <f t="shared" ca="1" si="48"/>
        <v>1775702.3133059999</v>
      </c>
    </row>
    <row r="89" spans="2:16" x14ac:dyDescent="0.3">
      <c r="B89" s="1">
        <f t="shared" si="49"/>
        <v>5</v>
      </c>
      <c r="C89" s="4">
        <f t="shared" ca="1" si="40"/>
        <v>1809293.5968055904</v>
      </c>
      <c r="D89" s="56">
        <f t="shared" ca="1" si="41"/>
        <v>1269503.8691365046</v>
      </c>
      <c r="E89" s="57">
        <f t="shared" ca="1" si="42"/>
        <v>0</v>
      </c>
      <c r="F89" s="56">
        <f t="shared" ca="1" si="43"/>
        <v>0</v>
      </c>
      <c r="G89" s="4">
        <f t="shared" ca="1" si="44"/>
        <v>1809293.5968055904</v>
      </c>
      <c r="H89" s="4">
        <f t="shared" ca="1" si="45"/>
        <v>1269503.8691365046</v>
      </c>
      <c r="I89" s="1"/>
      <c r="J89" s="1">
        <f t="shared" si="46"/>
        <v>5</v>
      </c>
      <c r="K89" s="4">
        <f t="shared" ca="1" si="46"/>
        <v>1809293.5968055904</v>
      </c>
      <c r="L89" s="4">
        <f t="shared" ca="1" si="47"/>
        <v>0</v>
      </c>
      <c r="M89" s="57">
        <f t="shared" ca="1" si="48"/>
        <v>1809293.5968055904</v>
      </c>
    </row>
    <row r="90" spans="2:16" x14ac:dyDescent="0.3">
      <c r="B90" s="1">
        <f t="shared" si="49"/>
        <v>6</v>
      </c>
      <c r="C90" s="4">
        <f t="shared" ca="1" si="40"/>
        <v>1842866.2049076736</v>
      </c>
      <c r="D90" s="56">
        <f t="shared" ca="1" si="41"/>
        <v>1204602.5690063657</v>
      </c>
      <c r="E90" s="57">
        <f t="shared" ca="1" si="42"/>
        <v>0</v>
      </c>
      <c r="F90" s="56">
        <f t="shared" ca="1" si="43"/>
        <v>0</v>
      </c>
      <c r="G90" s="4">
        <f t="shared" ca="1" si="44"/>
        <v>1842866.2049076736</v>
      </c>
      <c r="H90" s="4">
        <f t="shared" ca="1" si="45"/>
        <v>1204602.5690063657</v>
      </c>
      <c r="I90" s="1"/>
      <c r="J90" s="1">
        <f t="shared" si="46"/>
        <v>6</v>
      </c>
      <c r="K90" s="4">
        <f t="shared" ca="1" si="46"/>
        <v>1842866.2049076736</v>
      </c>
      <c r="L90" s="4">
        <f t="shared" ca="1" si="47"/>
        <v>0</v>
      </c>
      <c r="M90" s="57">
        <f t="shared" ca="1" si="48"/>
        <v>1842866.2049076736</v>
      </c>
    </row>
    <row r="91" spans="2:16" x14ac:dyDescent="0.3">
      <c r="B91" s="1">
        <f t="shared" si="49"/>
        <v>7</v>
      </c>
      <c r="C91" s="4">
        <f t="shared" ca="1" si="40"/>
        <v>1318646.3574812885</v>
      </c>
      <c r="D91" s="56">
        <f t="shared" ca="1" si="41"/>
        <v>802977.38709042536</v>
      </c>
      <c r="E91" s="57">
        <f t="shared" ca="1" si="42"/>
        <v>0</v>
      </c>
      <c r="F91" s="56">
        <f t="shared" ca="1" si="43"/>
        <v>0</v>
      </c>
      <c r="G91" s="4">
        <f t="shared" ca="1" si="44"/>
        <v>1318646.3574812885</v>
      </c>
      <c r="H91" s="4">
        <f t="shared" ca="1" si="45"/>
        <v>802977.38709042536</v>
      </c>
      <c r="I91" s="1"/>
      <c r="J91" s="1">
        <f t="shared" si="46"/>
        <v>7</v>
      </c>
      <c r="K91" s="4">
        <f t="shared" ca="1" si="46"/>
        <v>1318646.3574812885</v>
      </c>
      <c r="L91" s="4">
        <f t="shared" ca="1" si="47"/>
        <v>0</v>
      </c>
      <c r="M91" s="57">
        <f t="shared" ca="1" si="48"/>
        <v>1318646.3574812885</v>
      </c>
    </row>
    <row r="92" spans="2:16" x14ac:dyDescent="0.3">
      <c r="B92" s="1">
        <f t="shared" si="49"/>
        <v>8</v>
      </c>
      <c r="C92" s="4">
        <f t="shared" ca="1" si="40"/>
        <v>1909954.2701935084</v>
      </c>
      <c r="D92" s="56">
        <f t="shared" ca="1" si="41"/>
        <v>1083485.0950425223</v>
      </c>
      <c r="E92" s="57">
        <f t="shared" ca="1" si="42"/>
        <v>0</v>
      </c>
      <c r="F92" s="56">
        <f t="shared" ca="1" si="43"/>
        <v>0</v>
      </c>
      <c r="G92" s="4">
        <f t="shared" ca="1" si="44"/>
        <v>1909954.2701935084</v>
      </c>
      <c r="H92" s="4">
        <f t="shared" ca="1" si="45"/>
        <v>1083485.0950425223</v>
      </c>
      <c r="I92" s="1"/>
      <c r="J92" s="1">
        <f t="shared" si="46"/>
        <v>8</v>
      </c>
      <c r="K92" s="4">
        <f t="shared" ca="1" si="46"/>
        <v>1909954.2701935084</v>
      </c>
      <c r="L92" s="4">
        <f t="shared" ca="1" si="47"/>
        <v>0</v>
      </c>
      <c r="M92" s="57">
        <f t="shared" ca="1" si="48"/>
        <v>1909954.2701935084</v>
      </c>
    </row>
    <row r="93" spans="2:16" x14ac:dyDescent="0.3">
      <c r="B93" s="1">
        <f t="shared" si="49"/>
        <v>9</v>
      </c>
      <c r="C93" s="4">
        <f t="shared" ca="1" si="40"/>
        <v>1943469.1544464107</v>
      </c>
      <c r="D93" s="56">
        <f t="shared" ca="1" si="41"/>
        <v>1027076.0942721721</v>
      </c>
      <c r="E93" s="57">
        <f t="shared" ca="1" si="42"/>
        <v>0</v>
      </c>
      <c r="F93" s="56">
        <f t="shared" ca="1" si="43"/>
        <v>0</v>
      </c>
      <c r="G93" s="4">
        <f t="shared" ca="1" si="44"/>
        <v>1943469.1544464107</v>
      </c>
      <c r="H93" s="4">
        <f t="shared" ca="1" si="45"/>
        <v>1027076.0942721721</v>
      </c>
      <c r="I93" s="1"/>
      <c r="J93" s="1">
        <f t="shared" si="46"/>
        <v>9</v>
      </c>
      <c r="K93" s="4">
        <f t="shared" ca="1" si="46"/>
        <v>1943469.1544464107</v>
      </c>
      <c r="L93" s="4">
        <f t="shared" ca="1" si="47"/>
        <v>0</v>
      </c>
      <c r="M93" s="57">
        <f t="shared" ca="1" si="48"/>
        <v>1943469.1544464107</v>
      </c>
    </row>
    <row r="94" spans="2:16" x14ac:dyDescent="0.3">
      <c r="B94" s="46">
        <f t="shared" si="49"/>
        <v>10</v>
      </c>
      <c r="C94" s="47">
        <f t="shared" ca="1" si="40"/>
        <v>1976964.2173131076</v>
      </c>
      <c r="D94" s="58">
        <f t="shared" ca="1" si="41"/>
        <v>973304.59568808915</v>
      </c>
      <c r="E94" s="59">
        <f t="shared" ca="1" si="42"/>
        <v>33899783.953600004</v>
      </c>
      <c r="F94" s="62">
        <f t="shared" ca="1" si="43"/>
        <v>16689637.185095584</v>
      </c>
      <c r="G94" s="47">
        <f t="shared" ca="1" si="44"/>
        <v>35876748.170913115</v>
      </c>
      <c r="H94" s="47">
        <f t="shared" ca="1" si="45"/>
        <v>17662941.780783672</v>
      </c>
      <c r="I94" s="1"/>
      <c r="J94" s="46">
        <f t="shared" si="46"/>
        <v>10</v>
      </c>
      <c r="K94" s="47">
        <f t="shared" ca="1" si="46"/>
        <v>1976964.2173131076</v>
      </c>
      <c r="L94" s="47">
        <f t="shared" ca="1" si="47"/>
        <v>33899783.953600004</v>
      </c>
      <c r="M94" s="59">
        <f t="shared" ca="1" si="48"/>
        <v>35876748.170913115</v>
      </c>
    </row>
    <row r="95" spans="2:16" x14ac:dyDescent="0.3">
      <c r="B95" s="1"/>
      <c r="C95" s="4">
        <f t="shared" ref="C95:H95" ca="1" si="50">SUM(C85:C94)</f>
        <v>17700224.714853577</v>
      </c>
      <c r="D95" s="56">
        <f t="shared" ca="1" si="50"/>
        <v>12147889.24968701</v>
      </c>
      <c r="E95" s="57">
        <f t="shared" ca="1" si="50"/>
        <v>33899783.953600004</v>
      </c>
      <c r="F95" s="56">
        <f t="shared" ca="1" si="50"/>
        <v>16689637.185095584</v>
      </c>
      <c r="G95" s="4">
        <f t="shared" ca="1" si="50"/>
        <v>51600008.668453589</v>
      </c>
      <c r="H95" s="4">
        <f t="shared" ca="1" si="50"/>
        <v>28837526.434782594</v>
      </c>
      <c r="I95" s="1"/>
      <c r="J95" s="1"/>
      <c r="K95" s="4">
        <f ca="1">SUM(K85:K94)</f>
        <v>17700224.714853577</v>
      </c>
      <c r="L95" s="4">
        <f t="shared" ref="L95:M95" ca="1" si="51">SUM(L85:L94)</f>
        <v>33899783.953600004</v>
      </c>
      <c r="M95" s="57">
        <f t="shared" ca="1" si="51"/>
        <v>51600008.668453589</v>
      </c>
    </row>
    <row r="96" spans="2:16" x14ac:dyDescent="0.3">
      <c r="B96" s="1"/>
      <c r="C96" s="1"/>
      <c r="D96" s="60">
        <f ca="1">D95/$H$95</f>
        <v>0.42125281712909829</v>
      </c>
      <c r="E96" s="61"/>
      <c r="F96" s="60">
        <f ca="1">F95/$H$95</f>
        <v>0.57874718287090166</v>
      </c>
      <c r="G96" s="1"/>
      <c r="H96" s="44"/>
      <c r="I96" s="1"/>
      <c r="J96" s="1"/>
      <c r="K96" s="45">
        <f ca="1">K95/$M$95</f>
        <v>0.34302755312665023</v>
      </c>
      <c r="L96" s="45">
        <f ca="1">L95/$M$95</f>
        <v>0.65697244687334955</v>
      </c>
      <c r="M96" s="61"/>
      <c r="P96" s="45"/>
    </row>
    <row r="97" x14ac:dyDescent="0.3"/>
    <row r="98" x14ac:dyDescent="0.3"/>
    <row r="99" x14ac:dyDescent="0.3"/>
    <row r="100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2019-02-02T20:32:21Z</dcterms:created>
  <dcterms:modified xsi:type="dcterms:W3CDTF">2026-10-06T02:47:20Z</dcterms:modified>
</cp:coreProperties>
</file>