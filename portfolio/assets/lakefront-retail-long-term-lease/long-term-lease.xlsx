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5. Modeling Leases\"/>
    </mc:Choice>
  </mc:AlternateContent>
  <xr:revisionPtr revIDLastSave="0" documentId="8_{D76CFF8E-0D45-44E8-8D78-F152F71C9D2B}" xr6:coauthVersionLast="47" xr6:coauthVersionMax="47" xr10:uidLastSave="{00000000-0000-0000-0000-000000000000}"/>
  <bookViews>
    <workbookView xWindow="1176" yWindow="480" windowWidth="21864" windowHeight="10932" xr2:uid="{13EB72CB-4E38-49D7-A23C-7A14ECA4392F}"/>
  </bookViews>
  <sheets>
    <sheet name="Long-Term Leases" sheetId="1" r:id="rId1"/>
    <sheet name="Rent Ro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2" l="1"/>
  <c r="S12" i="2"/>
  <c r="S11" i="2"/>
  <c r="S10" i="2"/>
  <c r="S9" i="2"/>
  <c r="S8" i="2"/>
  <c r="S7" i="2"/>
  <c r="KR12" i="2"/>
  <c r="KR11" i="2"/>
  <c r="KR10" i="2"/>
  <c r="G12" i="1" l="1"/>
  <c r="AJ13" i="2" l="1"/>
  <c r="AJ12" i="2"/>
  <c r="AJ11" i="2"/>
  <c r="AJ10" i="2"/>
  <c r="AJ9" i="2"/>
  <c r="AJ7" i="2"/>
  <c r="AF8" i="2"/>
  <c r="AF9" i="2"/>
  <c r="AF10" i="2"/>
  <c r="AF11" i="2"/>
  <c r="AF12" i="2"/>
  <c r="AF13" i="2"/>
  <c r="AF7" i="2"/>
  <c r="W8" i="2"/>
  <c r="W9" i="2"/>
  <c r="W10" i="2"/>
  <c r="W11" i="2"/>
  <c r="W12" i="2"/>
  <c r="W13" i="2"/>
  <c r="W7" i="2"/>
  <c r="U8" i="2"/>
  <c r="U9" i="2"/>
  <c r="U10" i="2"/>
  <c r="U11" i="2"/>
  <c r="U12" i="2"/>
  <c r="U13" i="2"/>
  <c r="U7" i="2"/>
  <c r="R8" i="2"/>
  <c r="R9" i="2"/>
  <c r="R10" i="2"/>
  <c r="T10" i="2" s="1"/>
  <c r="R11" i="2"/>
  <c r="R12" i="2"/>
  <c r="R13" i="2"/>
  <c r="R7" i="2"/>
  <c r="T7" i="2" s="1"/>
  <c r="I13" i="2"/>
  <c r="KR13" i="2" s="1"/>
  <c r="I12" i="2"/>
  <c r="I11" i="2"/>
  <c r="I10" i="2"/>
  <c r="I9" i="2"/>
  <c r="KR9" i="2" s="1"/>
  <c r="I8" i="2"/>
  <c r="KR8" i="2" s="1"/>
  <c r="I7" i="2"/>
  <c r="KR7" i="2" s="1"/>
  <c r="H8" i="2"/>
  <c r="H9" i="2"/>
  <c r="H10" i="2"/>
  <c r="H11" i="2"/>
  <c r="H12" i="2"/>
  <c r="H13" i="2"/>
  <c r="H7" i="2"/>
  <c r="D6" i="2"/>
  <c r="E19" i="1" s="1"/>
  <c r="PW10" i="2" l="1"/>
  <c r="V13" i="2"/>
  <c r="FN12" i="2"/>
  <c r="V12" i="2"/>
  <c r="FN13" i="2"/>
  <c r="V11" i="2"/>
  <c r="V10" i="2"/>
  <c r="T13" i="2"/>
  <c r="T12" i="2"/>
  <c r="AA10" i="2"/>
  <c r="AG10" i="2"/>
  <c r="AH10" i="2" s="1"/>
  <c r="T11" i="2"/>
  <c r="PW7" i="2"/>
  <c r="AA7" i="2"/>
  <c r="AG7" i="2"/>
  <c r="AH7" i="2" s="1"/>
  <c r="T9" i="2"/>
  <c r="V9" i="2"/>
  <c r="T8" i="2"/>
  <c r="FN8" i="2"/>
  <c r="V8" i="2"/>
  <c r="AJ8" i="2"/>
  <c r="V7" i="2"/>
  <c r="L9" i="2"/>
  <c r="X9" i="2" s="1"/>
  <c r="L11" i="2"/>
  <c r="X11" i="2" s="1"/>
  <c r="L13" i="2"/>
  <c r="X13" i="2" s="1"/>
  <c r="L7" i="2"/>
  <c r="L8" i="2"/>
  <c r="X8" i="2" s="1"/>
  <c r="L12" i="2"/>
  <c r="X12" i="2" s="1"/>
  <c r="L10" i="2"/>
  <c r="X10" i="2" s="1"/>
  <c r="H6" i="2"/>
  <c r="FN7" i="2" l="1"/>
  <c r="AAF7" i="2"/>
  <c r="APR7" i="2"/>
  <c r="FN9" i="2"/>
  <c r="APR10" i="2"/>
  <c r="FN10" i="2"/>
  <c r="PW13" i="2"/>
  <c r="AG13" i="2"/>
  <c r="AH13" i="2" s="1"/>
  <c r="AA13" i="2"/>
  <c r="AAF10" i="2"/>
  <c r="AG12" i="2"/>
  <c r="AH12" i="2" s="1"/>
  <c r="PW12" i="2"/>
  <c r="AA12" i="2"/>
  <c r="PW11" i="2"/>
  <c r="AA11" i="2"/>
  <c r="AG11" i="2"/>
  <c r="AH11" i="2" s="1"/>
  <c r="FN11" i="2"/>
  <c r="AA8" i="2"/>
  <c r="PW8" i="2"/>
  <c r="AG8" i="2"/>
  <c r="AH8" i="2" s="1"/>
  <c r="PW9" i="2"/>
  <c r="AA9" i="2"/>
  <c r="AG9" i="2"/>
  <c r="AH9" i="2" s="1"/>
  <c r="X7" i="2"/>
  <c r="L6" i="2"/>
  <c r="G6" i="2"/>
  <c r="G8" i="1"/>
  <c r="APR11" i="2" l="1"/>
  <c r="AAF11" i="2"/>
  <c r="AAF12" i="2"/>
  <c r="AAF13" i="2"/>
  <c r="APR12" i="2"/>
  <c r="APR13" i="2"/>
  <c r="APR9" i="2"/>
  <c r="AAF9" i="2"/>
  <c r="APR8" i="2"/>
  <c r="F19" i="1"/>
  <c r="G19" i="1" s="1"/>
  <c r="AAF8" i="2"/>
  <c r="APR6" i="2" l="1"/>
  <c r="K19" i="1" s="1"/>
  <c r="AAF6" i="2"/>
  <c r="K9" i="1" s="1"/>
  <c r="G11" i="1" l="1"/>
  <c r="VC5" i="2"/>
  <c r="VD5" i="2" s="1"/>
  <c r="VB4" i="2"/>
  <c r="KR3" i="2"/>
  <c r="PW4" i="2"/>
  <c r="PW3" i="2"/>
  <c r="KR4" i="2"/>
  <c r="PY5" i="2"/>
  <c r="KT5" i="2"/>
  <c r="PX4" i="2"/>
  <c r="KS4" i="2"/>
  <c r="APS5" i="2"/>
  <c r="APR4" i="2"/>
  <c r="AKO5" i="2"/>
  <c r="AKP5" i="2" s="1"/>
  <c r="AKQ5" i="2" s="1"/>
  <c r="AKN4" i="2"/>
  <c r="AFK5" i="2"/>
  <c r="AFL5" i="2" s="1"/>
  <c r="AFL4" i="2" s="1"/>
  <c r="AFJ4" i="2"/>
  <c r="AAG5" i="2"/>
  <c r="AAF4" i="2"/>
  <c r="FO5" i="2"/>
  <c r="FN4" i="2"/>
  <c r="AK5" i="2"/>
  <c r="AJ4" i="2"/>
  <c r="J23" i="1"/>
  <c r="APT5" i="2" l="1"/>
  <c r="APU5" i="2" s="1"/>
  <c r="APS10" i="2"/>
  <c r="APS7" i="2"/>
  <c r="APS9" i="2"/>
  <c r="APS13" i="2"/>
  <c r="APS12" i="2"/>
  <c r="APS11" i="2"/>
  <c r="APS8" i="2"/>
  <c r="AK4" i="2"/>
  <c r="AK13" i="2"/>
  <c r="AK11" i="2"/>
  <c r="AK12" i="2"/>
  <c r="AK10" i="2"/>
  <c r="AK9" i="2"/>
  <c r="AK7" i="2"/>
  <c r="AK8" i="2"/>
  <c r="AAH5" i="2"/>
  <c r="AAH4" i="2" s="1"/>
  <c r="AAG10" i="2"/>
  <c r="AAG7" i="2"/>
  <c r="AAG13" i="2"/>
  <c r="AAG9" i="2"/>
  <c r="AAG12" i="2"/>
  <c r="AAG8" i="2"/>
  <c r="AAG11" i="2"/>
  <c r="FP5" i="2"/>
  <c r="FQ5" i="2" s="1"/>
  <c r="FO13" i="2"/>
  <c r="FO8" i="2"/>
  <c r="FO12" i="2"/>
  <c r="FO9" i="2"/>
  <c r="FO10" i="2"/>
  <c r="FO11" i="2"/>
  <c r="FO7" i="2"/>
  <c r="AAG4" i="2"/>
  <c r="VC4" i="2"/>
  <c r="VE5" i="2"/>
  <c r="VD4" i="2"/>
  <c r="KU5" i="2"/>
  <c r="PY4" i="2"/>
  <c r="PZ5" i="2"/>
  <c r="KT4" i="2"/>
  <c r="AKO4" i="2"/>
  <c r="FO4" i="2"/>
  <c r="AFK4" i="2"/>
  <c r="AL5" i="2"/>
  <c r="APS4" i="2"/>
  <c r="APT4" i="2"/>
  <c r="AKQ4" i="2"/>
  <c r="AKR5" i="2"/>
  <c r="AKP4" i="2"/>
  <c r="AFM5" i="2"/>
  <c r="AAI5" i="2"/>
  <c r="B24" i="1"/>
  <c r="EO23" i="1"/>
  <c r="EO26" i="1" s="1"/>
  <c r="EN23" i="1"/>
  <c r="EN26" i="1" s="1"/>
  <c r="K7" i="1"/>
  <c r="L7" i="1" s="1"/>
  <c r="J6" i="1"/>
  <c r="J5" i="1"/>
  <c r="K5" i="1" s="1"/>
  <c r="FP4" i="2" l="1"/>
  <c r="FQ13" i="2"/>
  <c r="FQ12" i="2"/>
  <c r="FQ8" i="2"/>
  <c r="FQ7" i="2"/>
  <c r="FQ9" i="2"/>
  <c r="FQ11" i="2"/>
  <c r="FQ10" i="2"/>
  <c r="APU7" i="2"/>
  <c r="APU10" i="2"/>
  <c r="APU13" i="2"/>
  <c r="APU11" i="2"/>
  <c r="APU12" i="2"/>
  <c r="APU8" i="2"/>
  <c r="APU9" i="2"/>
  <c r="AL13" i="2"/>
  <c r="AL11" i="2"/>
  <c r="AL12" i="2"/>
  <c r="AL10" i="2"/>
  <c r="AL8" i="2"/>
  <c r="AL7" i="2"/>
  <c r="AL9" i="2"/>
  <c r="AAI7" i="2"/>
  <c r="AAI10" i="2"/>
  <c r="AAI11" i="2"/>
  <c r="AAI12" i="2"/>
  <c r="AAI13" i="2"/>
  <c r="AAI9" i="2"/>
  <c r="AAI8" i="2"/>
  <c r="AAG6" i="2"/>
  <c r="L9" i="1" s="1"/>
  <c r="APS6" i="2"/>
  <c r="L19" i="1" s="1"/>
  <c r="VB3" i="2"/>
  <c r="VC3" i="2" s="1"/>
  <c r="VD3" i="2" s="1"/>
  <c r="PX3" i="2"/>
  <c r="KS3" i="2"/>
  <c r="FP13" i="2"/>
  <c r="FP8" i="2"/>
  <c r="FP12" i="2"/>
  <c r="FP10" i="2"/>
  <c r="FP11" i="2"/>
  <c r="FP9" i="2"/>
  <c r="FP7" i="2"/>
  <c r="AAH7" i="2"/>
  <c r="AAH10" i="2"/>
  <c r="AAH11" i="2"/>
  <c r="AAH13" i="2"/>
  <c r="AAH12" i="2"/>
  <c r="AAH9" i="2"/>
  <c r="AAH8" i="2"/>
  <c r="APT10" i="2"/>
  <c r="APT7" i="2"/>
  <c r="APT11" i="2"/>
  <c r="APT12" i="2"/>
  <c r="APT13" i="2"/>
  <c r="APT9" i="2"/>
  <c r="APT8" i="2"/>
  <c r="VF5" i="2"/>
  <c r="VE4" i="2"/>
  <c r="KV5" i="2"/>
  <c r="KU4" i="2"/>
  <c r="PZ4" i="2"/>
  <c r="QA5" i="2"/>
  <c r="AM5" i="2"/>
  <c r="AL4" i="2"/>
  <c r="L5" i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FN3" i="2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IC3" i="2" s="1"/>
  <c r="ID3" i="2" s="1"/>
  <c r="IE3" i="2" s="1"/>
  <c r="IF3" i="2" s="1"/>
  <c r="IG3" i="2" s="1"/>
  <c r="IH3" i="2" s="1"/>
  <c r="II3" i="2" s="1"/>
  <c r="IJ3" i="2" s="1"/>
  <c r="IK3" i="2" s="1"/>
  <c r="IL3" i="2" s="1"/>
  <c r="IM3" i="2" s="1"/>
  <c r="IN3" i="2" s="1"/>
  <c r="IO3" i="2" s="1"/>
  <c r="IP3" i="2" s="1"/>
  <c r="IQ3" i="2" s="1"/>
  <c r="IR3" i="2" s="1"/>
  <c r="IS3" i="2" s="1"/>
  <c r="IT3" i="2" s="1"/>
  <c r="IU3" i="2" s="1"/>
  <c r="IV3" i="2" s="1"/>
  <c r="IW3" i="2" s="1"/>
  <c r="IX3" i="2" s="1"/>
  <c r="IY3" i="2" s="1"/>
  <c r="IZ3" i="2" s="1"/>
  <c r="JA3" i="2" s="1"/>
  <c r="JB3" i="2" s="1"/>
  <c r="JC3" i="2" s="1"/>
  <c r="JD3" i="2" s="1"/>
  <c r="JE3" i="2" s="1"/>
  <c r="JF3" i="2" s="1"/>
  <c r="JG3" i="2" s="1"/>
  <c r="JH3" i="2" s="1"/>
  <c r="JI3" i="2" s="1"/>
  <c r="JJ3" i="2" s="1"/>
  <c r="JK3" i="2" s="1"/>
  <c r="JL3" i="2" s="1"/>
  <c r="JM3" i="2" s="1"/>
  <c r="JN3" i="2" s="1"/>
  <c r="JO3" i="2" s="1"/>
  <c r="JP3" i="2" s="1"/>
  <c r="JQ3" i="2" s="1"/>
  <c r="JR3" i="2" s="1"/>
  <c r="JS3" i="2" s="1"/>
  <c r="JT3" i="2" s="1"/>
  <c r="JU3" i="2" s="1"/>
  <c r="JV3" i="2" s="1"/>
  <c r="JW3" i="2" s="1"/>
  <c r="JX3" i="2" s="1"/>
  <c r="JY3" i="2" s="1"/>
  <c r="JZ3" i="2" s="1"/>
  <c r="KA3" i="2" s="1"/>
  <c r="KB3" i="2" s="1"/>
  <c r="KC3" i="2" s="1"/>
  <c r="KD3" i="2" s="1"/>
  <c r="KE3" i="2" s="1"/>
  <c r="KF3" i="2" s="1"/>
  <c r="KG3" i="2" s="1"/>
  <c r="KH3" i="2" s="1"/>
  <c r="KI3" i="2" s="1"/>
  <c r="KJ3" i="2" s="1"/>
  <c r="KK3" i="2" s="1"/>
  <c r="KL3" i="2" s="1"/>
  <c r="KM3" i="2" s="1"/>
  <c r="KN3" i="2" s="1"/>
  <c r="KO3" i="2" s="1"/>
  <c r="AFJ3" i="2"/>
  <c r="AFK3" i="2" s="1"/>
  <c r="AFL3" i="2" s="1"/>
  <c r="AFM3" i="2" s="1"/>
  <c r="AFN3" i="2" s="1"/>
  <c r="AFO3" i="2" s="1"/>
  <c r="AFP3" i="2" s="1"/>
  <c r="AFQ3" i="2" s="1"/>
  <c r="AFR3" i="2" s="1"/>
  <c r="AFS3" i="2" s="1"/>
  <c r="AFT3" i="2" s="1"/>
  <c r="AFU3" i="2" s="1"/>
  <c r="AFV3" i="2" s="1"/>
  <c r="AFW3" i="2" s="1"/>
  <c r="AFX3" i="2" s="1"/>
  <c r="AFY3" i="2" s="1"/>
  <c r="AFZ3" i="2" s="1"/>
  <c r="AGA3" i="2" s="1"/>
  <c r="AGB3" i="2" s="1"/>
  <c r="AGC3" i="2" s="1"/>
  <c r="AGD3" i="2" s="1"/>
  <c r="AGE3" i="2" s="1"/>
  <c r="AGF3" i="2" s="1"/>
  <c r="AGG3" i="2" s="1"/>
  <c r="AGH3" i="2" s="1"/>
  <c r="AGI3" i="2" s="1"/>
  <c r="AGJ3" i="2" s="1"/>
  <c r="AGK3" i="2" s="1"/>
  <c r="AGL3" i="2" s="1"/>
  <c r="AGM3" i="2" s="1"/>
  <c r="AGN3" i="2" s="1"/>
  <c r="AGO3" i="2" s="1"/>
  <c r="AGP3" i="2" s="1"/>
  <c r="AGQ3" i="2" s="1"/>
  <c r="AGR3" i="2" s="1"/>
  <c r="AGS3" i="2" s="1"/>
  <c r="AGT3" i="2" s="1"/>
  <c r="AGU3" i="2" s="1"/>
  <c r="AGV3" i="2" s="1"/>
  <c r="AGW3" i="2" s="1"/>
  <c r="AGX3" i="2" s="1"/>
  <c r="AGY3" i="2" s="1"/>
  <c r="AGZ3" i="2" s="1"/>
  <c r="AHA3" i="2" s="1"/>
  <c r="AHB3" i="2" s="1"/>
  <c r="AHC3" i="2" s="1"/>
  <c r="AHD3" i="2" s="1"/>
  <c r="AHE3" i="2" s="1"/>
  <c r="AHF3" i="2" s="1"/>
  <c r="AHG3" i="2" s="1"/>
  <c r="AHH3" i="2" s="1"/>
  <c r="AHI3" i="2" s="1"/>
  <c r="AHJ3" i="2" s="1"/>
  <c r="AHK3" i="2" s="1"/>
  <c r="AHL3" i="2" s="1"/>
  <c r="AHM3" i="2" s="1"/>
  <c r="AHN3" i="2" s="1"/>
  <c r="AHO3" i="2" s="1"/>
  <c r="AHP3" i="2" s="1"/>
  <c r="AHQ3" i="2" s="1"/>
  <c r="AHR3" i="2" s="1"/>
  <c r="AHS3" i="2" s="1"/>
  <c r="AHT3" i="2" s="1"/>
  <c r="AHU3" i="2" s="1"/>
  <c r="AHV3" i="2" s="1"/>
  <c r="AHW3" i="2" s="1"/>
  <c r="AHX3" i="2" s="1"/>
  <c r="AHY3" i="2" s="1"/>
  <c r="AHZ3" i="2" s="1"/>
  <c r="AIA3" i="2" s="1"/>
  <c r="AIB3" i="2" s="1"/>
  <c r="AIC3" i="2" s="1"/>
  <c r="AID3" i="2" s="1"/>
  <c r="AIE3" i="2" s="1"/>
  <c r="AIF3" i="2" s="1"/>
  <c r="AIG3" i="2" s="1"/>
  <c r="AIH3" i="2" s="1"/>
  <c r="AII3" i="2" s="1"/>
  <c r="AIJ3" i="2" s="1"/>
  <c r="AIK3" i="2" s="1"/>
  <c r="AIL3" i="2" s="1"/>
  <c r="AIM3" i="2" s="1"/>
  <c r="AIN3" i="2" s="1"/>
  <c r="AIO3" i="2" s="1"/>
  <c r="AIP3" i="2" s="1"/>
  <c r="AIQ3" i="2" s="1"/>
  <c r="AIR3" i="2" s="1"/>
  <c r="AIS3" i="2" s="1"/>
  <c r="AIT3" i="2" s="1"/>
  <c r="AIU3" i="2" s="1"/>
  <c r="AIV3" i="2" s="1"/>
  <c r="AIW3" i="2" s="1"/>
  <c r="AIX3" i="2" s="1"/>
  <c r="AIY3" i="2" s="1"/>
  <c r="AIZ3" i="2" s="1"/>
  <c r="AJA3" i="2" s="1"/>
  <c r="AJB3" i="2" s="1"/>
  <c r="AJC3" i="2" s="1"/>
  <c r="AJD3" i="2" s="1"/>
  <c r="AJE3" i="2" s="1"/>
  <c r="AJF3" i="2" s="1"/>
  <c r="AJG3" i="2" s="1"/>
  <c r="AJH3" i="2" s="1"/>
  <c r="AJI3" i="2" s="1"/>
  <c r="AJJ3" i="2" s="1"/>
  <c r="AJK3" i="2" s="1"/>
  <c r="AJL3" i="2" s="1"/>
  <c r="AJM3" i="2" s="1"/>
  <c r="AJN3" i="2" s="1"/>
  <c r="AJO3" i="2" s="1"/>
  <c r="AJP3" i="2" s="1"/>
  <c r="AJQ3" i="2" s="1"/>
  <c r="AJR3" i="2" s="1"/>
  <c r="AJS3" i="2" s="1"/>
  <c r="AJT3" i="2" s="1"/>
  <c r="AJU3" i="2" s="1"/>
  <c r="AJV3" i="2" s="1"/>
  <c r="AJW3" i="2" s="1"/>
  <c r="AJX3" i="2" s="1"/>
  <c r="AJY3" i="2" s="1"/>
  <c r="AJZ3" i="2" s="1"/>
  <c r="AKA3" i="2" s="1"/>
  <c r="AKB3" i="2" s="1"/>
  <c r="AKC3" i="2" s="1"/>
  <c r="AKD3" i="2" s="1"/>
  <c r="AKE3" i="2" s="1"/>
  <c r="AKF3" i="2" s="1"/>
  <c r="AKG3" i="2" s="1"/>
  <c r="AKH3" i="2" s="1"/>
  <c r="AKI3" i="2" s="1"/>
  <c r="AKJ3" i="2" s="1"/>
  <c r="AKK3" i="2" s="1"/>
  <c r="APR3" i="2"/>
  <c r="APS3" i="2" s="1"/>
  <c r="APT3" i="2" s="1"/>
  <c r="APU3" i="2" s="1"/>
  <c r="APV3" i="2" s="1"/>
  <c r="APW3" i="2" s="1"/>
  <c r="APX3" i="2" s="1"/>
  <c r="APY3" i="2" s="1"/>
  <c r="APZ3" i="2" s="1"/>
  <c r="AQA3" i="2" s="1"/>
  <c r="AQB3" i="2" s="1"/>
  <c r="AQC3" i="2" s="1"/>
  <c r="AQD3" i="2" s="1"/>
  <c r="AQE3" i="2" s="1"/>
  <c r="AQF3" i="2" s="1"/>
  <c r="AQG3" i="2" s="1"/>
  <c r="AQH3" i="2" s="1"/>
  <c r="AQI3" i="2" s="1"/>
  <c r="AQJ3" i="2" s="1"/>
  <c r="AQK3" i="2" s="1"/>
  <c r="AQL3" i="2" s="1"/>
  <c r="AQM3" i="2" s="1"/>
  <c r="AQN3" i="2" s="1"/>
  <c r="AQO3" i="2" s="1"/>
  <c r="AQP3" i="2" s="1"/>
  <c r="AQQ3" i="2" s="1"/>
  <c r="AQR3" i="2" s="1"/>
  <c r="AQS3" i="2" s="1"/>
  <c r="AQT3" i="2" s="1"/>
  <c r="AQU3" i="2" s="1"/>
  <c r="AQV3" i="2" s="1"/>
  <c r="AQW3" i="2" s="1"/>
  <c r="AQX3" i="2" s="1"/>
  <c r="AQY3" i="2" s="1"/>
  <c r="AQZ3" i="2" s="1"/>
  <c r="ARA3" i="2" s="1"/>
  <c r="ARB3" i="2" s="1"/>
  <c r="ARC3" i="2" s="1"/>
  <c r="ARD3" i="2" s="1"/>
  <c r="ARE3" i="2" s="1"/>
  <c r="ARF3" i="2" s="1"/>
  <c r="ARG3" i="2" s="1"/>
  <c r="ARH3" i="2" s="1"/>
  <c r="ARI3" i="2" s="1"/>
  <c r="ARJ3" i="2" s="1"/>
  <c r="ARK3" i="2" s="1"/>
  <c r="ARL3" i="2" s="1"/>
  <c r="ARM3" i="2" s="1"/>
  <c r="ARN3" i="2" s="1"/>
  <c r="ARO3" i="2" s="1"/>
  <c r="ARP3" i="2" s="1"/>
  <c r="ARQ3" i="2" s="1"/>
  <c r="ARR3" i="2" s="1"/>
  <c r="ARS3" i="2" s="1"/>
  <c r="ART3" i="2" s="1"/>
  <c r="ARU3" i="2" s="1"/>
  <c r="ARV3" i="2" s="1"/>
  <c r="ARW3" i="2" s="1"/>
  <c r="ARX3" i="2" s="1"/>
  <c r="ARY3" i="2" s="1"/>
  <c r="ARZ3" i="2" s="1"/>
  <c r="ASA3" i="2" s="1"/>
  <c r="ASB3" i="2" s="1"/>
  <c r="ASC3" i="2" s="1"/>
  <c r="ASD3" i="2" s="1"/>
  <c r="ASE3" i="2" s="1"/>
  <c r="ASF3" i="2" s="1"/>
  <c r="ASG3" i="2" s="1"/>
  <c r="ASH3" i="2" s="1"/>
  <c r="ASI3" i="2" s="1"/>
  <c r="ASJ3" i="2" s="1"/>
  <c r="ASK3" i="2" s="1"/>
  <c r="ASL3" i="2" s="1"/>
  <c r="ASM3" i="2" s="1"/>
  <c r="ASN3" i="2" s="1"/>
  <c r="ASO3" i="2" s="1"/>
  <c r="ASP3" i="2" s="1"/>
  <c r="ASQ3" i="2" s="1"/>
  <c r="ASR3" i="2" s="1"/>
  <c r="ASS3" i="2" s="1"/>
  <c r="AST3" i="2" s="1"/>
  <c r="ASU3" i="2" s="1"/>
  <c r="ASV3" i="2" s="1"/>
  <c r="ASW3" i="2" s="1"/>
  <c r="ASX3" i="2" s="1"/>
  <c r="ASY3" i="2" s="1"/>
  <c r="ASZ3" i="2" s="1"/>
  <c r="ATA3" i="2" s="1"/>
  <c r="ATB3" i="2" s="1"/>
  <c r="ATC3" i="2" s="1"/>
  <c r="ATD3" i="2" s="1"/>
  <c r="ATE3" i="2" s="1"/>
  <c r="ATF3" i="2" s="1"/>
  <c r="ATG3" i="2" s="1"/>
  <c r="ATH3" i="2" s="1"/>
  <c r="ATI3" i="2" s="1"/>
  <c r="ATJ3" i="2" s="1"/>
  <c r="ATK3" i="2" s="1"/>
  <c r="ATL3" i="2" s="1"/>
  <c r="ATM3" i="2" s="1"/>
  <c r="ATN3" i="2" s="1"/>
  <c r="ATO3" i="2" s="1"/>
  <c r="ATP3" i="2" s="1"/>
  <c r="ATQ3" i="2" s="1"/>
  <c r="ATR3" i="2" s="1"/>
  <c r="ATS3" i="2" s="1"/>
  <c r="ATT3" i="2" s="1"/>
  <c r="ATU3" i="2" s="1"/>
  <c r="ATV3" i="2" s="1"/>
  <c r="ATW3" i="2" s="1"/>
  <c r="ATX3" i="2" s="1"/>
  <c r="ATY3" i="2" s="1"/>
  <c r="ATZ3" i="2" s="1"/>
  <c r="AUA3" i="2" s="1"/>
  <c r="AUB3" i="2" s="1"/>
  <c r="AUC3" i="2" s="1"/>
  <c r="AUD3" i="2" s="1"/>
  <c r="AUE3" i="2" s="1"/>
  <c r="AUF3" i="2" s="1"/>
  <c r="AUG3" i="2" s="1"/>
  <c r="AUH3" i="2" s="1"/>
  <c r="AUI3" i="2" s="1"/>
  <c r="AUJ3" i="2" s="1"/>
  <c r="AUK3" i="2" s="1"/>
  <c r="AUL3" i="2" s="1"/>
  <c r="AUM3" i="2" s="1"/>
  <c r="AUN3" i="2" s="1"/>
  <c r="AUO3" i="2" s="1"/>
  <c r="AUP3" i="2" s="1"/>
  <c r="AUQ3" i="2" s="1"/>
  <c r="AUR3" i="2" s="1"/>
  <c r="AUS3" i="2" s="1"/>
  <c r="AJ3" i="2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AAF3" i="2"/>
  <c r="AAG3" i="2" s="1"/>
  <c r="AAH3" i="2" s="1"/>
  <c r="AAI3" i="2" s="1"/>
  <c r="AAJ3" i="2" s="1"/>
  <c r="AAK3" i="2" s="1"/>
  <c r="AAL3" i="2" s="1"/>
  <c r="AAM3" i="2" s="1"/>
  <c r="AAN3" i="2" s="1"/>
  <c r="AAO3" i="2" s="1"/>
  <c r="AAP3" i="2" s="1"/>
  <c r="AAQ3" i="2" s="1"/>
  <c r="AAR3" i="2" s="1"/>
  <c r="AAS3" i="2" s="1"/>
  <c r="AAT3" i="2" s="1"/>
  <c r="AAU3" i="2" s="1"/>
  <c r="AAV3" i="2" s="1"/>
  <c r="AAW3" i="2" s="1"/>
  <c r="AAX3" i="2" s="1"/>
  <c r="AAY3" i="2" s="1"/>
  <c r="AAZ3" i="2" s="1"/>
  <c r="ABA3" i="2" s="1"/>
  <c r="ABB3" i="2" s="1"/>
  <c r="ABC3" i="2" s="1"/>
  <c r="ABD3" i="2" s="1"/>
  <c r="ABE3" i="2" s="1"/>
  <c r="ABF3" i="2" s="1"/>
  <c r="ABG3" i="2" s="1"/>
  <c r="ABH3" i="2" s="1"/>
  <c r="ABI3" i="2" s="1"/>
  <c r="ABJ3" i="2" s="1"/>
  <c r="ABK3" i="2" s="1"/>
  <c r="ABL3" i="2" s="1"/>
  <c r="ABM3" i="2" s="1"/>
  <c r="ABN3" i="2" s="1"/>
  <c r="ABO3" i="2" s="1"/>
  <c r="ABP3" i="2" s="1"/>
  <c r="ABQ3" i="2" s="1"/>
  <c r="ABR3" i="2" s="1"/>
  <c r="ABS3" i="2" s="1"/>
  <c r="ABT3" i="2" s="1"/>
  <c r="ABU3" i="2" s="1"/>
  <c r="ABV3" i="2" s="1"/>
  <c r="ABW3" i="2" s="1"/>
  <c r="ABX3" i="2" s="1"/>
  <c r="ABY3" i="2" s="1"/>
  <c r="ABZ3" i="2" s="1"/>
  <c r="ACA3" i="2" s="1"/>
  <c r="ACB3" i="2" s="1"/>
  <c r="ACC3" i="2" s="1"/>
  <c r="ACD3" i="2" s="1"/>
  <c r="ACE3" i="2" s="1"/>
  <c r="ACF3" i="2" s="1"/>
  <c r="ACG3" i="2" s="1"/>
  <c r="ACH3" i="2" s="1"/>
  <c r="ACI3" i="2" s="1"/>
  <c r="ACJ3" i="2" s="1"/>
  <c r="ACK3" i="2" s="1"/>
  <c r="ACL3" i="2" s="1"/>
  <c r="ACM3" i="2" s="1"/>
  <c r="ACN3" i="2" s="1"/>
  <c r="ACO3" i="2" s="1"/>
  <c r="ACP3" i="2" s="1"/>
  <c r="ACQ3" i="2" s="1"/>
  <c r="ACR3" i="2" s="1"/>
  <c r="ACS3" i="2" s="1"/>
  <c r="ACT3" i="2" s="1"/>
  <c r="ACU3" i="2" s="1"/>
  <c r="ACV3" i="2" s="1"/>
  <c r="ACW3" i="2" s="1"/>
  <c r="ACX3" i="2" s="1"/>
  <c r="ACY3" i="2" s="1"/>
  <c r="ACZ3" i="2" s="1"/>
  <c r="ADA3" i="2" s="1"/>
  <c r="ADB3" i="2" s="1"/>
  <c r="ADC3" i="2" s="1"/>
  <c r="ADD3" i="2" s="1"/>
  <c r="ADE3" i="2" s="1"/>
  <c r="ADF3" i="2" s="1"/>
  <c r="ADG3" i="2" s="1"/>
  <c r="ADH3" i="2" s="1"/>
  <c r="ADI3" i="2" s="1"/>
  <c r="ADJ3" i="2" s="1"/>
  <c r="ADK3" i="2" s="1"/>
  <c r="ADL3" i="2" s="1"/>
  <c r="ADM3" i="2" s="1"/>
  <c r="ADN3" i="2" s="1"/>
  <c r="ADO3" i="2" s="1"/>
  <c r="ADP3" i="2" s="1"/>
  <c r="ADQ3" i="2" s="1"/>
  <c r="ADR3" i="2" s="1"/>
  <c r="ADS3" i="2" s="1"/>
  <c r="ADT3" i="2" s="1"/>
  <c r="ADU3" i="2" s="1"/>
  <c r="ADV3" i="2" s="1"/>
  <c r="ADW3" i="2" s="1"/>
  <c r="ADX3" i="2" s="1"/>
  <c r="ADY3" i="2" s="1"/>
  <c r="ADZ3" i="2" s="1"/>
  <c r="AEA3" i="2" s="1"/>
  <c r="AEB3" i="2" s="1"/>
  <c r="AEC3" i="2" s="1"/>
  <c r="AED3" i="2" s="1"/>
  <c r="AEE3" i="2" s="1"/>
  <c r="AEF3" i="2" s="1"/>
  <c r="AEG3" i="2" s="1"/>
  <c r="AEH3" i="2" s="1"/>
  <c r="AEI3" i="2" s="1"/>
  <c r="AEJ3" i="2" s="1"/>
  <c r="AEK3" i="2" s="1"/>
  <c r="AEL3" i="2" s="1"/>
  <c r="AEM3" i="2" s="1"/>
  <c r="AEN3" i="2" s="1"/>
  <c r="AEO3" i="2" s="1"/>
  <c r="AEP3" i="2" s="1"/>
  <c r="AEQ3" i="2" s="1"/>
  <c r="AER3" i="2" s="1"/>
  <c r="AES3" i="2" s="1"/>
  <c r="AET3" i="2" s="1"/>
  <c r="AEU3" i="2" s="1"/>
  <c r="AEV3" i="2" s="1"/>
  <c r="AEW3" i="2" s="1"/>
  <c r="AEX3" i="2" s="1"/>
  <c r="AEY3" i="2" s="1"/>
  <c r="AEZ3" i="2" s="1"/>
  <c r="AFA3" i="2" s="1"/>
  <c r="AFB3" i="2" s="1"/>
  <c r="AFC3" i="2" s="1"/>
  <c r="AFD3" i="2" s="1"/>
  <c r="AFE3" i="2" s="1"/>
  <c r="AFF3" i="2" s="1"/>
  <c r="AFG3" i="2" s="1"/>
  <c r="AKN3" i="2"/>
  <c r="AKO3" i="2" s="1"/>
  <c r="AKP3" i="2" s="1"/>
  <c r="AKQ3" i="2" s="1"/>
  <c r="AKR3" i="2" s="1"/>
  <c r="AKS3" i="2" s="1"/>
  <c r="AKT3" i="2" s="1"/>
  <c r="AKU3" i="2" s="1"/>
  <c r="AKV3" i="2" s="1"/>
  <c r="AKW3" i="2" s="1"/>
  <c r="AKX3" i="2" s="1"/>
  <c r="AKY3" i="2" s="1"/>
  <c r="AKZ3" i="2" s="1"/>
  <c r="ALA3" i="2" s="1"/>
  <c r="ALB3" i="2" s="1"/>
  <c r="ALC3" i="2" s="1"/>
  <c r="ALD3" i="2" s="1"/>
  <c r="ALE3" i="2" s="1"/>
  <c r="ALF3" i="2" s="1"/>
  <c r="ALG3" i="2" s="1"/>
  <c r="ALH3" i="2" s="1"/>
  <c r="ALI3" i="2" s="1"/>
  <c r="ALJ3" i="2" s="1"/>
  <c r="ALK3" i="2" s="1"/>
  <c r="ALL3" i="2" s="1"/>
  <c r="ALM3" i="2" s="1"/>
  <c r="ALN3" i="2" s="1"/>
  <c r="ALO3" i="2" s="1"/>
  <c r="ALP3" i="2" s="1"/>
  <c r="ALQ3" i="2" s="1"/>
  <c r="ALR3" i="2" s="1"/>
  <c r="ALS3" i="2" s="1"/>
  <c r="ALT3" i="2" s="1"/>
  <c r="ALU3" i="2" s="1"/>
  <c r="ALV3" i="2" s="1"/>
  <c r="ALW3" i="2" s="1"/>
  <c r="ALX3" i="2" s="1"/>
  <c r="ALY3" i="2" s="1"/>
  <c r="ALZ3" i="2" s="1"/>
  <c r="AMA3" i="2" s="1"/>
  <c r="AMB3" i="2" s="1"/>
  <c r="AMC3" i="2" s="1"/>
  <c r="AMD3" i="2" s="1"/>
  <c r="AME3" i="2" s="1"/>
  <c r="AMF3" i="2" s="1"/>
  <c r="AMG3" i="2" s="1"/>
  <c r="AMH3" i="2" s="1"/>
  <c r="AMI3" i="2" s="1"/>
  <c r="AMJ3" i="2" s="1"/>
  <c r="AMK3" i="2" s="1"/>
  <c r="AML3" i="2" s="1"/>
  <c r="AMM3" i="2" s="1"/>
  <c r="AMN3" i="2" s="1"/>
  <c r="AMO3" i="2" s="1"/>
  <c r="AMP3" i="2" s="1"/>
  <c r="AMQ3" i="2" s="1"/>
  <c r="AMR3" i="2" s="1"/>
  <c r="AMS3" i="2" s="1"/>
  <c r="AMT3" i="2" s="1"/>
  <c r="AMU3" i="2" s="1"/>
  <c r="AMV3" i="2" s="1"/>
  <c r="AMW3" i="2" s="1"/>
  <c r="AMX3" i="2" s="1"/>
  <c r="AMY3" i="2" s="1"/>
  <c r="AMZ3" i="2" s="1"/>
  <c r="ANA3" i="2" s="1"/>
  <c r="ANB3" i="2" s="1"/>
  <c r="ANC3" i="2" s="1"/>
  <c r="AND3" i="2" s="1"/>
  <c r="ANE3" i="2" s="1"/>
  <c r="ANF3" i="2" s="1"/>
  <c r="ANG3" i="2" s="1"/>
  <c r="ANH3" i="2" s="1"/>
  <c r="ANI3" i="2" s="1"/>
  <c r="ANJ3" i="2" s="1"/>
  <c r="ANK3" i="2" s="1"/>
  <c r="ANL3" i="2" s="1"/>
  <c r="ANM3" i="2" s="1"/>
  <c r="ANN3" i="2" s="1"/>
  <c r="ANO3" i="2" s="1"/>
  <c r="ANP3" i="2" s="1"/>
  <c r="ANQ3" i="2" s="1"/>
  <c r="ANR3" i="2" s="1"/>
  <c r="ANS3" i="2" s="1"/>
  <c r="ANT3" i="2" s="1"/>
  <c r="ANU3" i="2" s="1"/>
  <c r="ANV3" i="2" s="1"/>
  <c r="ANW3" i="2" s="1"/>
  <c r="ANX3" i="2" s="1"/>
  <c r="ANY3" i="2" s="1"/>
  <c r="ANZ3" i="2" s="1"/>
  <c r="AOA3" i="2" s="1"/>
  <c r="AOB3" i="2" s="1"/>
  <c r="AOC3" i="2" s="1"/>
  <c r="AOD3" i="2" s="1"/>
  <c r="AOE3" i="2" s="1"/>
  <c r="AOF3" i="2" s="1"/>
  <c r="AOG3" i="2" s="1"/>
  <c r="AOH3" i="2" s="1"/>
  <c r="AOI3" i="2" s="1"/>
  <c r="AOJ3" i="2" s="1"/>
  <c r="AOK3" i="2" s="1"/>
  <c r="AOL3" i="2" s="1"/>
  <c r="AOM3" i="2" s="1"/>
  <c r="AON3" i="2" s="1"/>
  <c r="AOO3" i="2" s="1"/>
  <c r="AOP3" i="2" s="1"/>
  <c r="AOQ3" i="2" s="1"/>
  <c r="AOR3" i="2" s="1"/>
  <c r="AOS3" i="2" s="1"/>
  <c r="AOT3" i="2" s="1"/>
  <c r="AOU3" i="2" s="1"/>
  <c r="AOV3" i="2" s="1"/>
  <c r="AOW3" i="2" s="1"/>
  <c r="AOX3" i="2" s="1"/>
  <c r="AOY3" i="2" s="1"/>
  <c r="AOZ3" i="2" s="1"/>
  <c r="APA3" i="2" s="1"/>
  <c r="APB3" i="2" s="1"/>
  <c r="APC3" i="2" s="1"/>
  <c r="APD3" i="2" s="1"/>
  <c r="APE3" i="2" s="1"/>
  <c r="APF3" i="2" s="1"/>
  <c r="APG3" i="2" s="1"/>
  <c r="APH3" i="2" s="1"/>
  <c r="API3" i="2" s="1"/>
  <c r="APJ3" i="2" s="1"/>
  <c r="APK3" i="2" s="1"/>
  <c r="APL3" i="2" s="1"/>
  <c r="APM3" i="2" s="1"/>
  <c r="APN3" i="2" s="1"/>
  <c r="APO3" i="2" s="1"/>
  <c r="APU4" i="2"/>
  <c r="APV5" i="2"/>
  <c r="AKR4" i="2"/>
  <c r="AKS5" i="2"/>
  <c r="AFN5" i="2"/>
  <c r="AFM4" i="2"/>
  <c r="AAI4" i="2"/>
  <c r="AAJ5" i="2"/>
  <c r="FQ4" i="2"/>
  <c r="FR5" i="2"/>
  <c r="M7" i="1"/>
  <c r="L6" i="1"/>
  <c r="K6" i="1"/>
  <c r="AAI6" i="2" l="1"/>
  <c r="N9" i="1" s="1"/>
  <c r="AM8" i="2"/>
  <c r="AM13" i="2"/>
  <c r="AM11" i="2"/>
  <c r="AM10" i="2"/>
  <c r="AM12" i="2"/>
  <c r="AM7" i="2"/>
  <c r="AM9" i="2"/>
  <c r="AAJ7" i="2"/>
  <c r="AAJ10" i="2"/>
  <c r="AAJ12" i="2"/>
  <c r="AAJ13" i="2"/>
  <c r="AAJ11" i="2"/>
  <c r="AAJ9" i="2"/>
  <c r="AAJ8" i="2"/>
  <c r="FR13" i="2"/>
  <c r="FR8" i="2"/>
  <c r="FR10" i="2"/>
  <c r="FR11" i="2"/>
  <c r="FR9" i="2"/>
  <c r="FR12" i="2"/>
  <c r="FR7" i="2"/>
  <c r="APV7" i="2"/>
  <c r="APV10" i="2"/>
  <c r="APV11" i="2"/>
  <c r="APV13" i="2"/>
  <c r="APV9" i="2"/>
  <c r="APV12" i="2"/>
  <c r="APV8" i="2"/>
  <c r="K17" i="1"/>
  <c r="K12" i="1"/>
  <c r="L17" i="1"/>
  <c r="L12" i="1"/>
  <c r="KT3" i="2"/>
  <c r="KS9" i="2"/>
  <c r="KS10" i="2"/>
  <c r="KS12" i="2"/>
  <c r="KS13" i="2"/>
  <c r="KS7" i="2"/>
  <c r="KS11" i="2"/>
  <c r="KS8" i="2"/>
  <c r="PY3" i="2"/>
  <c r="PX10" i="2"/>
  <c r="PX12" i="2"/>
  <c r="PX7" i="2"/>
  <c r="PX13" i="2"/>
  <c r="PX8" i="2"/>
  <c r="PX9" i="2"/>
  <c r="PX11" i="2"/>
  <c r="APU6" i="2"/>
  <c r="N19" i="1" s="1"/>
  <c r="APT6" i="2"/>
  <c r="M19" i="1" s="1"/>
  <c r="AAH6" i="2"/>
  <c r="M9" i="1" s="1"/>
  <c r="VE3" i="2"/>
  <c r="VF4" i="2"/>
  <c r="VG5" i="2"/>
  <c r="KV4" i="2"/>
  <c r="KW5" i="2"/>
  <c r="QA4" i="2"/>
  <c r="QB5" i="2"/>
  <c r="AM4" i="2"/>
  <c r="AN5" i="2"/>
  <c r="APV4" i="2"/>
  <c r="APW5" i="2"/>
  <c r="AKS4" i="2"/>
  <c r="AKT5" i="2"/>
  <c r="AFN4" i="2"/>
  <c r="AFO5" i="2"/>
  <c r="AAJ4" i="2"/>
  <c r="AAK5" i="2"/>
  <c r="FR4" i="2"/>
  <c r="FS5" i="2"/>
  <c r="N7" i="1"/>
  <c r="M6" i="1"/>
  <c r="KT11" i="2" l="1"/>
  <c r="KT12" i="2"/>
  <c r="AAJ6" i="2"/>
  <c r="O9" i="1" s="1"/>
  <c r="VB11" i="2"/>
  <c r="VB13" i="2"/>
  <c r="AFK12" i="2"/>
  <c r="AKO8" i="2"/>
  <c r="AFK10" i="2"/>
  <c r="AKO13" i="2"/>
  <c r="AFK13" i="2"/>
  <c r="AKO12" i="2"/>
  <c r="AFK9" i="2"/>
  <c r="AKO11" i="2"/>
  <c r="AFK8" i="2"/>
  <c r="AKO7" i="2"/>
  <c r="AKO10" i="2"/>
  <c r="AKO9" i="2"/>
  <c r="AFK7" i="2"/>
  <c r="AFK11" i="2"/>
  <c r="M17" i="1"/>
  <c r="M12" i="1"/>
  <c r="FS13" i="2"/>
  <c r="FS8" i="2"/>
  <c r="FS12" i="2"/>
  <c r="FS11" i="2"/>
  <c r="FS7" i="2"/>
  <c r="FS9" i="2"/>
  <c r="FS10" i="2"/>
  <c r="APV6" i="2"/>
  <c r="O19" i="1" s="1"/>
  <c r="VB12" i="2"/>
  <c r="KT10" i="2"/>
  <c r="VB10" i="2"/>
  <c r="AFJ11" i="2"/>
  <c r="AKN7" i="2"/>
  <c r="AFJ8" i="2"/>
  <c r="AKN10" i="2"/>
  <c r="AFJ9" i="2"/>
  <c r="AKN11" i="2"/>
  <c r="AFJ7" i="2"/>
  <c r="AKN12" i="2"/>
  <c r="AFJ13" i="2"/>
  <c r="AFJ12" i="2"/>
  <c r="AKN8" i="2"/>
  <c r="AKN9" i="2"/>
  <c r="AKN13" i="2"/>
  <c r="AFJ10" i="2"/>
  <c r="AN8" i="2"/>
  <c r="AN12" i="2"/>
  <c r="AN13" i="2"/>
  <c r="AN11" i="2"/>
  <c r="AN10" i="2"/>
  <c r="AN9" i="2"/>
  <c r="AN7" i="2"/>
  <c r="PZ3" i="2"/>
  <c r="PY7" i="2"/>
  <c r="PY11" i="2"/>
  <c r="PY9" i="2"/>
  <c r="PY12" i="2"/>
  <c r="VC12" i="2" s="1"/>
  <c r="PY10" i="2"/>
  <c r="PY13" i="2"/>
  <c r="PY8" i="2"/>
  <c r="KU3" i="2"/>
  <c r="KT13" i="2"/>
  <c r="KT8" i="2"/>
  <c r="KT7" i="2"/>
  <c r="KT9" i="2"/>
  <c r="VC9" i="2" s="1"/>
  <c r="VB8" i="2"/>
  <c r="APW7" i="2"/>
  <c r="APW6" i="2" s="1"/>
  <c r="P19" i="1" s="1"/>
  <c r="APW10" i="2"/>
  <c r="APW9" i="2"/>
  <c r="APW13" i="2"/>
  <c r="APW11" i="2"/>
  <c r="APW12" i="2"/>
  <c r="APW8" i="2"/>
  <c r="VB7" i="2"/>
  <c r="AAK10" i="2"/>
  <c r="AAK7" i="2"/>
  <c r="AAK11" i="2"/>
  <c r="AAK12" i="2"/>
  <c r="AAK13" i="2"/>
  <c r="AAK8" i="2"/>
  <c r="AAK9" i="2"/>
  <c r="VB9" i="2"/>
  <c r="VC11" i="2"/>
  <c r="VF3" i="2"/>
  <c r="VG4" i="2"/>
  <c r="VH5" i="2"/>
  <c r="QC5" i="2"/>
  <c r="QB4" i="2"/>
  <c r="KX5" i="2"/>
  <c r="KW4" i="2"/>
  <c r="AN4" i="2"/>
  <c r="AO5" i="2"/>
  <c r="APW4" i="2"/>
  <c r="APX5" i="2"/>
  <c r="AKT4" i="2"/>
  <c r="AKU5" i="2"/>
  <c r="AFO4" i="2"/>
  <c r="AFP5" i="2"/>
  <c r="AAK4" i="2"/>
  <c r="AAL5" i="2"/>
  <c r="FS4" i="2"/>
  <c r="FT5" i="2"/>
  <c r="N6" i="1"/>
  <c r="O7" i="1"/>
  <c r="VC7" i="2" l="1"/>
  <c r="QA3" i="2"/>
  <c r="PZ7" i="2"/>
  <c r="PZ12" i="2"/>
  <c r="PZ8" i="2"/>
  <c r="VB6" i="2"/>
  <c r="K8" i="1" s="1"/>
  <c r="K10" i="1" s="1"/>
  <c r="KV3" i="2"/>
  <c r="KU11" i="2"/>
  <c r="KU13" i="2"/>
  <c r="KU12" i="2"/>
  <c r="KU10" i="2"/>
  <c r="KU7" i="2"/>
  <c r="KU9" i="2"/>
  <c r="PZ13" i="2"/>
  <c r="AFK6" i="2"/>
  <c r="FT13" i="2"/>
  <c r="FT8" i="2"/>
  <c r="FT12" i="2"/>
  <c r="FT11" i="2"/>
  <c r="FT9" i="2"/>
  <c r="FT10" i="2"/>
  <c r="FT7" i="2"/>
  <c r="APX10" i="2"/>
  <c r="APX7" i="2"/>
  <c r="APX11" i="2"/>
  <c r="APX12" i="2"/>
  <c r="APX13" i="2"/>
  <c r="APX9" i="2"/>
  <c r="APX8" i="2"/>
  <c r="PZ10" i="2"/>
  <c r="VD10" i="2" s="1"/>
  <c r="AKN6" i="2"/>
  <c r="AFL12" i="2"/>
  <c r="AKP13" i="2"/>
  <c r="AKP12" i="2"/>
  <c r="AFL13" i="2"/>
  <c r="AKP11" i="2"/>
  <c r="AFL9" i="2"/>
  <c r="AFL8" i="2"/>
  <c r="AFL7" i="2"/>
  <c r="AKP7" i="2"/>
  <c r="AKP8" i="2"/>
  <c r="AKP10" i="2"/>
  <c r="AFL11" i="2"/>
  <c r="AKP9" i="2"/>
  <c r="AFL10" i="2"/>
  <c r="PZ9" i="2"/>
  <c r="QA9" i="2" s="1"/>
  <c r="AKO6" i="2"/>
  <c r="AAL7" i="2"/>
  <c r="AAL10" i="2"/>
  <c r="AAL13" i="2"/>
  <c r="AAL12" i="2"/>
  <c r="AAL8" i="2"/>
  <c r="AAL11" i="2"/>
  <c r="AAL9" i="2"/>
  <c r="KU8" i="2"/>
  <c r="VD8" i="2" s="1"/>
  <c r="VC8" i="2"/>
  <c r="PZ11" i="2"/>
  <c r="AFJ6" i="2"/>
  <c r="VC10" i="2"/>
  <c r="N17" i="1"/>
  <c r="N12" i="1"/>
  <c r="AO12" i="2"/>
  <c r="AO10" i="2"/>
  <c r="AO13" i="2"/>
  <c r="AO11" i="2"/>
  <c r="AO8" i="2"/>
  <c r="AO7" i="2"/>
  <c r="AO9" i="2"/>
  <c r="AAK6" i="2"/>
  <c r="P9" i="1" s="1"/>
  <c r="VC13" i="2"/>
  <c r="VH4" i="2"/>
  <c r="VI5" i="2"/>
  <c r="VG3" i="2"/>
  <c r="KY5" i="2"/>
  <c r="KX4" i="2"/>
  <c r="QC4" i="2"/>
  <c r="QD5" i="2"/>
  <c r="AO4" i="2"/>
  <c r="AP5" i="2"/>
  <c r="APX4" i="2"/>
  <c r="APY5" i="2"/>
  <c r="AKV5" i="2"/>
  <c r="AKU4" i="2"/>
  <c r="AFQ5" i="2"/>
  <c r="AFP4" i="2"/>
  <c r="AAL4" i="2"/>
  <c r="AAM5" i="2"/>
  <c r="FT4" i="2"/>
  <c r="FU5" i="2"/>
  <c r="P7" i="1"/>
  <c r="O6" i="1"/>
  <c r="K11" i="1" l="1"/>
  <c r="VC6" i="2"/>
  <c r="L8" i="1" s="1"/>
  <c r="L10" i="1" s="1"/>
  <c r="VD7" i="2"/>
  <c r="K13" i="1"/>
  <c r="AAM7" i="2"/>
  <c r="AAM10" i="2"/>
  <c r="AAM11" i="2"/>
  <c r="AAM12" i="2"/>
  <c r="AAM13" i="2"/>
  <c r="AAM9" i="2"/>
  <c r="AAM8" i="2"/>
  <c r="AP12" i="2"/>
  <c r="AP10" i="2"/>
  <c r="AP13" i="2"/>
  <c r="AP11" i="2"/>
  <c r="AP9" i="2"/>
  <c r="AP7" i="2"/>
  <c r="AP8" i="2"/>
  <c r="VD11" i="2"/>
  <c r="AKP6" i="2"/>
  <c r="KV13" i="2"/>
  <c r="VD13" i="2"/>
  <c r="AKQ13" i="2"/>
  <c r="AKQ10" i="2"/>
  <c r="AKQ8" i="2"/>
  <c r="AKQ12" i="2"/>
  <c r="AKQ11" i="2"/>
  <c r="AKQ9" i="2"/>
  <c r="AKQ7" i="2"/>
  <c r="AFM11" i="2"/>
  <c r="AFM9" i="2"/>
  <c r="AFM12" i="2"/>
  <c r="AFM8" i="2"/>
  <c r="AFM13" i="2"/>
  <c r="AFM10" i="2"/>
  <c r="AFM7" i="2"/>
  <c r="AFL6" i="2"/>
  <c r="APX6" i="2"/>
  <c r="Q19" i="1" s="1"/>
  <c r="VD9" i="2"/>
  <c r="AAL6" i="2"/>
  <c r="Q9" i="1" s="1"/>
  <c r="L11" i="1"/>
  <c r="L13" i="1" s="1"/>
  <c r="VD12" i="2"/>
  <c r="KW3" i="2"/>
  <c r="KV9" i="2"/>
  <c r="VE9" i="2" s="1"/>
  <c r="KV12" i="2"/>
  <c r="KV8" i="2"/>
  <c r="KV7" i="2"/>
  <c r="KV10" i="2"/>
  <c r="KV11" i="2"/>
  <c r="O12" i="1"/>
  <c r="O17" i="1"/>
  <c r="FU13" i="2"/>
  <c r="FU8" i="2"/>
  <c r="FU12" i="2"/>
  <c r="FU11" i="2"/>
  <c r="FU10" i="2"/>
  <c r="FU9" i="2"/>
  <c r="FU7" i="2"/>
  <c r="APY10" i="2"/>
  <c r="APY7" i="2"/>
  <c r="APY12" i="2"/>
  <c r="APY13" i="2"/>
  <c r="APY8" i="2"/>
  <c r="APY9" i="2"/>
  <c r="APY11" i="2"/>
  <c r="QB3" i="2"/>
  <c r="QA7" i="2"/>
  <c r="QB7" i="2" s="1"/>
  <c r="QA8" i="2"/>
  <c r="QA11" i="2"/>
  <c r="QA12" i="2"/>
  <c r="QB12" i="2" s="1"/>
  <c r="QA13" i="2"/>
  <c r="QA10" i="2"/>
  <c r="VH3" i="2"/>
  <c r="VI4" i="2"/>
  <c r="VJ5" i="2"/>
  <c r="KZ5" i="2"/>
  <c r="KY4" i="2"/>
  <c r="QD4" i="2"/>
  <c r="QE5" i="2"/>
  <c r="AQ5" i="2"/>
  <c r="AP4" i="2"/>
  <c r="APZ5" i="2"/>
  <c r="APY4" i="2"/>
  <c r="AKW5" i="2"/>
  <c r="AKV4" i="2"/>
  <c r="AFR5" i="2"/>
  <c r="AFQ4" i="2"/>
  <c r="AAN5" i="2"/>
  <c r="AAM4" i="2"/>
  <c r="FV5" i="2"/>
  <c r="FU4" i="2"/>
  <c r="P6" i="1"/>
  <c r="Q7" i="1"/>
  <c r="M11" i="1" l="1"/>
  <c r="VE13" i="2"/>
  <c r="VD6" i="2"/>
  <c r="M8" i="1" s="1"/>
  <c r="M10" i="1" s="1"/>
  <c r="M13" i="1" s="1"/>
  <c r="P12" i="1"/>
  <c r="P17" i="1"/>
  <c r="QB8" i="2"/>
  <c r="VE11" i="2"/>
  <c r="KX3" i="2"/>
  <c r="KW11" i="2"/>
  <c r="KW8" i="2"/>
  <c r="KW13" i="2"/>
  <c r="KW9" i="2"/>
  <c r="VF9" i="2" s="1"/>
  <c r="KW10" i="2"/>
  <c r="KW7" i="2"/>
  <c r="VF7" i="2" s="1"/>
  <c r="QC3" i="2"/>
  <c r="QB10" i="2"/>
  <c r="QB11" i="2"/>
  <c r="QB9" i="2"/>
  <c r="QB13" i="2"/>
  <c r="VE7" i="2"/>
  <c r="AKQ6" i="2"/>
  <c r="AKR13" i="2"/>
  <c r="AKR11" i="2"/>
  <c r="AKR7" i="2"/>
  <c r="AKR10" i="2"/>
  <c r="AKR9" i="2"/>
  <c r="AKR12" i="2"/>
  <c r="AKR8" i="2"/>
  <c r="AFN8" i="2"/>
  <c r="AFN12" i="2"/>
  <c r="AFN11" i="2"/>
  <c r="AFN13" i="2"/>
  <c r="AFN9" i="2"/>
  <c r="AFN10" i="2"/>
  <c r="AFN7" i="2"/>
  <c r="VE8" i="2"/>
  <c r="AFM6" i="2"/>
  <c r="N11" i="1" s="1"/>
  <c r="QC12" i="2"/>
  <c r="AAN7" i="2"/>
  <c r="AAN10" i="2"/>
  <c r="AAN12" i="2"/>
  <c r="AAN13" i="2"/>
  <c r="AAN11" i="2"/>
  <c r="AAN9" i="2"/>
  <c r="AAN8" i="2"/>
  <c r="AQ7" i="2"/>
  <c r="AQ13" i="2"/>
  <c r="AQ9" i="2"/>
  <c r="AQ10" i="2"/>
  <c r="AQ12" i="2"/>
  <c r="AQ11" i="2"/>
  <c r="AQ8" i="2"/>
  <c r="VE10" i="2"/>
  <c r="APY6" i="2"/>
  <c r="R19" i="1" s="1"/>
  <c r="KW12" i="2"/>
  <c r="VF12" i="2" s="1"/>
  <c r="VE12" i="2"/>
  <c r="FV13" i="2"/>
  <c r="FV12" i="2"/>
  <c r="FV8" i="2"/>
  <c r="FV9" i="2"/>
  <c r="FV11" i="2"/>
  <c r="FV10" i="2"/>
  <c r="FV7" i="2"/>
  <c r="APZ7" i="2"/>
  <c r="APZ10" i="2"/>
  <c r="APZ11" i="2"/>
  <c r="APZ9" i="2"/>
  <c r="APZ13" i="2"/>
  <c r="APZ12" i="2"/>
  <c r="APZ8" i="2"/>
  <c r="AAM6" i="2"/>
  <c r="R9" i="1" s="1"/>
  <c r="VK5" i="2"/>
  <c r="VJ4" i="2"/>
  <c r="VI3" i="2"/>
  <c r="LA5" i="2"/>
  <c r="KZ4" i="2"/>
  <c r="QF5" i="2"/>
  <c r="QE4" i="2"/>
  <c r="AR5" i="2"/>
  <c r="AQ4" i="2"/>
  <c r="AQA5" i="2"/>
  <c r="APZ4" i="2"/>
  <c r="AKX5" i="2"/>
  <c r="AKW4" i="2"/>
  <c r="AFS5" i="2"/>
  <c r="AFR4" i="2"/>
  <c r="AAO5" i="2"/>
  <c r="AAN4" i="2"/>
  <c r="FW5" i="2"/>
  <c r="FV4" i="2"/>
  <c r="Q6" i="1"/>
  <c r="R7" i="1"/>
  <c r="AKR6" i="2" l="1"/>
  <c r="AR7" i="2"/>
  <c r="AR13" i="2"/>
  <c r="AR11" i="2"/>
  <c r="AR12" i="2"/>
  <c r="AR10" i="2"/>
  <c r="AR9" i="2"/>
  <c r="AR8" i="2"/>
  <c r="APZ6" i="2"/>
  <c r="S19" i="1" s="1"/>
  <c r="KX13" i="2"/>
  <c r="VF13" i="2"/>
  <c r="KX8" i="2"/>
  <c r="VF8" i="2"/>
  <c r="VF11" i="2"/>
  <c r="QC10" i="2"/>
  <c r="KY3" i="2"/>
  <c r="KX9" i="2"/>
  <c r="KX12" i="2"/>
  <c r="VG12" i="2" s="1"/>
  <c r="KX7" i="2"/>
  <c r="KX10" i="2"/>
  <c r="VG10" i="2" s="1"/>
  <c r="KX11" i="2"/>
  <c r="Q12" i="1"/>
  <c r="Q17" i="1"/>
  <c r="AFN6" i="2"/>
  <c r="O11" i="1" s="1"/>
  <c r="QD3" i="2"/>
  <c r="QC13" i="2"/>
  <c r="VG13" i="2" s="1"/>
  <c r="QC7" i="2"/>
  <c r="QC9" i="2"/>
  <c r="QC8" i="2"/>
  <c r="QC11" i="2"/>
  <c r="AAO7" i="2"/>
  <c r="AAO10" i="2"/>
  <c r="AAO13" i="2"/>
  <c r="AAO11" i="2"/>
  <c r="AAO9" i="2"/>
  <c r="AAO12" i="2"/>
  <c r="AAO8" i="2"/>
  <c r="AKS9" i="2"/>
  <c r="AKS13" i="2"/>
  <c r="AKS7" i="2"/>
  <c r="AKS10" i="2"/>
  <c r="AKS8" i="2"/>
  <c r="AKS11" i="2"/>
  <c r="AKS12" i="2"/>
  <c r="AFO13" i="2"/>
  <c r="AFO10" i="2"/>
  <c r="AFO7" i="2"/>
  <c r="AFO9" i="2"/>
  <c r="AFO12" i="2"/>
  <c r="AFO8" i="2"/>
  <c r="AFO11" i="2"/>
  <c r="FW12" i="2"/>
  <c r="FW13" i="2"/>
  <c r="FW8" i="2"/>
  <c r="FW9" i="2"/>
  <c r="FW10" i="2"/>
  <c r="FW7" i="2"/>
  <c r="FW11" i="2"/>
  <c r="AQA7" i="2"/>
  <c r="AQA10" i="2"/>
  <c r="AQA11" i="2"/>
  <c r="AQA12" i="2"/>
  <c r="AQA9" i="2"/>
  <c r="AQA8" i="2"/>
  <c r="AQA13" i="2"/>
  <c r="AAN6" i="2"/>
  <c r="S9" i="1" s="1"/>
  <c r="VE6" i="2"/>
  <c r="N8" i="1" s="1"/>
  <c r="N10" i="1" s="1"/>
  <c r="N13" i="1" s="1"/>
  <c r="VF10" i="2"/>
  <c r="VJ3" i="2"/>
  <c r="VL5" i="2"/>
  <c r="VK4" i="2"/>
  <c r="LA4" i="2"/>
  <c r="LB5" i="2"/>
  <c r="QF4" i="2"/>
  <c r="QG5" i="2"/>
  <c r="AR4" i="2"/>
  <c r="AS5" i="2"/>
  <c r="AQB5" i="2"/>
  <c r="AQA4" i="2"/>
  <c r="AKY5" i="2"/>
  <c r="AKX4" i="2"/>
  <c r="AFT5" i="2"/>
  <c r="AFS4" i="2"/>
  <c r="AAP5" i="2"/>
  <c r="AAO4" i="2"/>
  <c r="FX5" i="2"/>
  <c r="FW4" i="2"/>
  <c r="R6" i="1"/>
  <c r="S7" i="1"/>
  <c r="QD7" i="2" l="1"/>
  <c r="VG11" i="2"/>
  <c r="VG9" i="2"/>
  <c r="VF6" i="2"/>
  <c r="O8" i="1" s="1"/>
  <c r="O10" i="1" s="1"/>
  <c r="O13" i="1" s="1"/>
  <c r="AAP10" i="2"/>
  <c r="AAP7" i="2"/>
  <c r="AAP11" i="2"/>
  <c r="AAP13" i="2"/>
  <c r="AAP12" i="2"/>
  <c r="AAP9" i="2"/>
  <c r="AAP8" i="2"/>
  <c r="QE3" i="2"/>
  <c r="QE7" i="2" s="1"/>
  <c r="QD12" i="2"/>
  <c r="QD10" i="2"/>
  <c r="QD11" i="2"/>
  <c r="QD8" i="2"/>
  <c r="QD13" i="2"/>
  <c r="QD9" i="2"/>
  <c r="VG8" i="2"/>
  <c r="R12" i="1"/>
  <c r="R17" i="1"/>
  <c r="AAO6" i="2"/>
  <c r="T9" i="1" s="1"/>
  <c r="AQA6" i="2"/>
  <c r="T19" i="1" s="1"/>
  <c r="KZ3" i="2"/>
  <c r="KY11" i="2"/>
  <c r="KY7" i="2"/>
  <c r="KY9" i="2"/>
  <c r="KY12" i="2"/>
  <c r="KY8" i="2"/>
  <c r="KY10" i="2"/>
  <c r="KY13" i="2"/>
  <c r="VG7" i="2"/>
  <c r="FX13" i="2"/>
  <c r="FX8" i="2"/>
  <c r="FX12" i="2"/>
  <c r="FX11" i="2"/>
  <c r="FX10" i="2"/>
  <c r="FX7" i="2"/>
  <c r="FX9" i="2"/>
  <c r="AQB7" i="2"/>
  <c r="AQB10" i="2"/>
  <c r="AQB11" i="2"/>
  <c r="AQB12" i="2"/>
  <c r="AQB13" i="2"/>
  <c r="AQB9" i="2"/>
  <c r="AQB8" i="2"/>
  <c r="AKS6" i="2"/>
  <c r="AKT11" i="2"/>
  <c r="AKT10" i="2"/>
  <c r="AKT12" i="2"/>
  <c r="AKT13" i="2"/>
  <c r="AKT9" i="2"/>
  <c r="AKT7" i="2"/>
  <c r="AKT8" i="2"/>
  <c r="AFP11" i="2"/>
  <c r="AFP7" i="2"/>
  <c r="AFP13" i="2"/>
  <c r="AFP8" i="2"/>
  <c r="AFP9" i="2"/>
  <c r="AFP12" i="2"/>
  <c r="AFP10" i="2"/>
  <c r="AS13" i="2"/>
  <c r="AS11" i="2"/>
  <c r="AS10" i="2"/>
  <c r="AS12" i="2"/>
  <c r="AS7" i="2"/>
  <c r="AS8" i="2"/>
  <c r="AS9" i="2"/>
  <c r="AFO6" i="2"/>
  <c r="VK3" i="2"/>
  <c r="VM5" i="2"/>
  <c r="VL4" i="2"/>
  <c r="QG4" i="2"/>
  <c r="QH5" i="2"/>
  <c r="LC5" i="2"/>
  <c r="LB4" i="2"/>
  <c r="AT5" i="2"/>
  <c r="AS4" i="2"/>
  <c r="AQC5" i="2"/>
  <c r="AQB4" i="2"/>
  <c r="AKY4" i="2"/>
  <c r="AKZ5" i="2"/>
  <c r="AFT4" i="2"/>
  <c r="AFU5" i="2"/>
  <c r="AAQ5" i="2"/>
  <c r="AAP4" i="2"/>
  <c r="FY5" i="2"/>
  <c r="FX4" i="2"/>
  <c r="T7" i="1"/>
  <c r="S6" i="1"/>
  <c r="VH11" i="2" l="1"/>
  <c r="VH12" i="2"/>
  <c r="VH9" i="2"/>
  <c r="VH7" i="2"/>
  <c r="P11" i="1"/>
  <c r="VH8" i="2"/>
  <c r="QE10" i="2"/>
  <c r="AAP6" i="2"/>
  <c r="U9" i="1" s="1"/>
  <c r="QE12" i="2"/>
  <c r="AQB6" i="2"/>
  <c r="U19" i="1" s="1"/>
  <c r="VG6" i="2"/>
  <c r="P8" i="1" s="1"/>
  <c r="P10" i="1" s="1"/>
  <c r="QF3" i="2"/>
  <c r="QE13" i="2"/>
  <c r="QE8" i="2"/>
  <c r="QE9" i="2"/>
  <c r="AAQ7" i="2"/>
  <c r="AAQ10" i="2"/>
  <c r="AAQ11" i="2"/>
  <c r="AAQ13" i="2"/>
  <c r="AAQ9" i="2"/>
  <c r="AAQ12" i="2"/>
  <c r="AAQ8" i="2"/>
  <c r="AT13" i="2"/>
  <c r="AT11" i="2"/>
  <c r="AT12" i="2"/>
  <c r="AT10" i="2"/>
  <c r="AT8" i="2"/>
  <c r="AT7" i="2"/>
  <c r="AT9" i="2"/>
  <c r="AKT6" i="2"/>
  <c r="LA3" i="2"/>
  <c r="KZ7" i="2"/>
  <c r="VI7" i="2" s="1"/>
  <c r="KZ11" i="2"/>
  <c r="KZ10" i="2"/>
  <c r="KZ13" i="2"/>
  <c r="KZ9" i="2"/>
  <c r="KZ12" i="2"/>
  <c r="VI12" i="2" s="1"/>
  <c r="KZ8" i="2"/>
  <c r="AQC10" i="2"/>
  <c r="AQC7" i="2"/>
  <c r="AQC11" i="2"/>
  <c r="AQC12" i="2"/>
  <c r="AQC13" i="2"/>
  <c r="AQC9" i="2"/>
  <c r="AQC8" i="2"/>
  <c r="QF7" i="2"/>
  <c r="VH13" i="2"/>
  <c r="FY13" i="2"/>
  <c r="FY12" i="2"/>
  <c r="FY8" i="2"/>
  <c r="FY11" i="2"/>
  <c r="FY7" i="2"/>
  <c r="FY10" i="2"/>
  <c r="FY9" i="2"/>
  <c r="AFP6" i="2"/>
  <c r="AKU11" i="2"/>
  <c r="AKU12" i="2"/>
  <c r="AKU13" i="2"/>
  <c r="AKU10" i="2"/>
  <c r="AKU9" i="2"/>
  <c r="AKU8" i="2"/>
  <c r="AKU7" i="2"/>
  <c r="AFQ12" i="2"/>
  <c r="AFQ8" i="2"/>
  <c r="AFQ7" i="2"/>
  <c r="AFQ11" i="2"/>
  <c r="AFQ10" i="2"/>
  <c r="AFQ9" i="2"/>
  <c r="AFQ13" i="2"/>
  <c r="VH10" i="2"/>
  <c r="S17" i="1"/>
  <c r="S12" i="1"/>
  <c r="QE11" i="2"/>
  <c r="VL3" i="2"/>
  <c r="VN5" i="2"/>
  <c r="VM4" i="2"/>
  <c r="LD5" i="2"/>
  <c r="LC4" i="2"/>
  <c r="QH4" i="2"/>
  <c r="QI5" i="2"/>
  <c r="AU5" i="2"/>
  <c r="AT4" i="2"/>
  <c r="AQC4" i="2"/>
  <c r="AQD5" i="2"/>
  <c r="AKZ4" i="2"/>
  <c r="ALA5" i="2"/>
  <c r="AFV5" i="2"/>
  <c r="AFU4" i="2"/>
  <c r="AAQ4" i="2"/>
  <c r="AAR5" i="2"/>
  <c r="FY4" i="2"/>
  <c r="FZ5" i="2"/>
  <c r="U7" i="1"/>
  <c r="T6" i="1"/>
  <c r="VI10" i="2" l="1"/>
  <c r="VI9" i="2"/>
  <c r="QF12" i="2"/>
  <c r="Q11" i="1"/>
  <c r="P13" i="1"/>
  <c r="VI11" i="2"/>
  <c r="QF13" i="2"/>
  <c r="VH6" i="2"/>
  <c r="Q8" i="1" s="1"/>
  <c r="Q10" i="1" s="1"/>
  <c r="AKV10" i="2"/>
  <c r="AKV12" i="2"/>
  <c r="AKV7" i="2"/>
  <c r="AKV9" i="2"/>
  <c r="AKV13" i="2"/>
  <c r="AKV8" i="2"/>
  <c r="AKV11" i="2"/>
  <c r="AFR8" i="2"/>
  <c r="AFR11" i="2"/>
  <c r="AFR12" i="2"/>
  <c r="AFR13" i="2"/>
  <c r="AFR9" i="2"/>
  <c r="AFR7" i="2"/>
  <c r="AFR10" i="2"/>
  <c r="AAQ6" i="2"/>
  <c r="V9" i="1" s="1"/>
  <c r="T17" i="1"/>
  <c r="T12" i="1"/>
  <c r="LB3" i="2"/>
  <c r="LA7" i="2"/>
  <c r="VJ7" i="2" s="1"/>
  <c r="LA11" i="2"/>
  <c r="LA10" i="2"/>
  <c r="LA9" i="2"/>
  <c r="LA12" i="2"/>
  <c r="VJ12" i="2" s="1"/>
  <c r="AFQ6" i="2"/>
  <c r="LA8" i="2"/>
  <c r="VI8" i="2"/>
  <c r="QF8" i="2"/>
  <c r="AQD10" i="2"/>
  <c r="AQD7" i="2"/>
  <c r="AQD12" i="2"/>
  <c r="AQD11" i="2"/>
  <c r="AQD8" i="2"/>
  <c r="AQD13" i="2"/>
  <c r="AQD9" i="2"/>
  <c r="QG3" i="2"/>
  <c r="QF9" i="2"/>
  <c r="QF11" i="2"/>
  <c r="QF10" i="2"/>
  <c r="FZ11" i="2"/>
  <c r="FZ8" i="2"/>
  <c r="FZ13" i="2"/>
  <c r="FZ10" i="2"/>
  <c r="FZ12" i="2"/>
  <c r="FZ9" i="2"/>
  <c r="FZ7" i="2"/>
  <c r="AKU6" i="2"/>
  <c r="QG7" i="2"/>
  <c r="LA13" i="2"/>
  <c r="VI13" i="2"/>
  <c r="AQC6" i="2"/>
  <c r="V19" i="1" s="1"/>
  <c r="AAR10" i="2"/>
  <c r="AAR7" i="2"/>
  <c r="AAR12" i="2"/>
  <c r="AAR13" i="2"/>
  <c r="AAR11" i="2"/>
  <c r="AAR9" i="2"/>
  <c r="AAR8" i="2"/>
  <c r="AU8" i="2"/>
  <c r="AU12" i="2"/>
  <c r="AU13" i="2"/>
  <c r="AU11" i="2"/>
  <c r="AU10" i="2"/>
  <c r="AU9" i="2"/>
  <c r="AU7" i="2"/>
  <c r="VM3" i="2"/>
  <c r="VN4" i="2"/>
  <c r="VO5" i="2"/>
  <c r="LD4" i="2"/>
  <c r="LE5" i="2"/>
  <c r="QI4" i="2"/>
  <c r="QJ5" i="2"/>
  <c r="AU4" i="2"/>
  <c r="AV5" i="2"/>
  <c r="AQD4" i="2"/>
  <c r="AQE5" i="2"/>
  <c r="ALA4" i="2"/>
  <c r="ALB5" i="2"/>
  <c r="AFV4" i="2"/>
  <c r="AFW5" i="2"/>
  <c r="AAR4" i="2"/>
  <c r="AAS5" i="2"/>
  <c r="FZ4" i="2"/>
  <c r="GA5" i="2"/>
  <c r="V7" i="1"/>
  <c r="U6" i="1"/>
  <c r="Q13" i="1" l="1"/>
  <c r="VJ9" i="2"/>
  <c r="VJ10" i="2"/>
  <c r="VJ13" i="2"/>
  <c r="R11" i="1"/>
  <c r="AAR6" i="2"/>
  <c r="W9" i="1" s="1"/>
  <c r="VJ11" i="2"/>
  <c r="AKW12" i="2"/>
  <c r="AKW10" i="2"/>
  <c r="AKW9" i="2"/>
  <c r="AKW7" i="2"/>
  <c r="AKW8" i="2"/>
  <c r="AKW11" i="2"/>
  <c r="AKW13" i="2"/>
  <c r="AFS10" i="2"/>
  <c r="AFS9" i="2"/>
  <c r="AFS12" i="2"/>
  <c r="AFS13" i="2"/>
  <c r="AFS7" i="2"/>
  <c r="AFS8" i="2"/>
  <c r="AFS11" i="2"/>
  <c r="AQE10" i="2"/>
  <c r="AQE7" i="2"/>
  <c r="AQE9" i="2"/>
  <c r="AQE13" i="2"/>
  <c r="AQE11" i="2"/>
  <c r="AQE12" i="2"/>
  <c r="AQE8" i="2"/>
  <c r="AQD6" i="2"/>
  <c r="W19" i="1" s="1"/>
  <c r="AFR6" i="2"/>
  <c r="AAS10" i="2"/>
  <c r="AAS7" i="2"/>
  <c r="AAS13" i="2"/>
  <c r="AAS11" i="2"/>
  <c r="AAS12" i="2"/>
  <c r="AAS9" i="2"/>
  <c r="AAS8" i="2"/>
  <c r="AV12" i="2"/>
  <c r="AV13" i="2"/>
  <c r="AV11" i="2"/>
  <c r="AV8" i="2"/>
  <c r="AV10" i="2"/>
  <c r="AV7" i="2"/>
  <c r="AV9" i="2"/>
  <c r="QG11" i="2"/>
  <c r="LC3" i="2"/>
  <c r="LB12" i="2"/>
  <c r="LB13" i="2"/>
  <c r="LB10" i="2"/>
  <c r="LB7" i="2"/>
  <c r="VK7" i="2" s="1"/>
  <c r="LB9" i="2"/>
  <c r="LB8" i="2"/>
  <c r="LB11" i="2"/>
  <c r="GA8" i="2"/>
  <c r="GA13" i="2"/>
  <c r="GA11" i="2"/>
  <c r="GA12" i="2"/>
  <c r="GA10" i="2"/>
  <c r="GA7" i="2"/>
  <c r="GA9" i="2"/>
  <c r="VI6" i="2"/>
  <c r="R8" i="1" s="1"/>
  <c r="R10" i="1" s="1"/>
  <c r="R13" i="1" s="1"/>
  <c r="AKV6" i="2"/>
  <c r="S11" i="1" s="1"/>
  <c r="QH3" i="2"/>
  <c r="QG10" i="2"/>
  <c r="QG9" i="2"/>
  <c r="QH9" i="2" s="1"/>
  <c r="QG8" i="2"/>
  <c r="QG13" i="2"/>
  <c r="QG12" i="2"/>
  <c r="VJ8" i="2"/>
  <c r="U17" i="1"/>
  <c r="U12" i="1"/>
  <c r="VN3" i="2"/>
  <c r="VO4" i="2"/>
  <c r="VP5" i="2"/>
  <c r="QK5" i="2"/>
  <c r="QJ4" i="2"/>
  <c r="LF5" i="2"/>
  <c r="LE4" i="2"/>
  <c r="AV4" i="2"/>
  <c r="AW5" i="2"/>
  <c r="AQE4" i="2"/>
  <c r="AQF5" i="2"/>
  <c r="ALB4" i="2"/>
  <c r="ALC5" i="2"/>
  <c r="AFW4" i="2"/>
  <c r="AFX5" i="2"/>
  <c r="AAS4" i="2"/>
  <c r="AAT5" i="2"/>
  <c r="GA4" i="2"/>
  <c r="GB5" i="2"/>
  <c r="V6" i="1"/>
  <c r="W7" i="1"/>
  <c r="VJ6" i="2" l="1"/>
  <c r="S8" i="1" s="1"/>
  <c r="S10" i="1" s="1"/>
  <c r="S13" i="1" s="1"/>
  <c r="VK11" i="2"/>
  <c r="QH11" i="2"/>
  <c r="GB12" i="2"/>
  <c r="GB13" i="2"/>
  <c r="GB8" i="2"/>
  <c r="GB7" i="2"/>
  <c r="GB10" i="2"/>
  <c r="GB9" i="2"/>
  <c r="GB11" i="2"/>
  <c r="AQF7" i="2"/>
  <c r="AQF10" i="2"/>
  <c r="AQF12" i="2"/>
  <c r="AQF13" i="2"/>
  <c r="AQF9" i="2"/>
  <c r="AQF11" i="2"/>
  <c r="AQF8" i="2"/>
  <c r="QH13" i="2"/>
  <c r="VK9" i="2"/>
  <c r="AQE6" i="2"/>
  <c r="X19" i="1" s="1"/>
  <c r="VK8" i="2"/>
  <c r="V17" i="1"/>
  <c r="V12" i="1"/>
  <c r="AKX10" i="2"/>
  <c r="AKX7" i="2"/>
  <c r="AKX13" i="2"/>
  <c r="AKX9" i="2"/>
  <c r="AKX8" i="2"/>
  <c r="AKX11" i="2"/>
  <c r="AKX12" i="2"/>
  <c r="AFT11" i="2"/>
  <c r="AFT7" i="2"/>
  <c r="AFT8" i="2"/>
  <c r="AFT13" i="2"/>
  <c r="AFT10" i="2"/>
  <c r="AFT9" i="2"/>
  <c r="AFT12" i="2"/>
  <c r="LC10" i="2"/>
  <c r="VK10" i="2"/>
  <c r="AAT10" i="2"/>
  <c r="AAT7" i="2"/>
  <c r="AAT12" i="2"/>
  <c r="AAT13" i="2"/>
  <c r="AAT9" i="2"/>
  <c r="AAT11" i="2"/>
  <c r="AAT8" i="2"/>
  <c r="LC13" i="2"/>
  <c r="VK13" i="2"/>
  <c r="AW12" i="2"/>
  <c r="AW10" i="2"/>
  <c r="AW11" i="2"/>
  <c r="AW13" i="2"/>
  <c r="AW9" i="2"/>
  <c r="AW8" i="2"/>
  <c r="AW7" i="2"/>
  <c r="VK12" i="2"/>
  <c r="AFS6" i="2"/>
  <c r="AKW6" i="2"/>
  <c r="QI3" i="2"/>
  <c r="QH10" i="2"/>
  <c r="QH8" i="2"/>
  <c r="QH12" i="2"/>
  <c r="QH7" i="2"/>
  <c r="LD3" i="2"/>
  <c r="LC7" i="2"/>
  <c r="LC8" i="2"/>
  <c r="VL8" i="2" s="1"/>
  <c r="LC12" i="2"/>
  <c r="LC9" i="2"/>
  <c r="VL9" i="2" s="1"/>
  <c r="LC11" i="2"/>
  <c r="AAS6" i="2"/>
  <c r="X9" i="1" s="1"/>
  <c r="VO3" i="2"/>
  <c r="VP4" i="2"/>
  <c r="VQ5" i="2"/>
  <c r="LG5" i="2"/>
  <c r="LF4" i="2"/>
  <c r="QK4" i="2"/>
  <c r="QL5" i="2"/>
  <c r="AW4" i="2"/>
  <c r="AX5" i="2"/>
  <c r="AQG5" i="2"/>
  <c r="AQF4" i="2"/>
  <c r="ALC4" i="2"/>
  <c r="ALD5" i="2"/>
  <c r="AFY5" i="2"/>
  <c r="AFX4" i="2"/>
  <c r="AAU5" i="2"/>
  <c r="AAT4" i="2"/>
  <c r="GB4" i="2"/>
  <c r="GC5" i="2"/>
  <c r="X7" i="1"/>
  <c r="W6" i="1"/>
  <c r="VL10" i="2" l="1"/>
  <c r="VL11" i="2"/>
  <c r="T11" i="1"/>
  <c r="AFT6" i="2"/>
  <c r="VL12" i="2"/>
  <c r="VK6" i="2"/>
  <c r="T8" i="1" s="1"/>
  <c r="T10" i="1" s="1"/>
  <c r="QJ3" i="2"/>
  <c r="QI8" i="2"/>
  <c r="QI10" i="2"/>
  <c r="QI9" i="2"/>
  <c r="QJ9" i="2" s="1"/>
  <c r="QI7" i="2"/>
  <c r="AAT6" i="2"/>
  <c r="Y9" i="1" s="1"/>
  <c r="AKY12" i="2"/>
  <c r="AKY8" i="2"/>
  <c r="AKY13" i="2"/>
  <c r="AKY11" i="2"/>
  <c r="AKY10" i="2"/>
  <c r="AKY7" i="2"/>
  <c r="AKY9" i="2"/>
  <c r="AFU8" i="2"/>
  <c r="AFU7" i="2"/>
  <c r="AFU9" i="2"/>
  <c r="AFU12" i="2"/>
  <c r="AFU11" i="2"/>
  <c r="AFU10" i="2"/>
  <c r="AFU13" i="2"/>
  <c r="LE3" i="2"/>
  <c r="LD9" i="2"/>
  <c r="LD7" i="2"/>
  <c r="LD12" i="2"/>
  <c r="LD13" i="2"/>
  <c r="LD8" i="2"/>
  <c r="LD11" i="2"/>
  <c r="LD10" i="2"/>
  <c r="VL13" i="2"/>
  <c r="QI12" i="2"/>
  <c r="QJ12" i="2" s="1"/>
  <c r="QI13" i="2"/>
  <c r="AX12" i="2"/>
  <c r="AX10" i="2"/>
  <c r="AX13" i="2"/>
  <c r="AX11" i="2"/>
  <c r="AX7" i="2"/>
  <c r="AX9" i="2"/>
  <c r="AX8" i="2"/>
  <c r="AQG7" i="2"/>
  <c r="AQG10" i="2"/>
  <c r="AQG11" i="2"/>
  <c r="AQG12" i="2"/>
  <c r="AQG8" i="2"/>
  <c r="AQG13" i="2"/>
  <c r="AQG9" i="2"/>
  <c r="AAU7" i="2"/>
  <c r="AAU10" i="2"/>
  <c r="AAU13" i="2"/>
  <c r="AAU12" i="2"/>
  <c r="AAU11" i="2"/>
  <c r="AAU9" i="2"/>
  <c r="AAU8" i="2"/>
  <c r="W12" i="1"/>
  <c r="W17" i="1"/>
  <c r="GC13" i="2"/>
  <c r="GC8" i="2"/>
  <c r="GC12" i="2"/>
  <c r="GC10" i="2"/>
  <c r="GC11" i="2"/>
  <c r="GC7" i="2"/>
  <c r="GC9" i="2"/>
  <c r="VL7" i="2"/>
  <c r="AKX6" i="2"/>
  <c r="U11" i="1" s="1"/>
  <c r="AQF6" i="2"/>
  <c r="Y19" i="1" s="1"/>
  <c r="QI11" i="2"/>
  <c r="QJ11" i="2" s="1"/>
  <c r="VP3" i="2"/>
  <c r="VQ4" i="2"/>
  <c r="VR5" i="2"/>
  <c r="QL4" i="2"/>
  <c r="QM5" i="2"/>
  <c r="LH5" i="2"/>
  <c r="LG4" i="2"/>
  <c r="AX4" i="2"/>
  <c r="AY5" i="2"/>
  <c r="AQH5" i="2"/>
  <c r="AQG4" i="2"/>
  <c r="ALE5" i="2"/>
  <c r="ALD4" i="2"/>
  <c r="AFZ5" i="2"/>
  <c r="AFY4" i="2"/>
  <c r="AAV5" i="2"/>
  <c r="AAU4" i="2"/>
  <c r="GD5" i="2"/>
  <c r="GC4" i="2"/>
  <c r="L14" i="1"/>
  <c r="L15" i="1" s="1"/>
  <c r="L18" i="1" s="1"/>
  <c r="L20" i="1" s="1"/>
  <c r="O14" i="1"/>
  <c r="O15" i="1" s="1"/>
  <c r="O18" i="1" s="1"/>
  <c r="O20" i="1" s="1"/>
  <c r="R14" i="1"/>
  <c r="R15" i="1" s="1"/>
  <c r="R18" i="1" s="1"/>
  <c r="R20" i="1" s="1"/>
  <c r="Q14" i="1"/>
  <c r="Q15" i="1" s="1"/>
  <c r="Q18" i="1" s="1"/>
  <c r="Q20" i="1" s="1"/>
  <c r="M14" i="1"/>
  <c r="M15" i="1" s="1"/>
  <c r="M18" i="1" s="1"/>
  <c r="M20" i="1" s="1"/>
  <c r="K14" i="1"/>
  <c r="K15" i="1" s="1"/>
  <c r="K18" i="1" s="1"/>
  <c r="K20" i="1" s="1"/>
  <c r="S14" i="1"/>
  <c r="S15" i="1" s="1"/>
  <c r="S18" i="1" s="1"/>
  <c r="S20" i="1" s="1"/>
  <c r="N14" i="1"/>
  <c r="N15" i="1" s="1"/>
  <c r="N18" i="1" s="1"/>
  <c r="N20" i="1" s="1"/>
  <c r="P14" i="1"/>
  <c r="P15" i="1" s="1"/>
  <c r="P18" i="1" s="1"/>
  <c r="P20" i="1" s="1"/>
  <c r="X6" i="1"/>
  <c r="Y7" i="1"/>
  <c r="VM8" i="2" l="1"/>
  <c r="T13" i="1"/>
  <c r="T14" i="1" s="1"/>
  <c r="T15" i="1" s="1"/>
  <c r="T18" i="1" s="1"/>
  <c r="T20" i="1" s="1"/>
  <c r="VM10" i="2"/>
  <c r="AQG6" i="2"/>
  <c r="Z19" i="1" s="1"/>
  <c r="AFU6" i="2"/>
  <c r="QJ10" i="2"/>
  <c r="LE11" i="2"/>
  <c r="VN11" i="2" s="1"/>
  <c r="VM11" i="2"/>
  <c r="X12" i="1"/>
  <c r="X17" i="1"/>
  <c r="AKY6" i="2"/>
  <c r="V11" i="1" s="1"/>
  <c r="LE13" i="2"/>
  <c r="VM13" i="2"/>
  <c r="VM12" i="2"/>
  <c r="VM7" i="2"/>
  <c r="LF3" i="2"/>
  <c r="LE7" i="2"/>
  <c r="LE8" i="2"/>
  <c r="LE9" i="2"/>
  <c r="VN9" i="2" s="1"/>
  <c r="LE10" i="2"/>
  <c r="LE12" i="2"/>
  <c r="VN12" i="2" s="1"/>
  <c r="GD13" i="2"/>
  <c r="GD12" i="2"/>
  <c r="GD8" i="2"/>
  <c r="GD9" i="2"/>
  <c r="GD7" i="2"/>
  <c r="GD10" i="2"/>
  <c r="GD11" i="2"/>
  <c r="AQH7" i="2"/>
  <c r="AQH10" i="2"/>
  <c r="AQH9" i="2"/>
  <c r="AQH11" i="2"/>
  <c r="AQH13" i="2"/>
  <c r="AQH12" i="2"/>
  <c r="AQH8" i="2"/>
  <c r="AY13" i="2"/>
  <c r="AY9" i="2"/>
  <c r="AY12" i="2"/>
  <c r="AY7" i="2"/>
  <c r="AY11" i="2"/>
  <c r="AY10" i="2"/>
  <c r="AY8" i="2"/>
  <c r="AAV7" i="2"/>
  <c r="AAV10" i="2"/>
  <c r="AAV11" i="2"/>
  <c r="AAV12" i="2"/>
  <c r="AAV13" i="2"/>
  <c r="AAV9" i="2"/>
  <c r="AAV8" i="2"/>
  <c r="VL6" i="2"/>
  <c r="U8" i="1" s="1"/>
  <c r="U10" i="1" s="1"/>
  <c r="U13" i="1" s="1"/>
  <c r="U14" i="1" s="1"/>
  <c r="U15" i="1" s="1"/>
  <c r="U18" i="1" s="1"/>
  <c r="U20" i="1" s="1"/>
  <c r="AKZ12" i="2"/>
  <c r="AKZ10" i="2"/>
  <c r="AKZ9" i="2"/>
  <c r="AKZ13" i="2"/>
  <c r="AKZ11" i="2"/>
  <c r="AKZ8" i="2"/>
  <c r="AKZ7" i="2"/>
  <c r="AFV7" i="2"/>
  <c r="AFV9" i="2"/>
  <c r="AFV8" i="2"/>
  <c r="AFV12" i="2"/>
  <c r="AFV13" i="2"/>
  <c r="AFV11" i="2"/>
  <c r="AFV10" i="2"/>
  <c r="AAU6" i="2"/>
  <c r="Z9" i="1" s="1"/>
  <c r="VM9" i="2"/>
  <c r="QK3" i="2"/>
  <c r="QJ13" i="2"/>
  <c r="QJ8" i="2"/>
  <c r="QK8" i="2" s="1"/>
  <c r="QJ7" i="2"/>
  <c r="VQ3" i="2"/>
  <c r="VS5" i="2"/>
  <c r="VR4" i="2"/>
  <c r="LI5" i="2"/>
  <c r="LH4" i="2"/>
  <c r="QN5" i="2"/>
  <c r="QM4" i="2"/>
  <c r="AY4" i="2"/>
  <c r="AZ5" i="2"/>
  <c r="AQH4" i="2"/>
  <c r="AQI5" i="2"/>
  <c r="ALF5" i="2"/>
  <c r="ALE4" i="2"/>
  <c r="AGA5" i="2"/>
  <c r="AFZ4" i="2"/>
  <c r="AAW5" i="2"/>
  <c r="AAV4" i="2"/>
  <c r="GE5" i="2"/>
  <c r="GD4" i="2"/>
  <c r="Y6" i="1"/>
  <c r="Z7" i="1"/>
  <c r="VN10" i="2" l="1"/>
  <c r="QK10" i="2"/>
  <c r="AKZ6" i="2"/>
  <c r="QK9" i="2"/>
  <c r="AAW10" i="2"/>
  <c r="AAW7" i="2"/>
  <c r="AAW12" i="2"/>
  <c r="AAW13" i="2"/>
  <c r="AAW11" i="2"/>
  <c r="AAW9" i="2"/>
  <c r="AAW8" i="2"/>
  <c r="VM6" i="2"/>
  <c r="V8" i="1" s="1"/>
  <c r="V10" i="1" s="1"/>
  <c r="V13" i="1" s="1"/>
  <c r="V14" i="1" s="1"/>
  <c r="V15" i="1" s="1"/>
  <c r="V18" i="1" s="1"/>
  <c r="V20" i="1" s="1"/>
  <c r="VN13" i="2"/>
  <c r="VN7" i="2"/>
  <c r="QL3" i="2"/>
  <c r="QK7" i="2"/>
  <c r="QK13" i="2"/>
  <c r="AQH6" i="2"/>
  <c r="AA19" i="1" s="1"/>
  <c r="QK11" i="2"/>
  <c r="Y12" i="1"/>
  <c r="Y17" i="1"/>
  <c r="AQI10" i="2"/>
  <c r="AQI7" i="2"/>
  <c r="AQI12" i="2"/>
  <c r="AQI11" i="2"/>
  <c r="AQI13" i="2"/>
  <c r="AQI9" i="2"/>
  <c r="AQI8" i="2"/>
  <c r="GE13" i="2"/>
  <c r="GE12" i="2"/>
  <c r="GE8" i="2"/>
  <c r="GE7" i="2"/>
  <c r="GE11" i="2"/>
  <c r="GE9" i="2"/>
  <c r="GE10" i="2"/>
  <c r="AAV6" i="2"/>
  <c r="AA9" i="1" s="1"/>
  <c r="LG3" i="2"/>
  <c r="LF8" i="2"/>
  <c r="VO8" i="2" s="1"/>
  <c r="LF12" i="2"/>
  <c r="LF11" i="2"/>
  <c r="VO11" i="2" s="1"/>
  <c r="LF7" i="2"/>
  <c r="LF10" i="2"/>
  <c r="VO10" i="2" s="1"/>
  <c r="LF9" i="2"/>
  <c r="LF13" i="2"/>
  <c r="AZ13" i="2"/>
  <c r="AZ11" i="2"/>
  <c r="AZ12" i="2"/>
  <c r="AZ10" i="2"/>
  <c r="AZ9" i="2"/>
  <c r="AZ7" i="2"/>
  <c r="AZ8" i="2"/>
  <c r="AFV6" i="2"/>
  <c r="W11" i="1" s="1"/>
  <c r="VN8" i="2"/>
  <c r="ALA10" i="2"/>
  <c r="ALA7" i="2"/>
  <c r="ALA11" i="2"/>
  <c r="ALA13" i="2"/>
  <c r="ALA9" i="2"/>
  <c r="ALA12" i="2"/>
  <c r="ALA8" i="2"/>
  <c r="AFW11" i="2"/>
  <c r="AFW8" i="2"/>
  <c r="AFW13" i="2"/>
  <c r="AFW9" i="2"/>
  <c r="AFW12" i="2"/>
  <c r="AFW7" i="2"/>
  <c r="AFW10" i="2"/>
  <c r="QK12" i="2"/>
  <c r="QL12" i="2" s="1"/>
  <c r="VR3" i="2"/>
  <c r="VT5" i="2"/>
  <c r="VS4" i="2"/>
  <c r="QN4" i="2"/>
  <c r="QO5" i="2"/>
  <c r="LJ5" i="2"/>
  <c r="LI4" i="2"/>
  <c r="AZ4" i="2"/>
  <c r="BA5" i="2"/>
  <c r="AQJ5" i="2"/>
  <c r="AQI4" i="2"/>
  <c r="ALG5" i="2"/>
  <c r="ALF4" i="2"/>
  <c r="AGB5" i="2"/>
  <c r="AGA4" i="2"/>
  <c r="AAX5" i="2"/>
  <c r="AAW4" i="2"/>
  <c r="GF5" i="2"/>
  <c r="GE4" i="2"/>
  <c r="Z6" i="1"/>
  <c r="AA7" i="1"/>
  <c r="VO9" i="2" l="1"/>
  <c r="VO7" i="2"/>
  <c r="VO12" i="2"/>
  <c r="VN6" i="2"/>
  <c r="W8" i="1" s="1"/>
  <c r="W10" i="1" s="1"/>
  <c r="W13" i="1" s="1"/>
  <c r="W14" i="1" s="1"/>
  <c r="W15" i="1" s="1"/>
  <c r="W18" i="1" s="1"/>
  <c r="W20" i="1" s="1"/>
  <c r="QM3" i="2"/>
  <c r="QL13" i="2"/>
  <c r="QL8" i="2"/>
  <c r="QM8" i="2" s="1"/>
  <c r="QL9" i="2"/>
  <c r="QL7" i="2"/>
  <c r="ALB10" i="2"/>
  <c r="ALB13" i="2"/>
  <c r="ALB7" i="2"/>
  <c r="ALB11" i="2"/>
  <c r="ALB8" i="2"/>
  <c r="ALB12" i="2"/>
  <c r="ALB9" i="2"/>
  <c r="AFX7" i="2"/>
  <c r="AFX11" i="2"/>
  <c r="AFX13" i="2"/>
  <c r="AFX8" i="2"/>
  <c r="AFX9" i="2"/>
  <c r="AFX10" i="2"/>
  <c r="AFX12" i="2"/>
  <c r="AFW6" i="2"/>
  <c r="LH3" i="2"/>
  <c r="LG8" i="2"/>
  <c r="LG7" i="2"/>
  <c r="LG10" i="2"/>
  <c r="LG11" i="2"/>
  <c r="LG9" i="2"/>
  <c r="LG12" i="2"/>
  <c r="VP12" i="2" s="1"/>
  <c r="AAX10" i="2"/>
  <c r="AAX7" i="2"/>
  <c r="AAX12" i="2"/>
  <c r="AAX13" i="2"/>
  <c r="AAX11" i="2"/>
  <c r="AAX9" i="2"/>
  <c r="AAX8" i="2"/>
  <c r="LG13" i="2"/>
  <c r="VO13" i="2"/>
  <c r="AQI6" i="2"/>
  <c r="AB19" i="1" s="1"/>
  <c r="QL11" i="2"/>
  <c r="AAW6" i="2"/>
  <c r="AB9" i="1" s="1"/>
  <c r="BA13" i="2"/>
  <c r="BA11" i="2"/>
  <c r="BA10" i="2"/>
  <c r="BA12" i="2"/>
  <c r="BA7" i="2"/>
  <c r="BA8" i="2"/>
  <c r="BA9" i="2"/>
  <c r="Z12" i="1"/>
  <c r="Z17" i="1"/>
  <c r="ALA6" i="2"/>
  <c r="GF13" i="2"/>
  <c r="GF8" i="2"/>
  <c r="GF12" i="2"/>
  <c r="GF11" i="2"/>
  <c r="GF9" i="2"/>
  <c r="GF10" i="2"/>
  <c r="GF7" i="2"/>
  <c r="AQJ7" i="2"/>
  <c r="AQJ10" i="2"/>
  <c r="AQJ11" i="2"/>
  <c r="AQJ13" i="2"/>
  <c r="AQJ9" i="2"/>
  <c r="AQJ12" i="2"/>
  <c r="AQJ8" i="2"/>
  <c r="QL10" i="2"/>
  <c r="VS3" i="2"/>
  <c r="VU5" i="2"/>
  <c r="VT4" i="2"/>
  <c r="LK5" i="2"/>
  <c r="LJ4" i="2"/>
  <c r="QO4" i="2"/>
  <c r="QP5" i="2"/>
  <c r="BB5" i="2"/>
  <c r="BA4" i="2"/>
  <c r="AQK5" i="2"/>
  <c r="AQJ4" i="2"/>
  <c r="ALH5" i="2"/>
  <c r="ALG4" i="2"/>
  <c r="AGB4" i="2"/>
  <c r="AGC5" i="2"/>
  <c r="AAX4" i="2"/>
  <c r="AAY5" i="2"/>
  <c r="GG5" i="2"/>
  <c r="GF4" i="2"/>
  <c r="AB7" i="1"/>
  <c r="AA6" i="1"/>
  <c r="VO6" i="2" l="1"/>
  <c r="X8" i="1" s="1"/>
  <c r="X10" i="1" s="1"/>
  <c r="VP9" i="2"/>
  <c r="VP7" i="2"/>
  <c r="VP13" i="2"/>
  <c r="GG8" i="2"/>
  <c r="GG13" i="2"/>
  <c r="GG12" i="2"/>
  <c r="GG11" i="2"/>
  <c r="GG10" i="2"/>
  <c r="GG7" i="2"/>
  <c r="GG9" i="2"/>
  <c r="AQK7" i="2"/>
  <c r="AQK10" i="2"/>
  <c r="AQK9" i="2"/>
  <c r="AQK12" i="2"/>
  <c r="AQK8" i="2"/>
  <c r="AQK13" i="2"/>
  <c r="AQK11" i="2"/>
  <c r="QN3" i="2"/>
  <c r="QM13" i="2"/>
  <c r="QM10" i="2"/>
  <c r="ALB6" i="2"/>
  <c r="LI3" i="2"/>
  <c r="LH13" i="2"/>
  <c r="LH11" i="2"/>
  <c r="LH7" i="2"/>
  <c r="LH9" i="2"/>
  <c r="LH12" i="2"/>
  <c r="LH8" i="2"/>
  <c r="VQ8" i="2" s="1"/>
  <c r="LH10" i="2"/>
  <c r="AAY7" i="2"/>
  <c r="AAY10" i="2"/>
  <c r="AAY13" i="2"/>
  <c r="AAY12" i="2"/>
  <c r="AAY9" i="2"/>
  <c r="AAY11" i="2"/>
  <c r="AAY8" i="2"/>
  <c r="BB13" i="2"/>
  <c r="BB11" i="2"/>
  <c r="BB12" i="2"/>
  <c r="BB10" i="2"/>
  <c r="BB8" i="2"/>
  <c r="BB7" i="2"/>
  <c r="BB9" i="2"/>
  <c r="VP11" i="2"/>
  <c r="ALC9" i="2"/>
  <c r="ALC8" i="2"/>
  <c r="ALC11" i="2"/>
  <c r="ALC13" i="2"/>
  <c r="ALC7" i="2"/>
  <c r="ALC10" i="2"/>
  <c r="ALC12" i="2"/>
  <c r="AFY7" i="2"/>
  <c r="AFY12" i="2"/>
  <c r="AFY13" i="2"/>
  <c r="AFY10" i="2"/>
  <c r="AFY8" i="2"/>
  <c r="AFY9" i="2"/>
  <c r="AFY11" i="2"/>
  <c r="QM11" i="2"/>
  <c r="VP10" i="2"/>
  <c r="AQJ6" i="2"/>
  <c r="AC19" i="1" s="1"/>
  <c r="AFX6" i="2"/>
  <c r="QM7" i="2"/>
  <c r="AA12" i="1"/>
  <c r="AA17" i="1"/>
  <c r="AAX6" i="2"/>
  <c r="AC9" i="1" s="1"/>
  <c r="VP8" i="2"/>
  <c r="X11" i="1"/>
  <c r="X13" i="1" s="1"/>
  <c r="X14" i="1" s="1"/>
  <c r="X15" i="1" s="1"/>
  <c r="X18" i="1" s="1"/>
  <c r="X20" i="1" s="1"/>
  <c r="QM9" i="2"/>
  <c r="QM12" i="2"/>
  <c r="QN12" i="2" s="1"/>
  <c r="VT3" i="2"/>
  <c r="VV5" i="2"/>
  <c r="VU4" i="2"/>
  <c r="QP4" i="2"/>
  <c r="QQ5" i="2"/>
  <c r="LL5" i="2"/>
  <c r="LK4" i="2"/>
  <c r="BB4" i="2"/>
  <c r="BC5" i="2"/>
  <c r="AQK4" i="2"/>
  <c r="AQL5" i="2"/>
  <c r="ALH4" i="2"/>
  <c r="ALI5" i="2"/>
  <c r="AGD5" i="2"/>
  <c r="AGC4" i="2"/>
  <c r="AAY4" i="2"/>
  <c r="AAZ5" i="2"/>
  <c r="GG4" i="2"/>
  <c r="GH5" i="2"/>
  <c r="AC7" i="1"/>
  <c r="AB6" i="1"/>
  <c r="VQ10" i="2" l="1"/>
  <c r="Y11" i="1"/>
  <c r="VQ11" i="2"/>
  <c r="QN10" i="2"/>
  <c r="AFY6" i="2"/>
  <c r="QN7" i="2"/>
  <c r="QN11" i="2"/>
  <c r="VP6" i="2"/>
  <c r="Y8" i="1" s="1"/>
  <c r="Y10" i="1" s="1"/>
  <c r="Y13" i="1" s="1"/>
  <c r="Y14" i="1" s="1"/>
  <c r="Y15" i="1" s="1"/>
  <c r="Y18" i="1" s="1"/>
  <c r="Y20" i="1" s="1"/>
  <c r="LI13" i="2"/>
  <c r="VQ13" i="2"/>
  <c r="GH13" i="2"/>
  <c r="GH8" i="2"/>
  <c r="GH12" i="2"/>
  <c r="GH7" i="2"/>
  <c r="GH9" i="2"/>
  <c r="GH11" i="2"/>
  <c r="GH10" i="2"/>
  <c r="AQL7" i="2"/>
  <c r="AQL10" i="2"/>
  <c r="AQL11" i="2"/>
  <c r="AQL12" i="2"/>
  <c r="AQL13" i="2"/>
  <c r="AQL9" i="2"/>
  <c r="AQL8" i="2"/>
  <c r="AAY6" i="2"/>
  <c r="AD9" i="1" s="1"/>
  <c r="LJ3" i="2"/>
  <c r="LI7" i="2"/>
  <c r="LI10" i="2"/>
  <c r="VR10" i="2" s="1"/>
  <c r="LI11" i="2"/>
  <c r="LI8" i="2"/>
  <c r="LI9" i="2"/>
  <c r="LI12" i="2"/>
  <c r="VR12" i="2" s="1"/>
  <c r="ALC6" i="2"/>
  <c r="Z11" i="1" s="1"/>
  <c r="QO3" i="2"/>
  <c r="QO12" i="2" s="1"/>
  <c r="QN9" i="2"/>
  <c r="QN13" i="2"/>
  <c r="AAZ7" i="2"/>
  <c r="AAZ10" i="2"/>
  <c r="AAZ13" i="2"/>
  <c r="AAZ11" i="2"/>
  <c r="AAZ12" i="2"/>
  <c r="AAZ9" i="2"/>
  <c r="AAZ8" i="2"/>
  <c r="AB17" i="1"/>
  <c r="AB12" i="1"/>
  <c r="VQ12" i="2"/>
  <c r="VQ9" i="2"/>
  <c r="BC12" i="2"/>
  <c r="BC11" i="2"/>
  <c r="BC10" i="2"/>
  <c r="BC8" i="2"/>
  <c r="BC13" i="2"/>
  <c r="BC7" i="2"/>
  <c r="BC9" i="2"/>
  <c r="ALD10" i="2"/>
  <c r="ALD12" i="2"/>
  <c r="ALD11" i="2"/>
  <c r="ALD13" i="2"/>
  <c r="ALD9" i="2"/>
  <c r="ALD8" i="2"/>
  <c r="ALD7" i="2"/>
  <c r="AFZ7" i="2"/>
  <c r="AFZ10" i="2"/>
  <c r="AFZ11" i="2"/>
  <c r="AFZ13" i="2"/>
  <c r="AFZ9" i="2"/>
  <c r="AFZ8" i="2"/>
  <c r="AFZ12" i="2"/>
  <c r="VQ7" i="2"/>
  <c r="AQK6" i="2"/>
  <c r="AD19" i="1" s="1"/>
  <c r="QN8" i="2"/>
  <c r="VU3" i="2"/>
  <c r="VV4" i="2"/>
  <c r="VW5" i="2"/>
  <c r="LM5" i="2"/>
  <c r="LL4" i="2"/>
  <c r="QQ4" i="2"/>
  <c r="QR5" i="2"/>
  <c r="BC4" i="2"/>
  <c r="BD5" i="2"/>
  <c r="AQL4" i="2"/>
  <c r="AQM5" i="2"/>
  <c r="ALI4" i="2"/>
  <c r="ALJ5" i="2"/>
  <c r="AGD4" i="2"/>
  <c r="AGE5" i="2"/>
  <c r="AAZ4" i="2"/>
  <c r="ABA5" i="2"/>
  <c r="GH4" i="2"/>
  <c r="GI5" i="2"/>
  <c r="AD7" i="1"/>
  <c r="AC6" i="1"/>
  <c r="VR7" i="2" l="1"/>
  <c r="VR8" i="2"/>
  <c r="VR11" i="2"/>
  <c r="QO8" i="2"/>
  <c r="QO11" i="2"/>
  <c r="QP11" i="2" s="1"/>
  <c r="ALE8" i="2"/>
  <c r="ALE12" i="2"/>
  <c r="ALE9" i="2"/>
  <c r="ALE13" i="2"/>
  <c r="ALE10" i="2"/>
  <c r="ALE11" i="2"/>
  <c r="ALE7" i="2"/>
  <c r="AGA10" i="2"/>
  <c r="AGA8" i="2"/>
  <c r="AGA7" i="2"/>
  <c r="AGA13" i="2"/>
  <c r="AGA11" i="2"/>
  <c r="AGA12" i="2"/>
  <c r="AGA9" i="2"/>
  <c r="VR13" i="2"/>
  <c r="ABA7" i="2"/>
  <c r="ABA10" i="2"/>
  <c r="ABA12" i="2"/>
  <c r="ABA11" i="2"/>
  <c r="ABA9" i="2"/>
  <c r="ABA13" i="2"/>
  <c r="ABA8" i="2"/>
  <c r="AC17" i="1"/>
  <c r="AC12" i="1"/>
  <c r="QO7" i="2"/>
  <c r="LK3" i="2"/>
  <c r="LJ13" i="2"/>
  <c r="LJ8" i="2"/>
  <c r="LJ10" i="2"/>
  <c r="LJ9" i="2"/>
  <c r="LJ7" i="2"/>
  <c r="LJ11" i="2"/>
  <c r="VS11" i="2" s="1"/>
  <c r="LJ12" i="2"/>
  <c r="VS12" i="2" s="1"/>
  <c r="BD12" i="2"/>
  <c r="BD13" i="2"/>
  <c r="BD11" i="2"/>
  <c r="BD10" i="2"/>
  <c r="BD8" i="2"/>
  <c r="BD7" i="2"/>
  <c r="BD9" i="2"/>
  <c r="QO9" i="2"/>
  <c r="AFZ6" i="2"/>
  <c r="VQ6" i="2"/>
  <c r="Z8" i="1" s="1"/>
  <c r="Z10" i="1" s="1"/>
  <c r="Z13" i="1" s="1"/>
  <c r="Z14" i="1" s="1"/>
  <c r="Z15" i="1" s="1"/>
  <c r="Z18" i="1" s="1"/>
  <c r="Z20" i="1" s="1"/>
  <c r="QO10" i="2"/>
  <c r="GI13" i="2"/>
  <c r="GI8" i="2"/>
  <c r="GI12" i="2"/>
  <c r="GI10" i="2"/>
  <c r="GI11" i="2"/>
  <c r="GI9" i="2"/>
  <c r="GI7" i="2"/>
  <c r="AQM7" i="2"/>
  <c r="AQM10" i="2"/>
  <c r="AQM9" i="2"/>
  <c r="AQM11" i="2"/>
  <c r="AQM13" i="2"/>
  <c r="AQM12" i="2"/>
  <c r="AQM8" i="2"/>
  <c r="ALD6" i="2"/>
  <c r="AAZ6" i="2"/>
  <c r="AE9" i="1" s="1"/>
  <c r="QP3" i="2"/>
  <c r="QO13" i="2"/>
  <c r="VR9" i="2"/>
  <c r="VR6" i="2" s="1"/>
  <c r="AA8" i="1" s="1"/>
  <c r="AA10" i="1" s="1"/>
  <c r="AQL6" i="2"/>
  <c r="AE19" i="1" s="1"/>
  <c r="VV3" i="2"/>
  <c r="VW4" i="2"/>
  <c r="VX5" i="2"/>
  <c r="QS5" i="2"/>
  <c r="QR4" i="2"/>
  <c r="LN5" i="2"/>
  <c r="LM4" i="2"/>
  <c r="BE5" i="2"/>
  <c r="BD4" i="2"/>
  <c r="AQM4" i="2"/>
  <c r="AQN5" i="2"/>
  <c r="ALJ4" i="2"/>
  <c r="ALK5" i="2"/>
  <c r="AGE4" i="2"/>
  <c r="AGF5" i="2"/>
  <c r="ABA4" i="2"/>
  <c r="ABB5" i="2"/>
  <c r="GI4" i="2"/>
  <c r="GJ5" i="2"/>
  <c r="AD6" i="1"/>
  <c r="AE7" i="1"/>
  <c r="VS9" i="2" l="1"/>
  <c r="VS8" i="2"/>
  <c r="AA11" i="1"/>
  <c r="AA13" i="1" s="1"/>
  <c r="AA14" i="1" s="1"/>
  <c r="AA15" i="1" s="1"/>
  <c r="AA18" i="1" s="1"/>
  <c r="AA20" i="1" s="1"/>
  <c r="BE12" i="2"/>
  <c r="BE10" i="2"/>
  <c r="BE11" i="2"/>
  <c r="BE13" i="2"/>
  <c r="BE9" i="2"/>
  <c r="BE8" i="2"/>
  <c r="BE7" i="2"/>
  <c r="LK7" i="2"/>
  <c r="VS7" i="2"/>
  <c r="ALF12" i="2"/>
  <c r="ALF7" i="2"/>
  <c r="ALF10" i="2"/>
  <c r="ALF11" i="2"/>
  <c r="ALF8" i="2"/>
  <c r="ALF13" i="2"/>
  <c r="ALF9" i="2"/>
  <c r="AGB13" i="2"/>
  <c r="AGB9" i="2"/>
  <c r="AGB11" i="2"/>
  <c r="AGB10" i="2"/>
  <c r="AGB7" i="2"/>
  <c r="AGB12" i="2"/>
  <c r="AGB8" i="2"/>
  <c r="VS10" i="2"/>
  <c r="QP8" i="2"/>
  <c r="AQM6" i="2"/>
  <c r="AF19" i="1" s="1"/>
  <c r="QP10" i="2"/>
  <c r="AGA6" i="2"/>
  <c r="AD17" i="1"/>
  <c r="AD12" i="1"/>
  <c r="VS13" i="2"/>
  <c r="ABA6" i="2"/>
  <c r="AF9" i="1" s="1"/>
  <c r="ABB7" i="2"/>
  <c r="ABB10" i="2"/>
  <c r="ABB11" i="2"/>
  <c r="ABB9" i="2"/>
  <c r="ABB12" i="2"/>
  <c r="ABB13" i="2"/>
  <c r="ABB8" i="2"/>
  <c r="GJ12" i="2"/>
  <c r="GJ13" i="2"/>
  <c r="GJ8" i="2"/>
  <c r="GJ11" i="2"/>
  <c r="GJ7" i="2"/>
  <c r="GJ9" i="2"/>
  <c r="GJ10" i="2"/>
  <c r="AQN7" i="2"/>
  <c r="AQN10" i="2"/>
  <c r="AQN12" i="2"/>
  <c r="AQN13" i="2"/>
  <c r="AQN11" i="2"/>
  <c r="AQN8" i="2"/>
  <c r="AQN9" i="2"/>
  <c r="QP9" i="2"/>
  <c r="LL3" i="2"/>
  <c r="LK8" i="2"/>
  <c r="LK9" i="2"/>
  <c r="LK13" i="2"/>
  <c r="LK11" i="2"/>
  <c r="VT11" i="2" s="1"/>
  <c r="LK10" i="2"/>
  <c r="VT10" i="2" s="1"/>
  <c r="LK12" i="2"/>
  <c r="QQ3" i="2"/>
  <c r="QP13" i="2"/>
  <c r="QP7" i="2"/>
  <c r="ALE6" i="2"/>
  <c r="QP12" i="2"/>
  <c r="QQ12" i="2" s="1"/>
  <c r="VW3" i="2"/>
  <c r="VX4" i="2"/>
  <c r="VY5" i="2"/>
  <c r="LO5" i="2"/>
  <c r="LN4" i="2"/>
  <c r="QS4" i="2"/>
  <c r="QT5" i="2"/>
  <c r="BE4" i="2"/>
  <c r="BF5" i="2"/>
  <c r="AQN4" i="2"/>
  <c r="AQO5" i="2"/>
  <c r="ALL5" i="2"/>
  <c r="ALK4" i="2"/>
  <c r="AGG5" i="2"/>
  <c r="AGF4" i="2"/>
  <c r="ABB4" i="2"/>
  <c r="ABC5" i="2"/>
  <c r="GJ4" i="2"/>
  <c r="GK5" i="2"/>
  <c r="AF7" i="1"/>
  <c r="AE6" i="1"/>
  <c r="VT8" i="2" l="1"/>
  <c r="QQ9" i="2"/>
  <c r="AQN6" i="2"/>
  <c r="AG19" i="1" s="1"/>
  <c r="VS6" i="2"/>
  <c r="AB8" i="1" s="1"/>
  <c r="AB10" i="1" s="1"/>
  <c r="QR3" i="2"/>
  <c r="QQ13" i="2"/>
  <c r="VT12" i="2"/>
  <c r="VT7" i="2"/>
  <c r="AE12" i="1"/>
  <c r="AE17" i="1"/>
  <c r="QQ8" i="2"/>
  <c r="QQ7" i="2"/>
  <c r="VT13" i="2"/>
  <c r="VT9" i="2"/>
  <c r="QQ10" i="2"/>
  <c r="AGB6" i="2"/>
  <c r="QR12" i="2"/>
  <c r="AQO7" i="2"/>
  <c r="AQO10" i="2"/>
  <c r="AQO13" i="2"/>
  <c r="AQO9" i="2"/>
  <c r="AQO8" i="2"/>
  <c r="AQO12" i="2"/>
  <c r="AQO11" i="2"/>
  <c r="ABB6" i="2"/>
  <c r="AG9" i="1" s="1"/>
  <c r="ALG9" i="2"/>
  <c r="ALG11" i="2"/>
  <c r="ALG10" i="2"/>
  <c r="ALG7" i="2"/>
  <c r="ALG12" i="2"/>
  <c r="ALG8" i="2"/>
  <c r="ALG13" i="2"/>
  <c r="AGC12" i="2"/>
  <c r="AGC8" i="2"/>
  <c r="AGC10" i="2"/>
  <c r="AGC11" i="2"/>
  <c r="AGC7" i="2"/>
  <c r="AGC6" i="2" s="1"/>
  <c r="AGC13" i="2"/>
  <c r="AGC9" i="2"/>
  <c r="AB11" i="1"/>
  <c r="GK12" i="2"/>
  <c r="GK13" i="2"/>
  <c r="GK8" i="2"/>
  <c r="GK11" i="2"/>
  <c r="GK10" i="2"/>
  <c r="GK7" i="2"/>
  <c r="GK9" i="2"/>
  <c r="ABC10" i="2"/>
  <c r="ABC7" i="2"/>
  <c r="ABC11" i="2"/>
  <c r="ABC13" i="2"/>
  <c r="ABC9" i="2"/>
  <c r="ABC12" i="2"/>
  <c r="ABC8" i="2"/>
  <c r="BF12" i="2"/>
  <c r="BF10" i="2"/>
  <c r="BF13" i="2"/>
  <c r="BF11" i="2"/>
  <c r="BF7" i="2"/>
  <c r="BF9" i="2"/>
  <c r="BF8" i="2"/>
  <c r="LM3" i="2"/>
  <c r="LL12" i="2"/>
  <c r="VU12" i="2" s="1"/>
  <c r="LL9" i="2"/>
  <c r="VU9" i="2" s="1"/>
  <c r="LL8" i="2"/>
  <c r="LL13" i="2"/>
  <c r="VU13" i="2" s="1"/>
  <c r="LL10" i="2"/>
  <c r="LL11" i="2"/>
  <c r="LL7" i="2"/>
  <c r="QQ11" i="2"/>
  <c r="QR11" i="2" s="1"/>
  <c r="ALF6" i="2"/>
  <c r="VX3" i="2"/>
  <c r="VY4" i="2"/>
  <c r="VZ5" i="2"/>
  <c r="QT4" i="2"/>
  <c r="QU5" i="2"/>
  <c r="LP5" i="2"/>
  <c r="LO4" i="2"/>
  <c r="BF4" i="2"/>
  <c r="BG5" i="2"/>
  <c r="AQP5" i="2"/>
  <c r="AQO4" i="2"/>
  <c r="ALM5" i="2"/>
  <c r="ALL4" i="2"/>
  <c r="AGH5" i="2"/>
  <c r="AGG4" i="2"/>
  <c r="ABD5" i="2"/>
  <c r="ABC4" i="2"/>
  <c r="GL5" i="2"/>
  <c r="GK4" i="2"/>
  <c r="AF6" i="1"/>
  <c r="AG7" i="1"/>
  <c r="VU8" i="2" l="1"/>
  <c r="ALG6" i="2"/>
  <c r="QR9" i="2"/>
  <c r="VU7" i="2"/>
  <c r="AD11" i="1"/>
  <c r="VU10" i="2"/>
  <c r="QR7" i="2"/>
  <c r="QR10" i="2"/>
  <c r="QR8" i="2"/>
  <c r="ABC6" i="2"/>
  <c r="AH9" i="1" s="1"/>
  <c r="AB13" i="1"/>
  <c r="AB14" i="1" s="1"/>
  <c r="AB15" i="1" s="1"/>
  <c r="AB18" i="1" s="1"/>
  <c r="AB20" i="1" s="1"/>
  <c r="VT6" i="2"/>
  <c r="AC8" i="1" s="1"/>
  <c r="AC10" i="1" s="1"/>
  <c r="LN3" i="2"/>
  <c r="LM7" i="2"/>
  <c r="LM11" i="2"/>
  <c r="VV11" i="2" s="1"/>
  <c r="LM10" i="2"/>
  <c r="VV10" i="2" s="1"/>
  <c r="LM8" i="2"/>
  <c r="LM9" i="2"/>
  <c r="LM13" i="2"/>
  <c r="LM12" i="2"/>
  <c r="VV12" i="2" s="1"/>
  <c r="GL13" i="2"/>
  <c r="GL8" i="2"/>
  <c r="GL12" i="2"/>
  <c r="GL9" i="2"/>
  <c r="GL10" i="2"/>
  <c r="GL11" i="2"/>
  <c r="GL7" i="2"/>
  <c r="AQP10" i="2"/>
  <c r="AQP7" i="2"/>
  <c r="AQP11" i="2"/>
  <c r="AQP9" i="2"/>
  <c r="AQP8" i="2"/>
  <c r="AQP12" i="2"/>
  <c r="AQP13" i="2"/>
  <c r="ALH7" i="2"/>
  <c r="ALH10" i="2"/>
  <c r="ALH12" i="2"/>
  <c r="ALH8" i="2"/>
  <c r="ALH11" i="2"/>
  <c r="ALH9" i="2"/>
  <c r="ALH13" i="2"/>
  <c r="AGD7" i="2"/>
  <c r="AGD11" i="2"/>
  <c r="AGD9" i="2"/>
  <c r="AGD10" i="2"/>
  <c r="AGD8" i="2"/>
  <c r="AGD13" i="2"/>
  <c r="AGD12" i="2"/>
  <c r="AF12" i="1"/>
  <c r="AF17" i="1"/>
  <c r="VU11" i="2"/>
  <c r="VU6" i="2" s="1"/>
  <c r="AD8" i="1" s="1"/>
  <c r="AD10" i="1" s="1"/>
  <c r="AQO6" i="2"/>
  <c r="AH19" i="1" s="1"/>
  <c r="AC11" i="1"/>
  <c r="QS3" i="2"/>
  <c r="QR13" i="2"/>
  <c r="BG13" i="2"/>
  <c r="BG10" i="2"/>
  <c r="BG7" i="2"/>
  <c r="BG9" i="2"/>
  <c r="BG11" i="2"/>
  <c r="BG12" i="2"/>
  <c r="BG8" i="2"/>
  <c r="ABD7" i="2"/>
  <c r="ABD10" i="2"/>
  <c r="ABD12" i="2"/>
  <c r="ABD11" i="2"/>
  <c r="ABD13" i="2"/>
  <c r="ABD9" i="2"/>
  <c r="ABD8" i="2"/>
  <c r="VY3" i="2"/>
  <c r="WA5" i="2"/>
  <c r="VZ4" i="2"/>
  <c r="LQ5" i="2"/>
  <c r="LP4" i="2"/>
  <c r="QV5" i="2"/>
  <c r="QU4" i="2"/>
  <c r="BG4" i="2"/>
  <c r="BH5" i="2"/>
  <c r="AQQ5" i="2"/>
  <c r="AQP4" i="2"/>
  <c r="ALN5" i="2"/>
  <c r="ALM4" i="2"/>
  <c r="AGI5" i="2"/>
  <c r="AGH4" i="2"/>
  <c r="ABE5" i="2"/>
  <c r="ABD4" i="2"/>
  <c r="GM5" i="2"/>
  <c r="GL4" i="2"/>
  <c r="AG6" i="1"/>
  <c r="AH7" i="1"/>
  <c r="VV8" i="2" l="1"/>
  <c r="AD13" i="1"/>
  <c r="AD14" i="1" s="1"/>
  <c r="AD15" i="1" s="1"/>
  <c r="AD18" i="1" s="1"/>
  <c r="AD20" i="1" s="1"/>
  <c r="VV9" i="2"/>
  <c r="VV7" i="2"/>
  <c r="AC13" i="1"/>
  <c r="AC14" i="1" s="1"/>
  <c r="AC15" i="1" s="1"/>
  <c r="AC18" i="1" s="1"/>
  <c r="AC20" i="1" s="1"/>
  <c r="VV13" i="2"/>
  <c r="QS8" i="2"/>
  <c r="QS12" i="2"/>
  <c r="AG12" i="1"/>
  <c r="AG17" i="1"/>
  <c r="QS7" i="2"/>
  <c r="AQQ10" i="2"/>
  <c r="AQQ7" i="2"/>
  <c r="AQQ12" i="2"/>
  <c r="AQQ13" i="2"/>
  <c r="AQQ9" i="2"/>
  <c r="AQQ11" i="2"/>
  <c r="AQQ8" i="2"/>
  <c r="LO3" i="2"/>
  <c r="LN9" i="2"/>
  <c r="LN7" i="2"/>
  <c r="LN10" i="2"/>
  <c r="LN12" i="2"/>
  <c r="LN8" i="2"/>
  <c r="VW8" i="2" s="1"/>
  <c r="LN13" i="2"/>
  <c r="LN11" i="2"/>
  <c r="QT3" i="2"/>
  <c r="QS13" i="2"/>
  <c r="GM13" i="2"/>
  <c r="GM12" i="2"/>
  <c r="GM8" i="2"/>
  <c r="GM10" i="2"/>
  <c r="GM11" i="2"/>
  <c r="GM7" i="2"/>
  <c r="GM9" i="2"/>
  <c r="QS10" i="2"/>
  <c r="BH9" i="2"/>
  <c r="BH13" i="2"/>
  <c r="BH11" i="2"/>
  <c r="BH12" i="2"/>
  <c r="BH10" i="2"/>
  <c r="BH7" i="2"/>
  <c r="BH8" i="2"/>
  <c r="ABE7" i="2"/>
  <c r="ABE10" i="2"/>
  <c r="ABE12" i="2"/>
  <c r="ABE9" i="2"/>
  <c r="ABE8" i="2"/>
  <c r="ABE11" i="2"/>
  <c r="ABE13" i="2"/>
  <c r="QS9" i="2"/>
  <c r="ALI12" i="2"/>
  <c r="ALI11" i="2"/>
  <c r="ALI7" i="2"/>
  <c r="ALI9" i="2"/>
  <c r="ALI13" i="2"/>
  <c r="ALI10" i="2"/>
  <c r="ALI8" i="2"/>
  <c r="AGE12" i="2"/>
  <c r="AGE8" i="2"/>
  <c r="AGE7" i="2"/>
  <c r="AGE10" i="2"/>
  <c r="AGE13" i="2"/>
  <c r="AGE11" i="2"/>
  <c r="AGE9" i="2"/>
  <c r="ALH6" i="2"/>
  <c r="ABD6" i="2"/>
  <c r="AI9" i="1" s="1"/>
  <c r="QS11" i="2"/>
  <c r="QT11" i="2" s="1"/>
  <c r="AGD6" i="2"/>
  <c r="AQP6" i="2"/>
  <c r="AI19" i="1" s="1"/>
  <c r="VZ3" i="2"/>
  <c r="WB5" i="2"/>
  <c r="WA4" i="2"/>
  <c r="QV4" i="2"/>
  <c r="QW5" i="2"/>
  <c r="LQ4" i="2"/>
  <c r="LR5" i="2"/>
  <c r="BH4" i="2"/>
  <c r="BI5" i="2"/>
  <c r="AQR5" i="2"/>
  <c r="AQQ4" i="2"/>
  <c r="ALO5" i="2"/>
  <c r="ALN4" i="2"/>
  <c r="AGJ5" i="2"/>
  <c r="AGI4" i="2"/>
  <c r="ABF5" i="2"/>
  <c r="ABE4" i="2"/>
  <c r="GN5" i="2"/>
  <c r="GM4" i="2"/>
  <c r="AH6" i="1"/>
  <c r="AI7" i="1"/>
  <c r="VV6" i="2" l="1"/>
  <c r="AE8" i="1" s="1"/>
  <c r="AE10" i="1" s="1"/>
  <c r="VW12" i="2"/>
  <c r="AE11" i="1"/>
  <c r="AGE6" i="2"/>
  <c r="QT10" i="2"/>
  <c r="VW10" i="2"/>
  <c r="GN12" i="2"/>
  <c r="GN8" i="2"/>
  <c r="GN13" i="2"/>
  <c r="GN7" i="2"/>
  <c r="GN9" i="2"/>
  <c r="GN10" i="2"/>
  <c r="GN11" i="2"/>
  <c r="QU3" i="2"/>
  <c r="QU11" i="2" s="1"/>
  <c r="QT13" i="2"/>
  <c r="LO7" i="2"/>
  <c r="VW7" i="2"/>
  <c r="QT7" i="2"/>
  <c r="AQQ6" i="2"/>
  <c r="AJ19" i="1" s="1"/>
  <c r="ABF7" i="2"/>
  <c r="ABF10" i="2"/>
  <c r="ABF11" i="2"/>
  <c r="ABF13" i="2"/>
  <c r="ABF12" i="2"/>
  <c r="ABF8" i="2"/>
  <c r="ABF9" i="2"/>
  <c r="VW9" i="2"/>
  <c r="ALJ8" i="2"/>
  <c r="ALJ10" i="2"/>
  <c r="ALJ13" i="2"/>
  <c r="ALJ11" i="2"/>
  <c r="ALJ9" i="2"/>
  <c r="ALJ7" i="2"/>
  <c r="ALJ12" i="2"/>
  <c r="AGF11" i="2"/>
  <c r="AGF10" i="2"/>
  <c r="AGF7" i="2"/>
  <c r="AGF12" i="2"/>
  <c r="AGF9" i="2"/>
  <c r="AGF13" i="2"/>
  <c r="AGF8" i="2"/>
  <c r="BI13" i="2"/>
  <c r="BI11" i="2"/>
  <c r="BI12" i="2"/>
  <c r="BI10" i="2"/>
  <c r="BI7" i="2"/>
  <c r="BI9" i="2"/>
  <c r="BI8" i="2"/>
  <c r="ALI6" i="2"/>
  <c r="LP3" i="2"/>
  <c r="LO9" i="2"/>
  <c r="LO11" i="2"/>
  <c r="VX11" i="2" s="1"/>
  <c r="LO10" i="2"/>
  <c r="VX10" i="2" s="1"/>
  <c r="LO8" i="2"/>
  <c r="LO13" i="2"/>
  <c r="LO12" i="2"/>
  <c r="QT12" i="2"/>
  <c r="QU12" i="2" s="1"/>
  <c r="ABE6" i="2"/>
  <c r="AJ9" i="1" s="1"/>
  <c r="VW11" i="2"/>
  <c r="AE13" i="1"/>
  <c r="AE14" i="1" s="1"/>
  <c r="AE15" i="1" s="1"/>
  <c r="AE18" i="1" s="1"/>
  <c r="AE20" i="1" s="1"/>
  <c r="AQR7" i="2"/>
  <c r="AQR10" i="2"/>
  <c r="AQR11" i="2"/>
  <c r="AQR12" i="2"/>
  <c r="AQR13" i="2"/>
  <c r="AQR9" i="2"/>
  <c r="AQR8" i="2"/>
  <c r="AH12" i="1"/>
  <c r="AH17" i="1"/>
  <c r="QT9" i="2"/>
  <c r="QU9" i="2" s="1"/>
  <c r="VW13" i="2"/>
  <c r="QT8" i="2"/>
  <c r="QU8" i="2" s="1"/>
  <c r="WA3" i="2"/>
  <c r="WC5" i="2"/>
  <c r="WB4" i="2"/>
  <c r="QW4" i="2"/>
  <c r="QX5" i="2"/>
  <c r="LS5" i="2"/>
  <c r="LR4" i="2"/>
  <c r="BI4" i="2"/>
  <c r="BJ5" i="2"/>
  <c r="AQR4" i="2"/>
  <c r="AQS5" i="2"/>
  <c r="ALO4" i="2"/>
  <c r="ALP5" i="2"/>
  <c r="AGJ4" i="2"/>
  <c r="AGK5" i="2"/>
  <c r="ABG5" i="2"/>
  <c r="ABF4" i="2"/>
  <c r="GO5" i="2"/>
  <c r="GN4" i="2"/>
  <c r="AJ7" i="1"/>
  <c r="AI6" i="1"/>
  <c r="VX7" i="2" l="1"/>
  <c r="VX12" i="2"/>
  <c r="AF11" i="1"/>
  <c r="AI17" i="1"/>
  <c r="AI12" i="1"/>
  <c r="VX9" i="2"/>
  <c r="ALJ6" i="2"/>
  <c r="QV3" i="2"/>
  <c r="QU13" i="2"/>
  <c r="VW6" i="2"/>
  <c r="AF8" i="1" s="1"/>
  <c r="AF10" i="1" s="1"/>
  <c r="LQ3" i="2"/>
  <c r="LP7" i="2"/>
  <c r="LP8" i="2"/>
  <c r="VY8" i="2" s="1"/>
  <c r="LP13" i="2"/>
  <c r="LP10" i="2"/>
  <c r="LP12" i="2"/>
  <c r="VY12" i="2" s="1"/>
  <c r="LP11" i="2"/>
  <c r="LP9" i="2"/>
  <c r="VY9" i="2" s="1"/>
  <c r="ABF6" i="2"/>
  <c r="AK9" i="1" s="1"/>
  <c r="AQS10" i="2"/>
  <c r="AQS7" i="2"/>
  <c r="AQS13" i="2"/>
  <c r="AQS12" i="2"/>
  <c r="AQS9" i="2"/>
  <c r="AQS11" i="2"/>
  <c r="AQS8" i="2"/>
  <c r="ALK12" i="2"/>
  <c r="ALK10" i="2"/>
  <c r="ALK9" i="2"/>
  <c r="ALK11" i="2"/>
  <c r="ALK8" i="2"/>
  <c r="ALK13" i="2"/>
  <c r="ALK7" i="2"/>
  <c r="AGG8" i="2"/>
  <c r="AGG13" i="2"/>
  <c r="AGG11" i="2"/>
  <c r="AGG12" i="2"/>
  <c r="AGG9" i="2"/>
  <c r="AGG10" i="2"/>
  <c r="AGG7" i="2"/>
  <c r="AQR6" i="2"/>
  <c r="AK19" i="1" s="1"/>
  <c r="QV12" i="2"/>
  <c r="QV11" i="2"/>
  <c r="GO8" i="2"/>
  <c r="GO11" i="2"/>
  <c r="GO13" i="2"/>
  <c r="GO12" i="2"/>
  <c r="GO10" i="2"/>
  <c r="GO7" i="2"/>
  <c r="GO9" i="2"/>
  <c r="BJ13" i="2"/>
  <c r="BJ11" i="2"/>
  <c r="BJ8" i="2"/>
  <c r="BJ12" i="2"/>
  <c r="BJ10" i="2"/>
  <c r="BJ9" i="2"/>
  <c r="BJ7" i="2"/>
  <c r="VX13" i="2"/>
  <c r="AGF6" i="2"/>
  <c r="AG11" i="1" s="1"/>
  <c r="QU7" i="2"/>
  <c r="QV7" i="2" s="1"/>
  <c r="ABG10" i="2"/>
  <c r="ABG7" i="2"/>
  <c r="ABG11" i="2"/>
  <c r="ABG12" i="2"/>
  <c r="ABG8" i="2"/>
  <c r="ABG13" i="2"/>
  <c r="ABG9" i="2"/>
  <c r="QV8" i="2"/>
  <c r="VX8" i="2"/>
  <c r="QU10" i="2"/>
  <c r="QV10" i="2" s="1"/>
  <c r="WB3" i="2"/>
  <c r="WD5" i="2"/>
  <c r="WC4" i="2"/>
  <c r="LT5" i="2"/>
  <c r="LS4" i="2"/>
  <c r="QX4" i="2"/>
  <c r="QY5" i="2"/>
  <c r="BK5" i="2"/>
  <c r="BJ4" i="2"/>
  <c r="AQS4" i="2"/>
  <c r="AQT5" i="2"/>
  <c r="ALP4" i="2"/>
  <c r="ALQ5" i="2"/>
  <c r="AGL5" i="2"/>
  <c r="AGK4" i="2"/>
  <c r="ABG4" i="2"/>
  <c r="ABH5" i="2"/>
  <c r="GO4" i="2"/>
  <c r="GP5" i="2"/>
  <c r="AK7" i="1"/>
  <c r="AJ6" i="1"/>
  <c r="AF13" i="1" l="1"/>
  <c r="AF14" i="1" s="1"/>
  <c r="AF15" i="1" s="1"/>
  <c r="AF18" i="1" s="1"/>
  <c r="AF20" i="1" s="1"/>
  <c r="VY10" i="2"/>
  <c r="AJ17" i="1"/>
  <c r="AJ12" i="1"/>
  <c r="ALK6" i="2"/>
  <c r="VY13" i="2"/>
  <c r="QW3" i="2"/>
  <c r="QV13" i="2"/>
  <c r="ABG6" i="2"/>
  <c r="AL9" i="1" s="1"/>
  <c r="AGG6" i="2"/>
  <c r="QW7" i="2"/>
  <c r="GP8" i="2"/>
  <c r="GP13" i="2"/>
  <c r="GP12" i="2"/>
  <c r="GP10" i="2"/>
  <c r="GP11" i="2"/>
  <c r="GP7" i="2"/>
  <c r="GP9" i="2"/>
  <c r="AQT10" i="2"/>
  <c r="AQT7" i="2"/>
  <c r="AQT9" i="2"/>
  <c r="AQT12" i="2"/>
  <c r="AQT13" i="2"/>
  <c r="AQT11" i="2"/>
  <c r="AQT8" i="2"/>
  <c r="VY7" i="2"/>
  <c r="VX6" i="2"/>
  <c r="AG8" i="1" s="1"/>
  <c r="AG10" i="1" s="1"/>
  <c r="AG13" i="1" s="1"/>
  <c r="AG14" i="1" s="1"/>
  <c r="AG15" i="1" s="1"/>
  <c r="AG18" i="1" s="1"/>
  <c r="AG20" i="1" s="1"/>
  <c r="QW12" i="2"/>
  <c r="QW8" i="2"/>
  <c r="LR3" i="2"/>
  <c r="LQ13" i="2"/>
  <c r="LQ10" i="2"/>
  <c r="VZ10" i="2" s="1"/>
  <c r="LQ8" i="2"/>
  <c r="VZ8" i="2" s="1"/>
  <c r="LQ9" i="2"/>
  <c r="LQ7" i="2"/>
  <c r="VZ7" i="2" s="1"/>
  <c r="LQ12" i="2"/>
  <c r="VZ12" i="2" s="1"/>
  <c r="ABH10" i="2"/>
  <c r="ABH7" i="2"/>
  <c r="ABH13" i="2"/>
  <c r="ABH11" i="2"/>
  <c r="ABH12" i="2"/>
  <c r="ABH9" i="2"/>
  <c r="ABH8" i="2"/>
  <c r="AQS6" i="2"/>
  <c r="AL19" i="1" s="1"/>
  <c r="QV9" i="2"/>
  <c r="QW9" i="2" s="1"/>
  <c r="ALL11" i="2"/>
  <c r="ALL13" i="2"/>
  <c r="ALL9" i="2"/>
  <c r="ALL7" i="2"/>
  <c r="ALL12" i="2"/>
  <c r="ALL8" i="2"/>
  <c r="ALL10" i="2"/>
  <c r="AGH13" i="2"/>
  <c r="AGH10" i="2"/>
  <c r="AGH8" i="2"/>
  <c r="AGH9" i="2"/>
  <c r="AGH7" i="2"/>
  <c r="AGH12" i="2"/>
  <c r="AGH11" i="2"/>
  <c r="BK8" i="2"/>
  <c r="BK12" i="2"/>
  <c r="BK13" i="2"/>
  <c r="BK11" i="2"/>
  <c r="BK10" i="2"/>
  <c r="BK9" i="2"/>
  <c r="BK7" i="2"/>
  <c r="QW10" i="2"/>
  <c r="LQ11" i="2"/>
  <c r="VZ11" i="2" s="1"/>
  <c r="VY11" i="2"/>
  <c r="WC3" i="2"/>
  <c r="WD4" i="2"/>
  <c r="WE5" i="2"/>
  <c r="QY4" i="2"/>
  <c r="QZ5" i="2"/>
  <c r="LU5" i="2"/>
  <c r="LT4" i="2"/>
  <c r="BL5" i="2"/>
  <c r="BK4" i="2"/>
  <c r="AQU5" i="2"/>
  <c r="AQT4" i="2"/>
  <c r="ALQ4" i="2"/>
  <c r="ALR5" i="2"/>
  <c r="AGL4" i="2"/>
  <c r="AGM5" i="2"/>
  <c r="ABH4" i="2"/>
  <c r="ABI5" i="2"/>
  <c r="GP4" i="2"/>
  <c r="GQ5" i="2"/>
  <c r="AL7" i="1"/>
  <c r="AK6" i="1"/>
  <c r="VZ13" i="2" l="1"/>
  <c r="AQT6" i="2"/>
  <c r="AM19" i="1" s="1"/>
  <c r="VY6" i="2"/>
  <c r="AH8" i="1" s="1"/>
  <c r="AH10" i="1" s="1"/>
  <c r="AH11" i="1"/>
  <c r="VZ9" i="2"/>
  <c r="VZ6" i="2" s="1"/>
  <c r="AI8" i="1" s="1"/>
  <c r="AI10" i="1" s="1"/>
  <c r="QX3" i="2"/>
  <c r="QX9" i="2" s="1"/>
  <c r="QW13" i="2"/>
  <c r="ALM10" i="2"/>
  <c r="ALM7" i="2"/>
  <c r="ALM8" i="2"/>
  <c r="ALM12" i="2"/>
  <c r="ALM11" i="2"/>
  <c r="ALM9" i="2"/>
  <c r="ALM13" i="2"/>
  <c r="AGI10" i="2"/>
  <c r="AGI13" i="2"/>
  <c r="AGI8" i="2"/>
  <c r="AGI7" i="2"/>
  <c r="AGI12" i="2"/>
  <c r="AGI11" i="2"/>
  <c r="AGI9" i="2"/>
  <c r="AK17" i="1"/>
  <c r="AK12" i="1"/>
  <c r="GQ8" i="2"/>
  <c r="GQ12" i="2"/>
  <c r="GQ13" i="2"/>
  <c r="GQ11" i="2"/>
  <c r="GQ10" i="2"/>
  <c r="GQ9" i="2"/>
  <c r="GQ7" i="2"/>
  <c r="ABI7" i="2"/>
  <c r="ABI10" i="2"/>
  <c r="ABI11" i="2"/>
  <c r="ABI9" i="2"/>
  <c r="ABI12" i="2"/>
  <c r="ABI13" i="2"/>
  <c r="ABI8" i="2"/>
  <c r="QX7" i="2"/>
  <c r="BL12" i="2"/>
  <c r="BL13" i="2"/>
  <c r="BL11" i="2"/>
  <c r="BL10" i="2"/>
  <c r="BL8" i="2"/>
  <c r="BL7" i="2"/>
  <c r="BL9" i="2"/>
  <c r="AGH6" i="2"/>
  <c r="ALL6" i="2"/>
  <c r="ABH6" i="2"/>
  <c r="AM9" i="1" s="1"/>
  <c r="LS3" i="2"/>
  <c r="LR9" i="2"/>
  <c r="WA9" i="2" s="1"/>
  <c r="LR10" i="2"/>
  <c r="WA10" i="2" s="1"/>
  <c r="LR13" i="2"/>
  <c r="LR8" i="2"/>
  <c r="WA8" i="2" s="1"/>
  <c r="LR11" i="2"/>
  <c r="LR7" i="2"/>
  <c r="WA7" i="2" s="1"/>
  <c r="LR12" i="2"/>
  <c r="WA12" i="2" s="1"/>
  <c r="AQU7" i="2"/>
  <c r="AQU10" i="2"/>
  <c r="AQU11" i="2"/>
  <c r="AQU8" i="2"/>
  <c r="AQU13" i="2"/>
  <c r="AQU9" i="2"/>
  <c r="AQU12" i="2"/>
  <c r="QW11" i="2"/>
  <c r="QX11" i="2" s="1"/>
  <c r="WD3" i="2"/>
  <c r="WE4" i="2"/>
  <c r="WF5" i="2"/>
  <c r="RA5" i="2"/>
  <c r="QZ4" i="2"/>
  <c r="LV5" i="2"/>
  <c r="LU4" i="2"/>
  <c r="BL4" i="2"/>
  <c r="BM5" i="2"/>
  <c r="AQU4" i="2"/>
  <c r="AQV5" i="2"/>
  <c r="ALR4" i="2"/>
  <c r="ALS5" i="2"/>
  <c r="AGM4" i="2"/>
  <c r="AGN5" i="2"/>
  <c r="ABI4" i="2"/>
  <c r="ABJ5" i="2"/>
  <c r="GQ4" i="2"/>
  <c r="GR5" i="2"/>
  <c r="AL6" i="1"/>
  <c r="AM7" i="1"/>
  <c r="AH13" i="1" l="1"/>
  <c r="AH14" i="1" s="1"/>
  <c r="AH15" i="1" s="1"/>
  <c r="AH18" i="1" s="1"/>
  <c r="AH20" i="1" s="1"/>
  <c r="ABJ7" i="2"/>
  <c r="ABJ10" i="2"/>
  <c r="ABJ11" i="2"/>
  <c r="ABJ13" i="2"/>
  <c r="ABJ12" i="2"/>
  <c r="ABJ9" i="2"/>
  <c r="ABJ8" i="2"/>
  <c r="BM12" i="2"/>
  <c r="BM10" i="2"/>
  <c r="BM11" i="2"/>
  <c r="BM13" i="2"/>
  <c r="BM8" i="2"/>
  <c r="BM7" i="2"/>
  <c r="BM9" i="2"/>
  <c r="ALN9" i="2"/>
  <c r="ALN11" i="2"/>
  <c r="ALN8" i="2"/>
  <c r="ALN13" i="2"/>
  <c r="ALN12" i="2"/>
  <c r="ALN7" i="2"/>
  <c r="ALN10" i="2"/>
  <c r="AGJ7" i="2"/>
  <c r="AGJ10" i="2"/>
  <c r="AGJ13" i="2"/>
  <c r="AGJ11" i="2"/>
  <c r="AGJ9" i="2"/>
  <c r="AGJ12" i="2"/>
  <c r="AGJ8" i="2"/>
  <c r="QY3" i="2"/>
  <c r="QX13" i="2"/>
  <c r="QX8" i="2"/>
  <c r="WA11" i="2"/>
  <c r="AI11" i="1"/>
  <c r="GR13" i="2"/>
  <c r="GR8" i="2"/>
  <c r="GR12" i="2"/>
  <c r="GR11" i="2"/>
  <c r="GR7" i="2"/>
  <c r="GR10" i="2"/>
  <c r="GR9" i="2"/>
  <c r="QX12" i="2"/>
  <c r="LT3" i="2"/>
  <c r="LS11" i="2"/>
  <c r="WB11" i="2" s="1"/>
  <c r="LS7" i="2"/>
  <c r="WB7" i="2" s="1"/>
  <c r="LS10" i="2"/>
  <c r="LS13" i="2"/>
  <c r="LS9" i="2"/>
  <c r="WB9" i="2" s="1"/>
  <c r="LS12" i="2"/>
  <c r="LS8" i="2"/>
  <c r="WA13" i="2"/>
  <c r="QX10" i="2"/>
  <c r="ABI6" i="2"/>
  <c r="AN9" i="1" s="1"/>
  <c r="AGI6" i="2"/>
  <c r="AQV7" i="2"/>
  <c r="AQV10" i="2"/>
  <c r="AQV12" i="2"/>
  <c r="AQV11" i="2"/>
  <c r="AQV9" i="2"/>
  <c r="AQV13" i="2"/>
  <c r="AQV8" i="2"/>
  <c r="AL17" i="1"/>
  <c r="AL12" i="1"/>
  <c r="AQU6" i="2"/>
  <c r="AN19" i="1" s="1"/>
  <c r="WA6" i="2"/>
  <c r="AJ8" i="1" s="1"/>
  <c r="AJ10" i="1" s="1"/>
  <c r="ALM6" i="2"/>
  <c r="AI13" i="1"/>
  <c r="AI14" i="1" s="1"/>
  <c r="AI15" i="1" s="1"/>
  <c r="AI18" i="1" s="1"/>
  <c r="AI20" i="1" s="1"/>
  <c r="WE3" i="2"/>
  <c r="WF4" i="2"/>
  <c r="WG5" i="2"/>
  <c r="LW5" i="2"/>
  <c r="LV4" i="2"/>
  <c r="RA4" i="2"/>
  <c r="RB5" i="2"/>
  <c r="BN5" i="2"/>
  <c r="BM4" i="2"/>
  <c r="AQW5" i="2"/>
  <c r="AQV4" i="2"/>
  <c r="ALT5" i="2"/>
  <c r="ALS4" i="2"/>
  <c r="AGO5" i="2"/>
  <c r="AGN4" i="2"/>
  <c r="ABK5" i="2"/>
  <c r="ABJ4" i="2"/>
  <c r="GR4" i="2"/>
  <c r="GS5" i="2"/>
  <c r="AN7" i="1"/>
  <c r="AM6" i="1"/>
  <c r="WB8" i="2" l="1"/>
  <c r="WB10" i="2"/>
  <c r="WB12" i="2"/>
  <c r="AGJ6" i="2"/>
  <c r="QZ3" i="2"/>
  <c r="QY13" i="2"/>
  <c r="ABJ6" i="2"/>
  <c r="AO9" i="1" s="1"/>
  <c r="QY7" i="2"/>
  <c r="ALN6" i="2"/>
  <c r="AK11" i="1" s="1"/>
  <c r="QY9" i="2"/>
  <c r="QZ9" i="2" s="1"/>
  <c r="GS13" i="2"/>
  <c r="GS12" i="2"/>
  <c r="GS8" i="2"/>
  <c r="GS7" i="2"/>
  <c r="GS10" i="2"/>
  <c r="GS9" i="2"/>
  <c r="GS11" i="2"/>
  <c r="QY11" i="2"/>
  <c r="QZ11" i="2" s="1"/>
  <c r="LU3" i="2"/>
  <c r="LT11" i="2"/>
  <c r="LT10" i="2"/>
  <c r="LT7" i="2"/>
  <c r="LT13" i="2"/>
  <c r="WC13" i="2" s="1"/>
  <c r="LT9" i="2"/>
  <c r="WC9" i="2" s="1"/>
  <c r="LT8" i="2"/>
  <c r="LT12" i="2"/>
  <c r="QY12" i="2"/>
  <c r="QZ12" i="2" s="1"/>
  <c r="AQW10" i="2"/>
  <c r="AQW7" i="2"/>
  <c r="AQW11" i="2"/>
  <c r="AQW9" i="2"/>
  <c r="AQW12" i="2"/>
  <c r="AQW13" i="2"/>
  <c r="AQW8" i="2"/>
  <c r="QY10" i="2"/>
  <c r="QZ10" i="2" s="1"/>
  <c r="ABK7" i="2"/>
  <c r="ABK10" i="2"/>
  <c r="ABK11" i="2"/>
  <c r="ABK13" i="2"/>
  <c r="ABK12" i="2"/>
  <c r="ABK9" i="2"/>
  <c r="ABK8" i="2"/>
  <c r="AQV6" i="2"/>
  <c r="AO19" i="1" s="1"/>
  <c r="AM12" i="1"/>
  <c r="AM17" i="1"/>
  <c r="BN12" i="2"/>
  <c r="BN10" i="2"/>
  <c r="BN7" i="2"/>
  <c r="BN13" i="2"/>
  <c r="BN11" i="2"/>
  <c r="BN8" i="2"/>
  <c r="BN9" i="2"/>
  <c r="ALO11" i="2"/>
  <c r="ALO9" i="2"/>
  <c r="ALO10" i="2"/>
  <c r="ALO7" i="2"/>
  <c r="ALO8" i="2"/>
  <c r="ALO13" i="2"/>
  <c r="ALO12" i="2"/>
  <c r="AGK10" i="2"/>
  <c r="AGK13" i="2"/>
  <c r="AGK9" i="2"/>
  <c r="AGK8" i="2"/>
  <c r="AGK11" i="2"/>
  <c r="AGK12" i="2"/>
  <c r="AGK7" i="2"/>
  <c r="AJ11" i="1"/>
  <c r="AJ13" i="1" s="1"/>
  <c r="AJ14" i="1" s="1"/>
  <c r="AJ15" i="1" s="1"/>
  <c r="AJ18" i="1" s="1"/>
  <c r="AJ20" i="1" s="1"/>
  <c r="WB13" i="2"/>
  <c r="WB6" i="2" s="1"/>
  <c r="AK8" i="1" s="1"/>
  <c r="AK10" i="1" s="1"/>
  <c r="QY8" i="2"/>
  <c r="QZ8" i="2" s="1"/>
  <c r="WF3" i="2"/>
  <c r="WG4" i="2"/>
  <c r="WH5" i="2"/>
  <c r="RB4" i="2"/>
  <c r="RC5" i="2"/>
  <c r="LX5" i="2"/>
  <c r="LW4" i="2"/>
  <c r="BN4" i="2"/>
  <c r="BO5" i="2"/>
  <c r="AQX5" i="2"/>
  <c r="AQW4" i="2"/>
  <c r="ALU5" i="2"/>
  <c r="ALT4" i="2"/>
  <c r="AGP5" i="2"/>
  <c r="AGO4" i="2"/>
  <c r="ABL5" i="2"/>
  <c r="ABK4" i="2"/>
  <c r="GT5" i="2"/>
  <c r="GS4" i="2"/>
  <c r="AN6" i="1"/>
  <c r="AO7" i="1"/>
  <c r="WC12" i="2" l="1"/>
  <c r="ALO6" i="2"/>
  <c r="QZ7" i="2"/>
  <c r="AK13" i="1"/>
  <c r="AK14" i="1" s="1"/>
  <c r="AK15" i="1" s="1"/>
  <c r="AK18" i="1" s="1"/>
  <c r="AK20" i="1" s="1"/>
  <c r="ABK6" i="2"/>
  <c r="AP9" i="1" s="1"/>
  <c r="LV3" i="2"/>
  <c r="LU13" i="2"/>
  <c r="LU7" i="2"/>
  <c r="WD7" i="2" s="1"/>
  <c r="LU8" i="2"/>
  <c r="WD8" i="2" s="1"/>
  <c r="LU11" i="2"/>
  <c r="WD11" i="2" s="1"/>
  <c r="LU10" i="2"/>
  <c r="WD10" i="2" s="1"/>
  <c r="LU9" i="2"/>
  <c r="WD9" i="2" s="1"/>
  <c r="LU12" i="2"/>
  <c r="WD12" i="2" s="1"/>
  <c r="AN12" i="1"/>
  <c r="AN17" i="1"/>
  <c r="ALP8" i="2"/>
  <c r="ALP10" i="2"/>
  <c r="ALP9" i="2"/>
  <c r="ALP13" i="2"/>
  <c r="ALP11" i="2"/>
  <c r="ALP12" i="2"/>
  <c r="ALP7" i="2"/>
  <c r="AGL7" i="2"/>
  <c r="AGL13" i="2"/>
  <c r="AGL8" i="2"/>
  <c r="AGL11" i="2"/>
  <c r="AGL10" i="2"/>
  <c r="AGL9" i="2"/>
  <c r="AGL12" i="2"/>
  <c r="WC8" i="2"/>
  <c r="GT13" i="2"/>
  <c r="GT8" i="2"/>
  <c r="GT12" i="2"/>
  <c r="GT7" i="2"/>
  <c r="GT9" i="2"/>
  <c r="GT11" i="2"/>
  <c r="GT10" i="2"/>
  <c r="AQX7" i="2"/>
  <c r="AQX10" i="2"/>
  <c r="AQX11" i="2"/>
  <c r="AQX12" i="2"/>
  <c r="AQX9" i="2"/>
  <c r="AQX13" i="2"/>
  <c r="AQX8" i="2"/>
  <c r="WC7" i="2"/>
  <c r="RA3" i="2"/>
  <c r="RA12" i="2" s="1"/>
  <c r="QZ13" i="2"/>
  <c r="BO9" i="2"/>
  <c r="BO7" i="2"/>
  <c r="BO13" i="2"/>
  <c r="BO12" i="2"/>
  <c r="BO11" i="2"/>
  <c r="BO10" i="2"/>
  <c r="BO8" i="2"/>
  <c r="AGK6" i="2"/>
  <c r="AL11" i="1" s="1"/>
  <c r="WC10" i="2"/>
  <c r="RA8" i="2"/>
  <c r="ABL10" i="2"/>
  <c r="ABL7" i="2"/>
  <c r="ABL13" i="2"/>
  <c r="ABL11" i="2"/>
  <c r="ABL9" i="2"/>
  <c r="ABL12" i="2"/>
  <c r="ABL8" i="2"/>
  <c r="AQW6" i="2"/>
  <c r="AP19" i="1" s="1"/>
  <c r="WC11" i="2"/>
  <c r="WG3" i="2"/>
  <c r="WI5" i="2"/>
  <c r="WH4" i="2"/>
  <c r="LY5" i="2"/>
  <c r="LX4" i="2"/>
  <c r="RD5" i="2"/>
  <c r="RC4" i="2"/>
  <c r="BO4" i="2"/>
  <c r="BP5" i="2"/>
  <c r="AQY5" i="2"/>
  <c r="AQX4" i="2"/>
  <c r="ALV5" i="2"/>
  <c r="ALU4" i="2"/>
  <c r="AGQ5" i="2"/>
  <c r="AGP4" i="2"/>
  <c r="ABM5" i="2"/>
  <c r="ABL4" i="2"/>
  <c r="GU5" i="2"/>
  <c r="GT4" i="2"/>
  <c r="AO6" i="1"/>
  <c r="AP7" i="1"/>
  <c r="AQX6" i="2" l="1"/>
  <c r="AQ19" i="1" s="1"/>
  <c r="WD13" i="2"/>
  <c r="RA9" i="2"/>
  <c r="ALP6" i="2"/>
  <c r="ABL6" i="2"/>
  <c r="AQ9" i="1" s="1"/>
  <c r="WC6" i="2"/>
  <c r="AL8" i="1" s="1"/>
  <c r="AL10" i="1" s="1"/>
  <c r="AL13" i="1" s="1"/>
  <c r="AL14" i="1" s="1"/>
  <c r="AL15" i="1" s="1"/>
  <c r="AL18" i="1" s="1"/>
  <c r="AL20" i="1" s="1"/>
  <c r="LW3" i="2"/>
  <c r="LV12" i="2"/>
  <c r="WE12" i="2" s="1"/>
  <c r="LV7" i="2"/>
  <c r="LV8" i="2"/>
  <c r="WE8" i="2" s="1"/>
  <c r="LV10" i="2"/>
  <c r="LV9" i="2"/>
  <c r="WE9" i="2" s="1"/>
  <c r="LV11" i="2"/>
  <c r="LV13" i="2"/>
  <c r="GU8" i="2"/>
  <c r="GU12" i="2"/>
  <c r="GU13" i="2"/>
  <c r="GU11" i="2"/>
  <c r="GU7" i="2"/>
  <c r="GU9" i="2"/>
  <c r="GU10" i="2"/>
  <c r="AQY10" i="2"/>
  <c r="AQY7" i="2"/>
  <c r="AQY11" i="2"/>
  <c r="AQY12" i="2"/>
  <c r="AQY13" i="2"/>
  <c r="AQY9" i="2"/>
  <c r="AQY8" i="2"/>
  <c r="BP13" i="2"/>
  <c r="BP11" i="2"/>
  <c r="BP12" i="2"/>
  <c r="BP10" i="2"/>
  <c r="BP9" i="2"/>
  <c r="BP7" i="2"/>
  <c r="BP8" i="2"/>
  <c r="RB3" i="2"/>
  <c r="RB9" i="2" s="1"/>
  <c r="RA13" i="2"/>
  <c r="RA11" i="2"/>
  <c r="WD6" i="2"/>
  <c r="AM8" i="1" s="1"/>
  <c r="AM10" i="1" s="1"/>
  <c r="RA10" i="2"/>
  <c r="RB10" i="2" s="1"/>
  <c r="AO12" i="1"/>
  <c r="AO17" i="1"/>
  <c r="RA7" i="2"/>
  <c r="RB7" i="2" s="1"/>
  <c r="ABM10" i="2"/>
  <c r="ABM7" i="2"/>
  <c r="ABM11" i="2"/>
  <c r="ABM12" i="2"/>
  <c r="ABM13" i="2"/>
  <c r="ABM9" i="2"/>
  <c r="ABM8" i="2"/>
  <c r="AGL6" i="2"/>
  <c r="ALQ7" i="2"/>
  <c r="ALQ11" i="2"/>
  <c r="ALQ10" i="2"/>
  <c r="ALQ12" i="2"/>
  <c r="ALQ8" i="2"/>
  <c r="ALQ9" i="2"/>
  <c r="ALQ13" i="2"/>
  <c r="AGM12" i="2"/>
  <c r="AGM7" i="2"/>
  <c r="AGM8" i="2"/>
  <c r="AGM11" i="2"/>
  <c r="AGM9" i="2"/>
  <c r="AGM10" i="2"/>
  <c r="AGM13" i="2"/>
  <c r="WH3" i="2"/>
  <c r="WJ5" i="2"/>
  <c r="WI4" i="2"/>
  <c r="RD4" i="2"/>
  <c r="RE5" i="2"/>
  <c r="LY4" i="2"/>
  <c r="LZ5" i="2"/>
  <c r="BP4" i="2"/>
  <c r="BQ5" i="2"/>
  <c r="AQZ5" i="2"/>
  <c r="AQY4" i="2"/>
  <c r="ALW5" i="2"/>
  <c r="ALV4" i="2"/>
  <c r="AGR5" i="2"/>
  <c r="AGQ4" i="2"/>
  <c r="ABN5" i="2"/>
  <c r="ABM4" i="2"/>
  <c r="GV5" i="2"/>
  <c r="GU4" i="2"/>
  <c r="AP6" i="1"/>
  <c r="AQ7" i="1"/>
  <c r="AM11" i="1" l="1"/>
  <c r="RB11" i="2"/>
  <c r="RB8" i="2"/>
  <c r="AP12" i="1"/>
  <c r="AP17" i="1"/>
  <c r="WE10" i="2"/>
  <c r="ALQ6" i="2"/>
  <c r="WE7" i="2"/>
  <c r="AQZ7" i="2"/>
  <c r="AQZ10" i="2"/>
  <c r="AQZ11" i="2"/>
  <c r="AQZ9" i="2"/>
  <c r="AQZ13" i="2"/>
  <c r="AQZ12" i="2"/>
  <c r="AQZ8" i="2"/>
  <c r="AM13" i="1"/>
  <c r="AM14" i="1" s="1"/>
  <c r="AM15" i="1" s="1"/>
  <c r="AM18" i="1" s="1"/>
  <c r="AM20" i="1" s="1"/>
  <c r="RC3" i="2"/>
  <c r="RB13" i="2"/>
  <c r="AQY6" i="2"/>
  <c r="AR19" i="1" s="1"/>
  <c r="GV12" i="2"/>
  <c r="GV8" i="2"/>
  <c r="GV13" i="2"/>
  <c r="GV11" i="2"/>
  <c r="GV7" i="2"/>
  <c r="GV10" i="2"/>
  <c r="GV9" i="2"/>
  <c r="BQ13" i="2"/>
  <c r="BQ11" i="2"/>
  <c r="BQ12" i="2"/>
  <c r="BQ10" i="2"/>
  <c r="BQ7" i="2"/>
  <c r="BQ8" i="2"/>
  <c r="BQ9" i="2"/>
  <c r="ABN10" i="2"/>
  <c r="ABN7" i="2"/>
  <c r="ABN12" i="2"/>
  <c r="ABN13" i="2"/>
  <c r="ABN8" i="2"/>
  <c r="ABN11" i="2"/>
  <c r="ABN9" i="2"/>
  <c r="RB12" i="2"/>
  <c r="RC12" i="2" s="1"/>
  <c r="LX3" i="2"/>
  <c r="LW12" i="2"/>
  <c r="LW7" i="2"/>
  <c r="WF7" i="2" s="1"/>
  <c r="LW9" i="2"/>
  <c r="WF9" i="2" s="1"/>
  <c r="LW11" i="2"/>
  <c r="WF11" i="2" s="1"/>
  <c r="LW8" i="2"/>
  <c r="WF8" i="2" s="1"/>
  <c r="LW10" i="2"/>
  <c r="WF10" i="2" s="1"/>
  <c r="LW13" i="2"/>
  <c r="AGM6" i="2"/>
  <c r="ABM6" i="2"/>
  <c r="AR9" i="1" s="1"/>
  <c r="ALR13" i="2"/>
  <c r="ALR7" i="2"/>
  <c r="ALR10" i="2"/>
  <c r="ALR8" i="2"/>
  <c r="ALR9" i="2"/>
  <c r="ALR11" i="2"/>
  <c r="ALR12" i="2"/>
  <c r="AGN7" i="2"/>
  <c r="AGN9" i="2"/>
  <c r="AGN10" i="2"/>
  <c r="AGN13" i="2"/>
  <c r="AGN12" i="2"/>
  <c r="AGN8" i="2"/>
  <c r="AGN11" i="2"/>
  <c r="WE13" i="2"/>
  <c r="WE11" i="2"/>
  <c r="WI3" i="2"/>
  <c r="WK5" i="2"/>
  <c r="WJ4" i="2"/>
  <c r="MA5" i="2"/>
  <c r="LZ4" i="2"/>
  <c r="RE4" i="2"/>
  <c r="RF5" i="2"/>
  <c r="BQ4" i="2"/>
  <c r="BR5" i="2"/>
  <c r="ARA5" i="2"/>
  <c r="AQZ4" i="2"/>
  <c r="ALX5" i="2"/>
  <c r="ALW4" i="2"/>
  <c r="AGR4" i="2"/>
  <c r="AGS5" i="2"/>
  <c r="ABN4" i="2"/>
  <c r="ABO5" i="2"/>
  <c r="GW5" i="2"/>
  <c r="GV4" i="2"/>
  <c r="AR7" i="1"/>
  <c r="AQ6" i="1"/>
  <c r="WF13" i="2" l="1"/>
  <c r="WE6" i="2"/>
  <c r="AN8" i="1" s="1"/>
  <c r="AN10" i="1" s="1"/>
  <c r="AN11" i="1"/>
  <c r="RD3" i="2"/>
  <c r="RC13" i="2"/>
  <c r="AQZ6" i="2"/>
  <c r="AS19" i="1" s="1"/>
  <c r="RC10" i="2"/>
  <c r="RD10" i="2" s="1"/>
  <c r="RD12" i="2"/>
  <c r="RC8" i="2"/>
  <c r="RD8" i="2" s="1"/>
  <c r="ABN6" i="2"/>
  <c r="AS9" i="1" s="1"/>
  <c r="ARA10" i="2"/>
  <c r="ARA7" i="2"/>
  <c r="ARA9" i="2"/>
  <c r="ARA8" i="2"/>
  <c r="ARA11" i="2"/>
  <c r="ARA13" i="2"/>
  <c r="ARA12" i="2"/>
  <c r="ABO7" i="2"/>
  <c r="ABO10" i="2"/>
  <c r="ABO11" i="2"/>
  <c r="ABO12" i="2"/>
  <c r="ABO13" i="2"/>
  <c r="ABO8" i="2"/>
  <c r="ABO9" i="2"/>
  <c r="BR13" i="2"/>
  <c r="BR11" i="2"/>
  <c r="BR12" i="2"/>
  <c r="BR10" i="2"/>
  <c r="BR8" i="2"/>
  <c r="BR7" i="2"/>
  <c r="BR9" i="2"/>
  <c r="RC7" i="2"/>
  <c r="RD7" i="2" s="1"/>
  <c r="RC11" i="2"/>
  <c r="RD11" i="2" s="1"/>
  <c r="ALS9" i="2"/>
  <c r="ALS10" i="2"/>
  <c r="ALS11" i="2"/>
  <c r="ALS7" i="2"/>
  <c r="ALS12" i="2"/>
  <c r="ALS13" i="2"/>
  <c r="ALS8" i="2"/>
  <c r="AGO9" i="2"/>
  <c r="AGO10" i="2"/>
  <c r="AGO12" i="2"/>
  <c r="AGO7" i="2"/>
  <c r="AGO13" i="2"/>
  <c r="AGO8" i="2"/>
  <c r="AGO11" i="2"/>
  <c r="GW8" i="2"/>
  <c r="GW13" i="2"/>
  <c r="GW12" i="2"/>
  <c r="GW10" i="2"/>
  <c r="GW7" i="2"/>
  <c r="GW11" i="2"/>
  <c r="GW9" i="2"/>
  <c r="ALR6" i="2"/>
  <c r="AGN6" i="2"/>
  <c r="WF12" i="2"/>
  <c r="WF6" i="2" s="1"/>
  <c r="AO8" i="1" s="1"/>
  <c r="AO10" i="1" s="1"/>
  <c r="AQ17" i="1"/>
  <c r="AQ12" i="1"/>
  <c r="LY3" i="2"/>
  <c r="LX11" i="2"/>
  <c r="LX13" i="2"/>
  <c r="WG13" i="2" s="1"/>
  <c r="LX9" i="2"/>
  <c r="LX10" i="2"/>
  <c r="LX8" i="2"/>
  <c r="WG8" i="2" s="1"/>
  <c r="LX12" i="2"/>
  <c r="WG12" i="2" s="1"/>
  <c r="LX7" i="2"/>
  <c r="RC9" i="2"/>
  <c r="RD9" i="2" s="1"/>
  <c r="WJ3" i="2"/>
  <c r="WL5" i="2"/>
  <c r="WK4" i="2"/>
  <c r="RF4" i="2"/>
  <c r="RG5" i="2"/>
  <c r="MB5" i="2"/>
  <c r="MA4" i="2"/>
  <c r="BS5" i="2"/>
  <c r="BR4" i="2"/>
  <c r="ARA4" i="2"/>
  <c r="ARB5" i="2"/>
  <c r="ALX4" i="2"/>
  <c r="ALY5" i="2"/>
  <c r="AGT5" i="2"/>
  <c r="AGS4" i="2"/>
  <c r="ABO4" i="2"/>
  <c r="ABP5" i="2"/>
  <c r="GW4" i="2"/>
  <c r="GX5" i="2"/>
  <c r="AS7" i="1"/>
  <c r="AR6" i="1"/>
  <c r="WG9" i="2" l="1"/>
  <c r="AN13" i="1"/>
  <c r="AN14" i="1" s="1"/>
  <c r="AN15" i="1" s="1"/>
  <c r="AN18" i="1" s="1"/>
  <c r="AN20" i="1" s="1"/>
  <c r="WG7" i="2"/>
  <c r="WG10" i="2"/>
  <c r="BS12" i="2"/>
  <c r="BS13" i="2"/>
  <c r="BS8" i="2"/>
  <c r="BS10" i="2"/>
  <c r="BS11" i="2"/>
  <c r="BS7" i="2"/>
  <c r="BS9" i="2"/>
  <c r="AO11" i="1"/>
  <c r="AO13" i="1" s="1"/>
  <c r="AO14" i="1" s="1"/>
  <c r="AO15" i="1" s="1"/>
  <c r="AO18" i="1" s="1"/>
  <c r="AO20" i="1" s="1"/>
  <c r="ABO6" i="2"/>
  <c r="AT9" i="1" s="1"/>
  <c r="ALT7" i="2"/>
  <c r="ALT9" i="2"/>
  <c r="ALT11" i="2"/>
  <c r="ALT12" i="2"/>
  <c r="ALT13" i="2"/>
  <c r="ALT10" i="2"/>
  <c r="ALT8" i="2"/>
  <c r="AGP13" i="2"/>
  <c r="AGP9" i="2"/>
  <c r="AGP10" i="2"/>
  <c r="AGP7" i="2"/>
  <c r="AGP8" i="2"/>
  <c r="AGP11" i="2"/>
  <c r="AGP12" i="2"/>
  <c r="RE12" i="2"/>
  <c r="AR17" i="1"/>
  <c r="AR12" i="1"/>
  <c r="WG11" i="2"/>
  <c r="ALS6" i="2"/>
  <c r="RE8" i="2"/>
  <c r="ABP7" i="2"/>
  <c r="ABP10" i="2"/>
  <c r="ABP13" i="2"/>
  <c r="ABP12" i="2"/>
  <c r="ABP11" i="2"/>
  <c r="ABP9" i="2"/>
  <c r="ABP8" i="2"/>
  <c r="AGO6" i="2"/>
  <c r="RE3" i="2"/>
  <c r="RE9" i="2" s="1"/>
  <c r="RD13" i="2"/>
  <c r="LZ3" i="2"/>
  <c r="LY12" i="2"/>
  <c r="WH12" i="2" s="1"/>
  <c r="LY13" i="2"/>
  <c r="LY9" i="2"/>
  <c r="WH9" i="2" s="1"/>
  <c r="LY10" i="2"/>
  <c r="WH10" i="2" s="1"/>
  <c r="LY11" i="2"/>
  <c r="WH11" i="2" s="1"/>
  <c r="LY7" i="2"/>
  <c r="WH7" i="2" s="1"/>
  <c r="LY8" i="2"/>
  <c r="WH8" i="2" s="1"/>
  <c r="GX8" i="2"/>
  <c r="GX13" i="2"/>
  <c r="GX12" i="2"/>
  <c r="GX11" i="2"/>
  <c r="GX9" i="2"/>
  <c r="GX7" i="2"/>
  <c r="GX10" i="2"/>
  <c r="ARB7" i="2"/>
  <c r="ARB10" i="2"/>
  <c r="ARB11" i="2"/>
  <c r="ARB12" i="2"/>
  <c r="ARB13" i="2"/>
  <c r="ARB9" i="2"/>
  <c r="ARB8" i="2"/>
  <c r="ARA6" i="2"/>
  <c r="AT19" i="1" s="1"/>
  <c r="WK3" i="2"/>
  <c r="WL4" i="2"/>
  <c r="WM5" i="2"/>
  <c r="MB4" i="2"/>
  <c r="MC5" i="2"/>
  <c r="RG4" i="2"/>
  <c r="RH5" i="2"/>
  <c r="BS4" i="2"/>
  <c r="BT5" i="2"/>
  <c r="ARC5" i="2"/>
  <c r="ARB4" i="2"/>
  <c r="ALY4" i="2"/>
  <c r="ALZ5" i="2"/>
  <c r="AGT4" i="2"/>
  <c r="AGU5" i="2"/>
  <c r="ABP4" i="2"/>
  <c r="ABQ5" i="2"/>
  <c r="GX4" i="2"/>
  <c r="GY5" i="2"/>
  <c r="AT7" i="1"/>
  <c r="AS6" i="1"/>
  <c r="WG6" i="2" l="1"/>
  <c r="AP8" i="1" s="1"/>
  <c r="AP10" i="1" s="1"/>
  <c r="WH13" i="2"/>
  <c r="AS17" i="1"/>
  <c r="AS12" i="1"/>
  <c r="MA3" i="2"/>
  <c r="LZ13" i="2"/>
  <c r="LZ10" i="2"/>
  <c r="LZ12" i="2"/>
  <c r="WI12" i="2" s="1"/>
  <c r="LZ11" i="2"/>
  <c r="LZ7" i="2"/>
  <c r="LZ8" i="2"/>
  <c r="WI8" i="2" s="1"/>
  <c r="LZ9" i="2"/>
  <c r="WI9" i="2" s="1"/>
  <c r="RE7" i="2"/>
  <c r="ABP6" i="2"/>
  <c r="AU9" i="1" s="1"/>
  <c r="AP11" i="1"/>
  <c r="AP13" i="1" s="1"/>
  <c r="AP14" i="1" s="1"/>
  <c r="AP15" i="1" s="1"/>
  <c r="AP18" i="1" s="1"/>
  <c r="AP20" i="1" s="1"/>
  <c r="RE10" i="2"/>
  <c r="RF10" i="2" s="1"/>
  <c r="AGP6" i="2"/>
  <c r="ARB6" i="2"/>
  <c r="AU19" i="1" s="1"/>
  <c r="GY12" i="2"/>
  <c r="GY8" i="2"/>
  <c r="GY13" i="2"/>
  <c r="GY11" i="2"/>
  <c r="GY10" i="2"/>
  <c r="GY9" i="2"/>
  <c r="GY7" i="2"/>
  <c r="ALU7" i="2"/>
  <c r="ALU10" i="2"/>
  <c r="ALU12" i="2"/>
  <c r="ALU9" i="2"/>
  <c r="ALU11" i="2"/>
  <c r="ALU13" i="2"/>
  <c r="ALU8" i="2"/>
  <c r="AGQ10" i="2"/>
  <c r="AGQ13" i="2"/>
  <c r="AGQ12" i="2"/>
  <c r="AGQ11" i="2"/>
  <c r="AGQ7" i="2"/>
  <c r="AGQ8" i="2"/>
  <c r="AGQ9" i="2"/>
  <c r="ARC7" i="2"/>
  <c r="ARC10" i="2"/>
  <c r="ARC11" i="2"/>
  <c r="ARC12" i="2"/>
  <c r="ARC13" i="2"/>
  <c r="ARC9" i="2"/>
  <c r="ARC8" i="2"/>
  <c r="ALT6" i="2"/>
  <c r="ABQ7" i="2"/>
  <c r="ABQ10" i="2"/>
  <c r="ABQ11" i="2"/>
  <c r="ABQ13" i="2"/>
  <c r="ABQ12" i="2"/>
  <c r="ABQ9" i="2"/>
  <c r="ABQ8" i="2"/>
  <c r="BT12" i="2"/>
  <c r="BT8" i="2"/>
  <c r="BT13" i="2"/>
  <c r="BT11" i="2"/>
  <c r="BT10" i="2"/>
  <c r="BT7" i="2"/>
  <c r="BT9" i="2"/>
  <c r="RF3" i="2"/>
  <c r="RF12" i="2" s="1"/>
  <c r="RE13" i="2"/>
  <c r="WH6" i="2"/>
  <c r="AQ8" i="1" s="1"/>
  <c r="AQ10" i="1" s="1"/>
  <c r="RE11" i="2"/>
  <c r="WL3" i="2"/>
  <c r="WM4" i="2"/>
  <c r="WN5" i="2"/>
  <c r="RI5" i="2"/>
  <c r="RH4" i="2"/>
  <c r="MD5" i="2"/>
  <c r="MC4" i="2"/>
  <c r="BT4" i="2"/>
  <c r="BU5" i="2"/>
  <c r="ARC4" i="2"/>
  <c r="ARD5" i="2"/>
  <c r="ALZ4" i="2"/>
  <c r="AMA5" i="2"/>
  <c r="AGU4" i="2"/>
  <c r="AGV5" i="2"/>
  <c r="ABQ4" i="2"/>
  <c r="ABR5" i="2"/>
  <c r="GY4" i="2"/>
  <c r="GZ5" i="2"/>
  <c r="AT6" i="1"/>
  <c r="AU7" i="1"/>
  <c r="RF8" i="2" l="1"/>
  <c r="ALU6" i="2"/>
  <c r="RF11" i="2"/>
  <c r="WI7" i="2"/>
  <c r="ARC6" i="2"/>
  <c r="AV19" i="1" s="1"/>
  <c r="ALV9" i="2"/>
  <c r="ALV7" i="2"/>
  <c r="ALV10" i="2"/>
  <c r="ALV8" i="2"/>
  <c r="ALV13" i="2"/>
  <c r="ALV12" i="2"/>
  <c r="ALV11" i="2"/>
  <c r="AGR13" i="2"/>
  <c r="AGR12" i="2"/>
  <c r="AGR7" i="2"/>
  <c r="AGR8" i="2"/>
  <c r="AGR9" i="2"/>
  <c r="AGR10" i="2"/>
  <c r="AGR11" i="2"/>
  <c r="ABQ6" i="2"/>
  <c r="AV9" i="1" s="1"/>
  <c r="WI11" i="2"/>
  <c r="AT17" i="1"/>
  <c r="AT12" i="1"/>
  <c r="RG3" i="2"/>
  <c r="RG8" i="2" s="1"/>
  <c r="RF13" i="2"/>
  <c r="GZ13" i="2"/>
  <c r="GZ8" i="2"/>
  <c r="GZ12" i="2"/>
  <c r="GZ10" i="2"/>
  <c r="GZ11" i="2"/>
  <c r="GZ9" i="2"/>
  <c r="GZ7" i="2"/>
  <c r="ARD10" i="2"/>
  <c r="ARD7" i="2"/>
  <c r="ARD11" i="2"/>
  <c r="ARD8" i="2"/>
  <c r="ARD12" i="2"/>
  <c r="ARD13" i="2"/>
  <c r="ARD9" i="2"/>
  <c r="AGQ6" i="2"/>
  <c r="AR11" i="1" s="1"/>
  <c r="WI10" i="2"/>
  <c r="WI13" i="2"/>
  <c r="RF9" i="2"/>
  <c r="RG9" i="2" s="1"/>
  <c r="ABR7" i="2"/>
  <c r="ABR10" i="2"/>
  <c r="ABR9" i="2"/>
  <c r="ABR11" i="2"/>
  <c r="ABR12" i="2"/>
  <c r="ABR13" i="2"/>
  <c r="ABR8" i="2"/>
  <c r="BU12" i="2"/>
  <c r="BU10" i="2"/>
  <c r="BU13" i="2"/>
  <c r="BU11" i="2"/>
  <c r="BU8" i="2"/>
  <c r="BU7" i="2"/>
  <c r="BU9" i="2"/>
  <c r="AQ11" i="1"/>
  <c r="AQ13" i="1" s="1"/>
  <c r="AQ14" i="1" s="1"/>
  <c r="AQ15" i="1" s="1"/>
  <c r="AQ18" i="1" s="1"/>
  <c r="AQ20" i="1" s="1"/>
  <c r="RF7" i="2"/>
  <c r="MB3" i="2"/>
  <c r="MA8" i="2"/>
  <c r="WJ8" i="2" s="1"/>
  <c r="MA13" i="2"/>
  <c r="MA10" i="2"/>
  <c r="WJ10" i="2" s="1"/>
  <c r="MA12" i="2"/>
  <c r="WJ12" i="2" s="1"/>
  <c r="MA7" i="2"/>
  <c r="MA11" i="2"/>
  <c r="WJ11" i="2" s="1"/>
  <c r="MA9" i="2"/>
  <c r="WM3" i="2"/>
  <c r="WN4" i="2"/>
  <c r="WO5" i="2"/>
  <c r="ME5" i="2"/>
  <c r="MD4" i="2"/>
  <c r="RI4" i="2"/>
  <c r="RJ5" i="2"/>
  <c r="BV5" i="2"/>
  <c r="BU4" i="2"/>
  <c r="ARD4" i="2"/>
  <c r="ARE5" i="2"/>
  <c r="AMA4" i="2"/>
  <c r="AMB5" i="2"/>
  <c r="AGW5" i="2"/>
  <c r="AGV4" i="2"/>
  <c r="ABS5" i="2"/>
  <c r="ABR4" i="2"/>
  <c r="GZ4" i="2"/>
  <c r="HA5" i="2"/>
  <c r="AV7" i="1"/>
  <c r="AU6" i="1"/>
  <c r="WJ7" i="2" l="1"/>
  <c r="RG10" i="2"/>
  <c r="WJ9" i="2"/>
  <c r="RG7" i="2"/>
  <c r="RH7" i="2" s="1"/>
  <c r="WI6" i="2"/>
  <c r="AR8" i="1" s="1"/>
  <c r="AR10" i="1" s="1"/>
  <c r="AR13" i="1" s="1"/>
  <c r="AR14" i="1" s="1"/>
  <c r="AR15" i="1" s="1"/>
  <c r="AR18" i="1" s="1"/>
  <c r="AR20" i="1" s="1"/>
  <c r="ABR6" i="2"/>
  <c r="AW9" i="1" s="1"/>
  <c r="RH3" i="2"/>
  <c r="RG13" i="2"/>
  <c r="WJ13" i="2"/>
  <c r="WJ6" i="2" s="1"/>
  <c r="AS8" i="1" s="1"/>
  <c r="AS10" i="1" s="1"/>
  <c r="ARD6" i="2"/>
  <c r="AW19" i="1" s="1"/>
  <c r="AU12" i="1"/>
  <c r="AU17" i="1"/>
  <c r="ARE10" i="2"/>
  <c r="ARE7" i="2"/>
  <c r="ARE12" i="2"/>
  <c r="ARE11" i="2"/>
  <c r="ARE9" i="2"/>
  <c r="ARE13" i="2"/>
  <c r="ARE8" i="2"/>
  <c r="MC3" i="2"/>
  <c r="MB12" i="2"/>
  <c r="MB10" i="2"/>
  <c r="WK10" i="2" s="1"/>
  <c r="MB11" i="2"/>
  <c r="MB8" i="2"/>
  <c r="WK8" i="2" s="1"/>
  <c r="MB13" i="2"/>
  <c r="MB9" i="2"/>
  <c r="WK9" i="2" s="1"/>
  <c r="MB7" i="2"/>
  <c r="ALW11" i="2"/>
  <c r="ALW7" i="2"/>
  <c r="ALW9" i="2"/>
  <c r="ALW13" i="2"/>
  <c r="ALW10" i="2"/>
  <c r="ALW12" i="2"/>
  <c r="ALW8" i="2"/>
  <c r="AGS12" i="2"/>
  <c r="AGS10" i="2"/>
  <c r="AGS8" i="2"/>
  <c r="AGS13" i="2"/>
  <c r="AGS7" i="2"/>
  <c r="AGS11" i="2"/>
  <c r="AGS9" i="2"/>
  <c r="AGR6" i="2"/>
  <c r="ALV6" i="2"/>
  <c r="BV12" i="2"/>
  <c r="BV10" i="2"/>
  <c r="BV13" i="2"/>
  <c r="BV11" i="2"/>
  <c r="BV7" i="2"/>
  <c r="BV8" i="2"/>
  <c r="BV9" i="2"/>
  <c r="HA13" i="2"/>
  <c r="HA8" i="2"/>
  <c r="HA12" i="2"/>
  <c r="HA11" i="2"/>
  <c r="HA10" i="2"/>
  <c r="HA7" i="2"/>
  <c r="HA9" i="2"/>
  <c r="ABS7" i="2"/>
  <c r="ABS10" i="2"/>
  <c r="ABS12" i="2"/>
  <c r="ABS13" i="2"/>
  <c r="ABS11" i="2"/>
  <c r="ABS9" i="2"/>
  <c r="ABS8" i="2"/>
  <c r="RG11" i="2"/>
  <c r="RH11" i="2" s="1"/>
  <c r="RG12" i="2"/>
  <c r="RH12" i="2" s="1"/>
  <c r="WN3" i="2"/>
  <c r="WO4" i="2"/>
  <c r="WP5" i="2"/>
  <c r="RJ4" i="2"/>
  <c r="RK5" i="2"/>
  <c r="MF5" i="2"/>
  <c r="ME4" i="2"/>
  <c r="BW5" i="2"/>
  <c r="BV4" i="2"/>
  <c r="ARF5" i="2"/>
  <c r="ARE4" i="2"/>
  <c r="AMC5" i="2"/>
  <c r="AMB4" i="2"/>
  <c r="AGX5" i="2"/>
  <c r="AGW4" i="2"/>
  <c r="ABT5" i="2"/>
  <c r="ABS4" i="2"/>
  <c r="HB5" i="2"/>
  <c r="HA4" i="2"/>
  <c r="AV6" i="1"/>
  <c r="AW7" i="1"/>
  <c r="WK13" i="2" l="1"/>
  <c r="WK7" i="2"/>
  <c r="ALX13" i="2"/>
  <c r="ALX9" i="2"/>
  <c r="ALX11" i="2"/>
  <c r="ALX12" i="2"/>
  <c r="ALX7" i="2"/>
  <c r="ALX8" i="2"/>
  <c r="ALX10" i="2"/>
  <c r="AGT8" i="2"/>
  <c r="AGT11" i="2"/>
  <c r="AGT12" i="2"/>
  <c r="AGT7" i="2"/>
  <c r="AGT9" i="2"/>
  <c r="AGT13" i="2"/>
  <c r="AGT10" i="2"/>
  <c r="ALW6" i="2"/>
  <c r="AS11" i="1"/>
  <c r="AS13" i="1" s="1"/>
  <c r="AS14" i="1" s="1"/>
  <c r="AS15" i="1" s="1"/>
  <c r="AS18" i="1" s="1"/>
  <c r="AS20" i="1" s="1"/>
  <c r="WK11" i="2"/>
  <c r="BW13" i="2"/>
  <c r="BW9" i="2"/>
  <c r="BW10" i="2"/>
  <c r="BW7" i="2"/>
  <c r="BW11" i="2"/>
  <c r="BW12" i="2"/>
  <c r="BW8" i="2"/>
  <c r="ARE6" i="2"/>
  <c r="AX19" i="1" s="1"/>
  <c r="RI3" i="2"/>
  <c r="RH13" i="2"/>
  <c r="AV12" i="1"/>
  <c r="AV17" i="1"/>
  <c r="WK12" i="2"/>
  <c r="WK6" i="2" s="1"/>
  <c r="AT8" i="1" s="1"/>
  <c r="AT10" i="1" s="1"/>
  <c r="RH8" i="2"/>
  <c r="RI8" i="2" s="1"/>
  <c r="RI12" i="2"/>
  <c r="ABS6" i="2"/>
  <c r="AX9" i="1" s="1"/>
  <c r="MD3" i="2"/>
  <c r="MC10" i="2"/>
  <c r="MC12" i="2"/>
  <c r="WL12" i="2" s="1"/>
  <c r="MC8" i="2"/>
  <c r="MC9" i="2"/>
  <c r="MC11" i="2"/>
  <c r="WL11" i="2" s="1"/>
  <c r="MC7" i="2"/>
  <c r="WL7" i="2" s="1"/>
  <c r="MC13" i="2"/>
  <c r="RH10" i="2"/>
  <c r="RI10" i="2" s="1"/>
  <c r="ABT7" i="2"/>
  <c r="ABT10" i="2"/>
  <c r="ABT11" i="2"/>
  <c r="ABT13" i="2"/>
  <c r="ABT12" i="2"/>
  <c r="ABT9" i="2"/>
  <c r="ABT8" i="2"/>
  <c r="HB8" i="2"/>
  <c r="HB12" i="2"/>
  <c r="HB13" i="2"/>
  <c r="HB7" i="2"/>
  <c r="HB11" i="2"/>
  <c r="HB9" i="2"/>
  <c r="HB10" i="2"/>
  <c r="ARF7" i="2"/>
  <c r="ARF10" i="2"/>
  <c r="ARF12" i="2"/>
  <c r="ARF13" i="2"/>
  <c r="ARF11" i="2"/>
  <c r="ARF9" i="2"/>
  <c r="ARF8" i="2"/>
  <c r="AGS6" i="2"/>
  <c r="RH9" i="2"/>
  <c r="RI9" i="2" s="1"/>
  <c r="WO3" i="2"/>
  <c r="WQ5" i="2"/>
  <c r="WP4" i="2"/>
  <c r="MG5" i="2"/>
  <c r="MF4" i="2"/>
  <c r="RL5" i="2"/>
  <c r="RK4" i="2"/>
  <c r="BW4" i="2"/>
  <c r="BX5" i="2"/>
  <c r="ARG5" i="2"/>
  <c r="ARF4" i="2"/>
  <c r="AMD5" i="2"/>
  <c r="AMC4" i="2"/>
  <c r="AGY5" i="2"/>
  <c r="AGX4" i="2"/>
  <c r="ABU5" i="2"/>
  <c r="ABT4" i="2"/>
  <c r="HC5" i="2"/>
  <c r="HB4" i="2"/>
  <c r="AW6" i="1"/>
  <c r="AX7" i="1"/>
  <c r="WL13" i="2" l="1"/>
  <c r="WL8" i="2"/>
  <c r="AT11" i="1"/>
  <c r="WL10" i="2"/>
  <c r="WL9" i="2"/>
  <c r="AW12" i="1"/>
  <c r="AW17" i="1"/>
  <c r="ARF6" i="2"/>
  <c r="AY19" i="1" s="1"/>
  <c r="ALX6" i="2"/>
  <c r="ABT6" i="2"/>
  <c r="AY9" i="1" s="1"/>
  <c r="ARG7" i="2"/>
  <c r="ARG10" i="2"/>
  <c r="ARG11" i="2"/>
  <c r="ARG12" i="2"/>
  <c r="ARG9" i="2"/>
  <c r="ARG8" i="2"/>
  <c r="ARG13" i="2"/>
  <c r="ALY11" i="2"/>
  <c r="ALY9" i="2"/>
  <c r="ALY10" i="2"/>
  <c r="ALY8" i="2"/>
  <c r="ALY13" i="2"/>
  <c r="ALY7" i="2"/>
  <c r="ALY12" i="2"/>
  <c r="AGU11" i="2"/>
  <c r="AGU12" i="2"/>
  <c r="AGU9" i="2"/>
  <c r="AGU8" i="2"/>
  <c r="AGU10" i="2"/>
  <c r="AGU13" i="2"/>
  <c r="AGU7" i="2"/>
  <c r="AT13" i="1"/>
  <c r="AT14" i="1" s="1"/>
  <c r="AT15" i="1" s="1"/>
  <c r="AT18" i="1" s="1"/>
  <c r="AT20" i="1" s="1"/>
  <c r="AGT6" i="2"/>
  <c r="HC8" i="2"/>
  <c r="HC12" i="2"/>
  <c r="HC13" i="2"/>
  <c r="HC11" i="2"/>
  <c r="HC10" i="2"/>
  <c r="HC7" i="2"/>
  <c r="HC9" i="2"/>
  <c r="BX13" i="2"/>
  <c r="BX11" i="2"/>
  <c r="BX7" i="2"/>
  <c r="BX12" i="2"/>
  <c r="BX10" i="2"/>
  <c r="BX9" i="2"/>
  <c r="BX8" i="2"/>
  <c r="ABU10" i="2"/>
  <c r="ABU7" i="2"/>
  <c r="ABU13" i="2"/>
  <c r="ABU9" i="2"/>
  <c r="ABU11" i="2"/>
  <c r="ABU12" i="2"/>
  <c r="ABU8" i="2"/>
  <c r="ME3" i="2"/>
  <c r="MD12" i="2"/>
  <c r="WM12" i="2" s="1"/>
  <c r="MD11" i="2"/>
  <c r="MD9" i="2"/>
  <c r="WM9" i="2" s="1"/>
  <c r="MD8" i="2"/>
  <c r="WM8" i="2" s="1"/>
  <c r="MD7" i="2"/>
  <c r="MD10" i="2"/>
  <c r="WM10" i="2" s="1"/>
  <c r="MD13" i="2"/>
  <c r="RJ3" i="2"/>
  <c r="RJ12" i="2" s="1"/>
  <c r="RI13" i="2"/>
  <c r="RI7" i="2"/>
  <c r="RI11" i="2"/>
  <c r="RJ11" i="2" s="1"/>
  <c r="WP3" i="2"/>
  <c r="WR5" i="2"/>
  <c r="WQ4" i="2"/>
  <c r="RL4" i="2"/>
  <c r="RM5" i="2"/>
  <c r="MG4" i="2"/>
  <c r="MH5" i="2"/>
  <c r="BX4" i="2"/>
  <c r="BY5" i="2"/>
  <c r="ARH5" i="2"/>
  <c r="ARG4" i="2"/>
  <c r="AME5" i="2"/>
  <c r="AMD4" i="2"/>
  <c r="AGZ5" i="2"/>
  <c r="AGY4" i="2"/>
  <c r="ABV5" i="2"/>
  <c r="ABU4" i="2"/>
  <c r="HD5" i="2"/>
  <c r="HC4" i="2"/>
  <c r="AX6" i="1"/>
  <c r="AY7" i="1"/>
  <c r="WL6" i="2" l="1"/>
  <c r="AU8" i="1" s="1"/>
  <c r="AU10" i="1" s="1"/>
  <c r="WM13" i="2"/>
  <c r="RJ7" i="2"/>
  <c r="WM7" i="2"/>
  <c r="RJ10" i="2"/>
  <c r="BY13" i="2"/>
  <c r="BY11" i="2"/>
  <c r="BY10" i="2"/>
  <c r="BY12" i="2"/>
  <c r="BY7" i="2"/>
  <c r="BY8" i="2"/>
  <c r="BY9" i="2"/>
  <c r="ABV7" i="2"/>
  <c r="ABV10" i="2"/>
  <c r="ABV11" i="2"/>
  <c r="ABV13" i="2"/>
  <c r="ABV8" i="2"/>
  <c r="ABV12" i="2"/>
  <c r="ABV9" i="2"/>
  <c r="ABU6" i="2"/>
  <c r="AZ9" i="1" s="1"/>
  <c r="AX12" i="1"/>
  <c r="AX17" i="1"/>
  <c r="WM11" i="2"/>
  <c r="WM6" i="2" s="1"/>
  <c r="AV8" i="1" s="1"/>
  <c r="AV10" i="1" s="1"/>
  <c r="RJ9" i="2"/>
  <c r="RJ8" i="2"/>
  <c r="AU11" i="1"/>
  <c r="AU13" i="1" s="1"/>
  <c r="AU14" i="1" s="1"/>
  <c r="AU15" i="1" s="1"/>
  <c r="AU18" i="1" s="1"/>
  <c r="AU20" i="1" s="1"/>
  <c r="ARG6" i="2"/>
  <c r="AZ19" i="1" s="1"/>
  <c r="ALZ9" i="2"/>
  <c r="ALZ12" i="2"/>
  <c r="ALZ8" i="2"/>
  <c r="ALZ11" i="2"/>
  <c r="ALZ13" i="2"/>
  <c r="ALZ7" i="2"/>
  <c r="ALZ6" i="2" s="1"/>
  <c r="ALZ10" i="2"/>
  <c r="AGV13" i="2"/>
  <c r="AGV12" i="2"/>
  <c r="AGV10" i="2"/>
  <c r="AGV9" i="2"/>
  <c r="AGV7" i="2"/>
  <c r="AGV11" i="2"/>
  <c r="AGV8" i="2"/>
  <c r="HD12" i="2"/>
  <c r="HD8" i="2"/>
  <c r="HD13" i="2"/>
  <c r="HD10" i="2"/>
  <c r="HD7" i="2"/>
  <c r="HD9" i="2"/>
  <c r="HD11" i="2"/>
  <c r="ARH10" i="2"/>
  <c r="ARH7" i="2"/>
  <c r="ARH11" i="2"/>
  <c r="ARH12" i="2"/>
  <c r="ARH13" i="2"/>
  <c r="ARH9" i="2"/>
  <c r="ARH8" i="2"/>
  <c r="RK3" i="2"/>
  <c r="RJ13" i="2"/>
  <c r="MF3" i="2"/>
  <c r="ME13" i="2"/>
  <c r="ME12" i="2"/>
  <c r="WN12" i="2" s="1"/>
  <c r="ME10" i="2"/>
  <c r="WN10" i="2" s="1"/>
  <c r="ME11" i="2"/>
  <c r="WN11" i="2" s="1"/>
  <c r="ME9" i="2"/>
  <c r="ME7" i="2"/>
  <c r="ME8" i="2"/>
  <c r="AGU6" i="2"/>
  <c r="ALY6" i="2"/>
  <c r="WQ3" i="2"/>
  <c r="WS5" i="2"/>
  <c r="WR4" i="2"/>
  <c r="MI5" i="2"/>
  <c r="MH4" i="2"/>
  <c r="RM4" i="2"/>
  <c r="RN5" i="2"/>
  <c r="BY4" i="2"/>
  <c r="BZ5" i="2"/>
  <c r="ARI5" i="2"/>
  <c r="ARH4" i="2"/>
  <c r="AME4" i="2"/>
  <c r="AMF5" i="2"/>
  <c r="AGZ4" i="2"/>
  <c r="AHA5" i="2"/>
  <c r="ABW5" i="2"/>
  <c r="ABV4" i="2"/>
  <c r="HE5" i="2"/>
  <c r="HD4" i="2"/>
  <c r="AZ7" i="1"/>
  <c r="AY6" i="1"/>
  <c r="WN9" i="2" l="1"/>
  <c r="RK10" i="2"/>
  <c r="WN7" i="2"/>
  <c r="AV11" i="1"/>
  <c r="AV13" i="1" s="1"/>
  <c r="AV14" i="1" s="1"/>
  <c r="AV15" i="1" s="1"/>
  <c r="AV18" i="1" s="1"/>
  <c r="AV20" i="1" s="1"/>
  <c r="WN8" i="2"/>
  <c r="AY17" i="1"/>
  <c r="AY12" i="1"/>
  <c r="AGV6" i="2"/>
  <c r="AW11" i="1" s="1"/>
  <c r="WN13" i="2"/>
  <c r="WN6" i="2" s="1"/>
  <c r="AW8" i="1" s="1"/>
  <c r="AW10" i="1" s="1"/>
  <c r="RK8" i="2"/>
  <c r="ABV6" i="2"/>
  <c r="BA9" i="1" s="1"/>
  <c r="MG3" i="2"/>
  <c r="MF7" i="2"/>
  <c r="MF10" i="2"/>
  <c r="WO10" i="2" s="1"/>
  <c r="MF12" i="2"/>
  <c r="MF11" i="2"/>
  <c r="MF8" i="2"/>
  <c r="MF9" i="2"/>
  <c r="MF13" i="2"/>
  <c r="ARH6" i="2"/>
  <c r="BA19" i="1" s="1"/>
  <c r="RK9" i="2"/>
  <c r="HE12" i="2"/>
  <c r="HE8" i="2"/>
  <c r="HE13" i="2"/>
  <c r="HE11" i="2"/>
  <c r="HE10" i="2"/>
  <c r="HE7" i="2"/>
  <c r="HE9" i="2"/>
  <c r="ARI7" i="2"/>
  <c r="ARI10" i="2"/>
  <c r="ARI12" i="2"/>
  <c r="ARI11" i="2"/>
  <c r="ARI9" i="2"/>
  <c r="ARI13" i="2"/>
  <c r="ARI8" i="2"/>
  <c r="RL3" i="2"/>
  <c r="RK13" i="2"/>
  <c r="AMA11" i="2"/>
  <c r="AMA12" i="2"/>
  <c r="AMA8" i="2"/>
  <c r="AMA13" i="2"/>
  <c r="AMA9" i="2"/>
  <c r="AMA7" i="2"/>
  <c r="AMA10" i="2"/>
  <c r="AGW10" i="2"/>
  <c r="AGW11" i="2"/>
  <c r="AGW7" i="2"/>
  <c r="AGW8" i="2"/>
  <c r="AGW9" i="2"/>
  <c r="AGW13" i="2"/>
  <c r="AGW12" i="2"/>
  <c r="BZ13" i="2"/>
  <c r="BZ11" i="2"/>
  <c r="BZ12" i="2"/>
  <c r="BZ10" i="2"/>
  <c r="BZ8" i="2"/>
  <c r="BZ9" i="2"/>
  <c r="BZ7" i="2"/>
  <c r="ABW7" i="2"/>
  <c r="ABW10" i="2"/>
  <c r="ABW13" i="2"/>
  <c r="ABW12" i="2"/>
  <c r="ABW11" i="2"/>
  <c r="ABW9" i="2"/>
  <c r="ABW8" i="2"/>
  <c r="RK11" i="2"/>
  <c r="RK7" i="2"/>
  <c r="RK12" i="2"/>
  <c r="WR3" i="2"/>
  <c r="WT5" i="2"/>
  <c r="WS4" i="2"/>
  <c r="RN4" i="2"/>
  <c r="RO5" i="2"/>
  <c r="MJ5" i="2"/>
  <c r="MI4" i="2"/>
  <c r="CA5" i="2"/>
  <c r="BZ4" i="2"/>
  <c r="ARI4" i="2"/>
  <c r="ARJ5" i="2"/>
  <c r="AMF4" i="2"/>
  <c r="AMG5" i="2"/>
  <c r="AHB5" i="2"/>
  <c r="AHA4" i="2"/>
  <c r="ABW4" i="2"/>
  <c r="ABX5" i="2"/>
  <c r="HE4" i="2"/>
  <c r="HF5" i="2"/>
  <c r="BA7" i="1"/>
  <c r="AZ6" i="1"/>
  <c r="WO13" i="2" l="1"/>
  <c r="ARI6" i="2"/>
  <c r="BB19" i="1" s="1"/>
  <c r="WO8" i="2"/>
  <c r="AW13" i="1"/>
  <c r="AW14" i="1" s="1"/>
  <c r="AW15" i="1" s="1"/>
  <c r="AW18" i="1" s="1"/>
  <c r="AW20" i="1" s="1"/>
  <c r="WO11" i="2"/>
  <c r="ABW6" i="2"/>
  <c r="BB9" i="1" s="1"/>
  <c r="AMA6" i="2"/>
  <c r="RM3" i="2"/>
  <c r="RL13" i="2"/>
  <c r="CA12" i="2"/>
  <c r="CA11" i="2"/>
  <c r="CA13" i="2"/>
  <c r="CA8" i="2"/>
  <c r="CA10" i="2"/>
  <c r="CA7" i="2"/>
  <c r="CA9" i="2"/>
  <c r="WO9" i="2"/>
  <c r="RL10" i="2"/>
  <c r="RL12" i="2"/>
  <c r="AMB8" i="2"/>
  <c r="AMB12" i="2"/>
  <c r="AMB13" i="2"/>
  <c r="AMB10" i="2"/>
  <c r="AMB9" i="2"/>
  <c r="AMB11" i="2"/>
  <c r="AMB7" i="2"/>
  <c r="AGX9" i="2"/>
  <c r="AGX10" i="2"/>
  <c r="AGX11" i="2"/>
  <c r="AGX8" i="2"/>
  <c r="AGX7" i="2"/>
  <c r="AGX12" i="2"/>
  <c r="AGX13" i="2"/>
  <c r="MH3" i="2"/>
  <c r="MG9" i="2"/>
  <c r="MG10" i="2"/>
  <c r="MG11" i="2"/>
  <c r="MG8" i="2"/>
  <c r="MG7" i="2"/>
  <c r="MG12" i="2"/>
  <c r="MG13" i="2"/>
  <c r="WP13" i="2" s="1"/>
  <c r="AGW6" i="2"/>
  <c r="AZ17" i="1"/>
  <c r="AZ12" i="1"/>
  <c r="WO12" i="2"/>
  <c r="ABX7" i="2"/>
  <c r="ABX10" i="2"/>
  <c r="ABX11" i="2"/>
  <c r="ABX13" i="2"/>
  <c r="ABX9" i="2"/>
  <c r="ABX12" i="2"/>
  <c r="ABX8" i="2"/>
  <c r="RL7" i="2"/>
  <c r="RM7" i="2" s="1"/>
  <c r="RL9" i="2"/>
  <c r="RL8" i="2"/>
  <c r="HF8" i="2"/>
  <c r="HF13" i="2"/>
  <c r="HF10" i="2"/>
  <c r="HF12" i="2"/>
  <c r="HF11" i="2"/>
  <c r="HF7" i="2"/>
  <c r="HF9" i="2"/>
  <c r="ARJ7" i="2"/>
  <c r="ARJ10" i="2"/>
  <c r="ARJ12" i="2"/>
  <c r="ARJ11" i="2"/>
  <c r="ARJ13" i="2"/>
  <c r="ARJ9" i="2"/>
  <c r="ARJ8" i="2"/>
  <c r="RL11" i="2"/>
  <c r="WO7" i="2"/>
  <c r="WS3" i="2"/>
  <c r="WT4" i="2"/>
  <c r="WU5" i="2"/>
  <c r="MJ4" i="2"/>
  <c r="MK5" i="2"/>
  <c r="RO4" i="2"/>
  <c r="RP5" i="2"/>
  <c r="CA4" i="2"/>
  <c r="CB5" i="2"/>
  <c r="ARJ4" i="2"/>
  <c r="ARK5" i="2"/>
  <c r="AMG4" i="2"/>
  <c r="AMH5" i="2"/>
  <c r="AHB4" i="2"/>
  <c r="AHC5" i="2"/>
  <c r="ABX4" i="2"/>
  <c r="ABY5" i="2"/>
  <c r="HF4" i="2"/>
  <c r="HG5" i="2"/>
  <c r="BB7" i="1"/>
  <c r="BA6" i="1"/>
  <c r="AX11" i="1" l="1"/>
  <c r="RM8" i="2"/>
  <c r="WP7" i="2"/>
  <c r="RM12" i="2"/>
  <c r="RM11" i="2"/>
  <c r="RM9" i="2"/>
  <c r="ABX6" i="2"/>
  <c r="BC9" i="1" s="1"/>
  <c r="RM10" i="2"/>
  <c r="AMC13" i="2"/>
  <c r="AMC10" i="2"/>
  <c r="AMC9" i="2"/>
  <c r="AMC12" i="2"/>
  <c r="AMC8" i="2"/>
  <c r="AMC7" i="2"/>
  <c r="AMC11" i="2"/>
  <c r="AGY7" i="2"/>
  <c r="AGY12" i="2"/>
  <c r="AGY11" i="2"/>
  <c r="AGY9" i="2"/>
  <c r="AGY10" i="2"/>
  <c r="AGY8" i="2"/>
  <c r="AGY13" i="2"/>
  <c r="MI3" i="2"/>
  <c r="MH11" i="2"/>
  <c r="MH9" i="2"/>
  <c r="WQ9" i="2" s="1"/>
  <c r="MH7" i="2"/>
  <c r="WQ7" i="2" s="1"/>
  <c r="MH12" i="2"/>
  <c r="MH10" i="2"/>
  <c r="WQ10" i="2" s="1"/>
  <c r="MH13" i="2"/>
  <c r="MH8" i="2"/>
  <c r="WQ8" i="2" s="1"/>
  <c r="AMB6" i="2"/>
  <c r="ABY7" i="2"/>
  <c r="ABY10" i="2"/>
  <c r="ABY12" i="2"/>
  <c r="ABY13" i="2"/>
  <c r="ABY9" i="2"/>
  <c r="ABY8" i="2"/>
  <c r="ABY11" i="2"/>
  <c r="CB8" i="2"/>
  <c r="CB12" i="2"/>
  <c r="CB13" i="2"/>
  <c r="CB11" i="2"/>
  <c r="CB10" i="2"/>
  <c r="CB7" i="2"/>
  <c r="CB9" i="2"/>
  <c r="WO6" i="2"/>
  <c r="AX8" i="1" s="1"/>
  <c r="AX10" i="1" s="1"/>
  <c r="AX13" i="1" s="1"/>
  <c r="AX14" i="1" s="1"/>
  <c r="AX15" i="1" s="1"/>
  <c r="AX18" i="1" s="1"/>
  <c r="AX20" i="1" s="1"/>
  <c r="WP9" i="2"/>
  <c r="WP12" i="2"/>
  <c r="WP8" i="2"/>
  <c r="HG13" i="2"/>
  <c r="HG8" i="2"/>
  <c r="HG11" i="2"/>
  <c r="HG12" i="2"/>
  <c r="HG10" i="2"/>
  <c r="HG7" i="2"/>
  <c r="HG9" i="2"/>
  <c r="WP11" i="2"/>
  <c r="ARK7" i="2"/>
  <c r="ARK10" i="2"/>
  <c r="ARK12" i="2"/>
  <c r="ARK9" i="2"/>
  <c r="ARK13" i="2"/>
  <c r="ARK11" i="2"/>
  <c r="ARK8" i="2"/>
  <c r="AGX6" i="2"/>
  <c r="BA17" i="1"/>
  <c r="BA12" i="1"/>
  <c r="ARJ6" i="2"/>
  <c r="BC19" i="1" s="1"/>
  <c r="WP10" i="2"/>
  <c r="RN3" i="2"/>
  <c r="RN11" i="2" s="1"/>
  <c r="RM13" i="2"/>
  <c r="WT3" i="2"/>
  <c r="WU4" i="2"/>
  <c r="WV5" i="2"/>
  <c r="RQ5" i="2"/>
  <c r="RP4" i="2"/>
  <c r="ML5" i="2"/>
  <c r="MK4" i="2"/>
  <c r="CC5" i="2"/>
  <c r="CB4" i="2"/>
  <c r="ARK4" i="2"/>
  <c r="ARL5" i="2"/>
  <c r="AMH4" i="2"/>
  <c r="AMI5" i="2"/>
  <c r="AHC4" i="2"/>
  <c r="AHD5" i="2"/>
  <c r="ABY4" i="2"/>
  <c r="ABZ5" i="2"/>
  <c r="HG4" i="2"/>
  <c r="HH5" i="2"/>
  <c r="BB6" i="1"/>
  <c r="BC7" i="1"/>
  <c r="AY11" i="1" l="1"/>
  <c r="WQ11" i="2"/>
  <c r="RN8" i="2"/>
  <c r="RN10" i="2"/>
  <c r="RO10" i="2" s="1"/>
  <c r="WQ12" i="2"/>
  <c r="RN7" i="2"/>
  <c r="BB17" i="1"/>
  <c r="BB12" i="1"/>
  <c r="ABY6" i="2"/>
  <c r="BD9" i="1" s="1"/>
  <c r="AMC6" i="2"/>
  <c r="HH12" i="2"/>
  <c r="HH13" i="2"/>
  <c r="HH8" i="2"/>
  <c r="HH11" i="2"/>
  <c r="HH9" i="2"/>
  <c r="HH7" i="2"/>
  <c r="HH10" i="2"/>
  <c r="ARL7" i="2"/>
  <c r="ARL10" i="2"/>
  <c r="ARL11" i="2"/>
  <c r="ARL13" i="2"/>
  <c r="ARL12" i="2"/>
  <c r="ARL9" i="2"/>
  <c r="ARL8" i="2"/>
  <c r="ABZ10" i="2"/>
  <c r="ABZ7" i="2"/>
  <c r="ABZ13" i="2"/>
  <c r="ABZ12" i="2"/>
  <c r="ABZ8" i="2"/>
  <c r="ABZ9" i="2"/>
  <c r="ABZ11" i="2"/>
  <c r="RN12" i="2"/>
  <c r="RO12" i="2" s="1"/>
  <c r="WP6" i="2"/>
  <c r="AY8" i="1" s="1"/>
  <c r="AY10" i="1" s="1"/>
  <c r="AY13" i="1" s="1"/>
  <c r="AY14" i="1" s="1"/>
  <c r="AY15" i="1" s="1"/>
  <c r="AY18" i="1" s="1"/>
  <c r="AY20" i="1" s="1"/>
  <c r="MJ3" i="2"/>
  <c r="MI13" i="2"/>
  <c r="MI9" i="2"/>
  <c r="MI12" i="2"/>
  <c r="MI11" i="2"/>
  <c r="WR11" i="2" s="1"/>
  <c r="MI7" i="2"/>
  <c r="MI10" i="2"/>
  <c r="MI8" i="2"/>
  <c r="WR8" i="2" s="1"/>
  <c r="ARK6" i="2"/>
  <c r="BD19" i="1" s="1"/>
  <c r="CC12" i="2"/>
  <c r="CC10" i="2"/>
  <c r="CC11" i="2"/>
  <c r="CC13" i="2"/>
  <c r="CC9" i="2"/>
  <c r="CC7" i="2"/>
  <c r="CC8" i="2"/>
  <c r="RO3" i="2"/>
  <c r="RO8" i="2" s="1"/>
  <c r="RN13" i="2"/>
  <c r="AMD10" i="2"/>
  <c r="AMD8" i="2"/>
  <c r="AMD12" i="2"/>
  <c r="AMD11" i="2"/>
  <c r="AMD7" i="2"/>
  <c r="AMD9" i="2"/>
  <c r="AMD13" i="2"/>
  <c r="AGZ13" i="2"/>
  <c r="AGZ11" i="2"/>
  <c r="AGZ9" i="2"/>
  <c r="AGZ12" i="2"/>
  <c r="AGZ8" i="2"/>
  <c r="AGZ7" i="2"/>
  <c r="AGZ6" i="2" s="1"/>
  <c r="AGZ10" i="2"/>
  <c r="WQ13" i="2"/>
  <c r="AGY6" i="2"/>
  <c r="RN9" i="2"/>
  <c r="RO9" i="2" s="1"/>
  <c r="WU3" i="2"/>
  <c r="WV4" i="2"/>
  <c r="WW5" i="2"/>
  <c r="MM5" i="2"/>
  <c r="ML4" i="2"/>
  <c r="RQ4" i="2"/>
  <c r="RR5" i="2"/>
  <c r="CC4" i="2"/>
  <c r="CD5" i="2"/>
  <c r="ARM5" i="2"/>
  <c r="ARL4" i="2"/>
  <c r="AMJ5" i="2"/>
  <c r="AMI4" i="2"/>
  <c r="AHE5" i="2"/>
  <c r="AHD4" i="2"/>
  <c r="ABZ4" i="2"/>
  <c r="ACA5" i="2"/>
  <c r="HH4" i="2"/>
  <c r="HI5" i="2"/>
  <c r="BC6" i="1"/>
  <c r="BD7" i="1"/>
  <c r="BA11" i="1" l="1"/>
  <c r="AMD6" i="2"/>
  <c r="WR10" i="2"/>
  <c r="WR7" i="2"/>
  <c r="WQ6" i="2"/>
  <c r="AZ8" i="1" s="1"/>
  <c r="AZ10" i="1" s="1"/>
  <c r="WR12" i="2"/>
  <c r="AME12" i="2"/>
  <c r="AME11" i="2"/>
  <c r="AME9" i="2"/>
  <c r="AME7" i="2"/>
  <c r="AME13" i="2"/>
  <c r="AME8" i="2"/>
  <c r="AME10" i="2"/>
  <c r="AHA12" i="2"/>
  <c r="AHA7" i="2"/>
  <c r="AHA11" i="2"/>
  <c r="AHA10" i="2"/>
  <c r="AHA9" i="2"/>
  <c r="AHA8" i="2"/>
  <c r="AHA13" i="2"/>
  <c r="ABZ6" i="2"/>
  <c r="BE9" i="1" s="1"/>
  <c r="WR9" i="2"/>
  <c r="RO7" i="2"/>
  <c r="HI8" i="2"/>
  <c r="HI12" i="2"/>
  <c r="HI13" i="2"/>
  <c r="HI11" i="2"/>
  <c r="HI7" i="2"/>
  <c r="HI9" i="2"/>
  <c r="HI10" i="2"/>
  <c r="WR13" i="2"/>
  <c r="ARM7" i="2"/>
  <c r="ARM10" i="2"/>
  <c r="ARM13" i="2"/>
  <c r="ARM11" i="2"/>
  <c r="ARM8" i="2"/>
  <c r="ARM9" i="2"/>
  <c r="ARM12" i="2"/>
  <c r="RP3" i="2"/>
  <c r="RP10" i="2" s="1"/>
  <c r="RO13" i="2"/>
  <c r="MK3" i="2"/>
  <c r="MJ7" i="2"/>
  <c r="MJ8" i="2"/>
  <c r="WS8" i="2" s="1"/>
  <c r="MJ13" i="2"/>
  <c r="MJ12" i="2"/>
  <c r="WS12" i="2" s="1"/>
  <c r="MJ9" i="2"/>
  <c r="WS9" i="2" s="1"/>
  <c r="MJ11" i="2"/>
  <c r="MJ10" i="2"/>
  <c r="WS10" i="2" s="1"/>
  <c r="ARL6" i="2"/>
  <c r="BE19" i="1" s="1"/>
  <c r="BC12" i="1"/>
  <c r="BC17" i="1"/>
  <c r="ACA10" i="2"/>
  <c r="ACA7" i="2"/>
  <c r="ACA12" i="2"/>
  <c r="ACA11" i="2"/>
  <c r="ACA9" i="2"/>
  <c r="ACA13" i="2"/>
  <c r="ACA8" i="2"/>
  <c r="CD12" i="2"/>
  <c r="CD10" i="2"/>
  <c r="CD13" i="2"/>
  <c r="CD11" i="2"/>
  <c r="CD7" i="2"/>
  <c r="CD8" i="2"/>
  <c r="CD9" i="2"/>
  <c r="AZ11" i="1"/>
  <c r="AZ13" i="1" s="1"/>
  <c r="AZ14" i="1" s="1"/>
  <c r="AZ15" i="1" s="1"/>
  <c r="AZ18" i="1" s="1"/>
  <c r="AZ20" i="1" s="1"/>
  <c r="RO11" i="2"/>
  <c r="RP11" i="2" s="1"/>
  <c r="WV3" i="2"/>
  <c r="WW4" i="2"/>
  <c r="WX5" i="2"/>
  <c r="RR4" i="2"/>
  <c r="RS5" i="2"/>
  <c r="MN5" i="2"/>
  <c r="MM4" i="2"/>
  <c r="CE5" i="2"/>
  <c r="CD4" i="2"/>
  <c r="ARN5" i="2"/>
  <c r="ARM4" i="2"/>
  <c r="AMK5" i="2"/>
  <c r="AMJ4" i="2"/>
  <c r="AHF5" i="2"/>
  <c r="AHE4" i="2"/>
  <c r="ACB5" i="2"/>
  <c r="ACA4" i="2"/>
  <c r="HJ5" i="2"/>
  <c r="HI4" i="2"/>
  <c r="BD6" i="1"/>
  <c r="BE7" i="1"/>
  <c r="WS7" i="2" l="1"/>
  <c r="AHA6" i="2"/>
  <c r="ML3" i="2"/>
  <c r="MK9" i="2"/>
  <c r="MK8" i="2"/>
  <c r="MK7" i="2"/>
  <c r="MK13" i="2"/>
  <c r="MK11" i="2"/>
  <c r="WT11" i="2" s="1"/>
  <c r="MK10" i="2"/>
  <c r="WT10" i="2" s="1"/>
  <c r="MK12" i="2"/>
  <c r="ACB10" i="2"/>
  <c r="ACB7" i="2"/>
  <c r="ACB11" i="2"/>
  <c r="ACB13" i="2"/>
  <c r="ACB12" i="2"/>
  <c r="ACB8" i="2"/>
  <c r="ACB9" i="2"/>
  <c r="WS11" i="2"/>
  <c r="RQ3" i="2"/>
  <c r="RQ10" i="2" s="1"/>
  <c r="RP13" i="2"/>
  <c r="RP7" i="2"/>
  <c r="RP9" i="2"/>
  <c r="ACA6" i="2"/>
  <c r="BF9" i="1" s="1"/>
  <c r="BD12" i="1"/>
  <c r="BD17" i="1"/>
  <c r="AMF8" i="2"/>
  <c r="AMF10" i="2"/>
  <c r="AMF7" i="2"/>
  <c r="AMF11" i="2"/>
  <c r="AMF12" i="2"/>
  <c r="AMF13" i="2"/>
  <c r="AMF9" i="2"/>
  <c r="AHB8" i="2"/>
  <c r="AHB13" i="2"/>
  <c r="AHB11" i="2"/>
  <c r="AHB10" i="2"/>
  <c r="AHB7" i="2"/>
  <c r="AHB12" i="2"/>
  <c r="AHB9" i="2"/>
  <c r="WS13" i="2"/>
  <c r="WR6" i="2"/>
  <c r="BA8" i="1" s="1"/>
  <c r="BA10" i="1" s="1"/>
  <c r="BA13" i="1" s="1"/>
  <c r="BA14" i="1" s="1"/>
  <c r="BA15" i="1" s="1"/>
  <c r="BA18" i="1" s="1"/>
  <c r="BA20" i="1" s="1"/>
  <c r="AME6" i="2"/>
  <c r="BB11" i="1" s="1"/>
  <c r="RQ11" i="2"/>
  <c r="ARM6" i="2"/>
  <c r="BF19" i="1" s="1"/>
  <c r="RP12" i="2"/>
  <c r="RP8" i="2"/>
  <c r="CE13" i="2"/>
  <c r="CE9" i="2"/>
  <c r="CE12" i="2"/>
  <c r="CE7" i="2"/>
  <c r="CE10" i="2"/>
  <c r="CE11" i="2"/>
  <c r="CE8" i="2"/>
  <c r="HJ8" i="2"/>
  <c r="HJ12" i="2"/>
  <c r="HJ13" i="2"/>
  <c r="HJ9" i="2"/>
  <c r="HJ11" i="2"/>
  <c r="HJ7" i="2"/>
  <c r="HJ10" i="2"/>
  <c r="ARN7" i="2"/>
  <c r="ARN10" i="2"/>
  <c r="ARN12" i="2"/>
  <c r="ARN11" i="2"/>
  <c r="ARN13" i="2"/>
  <c r="ARN9" i="2"/>
  <c r="ARN8" i="2"/>
  <c r="WW3" i="2"/>
  <c r="WY5" i="2"/>
  <c r="WX4" i="2"/>
  <c r="MO5" i="2"/>
  <c r="MN4" i="2"/>
  <c r="RT5" i="2"/>
  <c r="RS4" i="2"/>
  <c r="CF5" i="2"/>
  <c r="CE4" i="2"/>
  <c r="ARO5" i="2"/>
  <c r="ARN4" i="2"/>
  <c r="AML5" i="2"/>
  <c r="AMK4" i="2"/>
  <c r="AHG5" i="2"/>
  <c r="AHF4" i="2"/>
  <c r="ACC5" i="2"/>
  <c r="ACB4" i="2"/>
  <c r="HK5" i="2"/>
  <c r="HJ4" i="2"/>
  <c r="BE6" i="1"/>
  <c r="BF7" i="1"/>
  <c r="RQ8" i="2" l="1"/>
  <c r="WT13" i="2"/>
  <c r="RQ12" i="2"/>
  <c r="RR12" i="2" s="1"/>
  <c r="RQ7" i="2"/>
  <c r="WT12" i="2"/>
  <c r="WS6" i="2"/>
  <c r="BB8" i="1" s="1"/>
  <c r="BB10" i="1" s="1"/>
  <c r="BB13" i="1" s="1"/>
  <c r="BB14" i="1" s="1"/>
  <c r="BB15" i="1" s="1"/>
  <c r="BB18" i="1" s="1"/>
  <c r="BB20" i="1" s="1"/>
  <c r="WT7" i="2"/>
  <c r="WT8" i="2"/>
  <c r="AMF6" i="2"/>
  <c r="ARN6" i="2"/>
  <c r="BG19" i="1" s="1"/>
  <c r="BE12" i="1"/>
  <c r="BE17" i="1"/>
  <c r="RR3" i="2"/>
  <c r="RQ13" i="2"/>
  <c r="ACB6" i="2"/>
  <c r="BG9" i="1" s="1"/>
  <c r="WT9" i="2"/>
  <c r="MM3" i="2"/>
  <c r="ML10" i="2"/>
  <c r="WU10" i="2" s="1"/>
  <c r="ML9" i="2"/>
  <c r="ML8" i="2"/>
  <c r="WU8" i="2" s="1"/>
  <c r="ML12" i="2"/>
  <c r="ML13" i="2"/>
  <c r="WU13" i="2" s="1"/>
  <c r="ML7" i="2"/>
  <c r="ML11" i="2"/>
  <c r="WU11" i="2" s="1"/>
  <c r="ARO10" i="2"/>
  <c r="ARO7" i="2"/>
  <c r="ARO12" i="2"/>
  <c r="ARO9" i="2"/>
  <c r="ARO13" i="2"/>
  <c r="ARO11" i="2"/>
  <c r="ARO8" i="2"/>
  <c r="AMG8" i="2"/>
  <c r="AMG11" i="2"/>
  <c r="AMG9" i="2"/>
  <c r="AMG7" i="2"/>
  <c r="AMG13" i="2"/>
  <c r="AMG12" i="2"/>
  <c r="AMG10" i="2"/>
  <c r="AHC7" i="2"/>
  <c r="AHC12" i="2"/>
  <c r="AHC8" i="2"/>
  <c r="AHC13" i="2"/>
  <c r="AHC10" i="2"/>
  <c r="AHC11" i="2"/>
  <c r="AHC9" i="2"/>
  <c r="HK8" i="2"/>
  <c r="HK12" i="2"/>
  <c r="HK13" i="2"/>
  <c r="HK7" i="2"/>
  <c r="HK10" i="2"/>
  <c r="HK9" i="2"/>
  <c r="HK11" i="2"/>
  <c r="RR8" i="2"/>
  <c r="RR10" i="2"/>
  <c r="ACC7" i="2"/>
  <c r="ACC10" i="2"/>
  <c r="ACC11" i="2"/>
  <c r="ACC12" i="2"/>
  <c r="ACC9" i="2"/>
  <c r="ACC8" i="2"/>
  <c r="ACC13" i="2"/>
  <c r="CF7" i="2"/>
  <c r="CF13" i="2"/>
  <c r="CF11" i="2"/>
  <c r="CF12" i="2"/>
  <c r="CF10" i="2"/>
  <c r="CF9" i="2"/>
  <c r="CF8" i="2"/>
  <c r="AHB6" i="2"/>
  <c r="BC11" i="1" s="1"/>
  <c r="RQ9" i="2"/>
  <c r="RR9" i="2" s="1"/>
  <c r="WX3" i="2"/>
  <c r="WZ5" i="2"/>
  <c r="WY4" i="2"/>
  <c r="RT4" i="2"/>
  <c r="RU5" i="2"/>
  <c r="MP5" i="2"/>
  <c r="MO4" i="2"/>
  <c r="CG5" i="2"/>
  <c r="CF4" i="2"/>
  <c r="ARP5" i="2"/>
  <c r="ARO4" i="2"/>
  <c r="AMM5" i="2"/>
  <c r="AML4" i="2"/>
  <c r="AHH5" i="2"/>
  <c r="AHG4" i="2"/>
  <c r="ACD5" i="2"/>
  <c r="ACC4" i="2"/>
  <c r="HL5" i="2"/>
  <c r="HK4" i="2"/>
  <c r="BF6" i="1"/>
  <c r="BG7" i="1"/>
  <c r="WU7" i="2" l="1"/>
  <c r="WU12" i="2"/>
  <c r="RR7" i="2"/>
  <c r="WU9" i="2"/>
  <c r="WU6" i="2" s="1"/>
  <c r="BD8" i="1" s="1"/>
  <c r="BD10" i="1" s="1"/>
  <c r="WT6" i="2"/>
  <c r="BC8" i="1" s="1"/>
  <c r="BC10" i="1" s="1"/>
  <c r="BC13" i="1" s="1"/>
  <c r="BC14" i="1" s="1"/>
  <c r="BC15" i="1" s="1"/>
  <c r="BC18" i="1" s="1"/>
  <c r="BC20" i="1" s="1"/>
  <c r="RR11" i="2"/>
  <c r="ACC6" i="2"/>
  <c r="BH9" i="1" s="1"/>
  <c r="AHC6" i="2"/>
  <c r="MN3" i="2"/>
  <c r="MM8" i="2"/>
  <c r="WV8" i="2" s="1"/>
  <c r="MM11" i="2"/>
  <c r="MM12" i="2"/>
  <c r="WV12" i="2" s="1"/>
  <c r="MM10" i="2"/>
  <c r="WV10" i="2" s="1"/>
  <c r="MM13" i="2"/>
  <c r="MM7" i="2"/>
  <c r="MM9" i="2"/>
  <c r="WV9" i="2" s="1"/>
  <c r="ARO6" i="2"/>
  <c r="BH19" i="1" s="1"/>
  <c r="BF12" i="1"/>
  <c r="BF17" i="1"/>
  <c r="AMH7" i="2"/>
  <c r="AMH9" i="2"/>
  <c r="AMH8" i="2"/>
  <c r="AMH13" i="2"/>
  <c r="AMH10" i="2"/>
  <c r="AMH11" i="2"/>
  <c r="AMH12" i="2"/>
  <c r="AHD8" i="2"/>
  <c r="AHD11" i="2"/>
  <c r="AHD12" i="2"/>
  <c r="AHD13" i="2"/>
  <c r="AHD7" i="2"/>
  <c r="AHD9" i="2"/>
  <c r="AHD10" i="2"/>
  <c r="HL12" i="2"/>
  <c r="HL8" i="2"/>
  <c r="HL13" i="2"/>
  <c r="HL11" i="2"/>
  <c r="HL10" i="2"/>
  <c r="HL7" i="2"/>
  <c r="HL9" i="2"/>
  <c r="ARP7" i="2"/>
  <c r="ARP10" i="2"/>
  <c r="ARP13" i="2"/>
  <c r="ARP11" i="2"/>
  <c r="ARP9" i="2"/>
  <c r="ARP8" i="2"/>
  <c r="ARP12" i="2"/>
  <c r="AMG6" i="2"/>
  <c r="ACD10" i="2"/>
  <c r="ACD7" i="2"/>
  <c r="ACD12" i="2"/>
  <c r="ACD13" i="2"/>
  <c r="ACD11" i="2"/>
  <c r="ACD9" i="2"/>
  <c r="ACD8" i="2"/>
  <c r="CG13" i="2"/>
  <c r="CG11" i="2"/>
  <c r="CG10" i="2"/>
  <c r="CG12" i="2"/>
  <c r="CG9" i="2"/>
  <c r="CG8" i="2"/>
  <c r="CG7" i="2"/>
  <c r="RS3" i="2"/>
  <c r="RS11" i="2" s="1"/>
  <c r="RR13" i="2"/>
  <c r="WY3" i="2"/>
  <c r="XA5" i="2"/>
  <c r="WZ4" i="2"/>
  <c r="MQ5" i="2"/>
  <c r="MP4" i="2"/>
  <c r="RU4" i="2"/>
  <c r="RV5" i="2"/>
  <c r="CH5" i="2"/>
  <c r="CG4" i="2"/>
  <c r="ARQ5" i="2"/>
  <c r="ARP4" i="2"/>
  <c r="AMM4" i="2"/>
  <c r="AMN5" i="2"/>
  <c r="AHH4" i="2"/>
  <c r="AHI5" i="2"/>
  <c r="ACD4" i="2"/>
  <c r="ACE5" i="2"/>
  <c r="HM5" i="2"/>
  <c r="HL4" i="2"/>
  <c r="BH7" i="1"/>
  <c r="BG6" i="1"/>
  <c r="WV11" i="2" l="1"/>
  <c r="WV7" i="2"/>
  <c r="AHD6" i="2"/>
  <c r="ACE7" i="2"/>
  <c r="ACE10" i="2"/>
  <c r="ACE13" i="2"/>
  <c r="ACE12" i="2"/>
  <c r="ACE8" i="2"/>
  <c r="ACE9" i="2"/>
  <c r="ACE11" i="2"/>
  <c r="RT3" i="2"/>
  <c r="RS13" i="2"/>
  <c r="RS8" i="2"/>
  <c r="AMH6" i="2"/>
  <c r="BE11" i="1" s="1"/>
  <c r="AMI10" i="2"/>
  <c r="AMI7" i="2"/>
  <c r="AMI13" i="2"/>
  <c r="AMI9" i="2"/>
  <c r="AMI8" i="2"/>
  <c r="AMI11" i="2"/>
  <c r="AMI12" i="2"/>
  <c r="AHE7" i="2"/>
  <c r="AHE11" i="2"/>
  <c r="AHE9" i="2"/>
  <c r="AHE10" i="2"/>
  <c r="AHE12" i="2"/>
  <c r="AHE13" i="2"/>
  <c r="AHE8" i="2"/>
  <c r="ACD6" i="2"/>
  <c r="BI9" i="1" s="1"/>
  <c r="RS12" i="2"/>
  <c r="RT12" i="2" s="1"/>
  <c r="CH13" i="2"/>
  <c r="CH11" i="2"/>
  <c r="CH8" i="2"/>
  <c r="CH12" i="2"/>
  <c r="CH10" i="2"/>
  <c r="CH7" i="2"/>
  <c r="CH9" i="2"/>
  <c r="BG17" i="1"/>
  <c r="BG12" i="1"/>
  <c r="MO3" i="2"/>
  <c r="MN7" i="2"/>
  <c r="MN11" i="2"/>
  <c r="WW11" i="2" s="1"/>
  <c r="MN9" i="2"/>
  <c r="MN13" i="2"/>
  <c r="MN8" i="2"/>
  <c r="MN10" i="2"/>
  <c r="MN12" i="2"/>
  <c r="ARP6" i="2"/>
  <c r="BI19" i="1" s="1"/>
  <c r="BD11" i="1"/>
  <c r="BD13" i="1" s="1"/>
  <c r="BD14" i="1" s="1"/>
  <c r="BD15" i="1" s="1"/>
  <c r="BD18" i="1" s="1"/>
  <c r="BD20" i="1" s="1"/>
  <c r="HM12" i="2"/>
  <c r="HM13" i="2"/>
  <c r="HM8" i="2"/>
  <c r="HM10" i="2"/>
  <c r="HM7" i="2"/>
  <c r="HM11" i="2"/>
  <c r="HM9" i="2"/>
  <c r="ARQ10" i="2"/>
  <c r="ARQ7" i="2"/>
  <c r="ARQ12" i="2"/>
  <c r="ARQ9" i="2"/>
  <c r="ARQ13" i="2"/>
  <c r="ARQ8" i="2"/>
  <c r="ARQ11" i="2"/>
  <c r="RS9" i="2"/>
  <c r="RT9" i="2" s="1"/>
  <c r="RS10" i="2"/>
  <c r="WV13" i="2"/>
  <c r="WV6" i="2" s="1"/>
  <c r="BE8" i="1" s="1"/>
  <c r="BE10" i="1" s="1"/>
  <c r="BE13" i="1" s="1"/>
  <c r="BE14" i="1" s="1"/>
  <c r="BE15" i="1" s="1"/>
  <c r="BE18" i="1" s="1"/>
  <c r="BE20" i="1" s="1"/>
  <c r="RS7" i="2"/>
  <c r="RT7" i="2" s="1"/>
  <c r="WZ3" i="2"/>
  <c r="XB5" i="2"/>
  <c r="XA4" i="2"/>
  <c r="MR5" i="2"/>
  <c r="MQ4" i="2"/>
  <c r="RV4" i="2"/>
  <c r="RW5" i="2"/>
  <c r="CI5" i="2"/>
  <c r="CH4" i="2"/>
  <c r="ARQ4" i="2"/>
  <c r="ARR5" i="2"/>
  <c r="AMN4" i="2"/>
  <c r="AMO5" i="2"/>
  <c r="AHJ5" i="2"/>
  <c r="AHI4" i="2"/>
  <c r="ACE4" i="2"/>
  <c r="ACF5" i="2"/>
  <c r="HM4" i="2"/>
  <c r="HN5" i="2"/>
  <c r="BI7" i="1"/>
  <c r="BH6" i="1"/>
  <c r="RT8" i="2" l="1"/>
  <c r="CI12" i="2"/>
  <c r="CI13" i="2"/>
  <c r="CI10" i="2"/>
  <c r="CI11" i="2"/>
  <c r="CI8" i="2"/>
  <c r="CI9" i="2"/>
  <c r="CI7" i="2"/>
  <c r="RU3" i="2"/>
  <c r="RT13" i="2"/>
  <c r="RT10" i="2"/>
  <c r="RU10" i="2" s="1"/>
  <c r="ARQ6" i="2"/>
  <c r="BJ19" i="1" s="1"/>
  <c r="WW9" i="2"/>
  <c r="RT11" i="2"/>
  <c r="RU11" i="2" s="1"/>
  <c r="RU7" i="2"/>
  <c r="WW8" i="2"/>
  <c r="AMJ13" i="2"/>
  <c r="AMJ8" i="2"/>
  <c r="AMJ10" i="2"/>
  <c r="AMJ12" i="2"/>
  <c r="AMJ7" i="2"/>
  <c r="AMJ11" i="2"/>
  <c r="AMJ9" i="2"/>
  <c r="AHF8" i="2"/>
  <c r="AHF10" i="2"/>
  <c r="AHF12" i="2"/>
  <c r="AHF13" i="2"/>
  <c r="AHF7" i="2"/>
  <c r="AHF9" i="2"/>
  <c r="AHF11" i="2"/>
  <c r="WW13" i="2"/>
  <c r="AMI6" i="2"/>
  <c r="BH17" i="1"/>
  <c r="BH12" i="1"/>
  <c r="AHE6" i="2"/>
  <c r="WW7" i="2"/>
  <c r="HN13" i="2"/>
  <c r="HN8" i="2"/>
  <c r="HN12" i="2"/>
  <c r="HN10" i="2"/>
  <c r="HN11" i="2"/>
  <c r="HN9" i="2"/>
  <c r="HN7" i="2"/>
  <c r="ARR10" i="2"/>
  <c r="ARR7" i="2"/>
  <c r="ARR9" i="2"/>
  <c r="ARR13" i="2"/>
  <c r="ARR12" i="2"/>
  <c r="ARR11" i="2"/>
  <c r="ARR8" i="2"/>
  <c r="MP3" i="2"/>
  <c r="MO11" i="2"/>
  <c r="WX11" i="2" s="1"/>
  <c r="MO8" i="2"/>
  <c r="WX8" i="2" s="1"/>
  <c r="MO10" i="2"/>
  <c r="WX10" i="2" s="1"/>
  <c r="MO12" i="2"/>
  <c r="WX12" i="2" s="1"/>
  <c r="MO13" i="2"/>
  <c r="WX13" i="2" s="1"/>
  <c r="MO7" i="2"/>
  <c r="WX7" i="2" s="1"/>
  <c r="MO9" i="2"/>
  <c r="WX9" i="2" s="1"/>
  <c r="RU8" i="2"/>
  <c r="WW12" i="2"/>
  <c r="ACF7" i="2"/>
  <c r="ACF10" i="2"/>
  <c r="ACF12" i="2"/>
  <c r="ACF11" i="2"/>
  <c r="ACF9" i="2"/>
  <c r="ACF13" i="2"/>
  <c r="ACF8" i="2"/>
  <c r="WW10" i="2"/>
  <c r="ACE6" i="2"/>
  <c r="BJ9" i="1" s="1"/>
  <c r="XA3" i="2"/>
  <c r="XB4" i="2"/>
  <c r="XC5" i="2"/>
  <c r="RW4" i="2"/>
  <c r="RX5" i="2"/>
  <c r="MS5" i="2"/>
  <c r="MR4" i="2"/>
  <c r="CJ5" i="2"/>
  <c r="CI4" i="2"/>
  <c r="ARR4" i="2"/>
  <c r="ARS5" i="2"/>
  <c r="AMO4" i="2"/>
  <c r="AMP5" i="2"/>
  <c r="AHJ4" i="2"/>
  <c r="AHK5" i="2"/>
  <c r="ACF4" i="2"/>
  <c r="ACG5" i="2"/>
  <c r="HN4" i="2"/>
  <c r="HO5" i="2"/>
  <c r="BJ7" i="1"/>
  <c r="BI6" i="1"/>
  <c r="BF11" i="1" l="1"/>
  <c r="HO12" i="2"/>
  <c r="HO8" i="2"/>
  <c r="HO13" i="2"/>
  <c r="HO11" i="2"/>
  <c r="HO7" i="2"/>
  <c r="HO9" i="2"/>
  <c r="HO10" i="2"/>
  <c r="ARS7" i="2"/>
  <c r="ARS10" i="2"/>
  <c r="ARS12" i="2"/>
  <c r="ARS13" i="2"/>
  <c r="ARS11" i="2"/>
  <c r="ARS9" i="2"/>
  <c r="ARS8" i="2"/>
  <c r="ARR6" i="2"/>
  <c r="BK19" i="1" s="1"/>
  <c r="MQ3" i="2"/>
  <c r="MP7" i="2"/>
  <c r="WY7" i="2" s="1"/>
  <c r="MP10" i="2"/>
  <c r="WY10" i="2" s="1"/>
  <c r="MP13" i="2"/>
  <c r="MP11" i="2"/>
  <c r="WY11" i="2" s="1"/>
  <c r="MP9" i="2"/>
  <c r="MP8" i="2"/>
  <c r="WY8" i="2" s="1"/>
  <c r="MP12" i="2"/>
  <c r="AMJ6" i="2"/>
  <c r="RV3" i="2"/>
  <c r="RV11" i="2" s="1"/>
  <c r="RU13" i="2"/>
  <c r="BI17" i="1"/>
  <c r="BI12" i="1"/>
  <c r="ACG10" i="2"/>
  <c r="ACG7" i="2"/>
  <c r="ACG13" i="2"/>
  <c r="ACG11" i="2"/>
  <c r="ACG12" i="2"/>
  <c r="ACG8" i="2"/>
  <c r="ACG9" i="2"/>
  <c r="AMK12" i="2"/>
  <c r="AMK9" i="2"/>
  <c r="AMK11" i="2"/>
  <c r="AMK8" i="2"/>
  <c r="AMK13" i="2"/>
  <c r="AMK7" i="2"/>
  <c r="AMK10" i="2"/>
  <c r="AHG9" i="2"/>
  <c r="AHG8" i="2"/>
  <c r="AHG13" i="2"/>
  <c r="AHG11" i="2"/>
  <c r="AHG12" i="2"/>
  <c r="AHG10" i="2"/>
  <c r="AHG7" i="2"/>
  <c r="ACF6" i="2"/>
  <c r="BK9" i="1" s="1"/>
  <c r="WW6" i="2"/>
  <c r="BF8" i="1" s="1"/>
  <c r="BF10" i="1" s="1"/>
  <c r="BF13" i="1" s="1"/>
  <c r="BF14" i="1" s="1"/>
  <c r="BF15" i="1" s="1"/>
  <c r="BF18" i="1" s="1"/>
  <c r="BF20" i="1" s="1"/>
  <c r="WX6" i="2"/>
  <c r="BG8" i="1" s="1"/>
  <c r="BG10" i="1" s="1"/>
  <c r="AHF6" i="2"/>
  <c r="BG11" i="1" s="1"/>
  <c r="CJ12" i="2"/>
  <c r="CJ13" i="2"/>
  <c r="CJ11" i="2"/>
  <c r="CJ8" i="2"/>
  <c r="CJ10" i="2"/>
  <c r="CJ9" i="2"/>
  <c r="CJ7" i="2"/>
  <c r="RU9" i="2"/>
  <c r="RU12" i="2"/>
  <c r="RV12" i="2" s="1"/>
  <c r="XB3" i="2"/>
  <c r="XC4" i="2"/>
  <c r="XD5" i="2"/>
  <c r="MT5" i="2"/>
  <c r="MS4" i="2"/>
  <c r="RY5" i="2"/>
  <c r="RX4" i="2"/>
  <c r="CJ4" i="2"/>
  <c r="CK5" i="2"/>
  <c r="ARS4" i="2"/>
  <c r="ART5" i="2"/>
  <c r="AMP4" i="2"/>
  <c r="AMQ5" i="2"/>
  <c r="AHK4" i="2"/>
  <c r="AHL5" i="2"/>
  <c r="ACG4" i="2"/>
  <c r="ACH5" i="2"/>
  <c r="HO4" i="2"/>
  <c r="HP5" i="2"/>
  <c r="BJ6" i="1"/>
  <c r="BK7" i="1"/>
  <c r="MR3" i="2" l="1"/>
  <c r="MQ13" i="2"/>
  <c r="MQ7" i="2"/>
  <c r="MQ9" i="2"/>
  <c r="MQ12" i="2"/>
  <c r="WZ12" i="2" s="1"/>
  <c r="MQ11" i="2"/>
  <c r="WZ11" i="2" s="1"/>
  <c r="MQ10" i="2"/>
  <c r="MQ8" i="2"/>
  <c r="ARS6" i="2"/>
  <c r="BL19" i="1" s="1"/>
  <c r="ACH7" i="2"/>
  <c r="ACH10" i="2"/>
  <c r="ACH11" i="2"/>
  <c r="ACH13" i="2"/>
  <c r="ACH12" i="2"/>
  <c r="ACH8" i="2"/>
  <c r="ACH9" i="2"/>
  <c r="ACG6" i="2"/>
  <c r="BL9" i="1" s="1"/>
  <c r="RW3" i="2"/>
  <c r="RV13" i="2"/>
  <c r="WY12" i="2"/>
  <c r="RV10" i="2"/>
  <c r="RW10" i="2" s="1"/>
  <c r="RW12" i="2"/>
  <c r="AML8" i="2"/>
  <c r="AML13" i="2"/>
  <c r="AML11" i="2"/>
  <c r="AML7" i="2"/>
  <c r="AML9" i="2"/>
  <c r="AML10" i="2"/>
  <c r="AML12" i="2"/>
  <c r="AHH9" i="2"/>
  <c r="AHH7" i="2"/>
  <c r="AHH12" i="2"/>
  <c r="AHH11" i="2"/>
  <c r="AHH13" i="2"/>
  <c r="AHH10" i="2"/>
  <c r="AHH8" i="2"/>
  <c r="RV9" i="2"/>
  <c r="RW9" i="2" s="1"/>
  <c r="AHG6" i="2"/>
  <c r="AMK6" i="2"/>
  <c r="WY9" i="2"/>
  <c r="RV7" i="2"/>
  <c r="RW7" i="2" s="1"/>
  <c r="CK12" i="2"/>
  <c r="CK10" i="2"/>
  <c r="CK13" i="2"/>
  <c r="CK11" i="2"/>
  <c r="CK8" i="2"/>
  <c r="CK7" i="2"/>
  <c r="CK9" i="2"/>
  <c r="HP13" i="2"/>
  <c r="HP8" i="2"/>
  <c r="HP12" i="2"/>
  <c r="HP11" i="2"/>
  <c r="HP10" i="2"/>
  <c r="HP7" i="2"/>
  <c r="HP9" i="2"/>
  <c r="ART7" i="2"/>
  <c r="ART10" i="2"/>
  <c r="ART11" i="2"/>
  <c r="ART12" i="2"/>
  <c r="ART13" i="2"/>
  <c r="ART9" i="2"/>
  <c r="ART8" i="2"/>
  <c r="BJ17" i="1"/>
  <c r="BJ12" i="1"/>
  <c r="BG13" i="1"/>
  <c r="BG14" i="1" s="1"/>
  <c r="BG15" i="1" s="1"/>
  <c r="BG18" i="1" s="1"/>
  <c r="BG20" i="1" s="1"/>
  <c r="WY13" i="2"/>
  <c r="RV8" i="2"/>
  <c r="XC3" i="2"/>
  <c r="XD4" i="2"/>
  <c r="XE5" i="2"/>
  <c r="RY4" i="2"/>
  <c r="RZ5" i="2"/>
  <c r="MU5" i="2"/>
  <c r="MT4" i="2"/>
  <c r="CL5" i="2"/>
  <c r="CK4" i="2"/>
  <c r="ART4" i="2"/>
  <c r="ARU5" i="2"/>
  <c r="AMR5" i="2"/>
  <c r="AMQ4" i="2"/>
  <c r="AHM5" i="2"/>
  <c r="AHL4" i="2"/>
  <c r="ACI5" i="2"/>
  <c r="ACH4" i="2"/>
  <c r="HP4" i="2"/>
  <c r="HQ5" i="2"/>
  <c r="BK6" i="1"/>
  <c r="BL7" i="1"/>
  <c r="WZ8" i="2" l="1"/>
  <c r="ART6" i="2"/>
  <c r="BM19" i="1" s="1"/>
  <c r="RW8" i="2"/>
  <c r="WZ10" i="2"/>
  <c r="RX3" i="2"/>
  <c r="RX10" i="2" s="1"/>
  <c r="RW13" i="2"/>
  <c r="AMM12" i="2"/>
  <c r="AMM9" i="2"/>
  <c r="AMM7" i="2"/>
  <c r="AMM13" i="2"/>
  <c r="AMM11" i="2"/>
  <c r="AMM8" i="2"/>
  <c r="AMM10" i="2"/>
  <c r="AHI9" i="2"/>
  <c r="AHI8" i="2"/>
  <c r="AHI11" i="2"/>
  <c r="AHI7" i="2"/>
  <c r="AHI10" i="2"/>
  <c r="AHI12" i="2"/>
  <c r="AHI13" i="2"/>
  <c r="BK12" i="1"/>
  <c r="BK17" i="1"/>
  <c r="WZ9" i="2"/>
  <c r="RW11" i="2"/>
  <c r="RX11" i="2" s="1"/>
  <c r="WY6" i="2"/>
  <c r="BH8" i="1" s="1"/>
  <c r="BH10" i="1" s="1"/>
  <c r="WZ7" i="2"/>
  <c r="ARU10" i="2"/>
  <c r="ARU7" i="2"/>
  <c r="ARU11" i="2"/>
  <c r="ARU8" i="2"/>
  <c r="ARU13" i="2"/>
  <c r="ARU12" i="2"/>
  <c r="ARU9" i="2"/>
  <c r="AML6" i="2"/>
  <c r="ACH6" i="2"/>
  <c r="BM9" i="1" s="1"/>
  <c r="WZ13" i="2"/>
  <c r="AHH6" i="2"/>
  <c r="HQ12" i="2"/>
  <c r="HQ13" i="2"/>
  <c r="HQ8" i="2"/>
  <c r="HQ11" i="2"/>
  <c r="HQ10" i="2"/>
  <c r="HQ9" i="2"/>
  <c r="HQ7" i="2"/>
  <c r="ACI7" i="2"/>
  <c r="ACI10" i="2"/>
  <c r="ACI11" i="2"/>
  <c r="ACI12" i="2"/>
  <c r="ACI13" i="2"/>
  <c r="ACI9" i="2"/>
  <c r="ACI8" i="2"/>
  <c r="CL12" i="2"/>
  <c r="CL10" i="2"/>
  <c r="CL7" i="2"/>
  <c r="CL13" i="2"/>
  <c r="CL11" i="2"/>
  <c r="CL8" i="2"/>
  <c r="CL9" i="2"/>
  <c r="BH11" i="1"/>
  <c r="MS3" i="2"/>
  <c r="MR9" i="2"/>
  <c r="XA9" i="2" s="1"/>
  <c r="MR8" i="2"/>
  <c r="XA8" i="2" s="1"/>
  <c r="MR11" i="2"/>
  <c r="MR7" i="2"/>
  <c r="XA7" i="2" s="1"/>
  <c r="MR10" i="2"/>
  <c r="XA10" i="2" s="1"/>
  <c r="MR13" i="2"/>
  <c r="XA13" i="2" s="1"/>
  <c r="MR12" i="2"/>
  <c r="XA12" i="2" s="1"/>
  <c r="XD3" i="2"/>
  <c r="XE4" i="2"/>
  <c r="XF5" i="2"/>
  <c r="MV5" i="2"/>
  <c r="MU4" i="2"/>
  <c r="RZ4" i="2"/>
  <c r="SA5" i="2"/>
  <c r="CM5" i="2"/>
  <c r="CL4" i="2"/>
  <c r="ARV5" i="2"/>
  <c r="ARU4" i="2"/>
  <c r="AMS5" i="2"/>
  <c r="AMR4" i="2"/>
  <c r="AHN5" i="2"/>
  <c r="AHM4" i="2"/>
  <c r="ACJ5" i="2"/>
  <c r="ACI4" i="2"/>
  <c r="HR5" i="2"/>
  <c r="HQ4" i="2"/>
  <c r="BL6" i="1"/>
  <c r="BM7" i="1"/>
  <c r="RX8" i="2" l="1"/>
  <c r="BH13" i="1"/>
  <c r="BH14" i="1" s="1"/>
  <c r="BH15" i="1" s="1"/>
  <c r="BH18" i="1" s="1"/>
  <c r="BH20" i="1" s="1"/>
  <c r="RY3" i="2"/>
  <c r="RY10" i="2" s="1"/>
  <c r="RX13" i="2"/>
  <c r="AMN8" i="2"/>
  <c r="AMN10" i="2"/>
  <c r="AMN11" i="2"/>
  <c r="AMN12" i="2"/>
  <c r="AMN9" i="2"/>
  <c r="AMN7" i="2"/>
  <c r="AMN13" i="2"/>
  <c r="AHJ9" i="2"/>
  <c r="AHJ10" i="2"/>
  <c r="AHJ7" i="2"/>
  <c r="AHJ13" i="2"/>
  <c r="AHJ8" i="2"/>
  <c r="AHJ12" i="2"/>
  <c r="AHJ11" i="2"/>
  <c r="BL12" i="1"/>
  <c r="BL17" i="1"/>
  <c r="XA11" i="2"/>
  <c r="ACI6" i="2"/>
  <c r="BN9" i="1" s="1"/>
  <c r="RX12" i="2"/>
  <c r="BI11" i="1"/>
  <c r="ARU6" i="2"/>
  <c r="BN19" i="1" s="1"/>
  <c r="XA6" i="2"/>
  <c r="BJ8" i="1" s="1"/>
  <c r="BJ10" i="1" s="1"/>
  <c r="WZ6" i="2"/>
  <c r="BI8" i="1" s="1"/>
  <c r="BI10" i="1" s="1"/>
  <c r="HR12" i="2"/>
  <c r="HR8" i="2"/>
  <c r="HR13" i="2"/>
  <c r="HR10" i="2"/>
  <c r="HR9" i="2"/>
  <c r="HR11" i="2"/>
  <c r="HR7" i="2"/>
  <c r="MT3" i="2"/>
  <c r="MS11" i="2"/>
  <c r="XB11" i="2" s="1"/>
  <c r="MS9" i="2"/>
  <c r="MS10" i="2"/>
  <c r="XB10" i="2" s="1"/>
  <c r="MS7" i="2"/>
  <c r="MS12" i="2"/>
  <c r="XB12" i="2" s="1"/>
  <c r="MS13" i="2"/>
  <c r="MS8" i="2"/>
  <c r="XB8" i="2" s="1"/>
  <c r="RX9" i="2"/>
  <c r="RY9" i="2" s="1"/>
  <c r="AHI6" i="2"/>
  <c r="BJ11" i="1" s="1"/>
  <c r="AMM6" i="2"/>
  <c r="ARV7" i="2"/>
  <c r="ARV10" i="2"/>
  <c r="ARV12" i="2"/>
  <c r="ARV13" i="2"/>
  <c r="ARV8" i="2"/>
  <c r="ARV11" i="2"/>
  <c r="ARV9" i="2"/>
  <c r="ACJ10" i="2"/>
  <c r="ACJ7" i="2"/>
  <c r="ACJ13" i="2"/>
  <c r="ACJ12" i="2"/>
  <c r="ACJ11" i="2"/>
  <c r="ACJ9" i="2"/>
  <c r="ACJ8" i="2"/>
  <c r="CM13" i="2"/>
  <c r="CM10" i="2"/>
  <c r="CM7" i="2"/>
  <c r="CM11" i="2"/>
  <c r="CM12" i="2"/>
  <c r="CM9" i="2"/>
  <c r="CM8" i="2"/>
  <c r="RX7" i="2"/>
  <c r="XE3" i="2"/>
  <c r="XG5" i="2"/>
  <c r="XF4" i="2"/>
  <c r="SB5" i="2"/>
  <c r="SA4" i="2"/>
  <c r="MW5" i="2"/>
  <c r="MV4" i="2"/>
  <c r="CM4" i="2"/>
  <c r="CN5" i="2"/>
  <c r="ARW5" i="2"/>
  <c r="ARV4" i="2"/>
  <c r="AMT5" i="2"/>
  <c r="AMS4" i="2"/>
  <c r="AHO5" i="2"/>
  <c r="AHN4" i="2"/>
  <c r="ACK5" i="2"/>
  <c r="ACJ4" i="2"/>
  <c r="HS5" i="2"/>
  <c r="HR4" i="2"/>
  <c r="BM6" i="1"/>
  <c r="BN7" i="1"/>
  <c r="XB7" i="2" l="1"/>
  <c r="BI13" i="1"/>
  <c r="BI14" i="1" s="1"/>
  <c r="BI15" i="1" s="1"/>
  <c r="BI18" i="1" s="1"/>
  <c r="BI20" i="1" s="1"/>
  <c r="ACJ6" i="2"/>
  <c r="BO9" i="1" s="1"/>
  <c r="ARV6" i="2"/>
  <c r="BO19" i="1" s="1"/>
  <c r="AMN6" i="2"/>
  <c r="BJ13" i="1"/>
  <c r="BJ14" i="1" s="1"/>
  <c r="BJ15" i="1" s="1"/>
  <c r="BJ18" i="1" s="1"/>
  <c r="BJ20" i="1" s="1"/>
  <c r="RZ3" i="2"/>
  <c r="RY13" i="2"/>
  <c r="BM12" i="1"/>
  <c r="BM17" i="1"/>
  <c r="XB9" i="2"/>
  <c r="HS13" i="2"/>
  <c r="HS8" i="2"/>
  <c r="HS12" i="2"/>
  <c r="HS7" i="2"/>
  <c r="HS10" i="2"/>
  <c r="HS11" i="2"/>
  <c r="HS9" i="2"/>
  <c r="ARW10" i="2"/>
  <c r="ARW7" i="2"/>
  <c r="ARW12" i="2"/>
  <c r="ARW13" i="2"/>
  <c r="ARW9" i="2"/>
  <c r="ARW11" i="2"/>
  <c r="ARW8" i="2"/>
  <c r="MU3" i="2"/>
  <c r="MT10" i="2"/>
  <c r="XC10" i="2" s="1"/>
  <c r="MT13" i="2"/>
  <c r="MT11" i="2"/>
  <c r="MT12" i="2"/>
  <c r="MT9" i="2"/>
  <c r="XC9" i="2" s="1"/>
  <c r="MT7" i="2"/>
  <c r="MT8" i="2"/>
  <c r="AHJ6" i="2"/>
  <c r="CN9" i="2"/>
  <c r="CN13" i="2"/>
  <c r="CN11" i="2"/>
  <c r="CN12" i="2"/>
  <c r="CN10" i="2"/>
  <c r="CN7" i="2"/>
  <c r="CN8" i="2"/>
  <c r="AMO8" i="2"/>
  <c r="AMO11" i="2"/>
  <c r="AMO9" i="2"/>
  <c r="AMO7" i="2"/>
  <c r="AMO12" i="2"/>
  <c r="AMO10" i="2"/>
  <c r="AMO13" i="2"/>
  <c r="AHK13" i="2"/>
  <c r="AHK12" i="2"/>
  <c r="AHK10" i="2"/>
  <c r="AHK9" i="2"/>
  <c r="AHK7" i="2"/>
  <c r="AHK8" i="2"/>
  <c r="AHK11" i="2"/>
  <c r="ACK7" i="2"/>
  <c r="ACK10" i="2"/>
  <c r="ACK11" i="2"/>
  <c r="ACK13" i="2"/>
  <c r="ACK12" i="2"/>
  <c r="ACK9" i="2"/>
  <c r="ACK8" i="2"/>
  <c r="RY7" i="2"/>
  <c r="RZ7" i="2" s="1"/>
  <c r="XB13" i="2"/>
  <c r="RY8" i="2"/>
  <c r="RZ8" i="2" s="1"/>
  <c r="RY12" i="2"/>
  <c r="RZ12" i="2" s="1"/>
  <c r="RY11" i="2"/>
  <c r="RZ11" i="2" s="1"/>
  <c r="XF3" i="2"/>
  <c r="XH5" i="2"/>
  <c r="XG4" i="2"/>
  <c r="MX5" i="2"/>
  <c r="MW4" i="2"/>
  <c r="SB4" i="2"/>
  <c r="SC5" i="2"/>
  <c r="CO5" i="2"/>
  <c r="CN4" i="2"/>
  <c r="ARX5" i="2"/>
  <c r="ARW4" i="2"/>
  <c r="AMU5" i="2"/>
  <c r="AMT4" i="2"/>
  <c r="AHP5" i="2"/>
  <c r="AHO4" i="2"/>
  <c r="ACL5" i="2"/>
  <c r="ACK4" i="2"/>
  <c r="HT5" i="2"/>
  <c r="HS4" i="2"/>
  <c r="BN6" i="1"/>
  <c r="BO7" i="1"/>
  <c r="XC13" i="2" l="1"/>
  <c r="BK11" i="1"/>
  <c r="XC12" i="2"/>
  <c r="AMP7" i="2"/>
  <c r="AMP9" i="2"/>
  <c r="AMP10" i="2"/>
  <c r="AMP12" i="2"/>
  <c r="AMP8" i="2"/>
  <c r="AMP11" i="2"/>
  <c r="AMP13" i="2"/>
  <c r="AHL7" i="2"/>
  <c r="AHL12" i="2"/>
  <c r="AHL11" i="2"/>
  <c r="AHL9" i="2"/>
  <c r="AHL10" i="2"/>
  <c r="AHL13" i="2"/>
  <c r="AHL8" i="2"/>
  <c r="HT8" i="2"/>
  <c r="HT13" i="2"/>
  <c r="HT12" i="2"/>
  <c r="HT7" i="2"/>
  <c r="HT11" i="2"/>
  <c r="HT9" i="2"/>
  <c r="HT10" i="2"/>
  <c r="ACK6" i="2"/>
  <c r="BP9" i="1" s="1"/>
  <c r="XC11" i="2"/>
  <c r="CO13" i="2"/>
  <c r="CO11" i="2"/>
  <c r="CO10" i="2"/>
  <c r="CO12" i="2"/>
  <c r="CO7" i="2"/>
  <c r="CO8" i="2"/>
  <c r="CO9" i="2"/>
  <c r="SA3" i="2"/>
  <c r="SA8" i="2" s="1"/>
  <c r="RZ13" i="2"/>
  <c r="MV3" i="2"/>
  <c r="MU7" i="2"/>
  <c r="XD7" i="2" s="1"/>
  <c r="MU9" i="2"/>
  <c r="MU12" i="2"/>
  <c r="XD12" i="2" s="1"/>
  <c r="MU11" i="2"/>
  <c r="XD11" i="2" s="1"/>
  <c r="MU10" i="2"/>
  <c r="MU13" i="2"/>
  <c r="MU8" i="2"/>
  <c r="XD8" i="2" s="1"/>
  <c r="RZ9" i="2"/>
  <c r="AHK6" i="2"/>
  <c r="AMO6" i="2"/>
  <c r="XC8" i="2"/>
  <c r="ARW6" i="2"/>
  <c r="BP19" i="1" s="1"/>
  <c r="ARX7" i="2"/>
  <c r="ARX10" i="2"/>
  <c r="ARX9" i="2"/>
  <c r="ARX8" i="2"/>
  <c r="ARX12" i="2"/>
  <c r="ARX13" i="2"/>
  <c r="ARX11" i="2"/>
  <c r="ACL7" i="2"/>
  <c r="ACL10" i="2"/>
  <c r="ACL11" i="2"/>
  <c r="ACL8" i="2"/>
  <c r="ACL13" i="2"/>
  <c r="ACL9" i="2"/>
  <c r="ACL12" i="2"/>
  <c r="BN12" i="1"/>
  <c r="BN17" i="1"/>
  <c r="XC7" i="2"/>
  <c r="XB6" i="2"/>
  <c r="BK8" i="1" s="1"/>
  <c r="BK10" i="1" s="1"/>
  <c r="BK13" i="1" s="1"/>
  <c r="BK14" i="1" s="1"/>
  <c r="BK15" i="1" s="1"/>
  <c r="BK18" i="1" s="1"/>
  <c r="BK20" i="1" s="1"/>
  <c r="RZ10" i="2"/>
  <c r="XG3" i="2"/>
  <c r="XI5" i="2"/>
  <c r="XH4" i="2"/>
  <c r="SC4" i="2"/>
  <c r="SD5" i="2"/>
  <c r="MY5" i="2"/>
  <c r="MX4" i="2"/>
  <c r="CO4" i="2"/>
  <c r="CP5" i="2"/>
  <c r="ARY5" i="2"/>
  <c r="ARX4" i="2"/>
  <c r="AMU4" i="2"/>
  <c r="AMV5" i="2"/>
  <c r="AHP4" i="2"/>
  <c r="AHQ5" i="2"/>
  <c r="ACM5" i="2"/>
  <c r="ACL4" i="2"/>
  <c r="HU5" i="2"/>
  <c r="HT4" i="2"/>
  <c r="BP7" i="1"/>
  <c r="BO6" i="1"/>
  <c r="XD9" i="2" l="1"/>
  <c r="XC6" i="2"/>
  <c r="BL8" i="1" s="1"/>
  <c r="BL10" i="1" s="1"/>
  <c r="BL11" i="1"/>
  <c r="BL13" i="1"/>
  <c r="BL14" i="1" s="1"/>
  <c r="BL15" i="1" s="1"/>
  <c r="BL18" i="1" s="1"/>
  <c r="BL20" i="1" s="1"/>
  <c r="SA10" i="2"/>
  <c r="BO17" i="1"/>
  <c r="BO12" i="1"/>
  <c r="SB3" i="2"/>
  <c r="SB8" i="2" s="1"/>
  <c r="SA13" i="2"/>
  <c r="SA9" i="2"/>
  <c r="MW3" i="2"/>
  <c r="MV9" i="2"/>
  <c r="XE9" i="2" s="1"/>
  <c r="MV10" i="2"/>
  <c r="XE10" i="2" s="1"/>
  <c r="MV7" i="2"/>
  <c r="MV12" i="2"/>
  <c r="MV13" i="2"/>
  <c r="XE13" i="2" s="1"/>
  <c r="MV8" i="2"/>
  <c r="XE8" i="2" s="1"/>
  <c r="MV11" i="2"/>
  <c r="CP13" i="2"/>
  <c r="CP11" i="2"/>
  <c r="CP12" i="2"/>
  <c r="CP10" i="2"/>
  <c r="CP8" i="2"/>
  <c r="CP7" i="2"/>
  <c r="CP9" i="2"/>
  <c r="ACL6" i="2"/>
  <c r="BQ9" i="1" s="1"/>
  <c r="XD13" i="2"/>
  <c r="ARY10" i="2"/>
  <c r="ARY7" i="2"/>
  <c r="ARY13" i="2"/>
  <c r="ARY12" i="2"/>
  <c r="ARY8" i="2"/>
  <c r="ARY11" i="2"/>
  <c r="ARY9" i="2"/>
  <c r="ARX6" i="2"/>
  <c r="BQ19" i="1" s="1"/>
  <c r="ACM7" i="2"/>
  <c r="ACM10" i="2"/>
  <c r="ACM11" i="2"/>
  <c r="ACM12" i="2"/>
  <c r="ACM13" i="2"/>
  <c r="ACM8" i="2"/>
  <c r="ACM9" i="2"/>
  <c r="XD10" i="2"/>
  <c r="XD6" i="2" s="1"/>
  <c r="BM8" i="1" s="1"/>
  <c r="BM10" i="1" s="1"/>
  <c r="SA7" i="2"/>
  <c r="SB7" i="2" s="1"/>
  <c r="AMP6" i="2"/>
  <c r="HU13" i="2"/>
  <c r="HU8" i="2"/>
  <c r="HU12" i="2"/>
  <c r="HU10" i="2"/>
  <c r="HU7" i="2"/>
  <c r="HU11" i="2"/>
  <c r="HU9" i="2"/>
  <c r="AMQ10" i="2"/>
  <c r="AMQ8" i="2"/>
  <c r="AMQ7" i="2"/>
  <c r="AMQ13" i="2"/>
  <c r="AMQ12" i="2"/>
  <c r="AMQ11" i="2"/>
  <c r="AMQ9" i="2"/>
  <c r="AHM9" i="2"/>
  <c r="AHM10" i="2"/>
  <c r="AHM7" i="2"/>
  <c r="AHM12" i="2"/>
  <c r="AHM13" i="2"/>
  <c r="AHM8" i="2"/>
  <c r="AHM11" i="2"/>
  <c r="SB10" i="2"/>
  <c r="SA12" i="2"/>
  <c r="SB12" i="2" s="1"/>
  <c r="SA11" i="2"/>
  <c r="SB11" i="2" s="1"/>
  <c r="AHL6" i="2"/>
  <c r="XH3" i="2"/>
  <c r="XJ5" i="2"/>
  <c r="XI4" i="2"/>
  <c r="MZ5" i="2"/>
  <c r="MY4" i="2"/>
  <c r="SD4" i="2"/>
  <c r="SE5" i="2"/>
  <c r="CP4" i="2"/>
  <c r="CQ5" i="2"/>
  <c r="ARY4" i="2"/>
  <c r="ARZ5" i="2"/>
  <c r="AMV4" i="2"/>
  <c r="AMW5" i="2"/>
  <c r="AHR5" i="2"/>
  <c r="AHQ4" i="2"/>
  <c r="ACM4" i="2"/>
  <c r="ACN5" i="2"/>
  <c r="HU4" i="2"/>
  <c r="HV5" i="2"/>
  <c r="BQ7" i="1"/>
  <c r="BP6" i="1"/>
  <c r="XE12" i="2" l="1"/>
  <c r="BM11" i="1"/>
  <c r="BM13" i="1" s="1"/>
  <c r="BM14" i="1" s="1"/>
  <c r="BM15" i="1" s="1"/>
  <c r="BM18" i="1" s="1"/>
  <c r="BM20" i="1" s="1"/>
  <c r="SB9" i="2"/>
  <c r="ARY6" i="2"/>
  <c r="BR19" i="1" s="1"/>
  <c r="ACM6" i="2"/>
  <c r="BR9" i="1" s="1"/>
  <c r="AHM6" i="2"/>
  <c r="XE7" i="2"/>
  <c r="BP17" i="1"/>
  <c r="BP12" i="1"/>
  <c r="SC3" i="2"/>
  <c r="SB13" i="2"/>
  <c r="AMQ6" i="2"/>
  <c r="BN11" i="1" s="1"/>
  <c r="MX3" i="2"/>
  <c r="MW11" i="2"/>
  <c r="XF11" i="2" s="1"/>
  <c r="MW10" i="2"/>
  <c r="XF10" i="2" s="1"/>
  <c r="MW13" i="2"/>
  <c r="MW9" i="2"/>
  <c r="MW8" i="2"/>
  <c r="XF8" i="2" s="1"/>
  <c r="MW7" i="2"/>
  <c r="XF7" i="2" s="1"/>
  <c r="MW12" i="2"/>
  <c r="XF12" i="2" s="1"/>
  <c r="SC7" i="2"/>
  <c r="SC12" i="2"/>
  <c r="ARZ10" i="2"/>
  <c r="ARZ7" i="2"/>
  <c r="ARZ11" i="2"/>
  <c r="ARZ8" i="2"/>
  <c r="ARZ12" i="2"/>
  <c r="ARZ9" i="2"/>
  <c r="ARZ13" i="2"/>
  <c r="XE11" i="2"/>
  <c r="AMR12" i="2"/>
  <c r="AMR10" i="2"/>
  <c r="AMR8" i="2"/>
  <c r="AMR11" i="2"/>
  <c r="AMR9" i="2"/>
  <c r="AMR13" i="2"/>
  <c r="AMR7" i="2"/>
  <c r="AHN11" i="2"/>
  <c r="AHN10" i="2"/>
  <c r="AHN8" i="2"/>
  <c r="AHN9" i="2"/>
  <c r="AHN13" i="2"/>
  <c r="AHN7" i="2"/>
  <c r="AHN12" i="2"/>
  <c r="HV8" i="2"/>
  <c r="HV13" i="2"/>
  <c r="HV12" i="2"/>
  <c r="HV10" i="2"/>
  <c r="HV9" i="2"/>
  <c r="HV7" i="2"/>
  <c r="HV11" i="2"/>
  <c r="ACN7" i="2"/>
  <c r="ACN10" i="2"/>
  <c r="ACN13" i="2"/>
  <c r="ACN11" i="2"/>
  <c r="ACN12" i="2"/>
  <c r="ACN9" i="2"/>
  <c r="ACN8" i="2"/>
  <c r="CQ12" i="2"/>
  <c r="CQ8" i="2"/>
  <c r="CQ11" i="2"/>
  <c r="CQ13" i="2"/>
  <c r="CQ10" i="2"/>
  <c r="CQ7" i="2"/>
  <c r="CQ9" i="2"/>
  <c r="XI3" i="2"/>
  <c r="XJ4" i="2"/>
  <c r="XK5" i="2"/>
  <c r="SE4" i="2"/>
  <c r="SF5" i="2"/>
  <c r="NA5" i="2"/>
  <c r="MZ4" i="2"/>
  <c r="CQ4" i="2"/>
  <c r="CR5" i="2"/>
  <c r="ARZ4" i="2"/>
  <c r="ASA5" i="2"/>
  <c r="AMW4" i="2"/>
  <c r="AMX5" i="2"/>
  <c r="AHR4" i="2"/>
  <c r="AHS5" i="2"/>
  <c r="ACN4" i="2"/>
  <c r="ACO5" i="2"/>
  <c r="HV4" i="2"/>
  <c r="HW5" i="2"/>
  <c r="BR7" i="1"/>
  <c r="BQ6" i="1"/>
  <c r="XF9" i="2" l="1"/>
  <c r="SC9" i="2"/>
  <c r="ACN6" i="2"/>
  <c r="BS9" i="1" s="1"/>
  <c r="XE6" i="2"/>
  <c r="BN8" i="1" s="1"/>
  <c r="BN10" i="1" s="1"/>
  <c r="BN13" i="1" s="1"/>
  <c r="BN14" i="1" s="1"/>
  <c r="BN15" i="1" s="1"/>
  <c r="BN18" i="1" s="1"/>
  <c r="BN20" i="1" s="1"/>
  <c r="CR12" i="2"/>
  <c r="CR13" i="2"/>
  <c r="CR11" i="2"/>
  <c r="CR8" i="2"/>
  <c r="CR10" i="2"/>
  <c r="CR7" i="2"/>
  <c r="CR9" i="2"/>
  <c r="MY3" i="2"/>
  <c r="MX7" i="2"/>
  <c r="XG7" i="2" s="1"/>
  <c r="MX8" i="2"/>
  <c r="MX12" i="2"/>
  <c r="XG12" i="2" s="1"/>
  <c r="MX11" i="2"/>
  <c r="MX13" i="2"/>
  <c r="MX10" i="2"/>
  <c r="MX9" i="2"/>
  <c r="AMR6" i="2"/>
  <c r="AMS12" i="2"/>
  <c r="AMS10" i="2"/>
  <c r="AMS8" i="2"/>
  <c r="AMS11" i="2"/>
  <c r="AMS9" i="2"/>
  <c r="AMS7" i="2"/>
  <c r="AMS13" i="2"/>
  <c r="AHO13" i="2"/>
  <c r="AHO9" i="2"/>
  <c r="AHO12" i="2"/>
  <c r="AHO11" i="2"/>
  <c r="AHO7" i="2"/>
  <c r="AHO10" i="2"/>
  <c r="AHO8" i="2"/>
  <c r="SD3" i="2"/>
  <c r="SD12" i="2" s="1"/>
  <c r="SC13" i="2"/>
  <c r="ARZ6" i="2"/>
  <c r="BS19" i="1" s="1"/>
  <c r="ACO7" i="2"/>
  <c r="ACO10" i="2"/>
  <c r="ACO13" i="2"/>
  <c r="ACO12" i="2"/>
  <c r="ACO11" i="2"/>
  <c r="ACO9" i="2"/>
  <c r="ACO8" i="2"/>
  <c r="AHN6" i="2"/>
  <c r="XF13" i="2"/>
  <c r="XF6" i="2" s="1"/>
  <c r="BO8" i="1" s="1"/>
  <c r="BO10" i="1" s="1"/>
  <c r="SC10" i="2"/>
  <c r="SC11" i="2"/>
  <c r="SD11" i="2" s="1"/>
  <c r="BQ17" i="1"/>
  <c r="BQ12" i="1"/>
  <c r="HW12" i="2"/>
  <c r="HW13" i="2"/>
  <c r="HW8" i="2"/>
  <c r="HW7" i="2"/>
  <c r="HW11" i="2"/>
  <c r="HW10" i="2"/>
  <c r="HW9" i="2"/>
  <c r="ASA10" i="2"/>
  <c r="ASA7" i="2"/>
  <c r="ASA12" i="2"/>
  <c r="ASA13" i="2"/>
  <c r="ASA9" i="2"/>
  <c r="ASA8" i="2"/>
  <c r="ASA11" i="2"/>
  <c r="SC8" i="2"/>
  <c r="SD8" i="2" s="1"/>
  <c r="XJ3" i="2"/>
  <c r="XK4" i="2"/>
  <c r="XL5" i="2"/>
  <c r="NB5" i="2"/>
  <c r="NA4" i="2"/>
  <c r="SG5" i="2"/>
  <c r="SF4" i="2"/>
  <c r="CR4" i="2"/>
  <c r="CS5" i="2"/>
  <c r="ASA4" i="2"/>
  <c r="ASB5" i="2"/>
  <c r="AMX4" i="2"/>
  <c r="AMY5" i="2"/>
  <c r="AHS4" i="2"/>
  <c r="AHT5" i="2"/>
  <c r="ACO4" i="2"/>
  <c r="ACP5" i="2"/>
  <c r="HW4" i="2"/>
  <c r="HX5" i="2"/>
  <c r="BR6" i="1"/>
  <c r="BS7" i="1"/>
  <c r="XG9" i="2" l="1"/>
  <c r="BO11" i="1"/>
  <c r="BO13" i="1"/>
  <c r="BO14" i="1" s="1"/>
  <c r="BO15" i="1" s="1"/>
  <c r="BO18" i="1" s="1"/>
  <c r="BO20" i="1" s="1"/>
  <c r="SD10" i="2"/>
  <c r="XG10" i="2"/>
  <c r="ACP7" i="2"/>
  <c r="ACP10" i="2"/>
  <c r="ACP11" i="2"/>
  <c r="ACP12" i="2"/>
  <c r="ACP9" i="2"/>
  <c r="ACP13" i="2"/>
  <c r="ACP8" i="2"/>
  <c r="SE3" i="2"/>
  <c r="SE11" i="2" s="1"/>
  <c r="SD13" i="2"/>
  <c r="XG11" i="2"/>
  <c r="SD7" i="2"/>
  <c r="SE7" i="2" s="1"/>
  <c r="ASA6" i="2"/>
  <c r="BT19" i="1" s="1"/>
  <c r="AMS6" i="2"/>
  <c r="XG8" i="2"/>
  <c r="SE8" i="2"/>
  <c r="BR17" i="1"/>
  <c r="BR12" i="1"/>
  <c r="AMT8" i="2"/>
  <c r="AMT12" i="2"/>
  <c r="AMT11" i="2"/>
  <c r="AMT10" i="2"/>
  <c r="AMT9" i="2"/>
  <c r="AMT7" i="2"/>
  <c r="AMT13" i="2"/>
  <c r="AHP7" i="2"/>
  <c r="AHP13" i="2"/>
  <c r="AHP8" i="2"/>
  <c r="AHP10" i="2"/>
  <c r="AHP11" i="2"/>
  <c r="AHP9" i="2"/>
  <c r="AHP12" i="2"/>
  <c r="AHO6" i="2"/>
  <c r="MZ3" i="2"/>
  <c r="MY8" i="2"/>
  <c r="XH8" i="2" s="1"/>
  <c r="MY12" i="2"/>
  <c r="XH12" i="2" s="1"/>
  <c r="MY7" i="2"/>
  <c r="MY9" i="2"/>
  <c r="MY13" i="2"/>
  <c r="MY10" i="2"/>
  <c r="XH10" i="2" s="1"/>
  <c r="MY11" i="2"/>
  <c r="XH11" i="2" s="1"/>
  <c r="CS12" i="2"/>
  <c r="CS10" i="2"/>
  <c r="CS11" i="2"/>
  <c r="CS13" i="2"/>
  <c r="CS9" i="2"/>
  <c r="CS7" i="2"/>
  <c r="CS8" i="2"/>
  <c r="ACO6" i="2"/>
  <c r="BT9" i="1" s="1"/>
  <c r="XG13" i="2"/>
  <c r="HX12" i="2"/>
  <c r="HX8" i="2"/>
  <c r="HX13" i="2"/>
  <c r="HX10" i="2"/>
  <c r="HX11" i="2"/>
  <c r="HX9" i="2"/>
  <c r="HX7" i="2"/>
  <c r="ASB7" i="2"/>
  <c r="ASB10" i="2"/>
  <c r="ASB11" i="2"/>
  <c r="ASB12" i="2"/>
  <c r="ASB13" i="2"/>
  <c r="ASB8" i="2"/>
  <c r="ASB9" i="2"/>
  <c r="SD9" i="2"/>
  <c r="SE9" i="2" s="1"/>
  <c r="XK3" i="2"/>
  <c r="XL4" i="2"/>
  <c r="XM5" i="2"/>
  <c r="SG4" i="2"/>
  <c r="SH5" i="2"/>
  <c r="NC5" i="2"/>
  <c r="NB4" i="2"/>
  <c r="CS4" i="2"/>
  <c r="CT5" i="2"/>
  <c r="ASC5" i="2"/>
  <c r="ASB4" i="2"/>
  <c r="AMY4" i="2"/>
  <c r="AMZ5" i="2"/>
  <c r="AHU5" i="2"/>
  <c r="AHT4" i="2"/>
  <c r="ACP4" i="2"/>
  <c r="ACQ5" i="2"/>
  <c r="HX4" i="2"/>
  <c r="HY5" i="2"/>
  <c r="BS6" i="1"/>
  <c r="BT7" i="1"/>
  <c r="XH7" i="2" l="1"/>
  <c r="XH13" i="2"/>
  <c r="XG6" i="2"/>
  <c r="BP8" i="1" s="1"/>
  <c r="BP10" i="1" s="1"/>
  <c r="SE10" i="2"/>
  <c r="ASB6" i="2"/>
  <c r="BU19" i="1" s="1"/>
  <c r="XH9" i="2"/>
  <c r="XH6" i="2"/>
  <c r="BQ8" i="1" s="1"/>
  <c r="BQ10" i="1" s="1"/>
  <c r="BS12" i="1"/>
  <c r="BS17" i="1"/>
  <c r="NA3" i="2"/>
  <c r="MZ10" i="2"/>
  <c r="MZ8" i="2"/>
  <c r="XI8" i="2" s="1"/>
  <c r="MZ13" i="2"/>
  <c r="MZ12" i="2"/>
  <c r="MZ9" i="2"/>
  <c r="XI9" i="2" s="1"/>
  <c r="MZ7" i="2"/>
  <c r="XI7" i="2" s="1"/>
  <c r="MZ11" i="2"/>
  <c r="XI11" i="2" s="1"/>
  <c r="AHP6" i="2"/>
  <c r="ASC10" i="2"/>
  <c r="ASC7" i="2"/>
  <c r="ASC13" i="2"/>
  <c r="ASC11" i="2"/>
  <c r="ASC12" i="2"/>
  <c r="ASC9" i="2"/>
  <c r="ASC8" i="2"/>
  <c r="BP11" i="1"/>
  <c r="HY11" i="2"/>
  <c r="HY12" i="2"/>
  <c r="HY13" i="2"/>
  <c r="HY8" i="2"/>
  <c r="HY9" i="2"/>
  <c r="HY7" i="2"/>
  <c r="HY10" i="2"/>
  <c r="ACQ7" i="2"/>
  <c r="ACQ10" i="2"/>
  <c r="ACQ12" i="2"/>
  <c r="ACQ13" i="2"/>
  <c r="ACQ11" i="2"/>
  <c r="ACQ9" i="2"/>
  <c r="ACQ8" i="2"/>
  <c r="CT12" i="2"/>
  <c r="CT10" i="2"/>
  <c r="CT13" i="2"/>
  <c r="CT11" i="2"/>
  <c r="CT7" i="2"/>
  <c r="CT8" i="2"/>
  <c r="CT9" i="2"/>
  <c r="AMT6" i="2"/>
  <c r="AMU7" i="2"/>
  <c r="AMU10" i="2"/>
  <c r="AMU11" i="2"/>
  <c r="AMU12" i="2"/>
  <c r="AMU8" i="2"/>
  <c r="AMU9" i="2"/>
  <c r="AMU13" i="2"/>
  <c r="AHQ9" i="2"/>
  <c r="AHQ7" i="2"/>
  <c r="AHQ11" i="2"/>
  <c r="AHQ12" i="2"/>
  <c r="AHQ10" i="2"/>
  <c r="AHQ8" i="2"/>
  <c r="AHQ13" i="2"/>
  <c r="SF3" i="2"/>
  <c r="SF11" i="2" s="1"/>
  <c r="SE13" i="2"/>
  <c r="SE12" i="2"/>
  <c r="SF12" i="2" s="1"/>
  <c r="ACP6" i="2"/>
  <c r="BU9" i="1" s="1"/>
  <c r="XL3" i="2"/>
  <c r="XM4" i="2"/>
  <c r="XN5" i="2"/>
  <c r="ND5" i="2"/>
  <c r="NC4" i="2"/>
  <c r="SH4" i="2"/>
  <c r="SI5" i="2"/>
  <c r="CU5" i="2"/>
  <c r="CT4" i="2"/>
  <c r="ASD5" i="2"/>
  <c r="ASC4" i="2"/>
  <c r="ANA5" i="2"/>
  <c r="AMZ4" i="2"/>
  <c r="AHV5" i="2"/>
  <c r="AHU4" i="2"/>
  <c r="ACR5" i="2"/>
  <c r="ACQ4" i="2"/>
  <c r="HZ5" i="2"/>
  <c r="HY4" i="2"/>
  <c r="BT6" i="1"/>
  <c r="BU7" i="1"/>
  <c r="XI10" i="2" l="1"/>
  <c r="BP13" i="1"/>
  <c r="BP14" i="1" s="1"/>
  <c r="BP15" i="1" s="1"/>
  <c r="BP18" i="1" s="1"/>
  <c r="BP20" i="1" s="1"/>
  <c r="SF9" i="2"/>
  <c r="SG9" i="2" s="1"/>
  <c r="AHQ6" i="2"/>
  <c r="AMU6" i="2"/>
  <c r="XI13" i="2"/>
  <c r="ACR10" i="2"/>
  <c r="ACR7" i="2"/>
  <c r="ACR13" i="2"/>
  <c r="ACR11" i="2"/>
  <c r="ACR9" i="2"/>
  <c r="ACR12" i="2"/>
  <c r="ACR8" i="2"/>
  <c r="SG3" i="2"/>
  <c r="SG12" i="2" s="1"/>
  <c r="SF13" i="2"/>
  <c r="SF8" i="2"/>
  <c r="SG8" i="2" s="1"/>
  <c r="SF10" i="2"/>
  <c r="SG10" i="2" s="1"/>
  <c r="SF7" i="2"/>
  <c r="SG7" i="2" s="1"/>
  <c r="ACQ6" i="2"/>
  <c r="BV9" i="1" s="1"/>
  <c r="BQ11" i="1"/>
  <c r="BQ13" i="1" s="1"/>
  <c r="BQ14" i="1" s="1"/>
  <c r="BQ15" i="1" s="1"/>
  <c r="BQ18" i="1" s="1"/>
  <c r="BQ20" i="1" s="1"/>
  <c r="NB3" i="2"/>
  <c r="NA7" i="2"/>
  <c r="NA11" i="2"/>
  <c r="XJ11" i="2" s="1"/>
  <c r="NA8" i="2"/>
  <c r="NA12" i="2"/>
  <c r="XJ12" i="2" s="1"/>
  <c r="NA10" i="2"/>
  <c r="NA9" i="2"/>
  <c r="NA13" i="2"/>
  <c r="CU9" i="2"/>
  <c r="CU13" i="2"/>
  <c r="CU7" i="2"/>
  <c r="CU11" i="2"/>
  <c r="CU12" i="2"/>
  <c r="CU10" i="2"/>
  <c r="CU8" i="2"/>
  <c r="BT12" i="1"/>
  <c r="BT17" i="1"/>
  <c r="AMV7" i="2"/>
  <c r="AMV11" i="2"/>
  <c r="AMV13" i="2"/>
  <c r="AMV8" i="2"/>
  <c r="AMV12" i="2"/>
  <c r="AMV9" i="2"/>
  <c r="AMV10" i="2"/>
  <c r="AHR7" i="2"/>
  <c r="AHR11" i="2"/>
  <c r="AHR8" i="2"/>
  <c r="AHR12" i="2"/>
  <c r="AHR10" i="2"/>
  <c r="AHR13" i="2"/>
  <c r="AHR9" i="2"/>
  <c r="SG11" i="2"/>
  <c r="ASC6" i="2"/>
  <c r="BV19" i="1" s="1"/>
  <c r="HZ12" i="2"/>
  <c r="HZ13" i="2"/>
  <c r="HZ8" i="2"/>
  <c r="HZ10" i="2"/>
  <c r="HZ7" i="2"/>
  <c r="HZ11" i="2"/>
  <c r="HZ9" i="2"/>
  <c r="ASD10" i="2"/>
  <c r="ASD7" i="2"/>
  <c r="ASD11" i="2"/>
  <c r="ASD13" i="2"/>
  <c r="ASD12" i="2"/>
  <c r="ASD9" i="2"/>
  <c r="ASD8" i="2"/>
  <c r="XI12" i="2"/>
  <c r="XI6" i="2" s="1"/>
  <c r="BR8" i="1" s="1"/>
  <c r="BR10" i="1" s="1"/>
  <c r="XM3" i="2"/>
  <c r="XO5" i="2"/>
  <c r="XN4" i="2"/>
  <c r="SJ5" i="2"/>
  <c r="SI4" i="2"/>
  <c r="NE5" i="2"/>
  <c r="ND4" i="2"/>
  <c r="CU4" i="2"/>
  <c r="CV5" i="2"/>
  <c r="ASD4" i="2"/>
  <c r="ASE5" i="2"/>
  <c r="ANB5" i="2"/>
  <c r="ANA4" i="2"/>
  <c r="AHW5" i="2"/>
  <c r="AHV4" i="2"/>
  <c r="ACS5" i="2"/>
  <c r="ACR4" i="2"/>
  <c r="IA5" i="2"/>
  <c r="HZ4" i="2"/>
  <c r="BU6" i="1"/>
  <c r="BV7" i="1"/>
  <c r="XJ13" i="2" l="1"/>
  <c r="XJ7" i="2"/>
  <c r="BR11" i="1"/>
  <c r="BR13" i="1" s="1"/>
  <c r="BR14" i="1" s="1"/>
  <c r="BR15" i="1" s="1"/>
  <c r="BR18" i="1" s="1"/>
  <c r="BR20" i="1" s="1"/>
  <c r="XJ9" i="2"/>
  <c r="CV13" i="2"/>
  <c r="CV11" i="2"/>
  <c r="CV12" i="2"/>
  <c r="CV10" i="2"/>
  <c r="CV7" i="2"/>
  <c r="CV9" i="2"/>
  <c r="CV8" i="2"/>
  <c r="ASE10" i="2"/>
  <c r="ASE7" i="2"/>
  <c r="ASE11" i="2"/>
  <c r="ASE12" i="2"/>
  <c r="ASE13" i="2"/>
  <c r="ASE9" i="2"/>
  <c r="ASE8" i="2"/>
  <c r="AMV6" i="2"/>
  <c r="ACR6" i="2"/>
  <c r="BW9" i="1" s="1"/>
  <c r="ACS10" i="2"/>
  <c r="ACS7" i="2"/>
  <c r="ACS13" i="2"/>
  <c r="ACS12" i="2"/>
  <c r="ACS11" i="2"/>
  <c r="ACS9" i="2"/>
  <c r="ACS8" i="2"/>
  <c r="ASD6" i="2"/>
  <c r="BW19" i="1" s="1"/>
  <c r="AHR6" i="2"/>
  <c r="XJ10" i="2"/>
  <c r="IA13" i="2"/>
  <c r="IA12" i="2"/>
  <c r="IA8" i="2"/>
  <c r="IA9" i="2"/>
  <c r="IA11" i="2"/>
  <c r="IA10" i="2"/>
  <c r="IA7" i="2"/>
  <c r="NC3" i="2"/>
  <c r="NB10" i="2"/>
  <c r="XK10" i="2" s="1"/>
  <c r="NB7" i="2"/>
  <c r="XK7" i="2" s="1"/>
  <c r="NB9" i="2"/>
  <c r="XK9" i="2" s="1"/>
  <c r="NB11" i="2"/>
  <c r="XK11" i="2" s="1"/>
  <c r="NB13" i="2"/>
  <c r="NB12" i="2"/>
  <c r="XK12" i="2" s="1"/>
  <c r="NB8" i="2"/>
  <c r="XK8" i="2" s="1"/>
  <c r="AMW8" i="2"/>
  <c r="AMW9" i="2"/>
  <c r="AMW11" i="2"/>
  <c r="AMW13" i="2"/>
  <c r="AMW10" i="2"/>
  <c r="AMW12" i="2"/>
  <c r="AMW7" i="2"/>
  <c r="AHS10" i="2"/>
  <c r="AHS7" i="2"/>
  <c r="AHS9" i="2"/>
  <c r="AHS11" i="2"/>
  <c r="AHS13" i="2"/>
  <c r="AHS8" i="2"/>
  <c r="AHS12" i="2"/>
  <c r="BU12" i="1"/>
  <c r="BU17" i="1"/>
  <c r="XJ8" i="2"/>
  <c r="SH3" i="2"/>
  <c r="SH8" i="2" s="1"/>
  <c r="SG13" i="2"/>
  <c r="XN3" i="2"/>
  <c r="XP5" i="2"/>
  <c r="XO4" i="2"/>
  <c r="NE4" i="2"/>
  <c r="NF5" i="2"/>
  <c r="SJ4" i="2"/>
  <c r="SK5" i="2"/>
  <c r="CW5" i="2"/>
  <c r="CV4" i="2"/>
  <c r="ASF5" i="2"/>
  <c r="ASE4" i="2"/>
  <c r="ANC5" i="2"/>
  <c r="ANB4" i="2"/>
  <c r="AHX5" i="2"/>
  <c r="AHW4" i="2"/>
  <c r="ACT5" i="2"/>
  <c r="ACS4" i="2"/>
  <c r="IB5" i="2"/>
  <c r="IA4" i="2"/>
  <c r="BV6" i="1"/>
  <c r="BW7" i="1"/>
  <c r="XJ6" i="2" l="1"/>
  <c r="BS8" i="1" s="1"/>
  <c r="BS10" i="1" s="1"/>
  <c r="SH11" i="2"/>
  <c r="AMW6" i="2"/>
  <c r="ASE6" i="2"/>
  <c r="BX19" i="1" s="1"/>
  <c r="SH7" i="2"/>
  <c r="SH12" i="2"/>
  <c r="ND3" i="2"/>
  <c r="NC7" i="2"/>
  <c r="NC10" i="2"/>
  <c r="NC8" i="2"/>
  <c r="XL8" i="2" s="1"/>
  <c r="NC12" i="2"/>
  <c r="NC11" i="2"/>
  <c r="NC13" i="2"/>
  <c r="NC9" i="2"/>
  <c r="AMX10" i="2"/>
  <c r="AMX12" i="2"/>
  <c r="AMX8" i="2"/>
  <c r="AMX11" i="2"/>
  <c r="AMX7" i="2"/>
  <c r="AMX9" i="2"/>
  <c r="AMX13" i="2"/>
  <c r="AHT7" i="2"/>
  <c r="AHT10" i="2"/>
  <c r="AHT8" i="2"/>
  <c r="AHT12" i="2"/>
  <c r="AHT11" i="2"/>
  <c r="AHT13" i="2"/>
  <c r="AHT9" i="2"/>
  <c r="XK13" i="2"/>
  <c r="XK6" i="2" s="1"/>
  <c r="BT8" i="1" s="1"/>
  <c r="BT10" i="1" s="1"/>
  <c r="CW13" i="2"/>
  <c r="CW11" i="2"/>
  <c r="CW12" i="2"/>
  <c r="CW10" i="2"/>
  <c r="CW9" i="2"/>
  <c r="CW7" i="2"/>
  <c r="CW8" i="2"/>
  <c r="BS11" i="1"/>
  <c r="BS13" i="1" s="1"/>
  <c r="BS14" i="1" s="1"/>
  <c r="BS15" i="1" s="1"/>
  <c r="BS18" i="1" s="1"/>
  <c r="BS20" i="1" s="1"/>
  <c r="ACS6" i="2"/>
  <c r="BX9" i="1" s="1"/>
  <c r="SI3" i="2"/>
  <c r="SH13" i="2"/>
  <c r="BV12" i="1"/>
  <c r="BV17" i="1"/>
  <c r="SI11" i="2"/>
  <c r="IB13" i="2"/>
  <c r="IB12" i="2"/>
  <c r="IB8" i="2"/>
  <c r="IB11" i="2"/>
  <c r="IB10" i="2"/>
  <c r="IB7" i="2"/>
  <c r="IB9" i="2"/>
  <c r="ASF7" i="2"/>
  <c r="ASF10" i="2"/>
  <c r="ASF11" i="2"/>
  <c r="ASF12" i="2"/>
  <c r="ASF9" i="2"/>
  <c r="ASF8" i="2"/>
  <c r="ASF13" i="2"/>
  <c r="ACT7" i="2"/>
  <c r="ACT10" i="2"/>
  <c r="ACT13" i="2"/>
  <c r="ACT12" i="2"/>
  <c r="ACT11" i="2"/>
  <c r="ACT9" i="2"/>
  <c r="ACT8" i="2"/>
  <c r="AHS6" i="2"/>
  <c r="SH9" i="2"/>
  <c r="SI9" i="2" s="1"/>
  <c r="SH10" i="2"/>
  <c r="SI10" i="2" s="1"/>
  <c r="XO3" i="2"/>
  <c r="XQ5" i="2"/>
  <c r="XP4" i="2"/>
  <c r="SK4" i="2"/>
  <c r="SL5" i="2"/>
  <c r="NG5" i="2"/>
  <c r="NF4" i="2"/>
  <c r="CX5" i="2"/>
  <c r="CW4" i="2"/>
  <c r="ASG5" i="2"/>
  <c r="ASF4" i="2"/>
  <c r="AND5" i="2"/>
  <c r="ANC4" i="2"/>
  <c r="AHX4" i="2"/>
  <c r="AHY5" i="2"/>
  <c r="ACT4" i="2"/>
  <c r="ACU5" i="2"/>
  <c r="IC5" i="2"/>
  <c r="IB4" i="2"/>
  <c r="BX7" i="1"/>
  <c r="BW6" i="1"/>
  <c r="XL12" i="2" l="1"/>
  <c r="XL13" i="2"/>
  <c r="BT11" i="1"/>
  <c r="BT13" i="1" s="1"/>
  <c r="BT14" i="1" s="1"/>
  <c r="BT15" i="1" s="1"/>
  <c r="BT18" i="1" s="1"/>
  <c r="BT20" i="1" s="1"/>
  <c r="XL11" i="2"/>
  <c r="XL7" i="2"/>
  <c r="AHT6" i="2"/>
  <c r="XL9" i="2"/>
  <c r="SI12" i="2"/>
  <c r="ACT6" i="2"/>
  <c r="BY9" i="1" s="1"/>
  <c r="AMX6" i="2"/>
  <c r="BU11" i="1" s="1"/>
  <c r="BW17" i="1"/>
  <c r="BW12" i="1"/>
  <c r="AMY10" i="2"/>
  <c r="AMY13" i="2"/>
  <c r="AMY7" i="2"/>
  <c r="AMY8" i="2"/>
  <c r="AMY12" i="2"/>
  <c r="AMY11" i="2"/>
  <c r="AMY9" i="2"/>
  <c r="AHU7" i="2"/>
  <c r="AHU12" i="2"/>
  <c r="AHU11" i="2"/>
  <c r="AHU10" i="2"/>
  <c r="AHU8" i="2"/>
  <c r="AHU9" i="2"/>
  <c r="AHU13" i="2"/>
  <c r="XL10" i="2"/>
  <c r="SI7" i="2"/>
  <c r="CX13" i="2"/>
  <c r="CX11" i="2"/>
  <c r="CX12" i="2"/>
  <c r="CX10" i="2"/>
  <c r="CX8" i="2"/>
  <c r="CX7" i="2"/>
  <c r="CX9" i="2"/>
  <c r="ASG10" i="2"/>
  <c r="ASG7" i="2"/>
  <c r="ASG12" i="2"/>
  <c r="ASG13" i="2"/>
  <c r="ASG8" i="2"/>
  <c r="ASG11" i="2"/>
  <c r="ASG9" i="2"/>
  <c r="ASF6" i="2"/>
  <c r="BY19" i="1" s="1"/>
  <c r="IC13" i="2"/>
  <c r="IC12" i="2"/>
  <c r="IC8" i="2"/>
  <c r="IC7" i="2"/>
  <c r="IC11" i="2"/>
  <c r="IC10" i="2"/>
  <c r="IC9" i="2"/>
  <c r="ACU7" i="2"/>
  <c r="ACU10" i="2"/>
  <c r="ACU12" i="2"/>
  <c r="ACU11" i="2"/>
  <c r="ACU13" i="2"/>
  <c r="ACU9" i="2"/>
  <c r="ACU8" i="2"/>
  <c r="SJ3" i="2"/>
  <c r="SI13" i="2"/>
  <c r="NE3" i="2"/>
  <c r="ND12" i="2"/>
  <c r="ND7" i="2"/>
  <c r="XM7" i="2" s="1"/>
  <c r="ND11" i="2"/>
  <c r="XM11" i="2" s="1"/>
  <c r="ND10" i="2"/>
  <c r="XM10" i="2" s="1"/>
  <c r="ND8" i="2"/>
  <c r="ND13" i="2"/>
  <c r="ND9" i="2"/>
  <c r="XM9" i="2" s="1"/>
  <c r="SI8" i="2"/>
  <c r="SJ8" i="2" s="1"/>
  <c r="XP3" i="2"/>
  <c r="XR5" i="2"/>
  <c r="XQ4" i="2"/>
  <c r="NH5" i="2"/>
  <c r="NG4" i="2"/>
  <c r="SL4" i="2"/>
  <c r="SM5" i="2"/>
  <c r="CY5" i="2"/>
  <c r="CX4" i="2"/>
  <c r="ASG4" i="2"/>
  <c r="ASH5" i="2"/>
  <c r="AND4" i="2"/>
  <c r="ANE5" i="2"/>
  <c r="AHZ5" i="2"/>
  <c r="AHY4" i="2"/>
  <c r="ACU4" i="2"/>
  <c r="ACV5" i="2"/>
  <c r="IC4" i="2"/>
  <c r="ID5" i="2"/>
  <c r="BY7" i="1"/>
  <c r="BX6" i="1"/>
  <c r="SJ12" i="2" l="1"/>
  <c r="XM12" i="2"/>
  <c r="XL6" i="2"/>
  <c r="BU8" i="1" s="1"/>
  <c r="BU10" i="1" s="1"/>
  <c r="BU13" i="1" s="1"/>
  <c r="BU14" i="1" s="1"/>
  <c r="BU15" i="1" s="1"/>
  <c r="BU18" i="1" s="1"/>
  <c r="BU20" i="1" s="1"/>
  <c r="SJ11" i="2"/>
  <c r="SJ10" i="2"/>
  <c r="SJ9" i="2"/>
  <c r="NF3" i="2"/>
  <c r="NE8" i="2"/>
  <c r="XN8" i="2" s="1"/>
  <c r="NE11" i="2"/>
  <c r="NE10" i="2"/>
  <c r="NE12" i="2"/>
  <c r="XN12" i="2" s="1"/>
  <c r="NE13" i="2"/>
  <c r="NE9" i="2"/>
  <c r="NE7" i="2"/>
  <c r="ASG6" i="2"/>
  <c r="BZ19" i="1" s="1"/>
  <c r="AMY6" i="2"/>
  <c r="XM13" i="2"/>
  <c r="ACV10" i="2"/>
  <c r="ACV7" i="2"/>
  <c r="ACV11" i="2"/>
  <c r="ACV9" i="2"/>
  <c r="ACV13" i="2"/>
  <c r="ACV12" i="2"/>
  <c r="ACV8" i="2"/>
  <c r="CY8" i="2"/>
  <c r="CY12" i="2"/>
  <c r="CY13" i="2"/>
  <c r="CY10" i="2"/>
  <c r="CY11" i="2"/>
  <c r="CY7" i="2"/>
  <c r="CY9" i="2"/>
  <c r="BX17" i="1"/>
  <c r="BX12" i="1"/>
  <c r="XM8" i="2"/>
  <c r="XM6" i="2" s="1"/>
  <c r="BV8" i="1" s="1"/>
  <c r="BV10" i="1" s="1"/>
  <c r="AHU6" i="2"/>
  <c r="AMZ9" i="2"/>
  <c r="AMZ8" i="2"/>
  <c r="AMZ7" i="2"/>
  <c r="AMZ11" i="2"/>
  <c r="AMZ12" i="2"/>
  <c r="AMZ13" i="2"/>
  <c r="AMZ10" i="2"/>
  <c r="AHV10" i="2"/>
  <c r="AHV8" i="2"/>
  <c r="AHV13" i="2"/>
  <c r="AHV11" i="2"/>
  <c r="AHV9" i="2"/>
  <c r="AHV7" i="2"/>
  <c r="AHV12" i="2"/>
  <c r="ID13" i="2"/>
  <c r="ID8" i="2"/>
  <c r="ID12" i="2"/>
  <c r="ID11" i="2"/>
  <c r="ID10" i="2"/>
  <c r="ID9" i="2"/>
  <c r="ID7" i="2"/>
  <c r="ASH7" i="2"/>
  <c r="ASH10" i="2"/>
  <c r="ASH11" i="2"/>
  <c r="ASH12" i="2"/>
  <c r="ASH9" i="2"/>
  <c r="ASH13" i="2"/>
  <c r="ASH8" i="2"/>
  <c r="SK3" i="2"/>
  <c r="SK9" i="2" s="1"/>
  <c r="SJ13" i="2"/>
  <c r="ACU6" i="2"/>
  <c r="BZ9" i="1" s="1"/>
  <c r="SJ7" i="2"/>
  <c r="XQ3" i="2"/>
  <c r="XR4" i="2"/>
  <c r="XS5" i="2"/>
  <c r="SM4" i="2"/>
  <c r="SN5" i="2"/>
  <c r="NH4" i="2"/>
  <c r="NI5" i="2"/>
  <c r="CY4" i="2"/>
  <c r="CZ5" i="2"/>
  <c r="ASH4" i="2"/>
  <c r="ASI5" i="2"/>
  <c r="ANE4" i="2"/>
  <c r="ANF5" i="2"/>
  <c r="AHZ4" i="2"/>
  <c r="AIA5" i="2"/>
  <c r="ACV4" i="2"/>
  <c r="ACW5" i="2"/>
  <c r="ID4" i="2"/>
  <c r="IE5" i="2"/>
  <c r="BZ7" i="1"/>
  <c r="BY6" i="1"/>
  <c r="BV11" i="1" l="1"/>
  <c r="BV13" i="1" s="1"/>
  <c r="BV14" i="1" s="1"/>
  <c r="BV15" i="1" s="1"/>
  <c r="BV18" i="1" s="1"/>
  <c r="BV20" i="1" s="1"/>
  <c r="XN10" i="2"/>
  <c r="SK7" i="2"/>
  <c r="XN9" i="2"/>
  <c r="XN11" i="2"/>
  <c r="SK10" i="2"/>
  <c r="XN13" i="2"/>
  <c r="AHV6" i="2"/>
  <c r="AMZ6" i="2"/>
  <c r="ANA12" i="2"/>
  <c r="ANA11" i="2"/>
  <c r="ANA7" i="2"/>
  <c r="ANA9" i="2"/>
  <c r="ANA13" i="2"/>
  <c r="ANA10" i="2"/>
  <c r="ANA8" i="2"/>
  <c r="AHW13" i="2"/>
  <c r="AHW9" i="2"/>
  <c r="AHW8" i="2"/>
  <c r="AHW12" i="2"/>
  <c r="AHW11" i="2"/>
  <c r="AHW7" i="2"/>
  <c r="AHW10" i="2"/>
  <c r="ACV6" i="2"/>
  <c r="CA9" i="1" s="1"/>
  <c r="IE13" i="2"/>
  <c r="IE8" i="2"/>
  <c r="IE12" i="2"/>
  <c r="IE10" i="2"/>
  <c r="IE11" i="2"/>
  <c r="IE7" i="2"/>
  <c r="IE9" i="2"/>
  <c r="ASI10" i="2"/>
  <c r="ASI7" i="2"/>
  <c r="ASI11" i="2"/>
  <c r="ASI12" i="2"/>
  <c r="ASI9" i="2"/>
  <c r="ASI13" i="2"/>
  <c r="ASI8" i="2"/>
  <c r="SL3" i="2"/>
  <c r="SK13" i="2"/>
  <c r="NG3" i="2"/>
  <c r="NF10" i="2"/>
  <c r="XO10" i="2" s="1"/>
  <c r="NF13" i="2"/>
  <c r="NF9" i="2"/>
  <c r="XO9" i="2" s="1"/>
  <c r="NF12" i="2"/>
  <c r="NF11" i="2"/>
  <c r="NF7" i="2"/>
  <c r="NF8" i="2"/>
  <c r="BY17" i="1"/>
  <c r="BY12" i="1"/>
  <c r="ASH6" i="2"/>
  <c r="CA19" i="1" s="1"/>
  <c r="SK11" i="2"/>
  <c r="XN7" i="2"/>
  <c r="SK8" i="2"/>
  <c r="ACW10" i="2"/>
  <c r="ACW7" i="2"/>
  <c r="ACW11" i="2"/>
  <c r="ACW12" i="2"/>
  <c r="ACW13" i="2"/>
  <c r="ACW9" i="2"/>
  <c r="ACW8" i="2"/>
  <c r="CZ8" i="2"/>
  <c r="CZ12" i="2"/>
  <c r="CZ10" i="2"/>
  <c r="CZ13" i="2"/>
  <c r="CZ11" i="2"/>
  <c r="CZ9" i="2"/>
  <c r="CZ7" i="2"/>
  <c r="SK12" i="2"/>
  <c r="SL12" i="2" s="1"/>
  <c r="XR3" i="2"/>
  <c r="XS4" i="2"/>
  <c r="XT5" i="2"/>
  <c r="NJ5" i="2"/>
  <c r="NI4" i="2"/>
  <c r="SO5" i="2"/>
  <c r="SN4" i="2"/>
  <c r="CZ4" i="2"/>
  <c r="DA5" i="2"/>
  <c r="ASI4" i="2"/>
  <c r="ASJ5" i="2"/>
  <c r="ANF4" i="2"/>
  <c r="ANG5" i="2"/>
  <c r="AIA4" i="2"/>
  <c r="AIB5" i="2"/>
  <c r="ACW4" i="2"/>
  <c r="ACX5" i="2"/>
  <c r="IE4" i="2"/>
  <c r="IF5" i="2"/>
  <c r="BZ6" i="1"/>
  <c r="CA7" i="1"/>
  <c r="XO7" i="2" l="1"/>
  <c r="BW11" i="1"/>
  <c r="SL7" i="2"/>
  <c r="XN6" i="2"/>
  <c r="BW8" i="1" s="1"/>
  <c r="BW10" i="1" s="1"/>
  <c r="BW13" i="1" s="1"/>
  <c r="BW14" i="1" s="1"/>
  <c r="BW15" i="1" s="1"/>
  <c r="BW18" i="1" s="1"/>
  <c r="BW20" i="1" s="1"/>
  <c r="DA12" i="2"/>
  <c r="DA10" i="2"/>
  <c r="DA13" i="2"/>
  <c r="DA11" i="2"/>
  <c r="DA8" i="2"/>
  <c r="DA7" i="2"/>
  <c r="DA9" i="2"/>
  <c r="XO13" i="2"/>
  <c r="AHW6" i="2"/>
  <c r="SL10" i="2"/>
  <c r="ANA6" i="2"/>
  <c r="ACW6" i="2"/>
  <c r="CB9" i="1" s="1"/>
  <c r="XO8" i="2"/>
  <c r="ACX10" i="2"/>
  <c r="ACX7" i="2"/>
  <c r="ACX12" i="2"/>
  <c r="ACX13" i="2"/>
  <c r="ACX11" i="2"/>
  <c r="ACX8" i="2"/>
  <c r="ACX9" i="2"/>
  <c r="SL8" i="2"/>
  <c r="ANB11" i="2"/>
  <c r="ANB12" i="2"/>
  <c r="ANB10" i="2"/>
  <c r="ANB8" i="2"/>
  <c r="ANB9" i="2"/>
  <c r="ANB7" i="2"/>
  <c r="ANB13" i="2"/>
  <c r="AHX9" i="2"/>
  <c r="AHX12" i="2"/>
  <c r="AHX11" i="2"/>
  <c r="AHX10" i="2"/>
  <c r="AHX7" i="2"/>
  <c r="AHX8" i="2"/>
  <c r="AHX13" i="2"/>
  <c r="BZ17" i="1"/>
  <c r="BZ12" i="1"/>
  <c r="IF13" i="2"/>
  <c r="IF8" i="2"/>
  <c r="IF12" i="2"/>
  <c r="IF9" i="2"/>
  <c r="IF11" i="2"/>
  <c r="IF10" i="2"/>
  <c r="IF7" i="2"/>
  <c r="ASJ10" i="2"/>
  <c r="ASJ7" i="2"/>
  <c r="ASJ12" i="2"/>
  <c r="ASJ9" i="2"/>
  <c r="ASJ13" i="2"/>
  <c r="ASJ11" i="2"/>
  <c r="ASJ8" i="2"/>
  <c r="XO11" i="2"/>
  <c r="SM3" i="2"/>
  <c r="SM12" i="2" s="1"/>
  <c r="SL13" i="2"/>
  <c r="NH3" i="2"/>
  <c r="NG9" i="2"/>
  <c r="NG12" i="2"/>
  <c r="XP12" i="2" s="1"/>
  <c r="NG11" i="2"/>
  <c r="NG10" i="2"/>
  <c r="NG7" i="2"/>
  <c r="XP7" i="2" s="1"/>
  <c r="NG8" i="2"/>
  <c r="XP8" i="2" s="1"/>
  <c r="NG13" i="2"/>
  <c r="SL11" i="2"/>
  <c r="XO12" i="2"/>
  <c r="ASI6" i="2"/>
  <c r="CB19" i="1" s="1"/>
  <c r="SL9" i="2"/>
  <c r="XS3" i="2"/>
  <c r="XT4" i="2"/>
  <c r="XU5" i="2"/>
  <c r="SO4" i="2"/>
  <c r="SP5" i="2"/>
  <c r="NK5" i="2"/>
  <c r="NJ4" i="2"/>
  <c r="DA4" i="2"/>
  <c r="DB5" i="2"/>
  <c r="ASJ4" i="2"/>
  <c r="ASK5" i="2"/>
  <c r="ANH5" i="2"/>
  <c r="ANG4" i="2"/>
  <c r="AIC5" i="2"/>
  <c r="AIB4" i="2"/>
  <c r="ACY5" i="2"/>
  <c r="ACX4" i="2"/>
  <c r="IF4" i="2"/>
  <c r="IG5" i="2"/>
  <c r="CA6" i="1"/>
  <c r="CB7" i="1"/>
  <c r="XP10" i="2" l="1"/>
  <c r="XP13" i="2"/>
  <c r="SM9" i="2"/>
  <c r="SM8" i="2"/>
  <c r="SM11" i="2"/>
  <c r="XO6" i="2"/>
  <c r="BX8" i="1" s="1"/>
  <c r="BX10" i="1" s="1"/>
  <c r="CA12" i="1"/>
  <c r="CA17" i="1"/>
  <c r="XP11" i="2"/>
  <c r="ANC9" i="2"/>
  <c r="ANC10" i="2"/>
  <c r="ANC8" i="2"/>
  <c r="ANC11" i="2"/>
  <c r="ANC12" i="2"/>
  <c r="ANC13" i="2"/>
  <c r="ANC7" i="2"/>
  <c r="AHY13" i="2"/>
  <c r="AHY8" i="2"/>
  <c r="AHY9" i="2"/>
  <c r="AHY7" i="2"/>
  <c r="AHY10" i="2"/>
  <c r="AHY11" i="2"/>
  <c r="AHY12" i="2"/>
  <c r="ASK10" i="2"/>
  <c r="ASK7" i="2"/>
  <c r="ASK11" i="2"/>
  <c r="ASK12" i="2"/>
  <c r="ASK8" i="2"/>
  <c r="ASK13" i="2"/>
  <c r="ASK9" i="2"/>
  <c r="ANB6" i="2"/>
  <c r="DB12" i="2"/>
  <c r="DB10" i="2"/>
  <c r="DB13" i="2"/>
  <c r="DB11" i="2"/>
  <c r="DB7" i="2"/>
  <c r="DB8" i="2"/>
  <c r="DB9" i="2"/>
  <c r="XP9" i="2"/>
  <c r="SM10" i="2"/>
  <c r="NI3" i="2"/>
  <c r="NH11" i="2"/>
  <c r="NH13" i="2"/>
  <c r="NH12" i="2"/>
  <c r="XQ12" i="2" s="1"/>
  <c r="NH8" i="2"/>
  <c r="NH7" i="2"/>
  <c r="NH9" i="2"/>
  <c r="XQ9" i="2" s="1"/>
  <c r="NH10" i="2"/>
  <c r="ASJ6" i="2"/>
  <c r="CC19" i="1" s="1"/>
  <c r="AHX6" i="2"/>
  <c r="ACX6" i="2"/>
  <c r="CC9" i="1" s="1"/>
  <c r="BX11" i="1"/>
  <c r="IG12" i="2"/>
  <c r="IG11" i="2"/>
  <c r="IG13" i="2"/>
  <c r="IG8" i="2"/>
  <c r="IG10" i="2"/>
  <c r="IG9" i="2"/>
  <c r="IG7" i="2"/>
  <c r="ACY10" i="2"/>
  <c r="ACY7" i="2"/>
  <c r="ACY11" i="2"/>
  <c r="ACY12" i="2"/>
  <c r="ACY8" i="2"/>
  <c r="ACY13" i="2"/>
  <c r="ACY9" i="2"/>
  <c r="SN3" i="2"/>
  <c r="SM13" i="2"/>
  <c r="SM7" i="2"/>
  <c r="XT3" i="2"/>
  <c r="XU4" i="2"/>
  <c r="XV5" i="2"/>
  <c r="NL5" i="2"/>
  <c r="NK4" i="2"/>
  <c r="SP4" i="2"/>
  <c r="SQ5" i="2"/>
  <c r="DB4" i="2"/>
  <c r="DC5" i="2"/>
  <c r="ASL5" i="2"/>
  <c r="ASK4" i="2"/>
  <c r="ANI5" i="2"/>
  <c r="ANH4" i="2"/>
  <c r="AID5" i="2"/>
  <c r="AIC4" i="2"/>
  <c r="ACZ5" i="2"/>
  <c r="ACY4" i="2"/>
  <c r="IG4" i="2"/>
  <c r="IH5" i="2"/>
  <c r="CB6" i="1"/>
  <c r="CC7" i="1"/>
  <c r="XQ8" i="2" l="1"/>
  <c r="XQ11" i="2"/>
  <c r="XQ7" i="2"/>
  <c r="ACY6" i="2"/>
  <c r="CD9" i="1" s="1"/>
  <c r="BX13" i="1"/>
  <c r="BX14" i="1" s="1"/>
  <c r="BX15" i="1" s="1"/>
  <c r="BX18" i="1" s="1"/>
  <c r="BX20" i="1" s="1"/>
  <c r="BY11" i="1"/>
  <c r="XP6" i="2"/>
  <c r="BY8" i="1" s="1"/>
  <c r="BY10" i="1" s="1"/>
  <c r="SO3" i="2"/>
  <c r="SN13" i="2"/>
  <c r="SN10" i="2"/>
  <c r="SO10" i="2" s="1"/>
  <c r="CB12" i="1"/>
  <c r="CB17" i="1"/>
  <c r="XQ13" i="2"/>
  <c r="ANC6" i="2"/>
  <c r="IH8" i="2"/>
  <c r="IH13" i="2"/>
  <c r="IH12" i="2"/>
  <c r="IH9" i="2"/>
  <c r="IH7" i="2"/>
  <c r="IH10" i="2"/>
  <c r="IH11" i="2"/>
  <c r="SN11" i="2"/>
  <c r="SO11" i="2" s="1"/>
  <c r="ASL7" i="2"/>
  <c r="ASL10" i="2"/>
  <c r="ASL11" i="2"/>
  <c r="ASL9" i="2"/>
  <c r="ASL13" i="2"/>
  <c r="ASL12" i="2"/>
  <c r="ASL8" i="2"/>
  <c r="NJ3" i="2"/>
  <c r="NI8" i="2"/>
  <c r="NI10" i="2"/>
  <c r="NI9" i="2"/>
  <c r="NI7" i="2"/>
  <c r="NI12" i="2"/>
  <c r="NI13" i="2"/>
  <c r="NI11" i="2"/>
  <c r="AND7" i="2"/>
  <c r="AND13" i="2"/>
  <c r="AND9" i="2"/>
  <c r="AND11" i="2"/>
  <c r="AND10" i="2"/>
  <c r="AND8" i="2"/>
  <c r="AND12" i="2"/>
  <c r="AHZ10" i="2"/>
  <c r="AHZ9" i="2"/>
  <c r="AHZ7" i="2"/>
  <c r="AHZ12" i="2"/>
  <c r="AHZ13" i="2"/>
  <c r="AHZ11" i="2"/>
  <c r="AHZ8" i="2"/>
  <c r="DC7" i="2"/>
  <c r="DC13" i="2"/>
  <c r="DC9" i="2"/>
  <c r="DC10" i="2"/>
  <c r="DC11" i="2"/>
  <c r="DC12" i="2"/>
  <c r="DC8" i="2"/>
  <c r="XQ10" i="2"/>
  <c r="SN9" i="2"/>
  <c r="SO9" i="2" s="1"/>
  <c r="ACZ7" i="2"/>
  <c r="ACZ10" i="2"/>
  <c r="ACZ11" i="2"/>
  <c r="ACZ13" i="2"/>
  <c r="ACZ9" i="2"/>
  <c r="ACZ12" i="2"/>
  <c r="ACZ8" i="2"/>
  <c r="SN7" i="2"/>
  <c r="SO7" i="2" s="1"/>
  <c r="SN8" i="2"/>
  <c r="SO8" i="2" s="1"/>
  <c r="ASK6" i="2"/>
  <c r="CD19" i="1" s="1"/>
  <c r="AHY6" i="2"/>
  <c r="SN12" i="2"/>
  <c r="SO12" i="2" s="1"/>
  <c r="XU3" i="2"/>
  <c r="XW5" i="2"/>
  <c r="XV4" i="2"/>
  <c r="SR5" i="2"/>
  <c r="SQ4" i="2"/>
  <c r="NM5" i="2"/>
  <c r="NL4" i="2"/>
  <c r="DC4" i="2"/>
  <c r="DD5" i="2"/>
  <c r="ASL4" i="2"/>
  <c r="ASM5" i="2"/>
  <c r="ANJ5" i="2"/>
  <c r="ANI4" i="2"/>
  <c r="AIE5" i="2"/>
  <c r="AID4" i="2"/>
  <c r="ADA5" i="2"/>
  <c r="ACZ4" i="2"/>
  <c r="II5" i="2"/>
  <c r="IH4" i="2"/>
  <c r="CC6" i="1"/>
  <c r="CD7" i="1"/>
  <c r="XR13" i="2" l="1"/>
  <c r="XR10" i="2"/>
  <c r="BZ11" i="1"/>
  <c r="BY13" i="1"/>
  <c r="BY14" i="1" s="1"/>
  <c r="BY15" i="1" s="1"/>
  <c r="BY18" i="1" s="1"/>
  <c r="BY20" i="1" s="1"/>
  <c r="ACZ6" i="2"/>
  <c r="CE9" i="1" s="1"/>
  <c r="XR11" i="2"/>
  <c r="XQ6" i="2"/>
  <c r="BZ8" i="1" s="1"/>
  <c r="BZ10" i="1" s="1"/>
  <c r="BZ13" i="1" s="1"/>
  <c r="BZ14" i="1" s="1"/>
  <c r="BZ15" i="1" s="1"/>
  <c r="BZ18" i="1" s="1"/>
  <c r="BZ20" i="1" s="1"/>
  <c r="XR12" i="2"/>
  <c r="AHZ6" i="2"/>
  <c r="XR7" i="2"/>
  <c r="ANE7" i="2"/>
  <c r="ANE10" i="2"/>
  <c r="ANE9" i="2"/>
  <c r="ANE13" i="2"/>
  <c r="ANE11" i="2"/>
  <c r="ANE8" i="2"/>
  <c r="ANE12" i="2"/>
  <c r="AIA7" i="2"/>
  <c r="AIA10" i="2"/>
  <c r="AIA11" i="2"/>
  <c r="AIA9" i="2"/>
  <c r="AIA12" i="2"/>
  <c r="AIA8" i="2"/>
  <c r="AIA13" i="2"/>
  <c r="ADA10" i="2"/>
  <c r="ADA7" i="2"/>
  <c r="ADA11" i="2"/>
  <c r="ADA13" i="2"/>
  <c r="ADA9" i="2"/>
  <c r="ADA12" i="2"/>
  <c r="ADA8" i="2"/>
  <c r="AND6" i="2"/>
  <c r="XR9" i="2"/>
  <c r="CC12" i="1"/>
  <c r="CC17" i="1"/>
  <c r="ASM10" i="2"/>
  <c r="ASM7" i="2"/>
  <c r="ASM11" i="2"/>
  <c r="ASM13" i="2"/>
  <c r="ASM12" i="2"/>
  <c r="ASM9" i="2"/>
  <c r="ASM8" i="2"/>
  <c r="II12" i="2"/>
  <c r="II13" i="2"/>
  <c r="II8" i="2"/>
  <c r="II10" i="2"/>
  <c r="II9" i="2"/>
  <c r="II7" i="2"/>
  <c r="II11" i="2"/>
  <c r="XR8" i="2"/>
  <c r="ASL6" i="2"/>
  <c r="CE19" i="1" s="1"/>
  <c r="DD7" i="2"/>
  <c r="DD13" i="2"/>
  <c r="DD11" i="2"/>
  <c r="DD12" i="2"/>
  <c r="DD10" i="2"/>
  <c r="DD9" i="2"/>
  <c r="DD8" i="2"/>
  <c r="NK3" i="2"/>
  <c r="NJ7" i="2"/>
  <c r="XS7" i="2" s="1"/>
  <c r="NJ10" i="2"/>
  <c r="XS10" i="2" s="1"/>
  <c r="NJ11" i="2"/>
  <c r="XS11" i="2" s="1"/>
  <c r="NJ9" i="2"/>
  <c r="XS9" i="2" s="1"/>
  <c r="NJ12" i="2"/>
  <c r="XS12" i="2" s="1"/>
  <c r="NJ13" i="2"/>
  <c r="NJ8" i="2"/>
  <c r="XS8" i="2" s="1"/>
  <c r="SP3" i="2"/>
  <c r="SP9" i="2" s="1"/>
  <c r="SO13" i="2"/>
  <c r="XV3" i="2"/>
  <c r="XX5" i="2"/>
  <c r="XW4" i="2"/>
  <c r="NM4" i="2"/>
  <c r="NN5" i="2"/>
  <c r="SR4" i="2"/>
  <c r="SS5" i="2"/>
  <c r="DD4" i="2"/>
  <c r="DE5" i="2"/>
  <c r="ASN5" i="2"/>
  <c r="ASM4" i="2"/>
  <c r="ANK5" i="2"/>
  <c r="ANJ4" i="2"/>
  <c r="AIF5" i="2"/>
  <c r="AIE4" i="2"/>
  <c r="ADB5" i="2"/>
  <c r="ADA4" i="2"/>
  <c r="IJ5" i="2"/>
  <c r="II4" i="2"/>
  <c r="CD6" i="1"/>
  <c r="CE7" i="1"/>
  <c r="ADB7" i="2" l="1"/>
  <c r="ADB10" i="2"/>
  <c r="ADB11" i="2"/>
  <c r="ADB9" i="2"/>
  <c r="ADB12" i="2"/>
  <c r="ADB13" i="2"/>
  <c r="ADB8" i="2"/>
  <c r="SQ3" i="2"/>
  <c r="SQ9" i="2" s="1"/>
  <c r="SP13" i="2"/>
  <c r="SP7" i="2"/>
  <c r="XR6" i="2"/>
  <c r="CA8" i="1" s="1"/>
  <c r="CA10" i="1" s="1"/>
  <c r="ADA6" i="2"/>
  <c r="CF9" i="1" s="1"/>
  <c r="ANE6" i="2"/>
  <c r="SP12" i="2"/>
  <c r="AIA6" i="2"/>
  <c r="SP11" i="2"/>
  <c r="SQ11" i="2" s="1"/>
  <c r="NL3" i="2"/>
  <c r="NK12" i="2"/>
  <c r="XT12" i="2" s="1"/>
  <c r="NK10" i="2"/>
  <c r="NK11" i="2"/>
  <c r="NK9" i="2"/>
  <c r="XT9" i="2" s="1"/>
  <c r="NK7" i="2"/>
  <c r="NK8" i="2"/>
  <c r="NK13" i="2"/>
  <c r="XT13" i="2" s="1"/>
  <c r="SP10" i="2"/>
  <c r="CD12" i="1"/>
  <c r="CD17" i="1"/>
  <c r="CA11" i="1"/>
  <c r="ANF11" i="2"/>
  <c r="ANF13" i="2"/>
  <c r="ANF8" i="2"/>
  <c r="ANF12" i="2"/>
  <c r="ANF7" i="2"/>
  <c r="ANF9" i="2"/>
  <c r="ANF10" i="2"/>
  <c r="AIB11" i="2"/>
  <c r="AIB9" i="2"/>
  <c r="AIB7" i="2"/>
  <c r="AIB8" i="2"/>
  <c r="AIB12" i="2"/>
  <c r="AIB13" i="2"/>
  <c r="AIB10" i="2"/>
  <c r="SP8" i="2"/>
  <c r="SQ8" i="2" s="1"/>
  <c r="ASN7" i="2"/>
  <c r="ASN10" i="2"/>
  <c r="ASN11" i="2"/>
  <c r="ASN9" i="2"/>
  <c r="ASN12" i="2"/>
  <c r="ASN13" i="2"/>
  <c r="ASN8" i="2"/>
  <c r="XS13" i="2"/>
  <c r="XS6" i="2" s="1"/>
  <c r="CB8" i="1" s="1"/>
  <c r="CB10" i="1" s="1"/>
  <c r="ASM6" i="2"/>
  <c r="CF19" i="1" s="1"/>
  <c r="IJ13" i="2"/>
  <c r="IJ8" i="2"/>
  <c r="IJ12" i="2"/>
  <c r="IJ11" i="2"/>
  <c r="IJ10" i="2"/>
  <c r="IJ7" i="2"/>
  <c r="IJ9" i="2"/>
  <c r="DE13" i="2"/>
  <c r="DE11" i="2"/>
  <c r="DE10" i="2"/>
  <c r="DE12" i="2"/>
  <c r="DE7" i="2"/>
  <c r="DE8" i="2"/>
  <c r="DE9" i="2"/>
  <c r="XW3" i="2"/>
  <c r="XY5" i="2"/>
  <c r="XX4" i="2"/>
  <c r="SS4" i="2"/>
  <c r="ST5" i="2"/>
  <c r="NO5" i="2"/>
  <c r="NN4" i="2"/>
  <c r="DF5" i="2"/>
  <c r="DE4" i="2"/>
  <c r="ASO5" i="2"/>
  <c r="ASN4" i="2"/>
  <c r="ANK4" i="2"/>
  <c r="ANL5" i="2"/>
  <c r="AIF4" i="2"/>
  <c r="AIG5" i="2"/>
  <c r="ADC5" i="2"/>
  <c r="ADB4" i="2"/>
  <c r="IK5" i="2"/>
  <c r="IJ4" i="2"/>
  <c r="CF7" i="1"/>
  <c r="CE6" i="1"/>
  <c r="XT7" i="2" l="1"/>
  <c r="CB11" i="1"/>
  <c r="CB13" i="1" s="1"/>
  <c r="CB14" i="1" s="1"/>
  <c r="CB15" i="1" s="1"/>
  <c r="CB18" i="1" s="1"/>
  <c r="CB20" i="1" s="1"/>
  <c r="SQ12" i="2"/>
  <c r="SQ7" i="2"/>
  <c r="SQ10" i="2"/>
  <c r="CE17" i="1"/>
  <c r="CE12" i="1"/>
  <c r="XT8" i="2"/>
  <c r="NM3" i="2"/>
  <c r="NL10" i="2"/>
  <c r="XU10" i="2" s="1"/>
  <c r="NL13" i="2"/>
  <c r="NL12" i="2"/>
  <c r="XU12" i="2" s="1"/>
  <c r="NL11" i="2"/>
  <c r="XU11" i="2" s="1"/>
  <c r="NL9" i="2"/>
  <c r="XU9" i="2" s="1"/>
  <c r="NL8" i="2"/>
  <c r="XU8" i="2" s="1"/>
  <c r="NL7" i="2"/>
  <c r="ANF6" i="2"/>
  <c r="AIB6" i="2"/>
  <c r="ANG7" i="2"/>
  <c r="ANG8" i="2"/>
  <c r="ANG13" i="2"/>
  <c r="ANG9" i="2"/>
  <c r="ANG10" i="2"/>
  <c r="ANG12" i="2"/>
  <c r="ANG11" i="2"/>
  <c r="AIC13" i="2"/>
  <c r="AIC11" i="2"/>
  <c r="AIC9" i="2"/>
  <c r="AIC10" i="2"/>
  <c r="AIC8" i="2"/>
  <c r="AIC7" i="2"/>
  <c r="AIC12" i="2"/>
  <c r="IK13" i="2"/>
  <c r="IK12" i="2"/>
  <c r="IK8" i="2"/>
  <c r="IK10" i="2"/>
  <c r="IK11" i="2"/>
  <c r="IK7" i="2"/>
  <c r="IK9" i="2"/>
  <c r="ASO7" i="2"/>
  <c r="ASO10" i="2"/>
  <c r="ASO12" i="2"/>
  <c r="ASO11" i="2"/>
  <c r="ASO9" i="2"/>
  <c r="ASO13" i="2"/>
  <c r="ASO8" i="2"/>
  <c r="XT11" i="2"/>
  <c r="SR3" i="2"/>
  <c r="SR11" i="2" s="1"/>
  <c r="SQ13" i="2"/>
  <c r="ASN6" i="2"/>
  <c r="CG19" i="1" s="1"/>
  <c r="XT10" i="2"/>
  <c r="CA13" i="1"/>
  <c r="CA14" i="1" s="1"/>
  <c r="CA15" i="1" s="1"/>
  <c r="CA18" i="1" s="1"/>
  <c r="CA20" i="1" s="1"/>
  <c r="ADC7" i="2"/>
  <c r="ADC10" i="2"/>
  <c r="ADC11" i="2"/>
  <c r="ADC12" i="2"/>
  <c r="ADC13" i="2"/>
  <c r="ADC9" i="2"/>
  <c r="ADC8" i="2"/>
  <c r="DF13" i="2"/>
  <c r="DF11" i="2"/>
  <c r="DF12" i="2"/>
  <c r="DF10" i="2"/>
  <c r="DF8" i="2"/>
  <c r="DF7" i="2"/>
  <c r="DF9" i="2"/>
  <c r="SR8" i="2"/>
  <c r="SR10" i="2"/>
  <c r="ADB6" i="2"/>
  <c r="CG9" i="1" s="1"/>
  <c r="XX3" i="2"/>
  <c r="XZ5" i="2"/>
  <c r="XY4" i="2"/>
  <c r="NP5" i="2"/>
  <c r="NO4" i="2"/>
  <c r="ST4" i="2"/>
  <c r="SU5" i="2"/>
  <c r="DG5" i="2"/>
  <c r="DF4" i="2"/>
  <c r="ASO4" i="2"/>
  <c r="ASP5" i="2"/>
  <c r="ANL4" i="2"/>
  <c r="ANM5" i="2"/>
  <c r="AIH5" i="2"/>
  <c r="AIG4" i="2"/>
  <c r="ADC4" i="2"/>
  <c r="ADD5" i="2"/>
  <c r="IK4" i="2"/>
  <c r="IL5" i="2"/>
  <c r="CG7" i="1"/>
  <c r="CF6" i="1"/>
  <c r="XU7" i="2" l="1"/>
  <c r="SR9" i="2"/>
  <c r="SR7" i="2"/>
  <c r="XT6" i="2"/>
  <c r="CC8" i="1" s="1"/>
  <c r="CC10" i="1" s="1"/>
  <c r="CF17" i="1"/>
  <c r="CF12" i="1"/>
  <c r="AIC6" i="2"/>
  <c r="ASP7" i="2"/>
  <c r="ASP10" i="2"/>
  <c r="ASP11" i="2"/>
  <c r="ASP12" i="2"/>
  <c r="ASP13" i="2"/>
  <c r="ASP9" i="2"/>
  <c r="ASP8" i="2"/>
  <c r="ADC6" i="2"/>
  <c r="CH9" i="1" s="1"/>
  <c r="ASO6" i="2"/>
  <c r="CH19" i="1" s="1"/>
  <c r="NN3" i="2"/>
  <c r="NM12" i="2"/>
  <c r="NM7" i="2"/>
  <c r="NM9" i="2"/>
  <c r="XV9" i="2" s="1"/>
  <c r="NM13" i="2"/>
  <c r="NM8" i="2"/>
  <c r="XV8" i="2" s="1"/>
  <c r="NM10" i="2"/>
  <c r="XV10" i="2" s="1"/>
  <c r="NM11" i="2"/>
  <c r="XV11" i="2" s="1"/>
  <c r="SR12" i="2"/>
  <c r="IL12" i="2"/>
  <c r="IL8" i="2"/>
  <c r="IL7" i="2"/>
  <c r="IL13" i="2"/>
  <c r="IL11" i="2"/>
  <c r="IL9" i="2"/>
  <c r="IL10" i="2"/>
  <c r="ADD10" i="2"/>
  <c r="ADD7" i="2"/>
  <c r="ADD13" i="2"/>
  <c r="ADD11" i="2"/>
  <c r="ADD9" i="2"/>
  <c r="ADD8" i="2"/>
  <c r="ADD12" i="2"/>
  <c r="ANG6" i="2"/>
  <c r="DG12" i="2"/>
  <c r="DG8" i="2"/>
  <c r="DG11" i="2"/>
  <c r="DG10" i="2"/>
  <c r="DG13" i="2"/>
  <c r="DG9" i="2"/>
  <c r="DG7" i="2"/>
  <c r="CC11" i="1"/>
  <c r="CC13" i="1" s="1"/>
  <c r="CC14" i="1" s="1"/>
  <c r="CC15" i="1" s="1"/>
  <c r="CC18" i="1" s="1"/>
  <c r="CC20" i="1" s="1"/>
  <c r="XU13" i="2"/>
  <c r="XU6" i="2" s="1"/>
  <c r="CD8" i="1" s="1"/>
  <c r="CD10" i="1" s="1"/>
  <c r="ANH8" i="2"/>
  <c r="ANH13" i="2"/>
  <c r="ANH9" i="2"/>
  <c r="ANH12" i="2"/>
  <c r="ANH10" i="2"/>
  <c r="ANH11" i="2"/>
  <c r="ANH7" i="2"/>
  <c r="AID7" i="2"/>
  <c r="AID9" i="2"/>
  <c r="AID12" i="2"/>
  <c r="AID13" i="2"/>
  <c r="AID8" i="2"/>
  <c r="AID10" i="2"/>
  <c r="AID11" i="2"/>
  <c r="SS3" i="2"/>
  <c r="SS10" i="2" s="1"/>
  <c r="SR13" i="2"/>
  <c r="XY3" i="2"/>
  <c r="XZ4" i="2"/>
  <c r="YA5" i="2"/>
  <c r="SU4" i="2"/>
  <c r="SV5" i="2"/>
  <c r="NP4" i="2"/>
  <c r="NQ5" i="2"/>
  <c r="DG4" i="2"/>
  <c r="DH5" i="2"/>
  <c r="ASQ5" i="2"/>
  <c r="ASP4" i="2"/>
  <c r="ANM4" i="2"/>
  <c r="ANN5" i="2"/>
  <c r="AIH4" i="2"/>
  <c r="AII5" i="2"/>
  <c r="ADD4" i="2"/>
  <c r="ADE5" i="2"/>
  <c r="IL4" i="2"/>
  <c r="IM5" i="2"/>
  <c r="CH7" i="1"/>
  <c r="CG6" i="1"/>
  <c r="XV7" i="2" l="1"/>
  <c r="SS9" i="2"/>
  <c r="CG17" i="1"/>
  <c r="CG12" i="1"/>
  <c r="XV13" i="2"/>
  <c r="AID6" i="2"/>
  <c r="ASP6" i="2"/>
  <c r="CI19" i="1" s="1"/>
  <c r="ANI13" i="2"/>
  <c r="ANI7" i="2"/>
  <c r="ANI9" i="2"/>
  <c r="ANI12" i="2"/>
  <c r="ANI8" i="2"/>
  <c r="ANI11" i="2"/>
  <c r="ANI10" i="2"/>
  <c r="AIE9" i="2"/>
  <c r="AIE12" i="2"/>
  <c r="AIE13" i="2"/>
  <c r="AIE8" i="2"/>
  <c r="AIE10" i="2"/>
  <c r="AIE7" i="2"/>
  <c r="AIE11" i="2"/>
  <c r="ASQ7" i="2"/>
  <c r="ASQ10" i="2"/>
  <c r="ASQ11" i="2"/>
  <c r="ASQ13" i="2"/>
  <c r="ASQ12" i="2"/>
  <c r="ASQ9" i="2"/>
  <c r="ASQ8" i="2"/>
  <c r="SS7" i="2"/>
  <c r="ANH6" i="2"/>
  <c r="CE11" i="1" s="1"/>
  <c r="SS12" i="2"/>
  <c r="CD11" i="1"/>
  <c r="CD13" i="1" s="1"/>
  <c r="CD14" i="1" s="1"/>
  <c r="CD15" i="1" s="1"/>
  <c r="CD18" i="1" s="1"/>
  <c r="CD20" i="1" s="1"/>
  <c r="ST3" i="2"/>
  <c r="SS13" i="2"/>
  <c r="ADD6" i="2"/>
  <c r="CI9" i="1" s="1"/>
  <c r="IM13" i="2"/>
  <c r="IM8" i="2"/>
  <c r="IM12" i="2"/>
  <c r="IM11" i="2"/>
  <c r="IM10" i="2"/>
  <c r="IM9" i="2"/>
  <c r="IM7" i="2"/>
  <c r="ADE7" i="2"/>
  <c r="ADE10" i="2"/>
  <c r="ADE12" i="2"/>
  <c r="ADE11" i="2"/>
  <c r="ADE13" i="2"/>
  <c r="ADE8" i="2"/>
  <c r="ADE9" i="2"/>
  <c r="DH12" i="2"/>
  <c r="DH13" i="2"/>
  <c r="DH11" i="2"/>
  <c r="DH8" i="2"/>
  <c r="DH10" i="2"/>
  <c r="DH7" i="2"/>
  <c r="DH9" i="2"/>
  <c r="XV12" i="2"/>
  <c r="XV6" i="2" s="1"/>
  <c r="CE8" i="1" s="1"/>
  <c r="CE10" i="1" s="1"/>
  <c r="SS8" i="2"/>
  <c r="NO3" i="2"/>
  <c r="NN11" i="2"/>
  <c r="XW11" i="2" s="1"/>
  <c r="NN9" i="2"/>
  <c r="XW9" i="2" s="1"/>
  <c r="NN12" i="2"/>
  <c r="XW12" i="2" s="1"/>
  <c r="NN13" i="2"/>
  <c r="NN8" i="2"/>
  <c r="NN10" i="2"/>
  <c r="XW10" i="2" s="1"/>
  <c r="NN7" i="2"/>
  <c r="SS11" i="2"/>
  <c r="XZ3" i="2"/>
  <c r="YA4" i="2"/>
  <c r="YB5" i="2"/>
  <c r="SW5" i="2"/>
  <c r="SV4" i="2"/>
  <c r="NR5" i="2"/>
  <c r="NQ4" i="2"/>
  <c r="DI5" i="2"/>
  <c r="DH4" i="2"/>
  <c r="ASQ4" i="2"/>
  <c r="ASR5" i="2"/>
  <c r="ANN4" i="2"/>
  <c r="ANO5" i="2"/>
  <c r="AII4" i="2"/>
  <c r="AIJ5" i="2"/>
  <c r="ADE4" i="2"/>
  <c r="ADF5" i="2"/>
  <c r="IM4" i="2"/>
  <c r="IN5" i="2"/>
  <c r="CH6" i="1"/>
  <c r="CI7" i="1"/>
  <c r="XW8" i="2" l="1"/>
  <c r="XW13" i="2"/>
  <c r="CE13" i="1"/>
  <c r="CE14" i="1" s="1"/>
  <c r="CE15" i="1" s="1"/>
  <c r="CE18" i="1" s="1"/>
  <c r="CE20" i="1" s="1"/>
  <c r="AIE6" i="2"/>
  <c r="XW7" i="2"/>
  <c r="ANJ8" i="2"/>
  <c r="ANJ7" i="2"/>
  <c r="ANJ9" i="2"/>
  <c r="ANJ13" i="2"/>
  <c r="ANJ10" i="2"/>
  <c r="ANJ12" i="2"/>
  <c r="ANJ11" i="2"/>
  <c r="AIF12" i="2"/>
  <c r="AIF7" i="2"/>
  <c r="AIF11" i="2"/>
  <c r="AIF13" i="2"/>
  <c r="AIF10" i="2"/>
  <c r="AIF8" i="2"/>
  <c r="AIF9" i="2"/>
  <c r="CH17" i="1"/>
  <c r="CH12" i="1"/>
  <c r="ADE6" i="2"/>
  <c r="CJ9" i="1" s="1"/>
  <c r="IN13" i="2"/>
  <c r="IN11" i="2"/>
  <c r="IN8" i="2"/>
  <c r="IN12" i="2"/>
  <c r="IN10" i="2"/>
  <c r="IN9" i="2"/>
  <c r="IN7" i="2"/>
  <c r="ASR7" i="2"/>
  <c r="ASR10" i="2"/>
  <c r="ASR11" i="2"/>
  <c r="ASR9" i="2"/>
  <c r="ASR8" i="2"/>
  <c r="ASR12" i="2"/>
  <c r="ASR13" i="2"/>
  <c r="ASQ6" i="2"/>
  <c r="CJ19" i="1" s="1"/>
  <c r="ANI6" i="2"/>
  <c r="CF11" i="1" s="1"/>
  <c r="XW6" i="2"/>
  <c r="CF8" i="1" s="1"/>
  <c r="CF10" i="1" s="1"/>
  <c r="SU3" i="2"/>
  <c r="ST13" i="2"/>
  <c r="ST7" i="2"/>
  <c r="SU7" i="2" s="1"/>
  <c r="DI12" i="2"/>
  <c r="DI10" i="2"/>
  <c r="DI11" i="2"/>
  <c r="DI13" i="2"/>
  <c r="DI9" i="2"/>
  <c r="DI8" i="2"/>
  <c r="DI7" i="2"/>
  <c r="ST11" i="2"/>
  <c r="SU11" i="2" s="1"/>
  <c r="NP3" i="2"/>
  <c r="NO12" i="2"/>
  <c r="NO11" i="2"/>
  <c r="NO13" i="2"/>
  <c r="NO9" i="2"/>
  <c r="NO7" i="2"/>
  <c r="NO8" i="2"/>
  <c r="NO10" i="2"/>
  <c r="ST9" i="2"/>
  <c r="SU9" i="2" s="1"/>
  <c r="ADF10" i="2"/>
  <c r="ADF7" i="2"/>
  <c r="ADF11" i="2"/>
  <c r="ADF13" i="2"/>
  <c r="ADF12" i="2"/>
  <c r="ADF8" i="2"/>
  <c r="ADF9" i="2"/>
  <c r="ST8" i="2"/>
  <c r="SU8" i="2" s="1"/>
  <c r="ST12" i="2"/>
  <c r="SU12" i="2" s="1"/>
  <c r="ST10" i="2"/>
  <c r="SU10" i="2" s="1"/>
  <c r="YA3" i="2"/>
  <c r="YB4" i="2"/>
  <c r="YC5" i="2"/>
  <c r="NS5" i="2"/>
  <c r="NR4" i="2"/>
  <c r="SW4" i="2"/>
  <c r="SX5" i="2"/>
  <c r="DI4" i="2"/>
  <c r="DJ5" i="2"/>
  <c r="ASS5" i="2"/>
  <c r="ASR4" i="2"/>
  <c r="ANP5" i="2"/>
  <c r="ANO4" i="2"/>
  <c r="AIK5" i="2"/>
  <c r="AIJ4" i="2"/>
  <c r="ADF4" i="2"/>
  <c r="ADG5" i="2"/>
  <c r="IN4" i="2"/>
  <c r="IO5" i="2"/>
  <c r="CI6" i="1"/>
  <c r="CJ7" i="1"/>
  <c r="XX13" i="2" l="1"/>
  <c r="XX9" i="2"/>
  <c r="XX11" i="2"/>
  <c r="XX7" i="2"/>
  <c r="ASS10" i="2"/>
  <c r="ASS7" i="2"/>
  <c r="ASS12" i="2"/>
  <c r="ASS11" i="2"/>
  <c r="ASS8" i="2"/>
  <c r="ASS9" i="2"/>
  <c r="ASS13" i="2"/>
  <c r="ADG7" i="2"/>
  <c r="ADG10" i="2"/>
  <c r="ADG12" i="2"/>
  <c r="ADG11" i="2"/>
  <c r="ADG13" i="2"/>
  <c r="ADG8" i="2"/>
  <c r="ADG9" i="2"/>
  <c r="ASR6" i="2"/>
  <c r="CK19" i="1" s="1"/>
  <c r="XX12" i="2"/>
  <c r="SV3" i="2"/>
  <c r="SV8" i="2" s="1"/>
  <c r="SU13" i="2"/>
  <c r="ANJ6" i="2"/>
  <c r="DJ12" i="2"/>
  <c r="DJ10" i="2"/>
  <c r="DJ13" i="2"/>
  <c r="DJ11" i="2"/>
  <c r="DJ7" i="2"/>
  <c r="DJ9" i="2"/>
  <c r="DJ8" i="2"/>
  <c r="NQ3" i="2"/>
  <c r="NP11" i="2"/>
  <c r="XY11" i="2" s="1"/>
  <c r="NP8" i="2"/>
  <c r="XY8" i="2" s="1"/>
  <c r="NP12" i="2"/>
  <c r="XY12" i="2" s="1"/>
  <c r="NP7" i="2"/>
  <c r="XY7" i="2" s="1"/>
  <c r="NP10" i="2"/>
  <c r="XY10" i="2" s="1"/>
  <c r="NP9" i="2"/>
  <c r="XY9" i="2" s="1"/>
  <c r="NP13" i="2"/>
  <c r="AIF6" i="2"/>
  <c r="CG11" i="1" s="1"/>
  <c r="CI12" i="1"/>
  <c r="CI17" i="1"/>
  <c r="CF13" i="1"/>
  <c r="CF14" i="1" s="1"/>
  <c r="CF15" i="1" s="1"/>
  <c r="CF18" i="1" s="1"/>
  <c r="CF20" i="1" s="1"/>
  <c r="ANK8" i="2"/>
  <c r="ANK9" i="2"/>
  <c r="ANK11" i="2"/>
  <c r="ANK10" i="2"/>
  <c r="ANK13" i="2"/>
  <c r="ANK7" i="2"/>
  <c r="ANK12" i="2"/>
  <c r="AIG11" i="2"/>
  <c r="AIG8" i="2"/>
  <c r="AIG12" i="2"/>
  <c r="AIG7" i="2"/>
  <c r="AIG10" i="2"/>
  <c r="AIG9" i="2"/>
  <c r="AIG13" i="2"/>
  <c r="ADF6" i="2"/>
  <c r="CK9" i="1" s="1"/>
  <c r="XX10" i="2"/>
  <c r="IO12" i="2"/>
  <c r="IO13" i="2"/>
  <c r="IO8" i="2"/>
  <c r="IO11" i="2"/>
  <c r="IO10" i="2"/>
  <c r="IO7" i="2"/>
  <c r="IO9" i="2"/>
  <c r="XX8" i="2"/>
  <c r="YB3" i="2"/>
  <c r="YC4" i="2"/>
  <c r="YD5" i="2"/>
  <c r="SX4" i="2"/>
  <c r="SY5" i="2"/>
  <c r="NT5" i="2"/>
  <c r="NS4" i="2"/>
  <c r="DK5" i="2"/>
  <c r="DJ4" i="2"/>
  <c r="AST5" i="2"/>
  <c r="ASS4" i="2"/>
  <c r="ANQ5" i="2"/>
  <c r="ANP4" i="2"/>
  <c r="AIL5" i="2"/>
  <c r="AIK4" i="2"/>
  <c r="ADH5" i="2"/>
  <c r="ADG4" i="2"/>
  <c r="IO4" i="2"/>
  <c r="IP5" i="2"/>
  <c r="CJ6" i="1"/>
  <c r="CK7" i="1"/>
  <c r="ADG6" i="2" l="1"/>
  <c r="CL9" i="1" s="1"/>
  <c r="XX6" i="2"/>
  <c r="CG8" i="1" s="1"/>
  <c r="CG10" i="1" s="1"/>
  <c r="CG13" i="1" s="1"/>
  <c r="CG14" i="1" s="1"/>
  <c r="CG15" i="1" s="1"/>
  <c r="CG18" i="1" s="1"/>
  <c r="CG20" i="1" s="1"/>
  <c r="AIG6" i="2"/>
  <c r="SW3" i="2"/>
  <c r="SV13" i="2"/>
  <c r="CJ12" i="1"/>
  <c r="CJ17" i="1"/>
  <c r="SV7" i="2"/>
  <c r="SW7" i="2" s="1"/>
  <c r="IP8" i="2"/>
  <c r="IP13" i="2"/>
  <c r="IP12" i="2"/>
  <c r="IP7" i="2"/>
  <c r="IP9" i="2"/>
  <c r="IP10" i="2"/>
  <c r="IP11" i="2"/>
  <c r="SV10" i="2"/>
  <c r="SW10" i="2" s="1"/>
  <c r="AST7" i="2"/>
  <c r="AST10" i="2"/>
  <c r="AST12" i="2"/>
  <c r="AST13" i="2"/>
  <c r="AST9" i="2"/>
  <c r="AST11" i="2"/>
  <c r="AST8" i="2"/>
  <c r="ANK6" i="2"/>
  <c r="SV11" i="2"/>
  <c r="NR3" i="2"/>
  <c r="NQ8" i="2"/>
  <c r="XZ8" i="2" s="1"/>
  <c r="NQ10" i="2"/>
  <c r="NQ9" i="2"/>
  <c r="NQ11" i="2"/>
  <c r="NQ7" i="2"/>
  <c r="NQ13" i="2"/>
  <c r="XZ13" i="2" s="1"/>
  <c r="NQ12" i="2"/>
  <c r="ADH7" i="2"/>
  <c r="ADH10" i="2"/>
  <c r="ADH12" i="2"/>
  <c r="ADH13" i="2"/>
  <c r="ADH8" i="2"/>
  <c r="ADH9" i="2"/>
  <c r="ADH11" i="2"/>
  <c r="DK13" i="2"/>
  <c r="DK9" i="2"/>
  <c r="DK7" i="2"/>
  <c r="DK12" i="2"/>
  <c r="DK10" i="2"/>
  <c r="DK11" i="2"/>
  <c r="DK8" i="2"/>
  <c r="ANL7" i="2"/>
  <c r="ANL12" i="2"/>
  <c r="ANL9" i="2"/>
  <c r="ANL11" i="2"/>
  <c r="ANL13" i="2"/>
  <c r="ANL10" i="2"/>
  <c r="ANL8" i="2"/>
  <c r="AIH10" i="2"/>
  <c r="AIH9" i="2"/>
  <c r="AIH11" i="2"/>
  <c r="AIH7" i="2"/>
  <c r="AIH13" i="2"/>
  <c r="AIH12" i="2"/>
  <c r="AIH8" i="2"/>
  <c r="XY13" i="2"/>
  <c r="XY6" i="2" s="1"/>
  <c r="CH8" i="1" s="1"/>
  <c r="CH10" i="1" s="1"/>
  <c r="SV12" i="2"/>
  <c r="ASS6" i="2"/>
  <c r="CL19" i="1" s="1"/>
  <c r="SV9" i="2"/>
  <c r="YC3" i="2"/>
  <c r="YE5" i="2"/>
  <c r="YD4" i="2"/>
  <c r="NU5" i="2"/>
  <c r="NT4" i="2"/>
  <c r="SZ5" i="2"/>
  <c r="SY4" i="2"/>
  <c r="DL5" i="2"/>
  <c r="DK4" i="2"/>
  <c r="ASU5" i="2"/>
  <c r="AST4" i="2"/>
  <c r="ANR5" i="2"/>
  <c r="ANQ4" i="2"/>
  <c r="AIM5" i="2"/>
  <c r="AIL4" i="2"/>
  <c r="ADI5" i="2"/>
  <c r="ADH4" i="2"/>
  <c r="IQ5" i="2"/>
  <c r="IP4" i="2"/>
  <c r="CK6" i="1"/>
  <c r="CL7" i="1"/>
  <c r="XZ10" i="2" l="1"/>
  <c r="XZ11" i="2"/>
  <c r="XZ7" i="2"/>
  <c r="ANL6" i="2"/>
  <c r="SW12" i="2"/>
  <c r="SW9" i="2"/>
  <c r="XZ9" i="2"/>
  <c r="SW11" i="2"/>
  <c r="IQ13" i="2"/>
  <c r="IQ8" i="2"/>
  <c r="IQ9" i="2"/>
  <c r="IQ10" i="2"/>
  <c r="IQ7" i="2"/>
  <c r="IQ11" i="2"/>
  <c r="IQ12" i="2"/>
  <c r="ASU7" i="2"/>
  <c r="ASU10" i="2"/>
  <c r="ASU11" i="2"/>
  <c r="ASU9" i="2"/>
  <c r="ASU12" i="2"/>
  <c r="ASU13" i="2"/>
  <c r="ASU8" i="2"/>
  <c r="ANM13" i="2"/>
  <c r="ANM8" i="2"/>
  <c r="ANM10" i="2"/>
  <c r="ANM9" i="2"/>
  <c r="ANM11" i="2"/>
  <c r="ANM12" i="2"/>
  <c r="ANM7" i="2"/>
  <c r="AII8" i="2"/>
  <c r="AII13" i="2"/>
  <c r="AII9" i="2"/>
  <c r="AII12" i="2"/>
  <c r="AII7" i="2"/>
  <c r="AII10" i="2"/>
  <c r="AII11" i="2"/>
  <c r="ADI7" i="2"/>
  <c r="ADI10" i="2"/>
  <c r="ADI11" i="2"/>
  <c r="ADI12" i="2"/>
  <c r="ADI9" i="2"/>
  <c r="ADI13" i="2"/>
  <c r="ADI8" i="2"/>
  <c r="DL13" i="2"/>
  <c r="DL11" i="2"/>
  <c r="DL12" i="2"/>
  <c r="DL10" i="2"/>
  <c r="DL7" i="2"/>
  <c r="DL9" i="2"/>
  <c r="DL8" i="2"/>
  <c r="NS3" i="2"/>
  <c r="NR8" i="2"/>
  <c r="NR13" i="2"/>
  <c r="NR12" i="2"/>
  <c r="YA12" i="2" s="1"/>
  <c r="NR7" i="2"/>
  <c r="YA7" i="2" s="1"/>
  <c r="NR10" i="2"/>
  <c r="YA10" i="2" s="1"/>
  <c r="NR9" i="2"/>
  <c r="NR11" i="2"/>
  <c r="SX3" i="2"/>
  <c r="SW13" i="2"/>
  <c r="AIH6" i="2"/>
  <c r="XZ12" i="2"/>
  <c r="CK12" i="1"/>
  <c r="CK17" i="1"/>
  <c r="ADH6" i="2"/>
  <c r="CM9" i="1" s="1"/>
  <c r="AST6" i="2"/>
  <c r="CM19" i="1" s="1"/>
  <c r="SX7" i="2"/>
  <c r="SW8" i="2"/>
  <c r="SX8" i="2" s="1"/>
  <c r="CH11" i="1"/>
  <c r="CH13" i="1" s="1"/>
  <c r="CH14" i="1" s="1"/>
  <c r="CH15" i="1" s="1"/>
  <c r="CH18" i="1" s="1"/>
  <c r="CH20" i="1" s="1"/>
  <c r="YD3" i="2"/>
  <c r="YF5" i="2"/>
  <c r="YE4" i="2"/>
  <c r="SZ4" i="2"/>
  <c r="TA5" i="2"/>
  <c r="NV5" i="2"/>
  <c r="NU4" i="2"/>
  <c r="DL4" i="2"/>
  <c r="DM5" i="2"/>
  <c r="ASV5" i="2"/>
  <c r="ASU4" i="2"/>
  <c r="ANS5" i="2"/>
  <c r="ANR4" i="2"/>
  <c r="AIN5" i="2"/>
  <c r="AIM4" i="2"/>
  <c r="ADJ5" i="2"/>
  <c r="ADI4" i="2"/>
  <c r="IR5" i="2"/>
  <c r="IQ4" i="2"/>
  <c r="CL6" i="1"/>
  <c r="CM7" i="1"/>
  <c r="CI11" i="1" l="1"/>
  <c r="YA11" i="2"/>
  <c r="XZ6" i="2"/>
  <c r="CI8" i="1" s="1"/>
  <c r="CI10" i="1" s="1"/>
  <c r="CI13" i="1" s="1"/>
  <c r="CI14" i="1" s="1"/>
  <c r="CI15" i="1" s="1"/>
  <c r="CI18" i="1" s="1"/>
  <c r="CI20" i="1" s="1"/>
  <c r="YA9" i="2"/>
  <c r="DM13" i="2"/>
  <c r="DM11" i="2"/>
  <c r="DM10" i="2"/>
  <c r="DM12" i="2"/>
  <c r="DM7" i="2"/>
  <c r="DM8" i="2"/>
  <c r="DM9" i="2"/>
  <c r="ADJ7" i="2"/>
  <c r="ADJ10" i="2"/>
  <c r="ADJ12" i="2"/>
  <c r="ADJ13" i="2"/>
  <c r="ADJ9" i="2"/>
  <c r="ADJ8" i="2"/>
  <c r="ADJ11" i="2"/>
  <c r="ADI6" i="2"/>
  <c r="CN9" i="1" s="1"/>
  <c r="ANM6" i="2"/>
  <c r="CL12" i="1"/>
  <c r="CL17" i="1"/>
  <c r="SY3" i="2"/>
  <c r="SX13" i="2"/>
  <c r="YA13" i="2"/>
  <c r="SX12" i="2"/>
  <c r="SX11" i="2"/>
  <c r="YA8" i="2"/>
  <c r="SX9" i="2"/>
  <c r="AII6" i="2"/>
  <c r="ANN7" i="2"/>
  <c r="ANN11" i="2"/>
  <c r="ANN12" i="2"/>
  <c r="ANN8" i="2"/>
  <c r="ANN10" i="2"/>
  <c r="ANN13" i="2"/>
  <c r="ANN9" i="2"/>
  <c r="AIJ8" i="2"/>
  <c r="AIJ9" i="2"/>
  <c r="AIJ10" i="2"/>
  <c r="AIJ11" i="2"/>
  <c r="AIJ12" i="2"/>
  <c r="AIJ7" i="2"/>
  <c r="AIJ13" i="2"/>
  <c r="IR13" i="2"/>
  <c r="IR8" i="2"/>
  <c r="IR12" i="2"/>
  <c r="IR10" i="2"/>
  <c r="IR9" i="2"/>
  <c r="IR11" i="2"/>
  <c r="IR7" i="2"/>
  <c r="ASV10" i="2"/>
  <c r="ASV7" i="2"/>
  <c r="ASV12" i="2"/>
  <c r="ASV9" i="2"/>
  <c r="ASV13" i="2"/>
  <c r="ASV8" i="2"/>
  <c r="ASV11" i="2"/>
  <c r="NT3" i="2"/>
  <c r="NS11" i="2"/>
  <c r="NS9" i="2"/>
  <c r="NS10" i="2"/>
  <c r="NS8" i="2"/>
  <c r="YB8" i="2" s="1"/>
  <c r="NS13" i="2"/>
  <c r="NS12" i="2"/>
  <c r="YB12" i="2" s="1"/>
  <c r="NS7" i="2"/>
  <c r="YB7" i="2" s="1"/>
  <c r="SX10" i="2"/>
  <c r="SY10" i="2" s="1"/>
  <c r="ASU6" i="2"/>
  <c r="CN19" i="1" s="1"/>
  <c r="YE3" i="2"/>
  <c r="YG5" i="2"/>
  <c r="YF4" i="2"/>
  <c r="TA4" i="2"/>
  <c r="TB5" i="2"/>
  <c r="NW5" i="2"/>
  <c r="NV4" i="2"/>
  <c r="DM4" i="2"/>
  <c r="DN5" i="2"/>
  <c r="ASW5" i="2"/>
  <c r="ASV4" i="2"/>
  <c r="ANS4" i="2"/>
  <c r="ANT5" i="2"/>
  <c r="AIN4" i="2"/>
  <c r="AIO5" i="2"/>
  <c r="ADJ4" i="2"/>
  <c r="ADK5" i="2"/>
  <c r="IS5" i="2"/>
  <c r="IR4" i="2"/>
  <c r="CN7" i="1"/>
  <c r="CM6" i="1"/>
  <c r="CJ11" i="1" l="1"/>
  <c r="YB9" i="2"/>
  <c r="YA6" i="2"/>
  <c r="CJ8" i="1" s="1"/>
  <c r="CJ10" i="1" s="1"/>
  <c r="CJ13" i="1" s="1"/>
  <c r="CJ14" i="1" s="1"/>
  <c r="CJ15" i="1" s="1"/>
  <c r="CJ18" i="1" s="1"/>
  <c r="CJ20" i="1" s="1"/>
  <c r="SY9" i="2"/>
  <c r="SZ9" i="2" s="1"/>
  <c r="YB11" i="2"/>
  <c r="ADJ6" i="2"/>
  <c r="CO9" i="1" s="1"/>
  <c r="SZ3" i="2"/>
  <c r="SY13" i="2"/>
  <c r="SY7" i="2"/>
  <c r="SZ7" i="2" s="1"/>
  <c r="SY8" i="2"/>
  <c r="ANO10" i="2"/>
  <c r="ANO7" i="2"/>
  <c r="ANO12" i="2"/>
  <c r="ANO8" i="2"/>
  <c r="ANO11" i="2"/>
  <c r="ANO9" i="2"/>
  <c r="ANO13" i="2"/>
  <c r="AIK7" i="2"/>
  <c r="AIK10" i="2"/>
  <c r="AIK11" i="2"/>
  <c r="AIK13" i="2"/>
  <c r="AIK8" i="2"/>
  <c r="AIK12" i="2"/>
  <c r="AIK9" i="2"/>
  <c r="CM17" i="1"/>
  <c r="CM12" i="1"/>
  <c r="YB13" i="2"/>
  <c r="ANN6" i="2"/>
  <c r="SY11" i="2"/>
  <c r="SZ11" i="2" s="1"/>
  <c r="NU3" i="2"/>
  <c r="NT13" i="2"/>
  <c r="NT9" i="2"/>
  <c r="NT10" i="2"/>
  <c r="YC10" i="2" s="1"/>
  <c r="NT11" i="2"/>
  <c r="NT12" i="2"/>
  <c r="NT7" i="2"/>
  <c r="NT8" i="2"/>
  <c r="YC8" i="2" s="1"/>
  <c r="SZ10" i="2"/>
  <c r="YB10" i="2"/>
  <c r="YB6" i="2" s="1"/>
  <c r="CK8" i="1" s="1"/>
  <c r="CK10" i="1" s="1"/>
  <c r="AIJ6" i="2"/>
  <c r="IS12" i="2"/>
  <c r="IS8" i="2"/>
  <c r="IS13" i="2"/>
  <c r="IS11" i="2"/>
  <c r="IS7" i="2"/>
  <c r="IS10" i="2"/>
  <c r="IS9" i="2"/>
  <c r="ASW10" i="2"/>
  <c r="ASW7" i="2"/>
  <c r="ASW12" i="2"/>
  <c r="ASW11" i="2"/>
  <c r="ASW13" i="2"/>
  <c r="ASW8" i="2"/>
  <c r="ASW9" i="2"/>
  <c r="ADK7" i="2"/>
  <c r="ADK10" i="2"/>
  <c r="ADK11" i="2"/>
  <c r="ADK13" i="2"/>
  <c r="ADK12" i="2"/>
  <c r="ADK9" i="2"/>
  <c r="ADK8" i="2"/>
  <c r="DN13" i="2"/>
  <c r="DN11" i="2"/>
  <c r="DN12" i="2"/>
  <c r="DN10" i="2"/>
  <c r="DN8" i="2"/>
  <c r="DN7" i="2"/>
  <c r="DN9" i="2"/>
  <c r="ASV6" i="2"/>
  <c r="CO19" i="1" s="1"/>
  <c r="SY12" i="2"/>
  <c r="SZ12" i="2" s="1"/>
  <c r="YF3" i="2"/>
  <c r="YH5" i="2"/>
  <c r="YG4" i="2"/>
  <c r="NX5" i="2"/>
  <c r="NW4" i="2"/>
  <c r="TB4" i="2"/>
  <c r="TC5" i="2"/>
  <c r="DO5" i="2"/>
  <c r="DN4" i="2"/>
  <c r="ASW4" i="2"/>
  <c r="ASX5" i="2"/>
  <c r="ANT4" i="2"/>
  <c r="ANU5" i="2"/>
  <c r="AIP5" i="2"/>
  <c r="AIO4" i="2"/>
  <c r="ADK4" i="2"/>
  <c r="ADL5" i="2"/>
  <c r="IS4" i="2"/>
  <c r="IT5" i="2"/>
  <c r="CO7" i="1"/>
  <c r="CN6" i="1"/>
  <c r="YC9" i="2" l="1"/>
  <c r="ANO6" i="2"/>
  <c r="YC13" i="2"/>
  <c r="AIK6" i="2"/>
  <c r="TA3" i="2"/>
  <c r="TA12" i="2" s="1"/>
  <c r="SZ13" i="2"/>
  <c r="YC11" i="2"/>
  <c r="ADL7" i="2"/>
  <c r="ADL10" i="2"/>
  <c r="ADL12" i="2"/>
  <c r="ADL11" i="2"/>
  <c r="ADL13" i="2"/>
  <c r="ADL9" i="2"/>
  <c r="ADL8" i="2"/>
  <c r="NV3" i="2"/>
  <c r="NU10" i="2"/>
  <c r="YD10" i="2" s="1"/>
  <c r="NU13" i="2"/>
  <c r="NU9" i="2"/>
  <c r="YD9" i="2" s="1"/>
  <c r="NU12" i="2"/>
  <c r="YD12" i="2" s="1"/>
  <c r="NU8" i="2"/>
  <c r="NU7" i="2"/>
  <c r="YD7" i="2" s="1"/>
  <c r="NU11" i="2"/>
  <c r="YD11" i="2" s="1"/>
  <c r="DO12" i="2"/>
  <c r="DO8" i="2"/>
  <c r="DO11" i="2"/>
  <c r="DO13" i="2"/>
  <c r="DO10" i="2"/>
  <c r="DO7" i="2"/>
  <c r="DO9" i="2"/>
  <c r="ASW6" i="2"/>
  <c r="CP19" i="1" s="1"/>
  <c r="CN17" i="1"/>
  <c r="CN12" i="1"/>
  <c r="CK11" i="1"/>
  <c r="CK13" i="1" s="1"/>
  <c r="CK14" i="1" s="1"/>
  <c r="CK15" i="1" s="1"/>
  <c r="CK18" i="1" s="1"/>
  <c r="CK20" i="1" s="1"/>
  <c r="YC7" i="2"/>
  <c r="ANP9" i="2"/>
  <c r="ANP13" i="2"/>
  <c r="ANP7" i="2"/>
  <c r="ANP8" i="2"/>
  <c r="ANP11" i="2"/>
  <c r="ANP10" i="2"/>
  <c r="ANP12" i="2"/>
  <c r="AIL7" i="2"/>
  <c r="AIL10" i="2"/>
  <c r="AIL12" i="2"/>
  <c r="AIL13" i="2"/>
  <c r="AIL11" i="2"/>
  <c r="AIL9" i="2"/>
  <c r="AIL8" i="2"/>
  <c r="IT8" i="2"/>
  <c r="IT13" i="2"/>
  <c r="IT12" i="2"/>
  <c r="IT10" i="2"/>
  <c r="IT7" i="2"/>
  <c r="IT11" i="2"/>
  <c r="IT9" i="2"/>
  <c r="ASX7" i="2"/>
  <c r="ASX10" i="2"/>
  <c r="ASX12" i="2"/>
  <c r="ASX11" i="2"/>
  <c r="ASX9" i="2"/>
  <c r="ASX13" i="2"/>
  <c r="ASX8" i="2"/>
  <c r="ADK6" i="2"/>
  <c r="CP9" i="1" s="1"/>
  <c r="YC12" i="2"/>
  <c r="SZ8" i="2"/>
  <c r="YG3" i="2"/>
  <c r="YH4" i="2"/>
  <c r="YI5" i="2"/>
  <c r="TC4" i="2"/>
  <c r="TD5" i="2"/>
  <c r="NY5" i="2"/>
  <c r="NX4" i="2"/>
  <c r="DP5" i="2"/>
  <c r="DO4" i="2"/>
  <c r="ASX4" i="2"/>
  <c r="ASY5" i="2"/>
  <c r="ANU4" i="2"/>
  <c r="ANV5" i="2"/>
  <c r="AIP4" i="2"/>
  <c r="AIQ5" i="2"/>
  <c r="ADL4" i="2"/>
  <c r="ADM5" i="2"/>
  <c r="IT4" i="2"/>
  <c r="IU5" i="2"/>
  <c r="CP7" i="1"/>
  <c r="CO6" i="1"/>
  <c r="YD13" i="2" l="1"/>
  <c r="YD6" i="2" s="1"/>
  <c r="CM8" i="1" s="1"/>
  <c r="CM10" i="1" s="1"/>
  <c r="CL11" i="1"/>
  <c r="YD8" i="2"/>
  <c r="TA8" i="2"/>
  <c r="TA11" i="2"/>
  <c r="YC6" i="2"/>
  <c r="CL8" i="1" s="1"/>
  <c r="CL10" i="1" s="1"/>
  <c r="CL13" i="1" s="1"/>
  <c r="CL14" i="1" s="1"/>
  <c r="CL15" i="1" s="1"/>
  <c r="CL18" i="1" s="1"/>
  <c r="CL20" i="1" s="1"/>
  <c r="CO17" i="1"/>
  <c r="CO12" i="1"/>
  <c r="IU13" i="2"/>
  <c r="IU8" i="2"/>
  <c r="IU11" i="2"/>
  <c r="IU12" i="2"/>
  <c r="IU10" i="2"/>
  <c r="IU7" i="2"/>
  <c r="IU9" i="2"/>
  <c r="ASY7" i="2"/>
  <c r="ASY10" i="2"/>
  <c r="ASY12" i="2"/>
  <c r="ASY8" i="2"/>
  <c r="ASY11" i="2"/>
  <c r="ASY9" i="2"/>
  <c r="ASY13" i="2"/>
  <c r="ASX6" i="2"/>
  <c r="CQ19" i="1" s="1"/>
  <c r="ANQ10" i="2"/>
  <c r="ANQ9" i="2"/>
  <c r="ANQ8" i="2"/>
  <c r="ANQ13" i="2"/>
  <c r="ANQ7" i="2"/>
  <c r="ANQ11" i="2"/>
  <c r="ANQ12" i="2"/>
  <c r="AIM9" i="2"/>
  <c r="AIM8" i="2"/>
  <c r="AIM10" i="2"/>
  <c r="AIM12" i="2"/>
  <c r="AIM11" i="2"/>
  <c r="AIM7" i="2"/>
  <c r="AIM13" i="2"/>
  <c r="AIL6" i="2"/>
  <c r="ADL6" i="2"/>
  <c r="CQ9" i="1" s="1"/>
  <c r="ADM7" i="2"/>
  <c r="ADM10" i="2"/>
  <c r="ADM12" i="2"/>
  <c r="ADM11" i="2"/>
  <c r="ADM13" i="2"/>
  <c r="ADM9" i="2"/>
  <c r="ADM8" i="2"/>
  <c r="DP12" i="2"/>
  <c r="DP10" i="2"/>
  <c r="DP13" i="2"/>
  <c r="DP11" i="2"/>
  <c r="DP8" i="2"/>
  <c r="DP7" i="2"/>
  <c r="DP9" i="2"/>
  <c r="ANP6" i="2"/>
  <c r="NW3" i="2"/>
  <c r="NV9" i="2"/>
  <c r="NV8" i="2"/>
  <c r="NV10" i="2"/>
  <c r="NV12" i="2"/>
  <c r="YE12" i="2" s="1"/>
  <c r="NV7" i="2"/>
  <c r="NV13" i="2"/>
  <c r="NV11" i="2"/>
  <c r="TB3" i="2"/>
  <c r="TB8" i="2" s="1"/>
  <c r="TA13" i="2"/>
  <c r="TA10" i="2"/>
  <c r="TB10" i="2" s="1"/>
  <c r="TA9" i="2"/>
  <c r="TB9" i="2" s="1"/>
  <c r="TA7" i="2"/>
  <c r="TB7" i="2" s="1"/>
  <c r="YH3" i="2"/>
  <c r="YI4" i="2"/>
  <c r="YJ5" i="2"/>
  <c r="NZ5" i="2"/>
  <c r="NY4" i="2"/>
  <c r="TE5" i="2"/>
  <c r="TD4" i="2"/>
  <c r="DP4" i="2"/>
  <c r="DQ5" i="2"/>
  <c r="ASY4" i="2"/>
  <c r="ASZ5" i="2"/>
  <c r="ANV4" i="2"/>
  <c r="ANW5" i="2"/>
  <c r="AIQ4" i="2"/>
  <c r="AIR5" i="2"/>
  <c r="ADM4" i="2"/>
  <c r="ADN5" i="2"/>
  <c r="IU4" i="2"/>
  <c r="IV5" i="2"/>
  <c r="CP6" i="1"/>
  <c r="CQ7" i="1"/>
  <c r="YE11" i="2" l="1"/>
  <c r="YE13" i="2"/>
  <c r="YE8" i="2"/>
  <c r="YE7" i="2"/>
  <c r="AIM6" i="2"/>
  <c r="ANQ6" i="2"/>
  <c r="DQ12" i="2"/>
  <c r="DQ10" i="2"/>
  <c r="DQ11" i="2"/>
  <c r="DQ13" i="2"/>
  <c r="DQ9" i="2"/>
  <c r="DQ8" i="2"/>
  <c r="DQ7" i="2"/>
  <c r="YE10" i="2"/>
  <c r="ADM6" i="2"/>
  <c r="CR9" i="1" s="1"/>
  <c r="TB12" i="2"/>
  <c r="ASY6" i="2"/>
  <c r="CR19" i="1" s="1"/>
  <c r="ADN10" i="2"/>
  <c r="ADN7" i="2"/>
  <c r="ADN12" i="2"/>
  <c r="ADN8" i="2"/>
  <c r="ADN13" i="2"/>
  <c r="ADN11" i="2"/>
  <c r="ADN9" i="2"/>
  <c r="YE9" i="2"/>
  <c r="IV13" i="2"/>
  <c r="IV8" i="2"/>
  <c r="IV12" i="2"/>
  <c r="IV11" i="2"/>
  <c r="IV7" i="2"/>
  <c r="IV9" i="2"/>
  <c r="IV10" i="2"/>
  <c r="CP17" i="1"/>
  <c r="CP12" i="1"/>
  <c r="TC3" i="2"/>
  <c r="TB13" i="2"/>
  <c r="NX3" i="2"/>
  <c r="NW7" i="2"/>
  <c r="YF7" i="2" s="1"/>
  <c r="NW12" i="2"/>
  <c r="NW9" i="2"/>
  <c r="YF9" i="2" s="1"/>
  <c r="NW13" i="2"/>
  <c r="NW10" i="2"/>
  <c r="YF10" i="2" s="1"/>
  <c r="NW8" i="2"/>
  <c r="YF8" i="2" s="1"/>
  <c r="NW11" i="2"/>
  <c r="CM11" i="1"/>
  <c r="CM13" i="1" s="1"/>
  <c r="CM14" i="1" s="1"/>
  <c r="CM15" i="1" s="1"/>
  <c r="CM18" i="1" s="1"/>
  <c r="CM20" i="1" s="1"/>
  <c r="ANR7" i="2"/>
  <c r="ANR13" i="2"/>
  <c r="ANR10" i="2"/>
  <c r="ANR8" i="2"/>
  <c r="ANR11" i="2"/>
  <c r="ANR9" i="2"/>
  <c r="ANR12" i="2"/>
  <c r="AIN7" i="2"/>
  <c r="AIN12" i="2"/>
  <c r="AIN9" i="2"/>
  <c r="AIN13" i="2"/>
  <c r="AIN8" i="2"/>
  <c r="AIN11" i="2"/>
  <c r="AIN10" i="2"/>
  <c r="ASZ10" i="2"/>
  <c r="ASZ7" i="2"/>
  <c r="ASZ11" i="2"/>
  <c r="ASZ8" i="2"/>
  <c r="ASZ9" i="2"/>
  <c r="ASZ13" i="2"/>
  <c r="ASZ12" i="2"/>
  <c r="TB11" i="2"/>
  <c r="TC11" i="2" s="1"/>
  <c r="YI3" i="2"/>
  <c r="YJ4" i="2"/>
  <c r="YK5" i="2"/>
  <c r="TE4" i="2"/>
  <c r="TF5" i="2"/>
  <c r="OA5" i="2"/>
  <c r="NZ4" i="2"/>
  <c r="DQ4" i="2"/>
  <c r="DR5" i="2"/>
  <c r="ASZ4" i="2"/>
  <c r="ATA5" i="2"/>
  <c r="ANW4" i="2"/>
  <c r="ANX5" i="2"/>
  <c r="AIS5" i="2"/>
  <c r="AIR4" i="2"/>
  <c r="ADO5" i="2"/>
  <c r="ADN4" i="2"/>
  <c r="IV4" i="2"/>
  <c r="IW5" i="2"/>
  <c r="CQ6" i="1"/>
  <c r="CR7" i="1"/>
  <c r="CN11" i="1" l="1"/>
  <c r="YF11" i="2"/>
  <c r="YE6" i="2"/>
  <c r="CN8" i="1" s="1"/>
  <c r="CN10" i="1" s="1"/>
  <c r="CN13" i="1" s="1"/>
  <c r="CN14" i="1" s="1"/>
  <c r="CN15" i="1" s="1"/>
  <c r="CN18" i="1" s="1"/>
  <c r="CN20" i="1" s="1"/>
  <c r="DR12" i="2"/>
  <c r="DR10" i="2"/>
  <c r="DR13" i="2"/>
  <c r="DR11" i="2"/>
  <c r="DR7" i="2"/>
  <c r="DR9" i="2"/>
  <c r="DR8" i="2"/>
  <c r="ANR6" i="2"/>
  <c r="TD3" i="2"/>
  <c r="TD11" i="2" s="1"/>
  <c r="TC13" i="2"/>
  <c r="TC9" i="2"/>
  <c r="ASZ6" i="2"/>
  <c r="CS19" i="1" s="1"/>
  <c r="AIN6" i="2"/>
  <c r="TC10" i="2"/>
  <c r="ADO10" i="2"/>
  <c r="ADO7" i="2"/>
  <c r="ADO13" i="2"/>
  <c r="ADO9" i="2"/>
  <c r="ADO11" i="2"/>
  <c r="ADO12" i="2"/>
  <c r="ADO8" i="2"/>
  <c r="YF13" i="2"/>
  <c r="ANS12" i="2"/>
  <c r="ANS9" i="2"/>
  <c r="ANS13" i="2"/>
  <c r="ANS11" i="2"/>
  <c r="ANS10" i="2"/>
  <c r="ANS7" i="2"/>
  <c r="ANS8" i="2"/>
  <c r="AIO7" i="2"/>
  <c r="AIO13" i="2"/>
  <c r="AIO10" i="2"/>
  <c r="AIO12" i="2"/>
  <c r="AIO11" i="2"/>
  <c r="AIO9" i="2"/>
  <c r="AIO8" i="2"/>
  <c r="TC12" i="2"/>
  <c r="TD12" i="2" s="1"/>
  <c r="NY3" i="2"/>
  <c r="NX10" i="2"/>
  <c r="NX7" i="2"/>
  <c r="NX13" i="2"/>
  <c r="YG13" i="2" s="1"/>
  <c r="NX12" i="2"/>
  <c r="NX11" i="2"/>
  <c r="YG11" i="2" s="1"/>
  <c r="NX9" i="2"/>
  <c r="YG9" i="2" s="1"/>
  <c r="NX8" i="2"/>
  <c r="ADN6" i="2"/>
  <c r="CS9" i="1" s="1"/>
  <c r="IW12" i="2"/>
  <c r="IW13" i="2"/>
  <c r="IW8" i="2"/>
  <c r="IW11" i="2"/>
  <c r="IW9" i="2"/>
  <c r="IW10" i="2"/>
  <c r="IW7" i="2"/>
  <c r="ATA10" i="2"/>
  <c r="ATA7" i="2"/>
  <c r="ATA12" i="2"/>
  <c r="ATA11" i="2"/>
  <c r="ATA13" i="2"/>
  <c r="ATA9" i="2"/>
  <c r="ATA8" i="2"/>
  <c r="YF12" i="2"/>
  <c r="YF6" i="2" s="1"/>
  <c r="CO8" i="1" s="1"/>
  <c r="CO10" i="1" s="1"/>
  <c r="CQ12" i="1"/>
  <c r="CQ17" i="1"/>
  <c r="TC7" i="2"/>
  <c r="TD7" i="2" s="1"/>
  <c r="TC8" i="2"/>
  <c r="YJ3" i="2"/>
  <c r="YK4" i="2"/>
  <c r="YL5" i="2"/>
  <c r="OB5" i="2"/>
  <c r="OA4" i="2"/>
  <c r="TF4" i="2"/>
  <c r="TG5" i="2"/>
  <c r="DR4" i="2"/>
  <c r="DS5" i="2"/>
  <c r="ATB5" i="2"/>
  <c r="ATA4" i="2"/>
  <c r="ANY5" i="2"/>
  <c r="ANX4" i="2"/>
  <c r="AIT5" i="2"/>
  <c r="AIS4" i="2"/>
  <c r="ADP5" i="2"/>
  <c r="ADO4" i="2"/>
  <c r="IX5" i="2"/>
  <c r="IW4" i="2"/>
  <c r="CR6" i="1"/>
  <c r="CS7" i="1"/>
  <c r="YG10" i="2" l="1"/>
  <c r="TD9" i="2"/>
  <c r="TD8" i="2"/>
  <c r="YG12" i="2"/>
  <c r="TD10" i="2"/>
  <c r="YG8" i="2"/>
  <c r="ADO6" i="2"/>
  <c r="CT9" i="1" s="1"/>
  <c r="AIO6" i="2"/>
  <c r="CO11" i="1"/>
  <c r="CO13" i="1" s="1"/>
  <c r="CO14" i="1" s="1"/>
  <c r="CO15" i="1" s="1"/>
  <c r="CO18" i="1" s="1"/>
  <c r="CO20" i="1" s="1"/>
  <c r="DS13" i="2"/>
  <c r="DS7" i="2"/>
  <c r="DS11" i="2"/>
  <c r="DS10" i="2"/>
  <c r="DS9" i="2"/>
  <c r="DS12" i="2"/>
  <c r="DS8" i="2"/>
  <c r="ADP7" i="2"/>
  <c r="ADP10" i="2"/>
  <c r="ADP11" i="2"/>
  <c r="ADP13" i="2"/>
  <c r="ADP12" i="2"/>
  <c r="ADP8" i="2"/>
  <c r="ADP9" i="2"/>
  <c r="NZ3" i="2"/>
  <c r="NY12" i="2"/>
  <c r="YH12" i="2" s="1"/>
  <c r="NY7" i="2"/>
  <c r="YH7" i="2" s="1"/>
  <c r="NY9" i="2"/>
  <c r="NY11" i="2"/>
  <c r="YH11" i="2" s="1"/>
  <c r="NY10" i="2"/>
  <c r="NY8" i="2"/>
  <c r="YH8" i="2" s="1"/>
  <c r="NY13" i="2"/>
  <c r="ANS6" i="2"/>
  <c r="ATA6" i="2"/>
  <c r="CT19" i="1" s="1"/>
  <c r="CR12" i="1"/>
  <c r="CR17" i="1"/>
  <c r="YG7" i="2"/>
  <c r="IX13" i="2"/>
  <c r="IX8" i="2"/>
  <c r="IX12" i="2"/>
  <c r="IX10" i="2"/>
  <c r="IX11" i="2"/>
  <c r="IX9" i="2"/>
  <c r="IX7" i="2"/>
  <c r="ATB10" i="2"/>
  <c r="ATB7" i="2"/>
  <c r="ATB12" i="2"/>
  <c r="ATB13" i="2"/>
  <c r="ATB9" i="2"/>
  <c r="ATB11" i="2"/>
  <c r="ATB8" i="2"/>
  <c r="ANT12" i="2"/>
  <c r="ANT13" i="2"/>
  <c r="ANT8" i="2"/>
  <c r="ANT11" i="2"/>
  <c r="ANT7" i="2"/>
  <c r="ANT10" i="2"/>
  <c r="ANT9" i="2"/>
  <c r="AIP9" i="2"/>
  <c r="AIP11" i="2"/>
  <c r="AIP10" i="2"/>
  <c r="AIP8" i="2"/>
  <c r="AIP12" i="2"/>
  <c r="AIP13" i="2"/>
  <c r="AIP7" i="2"/>
  <c r="TE3" i="2"/>
  <c r="TD13" i="2"/>
  <c r="YK3" i="2"/>
  <c r="YM5" i="2"/>
  <c r="YL4" i="2"/>
  <c r="TH5" i="2"/>
  <c r="TG4" i="2"/>
  <c r="OC5" i="2"/>
  <c r="OB4" i="2"/>
  <c r="DS4" i="2"/>
  <c r="DT5" i="2"/>
  <c r="ATC5" i="2"/>
  <c r="ATB4" i="2"/>
  <c r="ANZ5" i="2"/>
  <c r="ANY4" i="2"/>
  <c r="AIU5" i="2"/>
  <c r="AIT4" i="2"/>
  <c r="ADQ5" i="2"/>
  <c r="ADP4" i="2"/>
  <c r="IY5" i="2"/>
  <c r="IX4" i="2"/>
  <c r="CS6" i="1"/>
  <c r="CT7" i="1"/>
  <c r="TE9" i="2" l="1"/>
  <c r="YG6" i="2"/>
  <c r="CP8" i="1" s="1"/>
  <c r="CP10" i="1" s="1"/>
  <c r="YH9" i="2"/>
  <c r="TE12" i="2"/>
  <c r="TF12" i="2" s="1"/>
  <c r="TE11" i="2"/>
  <c r="YH10" i="2"/>
  <c r="ADP6" i="2"/>
  <c r="CU9" i="1" s="1"/>
  <c r="AIP6" i="2"/>
  <c r="CS12" i="1"/>
  <c r="CS17" i="1"/>
  <c r="TF3" i="2"/>
  <c r="TF9" i="2" s="1"/>
  <c r="TE13" i="2"/>
  <c r="ANT6" i="2"/>
  <c r="TE7" i="2"/>
  <c r="TE10" i="2"/>
  <c r="ANU11" i="2"/>
  <c r="ANU12" i="2"/>
  <c r="ANU8" i="2"/>
  <c r="ANU7" i="2"/>
  <c r="ANU13" i="2"/>
  <c r="ANU10" i="2"/>
  <c r="ANU9" i="2"/>
  <c r="AIQ7" i="2"/>
  <c r="AIQ13" i="2"/>
  <c r="AIQ10" i="2"/>
  <c r="AIQ11" i="2"/>
  <c r="AIQ9" i="2"/>
  <c r="AIQ8" i="2"/>
  <c r="AIQ12" i="2"/>
  <c r="ATB6" i="2"/>
  <c r="CU19" i="1" s="1"/>
  <c r="OA3" i="2"/>
  <c r="NZ7" i="2"/>
  <c r="NZ10" i="2"/>
  <c r="NZ11" i="2"/>
  <c r="YI11" i="2" s="1"/>
  <c r="NZ12" i="2"/>
  <c r="YI12" i="2" s="1"/>
  <c r="NZ13" i="2"/>
  <c r="NZ9" i="2"/>
  <c r="YI9" i="2" s="1"/>
  <c r="NZ8" i="2"/>
  <c r="DT9" i="2"/>
  <c r="DT13" i="2"/>
  <c r="DT11" i="2"/>
  <c r="DT12" i="2"/>
  <c r="DT10" i="2"/>
  <c r="DT7" i="2"/>
  <c r="DT8" i="2"/>
  <c r="TE8" i="2"/>
  <c r="YH13" i="2"/>
  <c r="YH6" i="2" s="1"/>
  <c r="CQ8" i="1" s="1"/>
  <c r="CQ10" i="1" s="1"/>
  <c r="CP11" i="1"/>
  <c r="CP13" i="1" s="1"/>
  <c r="CP14" i="1" s="1"/>
  <c r="CP15" i="1" s="1"/>
  <c r="CP18" i="1" s="1"/>
  <c r="CP20" i="1" s="1"/>
  <c r="IY13" i="2"/>
  <c r="IY8" i="2"/>
  <c r="IY11" i="2"/>
  <c r="IY7" i="2"/>
  <c r="IY12" i="2"/>
  <c r="IY9" i="2"/>
  <c r="IY10" i="2"/>
  <c r="ATC10" i="2"/>
  <c r="ATC7" i="2"/>
  <c r="ATC11" i="2"/>
  <c r="ATC12" i="2"/>
  <c r="ATC9" i="2"/>
  <c r="ATC13" i="2"/>
  <c r="ATC8" i="2"/>
  <c r="ADQ7" i="2"/>
  <c r="ADQ10" i="2"/>
  <c r="ADQ12" i="2"/>
  <c r="ADQ13" i="2"/>
  <c r="ADQ9" i="2"/>
  <c r="ADQ11" i="2"/>
  <c r="ADQ8" i="2"/>
  <c r="YL3" i="2"/>
  <c r="YN5" i="2"/>
  <c r="YM4" i="2"/>
  <c r="OD5" i="2"/>
  <c r="OC4" i="2"/>
  <c r="TH4" i="2"/>
  <c r="TI5" i="2"/>
  <c r="DU5" i="2"/>
  <c r="DT4" i="2"/>
  <c r="ATD5" i="2"/>
  <c r="ATC4" i="2"/>
  <c r="AOA5" i="2"/>
  <c r="ANZ4" i="2"/>
  <c r="AIV5" i="2"/>
  <c r="AIU4" i="2"/>
  <c r="ADR5" i="2"/>
  <c r="ADQ4" i="2"/>
  <c r="IZ5" i="2"/>
  <c r="IY4" i="2"/>
  <c r="CT6" i="1"/>
  <c r="CU7" i="1"/>
  <c r="YI13" i="2" l="1"/>
  <c r="YI10" i="2"/>
  <c r="TF7" i="2"/>
  <c r="TF11" i="2"/>
  <c r="TF8" i="2"/>
  <c r="TF10" i="2"/>
  <c r="CQ11" i="1"/>
  <c r="CQ13" i="1" s="1"/>
  <c r="CQ14" i="1" s="1"/>
  <c r="CQ15" i="1" s="1"/>
  <c r="CQ18" i="1" s="1"/>
  <c r="CQ20" i="1" s="1"/>
  <c r="AIQ6" i="2"/>
  <c r="YI7" i="2"/>
  <c r="CT12" i="1"/>
  <c r="CT17" i="1"/>
  <c r="ATC6" i="2"/>
  <c r="CV19" i="1" s="1"/>
  <c r="ATD7" i="2"/>
  <c r="ATD10" i="2"/>
  <c r="ATD11" i="2"/>
  <c r="ATD9" i="2"/>
  <c r="ATD13" i="2"/>
  <c r="ATD12" i="2"/>
  <c r="ATD8" i="2"/>
  <c r="ADQ6" i="2"/>
  <c r="CV9" i="1" s="1"/>
  <c r="OB3" i="2"/>
  <c r="OA11" i="2"/>
  <c r="OA13" i="2"/>
  <c r="OA12" i="2"/>
  <c r="YJ12" i="2" s="1"/>
  <c r="OA7" i="2"/>
  <c r="OA10" i="2"/>
  <c r="OA8" i="2"/>
  <c r="OA9" i="2"/>
  <c r="YJ9" i="2" s="1"/>
  <c r="TG3" i="2"/>
  <c r="TF13" i="2"/>
  <c r="IZ12" i="2"/>
  <c r="IZ8" i="2"/>
  <c r="IZ13" i="2"/>
  <c r="IZ7" i="2"/>
  <c r="IZ10" i="2"/>
  <c r="IZ11" i="2"/>
  <c r="IZ9" i="2"/>
  <c r="ADR7" i="2"/>
  <c r="ADR10" i="2"/>
  <c r="ADR13" i="2"/>
  <c r="ADR11" i="2"/>
  <c r="ADR12" i="2"/>
  <c r="ADR9" i="2"/>
  <c r="ADR8" i="2"/>
  <c r="DU13" i="2"/>
  <c r="DU11" i="2"/>
  <c r="DU10" i="2"/>
  <c r="DU12" i="2"/>
  <c r="DU7" i="2"/>
  <c r="DU9" i="2"/>
  <c r="DU8" i="2"/>
  <c r="YI8" i="2"/>
  <c r="ANU6" i="2"/>
  <c r="ANV8" i="2"/>
  <c r="ANV7" i="2"/>
  <c r="ANV10" i="2"/>
  <c r="ANV11" i="2"/>
  <c r="ANV12" i="2"/>
  <c r="ANV9" i="2"/>
  <c r="ANV13" i="2"/>
  <c r="AIR7" i="2"/>
  <c r="AIR10" i="2"/>
  <c r="AIR8" i="2"/>
  <c r="AIR11" i="2"/>
  <c r="AIR12" i="2"/>
  <c r="AIR13" i="2"/>
  <c r="AIR9" i="2"/>
  <c r="YM3" i="2"/>
  <c r="YO5" i="2"/>
  <c r="YN4" i="2"/>
  <c r="TI4" i="2"/>
  <c r="TJ5" i="2"/>
  <c r="OE5" i="2"/>
  <c r="OD4" i="2"/>
  <c r="DU4" i="2"/>
  <c r="DV5" i="2"/>
  <c r="ATE5" i="2"/>
  <c r="ATD4" i="2"/>
  <c r="AOB5" i="2"/>
  <c r="AOA4" i="2"/>
  <c r="AIV4" i="2"/>
  <c r="AIW5" i="2"/>
  <c r="ADR4" i="2"/>
  <c r="ADS5" i="2"/>
  <c r="JA5" i="2"/>
  <c r="IZ4" i="2"/>
  <c r="CV7" i="1"/>
  <c r="CU6" i="1"/>
  <c r="YJ11" i="2" l="1"/>
  <c r="TG8" i="2"/>
  <c r="YJ8" i="2"/>
  <c r="YJ7" i="2"/>
  <c r="TG9" i="2"/>
  <c r="YJ10" i="2"/>
  <c r="ATD6" i="2"/>
  <c r="CW19" i="1" s="1"/>
  <c r="YI6" i="2"/>
  <c r="CR8" i="1" s="1"/>
  <c r="CR10" i="1" s="1"/>
  <c r="YJ13" i="2"/>
  <c r="ANW13" i="2"/>
  <c r="ANW7" i="2"/>
  <c r="ANW8" i="2"/>
  <c r="ANW12" i="2"/>
  <c r="ANW9" i="2"/>
  <c r="ANW11" i="2"/>
  <c r="ANW10" i="2"/>
  <c r="AIS9" i="2"/>
  <c r="AIS11" i="2"/>
  <c r="AIS13" i="2"/>
  <c r="AIS12" i="2"/>
  <c r="AIS8" i="2"/>
  <c r="AIS10" i="2"/>
  <c r="AIS7" i="2"/>
  <c r="TH3" i="2"/>
  <c r="TH8" i="2" s="1"/>
  <c r="TG13" i="2"/>
  <c r="TG11" i="2"/>
  <c r="CU17" i="1"/>
  <c r="CU12" i="1"/>
  <c r="JA12" i="2"/>
  <c r="JA8" i="2"/>
  <c r="JA13" i="2"/>
  <c r="JA7" i="2"/>
  <c r="JA10" i="2"/>
  <c r="JA9" i="2"/>
  <c r="JA11" i="2"/>
  <c r="ATE7" i="2"/>
  <c r="ATE6" i="2" s="1"/>
  <c r="CX19" i="1" s="1"/>
  <c r="ATE10" i="2"/>
  <c r="ATE12" i="2"/>
  <c r="ATE11" i="2"/>
  <c r="ATE13" i="2"/>
  <c r="ATE8" i="2"/>
  <c r="ATE9" i="2"/>
  <c r="AIR6" i="2"/>
  <c r="TG12" i="2"/>
  <c r="TH12" i="2" s="1"/>
  <c r="OC3" i="2"/>
  <c r="OB11" i="2"/>
  <c r="YK11" i="2" s="1"/>
  <c r="OB8" i="2"/>
  <c r="YK8" i="2" s="1"/>
  <c r="OB10" i="2"/>
  <c r="OB7" i="2"/>
  <c r="OB9" i="2"/>
  <c r="OB13" i="2"/>
  <c r="OB12" i="2"/>
  <c r="ADS10" i="2"/>
  <c r="ADS7" i="2"/>
  <c r="ADS13" i="2"/>
  <c r="ADS11" i="2"/>
  <c r="ADS12" i="2"/>
  <c r="ADS9" i="2"/>
  <c r="ADS8" i="2"/>
  <c r="DV13" i="2"/>
  <c r="DV11" i="2"/>
  <c r="DV8" i="2"/>
  <c r="DV12" i="2"/>
  <c r="DV10" i="2"/>
  <c r="DV9" i="2"/>
  <c r="DV7" i="2"/>
  <c r="TG10" i="2"/>
  <c r="ANV6" i="2"/>
  <c r="TG7" i="2"/>
  <c r="ADR6" i="2"/>
  <c r="CW9" i="1" s="1"/>
  <c r="CR11" i="1"/>
  <c r="YN3" i="2"/>
  <c r="YP5" i="2"/>
  <c r="YO4" i="2"/>
  <c r="TJ4" i="2"/>
  <c r="TK5" i="2"/>
  <c r="OF5" i="2"/>
  <c r="OE4" i="2"/>
  <c r="DW5" i="2"/>
  <c r="DV4" i="2"/>
  <c r="ATE4" i="2"/>
  <c r="ATF5" i="2"/>
  <c r="AOB4" i="2"/>
  <c r="AOC5" i="2"/>
  <c r="AIX5" i="2"/>
  <c r="AIW4" i="2"/>
  <c r="ADS4" i="2"/>
  <c r="ADT5" i="2"/>
  <c r="JA4" i="2"/>
  <c r="JB5" i="2"/>
  <c r="CW7" i="1"/>
  <c r="CV6" i="1"/>
  <c r="CR13" i="1" l="1"/>
  <c r="CR14" i="1" s="1"/>
  <c r="CR15" i="1" s="1"/>
  <c r="CR18" i="1" s="1"/>
  <c r="CR20" i="1" s="1"/>
  <c r="YK12" i="2"/>
  <c r="YK9" i="2"/>
  <c r="YJ6" i="2"/>
  <c r="CS8" i="1" s="1"/>
  <c r="CS10" i="1" s="1"/>
  <c r="TH10" i="2"/>
  <c r="TH7" i="2"/>
  <c r="YK13" i="2"/>
  <c r="TI3" i="2"/>
  <c r="TH13" i="2"/>
  <c r="ADS6" i="2"/>
  <c r="CX9" i="1" s="1"/>
  <c r="CV17" i="1"/>
  <c r="CV12" i="1"/>
  <c r="YK7" i="2"/>
  <c r="AIS6" i="2"/>
  <c r="YK10" i="2"/>
  <c r="TI8" i="2"/>
  <c r="CS11" i="1"/>
  <c r="ANX7" i="2"/>
  <c r="ANX9" i="2"/>
  <c r="ANX11" i="2"/>
  <c r="ANX10" i="2"/>
  <c r="ANX13" i="2"/>
  <c r="ANX12" i="2"/>
  <c r="ANX8" i="2"/>
  <c r="AIT7" i="2"/>
  <c r="AIT10" i="2"/>
  <c r="AIT13" i="2"/>
  <c r="AIT9" i="2"/>
  <c r="AIT11" i="2"/>
  <c r="AIT12" i="2"/>
  <c r="AIT8" i="2"/>
  <c r="DW8" i="2"/>
  <c r="DW12" i="2"/>
  <c r="DW10" i="2"/>
  <c r="DW13" i="2"/>
  <c r="DW11" i="2"/>
  <c r="DW9" i="2"/>
  <c r="DW7" i="2"/>
  <c r="JB12" i="2"/>
  <c r="JB8" i="2"/>
  <c r="JB13" i="2"/>
  <c r="JB11" i="2"/>
  <c r="JB10" i="2"/>
  <c r="JB7" i="2"/>
  <c r="JB9" i="2"/>
  <c r="ATF7" i="2"/>
  <c r="ATF10" i="2"/>
  <c r="ATF11" i="2"/>
  <c r="ATF13" i="2"/>
  <c r="ATF8" i="2"/>
  <c r="ATF12" i="2"/>
  <c r="ATF9" i="2"/>
  <c r="ADT7" i="2"/>
  <c r="ADT10" i="2"/>
  <c r="ADT11" i="2"/>
  <c r="ADT12" i="2"/>
  <c r="ADT8" i="2"/>
  <c r="ADT13" i="2"/>
  <c r="ADT9" i="2"/>
  <c r="TH9" i="2"/>
  <c r="TI9" i="2" s="1"/>
  <c r="OD3" i="2"/>
  <c r="OC12" i="2"/>
  <c r="YL12" i="2" s="1"/>
  <c r="OC8" i="2"/>
  <c r="YL8" i="2" s="1"/>
  <c r="OC7" i="2"/>
  <c r="OC10" i="2"/>
  <c r="YL10" i="2" s="1"/>
  <c r="OC13" i="2"/>
  <c r="OC9" i="2"/>
  <c r="OC11" i="2"/>
  <c r="TH11" i="2"/>
  <c r="TI11" i="2" s="1"/>
  <c r="ANW6" i="2"/>
  <c r="YO3" i="2"/>
  <c r="YP4" i="2"/>
  <c r="YQ5" i="2"/>
  <c r="OG5" i="2"/>
  <c r="OF4" i="2"/>
  <c r="TK4" i="2"/>
  <c r="TL5" i="2"/>
  <c r="DW4" i="2"/>
  <c r="DX5" i="2"/>
  <c r="ATF4" i="2"/>
  <c r="ATG5" i="2"/>
  <c r="AOC4" i="2"/>
  <c r="AOD5" i="2"/>
  <c r="AIX4" i="2"/>
  <c r="AIY5" i="2"/>
  <c r="ADT4" i="2"/>
  <c r="ADU5" i="2"/>
  <c r="JB4" i="2"/>
  <c r="JC5" i="2"/>
  <c r="CX7" i="1"/>
  <c r="CW6" i="1"/>
  <c r="YL13" i="2" l="1"/>
  <c r="CS13" i="1"/>
  <c r="CS14" i="1" s="1"/>
  <c r="CS15" i="1" s="1"/>
  <c r="CS18" i="1" s="1"/>
  <c r="CS20" i="1" s="1"/>
  <c r="YL7" i="2"/>
  <c r="TI7" i="2"/>
  <c r="TJ7" i="2" s="1"/>
  <c r="YK6" i="2"/>
  <c r="CT8" i="1" s="1"/>
  <c r="CT10" i="1" s="1"/>
  <c r="TI10" i="2"/>
  <c r="TI12" i="2"/>
  <c r="AIT6" i="2"/>
  <c r="CW17" i="1"/>
  <c r="CW12" i="1"/>
  <c r="YL11" i="2"/>
  <c r="OE3" i="2"/>
  <c r="OD13" i="2"/>
  <c r="OD9" i="2"/>
  <c r="YM9" i="2" s="1"/>
  <c r="OD8" i="2"/>
  <c r="YM8" i="2" s="1"/>
  <c r="OD7" i="2"/>
  <c r="OD12" i="2"/>
  <c r="OD10" i="2"/>
  <c r="YM10" i="2" s="1"/>
  <c r="OD11" i="2"/>
  <c r="YM11" i="2" s="1"/>
  <c r="YL9" i="2"/>
  <c r="ATF6" i="2"/>
  <c r="CY19" i="1" s="1"/>
  <c r="JC8" i="2"/>
  <c r="JC12" i="2"/>
  <c r="JC13" i="2"/>
  <c r="JC7" i="2"/>
  <c r="JC10" i="2"/>
  <c r="JC11" i="2"/>
  <c r="JC9" i="2"/>
  <c r="ATG7" i="2"/>
  <c r="ATG10" i="2"/>
  <c r="ATG13" i="2"/>
  <c r="ATG9" i="2"/>
  <c r="ATG11" i="2"/>
  <c r="ATG12" i="2"/>
  <c r="ATG8" i="2"/>
  <c r="ADT6" i="2"/>
  <c r="CY9" i="1" s="1"/>
  <c r="ADU7" i="2"/>
  <c r="ADU6" i="2" s="1"/>
  <c r="CZ9" i="1" s="1"/>
  <c r="ADU10" i="2"/>
  <c r="ADU11" i="2"/>
  <c r="ADU13" i="2"/>
  <c r="ADU9" i="2"/>
  <c r="ADU12" i="2"/>
  <c r="ADU8" i="2"/>
  <c r="DX12" i="2"/>
  <c r="DX10" i="2"/>
  <c r="DX13" i="2"/>
  <c r="DX11" i="2"/>
  <c r="DX8" i="2"/>
  <c r="DX9" i="2"/>
  <c r="DX7" i="2"/>
  <c r="TJ3" i="2"/>
  <c r="TJ8" i="2" s="1"/>
  <c r="TI13" i="2"/>
  <c r="CT11" i="1"/>
  <c r="ANX6" i="2"/>
  <c r="ANY7" i="2"/>
  <c r="ANY12" i="2"/>
  <c r="ANY11" i="2"/>
  <c r="ANY10" i="2"/>
  <c r="ANY9" i="2"/>
  <c r="ANY8" i="2"/>
  <c r="ANY13" i="2"/>
  <c r="AIU13" i="2"/>
  <c r="AIU9" i="2"/>
  <c r="AIU7" i="2"/>
  <c r="AIU12" i="2"/>
  <c r="AIU10" i="2"/>
  <c r="AIU8" i="2"/>
  <c r="AIU11" i="2"/>
  <c r="YP3" i="2"/>
  <c r="YQ4" i="2"/>
  <c r="YR5" i="2"/>
  <c r="TM5" i="2"/>
  <c r="TL4" i="2"/>
  <c r="OH5" i="2"/>
  <c r="OG4" i="2"/>
  <c r="DX4" i="2"/>
  <c r="DY5" i="2"/>
  <c r="ATG4" i="2"/>
  <c r="ATH5" i="2"/>
  <c r="AOD4" i="2"/>
  <c r="AOE5" i="2"/>
  <c r="AIY4" i="2"/>
  <c r="AIZ5" i="2"/>
  <c r="ADU4" i="2"/>
  <c r="ADV5" i="2"/>
  <c r="JC4" i="2"/>
  <c r="JD5" i="2"/>
  <c r="CX6" i="1"/>
  <c r="CY7" i="1"/>
  <c r="YM12" i="2" l="1"/>
  <c r="CT13" i="1"/>
  <c r="CT14" i="1" s="1"/>
  <c r="CT15" i="1" s="1"/>
  <c r="CT18" i="1" s="1"/>
  <c r="CT20" i="1" s="1"/>
  <c r="YM7" i="2"/>
  <c r="CU11" i="1"/>
  <c r="YM13" i="2"/>
  <c r="OF3" i="2"/>
  <c r="OE10" i="2"/>
  <c r="OE13" i="2"/>
  <c r="OE11" i="2"/>
  <c r="OE8" i="2"/>
  <c r="YN8" i="2" s="1"/>
  <c r="OE7" i="2"/>
  <c r="YN7" i="2" s="1"/>
  <c r="OE9" i="2"/>
  <c r="OE12" i="2"/>
  <c r="ANZ9" i="2"/>
  <c r="ANZ11" i="2"/>
  <c r="ANZ10" i="2"/>
  <c r="ANZ7" i="2"/>
  <c r="ANZ13" i="2"/>
  <c r="ANZ8" i="2"/>
  <c r="ANZ12" i="2"/>
  <c r="AIV10" i="2"/>
  <c r="AIV8" i="2"/>
  <c r="AIV7" i="2"/>
  <c r="AIV9" i="2"/>
  <c r="AIV13" i="2"/>
  <c r="AIV11" i="2"/>
  <c r="AIV12" i="2"/>
  <c r="AIU6" i="2"/>
  <c r="TJ10" i="2"/>
  <c r="ATH7" i="2"/>
  <c r="ATH10" i="2"/>
  <c r="ATH12" i="2"/>
  <c r="ATH13" i="2"/>
  <c r="ATH9" i="2"/>
  <c r="ATH11" i="2"/>
  <c r="ATH8" i="2"/>
  <c r="ANY6" i="2"/>
  <c r="TJ12" i="2"/>
  <c r="TK12" i="2" s="1"/>
  <c r="JD13" i="2"/>
  <c r="JD8" i="2"/>
  <c r="JD12" i="2"/>
  <c r="JD9" i="2"/>
  <c r="JD11" i="2"/>
  <c r="JD10" i="2"/>
  <c r="JD7" i="2"/>
  <c r="TK3" i="2"/>
  <c r="TK7" i="2" s="1"/>
  <c r="TJ13" i="2"/>
  <c r="YL6" i="2"/>
  <c r="CU8" i="1" s="1"/>
  <c r="CU10" i="1" s="1"/>
  <c r="CX17" i="1"/>
  <c r="CX12" i="1"/>
  <c r="ADV7" i="2"/>
  <c r="ADV10" i="2"/>
  <c r="ADV12" i="2"/>
  <c r="ADV9" i="2"/>
  <c r="ADV11" i="2"/>
  <c r="ADV13" i="2"/>
  <c r="ADV8" i="2"/>
  <c r="DY12" i="2"/>
  <c r="DY10" i="2"/>
  <c r="DY13" i="2"/>
  <c r="DY11" i="2"/>
  <c r="DY8" i="2"/>
  <c r="DY7" i="2"/>
  <c r="DY9" i="2"/>
  <c r="TJ9" i="2"/>
  <c r="ATG6" i="2"/>
  <c r="CZ19" i="1" s="1"/>
  <c r="TJ11" i="2"/>
  <c r="TK11" i="2" s="1"/>
  <c r="YQ3" i="2"/>
  <c r="YR4" i="2"/>
  <c r="YS5" i="2"/>
  <c r="OI5" i="2"/>
  <c r="OH4" i="2"/>
  <c r="TM4" i="2"/>
  <c r="TN5" i="2"/>
  <c r="DZ5" i="2"/>
  <c r="DY4" i="2"/>
  <c r="ATI5" i="2"/>
  <c r="ATH4" i="2"/>
  <c r="AOF5" i="2"/>
  <c r="AOE4" i="2"/>
  <c r="AJA5" i="2"/>
  <c r="AIZ4" i="2"/>
  <c r="ADV4" i="2"/>
  <c r="ADW5" i="2"/>
  <c r="JD4" i="2"/>
  <c r="JE5" i="2"/>
  <c r="CY6" i="1"/>
  <c r="CZ7" i="1"/>
  <c r="CU13" i="1" l="1"/>
  <c r="CU14" i="1" s="1"/>
  <c r="CU15" i="1" s="1"/>
  <c r="CU18" i="1" s="1"/>
  <c r="CU20" i="1" s="1"/>
  <c r="YM6" i="2"/>
  <c r="CV8" i="1" s="1"/>
  <c r="CV10" i="1" s="1"/>
  <c r="TK9" i="2"/>
  <c r="TK10" i="2"/>
  <c r="YN12" i="2"/>
  <c r="DZ12" i="2"/>
  <c r="DZ10" i="2"/>
  <c r="DZ7" i="2"/>
  <c r="DZ13" i="2"/>
  <c r="DZ11" i="2"/>
  <c r="DZ8" i="2"/>
  <c r="DZ9" i="2"/>
  <c r="CV11" i="1"/>
  <c r="YN9" i="2"/>
  <c r="OG3" i="2"/>
  <c r="OF12" i="2"/>
  <c r="YO12" i="2" s="1"/>
  <c r="OF8" i="2"/>
  <c r="OF10" i="2"/>
  <c r="OF7" i="2"/>
  <c r="YO7" i="2" s="1"/>
  <c r="OF13" i="2"/>
  <c r="OF11" i="2"/>
  <c r="YO11" i="2" s="1"/>
  <c r="OF9" i="2"/>
  <c r="YO9" i="2" s="1"/>
  <c r="ADW10" i="2"/>
  <c r="ADW7" i="2"/>
  <c r="ADW12" i="2"/>
  <c r="ADW13" i="2"/>
  <c r="ADW8" i="2"/>
  <c r="ADW11" i="2"/>
  <c r="ADW9" i="2"/>
  <c r="ATH6" i="2"/>
  <c r="DA19" i="1" s="1"/>
  <c r="ANZ6" i="2"/>
  <c r="YN11" i="2"/>
  <c r="AOA13" i="2"/>
  <c r="AOA8" i="2"/>
  <c r="AOA10" i="2"/>
  <c r="AOA7" i="2"/>
  <c r="AOA11" i="2"/>
  <c r="AOA12" i="2"/>
  <c r="AOA9" i="2"/>
  <c r="AIW12" i="2"/>
  <c r="AIW7" i="2"/>
  <c r="AIW11" i="2"/>
  <c r="AIW9" i="2"/>
  <c r="AIW8" i="2"/>
  <c r="AIW13" i="2"/>
  <c r="AIW10" i="2"/>
  <c r="CY12" i="1"/>
  <c r="CY17" i="1"/>
  <c r="ADV6" i="2"/>
  <c r="DA9" i="1" s="1"/>
  <c r="YN13" i="2"/>
  <c r="JE13" i="2"/>
  <c r="JE8" i="2"/>
  <c r="JE12" i="2"/>
  <c r="JE7" i="2"/>
  <c r="JE10" i="2"/>
  <c r="JE9" i="2"/>
  <c r="JE11" i="2"/>
  <c r="ATI10" i="2"/>
  <c r="ATI7" i="2"/>
  <c r="ATI11" i="2"/>
  <c r="ATI12" i="2"/>
  <c r="ATI13" i="2"/>
  <c r="ATI8" i="2"/>
  <c r="ATI9" i="2"/>
  <c r="TL3" i="2"/>
  <c r="TK13" i="2"/>
  <c r="AIV6" i="2"/>
  <c r="CW11" i="1" s="1"/>
  <c r="YN10" i="2"/>
  <c r="TK8" i="2"/>
  <c r="YR3" i="2"/>
  <c r="YS4" i="2"/>
  <c r="YT5" i="2"/>
  <c r="OJ5" i="2"/>
  <c r="OI4" i="2"/>
  <c r="TN4" i="2"/>
  <c r="TO5" i="2"/>
  <c r="EA5" i="2"/>
  <c r="DZ4" i="2"/>
  <c r="ATJ5" i="2"/>
  <c r="ATI4" i="2"/>
  <c r="AOG5" i="2"/>
  <c r="AOF4" i="2"/>
  <c r="AJB5" i="2"/>
  <c r="AJA4" i="2"/>
  <c r="ADX5" i="2"/>
  <c r="ADW4" i="2"/>
  <c r="JF5" i="2"/>
  <c r="JE4" i="2"/>
  <c r="CZ6" i="1"/>
  <c r="DA7" i="1"/>
  <c r="YO10" i="2" l="1"/>
  <c r="CV13" i="1"/>
  <c r="CV14" i="1" s="1"/>
  <c r="CV15" i="1" s="1"/>
  <c r="CV18" i="1" s="1"/>
  <c r="CV20" i="1" s="1"/>
  <c r="AOA6" i="2"/>
  <c r="YO8" i="2"/>
  <c r="JF13" i="2"/>
  <c r="JF8" i="2"/>
  <c r="JF12" i="2"/>
  <c r="JF9" i="2"/>
  <c r="JF10" i="2"/>
  <c r="JF7" i="2"/>
  <c r="JF11" i="2"/>
  <c r="ATJ10" i="2"/>
  <c r="ATJ7" i="2"/>
  <c r="ATJ12" i="2"/>
  <c r="ATJ11" i="2"/>
  <c r="ATJ9" i="2"/>
  <c r="ATJ8" i="2"/>
  <c r="ATJ13" i="2"/>
  <c r="AIW6" i="2"/>
  <c r="CX11" i="1" s="1"/>
  <c r="TM3" i="2"/>
  <c r="TL13" i="2"/>
  <c r="AOB12" i="2"/>
  <c r="AOB13" i="2"/>
  <c r="AOB7" i="2"/>
  <c r="AOB9" i="2"/>
  <c r="AOB8" i="2"/>
  <c r="AOB10" i="2"/>
  <c r="AOB11" i="2"/>
  <c r="AIX12" i="2"/>
  <c r="AIX11" i="2"/>
  <c r="AIX13" i="2"/>
  <c r="AIX10" i="2"/>
  <c r="AIX8" i="2"/>
  <c r="AIX9" i="2"/>
  <c r="AIX7" i="2"/>
  <c r="OH3" i="2"/>
  <c r="OG13" i="2"/>
  <c r="OG12" i="2"/>
  <c r="OG9" i="2"/>
  <c r="OG11" i="2"/>
  <c r="OG10" i="2"/>
  <c r="OG8" i="2"/>
  <c r="OG7" i="2"/>
  <c r="CZ12" i="1"/>
  <c r="CZ17" i="1"/>
  <c r="ADX7" i="2"/>
  <c r="ADX10" i="2"/>
  <c r="ADX12" i="2"/>
  <c r="ADX11" i="2"/>
  <c r="ADX9" i="2"/>
  <c r="ADX13" i="2"/>
  <c r="ADX8" i="2"/>
  <c r="EA9" i="2"/>
  <c r="EA7" i="2"/>
  <c r="EA13" i="2"/>
  <c r="EA12" i="2"/>
  <c r="EA11" i="2"/>
  <c r="EA10" i="2"/>
  <c r="EA8" i="2"/>
  <c r="TL8" i="2"/>
  <c r="TM8" i="2" s="1"/>
  <c r="TL9" i="2"/>
  <c r="TM9" i="2" s="1"/>
  <c r="TL11" i="2"/>
  <c r="TM11" i="2" s="1"/>
  <c r="TL10" i="2"/>
  <c r="TM10" i="2" s="1"/>
  <c r="YN6" i="2"/>
  <c r="CW8" i="1" s="1"/>
  <c r="CW10" i="1" s="1"/>
  <c r="CW13" i="1" s="1"/>
  <c r="CW14" i="1" s="1"/>
  <c r="CW15" i="1" s="1"/>
  <c r="CW18" i="1" s="1"/>
  <c r="CW20" i="1" s="1"/>
  <c r="ATI6" i="2"/>
  <c r="DB19" i="1" s="1"/>
  <c r="TL12" i="2"/>
  <c r="TM12" i="2" s="1"/>
  <c r="ADW6" i="2"/>
  <c r="DB9" i="1" s="1"/>
  <c r="YO13" i="2"/>
  <c r="YO6" i="2" s="1"/>
  <c r="CX8" i="1" s="1"/>
  <c r="CX10" i="1" s="1"/>
  <c r="CX13" i="1" s="1"/>
  <c r="CX14" i="1" s="1"/>
  <c r="CX15" i="1" s="1"/>
  <c r="CX18" i="1" s="1"/>
  <c r="CX20" i="1" s="1"/>
  <c r="TL7" i="2"/>
  <c r="TM7" i="2" s="1"/>
  <c r="YS3" i="2"/>
  <c r="YU5" i="2"/>
  <c r="YT4" i="2"/>
  <c r="OK5" i="2"/>
  <c r="OJ4" i="2"/>
  <c r="TP5" i="2"/>
  <c r="TO4" i="2"/>
  <c r="EB5" i="2"/>
  <c r="EA4" i="2"/>
  <c r="ATJ4" i="2"/>
  <c r="ATK5" i="2"/>
  <c r="AOH5" i="2"/>
  <c r="AOG4" i="2"/>
  <c r="AJC5" i="2"/>
  <c r="AJB4" i="2"/>
  <c r="ADY5" i="2"/>
  <c r="ADX4" i="2"/>
  <c r="JG5" i="2"/>
  <c r="JF4" i="2"/>
  <c r="DA6" i="1"/>
  <c r="DB7" i="1"/>
  <c r="YP11" i="2" l="1"/>
  <c r="YP7" i="2"/>
  <c r="AIX6" i="2"/>
  <c r="TN8" i="2"/>
  <c r="AOB6" i="2"/>
  <c r="YP9" i="2"/>
  <c r="ATJ6" i="2"/>
  <c r="DC19" i="1" s="1"/>
  <c r="DA12" i="1"/>
  <c r="DA17" i="1"/>
  <c r="TN7" i="2"/>
  <c r="YP12" i="2"/>
  <c r="YP13" i="2"/>
  <c r="ADY10" i="2"/>
  <c r="ADY7" i="2"/>
  <c r="ADY12" i="2"/>
  <c r="ADY13" i="2"/>
  <c r="ADY11" i="2"/>
  <c r="ADY9" i="2"/>
  <c r="ADY8" i="2"/>
  <c r="EB13" i="2"/>
  <c r="EB11" i="2"/>
  <c r="EB12" i="2"/>
  <c r="EB10" i="2"/>
  <c r="EB9" i="2"/>
  <c r="EB7" i="2"/>
  <c r="EB8" i="2"/>
  <c r="OI3" i="2"/>
  <c r="OH9" i="2"/>
  <c r="YQ9" i="2" s="1"/>
  <c r="OH11" i="2"/>
  <c r="YQ11" i="2" s="1"/>
  <c r="OH13" i="2"/>
  <c r="OH10" i="2"/>
  <c r="YQ10" i="2" s="1"/>
  <c r="OH8" i="2"/>
  <c r="YQ8" i="2" s="1"/>
  <c r="OH12" i="2"/>
  <c r="YQ12" i="2" s="1"/>
  <c r="OH7" i="2"/>
  <c r="YQ7" i="2" s="1"/>
  <c r="ATK10" i="2"/>
  <c r="ATK7" i="2"/>
  <c r="ATK13" i="2"/>
  <c r="ATK9" i="2"/>
  <c r="ATK11" i="2"/>
  <c r="ATK12" i="2"/>
  <c r="ATK8" i="2"/>
  <c r="ADX6" i="2"/>
  <c r="DC9" i="1" s="1"/>
  <c r="YP8" i="2"/>
  <c r="TN3" i="2"/>
  <c r="TN12" i="2" s="1"/>
  <c r="TM13" i="2"/>
  <c r="JG8" i="2"/>
  <c r="JG13" i="2"/>
  <c r="JG12" i="2"/>
  <c r="JG10" i="2"/>
  <c r="JG11" i="2"/>
  <c r="JG9" i="2"/>
  <c r="JG7" i="2"/>
  <c r="AOC12" i="2"/>
  <c r="AOC9" i="2"/>
  <c r="AOC11" i="2"/>
  <c r="AOC8" i="2"/>
  <c r="AOC13" i="2"/>
  <c r="AOC7" i="2"/>
  <c r="AOC10" i="2"/>
  <c r="AIY9" i="2"/>
  <c r="AIY11" i="2"/>
  <c r="AIY13" i="2"/>
  <c r="AIY8" i="2"/>
  <c r="AIY12" i="2"/>
  <c r="AIY7" i="2"/>
  <c r="AIY10" i="2"/>
  <c r="YP10" i="2"/>
  <c r="YT3" i="2"/>
  <c r="YV5" i="2"/>
  <c r="YU4" i="2"/>
  <c r="OK4" i="2"/>
  <c r="OL5" i="2"/>
  <c r="TP4" i="2"/>
  <c r="TQ5" i="2"/>
  <c r="EB4" i="2"/>
  <c r="EC5" i="2"/>
  <c r="ATL5" i="2"/>
  <c r="ATK4" i="2"/>
  <c r="AOI5" i="2"/>
  <c r="AOH4" i="2"/>
  <c r="AJD5" i="2"/>
  <c r="AJC4" i="2"/>
  <c r="ADZ5" i="2"/>
  <c r="ADY4" i="2"/>
  <c r="JH5" i="2"/>
  <c r="JG4" i="2"/>
  <c r="DB6" i="1"/>
  <c r="DC7" i="1"/>
  <c r="YQ13" i="2" l="1"/>
  <c r="CY11" i="1"/>
  <c r="ATK6" i="2"/>
  <c r="DD19" i="1" s="1"/>
  <c r="TN11" i="2"/>
  <c r="YP6" i="2"/>
  <c r="CY8" i="1" s="1"/>
  <c r="CY10" i="1" s="1"/>
  <c r="AIY6" i="2"/>
  <c r="TN9" i="2"/>
  <c r="TN10" i="2"/>
  <c r="YQ6" i="2"/>
  <c r="CZ8" i="1" s="1"/>
  <c r="CZ10" i="1" s="1"/>
  <c r="DB12" i="1"/>
  <c r="DB17" i="1"/>
  <c r="OJ3" i="2"/>
  <c r="OI11" i="2"/>
  <c r="OI9" i="2"/>
  <c r="OI12" i="2"/>
  <c r="YR12" i="2" s="1"/>
  <c r="OI13" i="2"/>
  <c r="OI10" i="2"/>
  <c r="OI8" i="2"/>
  <c r="YR8" i="2" s="1"/>
  <c r="OI7" i="2"/>
  <c r="YR7" i="2" s="1"/>
  <c r="AOC6" i="2"/>
  <c r="TO3" i="2"/>
  <c r="TN13" i="2"/>
  <c r="AOD8" i="2"/>
  <c r="AOD7" i="2"/>
  <c r="AOD13" i="2"/>
  <c r="AOD10" i="2"/>
  <c r="AOD9" i="2"/>
  <c r="AOD12" i="2"/>
  <c r="AOD11" i="2"/>
  <c r="AIZ11" i="2"/>
  <c r="AIZ9" i="2"/>
  <c r="AIZ12" i="2"/>
  <c r="AIZ13" i="2"/>
  <c r="AIZ10" i="2"/>
  <c r="AIZ8" i="2"/>
  <c r="AIZ7" i="2"/>
  <c r="JH12" i="2"/>
  <c r="JH13" i="2"/>
  <c r="JH8" i="2"/>
  <c r="JH11" i="2"/>
  <c r="JH7" i="2"/>
  <c r="JH9" i="2"/>
  <c r="JH10" i="2"/>
  <c r="EC13" i="2"/>
  <c r="EC11" i="2"/>
  <c r="EC12" i="2"/>
  <c r="EC10" i="2"/>
  <c r="EC7" i="2"/>
  <c r="EC8" i="2"/>
  <c r="EC9" i="2"/>
  <c r="ATL10" i="2"/>
  <c r="ATL7" i="2"/>
  <c r="ATL12" i="2"/>
  <c r="ATL11" i="2"/>
  <c r="ATL8" i="2"/>
  <c r="ATL9" i="2"/>
  <c r="ATL13" i="2"/>
  <c r="ADZ10" i="2"/>
  <c r="ADZ7" i="2"/>
  <c r="ADZ11" i="2"/>
  <c r="ADZ13" i="2"/>
  <c r="ADZ12" i="2"/>
  <c r="ADZ9" i="2"/>
  <c r="ADZ8" i="2"/>
  <c r="ADY6" i="2"/>
  <c r="DD9" i="1" s="1"/>
  <c r="YU3" i="2"/>
  <c r="YW5" i="2"/>
  <c r="YV4" i="2"/>
  <c r="TQ4" i="2"/>
  <c r="TR5" i="2"/>
  <c r="OM5" i="2"/>
  <c r="OL4" i="2"/>
  <c r="ED5" i="2"/>
  <c r="EC4" i="2"/>
  <c r="ATM5" i="2"/>
  <c r="ATL4" i="2"/>
  <c r="AOI4" i="2"/>
  <c r="AOJ5" i="2"/>
  <c r="AJD4" i="2"/>
  <c r="AJE5" i="2"/>
  <c r="ADZ4" i="2"/>
  <c r="AEA5" i="2"/>
  <c r="JI5" i="2"/>
  <c r="JH4" i="2"/>
  <c r="DD7" i="1"/>
  <c r="DC6" i="1"/>
  <c r="TO11" i="2" l="1"/>
  <c r="YR10" i="2"/>
  <c r="YR11" i="2"/>
  <c r="CY13" i="1"/>
  <c r="CY14" i="1" s="1"/>
  <c r="CY15" i="1" s="1"/>
  <c r="CY18" i="1" s="1"/>
  <c r="CY20" i="1" s="1"/>
  <c r="TO8" i="2"/>
  <c r="AEA7" i="2"/>
  <c r="AEA10" i="2"/>
  <c r="AEA12" i="2"/>
  <c r="AEA11" i="2"/>
  <c r="AEA9" i="2"/>
  <c r="AEA13" i="2"/>
  <c r="AEA8" i="2"/>
  <c r="AIZ6" i="2"/>
  <c r="AOE11" i="2"/>
  <c r="AOE13" i="2"/>
  <c r="AOE7" i="2"/>
  <c r="AOE8" i="2"/>
  <c r="AOE9" i="2"/>
  <c r="AOE10" i="2"/>
  <c r="AOE12" i="2"/>
  <c r="AJA11" i="2"/>
  <c r="AJA12" i="2"/>
  <c r="AJA8" i="2"/>
  <c r="AJA13" i="2"/>
  <c r="AJA7" i="2"/>
  <c r="AJA9" i="2"/>
  <c r="AJA10" i="2"/>
  <c r="TO10" i="2"/>
  <c r="TP3" i="2"/>
  <c r="TO13" i="2"/>
  <c r="TO9" i="2"/>
  <c r="TP9" i="2" s="1"/>
  <c r="ADZ6" i="2"/>
  <c r="DE9" i="1" s="1"/>
  <c r="YR13" i="2"/>
  <c r="CZ11" i="1"/>
  <c r="CZ13" i="1" s="1"/>
  <c r="CZ14" i="1" s="1"/>
  <c r="CZ15" i="1" s="1"/>
  <c r="CZ18" i="1" s="1"/>
  <c r="CZ20" i="1" s="1"/>
  <c r="ATM10" i="2"/>
  <c r="ATM7" i="2"/>
  <c r="ATM11" i="2"/>
  <c r="ATM9" i="2"/>
  <c r="ATM8" i="2"/>
  <c r="ATM13" i="2"/>
  <c r="ATM12" i="2"/>
  <c r="AOD6" i="2"/>
  <c r="JI12" i="2"/>
  <c r="JI8" i="2"/>
  <c r="JI13" i="2"/>
  <c r="JI11" i="2"/>
  <c r="JI10" i="2"/>
  <c r="JI9" i="2"/>
  <c r="JI7" i="2"/>
  <c r="DC17" i="1"/>
  <c r="DC12" i="1"/>
  <c r="ATL6" i="2"/>
  <c r="DE19" i="1" s="1"/>
  <c r="YR9" i="2"/>
  <c r="TO7" i="2"/>
  <c r="TP7" i="2" s="1"/>
  <c r="OK3" i="2"/>
  <c r="OJ11" i="2"/>
  <c r="YS11" i="2" s="1"/>
  <c r="OJ12" i="2"/>
  <c r="OJ7" i="2"/>
  <c r="OJ9" i="2"/>
  <c r="OJ10" i="2"/>
  <c r="OJ8" i="2"/>
  <c r="YS8" i="2" s="1"/>
  <c r="OJ13" i="2"/>
  <c r="YS13" i="2" s="1"/>
  <c r="ED13" i="2"/>
  <c r="ED11" i="2"/>
  <c r="ED12" i="2"/>
  <c r="ED10" i="2"/>
  <c r="ED8" i="2"/>
  <c r="ED7" i="2"/>
  <c r="ED9" i="2"/>
  <c r="TO12" i="2"/>
  <c r="TP12" i="2" s="1"/>
  <c r="YV3" i="2"/>
  <c r="YX5" i="2"/>
  <c r="YW4" i="2"/>
  <c r="ON5" i="2"/>
  <c r="OM4" i="2"/>
  <c r="TR4" i="2"/>
  <c r="TS5" i="2"/>
  <c r="EE5" i="2"/>
  <c r="ED4" i="2"/>
  <c r="ATM4" i="2"/>
  <c r="ATN5" i="2"/>
  <c r="AOJ4" i="2"/>
  <c r="AOK5" i="2"/>
  <c r="AJF5" i="2"/>
  <c r="AJE4" i="2"/>
  <c r="AEA4" i="2"/>
  <c r="AEB5" i="2"/>
  <c r="JI4" i="2"/>
  <c r="JJ5" i="2"/>
  <c r="DE7" i="1"/>
  <c r="DD6" i="1"/>
  <c r="YS10" i="2" l="1"/>
  <c r="DA11" i="1"/>
  <c r="OL3" i="2"/>
  <c r="OK8" i="2"/>
  <c r="OK9" i="2"/>
  <c r="YT9" i="2" s="1"/>
  <c r="OK13" i="2"/>
  <c r="OK11" i="2"/>
  <c r="OK12" i="2"/>
  <c r="YT12" i="2" s="1"/>
  <c r="OK7" i="2"/>
  <c r="YT7" i="2" s="1"/>
  <c r="OK10" i="2"/>
  <c r="EE12" i="2"/>
  <c r="EE8" i="2"/>
  <c r="EE13" i="2"/>
  <c r="EE11" i="2"/>
  <c r="EE10" i="2"/>
  <c r="EE7" i="2"/>
  <c r="EE9" i="2"/>
  <c r="YS12" i="2"/>
  <c r="ATM6" i="2"/>
  <c r="DF19" i="1" s="1"/>
  <c r="TP10" i="2"/>
  <c r="AJA6" i="2"/>
  <c r="ATN10" i="2"/>
  <c r="ATN7" i="2"/>
  <c r="ATN12" i="2"/>
  <c r="ATN9" i="2"/>
  <c r="ATN13" i="2"/>
  <c r="ATN11" i="2"/>
  <c r="ATN8" i="2"/>
  <c r="YR6" i="2"/>
  <c r="DA8" i="1" s="1"/>
  <c r="DA10" i="1" s="1"/>
  <c r="AOE6" i="2"/>
  <c r="JJ8" i="2"/>
  <c r="JJ13" i="2"/>
  <c r="JJ12" i="2"/>
  <c r="JJ10" i="2"/>
  <c r="JJ7" i="2"/>
  <c r="JJ11" i="2"/>
  <c r="JJ9" i="2"/>
  <c r="TQ3" i="2"/>
  <c r="TQ12" i="2" s="1"/>
  <c r="TP13" i="2"/>
  <c r="AOF13" i="2"/>
  <c r="AOF12" i="2"/>
  <c r="AOF8" i="2"/>
  <c r="AOF7" i="2"/>
  <c r="AOF11" i="2"/>
  <c r="AOF10" i="2"/>
  <c r="AOF9" i="2"/>
  <c r="AJB13" i="2"/>
  <c r="AJB11" i="2"/>
  <c r="AJB8" i="2"/>
  <c r="AJB12" i="2"/>
  <c r="AJB9" i="2"/>
  <c r="AJB10" i="2"/>
  <c r="AJB7" i="2"/>
  <c r="AEB7" i="2"/>
  <c r="AEB10" i="2"/>
  <c r="AEB12" i="2"/>
  <c r="AEB11" i="2"/>
  <c r="AEB13" i="2"/>
  <c r="AEB9" i="2"/>
  <c r="AEB8" i="2"/>
  <c r="YS9" i="2"/>
  <c r="AEA6" i="2"/>
  <c r="DF9" i="1" s="1"/>
  <c r="DD17" i="1"/>
  <c r="DD12" i="1"/>
  <c r="YS7" i="2"/>
  <c r="TP11" i="2"/>
  <c r="TQ11" i="2" s="1"/>
  <c r="TP8" i="2"/>
  <c r="TQ8" i="2" s="1"/>
  <c r="YW3" i="2"/>
  <c r="YX4" i="2"/>
  <c r="YY5" i="2"/>
  <c r="TS4" i="2"/>
  <c r="TT5" i="2"/>
  <c r="ON4" i="2"/>
  <c r="OO5" i="2"/>
  <c r="EE4" i="2"/>
  <c r="EF5" i="2"/>
  <c r="ATN4" i="2"/>
  <c r="ATO5" i="2"/>
  <c r="AOK4" i="2"/>
  <c r="AOL5" i="2"/>
  <c r="AJF4" i="2"/>
  <c r="AJG5" i="2"/>
  <c r="AEB4" i="2"/>
  <c r="AEC5" i="2"/>
  <c r="JJ4" i="2"/>
  <c r="JK5" i="2"/>
  <c r="DF7" i="1"/>
  <c r="DE6" i="1"/>
  <c r="DA13" i="1" l="1"/>
  <c r="DA14" i="1" s="1"/>
  <c r="DA15" i="1" s="1"/>
  <c r="DA18" i="1" s="1"/>
  <c r="DA20" i="1" s="1"/>
  <c r="AEB6" i="2"/>
  <c r="DG9" i="1" s="1"/>
  <c r="YT10" i="2"/>
  <c r="DE17" i="1"/>
  <c r="DE12" i="1"/>
  <c r="TR3" i="2"/>
  <c r="TQ13" i="2"/>
  <c r="TQ7" i="2"/>
  <c r="AOF6" i="2"/>
  <c r="TQ9" i="2"/>
  <c r="TR9" i="2" s="1"/>
  <c r="YT11" i="2"/>
  <c r="JK8" i="2"/>
  <c r="JK12" i="2"/>
  <c r="JK13" i="2"/>
  <c r="JK10" i="2"/>
  <c r="JK11" i="2"/>
  <c r="JK7" i="2"/>
  <c r="JK9" i="2"/>
  <c r="AOG8" i="2"/>
  <c r="AOG10" i="2"/>
  <c r="AOG12" i="2"/>
  <c r="AOG9" i="2"/>
  <c r="AOG11" i="2"/>
  <c r="AOG13" i="2"/>
  <c r="AOG7" i="2"/>
  <c r="AJC11" i="2"/>
  <c r="AJC9" i="2"/>
  <c r="AJC12" i="2"/>
  <c r="AJC7" i="2"/>
  <c r="AJC6" i="2" s="1"/>
  <c r="AJC10" i="2"/>
  <c r="AJC13" i="2"/>
  <c r="AJC8" i="2"/>
  <c r="YT13" i="2"/>
  <c r="ATO10" i="2"/>
  <c r="ATO7" i="2"/>
  <c r="ATO11" i="2"/>
  <c r="ATO13" i="2"/>
  <c r="ATO12" i="2"/>
  <c r="ATO9" i="2"/>
  <c r="ATO8" i="2"/>
  <c r="ATN6" i="2"/>
  <c r="DG19" i="1" s="1"/>
  <c r="AEC7" i="2"/>
  <c r="AEC10" i="2"/>
  <c r="AEC12" i="2"/>
  <c r="AEC13" i="2"/>
  <c r="AEC11" i="2"/>
  <c r="AEC8" i="2"/>
  <c r="AEC9" i="2"/>
  <c r="EF12" i="2"/>
  <c r="EF10" i="2"/>
  <c r="EF8" i="2"/>
  <c r="EF13" i="2"/>
  <c r="EF11" i="2"/>
  <c r="EF7" i="2"/>
  <c r="EF9" i="2"/>
  <c r="YS6" i="2"/>
  <c r="DB8" i="1" s="1"/>
  <c r="DB10" i="1" s="1"/>
  <c r="TQ10" i="2"/>
  <c r="TR10" i="2" s="1"/>
  <c r="YT8" i="2"/>
  <c r="TR8" i="2"/>
  <c r="AJB6" i="2"/>
  <c r="DB11" i="1"/>
  <c r="OM3" i="2"/>
  <c r="OL7" i="2"/>
  <c r="OL11" i="2"/>
  <c r="YU11" i="2" s="1"/>
  <c r="OL9" i="2"/>
  <c r="OL12" i="2"/>
  <c r="YU12" i="2" s="1"/>
  <c r="OL8" i="2"/>
  <c r="YU8" i="2" s="1"/>
  <c r="OL10" i="2"/>
  <c r="OL13" i="2"/>
  <c r="YX3" i="2"/>
  <c r="YY4" i="2"/>
  <c r="YZ5" i="2"/>
  <c r="OP5" i="2"/>
  <c r="OO4" i="2"/>
  <c r="TU5" i="2"/>
  <c r="TT4" i="2"/>
  <c r="EG5" i="2"/>
  <c r="EF4" i="2"/>
  <c r="ATO4" i="2"/>
  <c r="ATP5" i="2"/>
  <c r="AOL4" i="2"/>
  <c r="AOM5" i="2"/>
  <c r="AJG4" i="2"/>
  <c r="AJH5" i="2"/>
  <c r="AEC4" i="2"/>
  <c r="AED5" i="2"/>
  <c r="JK4" i="2"/>
  <c r="JL5" i="2"/>
  <c r="DF6" i="1"/>
  <c r="DG7" i="1"/>
  <c r="YU7" i="2" l="1"/>
  <c r="DC11" i="1"/>
  <c r="YT6" i="2"/>
  <c r="DC8" i="1" s="1"/>
  <c r="DC10" i="1" s="1"/>
  <c r="AEC6" i="2"/>
  <c r="DH9" i="1" s="1"/>
  <c r="TS3" i="2"/>
  <c r="TR13" i="2"/>
  <c r="DF17" i="1"/>
  <c r="DF12" i="1"/>
  <c r="YU9" i="2"/>
  <c r="TR12" i="2"/>
  <c r="TS12" i="2" s="1"/>
  <c r="DB13" i="1"/>
  <c r="DB14" i="1" s="1"/>
  <c r="DB15" i="1" s="1"/>
  <c r="DB18" i="1" s="1"/>
  <c r="DB20" i="1" s="1"/>
  <c r="AOH10" i="2"/>
  <c r="AOH12" i="2"/>
  <c r="AOH9" i="2"/>
  <c r="AOH8" i="2"/>
  <c r="AOH11" i="2"/>
  <c r="AOH13" i="2"/>
  <c r="AOH7" i="2"/>
  <c r="AJD10" i="2"/>
  <c r="AJD13" i="2"/>
  <c r="AJD9" i="2"/>
  <c r="AJD11" i="2"/>
  <c r="AJD12" i="2"/>
  <c r="AJD7" i="2"/>
  <c r="AJD8" i="2"/>
  <c r="JL13" i="2"/>
  <c r="JL8" i="2"/>
  <c r="JL12" i="2"/>
  <c r="JL10" i="2"/>
  <c r="JL7" i="2"/>
  <c r="JL11" i="2"/>
  <c r="JL9" i="2"/>
  <c r="ATP10" i="2"/>
  <c r="ATP7" i="2"/>
  <c r="ATP12" i="2"/>
  <c r="ATP13" i="2"/>
  <c r="ATP11" i="2"/>
  <c r="ATP8" i="2"/>
  <c r="ATP9" i="2"/>
  <c r="TS8" i="2"/>
  <c r="AOG6" i="2"/>
  <c r="AED7" i="2"/>
  <c r="AED10" i="2"/>
  <c r="AED13" i="2"/>
  <c r="AED9" i="2"/>
  <c r="AED8" i="2"/>
  <c r="AED12" i="2"/>
  <c r="AED11" i="2"/>
  <c r="ON3" i="2"/>
  <c r="OM10" i="2"/>
  <c r="YV10" i="2" s="1"/>
  <c r="OM13" i="2"/>
  <c r="OM8" i="2"/>
  <c r="YV8" i="2" s="1"/>
  <c r="OM9" i="2"/>
  <c r="YV9" i="2" s="1"/>
  <c r="OM11" i="2"/>
  <c r="OM12" i="2"/>
  <c r="OM7" i="2"/>
  <c r="YU13" i="2"/>
  <c r="TR7" i="2"/>
  <c r="DD11" i="1"/>
  <c r="ATO6" i="2"/>
  <c r="DH19" i="1" s="1"/>
  <c r="EG12" i="2"/>
  <c r="EG10" i="2"/>
  <c r="EG13" i="2"/>
  <c r="EG11" i="2"/>
  <c r="EG8" i="2"/>
  <c r="EG7" i="2"/>
  <c r="EG9" i="2"/>
  <c r="YU10" i="2"/>
  <c r="TR11" i="2"/>
  <c r="TS11" i="2" s="1"/>
  <c r="YY3" i="2"/>
  <c r="YZ4" i="2"/>
  <c r="ZA5" i="2"/>
  <c r="OQ5" i="2"/>
  <c r="OP4" i="2"/>
  <c r="TU4" i="2"/>
  <c r="TV5" i="2"/>
  <c r="EG4" i="2"/>
  <c r="EH5" i="2"/>
  <c r="ATP4" i="2"/>
  <c r="ATQ5" i="2"/>
  <c r="AOM4" i="2"/>
  <c r="AON5" i="2"/>
  <c r="AJI5" i="2"/>
  <c r="AJH4" i="2"/>
  <c r="AEE5" i="2"/>
  <c r="AED4" i="2"/>
  <c r="JL4" i="2"/>
  <c r="JM5" i="2"/>
  <c r="DG6" i="1"/>
  <c r="DH7" i="1"/>
  <c r="DC13" i="1" l="1"/>
  <c r="DC14" i="1" s="1"/>
  <c r="DC15" i="1" s="1"/>
  <c r="DC18" i="1" s="1"/>
  <c r="DC20" i="1" s="1"/>
  <c r="YV7" i="2"/>
  <c r="OO3" i="2"/>
  <c r="ON8" i="2"/>
  <c r="YW8" i="2" s="1"/>
  <c r="ON12" i="2"/>
  <c r="YW12" i="2" s="1"/>
  <c r="ON10" i="2"/>
  <c r="ON9" i="2"/>
  <c r="ON7" i="2"/>
  <c r="ON13" i="2"/>
  <c r="ON11" i="2"/>
  <c r="YW11" i="2" s="1"/>
  <c r="TT3" i="2"/>
  <c r="TS13" i="2"/>
  <c r="YV12" i="2"/>
  <c r="DG12" i="1"/>
  <c r="DG17" i="1"/>
  <c r="YV11" i="2"/>
  <c r="AJD6" i="2"/>
  <c r="ATQ10" i="2"/>
  <c r="ATQ7" i="2"/>
  <c r="ATQ12" i="2"/>
  <c r="ATQ9" i="2"/>
  <c r="ATQ13" i="2"/>
  <c r="ATQ8" i="2"/>
  <c r="ATQ11" i="2"/>
  <c r="YU6" i="2"/>
  <c r="DD8" i="1" s="1"/>
  <c r="DD10" i="1" s="1"/>
  <c r="DD13" i="1" s="1"/>
  <c r="DD14" i="1" s="1"/>
  <c r="DD15" i="1" s="1"/>
  <c r="DD18" i="1" s="1"/>
  <c r="DD20" i="1" s="1"/>
  <c r="TT8" i="2"/>
  <c r="JM13" i="2"/>
  <c r="JM8" i="2"/>
  <c r="JM12" i="2"/>
  <c r="JM11" i="2"/>
  <c r="JM7" i="2"/>
  <c r="JM9" i="2"/>
  <c r="JM10" i="2"/>
  <c r="TT12" i="2"/>
  <c r="EH12" i="2"/>
  <c r="EH10" i="2"/>
  <c r="EH13" i="2"/>
  <c r="EH11" i="2"/>
  <c r="EH7" i="2"/>
  <c r="EH8" i="2"/>
  <c r="EH9" i="2"/>
  <c r="YV13" i="2"/>
  <c r="ATP6" i="2"/>
  <c r="DI19" i="1" s="1"/>
  <c r="AOI8" i="2"/>
  <c r="AOI10" i="2"/>
  <c r="AOI11" i="2"/>
  <c r="AOI13" i="2"/>
  <c r="AOI7" i="2"/>
  <c r="AOI12" i="2"/>
  <c r="AOI9" i="2"/>
  <c r="AJE10" i="2"/>
  <c r="AJE7" i="2"/>
  <c r="AJE9" i="2"/>
  <c r="AJE13" i="2"/>
  <c r="AJE12" i="2"/>
  <c r="AJE11" i="2"/>
  <c r="AJE8" i="2"/>
  <c r="AEE10" i="2"/>
  <c r="AEE7" i="2"/>
  <c r="AEE11" i="2"/>
  <c r="AEE12" i="2"/>
  <c r="AEE9" i="2"/>
  <c r="AEE13" i="2"/>
  <c r="AEE8" i="2"/>
  <c r="TS7" i="2"/>
  <c r="TT7" i="2" s="1"/>
  <c r="AED6" i="2"/>
  <c r="DI9" i="1" s="1"/>
  <c r="AOH6" i="2"/>
  <c r="TS9" i="2"/>
  <c r="TT9" i="2" s="1"/>
  <c r="TS10" i="2"/>
  <c r="TT10" i="2" s="1"/>
  <c r="YZ3" i="2"/>
  <c r="ZA4" i="2"/>
  <c r="ZB5" i="2"/>
  <c r="TV4" i="2"/>
  <c r="TW5" i="2"/>
  <c r="OR5" i="2"/>
  <c r="OQ4" i="2"/>
  <c r="EH4" i="2"/>
  <c r="EI5" i="2"/>
  <c r="ATR5" i="2"/>
  <c r="ATQ4" i="2"/>
  <c r="AOO5" i="2"/>
  <c r="AON4" i="2"/>
  <c r="AJJ5" i="2"/>
  <c r="AJI4" i="2"/>
  <c r="AEF5" i="2"/>
  <c r="AEE4" i="2"/>
  <c r="JN5" i="2"/>
  <c r="JM4" i="2"/>
  <c r="DH6" i="1"/>
  <c r="DI7" i="1"/>
  <c r="YW7" i="2" l="1"/>
  <c r="YV6" i="2"/>
  <c r="DE8" i="1" s="1"/>
  <c r="DE10" i="1" s="1"/>
  <c r="ATQ6" i="2"/>
  <c r="DJ19" i="1" s="1"/>
  <c r="AEE6" i="2"/>
  <c r="DJ9" i="1" s="1"/>
  <c r="AJE6" i="2"/>
  <c r="YW9" i="2"/>
  <c r="YW13" i="2"/>
  <c r="DH12" i="1"/>
  <c r="DH17" i="1"/>
  <c r="JN8" i="2"/>
  <c r="JN13" i="2"/>
  <c r="JN12" i="2"/>
  <c r="JN10" i="2"/>
  <c r="JN11" i="2"/>
  <c r="JN9" i="2"/>
  <c r="JN7" i="2"/>
  <c r="ATR7" i="2"/>
  <c r="ATR10" i="2"/>
  <c r="ATR11" i="2"/>
  <c r="ATR12" i="2"/>
  <c r="ATR9" i="2"/>
  <c r="ATR13" i="2"/>
  <c r="ATR8" i="2"/>
  <c r="DE11" i="1"/>
  <c r="DE13" i="1" s="1"/>
  <c r="DE14" i="1" s="1"/>
  <c r="DE15" i="1" s="1"/>
  <c r="DE18" i="1" s="1"/>
  <c r="DE20" i="1" s="1"/>
  <c r="YW10" i="2"/>
  <c r="EI13" i="2"/>
  <c r="EI9" i="2"/>
  <c r="EI11" i="2"/>
  <c r="EI7" i="2"/>
  <c r="EI12" i="2"/>
  <c r="EI10" i="2"/>
  <c r="EI8" i="2"/>
  <c r="TU3" i="2"/>
  <c r="TU12" i="2" s="1"/>
  <c r="TT13" i="2"/>
  <c r="AOJ12" i="2"/>
  <c r="AOJ8" i="2"/>
  <c r="AOJ11" i="2"/>
  <c r="AOJ9" i="2"/>
  <c r="AOJ13" i="2"/>
  <c r="AOJ7" i="2"/>
  <c r="AOJ10" i="2"/>
  <c r="AJF9" i="2"/>
  <c r="AJF10" i="2"/>
  <c r="AJF13" i="2"/>
  <c r="AJF7" i="2"/>
  <c r="AJF12" i="2"/>
  <c r="AJF11" i="2"/>
  <c r="AJF8" i="2"/>
  <c r="AEF7" i="2"/>
  <c r="AEF10" i="2"/>
  <c r="AEF13" i="2"/>
  <c r="AEF12" i="2"/>
  <c r="AEF11" i="2"/>
  <c r="AEF9" i="2"/>
  <c r="AEF8" i="2"/>
  <c r="AOI6" i="2"/>
  <c r="TT11" i="2"/>
  <c r="TU11" i="2" s="1"/>
  <c r="OP3" i="2"/>
  <c r="OO7" i="2"/>
  <c r="YX7" i="2" s="1"/>
  <c r="OO9" i="2"/>
  <c r="YX9" i="2" s="1"/>
  <c r="OO8" i="2"/>
  <c r="YX8" i="2" s="1"/>
  <c r="OO10" i="2"/>
  <c r="YX10" i="2" s="1"/>
  <c r="OO13" i="2"/>
  <c r="OO12" i="2"/>
  <c r="YX12" i="2" s="1"/>
  <c r="OO11" i="2"/>
  <c r="ZA3" i="2"/>
  <c r="ZC5" i="2"/>
  <c r="ZB4" i="2"/>
  <c r="OS5" i="2"/>
  <c r="OR4" i="2"/>
  <c r="TX5" i="2"/>
  <c r="TW4" i="2"/>
  <c r="EJ5" i="2"/>
  <c r="EI4" i="2"/>
  <c r="ATS5" i="2"/>
  <c r="ATR4" i="2"/>
  <c r="AOP5" i="2"/>
  <c r="AOO4" i="2"/>
  <c r="AJK5" i="2"/>
  <c r="AJJ4" i="2"/>
  <c r="AEG5" i="2"/>
  <c r="AEF4" i="2"/>
  <c r="JO5" i="2"/>
  <c r="JN4" i="2"/>
  <c r="DI6" i="1"/>
  <c r="DJ7" i="1"/>
  <c r="YX11" i="2" l="1"/>
  <c r="YX6" i="2" s="1"/>
  <c r="DG8" i="1" s="1"/>
  <c r="DG10" i="1" s="1"/>
  <c r="TU10" i="2"/>
  <c r="YX13" i="2"/>
  <c r="DI12" i="1"/>
  <c r="DI17" i="1"/>
  <c r="DF11" i="1"/>
  <c r="AEF6" i="2"/>
  <c r="DK9" i="1" s="1"/>
  <c r="TV3" i="2"/>
  <c r="TU13" i="2"/>
  <c r="JO8" i="2"/>
  <c r="JO12" i="2"/>
  <c r="JO13" i="2"/>
  <c r="JO10" i="2"/>
  <c r="JO9" i="2"/>
  <c r="JO11" i="2"/>
  <c r="JO7" i="2"/>
  <c r="ATS10" i="2"/>
  <c r="ATS7" i="2"/>
  <c r="ATS13" i="2"/>
  <c r="ATS12" i="2"/>
  <c r="ATS9" i="2"/>
  <c r="ATS11" i="2"/>
  <c r="ATS8" i="2"/>
  <c r="TU9" i="2"/>
  <c r="TV9" i="2" s="1"/>
  <c r="AOJ6" i="2"/>
  <c r="TU8" i="2"/>
  <c r="OQ3" i="2"/>
  <c r="OP8" i="2"/>
  <c r="YY8" i="2" s="1"/>
  <c r="OP7" i="2"/>
  <c r="OP13" i="2"/>
  <c r="OP10" i="2"/>
  <c r="OP12" i="2"/>
  <c r="YY12" i="2" s="1"/>
  <c r="OP11" i="2"/>
  <c r="YY11" i="2" s="1"/>
  <c r="OP9" i="2"/>
  <c r="ATR6" i="2"/>
  <c r="DK19" i="1" s="1"/>
  <c r="YW6" i="2"/>
  <c r="DF8" i="1" s="1"/>
  <c r="DF10" i="1" s="1"/>
  <c r="TU7" i="2"/>
  <c r="AOK12" i="2"/>
  <c r="AOK13" i="2"/>
  <c r="AOK9" i="2"/>
  <c r="AOK11" i="2"/>
  <c r="AOK10" i="2"/>
  <c r="AOK7" i="2"/>
  <c r="AOK8" i="2"/>
  <c r="AJG8" i="2"/>
  <c r="AJG7" i="2"/>
  <c r="AJG13" i="2"/>
  <c r="AJG10" i="2"/>
  <c r="AJG12" i="2"/>
  <c r="AJG11" i="2"/>
  <c r="AJG9" i="2"/>
  <c r="AEG7" i="2"/>
  <c r="AEG10" i="2"/>
  <c r="AEG12" i="2"/>
  <c r="AEG9" i="2"/>
  <c r="AEG11" i="2"/>
  <c r="AEG13" i="2"/>
  <c r="AEG8" i="2"/>
  <c r="EJ13" i="2"/>
  <c r="EJ11" i="2"/>
  <c r="EJ7" i="2"/>
  <c r="EJ12" i="2"/>
  <c r="EJ10" i="2"/>
  <c r="EJ9" i="2"/>
  <c r="EJ8" i="2"/>
  <c r="AJF6" i="2"/>
  <c r="ZB3" i="2"/>
  <c r="ZD5" i="2"/>
  <c r="ZC4" i="2"/>
  <c r="TX4" i="2"/>
  <c r="TY5" i="2"/>
  <c r="OS4" i="2"/>
  <c r="OT5" i="2"/>
  <c r="EK5" i="2"/>
  <c r="EJ4" i="2"/>
  <c r="ATT5" i="2"/>
  <c r="ATS4" i="2"/>
  <c r="AOQ5" i="2"/>
  <c r="AOP4" i="2"/>
  <c r="AJL5" i="2"/>
  <c r="AJK4" i="2"/>
  <c r="AEH5" i="2"/>
  <c r="AEG4" i="2"/>
  <c r="JP5" i="2"/>
  <c r="JO4" i="2"/>
  <c r="DJ6" i="1"/>
  <c r="DK7" i="1"/>
  <c r="TV10" i="2" l="1"/>
  <c r="YY10" i="2"/>
  <c r="YY13" i="2"/>
  <c r="DF13" i="1"/>
  <c r="DF14" i="1" s="1"/>
  <c r="DF15" i="1" s="1"/>
  <c r="DF18" i="1" s="1"/>
  <c r="DF20" i="1" s="1"/>
  <c r="DG11" i="1"/>
  <c r="DG13" i="1" s="1"/>
  <c r="DG14" i="1" s="1"/>
  <c r="DG15" i="1" s="1"/>
  <c r="DG18" i="1" s="1"/>
  <c r="DG20" i="1" s="1"/>
  <c r="TV11" i="2"/>
  <c r="YY9" i="2"/>
  <c r="TV8" i="2"/>
  <c r="TV7" i="2"/>
  <c r="YY7" i="2"/>
  <c r="AEH10" i="2"/>
  <c r="AEH7" i="2"/>
  <c r="AEH12" i="2"/>
  <c r="AEH13" i="2"/>
  <c r="AEH11" i="2"/>
  <c r="AEH9" i="2"/>
  <c r="AEH8" i="2"/>
  <c r="AJG6" i="2"/>
  <c r="AEG6" i="2"/>
  <c r="DL9" i="1" s="1"/>
  <c r="TW3" i="2"/>
  <c r="TV13" i="2"/>
  <c r="AOK6" i="2"/>
  <c r="OR3" i="2"/>
  <c r="OQ11" i="2"/>
  <c r="OQ8" i="2"/>
  <c r="YZ8" i="2" s="1"/>
  <c r="OQ7" i="2"/>
  <c r="OQ9" i="2"/>
  <c r="YZ9" i="2" s="1"/>
  <c r="OQ12" i="2"/>
  <c r="OQ13" i="2"/>
  <c r="OQ10" i="2"/>
  <c r="YZ10" i="2" s="1"/>
  <c r="ATS6" i="2"/>
  <c r="DL19" i="1" s="1"/>
  <c r="DJ12" i="1"/>
  <c r="DJ17" i="1"/>
  <c r="YY6" i="2"/>
  <c r="DH8" i="1" s="1"/>
  <c r="DH10" i="1" s="1"/>
  <c r="AOL9" i="2"/>
  <c r="AOL13" i="2"/>
  <c r="AOL11" i="2"/>
  <c r="AOL8" i="2"/>
  <c r="AOL10" i="2"/>
  <c r="AOL12" i="2"/>
  <c r="AOL7" i="2"/>
  <c r="AJH11" i="2"/>
  <c r="AJH10" i="2"/>
  <c r="AJH8" i="2"/>
  <c r="AJH7" i="2"/>
  <c r="AJH12" i="2"/>
  <c r="AJH9" i="2"/>
  <c r="AJH13" i="2"/>
  <c r="EK13" i="2"/>
  <c r="EK11" i="2"/>
  <c r="EK12" i="2"/>
  <c r="EK10" i="2"/>
  <c r="EK7" i="2"/>
  <c r="EK8" i="2"/>
  <c r="EK9" i="2"/>
  <c r="JP12" i="2"/>
  <c r="JP8" i="2"/>
  <c r="JP13" i="2"/>
  <c r="JP11" i="2"/>
  <c r="JP9" i="2"/>
  <c r="JP7" i="2"/>
  <c r="JP10" i="2"/>
  <c r="ATT7" i="2"/>
  <c r="ATT10" i="2"/>
  <c r="ATT12" i="2"/>
  <c r="ATT9" i="2"/>
  <c r="ATT11" i="2"/>
  <c r="ATT13" i="2"/>
  <c r="ATT8" i="2"/>
  <c r="TV12" i="2"/>
  <c r="ZC3" i="2"/>
  <c r="ZE5" i="2"/>
  <c r="ZD4" i="2"/>
  <c r="TY4" i="2"/>
  <c r="TZ5" i="2"/>
  <c r="OU5" i="2"/>
  <c r="OT4" i="2"/>
  <c r="EL5" i="2"/>
  <c r="EK4" i="2"/>
  <c r="ATU5" i="2"/>
  <c r="ATT4" i="2"/>
  <c r="AOQ4" i="2"/>
  <c r="AOR5" i="2"/>
  <c r="AJL4" i="2"/>
  <c r="AJM5" i="2"/>
  <c r="AEH4" i="2"/>
  <c r="AEI5" i="2"/>
  <c r="JQ5" i="2"/>
  <c r="JP4" i="2"/>
  <c r="DL7" i="1"/>
  <c r="DK6" i="1"/>
  <c r="YZ13" i="2" l="1"/>
  <c r="YZ11" i="2"/>
  <c r="TW12" i="2"/>
  <c r="ATT6" i="2"/>
  <c r="DM19" i="1" s="1"/>
  <c r="YZ7" i="2"/>
  <c r="DH11" i="1"/>
  <c r="DH13" i="1" s="1"/>
  <c r="DH14" i="1" s="1"/>
  <c r="DH15" i="1" s="1"/>
  <c r="DH18" i="1" s="1"/>
  <c r="DH20" i="1" s="1"/>
  <c r="TX3" i="2"/>
  <c r="TW13" i="2"/>
  <c r="AJH6" i="2"/>
  <c r="AOM9" i="2"/>
  <c r="AOM10" i="2"/>
  <c r="AOM12" i="2"/>
  <c r="AOM11" i="2"/>
  <c r="AOM8" i="2"/>
  <c r="AOM13" i="2"/>
  <c r="AOM7" i="2"/>
  <c r="AJI13" i="2"/>
  <c r="AJI11" i="2"/>
  <c r="AJI8" i="2"/>
  <c r="AJI7" i="2"/>
  <c r="AJI10" i="2"/>
  <c r="AJI12" i="2"/>
  <c r="AJI9" i="2"/>
  <c r="TX12" i="2"/>
  <c r="TW7" i="2"/>
  <c r="TX7" i="2" s="1"/>
  <c r="TW10" i="2"/>
  <c r="TX10" i="2" s="1"/>
  <c r="AEH6" i="2"/>
  <c r="DM9" i="1" s="1"/>
  <c r="AEI7" i="2"/>
  <c r="AEI10" i="2"/>
  <c r="AEI13" i="2"/>
  <c r="AEI11" i="2"/>
  <c r="AEI12" i="2"/>
  <c r="AEI8" i="2"/>
  <c r="AEI9" i="2"/>
  <c r="DK17" i="1"/>
  <c r="DK12" i="1"/>
  <c r="EL13" i="2"/>
  <c r="EL11" i="2"/>
  <c r="EL12" i="2"/>
  <c r="EL10" i="2"/>
  <c r="EL8" i="2"/>
  <c r="EL9" i="2"/>
  <c r="EL7" i="2"/>
  <c r="TW9" i="2"/>
  <c r="TX9" i="2" s="1"/>
  <c r="TW11" i="2"/>
  <c r="TX11" i="2" s="1"/>
  <c r="AOL6" i="2"/>
  <c r="TW8" i="2"/>
  <c r="TX8" i="2" s="1"/>
  <c r="OS3" i="2"/>
  <c r="OR13" i="2"/>
  <c r="ZA13" i="2" s="1"/>
  <c r="OR11" i="2"/>
  <c r="OR12" i="2"/>
  <c r="ZA12" i="2" s="1"/>
  <c r="OR9" i="2"/>
  <c r="OR8" i="2"/>
  <c r="ZA8" i="2" s="1"/>
  <c r="OR7" i="2"/>
  <c r="OR10" i="2"/>
  <c r="YZ12" i="2"/>
  <c r="JQ8" i="2"/>
  <c r="JQ13" i="2"/>
  <c r="JQ12" i="2"/>
  <c r="JQ11" i="2"/>
  <c r="JQ9" i="2"/>
  <c r="JQ10" i="2"/>
  <c r="JQ7" i="2"/>
  <c r="ATU7" i="2"/>
  <c r="ATU10" i="2"/>
  <c r="ATU11" i="2"/>
  <c r="ATU9" i="2"/>
  <c r="ATU13" i="2"/>
  <c r="ATU12" i="2"/>
  <c r="ATU8" i="2"/>
  <c r="ZD3" i="2"/>
  <c r="ZF5" i="2"/>
  <c r="ZE4" i="2"/>
  <c r="TZ4" i="2"/>
  <c r="UA5" i="2"/>
  <c r="OV5" i="2"/>
  <c r="OU4" i="2"/>
  <c r="EL4" i="2"/>
  <c r="EM5" i="2"/>
  <c r="ATU4" i="2"/>
  <c r="ATV5" i="2"/>
  <c r="AOR4" i="2"/>
  <c r="AOS5" i="2"/>
  <c r="AJN5" i="2"/>
  <c r="AJM4" i="2"/>
  <c r="AEI4" i="2"/>
  <c r="AEJ5" i="2"/>
  <c r="JQ4" i="2"/>
  <c r="JR5" i="2"/>
  <c r="DM7" i="1"/>
  <c r="DL6" i="1"/>
  <c r="ZA10" i="2" l="1"/>
  <c r="YZ6" i="2"/>
  <c r="DI8" i="1" s="1"/>
  <c r="DI10" i="1" s="1"/>
  <c r="ZA7" i="2"/>
  <c r="AEI6" i="2"/>
  <c r="DN9" i="1" s="1"/>
  <c r="AOM6" i="2"/>
  <c r="AEJ7" i="2"/>
  <c r="AEJ10" i="2"/>
  <c r="AEJ13" i="2"/>
  <c r="AEJ12" i="2"/>
  <c r="AEJ9" i="2"/>
  <c r="AEJ11" i="2"/>
  <c r="AEJ8" i="2"/>
  <c r="ZA9" i="2"/>
  <c r="ATU6" i="2"/>
  <c r="DN19" i="1" s="1"/>
  <c r="ZA11" i="2"/>
  <c r="EM12" i="2"/>
  <c r="EM11" i="2"/>
  <c r="EM10" i="2"/>
  <c r="EM8" i="2"/>
  <c r="EM13" i="2"/>
  <c r="EM7" i="2"/>
  <c r="EM9" i="2"/>
  <c r="DI11" i="1"/>
  <c r="DL17" i="1"/>
  <c r="DL12" i="1"/>
  <c r="AJI6" i="2"/>
  <c r="JR13" i="2"/>
  <c r="JR12" i="2"/>
  <c r="JR8" i="2"/>
  <c r="JR11" i="2"/>
  <c r="JR7" i="2"/>
  <c r="JR10" i="2"/>
  <c r="JR9" i="2"/>
  <c r="ATV7" i="2"/>
  <c r="ATV10" i="2"/>
  <c r="ATV11" i="2"/>
  <c r="ATV12" i="2"/>
  <c r="ATV13" i="2"/>
  <c r="ATV9" i="2"/>
  <c r="ATV8" i="2"/>
  <c r="OT3" i="2"/>
  <c r="OS12" i="2"/>
  <c r="ZB12" i="2" s="1"/>
  <c r="OS11" i="2"/>
  <c r="ZB11" i="2" s="1"/>
  <c r="OS8" i="2"/>
  <c r="ZB8" i="2" s="1"/>
  <c r="OS10" i="2"/>
  <c r="ZB10" i="2" s="1"/>
  <c r="OS9" i="2"/>
  <c r="ZB9" i="2" s="1"/>
  <c r="OS13" i="2"/>
  <c r="OS7" i="2"/>
  <c r="ZB7" i="2" s="1"/>
  <c r="AON11" i="2"/>
  <c r="AON10" i="2"/>
  <c r="AON13" i="2"/>
  <c r="AON7" i="2"/>
  <c r="AON12" i="2"/>
  <c r="AON8" i="2"/>
  <c r="AON9" i="2"/>
  <c r="AJJ12" i="2"/>
  <c r="AJJ11" i="2"/>
  <c r="AJJ10" i="2"/>
  <c r="AJJ8" i="2"/>
  <c r="AJJ7" i="2"/>
  <c r="AJJ9" i="2"/>
  <c r="AJJ13" i="2"/>
  <c r="TY3" i="2"/>
  <c r="TY9" i="2" s="1"/>
  <c r="TX13" i="2"/>
  <c r="ZE3" i="2"/>
  <c r="ZF4" i="2"/>
  <c r="ZG5" i="2"/>
  <c r="OV4" i="2"/>
  <c r="OW5" i="2"/>
  <c r="UA4" i="2"/>
  <c r="UB5" i="2"/>
  <c r="EN5" i="2"/>
  <c r="EM4" i="2"/>
  <c r="ATV4" i="2"/>
  <c r="ATW5" i="2"/>
  <c r="AOS4" i="2"/>
  <c r="AOT5" i="2"/>
  <c r="AJN4" i="2"/>
  <c r="AJO5" i="2"/>
  <c r="AEJ4" i="2"/>
  <c r="AEK5" i="2"/>
  <c r="JR4" i="2"/>
  <c r="JS5" i="2"/>
  <c r="DN7" i="1"/>
  <c r="DM6" i="1"/>
  <c r="DI13" i="1" l="1"/>
  <c r="DI14" i="1" s="1"/>
  <c r="DI15" i="1" s="1"/>
  <c r="DI18" i="1" s="1"/>
  <c r="DI20" i="1" s="1"/>
  <c r="DJ11" i="1"/>
  <c r="OU3" i="2"/>
  <c r="OT10" i="2"/>
  <c r="OT12" i="2"/>
  <c r="OT13" i="2"/>
  <c r="OT8" i="2"/>
  <c r="OT11" i="2"/>
  <c r="OT7" i="2"/>
  <c r="OT9" i="2"/>
  <c r="ZC9" i="2" s="1"/>
  <c r="ATV6" i="2"/>
  <c r="DO19" i="1" s="1"/>
  <c r="TZ3" i="2"/>
  <c r="TY13" i="2"/>
  <c r="DM17" i="1"/>
  <c r="DM12" i="1"/>
  <c r="ZA6" i="2"/>
  <c r="DJ8" i="1" s="1"/>
  <c r="DJ10" i="1" s="1"/>
  <c r="TY11" i="2"/>
  <c r="TZ11" i="2" s="1"/>
  <c r="AJJ6" i="2"/>
  <c r="AON6" i="2"/>
  <c r="ZB13" i="2"/>
  <c r="ZB6" i="2" s="1"/>
  <c r="DK8" i="1" s="1"/>
  <c r="DK10" i="1" s="1"/>
  <c r="AEJ6" i="2"/>
  <c r="DO9" i="1" s="1"/>
  <c r="JS12" i="2"/>
  <c r="JS13" i="2"/>
  <c r="JS8" i="2"/>
  <c r="JS11" i="2"/>
  <c r="JS10" i="2"/>
  <c r="JS9" i="2"/>
  <c r="JS7" i="2"/>
  <c r="ATW7" i="2"/>
  <c r="ATW10" i="2"/>
  <c r="ATW9" i="2"/>
  <c r="ATW12" i="2"/>
  <c r="ATW13" i="2"/>
  <c r="ATW8" i="2"/>
  <c r="ATW11" i="2"/>
  <c r="TY12" i="2"/>
  <c r="TZ12" i="2" s="1"/>
  <c r="TY7" i="2"/>
  <c r="TZ7" i="2" s="1"/>
  <c r="TY8" i="2"/>
  <c r="TZ8" i="2" s="1"/>
  <c r="AEK7" i="2"/>
  <c r="AEK10" i="2"/>
  <c r="AEK12" i="2"/>
  <c r="AEK11" i="2"/>
  <c r="AEK13" i="2"/>
  <c r="AEK9" i="2"/>
  <c r="AEK8" i="2"/>
  <c r="TY10" i="2"/>
  <c r="TZ10" i="2" s="1"/>
  <c r="EN8" i="2"/>
  <c r="EN12" i="2"/>
  <c r="EN10" i="2"/>
  <c r="EN13" i="2"/>
  <c r="EN11" i="2"/>
  <c r="EN7" i="2"/>
  <c r="EN9" i="2"/>
  <c r="AOO10" i="2"/>
  <c r="AOO13" i="2"/>
  <c r="AOO8" i="2"/>
  <c r="AOO7" i="2"/>
  <c r="AOO9" i="2"/>
  <c r="AOO12" i="2"/>
  <c r="AOO11" i="2"/>
  <c r="AJK10" i="2"/>
  <c r="AJK13" i="2"/>
  <c r="AJK8" i="2"/>
  <c r="AJK11" i="2"/>
  <c r="AJK7" i="2"/>
  <c r="AJK9" i="2"/>
  <c r="AJK12" i="2"/>
  <c r="ZF3" i="2"/>
  <c r="ZG4" i="2"/>
  <c r="ZH5" i="2"/>
  <c r="UC5" i="2"/>
  <c r="UB4" i="2"/>
  <c r="OX5" i="2"/>
  <c r="OW4" i="2"/>
  <c r="EN4" i="2"/>
  <c r="EO5" i="2"/>
  <c r="ATW4" i="2"/>
  <c r="ATX5" i="2"/>
  <c r="AOT4" i="2"/>
  <c r="AOU5" i="2"/>
  <c r="AJO4" i="2"/>
  <c r="AJP5" i="2"/>
  <c r="AEK4" i="2"/>
  <c r="AEL5" i="2"/>
  <c r="JS4" i="2"/>
  <c r="JT5" i="2"/>
  <c r="DN6" i="1"/>
  <c r="DO7" i="1"/>
  <c r="DJ13" i="1" l="1"/>
  <c r="DJ14" i="1" s="1"/>
  <c r="DJ15" i="1" s="1"/>
  <c r="DJ18" i="1" s="1"/>
  <c r="DJ20" i="1" s="1"/>
  <c r="ZC11" i="2"/>
  <c r="ATW6" i="2"/>
  <c r="DP19" i="1" s="1"/>
  <c r="ZC8" i="2"/>
  <c r="ZC13" i="2"/>
  <c r="ZC12" i="2"/>
  <c r="EO12" i="2"/>
  <c r="EO10" i="2"/>
  <c r="EO11" i="2"/>
  <c r="EO13" i="2"/>
  <c r="EO9" i="2"/>
  <c r="EO7" i="2"/>
  <c r="EO8" i="2"/>
  <c r="UA3" i="2"/>
  <c r="UA7" i="2" s="1"/>
  <c r="TZ13" i="2"/>
  <c r="ZC10" i="2"/>
  <c r="AEL10" i="2"/>
  <c r="AEL7" i="2"/>
  <c r="AEL11" i="2"/>
  <c r="AEL12" i="2"/>
  <c r="AEL13" i="2"/>
  <c r="AEL9" i="2"/>
  <c r="AEL8" i="2"/>
  <c r="AOP9" i="2"/>
  <c r="AOP10" i="2"/>
  <c r="AOP8" i="2"/>
  <c r="AOP7" i="2"/>
  <c r="AOP11" i="2"/>
  <c r="AOP13" i="2"/>
  <c r="AOP12" i="2"/>
  <c r="AJL8" i="2"/>
  <c r="AJL13" i="2"/>
  <c r="AJL10" i="2"/>
  <c r="AJL7" i="2"/>
  <c r="AJL12" i="2"/>
  <c r="AJL11" i="2"/>
  <c r="AJL9" i="2"/>
  <c r="DN17" i="1"/>
  <c r="DN12" i="1"/>
  <c r="AEK6" i="2"/>
  <c r="DP9" i="1" s="1"/>
  <c r="OV3" i="2"/>
  <c r="OU9" i="2"/>
  <c r="OU8" i="2"/>
  <c r="ZD8" i="2" s="1"/>
  <c r="OU13" i="2"/>
  <c r="OU10" i="2"/>
  <c r="ZD10" i="2" s="1"/>
  <c r="OU7" i="2"/>
  <c r="ZD7" i="2" s="1"/>
  <c r="OU11" i="2"/>
  <c r="ZD11" i="2" s="1"/>
  <c r="OU12" i="2"/>
  <c r="ZD12" i="2" s="1"/>
  <c r="AJK6" i="2"/>
  <c r="AOO6" i="2"/>
  <c r="UA8" i="2"/>
  <c r="DK11" i="1"/>
  <c r="DK13" i="1" s="1"/>
  <c r="DK14" i="1" s="1"/>
  <c r="DK15" i="1" s="1"/>
  <c r="DK18" i="1" s="1"/>
  <c r="DK20" i="1" s="1"/>
  <c r="JT12" i="2"/>
  <c r="JT8" i="2"/>
  <c r="JT13" i="2"/>
  <c r="JT11" i="2"/>
  <c r="JT10" i="2"/>
  <c r="JT7" i="2"/>
  <c r="JT9" i="2"/>
  <c r="ATX7" i="2"/>
  <c r="ATX10" i="2"/>
  <c r="ATX12" i="2"/>
  <c r="ATX9" i="2"/>
  <c r="ATX13" i="2"/>
  <c r="ATX11" i="2"/>
  <c r="ATX8" i="2"/>
  <c r="ZC7" i="2"/>
  <c r="TZ9" i="2"/>
  <c r="UA9" i="2" s="1"/>
  <c r="ZG3" i="2"/>
  <c r="ZH4" i="2"/>
  <c r="ZI5" i="2"/>
  <c r="OY5" i="2"/>
  <c r="OX4" i="2"/>
  <c r="UC4" i="2"/>
  <c r="UD5" i="2"/>
  <c r="EO4" i="2"/>
  <c r="EP5" i="2"/>
  <c r="ATX4" i="2"/>
  <c r="ATY5" i="2"/>
  <c r="AOV5" i="2"/>
  <c r="AOU4" i="2"/>
  <c r="AJQ5" i="2"/>
  <c r="AJP4" i="2"/>
  <c r="AEL4" i="2"/>
  <c r="AEM5" i="2"/>
  <c r="JT4" i="2"/>
  <c r="JU5" i="2"/>
  <c r="DO6" i="1"/>
  <c r="DP7" i="1"/>
  <c r="ZD9" i="2" l="1"/>
  <c r="UA12" i="2"/>
  <c r="ZD13" i="2"/>
  <c r="ZD6" i="2" s="1"/>
  <c r="DM8" i="1" s="1"/>
  <c r="DM10" i="1" s="1"/>
  <c r="UA10" i="2"/>
  <c r="ZC6" i="2"/>
  <c r="DL8" i="1" s="1"/>
  <c r="DL10" i="1" s="1"/>
  <c r="DO12" i="1"/>
  <c r="DO17" i="1"/>
  <c r="ATX6" i="2"/>
  <c r="DQ19" i="1" s="1"/>
  <c r="AEL6" i="2"/>
  <c r="DQ9" i="1" s="1"/>
  <c r="UA11" i="2"/>
  <c r="ATY7" i="2"/>
  <c r="ATY10" i="2"/>
  <c r="ATY11" i="2"/>
  <c r="ATY9" i="2"/>
  <c r="ATY12" i="2"/>
  <c r="ATY13" i="2"/>
  <c r="ATY8" i="2"/>
  <c r="OW3" i="2"/>
  <c r="OV10" i="2"/>
  <c r="ZE10" i="2" s="1"/>
  <c r="OV9" i="2"/>
  <c r="ZE9" i="2" s="1"/>
  <c r="OV13" i="2"/>
  <c r="OV7" i="2"/>
  <c r="ZE7" i="2" s="1"/>
  <c r="OV11" i="2"/>
  <c r="ZE11" i="2" s="1"/>
  <c r="OV12" i="2"/>
  <c r="OV8" i="2"/>
  <c r="ZE8" i="2" s="1"/>
  <c r="JU12" i="2"/>
  <c r="JU13" i="2"/>
  <c r="JU8" i="2"/>
  <c r="JU11" i="2"/>
  <c r="JU10" i="2"/>
  <c r="JU9" i="2"/>
  <c r="JU7" i="2"/>
  <c r="AOQ11" i="2"/>
  <c r="AOQ10" i="2"/>
  <c r="AOQ8" i="2"/>
  <c r="AOQ7" i="2"/>
  <c r="AOQ9" i="2"/>
  <c r="AOQ13" i="2"/>
  <c r="AOQ12" i="2"/>
  <c r="AJM9" i="2"/>
  <c r="AJM13" i="2"/>
  <c r="AJM7" i="2"/>
  <c r="AJM10" i="2"/>
  <c r="AJM8" i="2"/>
  <c r="AJM11" i="2"/>
  <c r="AJM12" i="2"/>
  <c r="AEM7" i="2"/>
  <c r="AEM10" i="2"/>
  <c r="AEM11" i="2"/>
  <c r="AEM13" i="2"/>
  <c r="AEM9" i="2"/>
  <c r="AEM12" i="2"/>
  <c r="AEM8" i="2"/>
  <c r="EP12" i="2"/>
  <c r="EP10" i="2"/>
  <c r="EP13" i="2"/>
  <c r="EP11" i="2"/>
  <c r="EP7" i="2"/>
  <c r="EP8" i="2"/>
  <c r="EP9" i="2"/>
  <c r="DL11" i="1"/>
  <c r="AOP6" i="2"/>
  <c r="UB3" i="2"/>
  <c r="UB8" i="2" s="1"/>
  <c r="UA13" i="2"/>
  <c r="AJL6" i="2"/>
  <c r="DM11" i="1" s="1"/>
  <c r="ZH3" i="2"/>
  <c r="ZI4" i="2"/>
  <c r="ZJ5" i="2"/>
  <c r="UD4" i="2"/>
  <c r="UE5" i="2"/>
  <c r="OZ5" i="2"/>
  <c r="OY4" i="2"/>
  <c r="EP4" i="2"/>
  <c r="EQ5" i="2"/>
  <c r="ATZ5" i="2"/>
  <c r="ATY4" i="2"/>
  <c r="AOW5" i="2"/>
  <c r="AOV4" i="2"/>
  <c r="AJR5" i="2"/>
  <c r="AJQ4" i="2"/>
  <c r="AEN5" i="2"/>
  <c r="AEM4" i="2"/>
  <c r="JV5" i="2"/>
  <c r="JU4" i="2"/>
  <c r="DP6" i="1"/>
  <c r="DQ7" i="1"/>
  <c r="ZE12" i="2" l="1"/>
  <c r="DL13" i="1"/>
  <c r="DL14" i="1" s="1"/>
  <c r="DL15" i="1" s="1"/>
  <c r="DL18" i="1" s="1"/>
  <c r="DL20" i="1" s="1"/>
  <c r="DM13" i="1"/>
  <c r="DM14" i="1" s="1"/>
  <c r="DM15" i="1" s="1"/>
  <c r="DM18" i="1" s="1"/>
  <c r="DM20" i="1" s="1"/>
  <c r="AJM6" i="2"/>
  <c r="ZE13" i="2"/>
  <c r="ZE6" i="2" s="1"/>
  <c r="DN8" i="1" s="1"/>
  <c r="DN10" i="1" s="1"/>
  <c r="UB10" i="2"/>
  <c r="AOR13" i="2"/>
  <c r="AOR10" i="2"/>
  <c r="AOR8" i="2"/>
  <c r="AOR9" i="2"/>
  <c r="AOR11" i="2"/>
  <c r="AOR7" i="2"/>
  <c r="AOR12" i="2"/>
  <c r="AJN11" i="2"/>
  <c r="AJN8" i="2"/>
  <c r="AJN13" i="2"/>
  <c r="AJN9" i="2"/>
  <c r="AJN7" i="2"/>
  <c r="AJN10" i="2"/>
  <c r="AJN12" i="2"/>
  <c r="AEN7" i="2"/>
  <c r="AEN10" i="2"/>
  <c r="AEN11" i="2"/>
  <c r="AEN13" i="2"/>
  <c r="AEN9" i="2"/>
  <c r="AEN12" i="2"/>
  <c r="AEN8" i="2"/>
  <c r="ATY6" i="2"/>
  <c r="DR19" i="1" s="1"/>
  <c r="AEM6" i="2"/>
  <c r="DR9" i="1" s="1"/>
  <c r="UB11" i="2"/>
  <c r="UC11" i="2" s="1"/>
  <c r="UC3" i="2"/>
  <c r="UB13" i="2"/>
  <c r="OX3" i="2"/>
  <c r="OW11" i="2"/>
  <c r="ZF11" i="2" s="1"/>
  <c r="OW8" i="2"/>
  <c r="ZF8" i="2" s="1"/>
  <c r="OW13" i="2"/>
  <c r="ZF13" i="2" s="1"/>
  <c r="OW9" i="2"/>
  <c r="OW12" i="2"/>
  <c r="OW7" i="2"/>
  <c r="OW10" i="2"/>
  <c r="UB12" i="2"/>
  <c r="UC12" i="2" s="1"/>
  <c r="ATZ7" i="2"/>
  <c r="ATZ10" i="2"/>
  <c r="ATZ12" i="2"/>
  <c r="ATZ11" i="2"/>
  <c r="ATZ13" i="2"/>
  <c r="ATZ9" i="2"/>
  <c r="ATZ8" i="2"/>
  <c r="UB9" i="2"/>
  <c r="UC9" i="2" s="1"/>
  <c r="DP12" i="1"/>
  <c r="DP17" i="1"/>
  <c r="JV13" i="2"/>
  <c r="JV8" i="2"/>
  <c r="JV10" i="2"/>
  <c r="JV9" i="2"/>
  <c r="JV7" i="2"/>
  <c r="JV11" i="2"/>
  <c r="JV12" i="2"/>
  <c r="EQ13" i="2"/>
  <c r="EQ9" i="2"/>
  <c r="EQ12" i="2"/>
  <c r="EQ10" i="2"/>
  <c r="EQ7" i="2"/>
  <c r="EQ11" i="2"/>
  <c r="EQ8" i="2"/>
  <c r="AOQ6" i="2"/>
  <c r="UB7" i="2"/>
  <c r="UC7" i="2" s="1"/>
  <c r="ZI3" i="2"/>
  <c r="ZK5" i="2"/>
  <c r="ZJ4" i="2"/>
  <c r="UF5" i="2"/>
  <c r="UE4" i="2"/>
  <c r="PA5" i="2"/>
  <c r="OZ4" i="2"/>
  <c r="EQ4" i="2"/>
  <c r="ER5" i="2"/>
  <c r="ATZ4" i="2"/>
  <c r="AUA5" i="2"/>
  <c r="AOX5" i="2"/>
  <c r="AOW4" i="2"/>
  <c r="AJS5" i="2"/>
  <c r="AJR4" i="2"/>
  <c r="AEO5" i="2"/>
  <c r="AEN4" i="2"/>
  <c r="JW5" i="2"/>
  <c r="JV4" i="2"/>
  <c r="DQ6" i="1"/>
  <c r="DR7" i="1"/>
  <c r="UC10" i="2" l="1"/>
  <c r="UD10" i="2" s="1"/>
  <c r="OY3" i="2"/>
  <c r="OX10" i="2"/>
  <c r="OX7" i="2"/>
  <c r="ZG7" i="2" s="1"/>
  <c r="OX8" i="2"/>
  <c r="OX11" i="2"/>
  <c r="ZG11" i="2" s="1"/>
  <c r="OX9" i="2"/>
  <c r="ZG9" i="2" s="1"/>
  <c r="OX13" i="2"/>
  <c r="OX12" i="2"/>
  <c r="ZG12" i="2" s="1"/>
  <c r="ER7" i="2"/>
  <c r="ER13" i="2"/>
  <c r="ER11" i="2"/>
  <c r="ER12" i="2"/>
  <c r="ER10" i="2"/>
  <c r="ER9" i="2"/>
  <c r="ER8" i="2"/>
  <c r="AOS11" i="2"/>
  <c r="AOS7" i="2"/>
  <c r="AOS12" i="2"/>
  <c r="AOS9" i="2"/>
  <c r="AOS13" i="2"/>
  <c r="AOS10" i="2"/>
  <c r="AOS8" i="2"/>
  <c r="AJO8" i="2"/>
  <c r="AJO7" i="2"/>
  <c r="AJO12" i="2"/>
  <c r="AJO9" i="2"/>
  <c r="AJO13" i="2"/>
  <c r="AJO11" i="2"/>
  <c r="AJO10" i="2"/>
  <c r="ZF10" i="2"/>
  <c r="AOR6" i="2"/>
  <c r="ZF7" i="2"/>
  <c r="AEO7" i="2"/>
  <c r="AEO10" i="2"/>
  <c r="AEO12" i="2"/>
  <c r="AEO11" i="2"/>
  <c r="AEO9" i="2"/>
  <c r="AEO13" i="2"/>
  <c r="AEO8" i="2"/>
  <c r="ZF12" i="2"/>
  <c r="AJN6" i="2"/>
  <c r="DQ12" i="1"/>
  <c r="DQ17" i="1"/>
  <c r="ZF9" i="2"/>
  <c r="AUA7" i="2"/>
  <c r="AUA10" i="2"/>
  <c r="AUA12" i="2"/>
  <c r="AUA13" i="2"/>
  <c r="AUA11" i="2"/>
  <c r="AUA9" i="2"/>
  <c r="AUA8" i="2"/>
  <c r="ATZ6" i="2"/>
  <c r="DS19" i="1" s="1"/>
  <c r="AEN6" i="2"/>
  <c r="DS9" i="1" s="1"/>
  <c r="DN11" i="1"/>
  <c r="DN13" i="1" s="1"/>
  <c r="DN14" i="1" s="1"/>
  <c r="DN15" i="1" s="1"/>
  <c r="DN18" i="1" s="1"/>
  <c r="DN20" i="1" s="1"/>
  <c r="JW8" i="2"/>
  <c r="JW12" i="2"/>
  <c r="JW13" i="2"/>
  <c r="JW7" i="2"/>
  <c r="JW10" i="2"/>
  <c r="JW11" i="2"/>
  <c r="JW9" i="2"/>
  <c r="UD9" i="2"/>
  <c r="UD3" i="2"/>
  <c r="UD12" i="2" s="1"/>
  <c r="UC13" i="2"/>
  <c r="UC8" i="2"/>
  <c r="UD8" i="2" s="1"/>
  <c r="ZJ3" i="2"/>
  <c r="ZL5" i="2"/>
  <c r="ZK4" i="2"/>
  <c r="PB5" i="2"/>
  <c r="PA4" i="2"/>
  <c r="UF4" i="2"/>
  <c r="UG5" i="2"/>
  <c r="ER4" i="2"/>
  <c r="ES5" i="2"/>
  <c r="AUB5" i="2"/>
  <c r="AUA4" i="2"/>
  <c r="AOY5" i="2"/>
  <c r="AOX4" i="2"/>
  <c r="AJT5" i="2"/>
  <c r="AJS4" i="2"/>
  <c r="AEP5" i="2"/>
  <c r="AEO4" i="2"/>
  <c r="JX5" i="2"/>
  <c r="JW4" i="2"/>
  <c r="DR6" i="1"/>
  <c r="DS7" i="1"/>
  <c r="ZG10" i="2" l="1"/>
  <c r="UD11" i="2"/>
  <c r="ZG13" i="2"/>
  <c r="ZF6" i="2"/>
  <c r="DO8" i="1" s="1"/>
  <c r="DO10" i="1" s="1"/>
  <c r="DR12" i="1"/>
  <c r="DR17" i="1"/>
  <c r="AUA6" i="2"/>
  <c r="DT19" i="1" s="1"/>
  <c r="AEO6" i="2"/>
  <c r="DT9" i="1" s="1"/>
  <c r="DO11" i="1"/>
  <c r="ZG8" i="2"/>
  <c r="ZG6" i="2" s="1"/>
  <c r="DP8" i="1" s="1"/>
  <c r="DP10" i="1" s="1"/>
  <c r="AOT11" i="2"/>
  <c r="AOT12" i="2"/>
  <c r="AOT7" i="2"/>
  <c r="AOT10" i="2"/>
  <c r="AOT13" i="2"/>
  <c r="AOT8" i="2"/>
  <c r="AOT9" i="2"/>
  <c r="AJP8" i="2"/>
  <c r="AJP13" i="2"/>
  <c r="AJP12" i="2"/>
  <c r="AJP7" i="2"/>
  <c r="AJP10" i="2"/>
  <c r="AJP11" i="2"/>
  <c r="AJP9" i="2"/>
  <c r="UE9" i="2"/>
  <c r="JX12" i="2"/>
  <c r="JX13" i="2"/>
  <c r="JX8" i="2"/>
  <c r="JX11" i="2"/>
  <c r="JX7" i="2"/>
  <c r="JX9" i="2"/>
  <c r="JX10" i="2"/>
  <c r="AEP7" i="2"/>
  <c r="AEP10" i="2"/>
  <c r="AEP13" i="2"/>
  <c r="AEP12" i="2"/>
  <c r="AEP11" i="2"/>
  <c r="AEP8" i="2"/>
  <c r="AEP9" i="2"/>
  <c r="AOS6" i="2"/>
  <c r="OZ3" i="2"/>
  <c r="OY8" i="2"/>
  <c r="ZH8" i="2" s="1"/>
  <c r="OY13" i="2"/>
  <c r="OY12" i="2"/>
  <c r="ZH12" i="2" s="1"/>
  <c r="OY9" i="2"/>
  <c r="ZH9" i="2" s="1"/>
  <c r="OY7" i="2"/>
  <c r="OY10" i="2"/>
  <c r="ZH10" i="2" s="1"/>
  <c r="OY11" i="2"/>
  <c r="ZH11" i="2" s="1"/>
  <c r="AUB7" i="2"/>
  <c r="AUB10" i="2"/>
  <c r="AUB12" i="2"/>
  <c r="AUB8" i="2"/>
  <c r="AUB11" i="2"/>
  <c r="AUB9" i="2"/>
  <c r="AUB13" i="2"/>
  <c r="ES13" i="2"/>
  <c r="ES11" i="2"/>
  <c r="ES10" i="2"/>
  <c r="ES12" i="2"/>
  <c r="ES9" i="2"/>
  <c r="ES8" i="2"/>
  <c r="ES7" i="2"/>
  <c r="UE3" i="2"/>
  <c r="UD13" i="2"/>
  <c r="UD7" i="2"/>
  <c r="UE7" i="2" s="1"/>
  <c r="AJO6" i="2"/>
  <c r="ZK3" i="2"/>
  <c r="ZM5" i="2"/>
  <c r="ZL4" i="2"/>
  <c r="UG4" i="2"/>
  <c r="UH5" i="2"/>
  <c r="PC5" i="2"/>
  <c r="PB4" i="2"/>
  <c r="ES4" i="2"/>
  <c r="ET5" i="2"/>
  <c r="AUC5" i="2"/>
  <c r="AUB4" i="2"/>
  <c r="AOY4" i="2"/>
  <c r="AOZ5" i="2"/>
  <c r="AJT4" i="2"/>
  <c r="AJU5" i="2"/>
  <c r="AEP4" i="2"/>
  <c r="AEQ5" i="2"/>
  <c r="JY5" i="2"/>
  <c r="JX4" i="2"/>
  <c r="DT7" i="1"/>
  <c r="DS6" i="1"/>
  <c r="DP11" i="1" l="1"/>
  <c r="DP13" i="1" s="1"/>
  <c r="DP14" i="1" s="1"/>
  <c r="DP15" i="1" s="1"/>
  <c r="DP18" i="1" s="1"/>
  <c r="DP20" i="1" s="1"/>
  <c r="DO13" i="1"/>
  <c r="DO14" i="1" s="1"/>
  <c r="DO15" i="1" s="1"/>
  <c r="DO18" i="1" s="1"/>
  <c r="DO20" i="1" s="1"/>
  <c r="ZH13" i="2"/>
  <c r="AUB6" i="2"/>
  <c r="DU19" i="1" s="1"/>
  <c r="AJP6" i="2"/>
  <c r="DS17" i="1"/>
  <c r="DS12" i="1"/>
  <c r="UF3" i="2"/>
  <c r="UF9" i="2" s="1"/>
  <c r="UE13" i="2"/>
  <c r="UE10" i="2"/>
  <c r="PA3" i="2"/>
  <c r="OZ12" i="2"/>
  <c r="OZ8" i="2"/>
  <c r="OZ11" i="2"/>
  <c r="OZ10" i="2"/>
  <c r="OZ13" i="2"/>
  <c r="OZ9" i="2"/>
  <c r="ZI9" i="2" s="1"/>
  <c r="OZ7" i="2"/>
  <c r="ZI7" i="2" s="1"/>
  <c r="AOU10" i="2"/>
  <c r="AOU8" i="2"/>
  <c r="AOU11" i="2"/>
  <c r="AOU13" i="2"/>
  <c r="AOU12" i="2"/>
  <c r="AOU7" i="2"/>
  <c r="AOU9" i="2"/>
  <c r="AJQ12" i="2"/>
  <c r="AJQ8" i="2"/>
  <c r="AJQ11" i="2"/>
  <c r="AJQ9" i="2"/>
  <c r="AJQ13" i="2"/>
  <c r="AJQ10" i="2"/>
  <c r="AJQ7" i="2"/>
  <c r="AOT6" i="2"/>
  <c r="JY13" i="2"/>
  <c r="JY12" i="2"/>
  <c r="JY8" i="2"/>
  <c r="JY10" i="2"/>
  <c r="JY11" i="2"/>
  <c r="JY7" i="2"/>
  <c r="JY9" i="2"/>
  <c r="AUC7" i="2"/>
  <c r="AUC10" i="2"/>
  <c r="AUC12" i="2"/>
  <c r="AUC11" i="2"/>
  <c r="AUC13" i="2"/>
  <c r="AUC8" i="2"/>
  <c r="AUC9" i="2"/>
  <c r="UE8" i="2"/>
  <c r="ZH7" i="2"/>
  <c r="ZH6" i="2" s="1"/>
  <c r="DQ8" i="1" s="1"/>
  <c r="DQ10" i="1" s="1"/>
  <c r="AEQ7" i="2"/>
  <c r="AEQ10" i="2"/>
  <c r="AEQ11" i="2"/>
  <c r="AEQ13" i="2"/>
  <c r="AEQ9" i="2"/>
  <c r="AEQ12" i="2"/>
  <c r="AEQ8" i="2"/>
  <c r="ET13" i="2"/>
  <c r="ET11" i="2"/>
  <c r="ET8" i="2"/>
  <c r="ET12" i="2"/>
  <c r="ET10" i="2"/>
  <c r="ET7" i="2"/>
  <c r="ET9" i="2"/>
  <c r="AEP6" i="2"/>
  <c r="DU9" i="1" s="1"/>
  <c r="UE11" i="2"/>
  <c r="UE12" i="2"/>
  <c r="UF12" i="2" s="1"/>
  <c r="ZL3" i="2"/>
  <c r="ZN5" i="2"/>
  <c r="ZM4" i="2"/>
  <c r="PD5" i="2"/>
  <c r="PC4" i="2"/>
  <c r="UH4" i="2"/>
  <c r="UI5" i="2"/>
  <c r="EU5" i="2"/>
  <c r="ET4" i="2"/>
  <c r="AUC4" i="2"/>
  <c r="AUD5" i="2"/>
  <c r="AOZ4" i="2"/>
  <c r="APA5" i="2"/>
  <c r="AJV5" i="2"/>
  <c r="AJU4" i="2"/>
  <c r="AEQ4" i="2"/>
  <c r="AER5" i="2"/>
  <c r="JY4" i="2"/>
  <c r="JZ5" i="2"/>
  <c r="DU7" i="1"/>
  <c r="DT6" i="1"/>
  <c r="AOU6" i="2" l="1"/>
  <c r="ZI10" i="2"/>
  <c r="UF11" i="2"/>
  <c r="UF7" i="2"/>
  <c r="UF10" i="2"/>
  <c r="UF8" i="2"/>
  <c r="AER7" i="2"/>
  <c r="AER10" i="2"/>
  <c r="AER9" i="2"/>
  <c r="AER11" i="2"/>
  <c r="AER13" i="2"/>
  <c r="AER12" i="2"/>
  <c r="AER8" i="2"/>
  <c r="AUC6" i="2"/>
  <c r="DV19" i="1" s="1"/>
  <c r="AJQ6" i="2"/>
  <c r="ZI13" i="2"/>
  <c r="UG3" i="2"/>
  <c r="UF13" i="2"/>
  <c r="ZI11" i="2"/>
  <c r="AOV9" i="2"/>
  <c r="AOV13" i="2"/>
  <c r="AOV8" i="2"/>
  <c r="AOV12" i="2"/>
  <c r="AOV11" i="2"/>
  <c r="AOV7" i="2"/>
  <c r="AOV10" i="2"/>
  <c r="AJR8" i="2"/>
  <c r="AJR9" i="2"/>
  <c r="AJR12" i="2"/>
  <c r="AJR11" i="2"/>
  <c r="AJR7" i="2"/>
  <c r="AJR10" i="2"/>
  <c r="AJR13" i="2"/>
  <c r="PB3" i="2"/>
  <c r="PA8" i="2"/>
  <c r="PA9" i="2"/>
  <c r="ZJ9" i="2" s="1"/>
  <c r="PA12" i="2"/>
  <c r="ZJ12" i="2" s="1"/>
  <c r="PA11" i="2"/>
  <c r="ZJ11" i="2" s="1"/>
  <c r="PA7" i="2"/>
  <c r="PA10" i="2"/>
  <c r="PA13" i="2"/>
  <c r="DT17" i="1"/>
  <c r="DT12" i="1"/>
  <c r="JZ13" i="2"/>
  <c r="JZ12" i="2"/>
  <c r="JZ8" i="2"/>
  <c r="JZ7" i="2"/>
  <c r="JZ10" i="2"/>
  <c r="JZ11" i="2"/>
  <c r="JZ9" i="2"/>
  <c r="AUD7" i="2"/>
  <c r="AUD10" i="2"/>
  <c r="AUD12" i="2"/>
  <c r="AUD11" i="2"/>
  <c r="AUD13" i="2"/>
  <c r="AUD9" i="2"/>
  <c r="AUD8" i="2"/>
  <c r="ZI8" i="2"/>
  <c r="DQ11" i="1"/>
  <c r="DQ13" i="1" s="1"/>
  <c r="DQ14" i="1" s="1"/>
  <c r="DQ15" i="1" s="1"/>
  <c r="DQ18" i="1" s="1"/>
  <c r="DQ20" i="1" s="1"/>
  <c r="EU12" i="2"/>
  <c r="EU8" i="2"/>
  <c r="EU10" i="2"/>
  <c r="EU13" i="2"/>
  <c r="EU11" i="2"/>
  <c r="EU7" i="2"/>
  <c r="EU9" i="2"/>
  <c r="AEQ6" i="2"/>
  <c r="DV9" i="1" s="1"/>
  <c r="ZI12" i="2"/>
  <c r="ZM3" i="2"/>
  <c r="ZN4" i="2"/>
  <c r="ZO5" i="2"/>
  <c r="UI4" i="2"/>
  <c r="UJ5" i="2"/>
  <c r="PE5" i="2"/>
  <c r="PD4" i="2"/>
  <c r="EU4" i="2"/>
  <c r="EV5" i="2"/>
  <c r="AUD4" i="2"/>
  <c r="AUE5" i="2"/>
  <c r="APA4" i="2"/>
  <c r="APB5" i="2"/>
  <c r="AJV4" i="2"/>
  <c r="AJW5" i="2"/>
  <c r="AER4" i="2"/>
  <c r="AES5" i="2"/>
  <c r="JZ4" i="2"/>
  <c r="KA5" i="2"/>
  <c r="DV7" i="1"/>
  <c r="DU6" i="1"/>
  <c r="DR11" i="1" l="1"/>
  <c r="UG8" i="2"/>
  <c r="ZJ10" i="2"/>
  <c r="ZJ7" i="2"/>
  <c r="ZJ8" i="2"/>
  <c r="UG11" i="2"/>
  <c r="ZI6" i="2"/>
  <c r="DR8" i="1" s="1"/>
  <c r="DR10" i="1" s="1"/>
  <c r="UG10" i="2"/>
  <c r="PC3" i="2"/>
  <c r="PB11" i="2"/>
  <c r="PB13" i="2"/>
  <c r="PB12" i="2"/>
  <c r="PB10" i="2"/>
  <c r="PB7" i="2"/>
  <c r="PB9" i="2"/>
  <c r="PB8" i="2"/>
  <c r="UG9" i="2"/>
  <c r="AOW9" i="2"/>
  <c r="AOW8" i="2"/>
  <c r="AOW13" i="2"/>
  <c r="AOW7" i="2"/>
  <c r="AOW12" i="2"/>
  <c r="AOW10" i="2"/>
  <c r="AOW11" i="2"/>
  <c r="AJS13" i="2"/>
  <c r="AJS12" i="2"/>
  <c r="AJS10" i="2"/>
  <c r="AJS9" i="2"/>
  <c r="AJS7" i="2"/>
  <c r="AJS8" i="2"/>
  <c r="AJS11" i="2"/>
  <c r="KA13" i="2"/>
  <c r="KA12" i="2"/>
  <c r="KA8" i="2"/>
  <c r="KA9" i="2"/>
  <c r="KA10" i="2"/>
  <c r="KA11" i="2"/>
  <c r="KA7" i="2"/>
  <c r="ZJ13" i="2"/>
  <c r="AOV6" i="2"/>
  <c r="UH3" i="2"/>
  <c r="UG13" i="2"/>
  <c r="AUE7" i="2"/>
  <c r="AUE10" i="2"/>
  <c r="AUE11" i="2"/>
  <c r="AUE12" i="2"/>
  <c r="AUE9" i="2"/>
  <c r="AUE13" i="2"/>
  <c r="AUE8" i="2"/>
  <c r="AUD6" i="2"/>
  <c r="DW19" i="1" s="1"/>
  <c r="AJR6" i="2"/>
  <c r="DU17" i="1"/>
  <c r="DU12" i="1"/>
  <c r="AER6" i="2"/>
  <c r="DW9" i="1" s="1"/>
  <c r="AES7" i="2"/>
  <c r="AES10" i="2"/>
  <c r="AES11" i="2"/>
  <c r="AES9" i="2"/>
  <c r="AES12" i="2"/>
  <c r="AES13" i="2"/>
  <c r="AES8" i="2"/>
  <c r="EV12" i="2"/>
  <c r="EV10" i="2"/>
  <c r="EV13" i="2"/>
  <c r="EV11" i="2"/>
  <c r="EV8" i="2"/>
  <c r="EV9" i="2"/>
  <c r="EV7" i="2"/>
  <c r="UG7" i="2"/>
  <c r="UG12" i="2"/>
  <c r="ZN3" i="2"/>
  <c r="ZO4" i="2"/>
  <c r="ZP5" i="2"/>
  <c r="PF5" i="2"/>
  <c r="PE4" i="2"/>
  <c r="UK5" i="2"/>
  <c r="UJ4" i="2"/>
  <c r="EV4" i="2"/>
  <c r="EW5" i="2"/>
  <c r="AUE4" i="2"/>
  <c r="AUF5" i="2"/>
  <c r="APB4" i="2"/>
  <c r="APC5" i="2"/>
  <c r="AJW4" i="2"/>
  <c r="AJX5" i="2"/>
  <c r="AES4" i="2"/>
  <c r="AET5" i="2"/>
  <c r="KA4" i="2"/>
  <c r="KB5" i="2"/>
  <c r="DV6" i="1"/>
  <c r="DW7" i="1"/>
  <c r="ZK8" i="2" l="1"/>
  <c r="ZK11" i="2"/>
  <c r="DR13" i="1"/>
  <c r="DR14" i="1" s="1"/>
  <c r="DR15" i="1" s="1"/>
  <c r="DR18" i="1" s="1"/>
  <c r="DR20" i="1" s="1"/>
  <c r="ZK9" i="2"/>
  <c r="ZJ6" i="2"/>
  <c r="DS8" i="1" s="1"/>
  <c r="DS10" i="1" s="1"/>
  <c r="DS13" i="1" s="1"/>
  <c r="DS14" i="1" s="1"/>
  <c r="DS15" i="1" s="1"/>
  <c r="DS18" i="1" s="1"/>
  <c r="DS20" i="1" s="1"/>
  <c r="DS11" i="1"/>
  <c r="ZK7" i="2"/>
  <c r="ZK10" i="2"/>
  <c r="KB13" i="2"/>
  <c r="KB8" i="2"/>
  <c r="KB12" i="2"/>
  <c r="KB10" i="2"/>
  <c r="KB11" i="2"/>
  <c r="KB9" i="2"/>
  <c r="KB7" i="2"/>
  <c r="UI3" i="2"/>
  <c r="UH13" i="2"/>
  <c r="EW12" i="2"/>
  <c r="EW10" i="2"/>
  <c r="EW13" i="2"/>
  <c r="EW11" i="2"/>
  <c r="EW8" i="2"/>
  <c r="EW7" i="2"/>
  <c r="EW9" i="2"/>
  <c r="AUF7" i="2"/>
  <c r="AUF10" i="2"/>
  <c r="AUF9" i="2"/>
  <c r="AUF11" i="2"/>
  <c r="AUF12" i="2"/>
  <c r="AUF13" i="2"/>
  <c r="AUF8" i="2"/>
  <c r="UH12" i="2"/>
  <c r="UI12" i="2" s="1"/>
  <c r="AOW6" i="2"/>
  <c r="ZK12" i="2"/>
  <c r="UH10" i="2"/>
  <c r="AJS6" i="2"/>
  <c r="AES6" i="2"/>
  <c r="DX9" i="1" s="1"/>
  <c r="ZK13" i="2"/>
  <c r="UH11" i="2"/>
  <c r="UI11" i="2" s="1"/>
  <c r="AET7" i="2"/>
  <c r="AET10" i="2"/>
  <c r="AET11" i="2"/>
  <c r="AET13" i="2"/>
  <c r="AET12" i="2"/>
  <c r="AET9" i="2"/>
  <c r="AET8" i="2"/>
  <c r="DV17" i="1"/>
  <c r="DV12" i="1"/>
  <c r="UH7" i="2"/>
  <c r="UI7" i="2" s="1"/>
  <c r="AUE6" i="2"/>
  <c r="DX19" i="1" s="1"/>
  <c r="UH9" i="2"/>
  <c r="UI9" i="2" s="1"/>
  <c r="PD3" i="2"/>
  <c r="PC9" i="2"/>
  <c r="PC8" i="2"/>
  <c r="PC11" i="2"/>
  <c r="ZL11" i="2" s="1"/>
  <c r="PC7" i="2"/>
  <c r="PC12" i="2"/>
  <c r="PC13" i="2"/>
  <c r="PC10" i="2"/>
  <c r="ZL10" i="2" s="1"/>
  <c r="AOX8" i="2"/>
  <c r="AOX13" i="2"/>
  <c r="AOX11" i="2"/>
  <c r="AOX12" i="2"/>
  <c r="AOX9" i="2"/>
  <c r="AOX10" i="2"/>
  <c r="AOX7" i="2"/>
  <c r="AJT8" i="2"/>
  <c r="AJT11" i="2"/>
  <c r="AJT7" i="2"/>
  <c r="AJT12" i="2"/>
  <c r="AJT13" i="2"/>
  <c r="AJT10" i="2"/>
  <c r="AJT9" i="2"/>
  <c r="UH8" i="2"/>
  <c r="UI8" i="2" s="1"/>
  <c r="ZO3" i="2"/>
  <c r="ZP4" i="2"/>
  <c r="ZQ5" i="2"/>
  <c r="UK4" i="2"/>
  <c r="UL5" i="2"/>
  <c r="PG5" i="2"/>
  <c r="PF4" i="2"/>
  <c r="EX5" i="2"/>
  <c r="EW4" i="2"/>
  <c r="AUG5" i="2"/>
  <c r="AUF4" i="2"/>
  <c r="APC4" i="2"/>
  <c r="APD5" i="2"/>
  <c r="AJY5" i="2"/>
  <c r="AJX4" i="2"/>
  <c r="AEU5" i="2"/>
  <c r="AET4" i="2"/>
  <c r="KB4" i="2"/>
  <c r="KC5" i="2"/>
  <c r="DW6" i="1"/>
  <c r="DX7" i="1"/>
  <c r="ZL12" i="2" l="1"/>
  <c r="ZL7" i="2"/>
  <c r="ZK6" i="2"/>
  <c r="DT8" i="1" s="1"/>
  <c r="DT10" i="1" s="1"/>
  <c r="DT11" i="1"/>
  <c r="ZL13" i="2"/>
  <c r="UI10" i="2"/>
  <c r="AUF6" i="2"/>
  <c r="DY19" i="1" s="1"/>
  <c r="DT13" i="1"/>
  <c r="DT14" i="1" s="1"/>
  <c r="DT15" i="1" s="1"/>
  <c r="DT18" i="1" s="1"/>
  <c r="DT20" i="1" s="1"/>
  <c r="PE3" i="2"/>
  <c r="PD12" i="2"/>
  <c r="ZM12" i="2" s="1"/>
  <c r="PD10" i="2"/>
  <c r="PD13" i="2"/>
  <c r="PD9" i="2"/>
  <c r="ZM9" i="2" s="1"/>
  <c r="PD8" i="2"/>
  <c r="ZM8" i="2" s="1"/>
  <c r="PD11" i="2"/>
  <c r="ZM11" i="2" s="1"/>
  <c r="PD7" i="2"/>
  <c r="ZM7" i="2" s="1"/>
  <c r="AET6" i="2"/>
  <c r="DY9" i="1" s="1"/>
  <c r="EX12" i="2"/>
  <c r="EX10" i="2"/>
  <c r="EX7" i="2"/>
  <c r="EX13" i="2"/>
  <c r="EX11" i="2"/>
  <c r="EX8" i="2"/>
  <c r="EX9" i="2"/>
  <c r="AEU10" i="2"/>
  <c r="AEU7" i="2"/>
  <c r="AEU12" i="2"/>
  <c r="AEU13" i="2"/>
  <c r="AEU11" i="2"/>
  <c r="AEU9" i="2"/>
  <c r="AEU8" i="2"/>
  <c r="KC12" i="2"/>
  <c r="KC13" i="2"/>
  <c r="KC8" i="2"/>
  <c r="KC11" i="2"/>
  <c r="KC7" i="2"/>
  <c r="KC9" i="2"/>
  <c r="KC10" i="2"/>
  <c r="UJ7" i="2"/>
  <c r="UJ3" i="2"/>
  <c r="UI13" i="2"/>
  <c r="AJT6" i="2"/>
  <c r="AUG10" i="2"/>
  <c r="AUG7" i="2"/>
  <c r="AUG11" i="2"/>
  <c r="AUG9" i="2"/>
  <c r="AUG13" i="2"/>
  <c r="AUG12" i="2"/>
  <c r="AUG8" i="2"/>
  <c r="ZL8" i="2"/>
  <c r="DW12" i="1"/>
  <c r="DW17" i="1"/>
  <c r="AOX6" i="2"/>
  <c r="ZL9" i="2"/>
  <c r="ZL6" i="2" s="1"/>
  <c r="DU8" i="1" s="1"/>
  <c r="DU10" i="1" s="1"/>
  <c r="AOY12" i="2"/>
  <c r="AOY13" i="2"/>
  <c r="AOY11" i="2"/>
  <c r="AOY7" i="2"/>
  <c r="AOY8" i="2"/>
  <c r="AOY9" i="2"/>
  <c r="AOY10" i="2"/>
  <c r="AJU12" i="2"/>
  <c r="AJU10" i="2"/>
  <c r="AJU13" i="2"/>
  <c r="AJU11" i="2"/>
  <c r="AJU9" i="2"/>
  <c r="AJU7" i="2"/>
  <c r="AJU8" i="2"/>
  <c r="ZP3" i="2"/>
  <c r="ZQ4" i="2"/>
  <c r="ZR5" i="2"/>
  <c r="PH5" i="2"/>
  <c r="PG4" i="2"/>
  <c r="UL4" i="2"/>
  <c r="UM5" i="2"/>
  <c r="EY5" i="2"/>
  <c r="EX4" i="2"/>
  <c r="AUH5" i="2"/>
  <c r="AUG4" i="2"/>
  <c r="APE5" i="2"/>
  <c r="APD4" i="2"/>
  <c r="AJZ5" i="2"/>
  <c r="AJY4" i="2"/>
  <c r="AEV5" i="2"/>
  <c r="AEU4" i="2"/>
  <c r="KD5" i="2"/>
  <c r="KC4" i="2"/>
  <c r="DX6" i="1"/>
  <c r="DY7" i="1"/>
  <c r="UJ10" i="2" l="1"/>
  <c r="ZM10" i="2"/>
  <c r="AJU6" i="2"/>
  <c r="UK7" i="2"/>
  <c r="AUG6" i="2"/>
  <c r="DZ19" i="1" s="1"/>
  <c r="UK3" i="2"/>
  <c r="UK10" i="2" s="1"/>
  <c r="UJ13" i="2"/>
  <c r="UJ11" i="2"/>
  <c r="UK11" i="2" s="1"/>
  <c r="ZM13" i="2"/>
  <c r="AEU6" i="2"/>
  <c r="DZ9" i="1" s="1"/>
  <c r="UJ12" i="2"/>
  <c r="UK12" i="2" s="1"/>
  <c r="DX12" i="1"/>
  <c r="DX17" i="1"/>
  <c r="KD12" i="2"/>
  <c r="KD8" i="2"/>
  <c r="KD13" i="2"/>
  <c r="KD7" i="2"/>
  <c r="KD10" i="2"/>
  <c r="KD9" i="2"/>
  <c r="KD11" i="2"/>
  <c r="AUH7" i="2"/>
  <c r="AUH10" i="2"/>
  <c r="AUH11" i="2"/>
  <c r="AUH12" i="2"/>
  <c r="AUH13" i="2"/>
  <c r="AUH9" i="2"/>
  <c r="AUH8" i="2"/>
  <c r="AOZ8" i="2"/>
  <c r="AOZ13" i="2"/>
  <c r="AOZ9" i="2"/>
  <c r="AOZ10" i="2"/>
  <c r="AOZ7" i="2"/>
  <c r="AOZ12" i="2"/>
  <c r="AOZ11" i="2"/>
  <c r="AJV12" i="2"/>
  <c r="AJV11" i="2"/>
  <c r="AJV7" i="2"/>
  <c r="AJV13" i="2"/>
  <c r="AJV8" i="2"/>
  <c r="AJV10" i="2"/>
  <c r="AJV9" i="2"/>
  <c r="AOY6" i="2"/>
  <c r="DV11" i="1" s="1"/>
  <c r="DU11" i="1"/>
  <c r="DU13" i="1" s="1"/>
  <c r="DU14" i="1" s="1"/>
  <c r="DU15" i="1" s="1"/>
  <c r="DU18" i="1" s="1"/>
  <c r="DU20" i="1" s="1"/>
  <c r="AEV10" i="2"/>
  <c r="AEV7" i="2"/>
  <c r="AEV12" i="2"/>
  <c r="AEV11" i="2"/>
  <c r="AEV13" i="2"/>
  <c r="AEV9" i="2"/>
  <c r="AEV8" i="2"/>
  <c r="EY13" i="2"/>
  <c r="EY7" i="2"/>
  <c r="EY11" i="2"/>
  <c r="EY12" i="2"/>
  <c r="EY10" i="2"/>
  <c r="EY9" i="2"/>
  <c r="EY8" i="2"/>
  <c r="UJ8" i="2"/>
  <c r="UK8" i="2" s="1"/>
  <c r="UJ9" i="2"/>
  <c r="UK9" i="2" s="1"/>
  <c r="PF3" i="2"/>
  <c r="PE9" i="2"/>
  <c r="PE7" i="2"/>
  <c r="ZN7" i="2" s="1"/>
  <c r="PE10" i="2"/>
  <c r="ZN10" i="2" s="1"/>
  <c r="PE12" i="2"/>
  <c r="ZN12" i="2" s="1"/>
  <c r="PE11" i="2"/>
  <c r="ZN11" i="2" s="1"/>
  <c r="PE13" i="2"/>
  <c r="ZN13" i="2" s="1"/>
  <c r="PE8" i="2"/>
  <c r="ZQ3" i="2"/>
  <c r="ZS5" i="2"/>
  <c r="ZR4" i="2"/>
  <c r="UN5" i="2"/>
  <c r="UM4" i="2"/>
  <c r="PI5" i="2"/>
  <c r="PH4" i="2"/>
  <c r="EZ5" i="2"/>
  <c r="EY4" i="2"/>
  <c r="AUI5" i="2"/>
  <c r="AUH4" i="2"/>
  <c r="APF5" i="2"/>
  <c r="APE4" i="2"/>
  <c r="AKA5" i="2"/>
  <c r="AJZ4" i="2"/>
  <c r="AEW5" i="2"/>
  <c r="AEV4" i="2"/>
  <c r="KE5" i="2"/>
  <c r="KD4" i="2"/>
  <c r="DY6" i="1"/>
  <c r="DZ7" i="1"/>
  <c r="ZM6" i="2" l="1"/>
  <c r="DV8" i="1" s="1"/>
  <c r="DV10" i="1" s="1"/>
  <c r="DV13" i="1" s="1"/>
  <c r="DV14" i="1" s="1"/>
  <c r="DV15" i="1" s="1"/>
  <c r="DV18" i="1" s="1"/>
  <c r="DV20" i="1" s="1"/>
  <c r="ZN8" i="2"/>
  <c r="ZN9" i="2"/>
  <c r="AEW7" i="2"/>
  <c r="AEW10" i="2"/>
  <c r="AEW11" i="2"/>
  <c r="AEW12" i="2"/>
  <c r="AEW9" i="2"/>
  <c r="AEW13" i="2"/>
  <c r="AEW8" i="2"/>
  <c r="AEV6" i="2"/>
  <c r="EA9" i="1" s="1"/>
  <c r="AOZ6" i="2"/>
  <c r="AUH6" i="2"/>
  <c r="EA19" i="1" s="1"/>
  <c r="APA9" i="2"/>
  <c r="APA8" i="2"/>
  <c r="APA12" i="2"/>
  <c r="APA11" i="2"/>
  <c r="APA13" i="2"/>
  <c r="APA7" i="2"/>
  <c r="APA10" i="2"/>
  <c r="AJW9" i="2"/>
  <c r="AJW8" i="2"/>
  <c r="AJW7" i="2"/>
  <c r="AJW11" i="2"/>
  <c r="AJW13" i="2"/>
  <c r="AJW12" i="2"/>
  <c r="AJW10" i="2"/>
  <c r="EZ9" i="2"/>
  <c r="EZ13" i="2"/>
  <c r="EZ11" i="2"/>
  <c r="EZ12" i="2"/>
  <c r="EZ10" i="2"/>
  <c r="EZ7" i="2"/>
  <c r="EZ8" i="2"/>
  <c r="UL3" i="2"/>
  <c r="UL7" i="2" s="1"/>
  <c r="UK13" i="2"/>
  <c r="AUI10" i="2"/>
  <c r="AUI7" i="2"/>
  <c r="AUI11" i="2"/>
  <c r="AUI12" i="2"/>
  <c r="AUI9" i="2"/>
  <c r="AUI13" i="2"/>
  <c r="AUI8" i="2"/>
  <c r="PG3" i="2"/>
  <c r="PF10" i="2"/>
  <c r="ZO10" i="2" s="1"/>
  <c r="PF9" i="2"/>
  <c r="ZO9" i="2" s="1"/>
  <c r="PF8" i="2"/>
  <c r="ZO8" i="2" s="1"/>
  <c r="PF12" i="2"/>
  <c r="ZO12" i="2" s="1"/>
  <c r="PF11" i="2"/>
  <c r="ZO11" i="2" s="1"/>
  <c r="PF7" i="2"/>
  <c r="ZO7" i="2" s="1"/>
  <c r="PF13" i="2"/>
  <c r="AJV6" i="2"/>
  <c r="DW11" i="1" s="1"/>
  <c r="DY12" i="1"/>
  <c r="DY17" i="1"/>
  <c r="ZN6" i="2"/>
  <c r="DW8" i="1" s="1"/>
  <c r="DW10" i="1" s="1"/>
  <c r="KE13" i="2"/>
  <c r="KE12" i="2"/>
  <c r="KE8" i="2"/>
  <c r="KE7" i="2"/>
  <c r="KE10" i="2"/>
  <c r="KE11" i="2"/>
  <c r="KE9" i="2"/>
  <c r="ZR3" i="2"/>
  <c r="ZT5" i="2"/>
  <c r="ZS4" i="2"/>
  <c r="PJ5" i="2"/>
  <c r="PI4" i="2"/>
  <c r="UN4" i="2"/>
  <c r="UO5" i="2"/>
  <c r="EZ4" i="2"/>
  <c r="FA5" i="2"/>
  <c r="AUJ5" i="2"/>
  <c r="AUI4" i="2"/>
  <c r="APG5" i="2"/>
  <c r="APF4" i="2"/>
  <c r="AKB5" i="2"/>
  <c r="AKA4" i="2"/>
  <c r="AEX5" i="2"/>
  <c r="AEW4" i="2"/>
  <c r="KF5" i="2"/>
  <c r="KE4" i="2"/>
  <c r="DZ6" i="1"/>
  <c r="EA7" i="1"/>
  <c r="APA6" i="2" l="1"/>
  <c r="DW13" i="1"/>
  <c r="DW14" i="1" s="1"/>
  <c r="DW15" i="1" s="1"/>
  <c r="DW18" i="1" s="1"/>
  <c r="DW20" i="1" s="1"/>
  <c r="UL11" i="2"/>
  <c r="UL8" i="2"/>
  <c r="AUI6" i="2"/>
  <c r="EB19" i="1" s="1"/>
  <c r="AEW6" i="2"/>
  <c r="EB9" i="1" s="1"/>
  <c r="UM3" i="2"/>
  <c r="UL13" i="2"/>
  <c r="AJW6" i="2"/>
  <c r="KF7" i="2"/>
  <c r="KF13" i="2"/>
  <c r="KF8" i="2"/>
  <c r="KF12" i="2"/>
  <c r="KF11" i="2"/>
  <c r="KF10" i="2"/>
  <c r="KF9" i="2"/>
  <c r="APB10" i="2"/>
  <c r="APB12" i="2"/>
  <c r="APB8" i="2"/>
  <c r="APB9" i="2"/>
  <c r="APB13" i="2"/>
  <c r="APB7" i="2"/>
  <c r="APB11" i="2"/>
  <c r="AJX13" i="2"/>
  <c r="AJX9" i="2"/>
  <c r="AJX11" i="2"/>
  <c r="AJX12" i="2"/>
  <c r="AJX7" i="2"/>
  <c r="AJX8" i="2"/>
  <c r="AJX10" i="2"/>
  <c r="FA13" i="2"/>
  <c r="FA11" i="2"/>
  <c r="FA10" i="2"/>
  <c r="FA12" i="2"/>
  <c r="FA7" i="2"/>
  <c r="FA9" i="2"/>
  <c r="FA8" i="2"/>
  <c r="UL9" i="2"/>
  <c r="PH3" i="2"/>
  <c r="PG10" i="2"/>
  <c r="PG7" i="2"/>
  <c r="ZP7" i="2" s="1"/>
  <c r="PG8" i="2"/>
  <c r="PG9" i="2"/>
  <c r="PG13" i="2"/>
  <c r="PG11" i="2"/>
  <c r="ZP11" i="2" s="1"/>
  <c r="PG12" i="2"/>
  <c r="DZ12" i="1"/>
  <c r="DZ17" i="1"/>
  <c r="AUJ7" i="2"/>
  <c r="AUJ10" i="2"/>
  <c r="AUJ11" i="2"/>
  <c r="AUJ12" i="2"/>
  <c r="AUJ13" i="2"/>
  <c r="AUJ9" i="2"/>
  <c r="AUJ8" i="2"/>
  <c r="AEX7" i="2"/>
  <c r="AEX10" i="2"/>
  <c r="AEX12" i="2"/>
  <c r="AEX11" i="2"/>
  <c r="AEX13" i="2"/>
  <c r="AEX9" i="2"/>
  <c r="AEX8" i="2"/>
  <c r="UL10" i="2"/>
  <c r="ZO13" i="2"/>
  <c r="ZO6" i="2" s="1"/>
  <c r="DX8" i="1" s="1"/>
  <c r="DX10" i="1" s="1"/>
  <c r="UL12" i="2"/>
  <c r="ZS3" i="2"/>
  <c r="ZU5" i="2"/>
  <c r="ZT4" i="2"/>
  <c r="UO4" i="2"/>
  <c r="UP5" i="2"/>
  <c r="PK5" i="2"/>
  <c r="PJ4" i="2"/>
  <c r="FB5" i="2"/>
  <c r="FA4" i="2"/>
  <c r="AUJ4" i="2"/>
  <c r="AUK5" i="2"/>
  <c r="APH5" i="2"/>
  <c r="APG4" i="2"/>
  <c r="AKB4" i="2"/>
  <c r="AKC5" i="2"/>
  <c r="AEY5" i="2"/>
  <c r="AEX4" i="2"/>
  <c r="KG5" i="2"/>
  <c r="KF4" i="2"/>
  <c r="EB7" i="1"/>
  <c r="EA6" i="1"/>
  <c r="DX11" i="1" l="1"/>
  <c r="DX13" i="1" s="1"/>
  <c r="DX14" i="1" s="1"/>
  <c r="DX15" i="1" s="1"/>
  <c r="DX18" i="1" s="1"/>
  <c r="DX20" i="1" s="1"/>
  <c r="ZP13" i="2"/>
  <c r="ZP8" i="2"/>
  <c r="ZP9" i="2"/>
  <c r="AJX6" i="2"/>
  <c r="EA17" i="1"/>
  <c r="EA12" i="1"/>
  <c r="ZP10" i="2"/>
  <c r="AUK10" i="2"/>
  <c r="AUK7" i="2"/>
  <c r="AUK9" i="2"/>
  <c r="AUK12" i="2"/>
  <c r="AUK11" i="2"/>
  <c r="AUK13" i="2"/>
  <c r="AUK8" i="2"/>
  <c r="PI3" i="2"/>
  <c r="PH7" i="2"/>
  <c r="PH9" i="2"/>
  <c r="PH8" i="2"/>
  <c r="PH12" i="2"/>
  <c r="PH10" i="2"/>
  <c r="PH11" i="2"/>
  <c r="PH13" i="2"/>
  <c r="UN3" i="2"/>
  <c r="UM13" i="2"/>
  <c r="KG13" i="2"/>
  <c r="KG8" i="2"/>
  <c r="KG12" i="2"/>
  <c r="KG7" i="2"/>
  <c r="KG9" i="2"/>
  <c r="KG10" i="2"/>
  <c r="KG11" i="2"/>
  <c r="UM12" i="2"/>
  <c r="UN12" i="2" s="1"/>
  <c r="AUJ6" i="2"/>
  <c r="EC19" i="1" s="1"/>
  <c r="ZP12" i="2"/>
  <c r="ZP6" i="2" s="1"/>
  <c r="DY8" i="1" s="1"/>
  <c r="DY10" i="1" s="1"/>
  <c r="AEX6" i="2"/>
  <c r="EC9" i="1" s="1"/>
  <c r="UM8" i="2"/>
  <c r="UN8" i="2" s="1"/>
  <c r="UM11" i="2"/>
  <c r="UN11" i="2" s="1"/>
  <c r="AEY7" i="2"/>
  <c r="AEY10" i="2"/>
  <c r="AEY13" i="2"/>
  <c r="AEY11" i="2"/>
  <c r="AEY9" i="2"/>
  <c r="AEY12" i="2"/>
  <c r="AEY8" i="2"/>
  <c r="FB13" i="2"/>
  <c r="FB11" i="2"/>
  <c r="FB12" i="2"/>
  <c r="FB10" i="2"/>
  <c r="FB8" i="2"/>
  <c r="FB7" i="2"/>
  <c r="FB9" i="2"/>
  <c r="UM10" i="2"/>
  <c r="UN10" i="2" s="1"/>
  <c r="APC10" i="2"/>
  <c r="APC7" i="2"/>
  <c r="APC12" i="2"/>
  <c r="APC9" i="2"/>
  <c r="APC13" i="2"/>
  <c r="APC11" i="2"/>
  <c r="APC8" i="2"/>
  <c r="AJY12" i="2"/>
  <c r="AJY10" i="2"/>
  <c r="AJY8" i="2"/>
  <c r="AJY7" i="2"/>
  <c r="AJY11" i="2"/>
  <c r="AJY13" i="2"/>
  <c r="AJY9" i="2"/>
  <c r="UM9" i="2"/>
  <c r="UN9" i="2" s="1"/>
  <c r="APB6" i="2"/>
  <c r="UM7" i="2"/>
  <c r="UN7" i="2" s="1"/>
  <c r="ZT3" i="2"/>
  <c r="ZV5" i="2"/>
  <c r="ZU4" i="2"/>
  <c r="PL5" i="2"/>
  <c r="PK4" i="2"/>
  <c r="UP4" i="2"/>
  <c r="UQ5" i="2"/>
  <c r="FC5" i="2"/>
  <c r="FB4" i="2"/>
  <c r="AUK4" i="2"/>
  <c r="AUL5" i="2"/>
  <c r="APH4" i="2"/>
  <c r="API5" i="2"/>
  <c r="AKC4" i="2"/>
  <c r="AKD5" i="2"/>
  <c r="AEY4" i="2"/>
  <c r="AEZ5" i="2"/>
  <c r="KG4" i="2"/>
  <c r="KH5" i="2"/>
  <c r="EC7" i="1"/>
  <c r="EB6" i="1"/>
  <c r="ZQ11" i="2" l="1"/>
  <c r="AEY6" i="2"/>
  <c r="ED9" i="1" s="1"/>
  <c r="ZQ10" i="2"/>
  <c r="UO3" i="2"/>
  <c r="UO10" i="2" s="1"/>
  <c r="UN13" i="2"/>
  <c r="ZQ12" i="2"/>
  <c r="ZQ8" i="2"/>
  <c r="UO8" i="2"/>
  <c r="AUL7" i="2"/>
  <c r="AUL10" i="2"/>
  <c r="AUL13" i="2"/>
  <c r="AUL9" i="2"/>
  <c r="AUL12" i="2"/>
  <c r="AUL11" i="2"/>
  <c r="AUL8" i="2"/>
  <c r="ZQ9" i="2"/>
  <c r="AUK6" i="2"/>
  <c r="ED19" i="1" s="1"/>
  <c r="APD7" i="2"/>
  <c r="APD13" i="2"/>
  <c r="APD11" i="2"/>
  <c r="APD8" i="2"/>
  <c r="APD12" i="2"/>
  <c r="APD10" i="2"/>
  <c r="APD9" i="2"/>
  <c r="AJZ11" i="2"/>
  <c r="AJZ12" i="2"/>
  <c r="AJZ8" i="2"/>
  <c r="AJZ10" i="2"/>
  <c r="AJZ13" i="2"/>
  <c r="AJZ9" i="2"/>
  <c r="AJZ7" i="2"/>
  <c r="APC6" i="2"/>
  <c r="EB17" i="1"/>
  <c r="EB12" i="1"/>
  <c r="ZQ7" i="2"/>
  <c r="DY11" i="1"/>
  <c r="DY13" i="1" s="1"/>
  <c r="DY14" i="1" s="1"/>
  <c r="DY15" i="1" s="1"/>
  <c r="DY18" i="1" s="1"/>
  <c r="DY20" i="1" s="1"/>
  <c r="UO9" i="2"/>
  <c r="KH13" i="2"/>
  <c r="KH12" i="2"/>
  <c r="KH8" i="2"/>
  <c r="KH10" i="2"/>
  <c r="KH7" i="2"/>
  <c r="KH9" i="2"/>
  <c r="KH11" i="2"/>
  <c r="AEZ7" i="2"/>
  <c r="AEZ10" i="2"/>
  <c r="AEZ11" i="2"/>
  <c r="AEZ13" i="2"/>
  <c r="AEZ12" i="2"/>
  <c r="AEZ9" i="2"/>
  <c r="AEZ8" i="2"/>
  <c r="PJ3" i="2"/>
  <c r="PI7" i="2"/>
  <c r="ZR7" i="2" s="1"/>
  <c r="PI11" i="2"/>
  <c r="ZR11" i="2" s="1"/>
  <c r="PI12" i="2"/>
  <c r="ZR12" i="2" s="1"/>
  <c r="PI8" i="2"/>
  <c r="ZR8" i="2" s="1"/>
  <c r="PI10" i="2"/>
  <c r="ZR10" i="2" s="1"/>
  <c r="PI13" i="2"/>
  <c r="PI9" i="2"/>
  <c r="ZR9" i="2" s="1"/>
  <c r="FC12" i="2"/>
  <c r="FC8" i="2"/>
  <c r="FC11" i="2"/>
  <c r="FC13" i="2"/>
  <c r="FC10" i="2"/>
  <c r="FC7" i="2"/>
  <c r="FC9" i="2"/>
  <c r="AJY6" i="2"/>
  <c r="ZQ13" i="2"/>
  <c r="ZU3" i="2"/>
  <c r="ZV4" i="2"/>
  <c r="ZW5" i="2"/>
  <c r="UQ4" i="2"/>
  <c r="UR5" i="2"/>
  <c r="PM5" i="2"/>
  <c r="PL4" i="2"/>
  <c r="FC4" i="2"/>
  <c r="FD5" i="2"/>
  <c r="AUM5" i="2"/>
  <c r="AUL4" i="2"/>
  <c r="API4" i="2"/>
  <c r="APJ5" i="2"/>
  <c r="AKD4" i="2"/>
  <c r="AKE5" i="2"/>
  <c r="AEZ4" i="2"/>
  <c r="AFA5" i="2"/>
  <c r="KH4" i="2"/>
  <c r="KI5" i="2"/>
  <c r="ED7" i="1"/>
  <c r="EC6" i="1"/>
  <c r="ZR13" i="2" l="1"/>
  <c r="APD6" i="2"/>
  <c r="UO7" i="2"/>
  <c r="APE13" i="2"/>
  <c r="APE10" i="2"/>
  <c r="APE7" i="2"/>
  <c r="APE9" i="2"/>
  <c r="APE11" i="2"/>
  <c r="APE8" i="2"/>
  <c r="APE12" i="2"/>
  <c r="AKA8" i="2"/>
  <c r="AKA13" i="2"/>
  <c r="AKA10" i="2"/>
  <c r="AKA11" i="2"/>
  <c r="AKA12" i="2"/>
  <c r="AKA9" i="2"/>
  <c r="AKA7" i="2"/>
  <c r="AKA6" i="2" s="1"/>
  <c r="AFA10" i="2"/>
  <c r="AFA7" i="2"/>
  <c r="AFA11" i="2"/>
  <c r="AFA12" i="2"/>
  <c r="AFA13" i="2"/>
  <c r="AFA9" i="2"/>
  <c r="AFA8" i="2"/>
  <c r="FD10" i="2"/>
  <c r="FD12" i="2"/>
  <c r="FD13" i="2"/>
  <c r="FD11" i="2"/>
  <c r="FD8" i="2"/>
  <c r="FD7" i="2"/>
  <c r="FD9" i="2"/>
  <c r="PK3" i="2"/>
  <c r="PJ8" i="2"/>
  <c r="ZS8" i="2" s="1"/>
  <c r="PJ13" i="2"/>
  <c r="PJ12" i="2"/>
  <c r="PJ10" i="2"/>
  <c r="ZS10" i="2" s="1"/>
  <c r="PJ11" i="2"/>
  <c r="PJ7" i="2"/>
  <c r="PJ9" i="2"/>
  <c r="ZS9" i="2" s="1"/>
  <c r="ZQ6" i="2"/>
  <c r="DZ8" i="1" s="1"/>
  <c r="DZ10" i="1" s="1"/>
  <c r="AUL6" i="2"/>
  <c r="EE19" i="1" s="1"/>
  <c r="KI12" i="2"/>
  <c r="KI13" i="2"/>
  <c r="KI8" i="2"/>
  <c r="KI11" i="2"/>
  <c r="KI7" i="2"/>
  <c r="KI10" i="2"/>
  <c r="KI9" i="2"/>
  <c r="DZ11" i="1"/>
  <c r="ZR6" i="2"/>
  <c r="EA8" i="1" s="1"/>
  <c r="EA10" i="1" s="1"/>
  <c r="AJZ6" i="2"/>
  <c r="EA11" i="1" s="1"/>
  <c r="UP3" i="2"/>
  <c r="UP8" i="2" s="1"/>
  <c r="UO13" i="2"/>
  <c r="AUM10" i="2"/>
  <c r="AUM7" i="2"/>
  <c r="AUM12" i="2"/>
  <c r="AUM11" i="2"/>
  <c r="AUM9" i="2"/>
  <c r="AUM13" i="2"/>
  <c r="AUM8" i="2"/>
  <c r="AEZ6" i="2"/>
  <c r="EE9" i="1" s="1"/>
  <c r="UO11" i="2"/>
  <c r="EC17" i="1"/>
  <c r="EC12" i="1"/>
  <c r="UO12" i="2"/>
  <c r="ZV3" i="2"/>
  <c r="ZW4" i="2"/>
  <c r="ZX5" i="2"/>
  <c r="PN5" i="2"/>
  <c r="PM4" i="2"/>
  <c r="US5" i="2"/>
  <c r="UR4" i="2"/>
  <c r="FD4" i="2"/>
  <c r="FE5" i="2"/>
  <c r="AUM4" i="2"/>
  <c r="AUN5" i="2"/>
  <c r="APJ4" i="2"/>
  <c r="APK5" i="2"/>
  <c r="AKE4" i="2"/>
  <c r="AKF5" i="2"/>
  <c r="AFA4" i="2"/>
  <c r="AFB5" i="2"/>
  <c r="KI4" i="2"/>
  <c r="KJ5" i="2"/>
  <c r="ED6" i="1"/>
  <c r="EE7" i="1"/>
  <c r="ZS7" i="2" l="1"/>
  <c r="FE7" i="2"/>
  <c r="FE12" i="2"/>
  <c r="FE10" i="2"/>
  <c r="FE11" i="2"/>
  <c r="FE13" i="2"/>
  <c r="FE8" i="2"/>
  <c r="FE9" i="2"/>
  <c r="ZS11" i="2"/>
  <c r="UP12" i="2"/>
  <c r="APF10" i="2"/>
  <c r="APF11" i="2"/>
  <c r="APF13" i="2"/>
  <c r="APF7" i="2"/>
  <c r="APF12" i="2"/>
  <c r="APF8" i="2"/>
  <c r="APF9" i="2"/>
  <c r="AKB7" i="2"/>
  <c r="AKB10" i="2"/>
  <c r="AKB13" i="2"/>
  <c r="AKB8" i="2"/>
  <c r="AKB11" i="2"/>
  <c r="AKB12" i="2"/>
  <c r="AKB9" i="2"/>
  <c r="EA13" i="1"/>
  <c r="EA14" i="1" s="1"/>
  <c r="EA15" i="1" s="1"/>
  <c r="EA18" i="1" s="1"/>
  <c r="EA20" i="1" s="1"/>
  <c r="AFB10" i="2"/>
  <c r="AFB7" i="2"/>
  <c r="AFB12" i="2"/>
  <c r="AFB13" i="2"/>
  <c r="AFB9" i="2"/>
  <c r="AFB11" i="2"/>
  <c r="AFB8" i="2"/>
  <c r="UQ3" i="2"/>
  <c r="UP13" i="2"/>
  <c r="UP10" i="2"/>
  <c r="UP11" i="2"/>
  <c r="ZS12" i="2"/>
  <c r="APE6" i="2"/>
  <c r="EB11" i="1" s="1"/>
  <c r="ED17" i="1"/>
  <c r="ED12" i="1"/>
  <c r="KJ12" i="2"/>
  <c r="KJ8" i="2"/>
  <c r="KJ13" i="2"/>
  <c r="KJ10" i="2"/>
  <c r="KJ9" i="2"/>
  <c r="KJ7" i="2"/>
  <c r="KJ11" i="2"/>
  <c r="AUN7" i="2"/>
  <c r="AUN10" i="2"/>
  <c r="AUN12" i="2"/>
  <c r="AUN9" i="2"/>
  <c r="AUN13" i="2"/>
  <c r="AUN11" i="2"/>
  <c r="AUN8" i="2"/>
  <c r="UP9" i="2"/>
  <c r="AUM6" i="2"/>
  <c r="EF19" i="1" s="1"/>
  <c r="DZ13" i="1"/>
  <c r="DZ14" i="1" s="1"/>
  <c r="DZ15" i="1" s="1"/>
  <c r="DZ18" i="1" s="1"/>
  <c r="DZ20" i="1" s="1"/>
  <c r="ZS13" i="2"/>
  <c r="UP7" i="2"/>
  <c r="PL3" i="2"/>
  <c r="PK11" i="2"/>
  <c r="PK7" i="2"/>
  <c r="PK10" i="2"/>
  <c r="ZT10" i="2" s="1"/>
  <c r="PK13" i="2"/>
  <c r="PK8" i="2"/>
  <c r="ZT8" i="2" s="1"/>
  <c r="PK12" i="2"/>
  <c r="ZT12" i="2" s="1"/>
  <c r="PK9" i="2"/>
  <c r="AFA6" i="2"/>
  <c r="EF9" i="1" s="1"/>
  <c r="ZW3" i="2"/>
  <c r="ZX4" i="2"/>
  <c r="ZY5" i="2"/>
  <c r="US4" i="2"/>
  <c r="UT5" i="2"/>
  <c r="PO5" i="2"/>
  <c r="PN4" i="2"/>
  <c r="FE4" i="2"/>
  <c r="FF5" i="2"/>
  <c r="AUN4" i="2"/>
  <c r="AUO5" i="2"/>
  <c r="APL5" i="2"/>
  <c r="APK4" i="2"/>
  <c r="AKG5" i="2"/>
  <c r="AKF4" i="2"/>
  <c r="AFB4" i="2"/>
  <c r="AFC5" i="2"/>
  <c r="KJ4" i="2"/>
  <c r="KK5" i="2"/>
  <c r="EE6" i="1"/>
  <c r="EF7" i="1"/>
  <c r="ZT9" i="2" l="1"/>
  <c r="ZT13" i="2"/>
  <c r="ZS6" i="2"/>
  <c r="EB8" i="1" s="1"/>
  <c r="EB10" i="1" s="1"/>
  <c r="EB13" i="1" s="1"/>
  <c r="EB14" i="1" s="1"/>
  <c r="EB15" i="1" s="1"/>
  <c r="EB18" i="1" s="1"/>
  <c r="EB20" i="1" s="1"/>
  <c r="UQ11" i="2"/>
  <c r="UQ7" i="2"/>
  <c r="UQ9" i="2"/>
  <c r="UQ10" i="2"/>
  <c r="UQ12" i="2"/>
  <c r="PM3" i="2"/>
  <c r="PL11" i="2"/>
  <c r="PL8" i="2"/>
  <c r="PL13" i="2"/>
  <c r="PL12" i="2"/>
  <c r="PL9" i="2"/>
  <c r="ZU9" i="2" s="1"/>
  <c r="PL7" i="2"/>
  <c r="PL10" i="2"/>
  <c r="ZU10" i="2" s="1"/>
  <c r="KK12" i="2"/>
  <c r="KK13" i="2"/>
  <c r="KK8" i="2"/>
  <c r="KK10" i="2"/>
  <c r="KK11" i="2"/>
  <c r="KK9" i="2"/>
  <c r="KK7" i="2"/>
  <c r="AUN6" i="2"/>
  <c r="EG19" i="1" s="1"/>
  <c r="APG13" i="2"/>
  <c r="APG9" i="2"/>
  <c r="APG10" i="2"/>
  <c r="APG12" i="2"/>
  <c r="APG7" i="2"/>
  <c r="APG8" i="2"/>
  <c r="APG11" i="2"/>
  <c r="AKC11" i="2"/>
  <c r="AKC10" i="2"/>
  <c r="AKC13" i="2"/>
  <c r="AKC9" i="2"/>
  <c r="AKC7" i="2"/>
  <c r="AKC12" i="2"/>
  <c r="AKC8" i="2"/>
  <c r="AKB6" i="2"/>
  <c r="EE12" i="1"/>
  <c r="EE17" i="1"/>
  <c r="AFC7" i="2"/>
  <c r="AFC10" i="2"/>
  <c r="AFC11" i="2"/>
  <c r="AFC12" i="2"/>
  <c r="AFC13" i="2"/>
  <c r="AFC9" i="2"/>
  <c r="AFC8" i="2"/>
  <c r="FF12" i="2"/>
  <c r="FF10" i="2"/>
  <c r="FF13" i="2"/>
  <c r="FF11" i="2"/>
  <c r="FF7" i="2"/>
  <c r="FF9" i="2"/>
  <c r="FF8" i="2"/>
  <c r="AFB6" i="2"/>
  <c r="EG9" i="1" s="1"/>
  <c r="AUO7" i="2"/>
  <c r="AUO10" i="2"/>
  <c r="AUO11" i="2"/>
  <c r="AUO12" i="2"/>
  <c r="AUO13" i="2"/>
  <c r="AUO9" i="2"/>
  <c r="AUO8" i="2"/>
  <c r="ZT7" i="2"/>
  <c r="APF6" i="2"/>
  <c r="ZT11" i="2"/>
  <c r="UR3" i="2"/>
  <c r="UR10" i="2" s="1"/>
  <c r="UQ13" i="2"/>
  <c r="UQ8" i="2"/>
  <c r="ZX3" i="2"/>
  <c r="ZY4" i="2"/>
  <c r="ZZ5" i="2"/>
  <c r="PP5" i="2"/>
  <c r="PO4" i="2"/>
  <c r="UT4" i="2"/>
  <c r="UU5" i="2"/>
  <c r="FG5" i="2"/>
  <c r="FF4" i="2"/>
  <c r="AUP5" i="2"/>
  <c r="AUO4" i="2"/>
  <c r="APM5" i="2"/>
  <c r="APL4" i="2"/>
  <c r="AKH5" i="2"/>
  <c r="AKG4" i="2"/>
  <c r="AFD5" i="2"/>
  <c r="AFC4" i="2"/>
  <c r="KL5" i="2"/>
  <c r="KK4" i="2"/>
  <c r="EF6" i="1"/>
  <c r="EG7" i="1"/>
  <c r="ZU11" i="2" l="1"/>
  <c r="APG6" i="2"/>
  <c r="ZU12" i="2"/>
  <c r="ZU7" i="2"/>
  <c r="ZU8" i="2"/>
  <c r="ZT6" i="2"/>
  <c r="EC8" i="1" s="1"/>
  <c r="EC10" i="1" s="1"/>
  <c r="US3" i="2"/>
  <c r="UR13" i="2"/>
  <c r="APH7" i="2"/>
  <c r="APH8" i="2"/>
  <c r="APH11" i="2"/>
  <c r="APH10" i="2"/>
  <c r="APH13" i="2"/>
  <c r="APH12" i="2"/>
  <c r="APH9" i="2"/>
  <c r="AKD10" i="2"/>
  <c r="AKD7" i="2"/>
  <c r="AKD12" i="2"/>
  <c r="AKD8" i="2"/>
  <c r="AKD11" i="2"/>
  <c r="AKD13" i="2"/>
  <c r="AKD9" i="2"/>
  <c r="AKC6" i="2"/>
  <c r="ED11" i="1" s="1"/>
  <c r="US10" i="2"/>
  <c r="KL12" i="2"/>
  <c r="KL13" i="2"/>
  <c r="KL8" i="2"/>
  <c r="KL10" i="2"/>
  <c r="KL9" i="2"/>
  <c r="KL7" i="2"/>
  <c r="KL11" i="2"/>
  <c r="AUP7" i="2"/>
  <c r="AUP10" i="2"/>
  <c r="AUP12" i="2"/>
  <c r="AUP11" i="2"/>
  <c r="AUP9" i="2"/>
  <c r="AUP13" i="2"/>
  <c r="AUP8" i="2"/>
  <c r="UR7" i="2"/>
  <c r="US7" i="2" s="1"/>
  <c r="ZU13" i="2"/>
  <c r="AUO6" i="2"/>
  <c r="EH19" i="1" s="1"/>
  <c r="AFD10" i="2"/>
  <c r="AFD7" i="2"/>
  <c r="AFD13" i="2"/>
  <c r="AFD12" i="2"/>
  <c r="AFD9" i="2"/>
  <c r="AFD11" i="2"/>
  <c r="AFD8" i="2"/>
  <c r="FG9" i="2"/>
  <c r="FG13" i="2"/>
  <c r="FG7" i="2"/>
  <c r="FG11" i="2"/>
  <c r="FG10" i="2"/>
  <c r="FG12" i="2"/>
  <c r="FG8" i="2"/>
  <c r="UR12" i="2"/>
  <c r="US12" i="2" s="1"/>
  <c r="EC11" i="1"/>
  <c r="UR9" i="2"/>
  <c r="US9" i="2" s="1"/>
  <c r="EF12" i="1"/>
  <c r="EF17" i="1"/>
  <c r="UR8" i="2"/>
  <c r="US8" i="2" s="1"/>
  <c r="AFC6" i="2"/>
  <c r="EH9" i="1" s="1"/>
  <c r="UR11" i="2"/>
  <c r="US11" i="2" s="1"/>
  <c r="PN3" i="2"/>
  <c r="PM13" i="2"/>
  <c r="PM11" i="2"/>
  <c r="PM10" i="2"/>
  <c r="ZV10" i="2" s="1"/>
  <c r="PM12" i="2"/>
  <c r="PM8" i="2"/>
  <c r="PM9" i="2"/>
  <c r="ZV9" i="2" s="1"/>
  <c r="PM7" i="2"/>
  <c r="ZY3" i="2"/>
  <c r="AAA5" i="2"/>
  <c r="ZZ4" i="2"/>
  <c r="UV5" i="2"/>
  <c r="UU4" i="2"/>
  <c r="PQ5" i="2"/>
  <c r="PP4" i="2"/>
  <c r="FG4" i="2"/>
  <c r="FH5" i="2"/>
  <c r="AUP4" i="2"/>
  <c r="AUQ5" i="2"/>
  <c r="APN5" i="2"/>
  <c r="APM4" i="2"/>
  <c r="AKI5" i="2"/>
  <c r="AKH4" i="2"/>
  <c r="AFE5" i="2"/>
  <c r="AFD4" i="2"/>
  <c r="KM5" i="2"/>
  <c r="KL4" i="2"/>
  <c r="EG6" i="1"/>
  <c r="EH7" i="1"/>
  <c r="ZU6" i="2" l="1"/>
  <c r="ED8" i="1" s="1"/>
  <c r="ED10" i="1" s="1"/>
  <c r="ZV8" i="2"/>
  <c r="EC13" i="1"/>
  <c r="EC14" i="1" s="1"/>
  <c r="EC15" i="1" s="1"/>
  <c r="EC18" i="1" s="1"/>
  <c r="EC20" i="1" s="1"/>
  <c r="ZV7" i="2"/>
  <c r="ED13" i="1"/>
  <c r="ED14" i="1" s="1"/>
  <c r="ED15" i="1" s="1"/>
  <c r="ED18" i="1" s="1"/>
  <c r="ED20" i="1" s="1"/>
  <c r="AUP6" i="2"/>
  <c r="EI19" i="1" s="1"/>
  <c r="ZV13" i="2"/>
  <c r="ZV12" i="2"/>
  <c r="API11" i="2"/>
  <c r="API13" i="2"/>
  <c r="API10" i="2"/>
  <c r="API8" i="2"/>
  <c r="API7" i="2"/>
  <c r="API9" i="2"/>
  <c r="API12" i="2"/>
  <c r="AKE9" i="2"/>
  <c r="AKE11" i="2"/>
  <c r="AKE13" i="2"/>
  <c r="AKE7" i="2"/>
  <c r="AKE10" i="2"/>
  <c r="AKE8" i="2"/>
  <c r="AKE12" i="2"/>
  <c r="EG12" i="1"/>
  <c r="EG17" i="1"/>
  <c r="AKD6" i="2"/>
  <c r="APH6" i="2"/>
  <c r="AUQ10" i="2"/>
  <c r="AUQ7" i="2"/>
  <c r="AUQ11" i="2"/>
  <c r="AUQ12" i="2"/>
  <c r="AUQ9" i="2"/>
  <c r="AUQ13" i="2"/>
  <c r="AUQ8" i="2"/>
  <c r="KM13" i="2"/>
  <c r="KM12" i="2"/>
  <c r="KM8" i="2"/>
  <c r="KM9" i="2"/>
  <c r="KM7" i="2"/>
  <c r="KM10" i="2"/>
  <c r="KM11" i="2"/>
  <c r="UT8" i="2"/>
  <c r="ZV11" i="2"/>
  <c r="FH13" i="2"/>
  <c r="FH11" i="2"/>
  <c r="FH12" i="2"/>
  <c r="FH10" i="2"/>
  <c r="FH7" i="2"/>
  <c r="FH9" i="2"/>
  <c r="FH8" i="2"/>
  <c r="AFE7" i="2"/>
  <c r="AFE10" i="2"/>
  <c r="AFE11" i="2"/>
  <c r="AFE12" i="2"/>
  <c r="AFE13" i="2"/>
  <c r="AFE9" i="2"/>
  <c r="AFE8" i="2"/>
  <c r="PO3" i="2"/>
  <c r="PN10" i="2"/>
  <c r="ZW10" i="2" s="1"/>
  <c r="PN12" i="2"/>
  <c r="ZW12" i="2" s="1"/>
  <c r="PN9" i="2"/>
  <c r="ZW9" i="2" s="1"/>
  <c r="PN13" i="2"/>
  <c r="PN11" i="2"/>
  <c r="ZW11" i="2" s="1"/>
  <c r="PN8" i="2"/>
  <c r="ZW8" i="2" s="1"/>
  <c r="PN7" i="2"/>
  <c r="ZW7" i="2" s="1"/>
  <c r="AFD6" i="2"/>
  <c r="EI9" i="1" s="1"/>
  <c r="UT3" i="2"/>
  <c r="UT10" i="2" s="1"/>
  <c r="US13" i="2"/>
  <c r="ZZ3" i="2"/>
  <c r="AAB5" i="2"/>
  <c r="AAA4" i="2"/>
  <c r="PQ4" i="2"/>
  <c r="PR5" i="2"/>
  <c r="UV4" i="2"/>
  <c r="UW5" i="2"/>
  <c r="FH4" i="2"/>
  <c r="FI5" i="2"/>
  <c r="AUR5" i="2"/>
  <c r="AUQ4" i="2"/>
  <c r="APO5" i="2"/>
  <c r="APO4" i="2" s="1"/>
  <c r="APN4" i="2"/>
  <c r="AKJ5" i="2"/>
  <c r="AKI4" i="2"/>
  <c r="AFF5" i="2"/>
  <c r="AFE4" i="2"/>
  <c r="KN5" i="2"/>
  <c r="KM4" i="2"/>
  <c r="EH6" i="1"/>
  <c r="EI7" i="1"/>
  <c r="ZV6" i="2" l="1"/>
  <c r="EE8" i="1" s="1"/>
  <c r="EE10" i="1" s="1"/>
  <c r="API6" i="2"/>
  <c r="EE11" i="1"/>
  <c r="EE13" i="1" s="1"/>
  <c r="EE14" i="1" s="1"/>
  <c r="EE15" i="1" s="1"/>
  <c r="EE18" i="1" s="1"/>
  <c r="EE20" i="1" s="1"/>
  <c r="AFE6" i="2"/>
  <c r="EJ9" i="1" s="1"/>
  <c r="AFF7" i="2"/>
  <c r="AFF10" i="2"/>
  <c r="AFF11" i="2"/>
  <c r="AFF12" i="2"/>
  <c r="AFF13" i="2"/>
  <c r="AFF9" i="2"/>
  <c r="AFF8" i="2"/>
  <c r="UT12" i="2"/>
  <c r="PP3" i="2"/>
  <c r="PO8" i="2"/>
  <c r="ZX8" i="2" s="1"/>
  <c r="PO12" i="2"/>
  <c r="PO10" i="2"/>
  <c r="ZX10" i="2" s="1"/>
  <c r="PO7" i="2"/>
  <c r="PO9" i="2"/>
  <c r="PO11" i="2"/>
  <c r="PO13" i="2"/>
  <c r="UU3" i="2"/>
  <c r="UT13" i="2"/>
  <c r="UT7" i="2"/>
  <c r="APJ11" i="2"/>
  <c r="APJ8" i="2"/>
  <c r="APJ13" i="2"/>
  <c r="APJ12" i="2"/>
  <c r="APJ7" i="2"/>
  <c r="APJ10" i="2"/>
  <c r="APJ9" i="2"/>
  <c r="AKF8" i="2"/>
  <c r="AKF12" i="2"/>
  <c r="AKF7" i="2"/>
  <c r="AKF10" i="2"/>
  <c r="AKF9" i="2"/>
  <c r="AKF11" i="2"/>
  <c r="AKF13" i="2"/>
  <c r="AKE6" i="2"/>
  <c r="EF11" i="1" s="1"/>
  <c r="ZW13" i="2"/>
  <c r="ZW6" i="2" s="1"/>
  <c r="EF8" i="1" s="1"/>
  <c r="EF10" i="1" s="1"/>
  <c r="AUQ6" i="2"/>
  <c r="EJ19" i="1" s="1"/>
  <c r="FI13" i="2"/>
  <c r="FI11" i="2"/>
  <c r="FI10" i="2"/>
  <c r="FI12" i="2"/>
  <c r="FI8" i="2"/>
  <c r="FI9" i="2"/>
  <c r="FI7" i="2"/>
  <c r="EH12" i="1"/>
  <c r="EH17" i="1"/>
  <c r="KN13" i="2"/>
  <c r="KN8" i="2"/>
  <c r="KN12" i="2"/>
  <c r="KN11" i="2"/>
  <c r="KN7" i="2"/>
  <c r="KN9" i="2"/>
  <c r="KN10" i="2"/>
  <c r="AUR7" i="2"/>
  <c r="AUR10" i="2"/>
  <c r="AUR12" i="2"/>
  <c r="AUR13" i="2"/>
  <c r="AUR9" i="2"/>
  <c r="AUR11" i="2"/>
  <c r="AUR8" i="2"/>
  <c r="UT9" i="2"/>
  <c r="UT11" i="2"/>
  <c r="UU11" i="2" s="1"/>
  <c r="AAC5" i="2"/>
  <c r="AAC4" i="2" s="1"/>
  <c r="AAB4" i="2"/>
  <c r="AAA3" i="2"/>
  <c r="UW4" i="2"/>
  <c r="UX5" i="2"/>
  <c r="PS5" i="2"/>
  <c r="PR4" i="2"/>
  <c r="FJ5" i="2"/>
  <c r="FI4" i="2"/>
  <c r="AUS5" i="2"/>
  <c r="AUR4" i="2"/>
  <c r="AKK5" i="2"/>
  <c r="AKK4" i="2" s="1"/>
  <c r="AKJ4" i="2"/>
  <c r="AFF4" i="2"/>
  <c r="AFG5" i="2"/>
  <c r="KO5" i="2"/>
  <c r="KN4" i="2"/>
  <c r="EJ7" i="1"/>
  <c r="EI6" i="1"/>
  <c r="ZX9" i="2" l="1"/>
  <c r="ZX7" i="2"/>
  <c r="AUR6" i="2"/>
  <c r="EK19" i="1" s="1"/>
  <c r="ZX12" i="2"/>
  <c r="AUS4" i="2"/>
  <c r="AUS7" i="2"/>
  <c r="AUS10" i="2"/>
  <c r="AUS12" i="2"/>
  <c r="AUS13" i="2"/>
  <c r="AUS9" i="2"/>
  <c r="AUS11" i="2"/>
  <c r="AUS8" i="2"/>
  <c r="KO13" i="2"/>
  <c r="KO12" i="2"/>
  <c r="KO8" i="2"/>
  <c r="KO11" i="2"/>
  <c r="KO10" i="2"/>
  <c r="KO7" i="2"/>
  <c r="KO9" i="2"/>
  <c r="FJ13" i="2"/>
  <c r="FJ11" i="2"/>
  <c r="FJ12" i="2"/>
  <c r="FJ10" i="2"/>
  <c r="FJ8" i="2"/>
  <c r="FJ7" i="2"/>
  <c r="FJ9" i="2"/>
  <c r="APJ6" i="2"/>
  <c r="AFG4" i="2"/>
  <c r="AFG7" i="2"/>
  <c r="AFG10" i="2"/>
  <c r="AFG13" i="2"/>
  <c r="AFG11" i="2"/>
  <c r="AFG12" i="2"/>
  <c r="AFG9" i="2"/>
  <c r="AFG8" i="2"/>
  <c r="UU7" i="2"/>
  <c r="UU9" i="2"/>
  <c r="UV9" i="2" s="1"/>
  <c r="EF13" i="1"/>
  <c r="EF14" i="1" s="1"/>
  <c r="EF15" i="1" s="1"/>
  <c r="EF18" i="1" s="1"/>
  <c r="EF20" i="1" s="1"/>
  <c r="UV3" i="2"/>
  <c r="UU13" i="2"/>
  <c r="APK8" i="2"/>
  <c r="APK9" i="2"/>
  <c r="APK7" i="2"/>
  <c r="APK13" i="2"/>
  <c r="APK11" i="2"/>
  <c r="APK12" i="2"/>
  <c r="APK10" i="2"/>
  <c r="AKG11" i="2"/>
  <c r="AKG10" i="2"/>
  <c r="AKG7" i="2"/>
  <c r="AKG13" i="2"/>
  <c r="AKG8" i="2"/>
  <c r="AKG12" i="2"/>
  <c r="AKG9" i="2"/>
  <c r="AKF6" i="2"/>
  <c r="PQ3" i="2"/>
  <c r="PP9" i="2"/>
  <c r="PP7" i="2"/>
  <c r="PP12" i="2"/>
  <c r="PP11" i="2"/>
  <c r="ZY11" i="2" s="1"/>
  <c r="PP8" i="2"/>
  <c r="ZY8" i="2" s="1"/>
  <c r="PP10" i="2"/>
  <c r="PP13" i="2"/>
  <c r="AFF6" i="2"/>
  <c r="EK9" i="1" s="1"/>
  <c r="ZX13" i="2"/>
  <c r="UU12" i="2"/>
  <c r="UV12" i="2" s="1"/>
  <c r="UU8" i="2"/>
  <c r="UV8" i="2" s="1"/>
  <c r="UV11" i="2"/>
  <c r="EI17" i="1"/>
  <c r="EI12" i="1"/>
  <c r="ZX11" i="2"/>
  <c r="UU10" i="2"/>
  <c r="UV10" i="2" s="1"/>
  <c r="AAB3" i="2"/>
  <c r="KO4" i="2"/>
  <c r="PT5" i="2"/>
  <c r="PT4" i="2" s="1"/>
  <c r="PS4" i="2"/>
  <c r="UX4" i="2"/>
  <c r="UY5" i="2"/>
  <c r="UY4" i="2" s="1"/>
  <c r="FJ4" i="2"/>
  <c r="FK5" i="2"/>
  <c r="EK7" i="1"/>
  <c r="EJ6" i="1"/>
  <c r="ZX6" i="2" l="1"/>
  <c r="EG8" i="1" s="1"/>
  <c r="EG10" i="1" s="1"/>
  <c r="ZY13" i="2"/>
  <c r="ZY12" i="2"/>
  <c r="EG11" i="1"/>
  <c r="ZY7" i="2"/>
  <c r="AKG6" i="2"/>
  <c r="ZY10" i="2"/>
  <c r="EJ17" i="1"/>
  <c r="EJ12" i="1"/>
  <c r="APL13" i="2"/>
  <c r="APL8" i="2"/>
  <c r="APL11" i="2"/>
  <c r="APL7" i="2"/>
  <c r="APL9" i="2"/>
  <c r="APL10" i="2"/>
  <c r="APL12" i="2"/>
  <c r="AKH7" i="2"/>
  <c r="AKH9" i="2"/>
  <c r="AKH8" i="2"/>
  <c r="AKH13" i="2"/>
  <c r="AKH12" i="2"/>
  <c r="AKH11" i="2"/>
  <c r="AKH10" i="2"/>
  <c r="UW3" i="2"/>
  <c r="UW12" i="2" s="1"/>
  <c r="UV13" i="2"/>
  <c r="UV7" i="2"/>
  <c r="FK8" i="2"/>
  <c r="FK12" i="2"/>
  <c r="FK13" i="2"/>
  <c r="FK10" i="2"/>
  <c r="FK11" i="2"/>
  <c r="FK7" i="2"/>
  <c r="FK9" i="2"/>
  <c r="ZY9" i="2"/>
  <c r="ZY6" i="2" s="1"/>
  <c r="EH8" i="1" s="1"/>
  <c r="EH10" i="1" s="1"/>
  <c r="AUS6" i="2"/>
  <c r="EL19" i="1" s="1"/>
  <c r="PR3" i="2"/>
  <c r="PQ7" i="2"/>
  <c r="PQ9" i="2"/>
  <c r="ZZ9" i="2" s="1"/>
  <c r="PQ10" i="2"/>
  <c r="ZZ10" i="2" s="1"/>
  <c r="PQ8" i="2"/>
  <c r="ZZ8" i="2" s="1"/>
  <c r="PQ12" i="2"/>
  <c r="ZZ12" i="2" s="1"/>
  <c r="PQ11" i="2"/>
  <c r="ZZ11" i="2" s="1"/>
  <c r="PQ13" i="2"/>
  <c r="APK6" i="2"/>
  <c r="AFG6" i="2"/>
  <c r="EL9" i="1" s="1"/>
  <c r="G9" i="1" s="1"/>
  <c r="G10" i="1" s="1"/>
  <c r="AAC3" i="2"/>
  <c r="FK4" i="2"/>
  <c r="EL7" i="1"/>
  <c r="EL6" i="1" s="1"/>
  <c r="EK6" i="1"/>
  <c r="ZZ13" i="2" l="1"/>
  <c r="ZZ7" i="2"/>
  <c r="UW9" i="2"/>
  <c r="UW8" i="2"/>
  <c r="UW10" i="2"/>
  <c r="AKH6" i="2"/>
  <c r="EG13" i="1"/>
  <c r="EG14" i="1" s="1"/>
  <c r="EG15" i="1" s="1"/>
  <c r="EG18" i="1" s="1"/>
  <c r="EG20" i="1" s="1"/>
  <c r="ZZ6" i="2"/>
  <c r="EI8" i="1" s="1"/>
  <c r="EI10" i="1" s="1"/>
  <c r="G13" i="1"/>
  <c r="G14" i="1" s="1"/>
  <c r="G15" i="1" s="1"/>
  <c r="G18" i="1" s="1"/>
  <c r="G20" i="1" s="1"/>
  <c r="APL6" i="2"/>
  <c r="EK17" i="1"/>
  <c r="EK12" i="1"/>
  <c r="EL17" i="1"/>
  <c r="AKK11" i="2" s="1"/>
  <c r="EL12" i="1"/>
  <c r="PS3" i="2"/>
  <c r="PR7" i="2"/>
  <c r="PR12" i="2"/>
  <c r="AAA12" i="2" s="1"/>
  <c r="PR10" i="2"/>
  <c r="PR9" i="2"/>
  <c r="AAA9" i="2" s="1"/>
  <c r="PR8" i="2"/>
  <c r="PR11" i="2"/>
  <c r="PR13" i="2"/>
  <c r="UW7" i="2"/>
  <c r="UX7" i="2" s="1"/>
  <c r="UX8" i="2"/>
  <c r="EI11" i="1"/>
  <c r="UX3" i="2"/>
  <c r="UX10" i="2" s="1"/>
  <c r="UW13" i="2"/>
  <c r="APM9" i="2"/>
  <c r="APM10" i="2"/>
  <c r="APM13" i="2"/>
  <c r="APM12" i="2"/>
  <c r="APM7" i="2"/>
  <c r="APM11" i="2"/>
  <c r="APM8" i="2"/>
  <c r="AKI7" i="2"/>
  <c r="AKI12" i="2"/>
  <c r="AKI10" i="2"/>
  <c r="AKI13" i="2"/>
  <c r="AKI9" i="2"/>
  <c r="AKI8" i="2"/>
  <c r="AKI11" i="2"/>
  <c r="AKK13" i="2"/>
  <c r="UW11" i="2"/>
  <c r="UX11" i="2" s="1"/>
  <c r="AKK12" i="2"/>
  <c r="EH11" i="1"/>
  <c r="EH13" i="1" s="1"/>
  <c r="EH14" i="1" s="1"/>
  <c r="EH15" i="1" s="1"/>
  <c r="EH18" i="1" s="1"/>
  <c r="EH20" i="1" s="1"/>
  <c r="AAA8" i="2" l="1"/>
  <c r="AAA10" i="2"/>
  <c r="APM6" i="2"/>
  <c r="AKK7" i="2"/>
  <c r="EI13" i="1"/>
  <c r="EI14" i="1" s="1"/>
  <c r="EI15" i="1" s="1"/>
  <c r="EI18" i="1" s="1"/>
  <c r="EI20" i="1" s="1"/>
  <c r="AAA7" i="2"/>
  <c r="AKK8" i="2"/>
  <c r="AKK10" i="2"/>
  <c r="PT3" i="2"/>
  <c r="PS7" i="2"/>
  <c r="AAB7" i="2" s="1"/>
  <c r="PS8" i="2"/>
  <c r="AAB8" i="2" s="1"/>
  <c r="PS10" i="2"/>
  <c r="AAB10" i="2" s="1"/>
  <c r="PS12" i="2"/>
  <c r="PS13" i="2"/>
  <c r="PS11" i="2"/>
  <c r="AAB11" i="2" s="1"/>
  <c r="PS9" i="2"/>
  <c r="APN12" i="2"/>
  <c r="APN9" i="2"/>
  <c r="APN8" i="2"/>
  <c r="APN10" i="2"/>
  <c r="APN11" i="2"/>
  <c r="APN13" i="2"/>
  <c r="APN7" i="2"/>
  <c r="AKJ12" i="2"/>
  <c r="AKJ7" i="2"/>
  <c r="AKJ13" i="2"/>
  <c r="AKJ8" i="2"/>
  <c r="AKJ10" i="2"/>
  <c r="AKJ9" i="2"/>
  <c r="AKJ11" i="2"/>
  <c r="AAA13" i="2"/>
  <c r="AKK9" i="2"/>
  <c r="AKK6" i="2" s="1"/>
  <c r="AAA11" i="2"/>
  <c r="APO13" i="2"/>
  <c r="APO9" i="2"/>
  <c r="APO7" i="2"/>
  <c r="APO11" i="2"/>
  <c r="APO10" i="2"/>
  <c r="APO12" i="2"/>
  <c r="APO8" i="2"/>
  <c r="AKI6" i="2"/>
  <c r="EJ11" i="1" s="1"/>
  <c r="UY3" i="2"/>
  <c r="UX13" i="2"/>
  <c r="UX9" i="2"/>
  <c r="UX12" i="2"/>
  <c r="UY13" i="2" l="1"/>
  <c r="UY12" i="2"/>
  <c r="UY9" i="2"/>
  <c r="AAB9" i="2"/>
  <c r="APN6" i="2"/>
  <c r="AAA6" i="2"/>
  <c r="EJ8" i="1" s="1"/>
  <c r="EJ10" i="1" s="1"/>
  <c r="EJ13" i="1" s="1"/>
  <c r="EJ14" i="1" s="1"/>
  <c r="EJ15" i="1" s="1"/>
  <c r="EJ18" i="1" s="1"/>
  <c r="EJ20" i="1" s="1"/>
  <c r="PT12" i="2"/>
  <c r="AAC12" i="2" s="1"/>
  <c r="PT13" i="2"/>
  <c r="PT11" i="2"/>
  <c r="PT9" i="2"/>
  <c r="AAC9" i="2" s="1"/>
  <c r="PT7" i="2"/>
  <c r="PT10" i="2"/>
  <c r="PT8" i="2"/>
  <c r="UY11" i="2"/>
  <c r="APO6" i="2"/>
  <c r="EL11" i="1" s="1"/>
  <c r="AAB13" i="2"/>
  <c r="AAB12" i="2"/>
  <c r="UY8" i="2"/>
  <c r="AAC13" i="2"/>
  <c r="UY7" i="2"/>
  <c r="AKJ6" i="2"/>
  <c r="EK11" i="1" s="1"/>
  <c r="UY10" i="2"/>
  <c r="AAB6" i="2" l="1"/>
  <c r="EK8" i="1" s="1"/>
  <c r="EK10" i="1" s="1"/>
  <c r="EK13" i="1" s="1"/>
  <c r="EK14" i="1" s="1"/>
  <c r="EK15" i="1" s="1"/>
  <c r="EK18" i="1" s="1"/>
  <c r="EK20" i="1" s="1"/>
  <c r="AAC8" i="2"/>
  <c r="AAC11" i="2"/>
  <c r="AAC10" i="2"/>
  <c r="AAC7" i="2"/>
  <c r="AAC6" i="2" l="1"/>
  <c r="EL8" i="1" s="1"/>
  <c r="EL10" i="1" s="1"/>
  <c r="EL13" i="1" s="1"/>
  <c r="EL14" i="1" s="1"/>
  <c r="EL15" i="1" s="1"/>
  <c r="EL18" i="1" s="1"/>
  <c r="EL20" i="1" s="1"/>
  <c r="G22" i="1" l="1"/>
  <c r="AN22" i="1"/>
  <c r="AN23" i="1" s="1"/>
  <c r="AN26" i="1" s="1"/>
  <c r="BH22" i="1"/>
  <c r="BH23" i="1" s="1"/>
  <c r="BH26" i="1" s="1"/>
  <c r="CM22" i="1"/>
  <c r="CM23" i="1" s="1"/>
  <c r="CM26" i="1" s="1"/>
  <c r="EB22" i="1"/>
  <c r="EB23" i="1" s="1"/>
  <c r="EB26" i="1" s="1"/>
  <c r="U22" i="1"/>
  <c r="U23" i="1" s="1"/>
  <c r="U26" i="1" s="1"/>
  <c r="CC22" i="1"/>
  <c r="CC23" i="1" s="1"/>
  <c r="CC26" i="1" s="1"/>
  <c r="CF22" i="1"/>
  <c r="CF23" i="1" s="1"/>
  <c r="CF26" i="1" s="1"/>
  <c r="EG22" i="1"/>
  <c r="EG23" i="1" s="1"/>
  <c r="EG26" i="1" s="1"/>
  <c r="AG22" i="1"/>
  <c r="AG23" i="1" s="1"/>
  <c r="AG26" i="1" s="1"/>
  <c r="AS22" i="1"/>
  <c r="AS23" i="1" s="1"/>
  <c r="AS26" i="1" s="1"/>
  <c r="BY22" i="1"/>
  <c r="BY23" i="1" s="1"/>
  <c r="BY26" i="1" s="1"/>
  <c r="EH22" i="1"/>
  <c r="EH23" i="1" s="1"/>
  <c r="EH26" i="1" s="1"/>
  <c r="AL22" i="1"/>
  <c r="AL23" i="1" s="1"/>
  <c r="AL26" i="1" s="1"/>
  <c r="BO22" i="1"/>
  <c r="BO23" i="1" s="1"/>
  <c r="BO26" i="1" s="1"/>
  <c r="CT22" i="1"/>
  <c r="CT23" i="1" s="1"/>
  <c r="CT26" i="1" s="1"/>
  <c r="ED22" i="1"/>
  <c r="ED23" i="1" s="1"/>
  <c r="ED26" i="1" s="1"/>
  <c r="DB22" i="1"/>
  <c r="DB23" i="1" s="1"/>
  <c r="DB26" i="1" s="1"/>
  <c r="EL22" i="1"/>
  <c r="EL23" i="1" s="1"/>
  <c r="EL26" i="1" s="1"/>
  <c r="EA22" i="1"/>
  <c r="EA23" i="1" s="1"/>
  <c r="EA26" i="1" s="1"/>
  <c r="EI22" i="1"/>
  <c r="EI23" i="1" s="1"/>
  <c r="EI26" i="1" s="1"/>
  <c r="AB22" i="1"/>
  <c r="AB23" i="1" s="1"/>
  <c r="AB26" i="1" s="1"/>
  <c r="CB22" i="1"/>
  <c r="CB23" i="1" s="1"/>
  <c r="CB26" i="1" s="1"/>
  <c r="CZ22" i="1"/>
  <c r="CZ23" i="1" s="1"/>
  <c r="CZ26" i="1" s="1"/>
  <c r="O22" i="1"/>
  <c r="O23" i="1" s="1"/>
  <c r="O26" i="1" s="1"/>
  <c r="AX22" i="1"/>
  <c r="AX23" i="1" s="1"/>
  <c r="AX26" i="1" s="1"/>
  <c r="BI22" i="1"/>
  <c r="BI23" i="1" s="1"/>
  <c r="BI26" i="1" s="1"/>
  <c r="DA22" i="1"/>
  <c r="DA23" i="1" s="1"/>
  <c r="DA26" i="1" s="1"/>
  <c r="DM22" i="1"/>
  <c r="DM23" i="1" s="1"/>
  <c r="DM26" i="1" s="1"/>
  <c r="M22" i="1"/>
  <c r="M23" i="1" s="1"/>
  <c r="M26" i="1" s="1"/>
  <c r="N22" i="1"/>
  <c r="N23" i="1" s="1"/>
  <c r="N26" i="1" s="1"/>
  <c r="BZ22" i="1"/>
  <c r="BZ23" i="1" s="1"/>
  <c r="BZ26" i="1" s="1"/>
  <c r="AI22" i="1"/>
  <c r="AI23" i="1" s="1"/>
  <c r="AI26" i="1" s="1"/>
  <c r="CX22" i="1"/>
  <c r="CX23" i="1" s="1"/>
  <c r="CX26" i="1" s="1"/>
  <c r="EK22" i="1"/>
  <c r="EK23" i="1" s="1"/>
  <c r="EK26" i="1" s="1"/>
  <c r="AW22" i="1"/>
  <c r="AW23" i="1" s="1"/>
  <c r="AW26" i="1" s="1"/>
  <c r="BP22" i="1"/>
  <c r="BP23" i="1" s="1"/>
  <c r="BP26" i="1" s="1"/>
  <c r="CN22" i="1"/>
  <c r="CN23" i="1" s="1"/>
  <c r="CN26" i="1" s="1"/>
  <c r="AU22" i="1"/>
  <c r="AU23" i="1" s="1"/>
  <c r="AU26" i="1" s="1"/>
  <c r="BB22" i="1"/>
  <c r="BB23" i="1" s="1"/>
  <c r="BB26" i="1" s="1"/>
  <c r="BV22" i="1"/>
  <c r="BV23" i="1" s="1"/>
  <c r="BV26" i="1" s="1"/>
  <c r="CG22" i="1"/>
  <c r="CG23" i="1" s="1"/>
  <c r="CG26" i="1" s="1"/>
  <c r="R22" i="1"/>
  <c r="R23" i="1" s="1"/>
  <c r="R26" i="1" s="1"/>
  <c r="AP22" i="1"/>
  <c r="AP23" i="1" s="1"/>
  <c r="AP26" i="1" s="1"/>
  <c r="CD22" i="1"/>
  <c r="CD23" i="1" s="1"/>
  <c r="CD26" i="1" s="1"/>
  <c r="DF22" i="1"/>
  <c r="DF23" i="1" s="1"/>
  <c r="DF26" i="1" s="1"/>
  <c r="K22" i="1"/>
  <c r="K23" i="1" s="1"/>
  <c r="AV22" i="1"/>
  <c r="AV23" i="1" s="1"/>
  <c r="AV26" i="1" s="1"/>
  <c r="BW22" i="1"/>
  <c r="BW23" i="1" s="1"/>
  <c r="BW26" i="1" s="1"/>
  <c r="CU22" i="1"/>
  <c r="CU23" i="1" s="1"/>
  <c r="CU26" i="1" s="1"/>
  <c r="P22" i="1"/>
  <c r="P23" i="1" s="1"/>
  <c r="P26" i="1" s="1"/>
  <c r="BK22" i="1"/>
  <c r="BK23" i="1" s="1"/>
  <c r="BK26" i="1" s="1"/>
  <c r="DT22" i="1"/>
  <c r="DT23" i="1" s="1"/>
  <c r="DT26" i="1" s="1"/>
  <c r="BF22" i="1"/>
  <c r="BF23" i="1" s="1"/>
  <c r="BF26" i="1" s="1"/>
  <c r="DG22" i="1"/>
  <c r="DG23" i="1" s="1"/>
  <c r="DG26" i="1" s="1"/>
  <c r="CE22" i="1"/>
  <c r="CE23" i="1" s="1"/>
  <c r="CE26" i="1" s="1"/>
  <c r="CY22" i="1"/>
  <c r="CY23" i="1" s="1"/>
  <c r="CY26" i="1" s="1"/>
  <c r="BS22" i="1"/>
  <c r="BS23" i="1" s="1"/>
  <c r="BS26" i="1" s="1"/>
  <c r="CQ22" i="1"/>
  <c r="CQ23" i="1" s="1"/>
  <c r="CQ26" i="1" s="1"/>
  <c r="AE22" i="1"/>
  <c r="AE23" i="1" s="1"/>
  <c r="AE26" i="1" s="1"/>
  <c r="DO22" i="1"/>
  <c r="DO23" i="1" s="1"/>
  <c r="DO26" i="1" s="1"/>
  <c r="DR22" i="1"/>
  <c r="DR23" i="1" s="1"/>
  <c r="DR26" i="1" s="1"/>
  <c r="AD22" i="1"/>
  <c r="AD23" i="1" s="1"/>
  <c r="AD26" i="1" s="1"/>
  <c r="BG22" i="1"/>
  <c r="BG23" i="1" s="1"/>
  <c r="BG26" i="1" s="1"/>
  <c r="S22" i="1"/>
  <c r="S23" i="1" s="1"/>
  <c r="S26" i="1" s="1"/>
  <c r="T22" i="1"/>
  <c r="T23" i="1" s="1"/>
  <c r="T26" i="1" s="1"/>
  <c r="BU22" i="1"/>
  <c r="BU23" i="1" s="1"/>
  <c r="BU26" i="1" s="1"/>
  <c r="DX22" i="1"/>
  <c r="DX23" i="1" s="1"/>
  <c r="DX26" i="1" s="1"/>
  <c r="AR22" i="1"/>
  <c r="AR23" i="1" s="1"/>
  <c r="AR26" i="1" s="1"/>
  <c r="DY22" i="1"/>
  <c r="DY23" i="1" s="1"/>
  <c r="DY26" i="1" s="1"/>
  <c r="BN22" i="1"/>
  <c r="BN23" i="1" s="1"/>
  <c r="BN26" i="1" s="1"/>
  <c r="CW22" i="1"/>
  <c r="CW23" i="1" s="1"/>
  <c r="CW26" i="1" s="1"/>
  <c r="BT22" i="1"/>
  <c r="BT23" i="1" s="1"/>
  <c r="BT26" i="1" s="1"/>
  <c r="EF22" i="1"/>
  <c r="EF23" i="1" s="1"/>
  <c r="EF26" i="1" s="1"/>
  <c r="BA22" i="1"/>
  <c r="BA23" i="1" s="1"/>
  <c r="BA26" i="1" s="1"/>
  <c r="DL22" i="1"/>
  <c r="DL23" i="1" s="1"/>
  <c r="DL26" i="1" s="1"/>
  <c r="BM22" i="1"/>
  <c r="BM23" i="1" s="1"/>
  <c r="BM26" i="1" s="1"/>
  <c r="DE22" i="1"/>
  <c r="DE23" i="1" s="1"/>
  <c r="DE26" i="1" s="1"/>
  <c r="BR22" i="1"/>
  <c r="BR23" i="1" s="1"/>
  <c r="BR26" i="1" s="1"/>
  <c r="DZ22" i="1"/>
  <c r="DZ23" i="1" s="1"/>
  <c r="DZ26" i="1" s="1"/>
  <c r="BC22" i="1"/>
  <c r="BC23" i="1" s="1"/>
  <c r="BC26" i="1" s="1"/>
  <c r="AC22" i="1"/>
  <c r="AC23" i="1" s="1"/>
  <c r="AC26" i="1" s="1"/>
  <c r="CA22" i="1"/>
  <c r="CA23" i="1" s="1"/>
  <c r="CA26" i="1" s="1"/>
  <c r="DI22" i="1"/>
  <c r="DI23" i="1" s="1"/>
  <c r="DI26" i="1" s="1"/>
  <c r="CH22" i="1"/>
  <c r="CH23" i="1" s="1"/>
  <c r="CH26" i="1" s="1"/>
  <c r="AY22" i="1"/>
  <c r="AY23" i="1" s="1"/>
  <c r="AY26" i="1" s="1"/>
  <c r="EE22" i="1"/>
  <c r="EE23" i="1" s="1"/>
  <c r="EE26" i="1" s="1"/>
  <c r="DJ22" i="1"/>
  <c r="DJ23" i="1" s="1"/>
  <c r="DJ26" i="1" s="1"/>
  <c r="DU22" i="1"/>
  <c r="DU23" i="1" s="1"/>
  <c r="DU26" i="1" s="1"/>
  <c r="AT22" i="1"/>
  <c r="AT23" i="1" s="1"/>
  <c r="AT26" i="1" s="1"/>
  <c r="DW22" i="1"/>
  <c r="DW23" i="1" s="1"/>
  <c r="DW26" i="1" s="1"/>
  <c r="DC22" i="1"/>
  <c r="DC23" i="1" s="1"/>
  <c r="DC26" i="1" s="1"/>
  <c r="AJ22" i="1"/>
  <c r="AJ23" i="1" s="1"/>
  <c r="AJ26" i="1" s="1"/>
  <c r="DH22" i="1"/>
  <c r="DH23" i="1" s="1"/>
  <c r="DH26" i="1" s="1"/>
  <c r="W22" i="1"/>
  <c r="W23" i="1" s="1"/>
  <c r="W26" i="1" s="1"/>
  <c r="CO22" i="1"/>
  <c r="CO23" i="1" s="1"/>
  <c r="CO26" i="1" s="1"/>
  <c r="BL22" i="1"/>
  <c r="BL23" i="1" s="1"/>
  <c r="BL26" i="1" s="1"/>
  <c r="DN22" i="1"/>
  <c r="DN23" i="1" s="1"/>
  <c r="DN26" i="1" s="1"/>
  <c r="AQ22" i="1"/>
  <c r="AQ23" i="1" s="1"/>
  <c r="AQ26" i="1" s="1"/>
  <c r="DP22" i="1"/>
  <c r="DP23" i="1" s="1"/>
  <c r="DP26" i="1" s="1"/>
  <c r="BE22" i="1"/>
  <c r="BE23" i="1" s="1"/>
  <c r="BE26" i="1" s="1"/>
  <c r="CV22" i="1"/>
  <c r="CV23" i="1" s="1"/>
  <c r="CV26" i="1" s="1"/>
  <c r="DS22" i="1"/>
  <c r="DS23" i="1" s="1"/>
  <c r="DS26" i="1" s="1"/>
  <c r="L22" i="1"/>
  <c r="L23" i="1" s="1"/>
  <c r="L26" i="1" s="1"/>
  <c r="CJ22" i="1"/>
  <c r="CJ23" i="1" s="1"/>
  <c r="CJ26" i="1" s="1"/>
  <c r="EJ22" i="1"/>
  <c r="EJ23" i="1" s="1"/>
  <c r="EJ26" i="1" s="1"/>
  <c r="BQ22" i="1"/>
  <c r="BQ23" i="1" s="1"/>
  <c r="BQ26" i="1" s="1"/>
  <c r="Z22" i="1"/>
  <c r="Z23" i="1" s="1"/>
  <c r="Z26" i="1" s="1"/>
  <c r="AA22" i="1"/>
  <c r="AA23" i="1" s="1"/>
  <c r="AA26" i="1" s="1"/>
  <c r="CP22" i="1"/>
  <c r="CP23" i="1" s="1"/>
  <c r="CP26" i="1" s="1"/>
  <c r="AO22" i="1"/>
  <c r="AO23" i="1" s="1"/>
  <c r="AO26" i="1" s="1"/>
  <c r="CR22" i="1"/>
  <c r="CR23" i="1" s="1"/>
  <c r="CR26" i="1" s="1"/>
  <c r="BX22" i="1"/>
  <c r="BX23" i="1" s="1"/>
  <c r="BX26" i="1" s="1"/>
  <c r="CS22" i="1"/>
  <c r="CS23" i="1" s="1"/>
  <c r="CS26" i="1" s="1"/>
  <c r="AH22" i="1"/>
  <c r="AH23" i="1" s="1"/>
  <c r="AH26" i="1" s="1"/>
  <c r="EC22" i="1"/>
  <c r="EC23" i="1" s="1"/>
  <c r="EC26" i="1" s="1"/>
  <c r="CL22" i="1"/>
  <c r="CL23" i="1" s="1"/>
  <c r="CL26" i="1" s="1"/>
  <c r="BJ22" i="1"/>
  <c r="BJ23" i="1" s="1"/>
  <c r="BJ26" i="1" s="1"/>
  <c r="V22" i="1"/>
  <c r="V23" i="1" s="1"/>
  <c r="V26" i="1" s="1"/>
  <c r="DV22" i="1"/>
  <c r="DV23" i="1" s="1"/>
  <c r="DV26" i="1" s="1"/>
  <c r="AF22" i="1"/>
  <c r="AF23" i="1" s="1"/>
  <c r="AF26" i="1" s="1"/>
  <c r="AZ22" i="1"/>
  <c r="AZ23" i="1" s="1"/>
  <c r="AZ26" i="1" s="1"/>
  <c r="X22" i="1"/>
  <c r="X23" i="1" s="1"/>
  <c r="X26" i="1" s="1"/>
  <c r="DK22" i="1"/>
  <c r="DK23" i="1" s="1"/>
  <c r="DK26" i="1" s="1"/>
  <c r="AM22" i="1"/>
  <c r="AM23" i="1" s="1"/>
  <c r="AM26" i="1" s="1"/>
  <c r="BD22" i="1"/>
  <c r="BD23" i="1" s="1"/>
  <c r="BD26" i="1" s="1"/>
  <c r="Y22" i="1"/>
  <c r="Y23" i="1" s="1"/>
  <c r="Y26" i="1" s="1"/>
  <c r="DD22" i="1"/>
  <c r="DD23" i="1" s="1"/>
  <c r="DD26" i="1" s="1"/>
  <c r="CK22" i="1"/>
  <c r="CK23" i="1" s="1"/>
  <c r="CK26" i="1" s="1"/>
  <c r="AK22" i="1"/>
  <c r="AK23" i="1" s="1"/>
  <c r="AK26" i="1" s="1"/>
  <c r="CI22" i="1"/>
  <c r="CI23" i="1" s="1"/>
  <c r="CI26" i="1" s="1"/>
  <c r="DQ22" i="1"/>
  <c r="DQ23" i="1" s="1"/>
  <c r="DQ26" i="1" s="1"/>
  <c r="Q22" i="1"/>
  <c r="Q23" i="1" s="1"/>
  <c r="Q26" i="1" s="1"/>
  <c r="K26" i="1" l="1"/>
  <c r="G24" i="1"/>
  <c r="J26" i="1" s="1"/>
  <c r="G27" i="1" s="1"/>
</calcChain>
</file>

<file path=xl/sharedStrings.xml><?xml version="1.0" encoding="utf-8"?>
<sst xmlns="http://schemas.openxmlformats.org/spreadsheetml/2006/main" count="136" uniqueCount="87">
  <si>
    <t>Rental Income</t>
  </si>
  <si>
    <t>Concessions</t>
  </si>
  <si>
    <t>Total Rental Revenue</t>
  </si>
  <si>
    <t>INCOME</t>
  </si>
  <si>
    <t>- Concessions</t>
  </si>
  <si>
    <t>Other Income Growth</t>
  </si>
  <si>
    <t>Other Income</t>
  </si>
  <si>
    <t>Gross Revenue</t>
  </si>
  <si>
    <t>- General Vacancy and Credit Loss</t>
  </si>
  <si>
    <t>Total Effective Gross Revenue</t>
  </si>
  <si>
    <t>Operating Expenses</t>
  </si>
  <si>
    <t>Net Operating Income</t>
  </si>
  <si>
    <t>Reversion Cap Rate</t>
  </si>
  <si>
    <t>Reversion Value</t>
  </si>
  <si>
    <t>Target Unlevered IRR</t>
  </si>
  <si>
    <t>MODELING LONG-TERM LEASES</t>
  </si>
  <si>
    <t>Pro Forma</t>
  </si>
  <si>
    <t>OpEx Growth</t>
  </si>
  <si>
    <t>Reimbursement Income</t>
  </si>
  <si>
    <t>Net Cash Flow</t>
  </si>
  <si>
    <t>Unlevered Net Cash Flow</t>
  </si>
  <si>
    <t>Unlevered Internal Rate of Return</t>
  </si>
  <si>
    <t>Potential Base Rent</t>
  </si>
  <si>
    <t>Leasing Costs</t>
  </si>
  <si>
    <t>Cash Flow from Operations</t>
  </si>
  <si>
    <t>RENT ROLL</t>
  </si>
  <si>
    <t>Suite</t>
  </si>
  <si>
    <t>Tenant</t>
  </si>
  <si>
    <t>1st Generation Tenant</t>
  </si>
  <si>
    <t>Rent</t>
  </si>
  <si>
    <t>NRA (SF)</t>
  </si>
  <si>
    <t>Current</t>
  </si>
  <si>
    <t>Escalation</t>
  </si>
  <si>
    <t>Month (#)</t>
  </si>
  <si>
    <t>Reimb.</t>
  </si>
  <si>
    <t>%</t>
  </si>
  <si>
    <t>Pro Rata</t>
  </si>
  <si>
    <t>Share</t>
  </si>
  <si>
    <t>Month</t>
  </si>
  <si>
    <t>Start</t>
  </si>
  <si>
    <t>Expire</t>
  </si>
  <si>
    <t>2nd Generation Tenant</t>
  </si>
  <si>
    <t>Downtime</t>
  </si>
  <si>
    <t>Market</t>
  </si>
  <si>
    <t>Growth %</t>
  </si>
  <si>
    <t>Rent/SF</t>
  </si>
  <si>
    <t>Rent at</t>
  </si>
  <si>
    <t>Leasing</t>
  </si>
  <si>
    <t>Costs</t>
  </si>
  <si>
    <t>TI</t>
  </si>
  <si>
    <t>New</t>
  </si>
  <si>
    <t>Renew</t>
  </si>
  <si>
    <t>LC</t>
  </si>
  <si>
    <t>Lease</t>
  </si>
  <si>
    <t>Term</t>
  </si>
  <si>
    <t>Months</t>
  </si>
  <si>
    <t>Rent Inc. %</t>
  </si>
  <si>
    <t>Renewal</t>
  </si>
  <si>
    <t>Probability</t>
  </si>
  <si>
    <t>Cost/SF</t>
  </si>
  <si>
    <t>Mkt Rent</t>
  </si>
  <si>
    <t>1st Generation Rent</t>
  </si>
  <si>
    <t>2nd Generation Rent</t>
  </si>
  <si>
    <t>1st Generation Reimbursement</t>
  </si>
  <si>
    <t>2nd Generation Reimbursement</t>
  </si>
  <si>
    <t>1st.</t>
  </si>
  <si>
    <t>Gen</t>
  </si>
  <si>
    <t>2nd</t>
  </si>
  <si>
    <t>Conc.</t>
  </si>
  <si>
    <t>1st</t>
  </si>
  <si>
    <t>Reimb</t>
  </si>
  <si>
    <t>2nd Generation NRA Occupied</t>
  </si>
  <si>
    <t>1st Generation NRA Occupied</t>
  </si>
  <si>
    <t>NRA</t>
  </si>
  <si>
    <t>Occ.</t>
  </si>
  <si>
    <t>Ann. Base</t>
  </si>
  <si>
    <t>Adj.</t>
  </si>
  <si>
    <t>Base</t>
  </si>
  <si>
    <t>Pot.</t>
  </si>
  <si>
    <t>Free Rent</t>
  </si>
  <si>
    <t>Trampoline Madness</t>
  </si>
  <si>
    <t>Farmer's Market</t>
  </si>
  <si>
    <t>Wheels On Us</t>
  </si>
  <si>
    <t>Trader Mart</t>
  </si>
  <si>
    <t>Charlie's Chicken</t>
  </si>
  <si>
    <t>Fitness Fantasy</t>
  </si>
  <si>
    <t>Playroom Kidz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</si>
</sst>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&quot;Month&quot;\ 0"/>
    <numFmt numFmtId="165" formatCode="0.0%"/>
    <numFmt numFmtId="166" formatCode="&quot;Year&quot;\ 0"/>
    <numFmt numFmtId="167" formatCode="_(* #,##0_);_(* \(#,##0\);_(* &quot;-&quot;??_);_(@_)"/>
    <numFmt numFmtId="168" formatCode="0\ &quot;Months&quot;"/>
    <numFmt numFmtId="169" formatCode="0.00&quot;/SF&quot;"/>
    <numFmt numFmtId="170" formatCode="0\ &quot;Years&quot;"/>
  </numFmts>
  <fonts count="11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17"/>
      <name val="Calibri"/>
      <family val="2"/>
      <scheme val="minor"/>
    </font>
    <font>
      <i/>
      <sz val="11"/>
      <color theme="1"/>
      <name val="Calibri"/>
      <family val="2"/>
      <scheme val="minor"/>
    </font>
    <font>
      <u val="singleAccounting"/>
      <sz val="11"/>
      <color indexed="17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4" fontId="3" fillId="0" borderId="0" xfId="0" applyNumberFormat="1" applyFon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3" fillId="0" borderId="0" xfId="0" applyFont="1"/>
    <xf numFmtId="165" fontId="2" fillId="0" borderId="0" xfId="0" applyNumberFormat="1" applyFont="1"/>
    <xf numFmtId="41" fontId="0" fillId="2" borderId="0" xfId="0" applyNumberFormat="1" applyFill="1" applyAlignment="1">
      <alignment horizontal="right"/>
    </xf>
    <xf numFmtId="41" fontId="0" fillId="0" borderId="0" xfId="0" applyNumberFormat="1" applyAlignment="1">
      <alignment horizontal="right"/>
    </xf>
    <xf numFmtId="41" fontId="0" fillId="3" borderId="0" xfId="0" applyNumberFormat="1" applyFill="1" applyAlignment="1">
      <alignment horizontal="right"/>
    </xf>
    <xf numFmtId="41" fontId="4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left" indent="1"/>
    </xf>
    <xf numFmtId="165" fontId="3" fillId="0" borderId="0" xfId="0" applyNumberFormat="1" applyFont="1" applyAlignment="1">
      <alignment horizontal="right"/>
    </xf>
    <xf numFmtId="41" fontId="0" fillId="0" borderId="0" xfId="0" applyNumberFormat="1"/>
    <xf numFmtId="166" fontId="0" fillId="0" borderId="0" xfId="0" applyNumberFormat="1"/>
    <xf numFmtId="41" fontId="4" fillId="0" borderId="0" xfId="0" applyNumberFormat="1" applyFont="1"/>
    <xf numFmtId="0" fontId="0" fillId="0" borderId="0" xfId="0" quotePrefix="1" applyAlignment="1">
      <alignment horizontal="left" indent="1"/>
    </xf>
    <xf numFmtId="41" fontId="5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167" fontId="0" fillId="0" borderId="0" xfId="0" applyNumberFormat="1"/>
    <xf numFmtId="15" fontId="2" fillId="0" borderId="0" xfId="0" applyNumberFormat="1" applyFont="1" applyAlignment="1">
      <alignment horizontal="right"/>
    </xf>
    <xf numFmtId="15" fontId="3" fillId="0" borderId="0" xfId="0" applyNumberFormat="1" applyFont="1"/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 indent="1"/>
    </xf>
    <xf numFmtId="9" fontId="0" fillId="0" borderId="0" xfId="0" applyNumberFormat="1"/>
    <xf numFmtId="165" fontId="0" fillId="0" borderId="0" xfId="0" applyNumberFormat="1"/>
    <xf numFmtId="43" fontId="0" fillId="0" borderId="0" xfId="0" applyNumberFormat="1"/>
    <xf numFmtId="0" fontId="0" fillId="2" borderId="0" xfId="0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41" fontId="0" fillId="4" borderId="0" xfId="0" applyNumberFormat="1" applyFill="1" applyAlignment="1">
      <alignment horizontal="right"/>
    </xf>
    <xf numFmtId="41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3" fillId="3" borderId="0" xfId="0" applyFont="1" applyFill="1"/>
    <xf numFmtId="165" fontId="3" fillId="3" borderId="0" xfId="0" applyNumberFormat="1" applyFont="1" applyFill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4" fontId="2" fillId="0" borderId="1" xfId="0" applyNumberFormat="1" applyFont="1" applyBorder="1" applyAlignment="1">
      <alignment horizontal="right"/>
    </xf>
    <xf numFmtId="168" fontId="2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5" fontId="7" fillId="0" borderId="0" xfId="0" applyNumberFormat="1" applyFont="1"/>
    <xf numFmtId="0" fontId="6" fillId="0" borderId="0" xfId="0" applyFont="1"/>
    <xf numFmtId="0" fontId="8" fillId="0" borderId="0" xfId="0" applyFont="1"/>
    <xf numFmtId="41" fontId="3" fillId="0" borderId="0" xfId="0" applyNumberFormat="1" applyFont="1"/>
    <xf numFmtId="41" fontId="3" fillId="3" borderId="0" xfId="0" applyNumberFormat="1" applyFont="1" applyFill="1"/>
    <xf numFmtId="0" fontId="8" fillId="0" borderId="0" xfId="0" applyFont="1" applyAlignment="1">
      <alignment horizontal="right"/>
    </xf>
    <xf numFmtId="41" fontId="3" fillId="0" borderId="0" xfId="0" applyNumberFormat="1" applyFont="1" applyAlignment="1">
      <alignment horizontal="right"/>
    </xf>
    <xf numFmtId="41" fontId="8" fillId="0" borderId="0" xfId="0" applyNumberFormat="1" applyFont="1" applyAlignment="1">
      <alignment horizontal="right"/>
    </xf>
    <xf numFmtId="43" fontId="0" fillId="0" borderId="0" xfId="0" applyNumberFormat="1" applyAlignment="1">
      <alignment horizontal="right"/>
    </xf>
    <xf numFmtId="41" fontId="7" fillId="0" borderId="0" xfId="0" applyNumberFormat="1" applyFont="1"/>
    <xf numFmtId="41" fontId="9" fillId="0" borderId="0" xfId="0" applyNumberFormat="1" applyFont="1"/>
    <xf numFmtId="167" fontId="4" fillId="0" borderId="0" xfId="0" applyNumberFormat="1" applyFont="1" applyAlignment="1">
      <alignment horizontal="right"/>
    </xf>
    <xf numFmtId="41" fontId="10" fillId="0" borderId="0" xfId="0" applyNumberFormat="1" applyFont="1"/>
    <xf numFmtId="9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10" fontId="2" fillId="0" borderId="0" xfId="0" applyNumberFormat="1" applyFont="1"/>
    <xf numFmtId="4" fontId="3" fillId="3" borderId="0" xfId="0" applyNumberFormat="1" applyFont="1" applyFill="1" applyAlignment="1">
      <alignment horizontal="right"/>
    </xf>
    <xf numFmtId="4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B394-E704-440B-AFF3-476D9794A687}">
  <dimension ref="A1:EP34"/>
  <sheetViews>
    <sheetView tabSelected="1" zoomScaleNormal="100" workbookViewId="0"/>
  </sheetViews>
  <sheetFormatPr defaultColWidth="0" defaultRowHeight="14.4" zeroHeight="1" x14ac:dyDescent="0.3"/>
  <cols>
    <col min="1" max="1" width="2.44140625" customWidth="1"/>
    <col min="2" max="6" width="10.6640625" customWidth="1"/>
    <col min="7" max="7" width="12.33203125" style="12" bestFit="1" customWidth="1"/>
    <col min="8" max="8" width="2.88671875" customWidth="1"/>
    <col min="9" max="9" width="20.109375" style="6" bestFit="1" customWidth="1"/>
    <col min="10" max="10" width="12.33203125" bestFit="1" customWidth="1"/>
    <col min="11" max="11" width="11.5546875" bestFit="1" customWidth="1"/>
    <col min="12" max="12" width="9.6640625" bestFit="1" customWidth="1"/>
    <col min="13" max="13" width="9.88671875" bestFit="1" customWidth="1"/>
    <col min="14" max="14" width="9.5546875" bestFit="1" customWidth="1"/>
    <col min="15" max="15" width="10.109375" bestFit="1" customWidth="1"/>
    <col min="16" max="16" width="9.44140625" bestFit="1" customWidth="1"/>
    <col min="17" max="17" width="9" bestFit="1" customWidth="1"/>
    <col min="18" max="18" width="9.88671875" bestFit="1" customWidth="1"/>
    <col min="19" max="19" width="9.6640625" bestFit="1" customWidth="1"/>
    <col min="20" max="20" width="9.44140625" bestFit="1" customWidth="1"/>
    <col min="21" max="21" width="10" bestFit="1" customWidth="1"/>
    <col min="22" max="22" width="9.6640625" bestFit="1" customWidth="1"/>
    <col min="23" max="23" width="9.33203125" bestFit="1" customWidth="1"/>
    <col min="24" max="24" width="9.6640625" bestFit="1" customWidth="1"/>
    <col min="25" max="25" width="9.88671875" bestFit="1" customWidth="1"/>
    <col min="26" max="26" width="9.5546875" bestFit="1" customWidth="1"/>
    <col min="27" max="27" width="10.109375" bestFit="1" customWidth="1"/>
    <col min="28" max="28" width="9.44140625" bestFit="1" customWidth="1"/>
    <col min="29" max="29" width="9.33203125" bestFit="1" customWidth="1"/>
    <col min="30" max="30" width="9.88671875" bestFit="1" customWidth="1"/>
    <col min="31" max="31" width="9.6640625" bestFit="1" customWidth="1"/>
    <col min="32" max="32" width="9.44140625" bestFit="1" customWidth="1"/>
    <col min="33" max="33" width="10" bestFit="1" customWidth="1"/>
    <col min="34" max="34" width="9.6640625" bestFit="1" customWidth="1"/>
    <col min="35" max="35" width="9.33203125" bestFit="1" customWidth="1"/>
    <col min="36" max="36" width="9.6640625" bestFit="1" customWidth="1"/>
    <col min="37" max="37" width="9.88671875" bestFit="1" customWidth="1"/>
    <col min="38" max="38" width="11.33203125" bestFit="1" customWidth="1"/>
    <col min="39" max="39" width="10.109375" bestFit="1" customWidth="1"/>
    <col min="40" max="40" width="9.44140625" bestFit="1" customWidth="1"/>
    <col min="41" max="41" width="9.33203125" bestFit="1" customWidth="1"/>
    <col min="42" max="42" width="9.88671875" bestFit="1" customWidth="1"/>
    <col min="43" max="43" width="9.6640625" bestFit="1" customWidth="1"/>
    <col min="44" max="44" width="9.44140625" bestFit="1" customWidth="1"/>
    <col min="45" max="45" width="10" bestFit="1" customWidth="1"/>
    <col min="46" max="46" width="9.6640625" bestFit="1" customWidth="1"/>
    <col min="47" max="47" width="9.33203125" bestFit="1" customWidth="1"/>
    <col min="48" max="48" width="9.6640625" bestFit="1" customWidth="1"/>
    <col min="49" max="49" width="9.88671875" bestFit="1" customWidth="1"/>
    <col min="50" max="50" width="9.5546875" bestFit="1" customWidth="1"/>
    <col min="51" max="51" width="10.109375" bestFit="1" customWidth="1"/>
    <col min="52" max="52" width="9.44140625" bestFit="1" customWidth="1"/>
    <col min="53" max="53" width="9.33203125" bestFit="1" customWidth="1"/>
    <col min="54" max="54" width="9.88671875" bestFit="1" customWidth="1"/>
    <col min="55" max="55" width="9.6640625" bestFit="1" customWidth="1"/>
    <col min="56" max="56" width="9.44140625" bestFit="1" customWidth="1"/>
    <col min="57" max="57" width="10" bestFit="1" customWidth="1"/>
    <col min="58" max="58" width="9.6640625" bestFit="1" customWidth="1"/>
    <col min="59" max="59" width="9.33203125" bestFit="1" customWidth="1"/>
    <col min="60" max="60" width="9.6640625" bestFit="1" customWidth="1"/>
    <col min="61" max="61" width="9.88671875" bestFit="1" customWidth="1"/>
    <col min="62" max="62" width="9.5546875" bestFit="1" customWidth="1"/>
    <col min="63" max="63" width="10.109375" bestFit="1" customWidth="1"/>
    <col min="64" max="64" width="9.44140625" bestFit="1" customWidth="1"/>
    <col min="65" max="65" width="9.33203125" bestFit="1" customWidth="1"/>
    <col min="66" max="66" width="9.88671875" bestFit="1" customWidth="1"/>
    <col min="67" max="67" width="9.6640625" bestFit="1" customWidth="1"/>
    <col min="68" max="68" width="9.44140625" bestFit="1" customWidth="1"/>
    <col min="69" max="69" width="10" bestFit="1" customWidth="1"/>
    <col min="70" max="70" width="9.6640625" bestFit="1" customWidth="1"/>
    <col min="71" max="71" width="9.33203125" bestFit="1" customWidth="1"/>
    <col min="72" max="72" width="9.6640625" bestFit="1" customWidth="1"/>
    <col min="73" max="73" width="9.88671875" bestFit="1" customWidth="1"/>
    <col min="74" max="74" width="9.5546875" bestFit="1" customWidth="1"/>
    <col min="75" max="75" width="10.109375" bestFit="1" customWidth="1"/>
    <col min="76" max="76" width="9.44140625" bestFit="1" customWidth="1"/>
    <col min="77" max="77" width="9.33203125" bestFit="1" customWidth="1"/>
    <col min="78" max="78" width="9.88671875" bestFit="1" customWidth="1"/>
    <col min="79" max="79" width="9.6640625" bestFit="1" customWidth="1"/>
    <col min="80" max="80" width="9.44140625" bestFit="1" customWidth="1"/>
    <col min="81" max="81" width="10" bestFit="1" customWidth="1"/>
    <col min="82" max="82" width="9.6640625" bestFit="1" customWidth="1"/>
    <col min="83" max="83" width="9.33203125" bestFit="1" customWidth="1"/>
    <col min="84" max="84" width="9.6640625" bestFit="1" customWidth="1"/>
    <col min="85" max="85" width="9.88671875" bestFit="1" customWidth="1"/>
    <col min="86" max="86" width="9.5546875" bestFit="1" customWidth="1"/>
    <col min="87" max="87" width="10.109375" bestFit="1" customWidth="1"/>
    <col min="88" max="88" width="9.44140625" bestFit="1" customWidth="1"/>
    <col min="89" max="89" width="9.33203125" bestFit="1" customWidth="1"/>
    <col min="90" max="90" width="9.88671875" bestFit="1" customWidth="1"/>
    <col min="91" max="91" width="9.6640625" bestFit="1" customWidth="1"/>
    <col min="92" max="92" width="9.44140625" bestFit="1" customWidth="1"/>
    <col min="93" max="93" width="10" bestFit="1" customWidth="1"/>
    <col min="94" max="94" width="9.6640625" bestFit="1" customWidth="1"/>
    <col min="95" max="95" width="9.33203125" bestFit="1" customWidth="1"/>
    <col min="96" max="96" width="9.6640625" bestFit="1" customWidth="1"/>
    <col min="97" max="97" width="9.88671875" bestFit="1" customWidth="1"/>
    <col min="98" max="98" width="9.5546875" bestFit="1" customWidth="1"/>
    <col min="99" max="99" width="10.109375" bestFit="1" customWidth="1"/>
    <col min="100" max="100" width="9.44140625" bestFit="1" customWidth="1"/>
    <col min="101" max="101" width="9.33203125" bestFit="1" customWidth="1"/>
    <col min="102" max="102" width="9.88671875" bestFit="1" customWidth="1"/>
    <col min="103" max="103" width="9.6640625" bestFit="1" customWidth="1"/>
    <col min="104" max="104" width="9.44140625" bestFit="1" customWidth="1"/>
    <col min="105" max="105" width="10" bestFit="1" customWidth="1"/>
    <col min="106" max="106" width="9.6640625" bestFit="1" customWidth="1"/>
    <col min="107" max="107" width="9.33203125" bestFit="1" customWidth="1"/>
    <col min="108" max="108" width="9.6640625" bestFit="1" customWidth="1"/>
    <col min="109" max="109" width="9.88671875" bestFit="1" customWidth="1"/>
    <col min="110" max="129" width="10.33203125" bestFit="1" customWidth="1"/>
    <col min="130" max="130" width="11.5546875" bestFit="1" customWidth="1"/>
    <col min="131" max="142" width="10.33203125" bestFit="1" customWidth="1"/>
    <col min="143" max="143" width="2" customWidth="1"/>
    <col min="144" max="146" width="0" hidden="1" customWidth="1"/>
    <col min="147" max="16384" width="9.109375" hidden="1"/>
  </cols>
  <sheetData>
    <row r="1" spans="2:143" x14ac:dyDescent="0.3"/>
    <row r="2" spans="2:143" ht="15.6" x14ac:dyDescent="0.3">
      <c r="B2" s="2" t="s">
        <v>15</v>
      </c>
      <c r="C2" s="1"/>
      <c r="D2" s="1"/>
      <c r="E2" s="1"/>
      <c r="F2" s="1"/>
      <c r="G2" s="11"/>
    </row>
    <row r="3" spans="2:143" ht="5.0999999999999996" customHeight="1" x14ac:dyDescent="0.3">
      <c r="B3" s="8"/>
    </row>
    <row r="4" spans="2:143" x14ac:dyDescent="0.3">
      <c r="B4" s="3" t="s">
        <v>3</v>
      </c>
      <c r="C4" s="3"/>
      <c r="D4" s="3"/>
      <c r="E4" s="3"/>
      <c r="F4" s="3"/>
      <c r="G4" s="13"/>
    </row>
    <row r="5" spans="2:143" x14ac:dyDescent="0.3">
      <c r="B5" t="s">
        <v>5</v>
      </c>
      <c r="D5" s="10">
        <v>2.5000000000000001E-2</v>
      </c>
      <c r="E5" t="s">
        <v>17</v>
      </c>
      <c r="G5" s="26">
        <v>0.02</v>
      </c>
      <c r="I5" s="24">
        <v>43466</v>
      </c>
      <c r="J5" s="25">
        <f>EOMONTH(I5,-1)</f>
        <v>43465</v>
      </c>
      <c r="K5" s="25">
        <f>EOMONTH(J5,1)</f>
        <v>43496</v>
      </c>
      <c r="L5" s="25">
        <f t="shared" ref="L5:BW5" si="0">EOMONTH(K5,1)</f>
        <v>43524</v>
      </c>
      <c r="M5" s="25">
        <f t="shared" si="0"/>
        <v>43555</v>
      </c>
      <c r="N5" s="25">
        <f t="shared" si="0"/>
        <v>43585</v>
      </c>
      <c r="O5" s="25">
        <f t="shared" si="0"/>
        <v>43616</v>
      </c>
      <c r="P5" s="25">
        <f t="shared" si="0"/>
        <v>43646</v>
      </c>
      <c r="Q5" s="25">
        <f t="shared" si="0"/>
        <v>43677</v>
      </c>
      <c r="R5" s="25">
        <f t="shared" si="0"/>
        <v>43708</v>
      </c>
      <c r="S5" s="25">
        <f t="shared" si="0"/>
        <v>43738</v>
      </c>
      <c r="T5" s="25">
        <f t="shared" si="0"/>
        <v>43769</v>
      </c>
      <c r="U5" s="25">
        <f t="shared" si="0"/>
        <v>43799</v>
      </c>
      <c r="V5" s="25">
        <f t="shared" si="0"/>
        <v>43830</v>
      </c>
      <c r="W5" s="25">
        <f t="shared" si="0"/>
        <v>43861</v>
      </c>
      <c r="X5" s="25">
        <f t="shared" si="0"/>
        <v>43890</v>
      </c>
      <c r="Y5" s="25">
        <f t="shared" si="0"/>
        <v>43921</v>
      </c>
      <c r="Z5" s="25">
        <f t="shared" si="0"/>
        <v>43951</v>
      </c>
      <c r="AA5" s="25">
        <f t="shared" si="0"/>
        <v>43982</v>
      </c>
      <c r="AB5" s="25">
        <f t="shared" si="0"/>
        <v>44012</v>
      </c>
      <c r="AC5" s="25">
        <f t="shared" si="0"/>
        <v>44043</v>
      </c>
      <c r="AD5" s="25">
        <f t="shared" si="0"/>
        <v>44074</v>
      </c>
      <c r="AE5" s="25">
        <f t="shared" si="0"/>
        <v>44104</v>
      </c>
      <c r="AF5" s="25">
        <f t="shared" si="0"/>
        <v>44135</v>
      </c>
      <c r="AG5" s="25">
        <f t="shared" si="0"/>
        <v>44165</v>
      </c>
      <c r="AH5" s="25">
        <f t="shared" si="0"/>
        <v>44196</v>
      </c>
      <c r="AI5" s="25">
        <f t="shared" si="0"/>
        <v>44227</v>
      </c>
      <c r="AJ5" s="25">
        <f t="shared" si="0"/>
        <v>44255</v>
      </c>
      <c r="AK5" s="25">
        <f t="shared" si="0"/>
        <v>44286</v>
      </c>
      <c r="AL5" s="25">
        <f t="shared" si="0"/>
        <v>44316</v>
      </c>
      <c r="AM5" s="25">
        <f t="shared" si="0"/>
        <v>44347</v>
      </c>
      <c r="AN5" s="25">
        <f t="shared" si="0"/>
        <v>44377</v>
      </c>
      <c r="AO5" s="25">
        <f t="shared" si="0"/>
        <v>44408</v>
      </c>
      <c r="AP5" s="25">
        <f t="shared" si="0"/>
        <v>44439</v>
      </c>
      <c r="AQ5" s="25">
        <f t="shared" si="0"/>
        <v>44469</v>
      </c>
      <c r="AR5" s="25">
        <f t="shared" si="0"/>
        <v>44500</v>
      </c>
      <c r="AS5" s="25">
        <f t="shared" si="0"/>
        <v>44530</v>
      </c>
      <c r="AT5" s="25">
        <f t="shared" si="0"/>
        <v>44561</v>
      </c>
      <c r="AU5" s="25">
        <f t="shared" si="0"/>
        <v>44592</v>
      </c>
      <c r="AV5" s="25">
        <f t="shared" si="0"/>
        <v>44620</v>
      </c>
      <c r="AW5" s="25">
        <f t="shared" si="0"/>
        <v>44651</v>
      </c>
      <c r="AX5" s="25">
        <f t="shared" si="0"/>
        <v>44681</v>
      </c>
      <c r="AY5" s="25">
        <f t="shared" si="0"/>
        <v>44712</v>
      </c>
      <c r="AZ5" s="25">
        <f t="shared" si="0"/>
        <v>44742</v>
      </c>
      <c r="BA5" s="25">
        <f t="shared" si="0"/>
        <v>44773</v>
      </c>
      <c r="BB5" s="25">
        <f t="shared" si="0"/>
        <v>44804</v>
      </c>
      <c r="BC5" s="25">
        <f t="shared" si="0"/>
        <v>44834</v>
      </c>
      <c r="BD5" s="25">
        <f t="shared" si="0"/>
        <v>44865</v>
      </c>
      <c r="BE5" s="25">
        <f t="shared" si="0"/>
        <v>44895</v>
      </c>
      <c r="BF5" s="25">
        <f t="shared" si="0"/>
        <v>44926</v>
      </c>
      <c r="BG5" s="25">
        <f t="shared" si="0"/>
        <v>44957</v>
      </c>
      <c r="BH5" s="25">
        <f t="shared" si="0"/>
        <v>44985</v>
      </c>
      <c r="BI5" s="25">
        <f t="shared" si="0"/>
        <v>45016</v>
      </c>
      <c r="BJ5" s="25">
        <f t="shared" si="0"/>
        <v>45046</v>
      </c>
      <c r="BK5" s="25">
        <f t="shared" si="0"/>
        <v>45077</v>
      </c>
      <c r="BL5" s="25">
        <f t="shared" si="0"/>
        <v>45107</v>
      </c>
      <c r="BM5" s="25">
        <f t="shared" si="0"/>
        <v>45138</v>
      </c>
      <c r="BN5" s="25">
        <f t="shared" si="0"/>
        <v>45169</v>
      </c>
      <c r="BO5" s="25">
        <f t="shared" si="0"/>
        <v>45199</v>
      </c>
      <c r="BP5" s="25">
        <f t="shared" si="0"/>
        <v>45230</v>
      </c>
      <c r="BQ5" s="25">
        <f t="shared" si="0"/>
        <v>45260</v>
      </c>
      <c r="BR5" s="25">
        <f t="shared" si="0"/>
        <v>45291</v>
      </c>
      <c r="BS5" s="25">
        <f t="shared" si="0"/>
        <v>45322</v>
      </c>
      <c r="BT5" s="25">
        <f t="shared" si="0"/>
        <v>45351</v>
      </c>
      <c r="BU5" s="25">
        <f t="shared" si="0"/>
        <v>45382</v>
      </c>
      <c r="BV5" s="25">
        <f t="shared" si="0"/>
        <v>45412</v>
      </c>
      <c r="BW5" s="25">
        <f t="shared" si="0"/>
        <v>45443</v>
      </c>
      <c r="BX5" s="25">
        <f t="shared" ref="BX5:EI5" si="1">EOMONTH(BW5,1)</f>
        <v>45473</v>
      </c>
      <c r="BY5" s="25">
        <f t="shared" si="1"/>
        <v>45504</v>
      </c>
      <c r="BZ5" s="25">
        <f t="shared" si="1"/>
        <v>45535</v>
      </c>
      <c r="CA5" s="25">
        <f t="shared" si="1"/>
        <v>45565</v>
      </c>
      <c r="CB5" s="25">
        <f t="shared" si="1"/>
        <v>45596</v>
      </c>
      <c r="CC5" s="25">
        <f t="shared" si="1"/>
        <v>45626</v>
      </c>
      <c r="CD5" s="25">
        <f t="shared" si="1"/>
        <v>45657</v>
      </c>
      <c r="CE5" s="25">
        <f t="shared" si="1"/>
        <v>45688</v>
      </c>
      <c r="CF5" s="25">
        <f t="shared" si="1"/>
        <v>45716</v>
      </c>
      <c r="CG5" s="25">
        <f t="shared" si="1"/>
        <v>45747</v>
      </c>
      <c r="CH5" s="25">
        <f t="shared" si="1"/>
        <v>45777</v>
      </c>
      <c r="CI5" s="25">
        <f t="shared" si="1"/>
        <v>45808</v>
      </c>
      <c r="CJ5" s="25">
        <f t="shared" si="1"/>
        <v>45838</v>
      </c>
      <c r="CK5" s="25">
        <f t="shared" si="1"/>
        <v>45869</v>
      </c>
      <c r="CL5" s="25">
        <f t="shared" si="1"/>
        <v>45900</v>
      </c>
      <c r="CM5" s="25">
        <f t="shared" si="1"/>
        <v>45930</v>
      </c>
      <c r="CN5" s="25">
        <f t="shared" si="1"/>
        <v>45961</v>
      </c>
      <c r="CO5" s="25">
        <f t="shared" si="1"/>
        <v>45991</v>
      </c>
      <c r="CP5" s="25">
        <f t="shared" si="1"/>
        <v>46022</v>
      </c>
      <c r="CQ5" s="25">
        <f t="shared" si="1"/>
        <v>46053</v>
      </c>
      <c r="CR5" s="25">
        <f t="shared" si="1"/>
        <v>46081</v>
      </c>
      <c r="CS5" s="25">
        <f t="shared" si="1"/>
        <v>46112</v>
      </c>
      <c r="CT5" s="25">
        <f t="shared" si="1"/>
        <v>46142</v>
      </c>
      <c r="CU5" s="25">
        <f t="shared" si="1"/>
        <v>46173</v>
      </c>
      <c r="CV5" s="25">
        <f t="shared" si="1"/>
        <v>46203</v>
      </c>
      <c r="CW5" s="25">
        <f t="shared" si="1"/>
        <v>46234</v>
      </c>
      <c r="CX5" s="25">
        <f t="shared" si="1"/>
        <v>46265</v>
      </c>
      <c r="CY5" s="25">
        <f t="shared" si="1"/>
        <v>46295</v>
      </c>
      <c r="CZ5" s="25">
        <f t="shared" si="1"/>
        <v>46326</v>
      </c>
      <c r="DA5" s="25">
        <f t="shared" si="1"/>
        <v>46356</v>
      </c>
      <c r="DB5" s="25">
        <f t="shared" si="1"/>
        <v>46387</v>
      </c>
      <c r="DC5" s="25">
        <f t="shared" si="1"/>
        <v>46418</v>
      </c>
      <c r="DD5" s="25">
        <f t="shared" si="1"/>
        <v>46446</v>
      </c>
      <c r="DE5" s="25">
        <f t="shared" si="1"/>
        <v>46477</v>
      </c>
      <c r="DF5" s="25">
        <f t="shared" si="1"/>
        <v>46507</v>
      </c>
      <c r="DG5" s="25">
        <f t="shared" si="1"/>
        <v>46538</v>
      </c>
      <c r="DH5" s="25">
        <f t="shared" si="1"/>
        <v>46568</v>
      </c>
      <c r="DI5" s="25">
        <f t="shared" si="1"/>
        <v>46599</v>
      </c>
      <c r="DJ5" s="25">
        <f t="shared" si="1"/>
        <v>46630</v>
      </c>
      <c r="DK5" s="25">
        <f t="shared" si="1"/>
        <v>46660</v>
      </c>
      <c r="DL5" s="25">
        <f t="shared" si="1"/>
        <v>46691</v>
      </c>
      <c r="DM5" s="25">
        <f t="shared" si="1"/>
        <v>46721</v>
      </c>
      <c r="DN5" s="25">
        <f t="shared" si="1"/>
        <v>46752</v>
      </c>
      <c r="DO5" s="25">
        <f t="shared" si="1"/>
        <v>46783</v>
      </c>
      <c r="DP5" s="25">
        <f t="shared" si="1"/>
        <v>46812</v>
      </c>
      <c r="DQ5" s="25">
        <f t="shared" si="1"/>
        <v>46843</v>
      </c>
      <c r="DR5" s="25">
        <f t="shared" si="1"/>
        <v>46873</v>
      </c>
      <c r="DS5" s="25">
        <f t="shared" si="1"/>
        <v>46904</v>
      </c>
      <c r="DT5" s="25">
        <f t="shared" si="1"/>
        <v>46934</v>
      </c>
      <c r="DU5" s="25">
        <f t="shared" si="1"/>
        <v>46965</v>
      </c>
      <c r="DV5" s="25">
        <f t="shared" si="1"/>
        <v>46996</v>
      </c>
      <c r="DW5" s="25">
        <f t="shared" si="1"/>
        <v>47026</v>
      </c>
      <c r="DX5" s="25">
        <f t="shared" si="1"/>
        <v>47057</v>
      </c>
      <c r="DY5" s="25">
        <f t="shared" si="1"/>
        <v>47087</v>
      </c>
      <c r="DZ5" s="25">
        <f t="shared" si="1"/>
        <v>47118</v>
      </c>
      <c r="EA5" s="25">
        <f t="shared" si="1"/>
        <v>47149</v>
      </c>
      <c r="EB5" s="25">
        <f t="shared" si="1"/>
        <v>47177</v>
      </c>
      <c r="EC5" s="25">
        <f t="shared" si="1"/>
        <v>47208</v>
      </c>
      <c r="ED5" s="25">
        <f t="shared" si="1"/>
        <v>47238</v>
      </c>
      <c r="EE5" s="25">
        <f t="shared" si="1"/>
        <v>47269</v>
      </c>
      <c r="EF5" s="25">
        <f t="shared" si="1"/>
        <v>47299</v>
      </c>
      <c r="EG5" s="25">
        <f t="shared" si="1"/>
        <v>47330</v>
      </c>
      <c r="EH5" s="25">
        <f t="shared" si="1"/>
        <v>47361</v>
      </c>
      <c r="EI5" s="25">
        <f t="shared" si="1"/>
        <v>47391</v>
      </c>
      <c r="EJ5" s="25">
        <f t="shared" ref="EJ5:EL5" si="2">EOMONTH(EI5,1)</f>
        <v>47422</v>
      </c>
      <c r="EK5" s="25">
        <f t="shared" si="2"/>
        <v>47452</v>
      </c>
      <c r="EL5" s="25">
        <f t="shared" si="2"/>
        <v>47483</v>
      </c>
    </row>
    <row r="6" spans="2:143" x14ac:dyDescent="0.3">
      <c r="B6" t="s">
        <v>12</v>
      </c>
      <c r="D6" s="76">
        <v>5.7500000000000002E-2</v>
      </c>
      <c r="E6" t="s">
        <v>14</v>
      </c>
      <c r="G6" s="26">
        <v>0.08</v>
      </c>
      <c r="J6" s="18">
        <f>ROUNDUP(J7/12,0)</f>
        <v>0</v>
      </c>
      <c r="K6" s="18">
        <f>ROUNDUP(K7/12,0)</f>
        <v>1</v>
      </c>
      <c r="L6" s="18">
        <f t="shared" ref="L6:BW6" si="3">ROUNDUP(L7/12,0)</f>
        <v>1</v>
      </c>
      <c r="M6" s="18">
        <f t="shared" si="3"/>
        <v>1</v>
      </c>
      <c r="N6" s="18">
        <f t="shared" si="3"/>
        <v>1</v>
      </c>
      <c r="O6" s="18">
        <f t="shared" si="3"/>
        <v>1</v>
      </c>
      <c r="P6" s="18">
        <f t="shared" si="3"/>
        <v>1</v>
      </c>
      <c r="Q6" s="18">
        <f t="shared" si="3"/>
        <v>1</v>
      </c>
      <c r="R6" s="18">
        <f t="shared" si="3"/>
        <v>1</v>
      </c>
      <c r="S6" s="18">
        <f t="shared" si="3"/>
        <v>1</v>
      </c>
      <c r="T6" s="18">
        <f t="shared" si="3"/>
        <v>1</v>
      </c>
      <c r="U6" s="18">
        <f t="shared" si="3"/>
        <v>1</v>
      </c>
      <c r="V6" s="18">
        <f t="shared" si="3"/>
        <v>1</v>
      </c>
      <c r="W6" s="18">
        <f t="shared" si="3"/>
        <v>2</v>
      </c>
      <c r="X6" s="18">
        <f t="shared" si="3"/>
        <v>2</v>
      </c>
      <c r="Y6" s="18">
        <f t="shared" si="3"/>
        <v>2</v>
      </c>
      <c r="Z6" s="18">
        <f t="shared" si="3"/>
        <v>2</v>
      </c>
      <c r="AA6" s="18">
        <f t="shared" si="3"/>
        <v>2</v>
      </c>
      <c r="AB6" s="18">
        <f t="shared" si="3"/>
        <v>2</v>
      </c>
      <c r="AC6" s="18">
        <f t="shared" si="3"/>
        <v>2</v>
      </c>
      <c r="AD6" s="18">
        <f t="shared" si="3"/>
        <v>2</v>
      </c>
      <c r="AE6" s="18">
        <f t="shared" si="3"/>
        <v>2</v>
      </c>
      <c r="AF6" s="18">
        <f t="shared" si="3"/>
        <v>2</v>
      </c>
      <c r="AG6" s="18">
        <f t="shared" si="3"/>
        <v>2</v>
      </c>
      <c r="AH6" s="18">
        <f t="shared" si="3"/>
        <v>2</v>
      </c>
      <c r="AI6" s="18">
        <f t="shared" si="3"/>
        <v>3</v>
      </c>
      <c r="AJ6" s="18">
        <f t="shared" si="3"/>
        <v>3</v>
      </c>
      <c r="AK6" s="18">
        <f t="shared" si="3"/>
        <v>3</v>
      </c>
      <c r="AL6" s="18">
        <f t="shared" si="3"/>
        <v>3</v>
      </c>
      <c r="AM6" s="18">
        <f t="shared" si="3"/>
        <v>3</v>
      </c>
      <c r="AN6" s="18">
        <f t="shared" si="3"/>
        <v>3</v>
      </c>
      <c r="AO6" s="18">
        <f t="shared" si="3"/>
        <v>3</v>
      </c>
      <c r="AP6" s="18">
        <f t="shared" si="3"/>
        <v>3</v>
      </c>
      <c r="AQ6" s="18">
        <f t="shared" si="3"/>
        <v>3</v>
      </c>
      <c r="AR6" s="18">
        <f t="shared" si="3"/>
        <v>3</v>
      </c>
      <c r="AS6" s="18">
        <f t="shared" si="3"/>
        <v>3</v>
      </c>
      <c r="AT6" s="18">
        <f t="shared" si="3"/>
        <v>3</v>
      </c>
      <c r="AU6" s="18">
        <f t="shared" si="3"/>
        <v>4</v>
      </c>
      <c r="AV6" s="18">
        <f t="shared" si="3"/>
        <v>4</v>
      </c>
      <c r="AW6" s="18">
        <f t="shared" si="3"/>
        <v>4</v>
      </c>
      <c r="AX6" s="18">
        <f t="shared" si="3"/>
        <v>4</v>
      </c>
      <c r="AY6" s="18">
        <f t="shared" si="3"/>
        <v>4</v>
      </c>
      <c r="AZ6" s="18">
        <f t="shared" si="3"/>
        <v>4</v>
      </c>
      <c r="BA6" s="18">
        <f t="shared" si="3"/>
        <v>4</v>
      </c>
      <c r="BB6" s="18">
        <f t="shared" si="3"/>
        <v>4</v>
      </c>
      <c r="BC6" s="18">
        <f t="shared" si="3"/>
        <v>4</v>
      </c>
      <c r="BD6" s="18">
        <f t="shared" si="3"/>
        <v>4</v>
      </c>
      <c r="BE6" s="18">
        <f t="shared" si="3"/>
        <v>4</v>
      </c>
      <c r="BF6" s="18">
        <f t="shared" si="3"/>
        <v>4</v>
      </c>
      <c r="BG6" s="18">
        <f t="shared" si="3"/>
        <v>5</v>
      </c>
      <c r="BH6" s="18">
        <f t="shared" si="3"/>
        <v>5</v>
      </c>
      <c r="BI6" s="18">
        <f t="shared" si="3"/>
        <v>5</v>
      </c>
      <c r="BJ6" s="18">
        <f t="shared" si="3"/>
        <v>5</v>
      </c>
      <c r="BK6" s="18">
        <f t="shared" si="3"/>
        <v>5</v>
      </c>
      <c r="BL6" s="18">
        <f t="shared" si="3"/>
        <v>5</v>
      </c>
      <c r="BM6" s="18">
        <f t="shared" si="3"/>
        <v>5</v>
      </c>
      <c r="BN6" s="18">
        <f t="shared" si="3"/>
        <v>5</v>
      </c>
      <c r="BO6" s="18">
        <f t="shared" si="3"/>
        <v>5</v>
      </c>
      <c r="BP6" s="18">
        <f t="shared" si="3"/>
        <v>5</v>
      </c>
      <c r="BQ6" s="18">
        <f t="shared" si="3"/>
        <v>5</v>
      </c>
      <c r="BR6" s="18">
        <f t="shared" si="3"/>
        <v>5</v>
      </c>
      <c r="BS6" s="18">
        <f t="shared" si="3"/>
        <v>6</v>
      </c>
      <c r="BT6" s="18">
        <f t="shared" si="3"/>
        <v>6</v>
      </c>
      <c r="BU6" s="18">
        <f t="shared" si="3"/>
        <v>6</v>
      </c>
      <c r="BV6" s="18">
        <f t="shared" si="3"/>
        <v>6</v>
      </c>
      <c r="BW6" s="18">
        <f t="shared" si="3"/>
        <v>6</v>
      </c>
      <c r="BX6" s="18">
        <f t="shared" ref="BX6:EI6" si="4">ROUNDUP(BX7/12,0)</f>
        <v>6</v>
      </c>
      <c r="BY6" s="18">
        <f t="shared" si="4"/>
        <v>6</v>
      </c>
      <c r="BZ6" s="18">
        <f t="shared" si="4"/>
        <v>6</v>
      </c>
      <c r="CA6" s="18">
        <f t="shared" si="4"/>
        <v>6</v>
      </c>
      <c r="CB6" s="18">
        <f t="shared" si="4"/>
        <v>6</v>
      </c>
      <c r="CC6" s="18">
        <f t="shared" si="4"/>
        <v>6</v>
      </c>
      <c r="CD6" s="18">
        <f t="shared" si="4"/>
        <v>6</v>
      </c>
      <c r="CE6" s="18">
        <f t="shared" si="4"/>
        <v>7</v>
      </c>
      <c r="CF6" s="18">
        <f t="shared" si="4"/>
        <v>7</v>
      </c>
      <c r="CG6" s="18">
        <f t="shared" si="4"/>
        <v>7</v>
      </c>
      <c r="CH6" s="18">
        <f t="shared" si="4"/>
        <v>7</v>
      </c>
      <c r="CI6" s="18">
        <f t="shared" si="4"/>
        <v>7</v>
      </c>
      <c r="CJ6" s="18">
        <f t="shared" si="4"/>
        <v>7</v>
      </c>
      <c r="CK6" s="18">
        <f t="shared" si="4"/>
        <v>7</v>
      </c>
      <c r="CL6" s="18">
        <f t="shared" si="4"/>
        <v>7</v>
      </c>
      <c r="CM6" s="18">
        <f t="shared" si="4"/>
        <v>7</v>
      </c>
      <c r="CN6" s="18">
        <f t="shared" si="4"/>
        <v>7</v>
      </c>
      <c r="CO6" s="18">
        <f t="shared" si="4"/>
        <v>7</v>
      </c>
      <c r="CP6" s="18">
        <f t="shared" si="4"/>
        <v>7</v>
      </c>
      <c r="CQ6" s="18">
        <f t="shared" si="4"/>
        <v>8</v>
      </c>
      <c r="CR6" s="18">
        <f t="shared" si="4"/>
        <v>8</v>
      </c>
      <c r="CS6" s="18">
        <f t="shared" si="4"/>
        <v>8</v>
      </c>
      <c r="CT6" s="18">
        <f t="shared" si="4"/>
        <v>8</v>
      </c>
      <c r="CU6" s="18">
        <f t="shared" si="4"/>
        <v>8</v>
      </c>
      <c r="CV6" s="18">
        <f t="shared" si="4"/>
        <v>8</v>
      </c>
      <c r="CW6" s="18">
        <f t="shared" si="4"/>
        <v>8</v>
      </c>
      <c r="CX6" s="18">
        <f t="shared" si="4"/>
        <v>8</v>
      </c>
      <c r="CY6" s="18">
        <f t="shared" si="4"/>
        <v>8</v>
      </c>
      <c r="CZ6" s="18">
        <f t="shared" si="4"/>
        <v>8</v>
      </c>
      <c r="DA6" s="18">
        <f t="shared" si="4"/>
        <v>8</v>
      </c>
      <c r="DB6" s="18">
        <f t="shared" si="4"/>
        <v>8</v>
      </c>
      <c r="DC6" s="18">
        <f t="shared" si="4"/>
        <v>9</v>
      </c>
      <c r="DD6" s="18">
        <f t="shared" si="4"/>
        <v>9</v>
      </c>
      <c r="DE6" s="18">
        <f t="shared" si="4"/>
        <v>9</v>
      </c>
      <c r="DF6" s="18">
        <f t="shared" si="4"/>
        <v>9</v>
      </c>
      <c r="DG6" s="18">
        <f t="shared" si="4"/>
        <v>9</v>
      </c>
      <c r="DH6" s="18">
        <f t="shared" si="4"/>
        <v>9</v>
      </c>
      <c r="DI6" s="18">
        <f t="shared" si="4"/>
        <v>9</v>
      </c>
      <c r="DJ6" s="18">
        <f t="shared" si="4"/>
        <v>9</v>
      </c>
      <c r="DK6" s="18">
        <f t="shared" si="4"/>
        <v>9</v>
      </c>
      <c r="DL6" s="18">
        <f t="shared" si="4"/>
        <v>9</v>
      </c>
      <c r="DM6" s="18">
        <f t="shared" si="4"/>
        <v>9</v>
      </c>
      <c r="DN6" s="18">
        <f t="shared" si="4"/>
        <v>9</v>
      </c>
      <c r="DO6" s="18">
        <f t="shared" si="4"/>
        <v>10</v>
      </c>
      <c r="DP6" s="18">
        <f t="shared" si="4"/>
        <v>10</v>
      </c>
      <c r="DQ6" s="18">
        <f t="shared" si="4"/>
        <v>10</v>
      </c>
      <c r="DR6" s="18">
        <f t="shared" si="4"/>
        <v>10</v>
      </c>
      <c r="DS6" s="18">
        <f t="shared" si="4"/>
        <v>10</v>
      </c>
      <c r="DT6" s="18">
        <f t="shared" si="4"/>
        <v>10</v>
      </c>
      <c r="DU6" s="18">
        <f t="shared" si="4"/>
        <v>10</v>
      </c>
      <c r="DV6" s="18">
        <f t="shared" si="4"/>
        <v>10</v>
      </c>
      <c r="DW6" s="18">
        <f t="shared" si="4"/>
        <v>10</v>
      </c>
      <c r="DX6" s="18">
        <f t="shared" si="4"/>
        <v>10</v>
      </c>
      <c r="DY6" s="18">
        <f t="shared" si="4"/>
        <v>10</v>
      </c>
      <c r="DZ6" s="18">
        <f t="shared" si="4"/>
        <v>10</v>
      </c>
      <c r="EA6" s="18">
        <f t="shared" si="4"/>
        <v>11</v>
      </c>
      <c r="EB6" s="18">
        <f t="shared" si="4"/>
        <v>11</v>
      </c>
      <c r="EC6" s="18">
        <f t="shared" si="4"/>
        <v>11</v>
      </c>
      <c r="ED6" s="18">
        <f t="shared" si="4"/>
        <v>11</v>
      </c>
      <c r="EE6" s="18">
        <f t="shared" si="4"/>
        <v>11</v>
      </c>
      <c r="EF6" s="18">
        <f t="shared" si="4"/>
        <v>11</v>
      </c>
      <c r="EG6" s="18">
        <f t="shared" si="4"/>
        <v>11</v>
      </c>
      <c r="EH6" s="18">
        <f t="shared" si="4"/>
        <v>11</v>
      </c>
      <c r="EI6" s="18">
        <f t="shared" si="4"/>
        <v>11</v>
      </c>
      <c r="EJ6" s="18">
        <f t="shared" ref="EJ6:EL6" si="5">ROUNDUP(EJ7/12,0)</f>
        <v>11</v>
      </c>
      <c r="EK6" s="18">
        <f t="shared" si="5"/>
        <v>11</v>
      </c>
      <c r="EL6" s="18">
        <f t="shared" si="5"/>
        <v>11</v>
      </c>
    </row>
    <row r="7" spans="2:143" x14ac:dyDescent="0.3">
      <c r="D7" s="10"/>
      <c r="G7" s="16" t="s">
        <v>16</v>
      </c>
      <c r="J7" s="5">
        <v>0</v>
      </c>
      <c r="K7" s="5">
        <f>J7+1</f>
        <v>1</v>
      </c>
      <c r="L7" s="5">
        <f t="shared" ref="L7:BW7" si="6">K7+1</f>
        <v>2</v>
      </c>
      <c r="M7" s="5">
        <f t="shared" si="6"/>
        <v>3</v>
      </c>
      <c r="N7" s="5">
        <f t="shared" si="6"/>
        <v>4</v>
      </c>
      <c r="O7" s="5">
        <f t="shared" si="6"/>
        <v>5</v>
      </c>
      <c r="P7" s="5">
        <f t="shared" si="6"/>
        <v>6</v>
      </c>
      <c r="Q7" s="5">
        <f t="shared" si="6"/>
        <v>7</v>
      </c>
      <c r="R7" s="5">
        <f t="shared" si="6"/>
        <v>8</v>
      </c>
      <c r="S7" s="5">
        <f t="shared" si="6"/>
        <v>9</v>
      </c>
      <c r="T7" s="5">
        <f t="shared" si="6"/>
        <v>10</v>
      </c>
      <c r="U7" s="5">
        <f t="shared" si="6"/>
        <v>11</v>
      </c>
      <c r="V7" s="5">
        <f t="shared" si="6"/>
        <v>12</v>
      </c>
      <c r="W7" s="5">
        <f t="shared" si="6"/>
        <v>13</v>
      </c>
      <c r="X7" s="5">
        <f t="shared" si="6"/>
        <v>14</v>
      </c>
      <c r="Y7" s="5">
        <f t="shared" si="6"/>
        <v>15</v>
      </c>
      <c r="Z7" s="5">
        <f t="shared" si="6"/>
        <v>16</v>
      </c>
      <c r="AA7" s="5">
        <f t="shared" si="6"/>
        <v>17</v>
      </c>
      <c r="AB7" s="5">
        <f t="shared" si="6"/>
        <v>18</v>
      </c>
      <c r="AC7" s="5">
        <f t="shared" si="6"/>
        <v>19</v>
      </c>
      <c r="AD7" s="5">
        <f t="shared" si="6"/>
        <v>20</v>
      </c>
      <c r="AE7" s="5">
        <f t="shared" si="6"/>
        <v>21</v>
      </c>
      <c r="AF7" s="5">
        <f t="shared" si="6"/>
        <v>22</v>
      </c>
      <c r="AG7" s="5">
        <f t="shared" si="6"/>
        <v>23</v>
      </c>
      <c r="AH7" s="5">
        <f t="shared" si="6"/>
        <v>24</v>
      </c>
      <c r="AI7" s="5">
        <f t="shared" si="6"/>
        <v>25</v>
      </c>
      <c r="AJ7" s="5">
        <f t="shared" si="6"/>
        <v>26</v>
      </c>
      <c r="AK7" s="5">
        <f t="shared" si="6"/>
        <v>27</v>
      </c>
      <c r="AL7" s="5">
        <f t="shared" si="6"/>
        <v>28</v>
      </c>
      <c r="AM7" s="5">
        <f t="shared" si="6"/>
        <v>29</v>
      </c>
      <c r="AN7" s="5">
        <f t="shared" si="6"/>
        <v>30</v>
      </c>
      <c r="AO7" s="5">
        <f t="shared" si="6"/>
        <v>31</v>
      </c>
      <c r="AP7" s="5">
        <f t="shared" si="6"/>
        <v>32</v>
      </c>
      <c r="AQ7" s="5">
        <f t="shared" si="6"/>
        <v>33</v>
      </c>
      <c r="AR7" s="5">
        <f t="shared" si="6"/>
        <v>34</v>
      </c>
      <c r="AS7" s="5">
        <f t="shared" si="6"/>
        <v>35</v>
      </c>
      <c r="AT7" s="5">
        <f t="shared" si="6"/>
        <v>36</v>
      </c>
      <c r="AU7" s="5">
        <f t="shared" si="6"/>
        <v>37</v>
      </c>
      <c r="AV7" s="5">
        <f t="shared" si="6"/>
        <v>38</v>
      </c>
      <c r="AW7" s="5">
        <f t="shared" si="6"/>
        <v>39</v>
      </c>
      <c r="AX7" s="5">
        <f t="shared" si="6"/>
        <v>40</v>
      </c>
      <c r="AY7" s="5">
        <f t="shared" si="6"/>
        <v>41</v>
      </c>
      <c r="AZ7" s="5">
        <f t="shared" si="6"/>
        <v>42</v>
      </c>
      <c r="BA7" s="5">
        <f t="shared" si="6"/>
        <v>43</v>
      </c>
      <c r="BB7" s="5">
        <f t="shared" si="6"/>
        <v>44</v>
      </c>
      <c r="BC7" s="5">
        <f t="shared" si="6"/>
        <v>45</v>
      </c>
      <c r="BD7" s="5">
        <f t="shared" si="6"/>
        <v>46</v>
      </c>
      <c r="BE7" s="5">
        <f t="shared" si="6"/>
        <v>47</v>
      </c>
      <c r="BF7" s="5">
        <f t="shared" si="6"/>
        <v>48</v>
      </c>
      <c r="BG7" s="5">
        <f t="shared" si="6"/>
        <v>49</v>
      </c>
      <c r="BH7" s="5">
        <f t="shared" si="6"/>
        <v>50</v>
      </c>
      <c r="BI7" s="5">
        <f t="shared" si="6"/>
        <v>51</v>
      </c>
      <c r="BJ7" s="5">
        <f t="shared" si="6"/>
        <v>52</v>
      </c>
      <c r="BK7" s="5">
        <f t="shared" si="6"/>
        <v>53</v>
      </c>
      <c r="BL7" s="5">
        <f t="shared" si="6"/>
        <v>54</v>
      </c>
      <c r="BM7" s="5">
        <f t="shared" si="6"/>
        <v>55</v>
      </c>
      <c r="BN7" s="5">
        <f t="shared" si="6"/>
        <v>56</v>
      </c>
      <c r="BO7" s="5">
        <f t="shared" si="6"/>
        <v>57</v>
      </c>
      <c r="BP7" s="5">
        <f t="shared" si="6"/>
        <v>58</v>
      </c>
      <c r="BQ7" s="5">
        <f t="shared" si="6"/>
        <v>59</v>
      </c>
      <c r="BR7" s="5">
        <f t="shared" si="6"/>
        <v>60</v>
      </c>
      <c r="BS7" s="5">
        <f t="shared" si="6"/>
        <v>61</v>
      </c>
      <c r="BT7" s="5">
        <f t="shared" si="6"/>
        <v>62</v>
      </c>
      <c r="BU7" s="5">
        <f t="shared" si="6"/>
        <v>63</v>
      </c>
      <c r="BV7" s="5">
        <f t="shared" si="6"/>
        <v>64</v>
      </c>
      <c r="BW7" s="5">
        <f t="shared" si="6"/>
        <v>65</v>
      </c>
      <c r="BX7" s="5">
        <f t="shared" ref="BX7:EI7" si="7">BW7+1</f>
        <v>66</v>
      </c>
      <c r="BY7" s="5">
        <f t="shared" si="7"/>
        <v>67</v>
      </c>
      <c r="BZ7" s="5">
        <f t="shared" si="7"/>
        <v>68</v>
      </c>
      <c r="CA7" s="5">
        <f t="shared" si="7"/>
        <v>69</v>
      </c>
      <c r="CB7" s="5">
        <f t="shared" si="7"/>
        <v>70</v>
      </c>
      <c r="CC7" s="5">
        <f t="shared" si="7"/>
        <v>71</v>
      </c>
      <c r="CD7" s="5">
        <f t="shared" si="7"/>
        <v>72</v>
      </c>
      <c r="CE7" s="5">
        <f t="shared" si="7"/>
        <v>73</v>
      </c>
      <c r="CF7" s="5">
        <f t="shared" si="7"/>
        <v>74</v>
      </c>
      <c r="CG7" s="5">
        <f t="shared" si="7"/>
        <v>75</v>
      </c>
      <c r="CH7" s="5">
        <f t="shared" si="7"/>
        <v>76</v>
      </c>
      <c r="CI7" s="5">
        <f t="shared" si="7"/>
        <v>77</v>
      </c>
      <c r="CJ7" s="5">
        <f t="shared" si="7"/>
        <v>78</v>
      </c>
      <c r="CK7" s="5">
        <f t="shared" si="7"/>
        <v>79</v>
      </c>
      <c r="CL7" s="5">
        <f t="shared" si="7"/>
        <v>80</v>
      </c>
      <c r="CM7" s="5">
        <f t="shared" si="7"/>
        <v>81</v>
      </c>
      <c r="CN7" s="5">
        <f t="shared" si="7"/>
        <v>82</v>
      </c>
      <c r="CO7" s="5">
        <f t="shared" si="7"/>
        <v>83</v>
      </c>
      <c r="CP7" s="5">
        <f t="shared" si="7"/>
        <v>84</v>
      </c>
      <c r="CQ7" s="5">
        <f t="shared" si="7"/>
        <v>85</v>
      </c>
      <c r="CR7" s="5">
        <f t="shared" si="7"/>
        <v>86</v>
      </c>
      <c r="CS7" s="5">
        <f t="shared" si="7"/>
        <v>87</v>
      </c>
      <c r="CT7" s="5">
        <f t="shared" si="7"/>
        <v>88</v>
      </c>
      <c r="CU7" s="5">
        <f t="shared" si="7"/>
        <v>89</v>
      </c>
      <c r="CV7" s="5">
        <f t="shared" si="7"/>
        <v>90</v>
      </c>
      <c r="CW7" s="5">
        <f t="shared" si="7"/>
        <v>91</v>
      </c>
      <c r="CX7" s="5">
        <f t="shared" si="7"/>
        <v>92</v>
      </c>
      <c r="CY7" s="5">
        <f t="shared" si="7"/>
        <v>93</v>
      </c>
      <c r="CZ7" s="5">
        <f t="shared" si="7"/>
        <v>94</v>
      </c>
      <c r="DA7" s="5">
        <f t="shared" si="7"/>
        <v>95</v>
      </c>
      <c r="DB7" s="5">
        <f t="shared" si="7"/>
        <v>96</v>
      </c>
      <c r="DC7" s="5">
        <f t="shared" si="7"/>
        <v>97</v>
      </c>
      <c r="DD7" s="5">
        <f t="shared" si="7"/>
        <v>98</v>
      </c>
      <c r="DE7" s="5">
        <f t="shared" si="7"/>
        <v>99</v>
      </c>
      <c r="DF7" s="5">
        <f t="shared" si="7"/>
        <v>100</v>
      </c>
      <c r="DG7" s="5">
        <f t="shared" si="7"/>
        <v>101</v>
      </c>
      <c r="DH7" s="5">
        <f t="shared" si="7"/>
        <v>102</v>
      </c>
      <c r="DI7" s="5">
        <f t="shared" si="7"/>
        <v>103</v>
      </c>
      <c r="DJ7" s="5">
        <f t="shared" si="7"/>
        <v>104</v>
      </c>
      <c r="DK7" s="5">
        <f t="shared" si="7"/>
        <v>105</v>
      </c>
      <c r="DL7" s="5">
        <f t="shared" si="7"/>
        <v>106</v>
      </c>
      <c r="DM7" s="5">
        <f t="shared" si="7"/>
        <v>107</v>
      </c>
      <c r="DN7" s="5">
        <f t="shared" si="7"/>
        <v>108</v>
      </c>
      <c r="DO7" s="5">
        <f t="shared" si="7"/>
        <v>109</v>
      </c>
      <c r="DP7" s="5">
        <f t="shared" si="7"/>
        <v>110</v>
      </c>
      <c r="DQ7" s="5">
        <f t="shared" si="7"/>
        <v>111</v>
      </c>
      <c r="DR7" s="5">
        <f t="shared" si="7"/>
        <v>112</v>
      </c>
      <c r="DS7" s="5">
        <f t="shared" si="7"/>
        <v>113</v>
      </c>
      <c r="DT7" s="5">
        <f t="shared" si="7"/>
        <v>114</v>
      </c>
      <c r="DU7" s="5">
        <f t="shared" si="7"/>
        <v>115</v>
      </c>
      <c r="DV7" s="5">
        <f t="shared" si="7"/>
        <v>116</v>
      </c>
      <c r="DW7" s="5">
        <f t="shared" si="7"/>
        <v>117</v>
      </c>
      <c r="DX7" s="5">
        <f t="shared" si="7"/>
        <v>118</v>
      </c>
      <c r="DY7" s="5">
        <f t="shared" si="7"/>
        <v>119</v>
      </c>
      <c r="DZ7" s="5">
        <f t="shared" si="7"/>
        <v>120</v>
      </c>
      <c r="EA7" s="5">
        <f t="shared" si="7"/>
        <v>121</v>
      </c>
      <c r="EB7" s="5">
        <f t="shared" si="7"/>
        <v>122</v>
      </c>
      <c r="EC7" s="5">
        <f t="shared" si="7"/>
        <v>123</v>
      </c>
      <c r="ED7" s="5">
        <f t="shared" si="7"/>
        <v>124</v>
      </c>
      <c r="EE7" s="5">
        <f t="shared" si="7"/>
        <v>125</v>
      </c>
      <c r="EF7" s="5">
        <f t="shared" si="7"/>
        <v>126</v>
      </c>
      <c r="EG7" s="5">
        <f t="shared" si="7"/>
        <v>127</v>
      </c>
      <c r="EH7" s="5">
        <f t="shared" si="7"/>
        <v>128</v>
      </c>
      <c r="EI7" s="5">
        <f t="shared" si="7"/>
        <v>129</v>
      </c>
      <c r="EJ7" s="5">
        <f t="shared" ref="EJ7:EL7" si="8">EI7+1</f>
        <v>130</v>
      </c>
      <c r="EK7" s="5">
        <f t="shared" si="8"/>
        <v>131</v>
      </c>
      <c r="EL7" s="5">
        <f t="shared" si="8"/>
        <v>132</v>
      </c>
    </row>
    <row r="8" spans="2:143" x14ac:dyDescent="0.3">
      <c r="B8" t="s">
        <v>22</v>
      </c>
      <c r="C8" s="7"/>
      <c r="E8" s="7"/>
      <c r="F8" s="4"/>
      <c r="G8" s="12">
        <f>'Rent Roll'!H6</f>
        <v>1907314.9400000002</v>
      </c>
      <c r="I8" s="6" t="s">
        <v>0</v>
      </c>
      <c r="J8" s="17"/>
      <c r="K8" s="69">
        <f>'Rent Roll'!VB6</f>
        <v>158942.91166666668</v>
      </c>
      <c r="L8" s="69">
        <f>'Rent Roll'!VC6</f>
        <v>158942.91166666668</v>
      </c>
      <c r="M8" s="69">
        <f>'Rent Roll'!VD6</f>
        <v>158942.91166666668</v>
      </c>
      <c r="N8" s="69">
        <f>'Rent Roll'!VE6</f>
        <v>159184.17246666667</v>
      </c>
      <c r="O8" s="69">
        <f>'Rent Roll'!VF6</f>
        <v>159184.17246666667</v>
      </c>
      <c r="P8" s="69">
        <f>'Rent Roll'!VG6</f>
        <v>160436.09530000002</v>
      </c>
      <c r="Q8" s="69">
        <f>'Rent Roll'!VH6</f>
        <v>160436.09530000002</v>
      </c>
      <c r="R8" s="69">
        <f>'Rent Roll'!VI6</f>
        <v>160436.09530000002</v>
      </c>
      <c r="S8" s="69">
        <f>'Rent Roll'!VJ6</f>
        <v>160709.48490000001</v>
      </c>
      <c r="T8" s="69">
        <f>'Rent Roll'!VK6</f>
        <v>160709.48490000001</v>
      </c>
      <c r="U8" s="69">
        <f>'Rent Roll'!VL6</f>
        <v>160709.48490000001</v>
      </c>
      <c r="V8" s="69">
        <f>'Rent Roll'!VM6</f>
        <v>160709.48490000001</v>
      </c>
      <c r="W8" s="69">
        <f>'Rent Roll'!VN6</f>
        <v>162121.76990000001</v>
      </c>
      <c r="X8" s="69">
        <f>'Rent Roll'!VO6</f>
        <v>162121.76990000001</v>
      </c>
      <c r="Y8" s="69">
        <f>'Rent Roll'!VP6</f>
        <v>162121.76990000001</v>
      </c>
      <c r="Z8" s="69">
        <f>'Rent Roll'!VQ6</f>
        <v>149817.46910000002</v>
      </c>
      <c r="AA8" s="69">
        <f>'Rent Roll'!VR6</f>
        <v>149817.46910000002</v>
      </c>
      <c r="AB8" s="69">
        <f>'Rent Roll'!VS6</f>
        <v>151094.43039000002</v>
      </c>
      <c r="AC8" s="69">
        <f>'Rent Roll'!VT6</f>
        <v>163164.83039000002</v>
      </c>
      <c r="AD8" s="69">
        <f>'Rent Roll'!VU6</f>
        <v>163164.83039000002</v>
      </c>
      <c r="AE8" s="69">
        <f>'Rent Roll'!VV6</f>
        <v>163443.68778200002</v>
      </c>
      <c r="AF8" s="69">
        <f>'Rent Roll'!VW6</f>
        <v>163443.68778200002</v>
      </c>
      <c r="AG8" s="69">
        <f>'Rent Roll'!VX6</f>
        <v>163443.68778200002</v>
      </c>
      <c r="AH8" s="69">
        <f>'Rent Roll'!VY6</f>
        <v>163443.68778200002</v>
      </c>
      <c r="AI8" s="69">
        <f>'Rent Roll'!VZ6</f>
        <v>164884.21848200003</v>
      </c>
      <c r="AJ8" s="69">
        <f>'Rent Roll'!WA6</f>
        <v>164884.21848200003</v>
      </c>
      <c r="AK8" s="69">
        <f>'Rent Roll'!WB6</f>
        <v>164884.21848200003</v>
      </c>
      <c r="AL8" s="69">
        <f>'Rent Roll'!WC6</f>
        <v>164884.21848200003</v>
      </c>
      <c r="AM8" s="69">
        <f>'Rent Roll'!WD6</f>
        <v>164884.21848200003</v>
      </c>
      <c r="AN8" s="69">
        <f>'Rent Roll'!WE6</f>
        <v>166186.71899780002</v>
      </c>
      <c r="AO8" s="69">
        <f>'Rent Roll'!WF6</f>
        <v>166428.12699780002</v>
      </c>
      <c r="AP8" s="69">
        <f>'Rent Roll'!WG6</f>
        <v>166428.12699780002</v>
      </c>
      <c r="AQ8" s="69">
        <f>'Rent Roll'!WH6</f>
        <v>166712.56153763999</v>
      </c>
      <c r="AR8" s="69">
        <f>'Rent Roll'!WI6</f>
        <v>166712.56153763999</v>
      </c>
      <c r="AS8" s="69">
        <f>'Rent Roll'!WJ6</f>
        <v>166712.56153763999</v>
      </c>
      <c r="AT8" s="69">
        <f>'Rent Roll'!WK6</f>
        <v>166712.56153763999</v>
      </c>
      <c r="AU8" s="69">
        <f>'Rent Roll'!WL6</f>
        <v>150675.81773063997</v>
      </c>
      <c r="AV8" s="69">
        <f>'Rent Roll'!WM6</f>
        <v>150675.81773063997</v>
      </c>
      <c r="AW8" s="69">
        <f>'Rent Roll'!WN6</f>
        <v>150675.81773063997</v>
      </c>
      <c r="AX8" s="69">
        <f>'Rent Roll'!WO6</f>
        <v>173564.74778064</v>
      </c>
      <c r="AY8" s="69">
        <f>'Rent Roll'!WP6</f>
        <v>173564.74778064</v>
      </c>
      <c r="AZ8" s="69">
        <f>'Rent Roll'!WQ6</f>
        <v>174893.29830675598</v>
      </c>
      <c r="BA8" s="69">
        <f>'Rent Roll'!WR6</f>
        <v>175139.53446675595</v>
      </c>
      <c r="BB8" s="69">
        <f>'Rent Roll'!WS6</f>
        <v>175139.53446675595</v>
      </c>
      <c r="BC8" s="69">
        <f>'Rent Roll'!WT6</f>
        <v>160633.37293491597</v>
      </c>
      <c r="BD8" s="69">
        <f>'Rent Roll'!WU6</f>
        <v>160633.37293491597</v>
      </c>
      <c r="BE8" s="69">
        <f>'Rent Roll'!WV6</f>
        <v>160633.37293491597</v>
      </c>
      <c r="BF8" s="69">
        <f>'Rent Roll'!WW6</f>
        <v>180975.66908691596</v>
      </c>
      <c r="BG8" s="69">
        <f>'Rent Roll'!WX6</f>
        <v>165238.333828776</v>
      </c>
      <c r="BH8" s="69">
        <f>'Rent Roll'!WY6</f>
        <v>165238.333828776</v>
      </c>
      <c r="BI8" s="69">
        <f>'Rent Roll'!WZ6</f>
        <v>165238.333828776</v>
      </c>
      <c r="BJ8" s="69">
        <f>'Rent Roll'!XA6</f>
        <v>179298.676573776</v>
      </c>
      <c r="BK8" s="69">
        <f>'Rent Roll'!XB6</f>
        <v>179298.676573776</v>
      </c>
      <c r="BL8" s="69">
        <f>'Rent Roll'!XC6</f>
        <v>180653.79811041433</v>
      </c>
      <c r="BM8" s="69">
        <f>'Rent Roll'!XD6</f>
        <v>180904.95899361433</v>
      </c>
      <c r="BN8" s="69">
        <f>'Rent Roll'!XE6</f>
        <v>180904.95899361433</v>
      </c>
      <c r="BO8" s="69">
        <f>'Rent Roll'!XF6</f>
        <v>180904.95899361433</v>
      </c>
      <c r="BP8" s="69">
        <f>'Rent Roll'!XG6</f>
        <v>180904.95899361433</v>
      </c>
      <c r="BQ8" s="69">
        <f>'Rent Roll'!XH6</f>
        <v>180904.95899361433</v>
      </c>
      <c r="BR8" s="69">
        <f>'Rent Roll'!XI6</f>
        <v>181311.80491665434</v>
      </c>
      <c r="BS8" s="69">
        <f>'Rent Roll'!XJ6</f>
        <v>182145.66464935153</v>
      </c>
      <c r="BT8" s="69">
        <f>'Rent Roll'!XK6</f>
        <v>182145.66464935153</v>
      </c>
      <c r="BU8" s="69">
        <f>'Rent Roll'!XL6</f>
        <v>182145.66464935153</v>
      </c>
      <c r="BV8" s="69">
        <f>'Rent Roll'!XM6</f>
        <v>182884.65010525152</v>
      </c>
      <c r="BW8" s="69">
        <f>'Rent Roll'!XN6</f>
        <v>182884.65010525152</v>
      </c>
      <c r="BX8" s="69">
        <f>'Rent Roll'!XO6</f>
        <v>184266.87407262262</v>
      </c>
      <c r="BY8" s="69">
        <f>'Rent Roll'!XP6</f>
        <v>184523.05817348661</v>
      </c>
      <c r="BZ8" s="69">
        <f>'Rent Roll'!XQ6</f>
        <v>184523.05817348661</v>
      </c>
      <c r="CA8" s="69">
        <f>'Rent Roll'!XR6</f>
        <v>184523.05817348661</v>
      </c>
      <c r="CB8" s="69">
        <f>'Rent Roll'!XS6</f>
        <v>184523.05817348661</v>
      </c>
      <c r="CC8" s="69">
        <f>'Rent Roll'!XT6</f>
        <v>184523.05817348661</v>
      </c>
      <c r="CD8" s="69">
        <f>'Rent Roll'!XU6</f>
        <v>184938.04101498742</v>
      </c>
      <c r="CE8" s="69">
        <f>'Rent Roll'!XV6</f>
        <v>185788.57794233857</v>
      </c>
      <c r="CF8" s="69">
        <f>'Rent Roll'!XW6</f>
        <v>185788.57794233857</v>
      </c>
      <c r="CG8" s="69">
        <f>'Rent Roll'!XX6</f>
        <v>185788.57794233857</v>
      </c>
      <c r="CH8" s="69">
        <f>'Rent Roll'!XY6</f>
        <v>186542.34310735654</v>
      </c>
      <c r="CI8" s="69">
        <f>'Rent Roll'!XZ6</f>
        <v>186542.34310735654</v>
      </c>
      <c r="CJ8" s="69">
        <f>'Rent Roll'!YA6</f>
        <v>187952.21155407507</v>
      </c>
      <c r="CK8" s="69">
        <f>'Rent Roll'!YB6</f>
        <v>188213.51933695635</v>
      </c>
      <c r="CL8" s="69">
        <f>'Rent Roll'!YC6</f>
        <v>188213.51933695635</v>
      </c>
      <c r="CM8" s="69">
        <f>'Rent Roll'!YD6</f>
        <v>188213.51933695635</v>
      </c>
      <c r="CN8" s="69">
        <f>'Rent Roll'!YE6</f>
        <v>188213.51933695635</v>
      </c>
      <c r="CO8" s="69">
        <f>'Rent Roll'!YF6</f>
        <v>188213.51933695635</v>
      </c>
      <c r="CP8" s="69">
        <f>'Rent Roll'!YG6</f>
        <v>188636.80183528716</v>
      </c>
      <c r="CQ8" s="69">
        <f>'Rent Roll'!YH6</f>
        <v>172873.53481925061</v>
      </c>
      <c r="CR8" s="69">
        <f>'Rent Roll'!YI6</f>
        <v>172873.53481925061</v>
      </c>
      <c r="CS8" s="69">
        <f>'Rent Roll'!YJ6</f>
        <v>172873.53481925061</v>
      </c>
      <c r="CT8" s="69">
        <f>'Rent Roll'!YK6</f>
        <v>192934.12031861325</v>
      </c>
      <c r="CU8" s="69">
        <f>'Rent Roll'!YL6</f>
        <v>192934.12031861325</v>
      </c>
      <c r="CV8" s="69">
        <f>'Rent Roll'!YM6</f>
        <v>194372.18613426611</v>
      </c>
      <c r="CW8" s="69">
        <f>'Rent Roll'!YN6</f>
        <v>194638.72007280504</v>
      </c>
      <c r="CX8" s="69">
        <f>'Rent Roll'!YO6</f>
        <v>194638.72007280504</v>
      </c>
      <c r="CY8" s="69">
        <f>'Rent Roll'!YP6</f>
        <v>194638.72007280504</v>
      </c>
      <c r="CZ8" s="69">
        <f>'Rent Roll'!YQ6</f>
        <v>194638.72007280504</v>
      </c>
      <c r="DA8" s="69">
        <f>'Rent Roll'!YR6</f>
        <v>194638.72007280504</v>
      </c>
      <c r="DB8" s="69">
        <f>'Rent Roll'!YS6</f>
        <v>195070.46822110246</v>
      </c>
      <c r="DC8" s="69">
        <f>'Rent Roll'!YT6</f>
        <v>195622.75054667992</v>
      </c>
      <c r="DD8" s="69">
        <f>'Rent Roll'!YU6</f>
        <v>195622.75054667992</v>
      </c>
      <c r="DE8" s="69">
        <f>'Rent Roll'!YV6</f>
        <v>167456.35194223069</v>
      </c>
      <c r="DF8" s="69">
        <f>'Rent Roll'!YW6</f>
        <v>168626.40412053629</v>
      </c>
      <c r="DG8" s="69">
        <f>'Rent Roll'!YX6</f>
        <v>168626.40412053629</v>
      </c>
      <c r="DH8" s="69">
        <f>'Rent Roll'!YY6</f>
        <v>204212.92881010572</v>
      </c>
      <c r="DI8" s="69">
        <f>'Rent Roll'!YZ6</f>
        <v>204484.79342741537</v>
      </c>
      <c r="DJ8" s="69">
        <f>'Rent Roll'!ZA6</f>
        <v>204484.79342741537</v>
      </c>
      <c r="DK8" s="69">
        <f>'Rent Roll'!ZB6</f>
        <v>204484.79342741537</v>
      </c>
      <c r="DL8" s="69">
        <f>'Rent Roll'!ZC6</f>
        <v>204484.79342741537</v>
      </c>
      <c r="DM8" s="69">
        <f>'Rent Roll'!ZD6</f>
        <v>204484.79342741537</v>
      </c>
      <c r="DN8" s="69">
        <f>'Rent Roll'!ZE6</f>
        <v>204925.17653867876</v>
      </c>
      <c r="DO8" s="69">
        <f>'Rent Roll'!ZF6</f>
        <v>204925.17653867876</v>
      </c>
      <c r="DP8" s="69">
        <f>'Rent Roll'!ZG6</f>
        <v>204925.17653867876</v>
      </c>
      <c r="DQ8" s="69">
        <f>'Rent Roll'!ZH6</f>
        <v>204925.17653867876</v>
      </c>
      <c r="DR8" s="69">
        <f>'Rent Roll'!ZI6</f>
        <v>206118.62976055048</v>
      </c>
      <c r="DS8" s="69">
        <f>'Rent Roll'!ZJ6</f>
        <v>206118.62976055048</v>
      </c>
      <c r="DT8" s="69">
        <f>'Rent Roll'!ZK6</f>
        <v>131992.83998143981</v>
      </c>
      <c r="DU8" s="69">
        <f>'Rent Roll'!ZL6</f>
        <v>132270.1418910957</v>
      </c>
      <c r="DV8" s="69">
        <f>'Rent Roll'!ZM6</f>
        <v>191605.49201271959</v>
      </c>
      <c r="DW8" s="69">
        <f>'Rent Roll'!ZN6</f>
        <v>191605.49201271959</v>
      </c>
      <c r="DX8" s="69">
        <f>'Rent Roll'!ZO6</f>
        <v>191605.49201271959</v>
      </c>
      <c r="DY8" s="69">
        <f>'Rent Roll'!ZP6</f>
        <v>191605.49201271959</v>
      </c>
      <c r="DZ8" s="69">
        <f>'Rent Roll'!ZQ6</f>
        <v>192054.68278620823</v>
      </c>
      <c r="EA8" s="69">
        <f>'Rent Roll'!ZR6</f>
        <v>192054.68278620823</v>
      </c>
      <c r="EB8" s="69">
        <f>'Rent Roll'!ZS6</f>
        <v>192054.68278620823</v>
      </c>
      <c r="EC8" s="69">
        <f>'Rent Roll'!ZT6</f>
        <v>192054.68278620823</v>
      </c>
      <c r="ED8" s="69">
        <f>'Rent Roll'!ZU6</f>
        <v>193272.00507251735</v>
      </c>
      <c r="EE8" s="69">
        <f>'Rent Roll'!ZV6</f>
        <v>193272.00507251735</v>
      </c>
      <c r="EF8" s="69">
        <f>'Rent Roll'!ZW6</f>
        <v>193968.0469026925</v>
      </c>
      <c r="EG8" s="69">
        <f>'Rent Roll'!ZX6</f>
        <v>194250.89485054149</v>
      </c>
      <c r="EH8" s="69">
        <f>'Rent Roll'!ZY6</f>
        <v>195437.60185297395</v>
      </c>
      <c r="EI8" s="69">
        <f>'Rent Roll'!ZZ6</f>
        <v>195437.60185297395</v>
      </c>
      <c r="EJ8" s="69">
        <f>'Rent Roll'!AAA6</f>
        <v>195437.60185297395</v>
      </c>
      <c r="EK8" s="69">
        <f>'Rent Roll'!AAB6</f>
        <v>195437.60185297395</v>
      </c>
      <c r="EL8" s="69">
        <f>'Rent Roll'!AAC6</f>
        <v>195895.77644193239</v>
      </c>
    </row>
    <row r="9" spans="2:143" ht="16.2" x14ac:dyDescent="0.45">
      <c r="B9" s="15" t="s">
        <v>4</v>
      </c>
      <c r="G9" s="71">
        <f>SUM(K9:EL9)/11</f>
        <v>-90064.94686587328</v>
      </c>
      <c r="I9" s="6" t="s">
        <v>1</v>
      </c>
      <c r="J9" s="19"/>
      <c r="K9" s="70">
        <f>-'Rent Roll'!AAF6</f>
        <v>0</v>
      </c>
      <c r="L9" s="70">
        <f>-'Rent Roll'!AAG6</f>
        <v>0</v>
      </c>
      <c r="M9" s="70">
        <f>-'Rent Roll'!AAH6</f>
        <v>0</v>
      </c>
      <c r="N9" s="70">
        <f>-'Rent Roll'!AAI6</f>
        <v>0</v>
      </c>
      <c r="O9" s="70">
        <f>-'Rent Roll'!AAJ6</f>
        <v>0</v>
      </c>
      <c r="P9" s="70">
        <f>-'Rent Roll'!AAK6</f>
        <v>0</v>
      </c>
      <c r="Q9" s="70">
        <f>-'Rent Roll'!AAL6</f>
        <v>0</v>
      </c>
      <c r="R9" s="70">
        <f>-'Rent Roll'!AAM6</f>
        <v>0</v>
      </c>
      <c r="S9" s="70">
        <f>-'Rent Roll'!AAN6</f>
        <v>0</v>
      </c>
      <c r="T9" s="70">
        <f>-'Rent Roll'!AAO6</f>
        <v>0</v>
      </c>
      <c r="U9" s="70">
        <f>-'Rent Roll'!AAP6</f>
        <v>0</v>
      </c>
      <c r="V9" s="70">
        <f>-'Rent Roll'!AAQ6</f>
        <v>0</v>
      </c>
      <c r="W9" s="70">
        <f>-'Rent Roll'!AAR6</f>
        <v>0</v>
      </c>
      <c r="X9" s="70">
        <f>-'Rent Roll'!AAS6</f>
        <v>0</v>
      </c>
      <c r="Y9" s="70">
        <f>-'Rent Roll'!AAT6</f>
        <v>0</v>
      </c>
      <c r="Z9" s="70">
        <f>-'Rent Roll'!AAU6</f>
        <v>0</v>
      </c>
      <c r="AA9" s="70">
        <f>-'Rent Roll'!AAV6</f>
        <v>0</v>
      </c>
      <c r="AB9" s="70">
        <f>-'Rent Roll'!AAW6</f>
        <v>0</v>
      </c>
      <c r="AC9" s="70">
        <f>-'Rent Roll'!AAX6</f>
        <v>-24140.799999999996</v>
      </c>
      <c r="AD9" s="70">
        <f>-'Rent Roll'!AAY6</f>
        <v>0</v>
      </c>
      <c r="AE9" s="70">
        <f>-'Rent Roll'!AAZ6</f>
        <v>0</v>
      </c>
      <c r="AF9" s="70">
        <f>-'Rent Roll'!ABA6</f>
        <v>0</v>
      </c>
      <c r="AG9" s="70">
        <f>-'Rent Roll'!ABB6</f>
        <v>0</v>
      </c>
      <c r="AH9" s="70">
        <f>-'Rent Roll'!ABC6</f>
        <v>0</v>
      </c>
      <c r="AI9" s="70">
        <f>-'Rent Roll'!ABD6</f>
        <v>0</v>
      </c>
      <c r="AJ9" s="70">
        <f>-'Rent Roll'!ABE6</f>
        <v>0</v>
      </c>
      <c r="AK9" s="70">
        <f>-'Rent Roll'!ABF6</f>
        <v>0</v>
      </c>
      <c r="AL9" s="70">
        <f>-'Rent Roll'!ABG6</f>
        <v>0</v>
      </c>
      <c r="AM9" s="70">
        <f>-'Rent Roll'!ABH6</f>
        <v>0</v>
      </c>
      <c r="AN9" s="70">
        <f>-'Rent Roll'!ABI6</f>
        <v>0</v>
      </c>
      <c r="AO9" s="70">
        <f>-'Rent Roll'!ABJ6</f>
        <v>0</v>
      </c>
      <c r="AP9" s="70">
        <f>-'Rent Roll'!ABK6</f>
        <v>0</v>
      </c>
      <c r="AQ9" s="70">
        <f>-'Rent Roll'!ABL6</f>
        <v>0</v>
      </c>
      <c r="AR9" s="70">
        <f>-'Rent Roll'!ABM6</f>
        <v>0</v>
      </c>
      <c r="AS9" s="70">
        <f>-'Rent Roll'!ABN6</f>
        <v>0</v>
      </c>
      <c r="AT9" s="70">
        <f>-'Rent Roll'!ABO6</f>
        <v>0</v>
      </c>
      <c r="AU9" s="70">
        <f>-'Rent Roll'!ABP6</f>
        <v>0</v>
      </c>
      <c r="AV9" s="70">
        <f>-'Rent Roll'!ABQ6</f>
        <v>0</v>
      </c>
      <c r="AW9" s="70">
        <f>-'Rent Roll'!ABR6</f>
        <v>0</v>
      </c>
      <c r="AX9" s="70">
        <f>-'Rent Roll'!ABS6</f>
        <v>-114444.65024999999</v>
      </c>
      <c r="AY9" s="70">
        <f>-'Rent Roll'!ABT6</f>
        <v>0</v>
      </c>
      <c r="AZ9" s="70">
        <f>-'Rent Roll'!ABU6</f>
        <v>0</v>
      </c>
      <c r="BA9" s="70">
        <f>-'Rent Roll'!ABV6</f>
        <v>0</v>
      </c>
      <c r="BB9" s="70">
        <f>-'Rent Roll'!ABW6</f>
        <v>0</v>
      </c>
      <c r="BC9" s="70">
        <f>-'Rent Roll'!ABX6</f>
        <v>0</v>
      </c>
      <c r="BD9" s="70">
        <f>-'Rent Roll'!ABY6</f>
        <v>0</v>
      </c>
      <c r="BE9" s="70">
        <f>-'Rent Roll'!ABZ6</f>
        <v>0</v>
      </c>
      <c r="BF9" s="70">
        <f>-'Rent Roll'!ACA6</f>
        <v>-101711.48075999999</v>
      </c>
      <c r="BG9" s="70">
        <f>-'Rent Roll'!ACB6</f>
        <v>0</v>
      </c>
      <c r="BH9" s="70">
        <f>-'Rent Roll'!ACC6</f>
        <v>0</v>
      </c>
      <c r="BI9" s="70">
        <f>-'Rent Roll'!ACD6</f>
        <v>0</v>
      </c>
      <c r="BJ9" s="70">
        <f>-'Rent Roll'!ACE6</f>
        <v>-68012.820720000003</v>
      </c>
      <c r="BK9" s="70">
        <f>-'Rent Roll'!ACF6</f>
        <v>0</v>
      </c>
      <c r="BL9" s="70">
        <f>-'Rent Roll'!ACG6</f>
        <v>0</v>
      </c>
      <c r="BM9" s="70">
        <f>-'Rent Roll'!ACH6</f>
        <v>0</v>
      </c>
      <c r="BN9" s="70">
        <f>-'Rent Roll'!ACI6</f>
        <v>0</v>
      </c>
      <c r="BO9" s="70">
        <f>-'Rent Roll'!ACJ6</f>
        <v>0</v>
      </c>
      <c r="BP9" s="70">
        <f>-'Rent Roll'!ACK6</f>
        <v>0</v>
      </c>
      <c r="BQ9" s="70">
        <f>-'Rent Roll'!ACL6</f>
        <v>0</v>
      </c>
      <c r="BR9" s="70">
        <f>-'Rent Roll'!ACM6</f>
        <v>0</v>
      </c>
      <c r="BS9" s="70">
        <f>-'Rent Roll'!ACN6</f>
        <v>0</v>
      </c>
      <c r="BT9" s="70">
        <f>-'Rent Roll'!ACO6</f>
        <v>0</v>
      </c>
      <c r="BU9" s="70">
        <f>-'Rent Roll'!ACP6</f>
        <v>0</v>
      </c>
      <c r="BV9" s="70">
        <f>-'Rent Roll'!ACQ6</f>
        <v>0</v>
      </c>
      <c r="BW9" s="70">
        <f>-'Rent Roll'!ACR6</f>
        <v>0</v>
      </c>
      <c r="BX9" s="70">
        <f>-'Rent Roll'!ACS6</f>
        <v>0</v>
      </c>
      <c r="BY9" s="70">
        <f>-'Rent Roll'!ACT6</f>
        <v>0</v>
      </c>
      <c r="BZ9" s="70">
        <f>-'Rent Roll'!ACU6</f>
        <v>0</v>
      </c>
      <c r="CA9" s="70">
        <f>-'Rent Roll'!ACV6</f>
        <v>0</v>
      </c>
      <c r="CB9" s="70">
        <f>-'Rent Roll'!ACW6</f>
        <v>0</v>
      </c>
      <c r="CC9" s="70">
        <f>-'Rent Roll'!ACX6</f>
        <v>0</v>
      </c>
      <c r="CD9" s="70">
        <f>-'Rent Roll'!ACY6</f>
        <v>0</v>
      </c>
      <c r="CE9" s="70">
        <f>-'Rent Roll'!ACZ6</f>
        <v>0</v>
      </c>
      <c r="CF9" s="70">
        <f>-'Rent Roll'!ADA6</f>
        <v>0</v>
      </c>
      <c r="CG9" s="70">
        <f>-'Rent Roll'!ADB6</f>
        <v>0</v>
      </c>
      <c r="CH9" s="70">
        <f>-'Rent Roll'!ADC6</f>
        <v>0</v>
      </c>
      <c r="CI9" s="70">
        <f>-'Rent Roll'!ADD6</f>
        <v>0</v>
      </c>
      <c r="CJ9" s="70">
        <f>-'Rent Roll'!ADE6</f>
        <v>0</v>
      </c>
      <c r="CK9" s="70">
        <f>-'Rent Roll'!ADF6</f>
        <v>0</v>
      </c>
      <c r="CL9" s="70">
        <f>-'Rent Roll'!ADG6</f>
        <v>0</v>
      </c>
      <c r="CM9" s="70">
        <f>-'Rent Roll'!ADH6</f>
        <v>0</v>
      </c>
      <c r="CN9" s="70">
        <f>-'Rent Roll'!ADI6</f>
        <v>0</v>
      </c>
      <c r="CO9" s="70">
        <f>-'Rent Roll'!ADJ6</f>
        <v>0</v>
      </c>
      <c r="CP9" s="70">
        <f>-'Rent Roll'!ADK6</f>
        <v>0</v>
      </c>
      <c r="CQ9" s="70">
        <f>-'Rent Roll'!ADL6</f>
        <v>0</v>
      </c>
      <c r="CR9" s="70">
        <f>-'Rent Roll'!ADM6</f>
        <v>0</v>
      </c>
      <c r="CS9" s="70">
        <f>-'Rent Roll'!ADN6</f>
        <v>0</v>
      </c>
      <c r="CT9" s="70">
        <f>-'Rent Roll'!ADO6</f>
        <v>-96458.725155221429</v>
      </c>
      <c r="CU9" s="70">
        <f>-'Rent Roll'!ADP6</f>
        <v>0</v>
      </c>
      <c r="CV9" s="70">
        <f>-'Rent Roll'!ADQ6</f>
        <v>0</v>
      </c>
      <c r="CW9" s="70">
        <f>-'Rent Roll'!ADR6</f>
        <v>0</v>
      </c>
      <c r="CX9" s="70">
        <f>-'Rent Roll'!ADS6</f>
        <v>0</v>
      </c>
      <c r="CY9" s="70">
        <f>-'Rent Roll'!ADT6</f>
        <v>0</v>
      </c>
      <c r="CZ9" s="70">
        <f>-'Rent Roll'!ADU6</f>
        <v>0</v>
      </c>
      <c r="DA9" s="70">
        <f>-'Rent Roll'!ADV6</f>
        <v>0</v>
      </c>
      <c r="DB9" s="70">
        <f>-'Rent Roll'!ADW6</f>
        <v>0</v>
      </c>
      <c r="DC9" s="70">
        <f>-'Rent Roll'!ADX6</f>
        <v>0</v>
      </c>
      <c r="DD9" s="70">
        <f>-'Rent Roll'!ADY6</f>
        <v>0</v>
      </c>
      <c r="DE9" s="70">
        <f>-'Rent Roll'!ADZ6</f>
        <v>0</v>
      </c>
      <c r="DF9" s="70">
        <f>-'Rent Roll'!AEA6</f>
        <v>0</v>
      </c>
      <c r="DG9" s="70">
        <f>-'Rent Roll'!AEB6</f>
        <v>0</v>
      </c>
      <c r="DH9" s="70">
        <f>-'Rent Roll'!AEC6</f>
        <v>-170598.48778801737</v>
      </c>
      <c r="DI9" s="70">
        <f>-'Rent Roll'!AED6</f>
        <v>0</v>
      </c>
      <c r="DJ9" s="70">
        <f>-'Rent Roll'!AEE6</f>
        <v>0</v>
      </c>
      <c r="DK9" s="70">
        <f>-'Rent Roll'!AEF6</f>
        <v>0</v>
      </c>
      <c r="DL9" s="70">
        <f>-'Rent Roll'!AEG6</f>
        <v>0</v>
      </c>
      <c r="DM9" s="70">
        <f>-'Rent Roll'!AEH6</f>
        <v>0</v>
      </c>
      <c r="DN9" s="70">
        <f>-'Rent Roll'!AEI6</f>
        <v>0</v>
      </c>
      <c r="DO9" s="70">
        <f>-'Rent Roll'!AEJ6</f>
        <v>0</v>
      </c>
      <c r="DP9" s="70">
        <f>-'Rent Roll'!AEK6</f>
        <v>0</v>
      </c>
      <c r="DQ9" s="70">
        <f>-'Rent Roll'!AEL6</f>
        <v>0</v>
      </c>
      <c r="DR9" s="70">
        <f>-'Rent Roll'!AEM6</f>
        <v>0</v>
      </c>
      <c r="DS9" s="70">
        <f>-'Rent Roll'!AEN6</f>
        <v>0</v>
      </c>
      <c r="DT9" s="70">
        <f>-'Rent Roll'!AEO6</f>
        <v>0</v>
      </c>
      <c r="DU9" s="70">
        <f>-'Rent Roll'!AEP6</f>
        <v>0</v>
      </c>
      <c r="DV9" s="70">
        <f>-'Rent Roll'!AEQ6</f>
        <v>-415347.4508513672</v>
      </c>
      <c r="DW9" s="70">
        <f>-'Rent Roll'!AER6</f>
        <v>0</v>
      </c>
      <c r="DX9" s="70">
        <f>-'Rent Roll'!AES6</f>
        <v>0</v>
      </c>
      <c r="DY9" s="70">
        <f>-'Rent Roll'!AET6</f>
        <v>0</v>
      </c>
      <c r="DZ9" s="70">
        <f>-'Rent Roll'!AEU6</f>
        <v>0</v>
      </c>
      <c r="EA9" s="70">
        <f>-'Rent Roll'!AEV6</f>
        <v>0</v>
      </c>
      <c r="EB9" s="70">
        <f>-'Rent Roll'!AEW6</f>
        <v>0</v>
      </c>
      <c r="EC9" s="70">
        <f>-'Rent Roll'!AEX6</f>
        <v>0</v>
      </c>
      <c r="ED9" s="70">
        <f>-'Rent Roll'!AEY6</f>
        <v>0</v>
      </c>
      <c r="EE9" s="70">
        <f>-'Rent Roll'!AEZ6</f>
        <v>0</v>
      </c>
      <c r="EF9" s="70">
        <f>-'Rent Roll'!AFA6</f>
        <v>0</v>
      </c>
      <c r="EG9" s="70">
        <f>-'Rent Roll'!AFB6</f>
        <v>0</v>
      </c>
      <c r="EH9" s="70">
        <f>-'Rent Roll'!AFC6</f>
        <v>0</v>
      </c>
      <c r="EI9" s="70">
        <f>-'Rent Roll'!AFD6</f>
        <v>0</v>
      </c>
      <c r="EJ9" s="70">
        <f>-'Rent Roll'!AFE6</f>
        <v>0</v>
      </c>
      <c r="EK9" s="70">
        <f>-'Rent Roll'!AFF6</f>
        <v>0</v>
      </c>
      <c r="EL9" s="70">
        <f>-'Rent Roll'!AFG6</f>
        <v>0</v>
      </c>
    </row>
    <row r="10" spans="2:143" x14ac:dyDescent="0.3">
      <c r="B10" s="9" t="s">
        <v>2</v>
      </c>
      <c r="G10" s="12">
        <f>SUM(G8:G9)</f>
        <v>1817249.993134127</v>
      </c>
      <c r="I10" s="6" t="s">
        <v>2</v>
      </c>
      <c r="J10" s="17"/>
      <c r="K10" s="17">
        <f t="shared" ref="K10:BV10" si="9">SUM(K8:K9)</f>
        <v>158942.91166666668</v>
      </c>
      <c r="L10" s="17">
        <f t="shared" si="9"/>
        <v>158942.91166666668</v>
      </c>
      <c r="M10" s="17">
        <f t="shared" si="9"/>
        <v>158942.91166666668</v>
      </c>
      <c r="N10" s="17">
        <f t="shared" si="9"/>
        <v>159184.17246666667</v>
      </c>
      <c r="O10" s="17">
        <f t="shared" si="9"/>
        <v>159184.17246666667</v>
      </c>
      <c r="P10" s="17">
        <f t="shared" si="9"/>
        <v>160436.09530000002</v>
      </c>
      <c r="Q10" s="17">
        <f t="shared" si="9"/>
        <v>160436.09530000002</v>
      </c>
      <c r="R10" s="17">
        <f t="shared" si="9"/>
        <v>160436.09530000002</v>
      </c>
      <c r="S10" s="17">
        <f t="shared" si="9"/>
        <v>160709.48490000001</v>
      </c>
      <c r="T10" s="17">
        <f t="shared" si="9"/>
        <v>160709.48490000001</v>
      </c>
      <c r="U10" s="17">
        <f t="shared" si="9"/>
        <v>160709.48490000001</v>
      </c>
      <c r="V10" s="17">
        <f t="shared" si="9"/>
        <v>160709.48490000001</v>
      </c>
      <c r="W10" s="17">
        <f t="shared" si="9"/>
        <v>162121.76990000001</v>
      </c>
      <c r="X10" s="17">
        <f t="shared" si="9"/>
        <v>162121.76990000001</v>
      </c>
      <c r="Y10" s="17">
        <f t="shared" si="9"/>
        <v>162121.76990000001</v>
      </c>
      <c r="Z10" s="17">
        <f t="shared" si="9"/>
        <v>149817.46910000002</v>
      </c>
      <c r="AA10" s="17">
        <f t="shared" si="9"/>
        <v>149817.46910000002</v>
      </c>
      <c r="AB10" s="17">
        <f t="shared" si="9"/>
        <v>151094.43039000002</v>
      </c>
      <c r="AC10" s="17">
        <f t="shared" si="9"/>
        <v>139024.03039000003</v>
      </c>
      <c r="AD10" s="17">
        <f t="shared" si="9"/>
        <v>163164.83039000002</v>
      </c>
      <c r="AE10" s="17">
        <f t="shared" si="9"/>
        <v>163443.68778200002</v>
      </c>
      <c r="AF10" s="17">
        <f t="shared" si="9"/>
        <v>163443.68778200002</v>
      </c>
      <c r="AG10" s="17">
        <f t="shared" si="9"/>
        <v>163443.68778200002</v>
      </c>
      <c r="AH10" s="17">
        <f t="shared" si="9"/>
        <v>163443.68778200002</v>
      </c>
      <c r="AI10" s="17">
        <f t="shared" si="9"/>
        <v>164884.21848200003</v>
      </c>
      <c r="AJ10" s="17">
        <f t="shared" si="9"/>
        <v>164884.21848200003</v>
      </c>
      <c r="AK10" s="17">
        <f t="shared" si="9"/>
        <v>164884.21848200003</v>
      </c>
      <c r="AL10" s="17">
        <f t="shared" si="9"/>
        <v>164884.21848200003</v>
      </c>
      <c r="AM10" s="17">
        <f t="shared" si="9"/>
        <v>164884.21848200003</v>
      </c>
      <c r="AN10" s="17">
        <f t="shared" si="9"/>
        <v>166186.71899780002</v>
      </c>
      <c r="AO10" s="17">
        <f t="shared" si="9"/>
        <v>166428.12699780002</v>
      </c>
      <c r="AP10" s="17">
        <f t="shared" si="9"/>
        <v>166428.12699780002</v>
      </c>
      <c r="AQ10" s="17">
        <f t="shared" si="9"/>
        <v>166712.56153763999</v>
      </c>
      <c r="AR10" s="17">
        <f t="shared" si="9"/>
        <v>166712.56153763999</v>
      </c>
      <c r="AS10" s="17">
        <f t="shared" si="9"/>
        <v>166712.56153763999</v>
      </c>
      <c r="AT10" s="17">
        <f t="shared" si="9"/>
        <v>166712.56153763999</v>
      </c>
      <c r="AU10" s="17">
        <f t="shared" si="9"/>
        <v>150675.81773063997</v>
      </c>
      <c r="AV10" s="17">
        <f t="shared" si="9"/>
        <v>150675.81773063997</v>
      </c>
      <c r="AW10" s="17">
        <f t="shared" si="9"/>
        <v>150675.81773063997</v>
      </c>
      <c r="AX10" s="17">
        <f t="shared" si="9"/>
        <v>59120.097530640007</v>
      </c>
      <c r="AY10" s="17">
        <f t="shared" si="9"/>
        <v>173564.74778064</v>
      </c>
      <c r="AZ10" s="17">
        <f t="shared" si="9"/>
        <v>174893.29830675598</v>
      </c>
      <c r="BA10" s="17">
        <f t="shared" si="9"/>
        <v>175139.53446675595</v>
      </c>
      <c r="BB10" s="17">
        <f t="shared" si="9"/>
        <v>175139.53446675595</v>
      </c>
      <c r="BC10" s="17">
        <f t="shared" si="9"/>
        <v>160633.37293491597</v>
      </c>
      <c r="BD10" s="17">
        <f t="shared" si="9"/>
        <v>160633.37293491597</v>
      </c>
      <c r="BE10" s="17">
        <f t="shared" si="9"/>
        <v>160633.37293491597</v>
      </c>
      <c r="BF10" s="17">
        <f t="shared" si="9"/>
        <v>79264.188326915973</v>
      </c>
      <c r="BG10" s="17">
        <f t="shared" si="9"/>
        <v>165238.333828776</v>
      </c>
      <c r="BH10" s="17">
        <f t="shared" si="9"/>
        <v>165238.333828776</v>
      </c>
      <c r="BI10" s="17">
        <f t="shared" si="9"/>
        <v>165238.333828776</v>
      </c>
      <c r="BJ10" s="17">
        <f t="shared" si="9"/>
        <v>111285.855853776</v>
      </c>
      <c r="BK10" s="17">
        <f t="shared" si="9"/>
        <v>179298.676573776</v>
      </c>
      <c r="BL10" s="17">
        <f t="shared" si="9"/>
        <v>180653.79811041433</v>
      </c>
      <c r="BM10" s="17">
        <f t="shared" si="9"/>
        <v>180904.95899361433</v>
      </c>
      <c r="BN10" s="17">
        <f t="shared" si="9"/>
        <v>180904.95899361433</v>
      </c>
      <c r="BO10" s="17">
        <f t="shared" si="9"/>
        <v>180904.95899361433</v>
      </c>
      <c r="BP10" s="17">
        <f t="shared" si="9"/>
        <v>180904.95899361433</v>
      </c>
      <c r="BQ10" s="17">
        <f t="shared" si="9"/>
        <v>180904.95899361433</v>
      </c>
      <c r="BR10" s="17">
        <f t="shared" si="9"/>
        <v>181311.80491665434</v>
      </c>
      <c r="BS10" s="17">
        <f t="shared" si="9"/>
        <v>182145.66464935153</v>
      </c>
      <c r="BT10" s="17">
        <f t="shared" si="9"/>
        <v>182145.66464935153</v>
      </c>
      <c r="BU10" s="17">
        <f t="shared" si="9"/>
        <v>182145.66464935153</v>
      </c>
      <c r="BV10" s="17">
        <f t="shared" si="9"/>
        <v>182884.65010525152</v>
      </c>
      <c r="BW10" s="17">
        <f t="shared" ref="BW10:EH10" si="10">SUM(BW8:BW9)</f>
        <v>182884.65010525152</v>
      </c>
      <c r="BX10" s="17">
        <f t="shared" si="10"/>
        <v>184266.87407262262</v>
      </c>
      <c r="BY10" s="17">
        <f t="shared" si="10"/>
        <v>184523.05817348661</v>
      </c>
      <c r="BZ10" s="17">
        <f t="shared" si="10"/>
        <v>184523.05817348661</v>
      </c>
      <c r="CA10" s="17">
        <f t="shared" si="10"/>
        <v>184523.05817348661</v>
      </c>
      <c r="CB10" s="17">
        <f t="shared" si="10"/>
        <v>184523.05817348661</v>
      </c>
      <c r="CC10" s="17">
        <f t="shared" si="10"/>
        <v>184523.05817348661</v>
      </c>
      <c r="CD10" s="17">
        <f t="shared" si="10"/>
        <v>184938.04101498742</v>
      </c>
      <c r="CE10" s="17">
        <f t="shared" si="10"/>
        <v>185788.57794233857</v>
      </c>
      <c r="CF10" s="17">
        <f t="shared" si="10"/>
        <v>185788.57794233857</v>
      </c>
      <c r="CG10" s="17">
        <f t="shared" si="10"/>
        <v>185788.57794233857</v>
      </c>
      <c r="CH10" s="17">
        <f t="shared" si="10"/>
        <v>186542.34310735654</v>
      </c>
      <c r="CI10" s="17">
        <f t="shared" si="10"/>
        <v>186542.34310735654</v>
      </c>
      <c r="CJ10" s="17">
        <f t="shared" si="10"/>
        <v>187952.21155407507</v>
      </c>
      <c r="CK10" s="17">
        <f t="shared" si="10"/>
        <v>188213.51933695635</v>
      </c>
      <c r="CL10" s="17">
        <f t="shared" si="10"/>
        <v>188213.51933695635</v>
      </c>
      <c r="CM10" s="17">
        <f t="shared" si="10"/>
        <v>188213.51933695635</v>
      </c>
      <c r="CN10" s="17">
        <f t="shared" si="10"/>
        <v>188213.51933695635</v>
      </c>
      <c r="CO10" s="17">
        <f t="shared" si="10"/>
        <v>188213.51933695635</v>
      </c>
      <c r="CP10" s="17">
        <f t="shared" si="10"/>
        <v>188636.80183528716</v>
      </c>
      <c r="CQ10" s="17">
        <f t="shared" si="10"/>
        <v>172873.53481925061</v>
      </c>
      <c r="CR10" s="17">
        <f t="shared" si="10"/>
        <v>172873.53481925061</v>
      </c>
      <c r="CS10" s="17">
        <f t="shared" si="10"/>
        <v>172873.53481925061</v>
      </c>
      <c r="CT10" s="17">
        <f t="shared" si="10"/>
        <v>96475.395163391819</v>
      </c>
      <c r="CU10" s="17">
        <f t="shared" si="10"/>
        <v>192934.12031861325</v>
      </c>
      <c r="CV10" s="17">
        <f t="shared" si="10"/>
        <v>194372.18613426611</v>
      </c>
      <c r="CW10" s="17">
        <f t="shared" si="10"/>
        <v>194638.72007280504</v>
      </c>
      <c r="CX10" s="17">
        <f t="shared" si="10"/>
        <v>194638.72007280504</v>
      </c>
      <c r="CY10" s="17">
        <f t="shared" si="10"/>
        <v>194638.72007280504</v>
      </c>
      <c r="CZ10" s="17">
        <f t="shared" si="10"/>
        <v>194638.72007280504</v>
      </c>
      <c r="DA10" s="17">
        <f t="shared" si="10"/>
        <v>194638.72007280504</v>
      </c>
      <c r="DB10" s="17">
        <f t="shared" si="10"/>
        <v>195070.46822110246</v>
      </c>
      <c r="DC10" s="17">
        <f t="shared" si="10"/>
        <v>195622.75054667992</v>
      </c>
      <c r="DD10" s="17">
        <f t="shared" si="10"/>
        <v>195622.75054667992</v>
      </c>
      <c r="DE10" s="17">
        <f t="shared" si="10"/>
        <v>167456.35194223069</v>
      </c>
      <c r="DF10" s="17">
        <f t="shared" si="10"/>
        <v>168626.40412053629</v>
      </c>
      <c r="DG10" s="17">
        <f t="shared" si="10"/>
        <v>168626.40412053629</v>
      </c>
      <c r="DH10" s="17">
        <f t="shared" si="10"/>
        <v>33614.441022088344</v>
      </c>
      <c r="DI10" s="17">
        <f t="shared" si="10"/>
        <v>204484.79342741537</v>
      </c>
      <c r="DJ10" s="17">
        <f t="shared" si="10"/>
        <v>204484.79342741537</v>
      </c>
      <c r="DK10" s="17">
        <f t="shared" si="10"/>
        <v>204484.79342741537</v>
      </c>
      <c r="DL10" s="17">
        <f t="shared" si="10"/>
        <v>204484.79342741537</v>
      </c>
      <c r="DM10" s="17">
        <f t="shared" si="10"/>
        <v>204484.79342741537</v>
      </c>
      <c r="DN10" s="17">
        <f t="shared" si="10"/>
        <v>204925.17653867876</v>
      </c>
      <c r="DO10" s="17">
        <f t="shared" si="10"/>
        <v>204925.17653867876</v>
      </c>
      <c r="DP10" s="17">
        <f t="shared" si="10"/>
        <v>204925.17653867876</v>
      </c>
      <c r="DQ10" s="17">
        <f t="shared" si="10"/>
        <v>204925.17653867876</v>
      </c>
      <c r="DR10" s="17">
        <f t="shared" si="10"/>
        <v>206118.62976055048</v>
      </c>
      <c r="DS10" s="17">
        <f t="shared" si="10"/>
        <v>206118.62976055048</v>
      </c>
      <c r="DT10" s="17">
        <f t="shared" si="10"/>
        <v>131992.83998143981</v>
      </c>
      <c r="DU10" s="17">
        <f t="shared" si="10"/>
        <v>132270.1418910957</v>
      </c>
      <c r="DV10" s="17">
        <f t="shared" si="10"/>
        <v>-223741.95883864761</v>
      </c>
      <c r="DW10" s="17">
        <f t="shared" si="10"/>
        <v>191605.49201271959</v>
      </c>
      <c r="DX10" s="17">
        <f t="shared" si="10"/>
        <v>191605.49201271959</v>
      </c>
      <c r="DY10" s="17">
        <f t="shared" si="10"/>
        <v>191605.49201271959</v>
      </c>
      <c r="DZ10" s="17">
        <f t="shared" si="10"/>
        <v>192054.68278620823</v>
      </c>
      <c r="EA10" s="17">
        <f t="shared" si="10"/>
        <v>192054.68278620823</v>
      </c>
      <c r="EB10" s="17">
        <f t="shared" si="10"/>
        <v>192054.68278620823</v>
      </c>
      <c r="EC10" s="17">
        <f t="shared" si="10"/>
        <v>192054.68278620823</v>
      </c>
      <c r="ED10" s="17">
        <f t="shared" si="10"/>
        <v>193272.00507251735</v>
      </c>
      <c r="EE10" s="17">
        <f t="shared" si="10"/>
        <v>193272.00507251735</v>
      </c>
      <c r="EF10" s="17">
        <f t="shared" si="10"/>
        <v>193968.0469026925</v>
      </c>
      <c r="EG10" s="17">
        <f t="shared" si="10"/>
        <v>194250.89485054149</v>
      </c>
      <c r="EH10" s="17">
        <f t="shared" si="10"/>
        <v>195437.60185297395</v>
      </c>
      <c r="EI10" s="17">
        <f t="shared" ref="EI10:EL10" si="11">SUM(EI8:EI9)</f>
        <v>195437.60185297395</v>
      </c>
      <c r="EJ10" s="17">
        <f t="shared" si="11"/>
        <v>195437.60185297395</v>
      </c>
      <c r="EK10" s="17">
        <f t="shared" si="11"/>
        <v>195437.60185297395</v>
      </c>
      <c r="EL10" s="17">
        <f t="shared" si="11"/>
        <v>195895.77644193239</v>
      </c>
    </row>
    <row r="11" spans="2:143" x14ac:dyDescent="0.3">
      <c r="B11" s="27" t="s">
        <v>18</v>
      </c>
      <c r="F11" s="73">
        <v>1</v>
      </c>
      <c r="G11" s="12">
        <f>+F11*G17</f>
        <v>767341</v>
      </c>
      <c r="J11" s="17"/>
      <c r="K11" s="69">
        <f>'Rent Roll'!AFJ6+'Rent Roll'!AKN6</f>
        <v>63945.083333333336</v>
      </c>
      <c r="L11" s="69">
        <f>'Rent Roll'!AFK6+'Rent Roll'!AKO6</f>
        <v>63945.083333333336</v>
      </c>
      <c r="M11" s="69">
        <f>'Rent Roll'!AFL6+'Rent Roll'!AKP6</f>
        <v>63945.083333333336</v>
      </c>
      <c r="N11" s="69">
        <f>'Rent Roll'!AFM6+'Rent Roll'!AKQ6</f>
        <v>63945.083333333336</v>
      </c>
      <c r="O11" s="69">
        <f>'Rent Roll'!AFN6+'Rent Roll'!AKR6</f>
        <v>63945.083333333336</v>
      </c>
      <c r="P11" s="69">
        <f>'Rent Roll'!AFO6+'Rent Roll'!AKS6</f>
        <v>63945.083333333336</v>
      </c>
      <c r="Q11" s="69">
        <f>'Rent Roll'!AFP6+'Rent Roll'!AKT6</f>
        <v>63945.083333333336</v>
      </c>
      <c r="R11" s="69">
        <f>'Rent Roll'!AFQ6+'Rent Roll'!AKU6</f>
        <v>63945.083333333336</v>
      </c>
      <c r="S11" s="69">
        <f>'Rent Roll'!AFR6+'Rent Roll'!AKV6</f>
        <v>63945.083333333336</v>
      </c>
      <c r="T11" s="69">
        <f>'Rent Roll'!AFS6+'Rent Roll'!AKW6</f>
        <v>63945.083333333336</v>
      </c>
      <c r="U11" s="69">
        <f>'Rent Roll'!AFT6+'Rent Roll'!AKX6</f>
        <v>63945.083333333336</v>
      </c>
      <c r="V11" s="69">
        <f>'Rent Roll'!AFU6+'Rent Roll'!AKY6</f>
        <v>63945.083333333336</v>
      </c>
      <c r="W11" s="69">
        <f>'Rent Roll'!AFV6+'Rent Roll'!AKZ6</f>
        <v>65223.985000000001</v>
      </c>
      <c r="X11" s="69">
        <f>'Rent Roll'!AFW6+'Rent Roll'!ALA6</f>
        <v>65223.985000000001</v>
      </c>
      <c r="Y11" s="69">
        <f>'Rent Roll'!AFX6+'Rent Roll'!ALB6</f>
        <v>65223.985000000001</v>
      </c>
      <c r="Z11" s="69">
        <f>'Rent Roll'!AFY6+'Rent Roll'!ALC6</f>
        <v>61012.263299981722</v>
      </c>
      <c r="AA11" s="69">
        <f>'Rent Roll'!AFZ6+'Rent Roll'!ALD6</f>
        <v>61012.263299981722</v>
      </c>
      <c r="AB11" s="69">
        <f>'Rent Roll'!AGA6+'Rent Roll'!ALE6</f>
        <v>61012.263299981722</v>
      </c>
      <c r="AC11" s="69">
        <f>'Rent Roll'!AGB6+'Rent Roll'!ALF6</f>
        <v>65223.985000000001</v>
      </c>
      <c r="AD11" s="69">
        <f>'Rent Roll'!AGC6+'Rent Roll'!ALG6</f>
        <v>65223.985000000001</v>
      </c>
      <c r="AE11" s="69">
        <f>'Rent Roll'!AGD6+'Rent Roll'!ALH6</f>
        <v>65223.985000000001</v>
      </c>
      <c r="AF11" s="69">
        <f>'Rent Roll'!AGE6+'Rent Roll'!ALI6</f>
        <v>65223.985000000001</v>
      </c>
      <c r="AG11" s="69">
        <f>'Rent Roll'!AGF6+'Rent Roll'!ALJ6</f>
        <v>65223.985000000001</v>
      </c>
      <c r="AH11" s="69">
        <f>'Rent Roll'!AGG6+'Rent Roll'!ALK6</f>
        <v>65223.985000000001</v>
      </c>
      <c r="AI11" s="69">
        <f>'Rent Roll'!AGH6+'Rent Roll'!ALL6</f>
        <v>66528.464699999997</v>
      </c>
      <c r="AJ11" s="69">
        <f>'Rent Roll'!AGI6+'Rent Roll'!ALM6</f>
        <v>66528.464699999997</v>
      </c>
      <c r="AK11" s="69">
        <f>'Rent Roll'!AGJ6+'Rent Roll'!ALN6</f>
        <v>66528.464699999997</v>
      </c>
      <c r="AL11" s="69">
        <f>'Rent Roll'!AGK6+'Rent Roll'!ALO6</f>
        <v>66528.464699999997</v>
      </c>
      <c r="AM11" s="69">
        <f>'Rent Roll'!AGL6+'Rent Roll'!ALP6</f>
        <v>66528.464699999997</v>
      </c>
      <c r="AN11" s="69">
        <f>'Rent Roll'!AGM6+'Rent Roll'!ALQ6</f>
        <v>66528.464699999997</v>
      </c>
      <c r="AO11" s="69">
        <f>'Rent Roll'!AGN6+'Rent Roll'!ALR6</f>
        <v>66528.464699999997</v>
      </c>
      <c r="AP11" s="69">
        <f>'Rent Roll'!AGO6+'Rent Roll'!ALS6</f>
        <v>66528.464699999997</v>
      </c>
      <c r="AQ11" s="69">
        <f>'Rent Roll'!AGP6+'Rent Roll'!ALT6</f>
        <v>66528.464699999997</v>
      </c>
      <c r="AR11" s="69">
        <f>'Rent Roll'!AGQ6+'Rent Roll'!ALU6</f>
        <v>66528.464699999997</v>
      </c>
      <c r="AS11" s="69">
        <f>'Rent Roll'!AGR6+'Rent Roll'!ALV6</f>
        <v>66528.464699999997</v>
      </c>
      <c r="AT11" s="69">
        <f>'Rent Roll'!AGS6+'Rent Roll'!ALW6</f>
        <v>66528.464699999997</v>
      </c>
      <c r="AU11" s="69">
        <f>'Rent Roll'!AGT6+'Rent Roll'!ALX6</f>
        <v>59003.002140277466</v>
      </c>
      <c r="AV11" s="69">
        <f>'Rent Roll'!AGU6+'Rent Roll'!ALY6</f>
        <v>59003.002140277466</v>
      </c>
      <c r="AW11" s="69">
        <f>'Rent Roll'!AGV6+'Rent Roll'!ALZ6</f>
        <v>59003.002140277466</v>
      </c>
      <c r="AX11" s="69">
        <f>'Rent Roll'!AGW6+'Rent Roll'!AMA6</f>
        <v>67859.033993999998</v>
      </c>
      <c r="AY11" s="69">
        <f>'Rent Roll'!AGX6+'Rent Roll'!AMB6</f>
        <v>67859.033993999998</v>
      </c>
      <c r="AZ11" s="69">
        <f>'Rent Roll'!AGY6+'Rent Roll'!AMC6</f>
        <v>67859.033993999998</v>
      </c>
      <c r="BA11" s="69">
        <f>'Rent Roll'!AGZ6+'Rent Roll'!AMD6</f>
        <v>67859.033993999998</v>
      </c>
      <c r="BB11" s="69">
        <f>'Rent Roll'!AHA6+'Rent Roll'!AME6</f>
        <v>67859.033993999998</v>
      </c>
      <c r="BC11" s="69">
        <f>'Rent Roll'!AHB6+'Rent Roll'!AMF6</f>
        <v>59988.328709548783</v>
      </c>
      <c r="BD11" s="69">
        <f>'Rent Roll'!AHC6+'Rent Roll'!AMG6</f>
        <v>59988.328709548783</v>
      </c>
      <c r="BE11" s="69">
        <f>'Rent Roll'!AHD6+'Rent Roll'!AMH6</f>
        <v>59988.328709548783</v>
      </c>
      <c r="BF11" s="69">
        <f>'Rent Roll'!AHE6+'Rent Roll'!AMI6</f>
        <v>67859.033993999998</v>
      </c>
      <c r="BG11" s="69">
        <f>'Rent Roll'!AHF6+'Rent Roll'!AMJ6</f>
        <v>63953.201457953473</v>
      </c>
      <c r="BH11" s="69">
        <f>'Rent Roll'!AHG6+'Rent Roll'!AMK6</f>
        <v>63953.201457953473</v>
      </c>
      <c r="BI11" s="69">
        <f>'Rent Roll'!AHH6+'Rent Roll'!AML6</f>
        <v>63953.201457953473</v>
      </c>
      <c r="BJ11" s="69">
        <f>'Rent Roll'!AHI6+'Rent Roll'!AMM6</f>
        <v>69216.214673880007</v>
      </c>
      <c r="BK11" s="69">
        <f>'Rent Roll'!AHJ6+'Rent Roll'!AMN6</f>
        <v>69216.214673880007</v>
      </c>
      <c r="BL11" s="69">
        <f>'Rent Roll'!AHK6+'Rent Roll'!AMO6</f>
        <v>69216.214673880007</v>
      </c>
      <c r="BM11" s="69">
        <f>'Rent Roll'!AHL6+'Rent Roll'!AMP6</f>
        <v>69216.214673880007</v>
      </c>
      <c r="BN11" s="69">
        <f>'Rent Roll'!AHM6+'Rent Roll'!AMQ6</f>
        <v>69216.214673880007</v>
      </c>
      <c r="BO11" s="69">
        <f>'Rent Roll'!AHN6+'Rent Roll'!AMR6</f>
        <v>69216.214673880007</v>
      </c>
      <c r="BP11" s="69">
        <f>'Rent Roll'!AHO6+'Rent Roll'!AMS6</f>
        <v>69216.214673880007</v>
      </c>
      <c r="BQ11" s="69">
        <f>'Rent Roll'!AHP6+'Rent Roll'!AMT6</f>
        <v>69216.214673880007</v>
      </c>
      <c r="BR11" s="69">
        <f>'Rent Roll'!AHQ6+'Rent Roll'!AMU6</f>
        <v>69216.214673880007</v>
      </c>
      <c r="BS11" s="69">
        <f>'Rent Roll'!AHR6+'Rent Roll'!AMV6</f>
        <v>70600.538967357599</v>
      </c>
      <c r="BT11" s="69">
        <f>'Rent Roll'!AHS6+'Rent Roll'!AMW6</f>
        <v>70600.538967357599</v>
      </c>
      <c r="BU11" s="69">
        <f>'Rent Roll'!AHT6+'Rent Roll'!AMX6</f>
        <v>70600.538967357599</v>
      </c>
      <c r="BV11" s="69">
        <f>'Rent Roll'!AHU6+'Rent Roll'!AMY6</f>
        <v>70600.538967357599</v>
      </c>
      <c r="BW11" s="69">
        <f>'Rent Roll'!AHV6+'Rent Roll'!AMZ6</f>
        <v>70600.538967357599</v>
      </c>
      <c r="BX11" s="69">
        <f>'Rent Roll'!AHW6+'Rent Roll'!ANA6</f>
        <v>70600.538967357599</v>
      </c>
      <c r="BY11" s="69">
        <f>'Rent Roll'!AHX6+'Rent Roll'!ANB6</f>
        <v>70600.538967357599</v>
      </c>
      <c r="BZ11" s="69">
        <f>'Rent Roll'!AHY6+'Rent Roll'!ANC6</f>
        <v>70600.538967357599</v>
      </c>
      <c r="CA11" s="69">
        <f>'Rent Roll'!AHZ6+'Rent Roll'!AND6</f>
        <v>70600.538967357599</v>
      </c>
      <c r="CB11" s="69">
        <f>'Rent Roll'!AIA6+'Rent Roll'!ANE6</f>
        <v>70600.538967357599</v>
      </c>
      <c r="CC11" s="69">
        <f>'Rent Roll'!AIB6+'Rent Roll'!ANF6</f>
        <v>70600.538967357599</v>
      </c>
      <c r="CD11" s="69">
        <f>'Rent Roll'!AIC6+'Rent Roll'!ANG6</f>
        <v>70600.538967357599</v>
      </c>
      <c r="CE11" s="69">
        <f>'Rent Roll'!AID6+'Rent Roll'!ANH6</f>
        <v>72012.549746704753</v>
      </c>
      <c r="CF11" s="69">
        <f>'Rent Roll'!AIE6+'Rent Roll'!ANI6</f>
        <v>72012.549746704753</v>
      </c>
      <c r="CG11" s="69">
        <f>'Rent Roll'!AIF6+'Rent Roll'!ANJ6</f>
        <v>72012.549746704753</v>
      </c>
      <c r="CH11" s="69">
        <f>'Rent Roll'!AIG6+'Rent Roll'!ANK6</f>
        <v>72012.549746704753</v>
      </c>
      <c r="CI11" s="69">
        <f>'Rent Roll'!AIH6+'Rent Roll'!ANL6</f>
        <v>72012.549746704753</v>
      </c>
      <c r="CJ11" s="69">
        <f>'Rent Roll'!AII6+'Rent Roll'!ANM6</f>
        <v>72012.549746704753</v>
      </c>
      <c r="CK11" s="69">
        <f>'Rent Roll'!AIJ6+'Rent Roll'!ANN6</f>
        <v>72012.549746704753</v>
      </c>
      <c r="CL11" s="69">
        <f>'Rent Roll'!AIK6+'Rent Roll'!ANO6</f>
        <v>72012.549746704753</v>
      </c>
      <c r="CM11" s="69">
        <f>'Rent Roll'!AIL6+'Rent Roll'!ANP6</f>
        <v>72012.549746704753</v>
      </c>
      <c r="CN11" s="69">
        <f>'Rent Roll'!AIM6+'Rent Roll'!ANQ6</f>
        <v>72012.549746704753</v>
      </c>
      <c r="CO11" s="69">
        <f>'Rent Roll'!AIN6+'Rent Roll'!ANR6</f>
        <v>72012.549746704753</v>
      </c>
      <c r="CP11" s="69">
        <f>'Rent Roll'!AIO6+'Rent Roll'!ANS6</f>
        <v>72012.549746704753</v>
      </c>
      <c r="CQ11" s="69">
        <f>'Rent Roll'!AIP6+'Rent Roll'!ANT6</f>
        <v>65988.567676326929</v>
      </c>
      <c r="CR11" s="69">
        <f>'Rent Roll'!AIQ6+'Rent Roll'!ANU6</f>
        <v>65988.567676326929</v>
      </c>
      <c r="CS11" s="69">
        <f>'Rent Roll'!AIR6+'Rent Roll'!ANV6</f>
        <v>65988.567676326929</v>
      </c>
      <c r="CT11" s="69">
        <f>'Rent Roll'!AIS6+'Rent Roll'!ANW6</f>
        <v>73452.800741638843</v>
      </c>
      <c r="CU11" s="69">
        <f>'Rent Roll'!AIT6+'Rent Roll'!ANX6</f>
        <v>73452.800741638843</v>
      </c>
      <c r="CV11" s="69">
        <f>'Rent Roll'!AIU6+'Rent Roll'!ANY6</f>
        <v>73452.800741638843</v>
      </c>
      <c r="CW11" s="69">
        <f>'Rent Roll'!AIV6+'Rent Roll'!ANZ6</f>
        <v>73452.800741638843</v>
      </c>
      <c r="CX11" s="69">
        <f>'Rent Roll'!AIW6+'Rent Roll'!AOA6</f>
        <v>73452.800741638843</v>
      </c>
      <c r="CY11" s="69">
        <f>'Rent Roll'!AIX6+'Rent Roll'!AOB6</f>
        <v>73452.800741638843</v>
      </c>
      <c r="CZ11" s="69">
        <f>'Rent Roll'!AIY6+'Rent Roll'!AOC6</f>
        <v>73452.800741638843</v>
      </c>
      <c r="DA11" s="69">
        <f>'Rent Roll'!AIZ6+'Rent Roll'!AOD6</f>
        <v>73452.800741638843</v>
      </c>
      <c r="DB11" s="69">
        <f>'Rent Roll'!AJA6+'Rent Roll'!AOE6</f>
        <v>73452.800741638843</v>
      </c>
      <c r="DC11" s="69">
        <f>'Rent Roll'!AJB6+'Rent Roll'!AOF6</f>
        <v>74921.856756471621</v>
      </c>
      <c r="DD11" s="69">
        <f>'Rent Roll'!AJC6+'Rent Roll'!AOG6</f>
        <v>74921.856756471621</v>
      </c>
      <c r="DE11" s="69">
        <f>'Rent Roll'!AJD6+'Rent Roll'!AOH6</f>
        <v>61720.491391229691</v>
      </c>
      <c r="DF11" s="69">
        <f>'Rent Roll'!AJE6+'Rent Roll'!AOI6</f>
        <v>61720.491391229691</v>
      </c>
      <c r="DG11" s="69">
        <f>'Rent Roll'!AJF6+'Rent Roll'!AOJ6</f>
        <v>61720.491391229691</v>
      </c>
      <c r="DH11" s="69">
        <f>'Rent Roll'!AJG6+'Rent Roll'!AOK6</f>
        <v>74921.856756471621</v>
      </c>
      <c r="DI11" s="69">
        <f>'Rent Roll'!AJH6+'Rent Roll'!AOL6</f>
        <v>74921.856756471621</v>
      </c>
      <c r="DJ11" s="69">
        <f>'Rent Roll'!AJI6+'Rent Roll'!AOM6</f>
        <v>74921.856756471621</v>
      </c>
      <c r="DK11" s="69">
        <f>'Rent Roll'!AJJ6+'Rent Roll'!AON6</f>
        <v>74921.856756471621</v>
      </c>
      <c r="DL11" s="69">
        <f>'Rent Roll'!AJK6+'Rent Roll'!AOO6</f>
        <v>74921.856756471621</v>
      </c>
      <c r="DM11" s="69">
        <f>'Rent Roll'!AJL6+'Rent Roll'!AOP6</f>
        <v>74921.856756471621</v>
      </c>
      <c r="DN11" s="69">
        <f>'Rent Roll'!AJM6+'Rent Roll'!AOQ6</f>
        <v>74921.856756471621</v>
      </c>
      <c r="DO11" s="69">
        <f>'Rent Roll'!AJN6+'Rent Roll'!AOR6</f>
        <v>76420.293891601061</v>
      </c>
      <c r="DP11" s="69">
        <f>'Rent Roll'!AJO6+'Rent Roll'!AOS6</f>
        <v>76420.293891601061</v>
      </c>
      <c r="DQ11" s="69">
        <f>'Rent Roll'!AJP6+'Rent Roll'!AOT6</f>
        <v>76420.293891601061</v>
      </c>
      <c r="DR11" s="69">
        <f>'Rent Roll'!AJQ6+'Rent Roll'!AOU6</f>
        <v>76420.293891601061</v>
      </c>
      <c r="DS11" s="69">
        <f>'Rent Roll'!AJR6+'Rent Roll'!AOV6</f>
        <v>76420.293891601061</v>
      </c>
      <c r="DT11" s="69">
        <f>'Rent Roll'!AJS6+'Rent Roll'!AOW6</f>
        <v>50813.698614305664</v>
      </c>
      <c r="DU11" s="69">
        <f>'Rent Roll'!AJT6+'Rent Roll'!AOX6</f>
        <v>50813.698614305664</v>
      </c>
      <c r="DV11" s="69">
        <f>'Rent Roll'!AJU6+'Rent Roll'!AOY6</f>
        <v>76420.293891601061</v>
      </c>
      <c r="DW11" s="69">
        <f>'Rent Roll'!AJV6+'Rent Roll'!AOZ6</f>
        <v>76420.293891601061</v>
      </c>
      <c r="DX11" s="69">
        <f>'Rent Roll'!AJW6+'Rent Roll'!APA6</f>
        <v>76420.293891601061</v>
      </c>
      <c r="DY11" s="69">
        <f>'Rent Roll'!AJX6+'Rent Roll'!APB6</f>
        <v>76420.293891601061</v>
      </c>
      <c r="DZ11" s="69">
        <f>'Rent Roll'!AJY6+'Rent Roll'!APC6</f>
        <v>76420.293891601061</v>
      </c>
      <c r="EA11" s="69">
        <f>'Rent Roll'!AJZ6+'Rent Roll'!APD6</f>
        <v>77948.699769433064</v>
      </c>
      <c r="EB11" s="69">
        <f>'Rent Roll'!AKA6+'Rent Roll'!APE6</f>
        <v>77948.699769433064</v>
      </c>
      <c r="EC11" s="69">
        <f>'Rent Roll'!AKB6+'Rent Roll'!APF6</f>
        <v>77948.699769433064</v>
      </c>
      <c r="ED11" s="69">
        <f>'Rent Roll'!AKC6+'Rent Roll'!APG6</f>
        <v>77948.699769433064</v>
      </c>
      <c r="EE11" s="69">
        <f>'Rent Roll'!AKD6+'Rent Roll'!APH6</f>
        <v>77948.699769433064</v>
      </c>
      <c r="EF11" s="69">
        <f>'Rent Roll'!AKE6+'Rent Roll'!API6</f>
        <v>77948.699769433064</v>
      </c>
      <c r="EG11" s="69">
        <f>'Rent Roll'!AKF6+'Rent Roll'!APJ6</f>
        <v>77948.699769433064</v>
      </c>
      <c r="EH11" s="69">
        <f>'Rent Roll'!AKG6+'Rent Roll'!APK6</f>
        <v>77948.699769433064</v>
      </c>
      <c r="EI11" s="69">
        <f>'Rent Roll'!AKH6+'Rent Roll'!APL6</f>
        <v>77948.699769433064</v>
      </c>
      <c r="EJ11" s="69">
        <f>'Rent Roll'!AKI6+'Rent Roll'!APM6</f>
        <v>77948.699769433064</v>
      </c>
      <c r="EK11" s="69">
        <f>'Rent Roll'!AKJ6+'Rent Roll'!APN6</f>
        <v>77948.699769433064</v>
      </c>
      <c r="EL11" s="69">
        <f>'Rent Roll'!AKK6+'Rent Roll'!APO6</f>
        <v>77948.699769433064</v>
      </c>
    </row>
    <row r="12" spans="2:143" ht="16.2" x14ac:dyDescent="0.45">
      <c r="B12" s="20" t="s">
        <v>6</v>
      </c>
      <c r="G12" s="21">
        <f>7700+241780*0.75</f>
        <v>189035</v>
      </c>
      <c r="J12" s="19"/>
      <c r="K12" s="19">
        <f t="shared" ref="K12:BV12" si="12">$G$12/12*(1+$D$5)^(K$6-1)</f>
        <v>15752.916666666666</v>
      </c>
      <c r="L12" s="19">
        <f t="shared" si="12"/>
        <v>15752.916666666666</v>
      </c>
      <c r="M12" s="19">
        <f t="shared" si="12"/>
        <v>15752.916666666666</v>
      </c>
      <c r="N12" s="19">
        <f t="shared" si="12"/>
        <v>15752.916666666666</v>
      </c>
      <c r="O12" s="19">
        <f t="shared" si="12"/>
        <v>15752.916666666666</v>
      </c>
      <c r="P12" s="19">
        <f t="shared" si="12"/>
        <v>15752.916666666666</v>
      </c>
      <c r="Q12" s="19">
        <f t="shared" si="12"/>
        <v>15752.916666666666</v>
      </c>
      <c r="R12" s="19">
        <f t="shared" si="12"/>
        <v>15752.916666666666</v>
      </c>
      <c r="S12" s="19">
        <f t="shared" si="12"/>
        <v>15752.916666666666</v>
      </c>
      <c r="T12" s="19">
        <f t="shared" si="12"/>
        <v>15752.916666666666</v>
      </c>
      <c r="U12" s="19">
        <f t="shared" si="12"/>
        <v>15752.916666666666</v>
      </c>
      <c r="V12" s="19">
        <f t="shared" si="12"/>
        <v>15752.916666666666</v>
      </c>
      <c r="W12" s="19">
        <f t="shared" si="12"/>
        <v>16146.739583333332</v>
      </c>
      <c r="X12" s="19">
        <f t="shared" si="12"/>
        <v>16146.739583333332</v>
      </c>
      <c r="Y12" s="19">
        <f t="shared" si="12"/>
        <v>16146.739583333332</v>
      </c>
      <c r="Z12" s="19">
        <f t="shared" si="12"/>
        <v>16146.739583333332</v>
      </c>
      <c r="AA12" s="19">
        <f t="shared" si="12"/>
        <v>16146.739583333332</v>
      </c>
      <c r="AB12" s="19">
        <f t="shared" si="12"/>
        <v>16146.739583333332</v>
      </c>
      <c r="AC12" s="19">
        <f t="shared" si="12"/>
        <v>16146.739583333332</v>
      </c>
      <c r="AD12" s="19">
        <f t="shared" si="12"/>
        <v>16146.739583333332</v>
      </c>
      <c r="AE12" s="19">
        <f t="shared" si="12"/>
        <v>16146.739583333332</v>
      </c>
      <c r="AF12" s="19">
        <f t="shared" si="12"/>
        <v>16146.739583333332</v>
      </c>
      <c r="AG12" s="19">
        <f t="shared" si="12"/>
        <v>16146.739583333332</v>
      </c>
      <c r="AH12" s="19">
        <f t="shared" si="12"/>
        <v>16146.739583333332</v>
      </c>
      <c r="AI12" s="19">
        <f t="shared" si="12"/>
        <v>16550.408072916664</v>
      </c>
      <c r="AJ12" s="19">
        <f t="shared" si="12"/>
        <v>16550.408072916664</v>
      </c>
      <c r="AK12" s="19">
        <f t="shared" si="12"/>
        <v>16550.408072916664</v>
      </c>
      <c r="AL12" s="19">
        <f t="shared" si="12"/>
        <v>16550.408072916664</v>
      </c>
      <c r="AM12" s="19">
        <f t="shared" si="12"/>
        <v>16550.408072916664</v>
      </c>
      <c r="AN12" s="19">
        <f t="shared" si="12"/>
        <v>16550.408072916664</v>
      </c>
      <c r="AO12" s="19">
        <f t="shared" si="12"/>
        <v>16550.408072916664</v>
      </c>
      <c r="AP12" s="19">
        <f t="shared" si="12"/>
        <v>16550.408072916664</v>
      </c>
      <c r="AQ12" s="19">
        <f t="shared" si="12"/>
        <v>16550.408072916664</v>
      </c>
      <c r="AR12" s="19">
        <f t="shared" si="12"/>
        <v>16550.408072916664</v>
      </c>
      <c r="AS12" s="19">
        <f t="shared" si="12"/>
        <v>16550.408072916664</v>
      </c>
      <c r="AT12" s="19">
        <f t="shared" si="12"/>
        <v>16550.408072916664</v>
      </c>
      <c r="AU12" s="19">
        <f t="shared" si="12"/>
        <v>16964.168274739583</v>
      </c>
      <c r="AV12" s="19">
        <f t="shared" si="12"/>
        <v>16964.168274739583</v>
      </c>
      <c r="AW12" s="19">
        <f t="shared" si="12"/>
        <v>16964.168274739583</v>
      </c>
      <c r="AX12" s="19">
        <f t="shared" si="12"/>
        <v>16964.168274739583</v>
      </c>
      <c r="AY12" s="19">
        <f t="shared" si="12"/>
        <v>16964.168274739583</v>
      </c>
      <c r="AZ12" s="19">
        <f t="shared" si="12"/>
        <v>16964.168274739583</v>
      </c>
      <c r="BA12" s="19">
        <f t="shared" si="12"/>
        <v>16964.168274739583</v>
      </c>
      <c r="BB12" s="19">
        <f t="shared" si="12"/>
        <v>16964.168274739583</v>
      </c>
      <c r="BC12" s="19">
        <f t="shared" si="12"/>
        <v>16964.168274739583</v>
      </c>
      <c r="BD12" s="19">
        <f t="shared" si="12"/>
        <v>16964.168274739583</v>
      </c>
      <c r="BE12" s="19">
        <f t="shared" si="12"/>
        <v>16964.168274739583</v>
      </c>
      <c r="BF12" s="19">
        <f t="shared" si="12"/>
        <v>16964.168274739583</v>
      </c>
      <c r="BG12" s="19">
        <f t="shared" si="12"/>
        <v>17388.27248160807</v>
      </c>
      <c r="BH12" s="19">
        <f t="shared" si="12"/>
        <v>17388.27248160807</v>
      </c>
      <c r="BI12" s="19">
        <f t="shared" si="12"/>
        <v>17388.27248160807</v>
      </c>
      <c r="BJ12" s="19">
        <f t="shared" si="12"/>
        <v>17388.27248160807</v>
      </c>
      <c r="BK12" s="19">
        <f t="shared" si="12"/>
        <v>17388.27248160807</v>
      </c>
      <c r="BL12" s="19">
        <f t="shared" si="12"/>
        <v>17388.27248160807</v>
      </c>
      <c r="BM12" s="19">
        <f t="shared" si="12"/>
        <v>17388.27248160807</v>
      </c>
      <c r="BN12" s="19">
        <f t="shared" si="12"/>
        <v>17388.27248160807</v>
      </c>
      <c r="BO12" s="19">
        <f t="shared" si="12"/>
        <v>17388.27248160807</v>
      </c>
      <c r="BP12" s="19">
        <f t="shared" si="12"/>
        <v>17388.27248160807</v>
      </c>
      <c r="BQ12" s="19">
        <f t="shared" si="12"/>
        <v>17388.27248160807</v>
      </c>
      <c r="BR12" s="19">
        <f t="shared" si="12"/>
        <v>17388.27248160807</v>
      </c>
      <c r="BS12" s="19">
        <f t="shared" si="12"/>
        <v>17822.97929364827</v>
      </c>
      <c r="BT12" s="19">
        <f t="shared" si="12"/>
        <v>17822.97929364827</v>
      </c>
      <c r="BU12" s="19">
        <f t="shared" si="12"/>
        <v>17822.97929364827</v>
      </c>
      <c r="BV12" s="19">
        <f t="shared" si="12"/>
        <v>17822.97929364827</v>
      </c>
      <c r="BW12" s="19">
        <f t="shared" ref="BW12:EH12" si="13">$G$12/12*(1+$D$5)^(BW$6-1)</f>
        <v>17822.97929364827</v>
      </c>
      <c r="BX12" s="19">
        <f t="shared" si="13"/>
        <v>17822.97929364827</v>
      </c>
      <c r="BY12" s="19">
        <f t="shared" si="13"/>
        <v>17822.97929364827</v>
      </c>
      <c r="BZ12" s="19">
        <f t="shared" si="13"/>
        <v>17822.97929364827</v>
      </c>
      <c r="CA12" s="19">
        <f t="shared" si="13"/>
        <v>17822.97929364827</v>
      </c>
      <c r="CB12" s="19">
        <f t="shared" si="13"/>
        <v>17822.97929364827</v>
      </c>
      <c r="CC12" s="19">
        <f t="shared" si="13"/>
        <v>17822.97929364827</v>
      </c>
      <c r="CD12" s="19">
        <f t="shared" si="13"/>
        <v>17822.97929364827</v>
      </c>
      <c r="CE12" s="19">
        <f t="shared" si="13"/>
        <v>18268.553775989472</v>
      </c>
      <c r="CF12" s="19">
        <f t="shared" si="13"/>
        <v>18268.553775989472</v>
      </c>
      <c r="CG12" s="19">
        <f t="shared" si="13"/>
        <v>18268.553775989472</v>
      </c>
      <c r="CH12" s="19">
        <f t="shared" si="13"/>
        <v>18268.553775989472</v>
      </c>
      <c r="CI12" s="19">
        <f t="shared" si="13"/>
        <v>18268.553775989472</v>
      </c>
      <c r="CJ12" s="19">
        <f t="shared" si="13"/>
        <v>18268.553775989472</v>
      </c>
      <c r="CK12" s="19">
        <f t="shared" si="13"/>
        <v>18268.553775989472</v>
      </c>
      <c r="CL12" s="19">
        <f t="shared" si="13"/>
        <v>18268.553775989472</v>
      </c>
      <c r="CM12" s="19">
        <f t="shared" si="13"/>
        <v>18268.553775989472</v>
      </c>
      <c r="CN12" s="19">
        <f t="shared" si="13"/>
        <v>18268.553775989472</v>
      </c>
      <c r="CO12" s="19">
        <f t="shared" si="13"/>
        <v>18268.553775989472</v>
      </c>
      <c r="CP12" s="19">
        <f t="shared" si="13"/>
        <v>18268.553775989472</v>
      </c>
      <c r="CQ12" s="19">
        <f t="shared" si="13"/>
        <v>18725.267620389212</v>
      </c>
      <c r="CR12" s="19">
        <f t="shared" si="13"/>
        <v>18725.267620389212</v>
      </c>
      <c r="CS12" s="19">
        <f t="shared" si="13"/>
        <v>18725.267620389212</v>
      </c>
      <c r="CT12" s="19">
        <f t="shared" si="13"/>
        <v>18725.267620389212</v>
      </c>
      <c r="CU12" s="19">
        <f t="shared" si="13"/>
        <v>18725.267620389212</v>
      </c>
      <c r="CV12" s="19">
        <f t="shared" si="13"/>
        <v>18725.267620389212</v>
      </c>
      <c r="CW12" s="19">
        <f t="shared" si="13"/>
        <v>18725.267620389212</v>
      </c>
      <c r="CX12" s="19">
        <f t="shared" si="13"/>
        <v>18725.267620389212</v>
      </c>
      <c r="CY12" s="19">
        <f t="shared" si="13"/>
        <v>18725.267620389212</v>
      </c>
      <c r="CZ12" s="19">
        <f t="shared" si="13"/>
        <v>18725.267620389212</v>
      </c>
      <c r="DA12" s="19">
        <f t="shared" si="13"/>
        <v>18725.267620389212</v>
      </c>
      <c r="DB12" s="19">
        <f t="shared" si="13"/>
        <v>18725.267620389212</v>
      </c>
      <c r="DC12" s="19">
        <f t="shared" si="13"/>
        <v>19193.399310898942</v>
      </c>
      <c r="DD12" s="19">
        <f t="shared" si="13"/>
        <v>19193.399310898942</v>
      </c>
      <c r="DE12" s="19">
        <f t="shared" si="13"/>
        <v>19193.399310898942</v>
      </c>
      <c r="DF12" s="19">
        <f t="shared" si="13"/>
        <v>19193.399310898942</v>
      </c>
      <c r="DG12" s="19">
        <f t="shared" si="13"/>
        <v>19193.399310898942</v>
      </c>
      <c r="DH12" s="19">
        <f t="shared" si="13"/>
        <v>19193.399310898942</v>
      </c>
      <c r="DI12" s="19">
        <f t="shared" si="13"/>
        <v>19193.399310898942</v>
      </c>
      <c r="DJ12" s="19">
        <f t="shared" si="13"/>
        <v>19193.399310898942</v>
      </c>
      <c r="DK12" s="19">
        <f t="shared" si="13"/>
        <v>19193.399310898942</v>
      </c>
      <c r="DL12" s="19">
        <f t="shared" si="13"/>
        <v>19193.399310898942</v>
      </c>
      <c r="DM12" s="19">
        <f t="shared" si="13"/>
        <v>19193.399310898942</v>
      </c>
      <c r="DN12" s="19">
        <f t="shared" si="13"/>
        <v>19193.399310898942</v>
      </c>
      <c r="DO12" s="19">
        <f t="shared" si="13"/>
        <v>19673.234293671412</v>
      </c>
      <c r="DP12" s="19">
        <f t="shared" si="13"/>
        <v>19673.234293671412</v>
      </c>
      <c r="DQ12" s="19">
        <f t="shared" si="13"/>
        <v>19673.234293671412</v>
      </c>
      <c r="DR12" s="19">
        <f t="shared" si="13"/>
        <v>19673.234293671412</v>
      </c>
      <c r="DS12" s="19">
        <f t="shared" si="13"/>
        <v>19673.234293671412</v>
      </c>
      <c r="DT12" s="19">
        <f t="shared" si="13"/>
        <v>19673.234293671412</v>
      </c>
      <c r="DU12" s="19">
        <f t="shared" si="13"/>
        <v>19673.234293671412</v>
      </c>
      <c r="DV12" s="19">
        <f t="shared" si="13"/>
        <v>19673.234293671412</v>
      </c>
      <c r="DW12" s="19">
        <f t="shared" si="13"/>
        <v>19673.234293671412</v>
      </c>
      <c r="DX12" s="19">
        <f t="shared" si="13"/>
        <v>19673.234293671412</v>
      </c>
      <c r="DY12" s="19">
        <f t="shared" si="13"/>
        <v>19673.234293671412</v>
      </c>
      <c r="DZ12" s="19">
        <f t="shared" si="13"/>
        <v>19673.234293671412</v>
      </c>
      <c r="EA12" s="19">
        <f t="shared" si="13"/>
        <v>20165.065151013197</v>
      </c>
      <c r="EB12" s="19">
        <f t="shared" si="13"/>
        <v>20165.065151013197</v>
      </c>
      <c r="EC12" s="19">
        <f t="shared" si="13"/>
        <v>20165.065151013197</v>
      </c>
      <c r="ED12" s="19">
        <f t="shared" si="13"/>
        <v>20165.065151013197</v>
      </c>
      <c r="EE12" s="19">
        <f t="shared" si="13"/>
        <v>20165.065151013197</v>
      </c>
      <c r="EF12" s="19">
        <f t="shared" si="13"/>
        <v>20165.065151013197</v>
      </c>
      <c r="EG12" s="19">
        <f t="shared" si="13"/>
        <v>20165.065151013197</v>
      </c>
      <c r="EH12" s="19">
        <f t="shared" si="13"/>
        <v>20165.065151013197</v>
      </c>
      <c r="EI12" s="19">
        <f t="shared" ref="EI12:EL12" si="14">$G$12/12*(1+$D$5)^(EI$6-1)</f>
        <v>20165.065151013197</v>
      </c>
      <c r="EJ12" s="19">
        <f t="shared" si="14"/>
        <v>20165.065151013197</v>
      </c>
      <c r="EK12" s="19">
        <f t="shared" si="14"/>
        <v>20165.065151013197</v>
      </c>
      <c r="EL12" s="19">
        <f t="shared" si="14"/>
        <v>20165.065151013197</v>
      </c>
      <c r="EM12" s="17"/>
    </row>
    <row r="13" spans="2:143" x14ac:dyDescent="0.3">
      <c r="B13" t="s">
        <v>7</v>
      </c>
      <c r="G13" s="12">
        <f>SUM(G10:G12)</f>
        <v>2773625.993134127</v>
      </c>
      <c r="J13" s="17"/>
      <c r="K13" s="17">
        <f t="shared" ref="K13:BV13" si="15">SUM(K10:K12)</f>
        <v>238640.91166666668</v>
      </c>
      <c r="L13" s="17">
        <f t="shared" si="15"/>
        <v>238640.91166666668</v>
      </c>
      <c r="M13" s="17">
        <f t="shared" si="15"/>
        <v>238640.91166666668</v>
      </c>
      <c r="N13" s="17">
        <f t="shared" si="15"/>
        <v>238882.17246666667</v>
      </c>
      <c r="O13" s="17">
        <f t="shared" si="15"/>
        <v>238882.17246666667</v>
      </c>
      <c r="P13" s="17">
        <f t="shared" si="15"/>
        <v>240134.09530000002</v>
      </c>
      <c r="Q13" s="17">
        <f t="shared" si="15"/>
        <v>240134.09530000002</v>
      </c>
      <c r="R13" s="17">
        <f t="shared" si="15"/>
        <v>240134.09530000002</v>
      </c>
      <c r="S13" s="17">
        <f t="shared" si="15"/>
        <v>240407.48490000001</v>
      </c>
      <c r="T13" s="17">
        <f t="shared" si="15"/>
        <v>240407.48490000001</v>
      </c>
      <c r="U13" s="17">
        <f t="shared" si="15"/>
        <v>240407.48490000001</v>
      </c>
      <c r="V13" s="17">
        <f t="shared" si="15"/>
        <v>240407.48490000001</v>
      </c>
      <c r="W13" s="17">
        <f t="shared" si="15"/>
        <v>243492.49448333334</v>
      </c>
      <c r="X13" s="17">
        <f t="shared" si="15"/>
        <v>243492.49448333334</v>
      </c>
      <c r="Y13" s="17">
        <f t="shared" si="15"/>
        <v>243492.49448333334</v>
      </c>
      <c r="Z13" s="17">
        <f t="shared" si="15"/>
        <v>226976.47198331507</v>
      </c>
      <c r="AA13" s="17">
        <f t="shared" si="15"/>
        <v>226976.47198331507</v>
      </c>
      <c r="AB13" s="17">
        <f t="shared" si="15"/>
        <v>228253.43327331508</v>
      </c>
      <c r="AC13" s="17">
        <f t="shared" si="15"/>
        <v>220394.75497333336</v>
      </c>
      <c r="AD13" s="17">
        <f t="shared" si="15"/>
        <v>244535.55497333335</v>
      </c>
      <c r="AE13" s="17">
        <f t="shared" si="15"/>
        <v>244814.41236533338</v>
      </c>
      <c r="AF13" s="17">
        <f t="shared" si="15"/>
        <v>244814.41236533338</v>
      </c>
      <c r="AG13" s="17">
        <f t="shared" si="15"/>
        <v>244814.41236533338</v>
      </c>
      <c r="AH13" s="17">
        <f t="shared" si="15"/>
        <v>244814.41236533338</v>
      </c>
      <c r="AI13" s="17">
        <f t="shared" si="15"/>
        <v>247963.09125491668</v>
      </c>
      <c r="AJ13" s="17">
        <f t="shared" si="15"/>
        <v>247963.09125491668</v>
      </c>
      <c r="AK13" s="17">
        <f t="shared" si="15"/>
        <v>247963.09125491668</v>
      </c>
      <c r="AL13" s="17">
        <f t="shared" si="15"/>
        <v>247963.09125491668</v>
      </c>
      <c r="AM13" s="17">
        <f t="shared" si="15"/>
        <v>247963.09125491668</v>
      </c>
      <c r="AN13" s="17">
        <f t="shared" si="15"/>
        <v>249265.59177071671</v>
      </c>
      <c r="AO13" s="17">
        <f t="shared" si="15"/>
        <v>249506.99977071671</v>
      </c>
      <c r="AP13" s="17">
        <f t="shared" si="15"/>
        <v>249506.99977071671</v>
      </c>
      <c r="AQ13" s="17">
        <f t="shared" si="15"/>
        <v>249791.43431055668</v>
      </c>
      <c r="AR13" s="17">
        <f t="shared" si="15"/>
        <v>249791.43431055668</v>
      </c>
      <c r="AS13" s="17">
        <f t="shared" si="15"/>
        <v>249791.43431055668</v>
      </c>
      <c r="AT13" s="17">
        <f t="shared" si="15"/>
        <v>249791.43431055668</v>
      </c>
      <c r="AU13" s="17">
        <f t="shared" si="15"/>
        <v>226642.98814565703</v>
      </c>
      <c r="AV13" s="17">
        <f t="shared" si="15"/>
        <v>226642.98814565703</v>
      </c>
      <c r="AW13" s="17">
        <f t="shared" si="15"/>
        <v>226642.98814565703</v>
      </c>
      <c r="AX13" s="17">
        <f t="shared" si="15"/>
        <v>143943.2997993796</v>
      </c>
      <c r="AY13" s="17">
        <f t="shared" si="15"/>
        <v>258387.95004937958</v>
      </c>
      <c r="AZ13" s="17">
        <f t="shared" si="15"/>
        <v>259716.50057549556</v>
      </c>
      <c r="BA13" s="17">
        <f t="shared" si="15"/>
        <v>259962.73673549553</v>
      </c>
      <c r="BB13" s="17">
        <f t="shared" si="15"/>
        <v>259962.73673549553</v>
      </c>
      <c r="BC13" s="17">
        <f t="shared" si="15"/>
        <v>237585.86991920433</v>
      </c>
      <c r="BD13" s="17">
        <f t="shared" si="15"/>
        <v>237585.86991920433</v>
      </c>
      <c r="BE13" s="17">
        <f t="shared" si="15"/>
        <v>237585.86991920433</v>
      </c>
      <c r="BF13" s="17">
        <f t="shared" si="15"/>
        <v>164087.39059565554</v>
      </c>
      <c r="BG13" s="17">
        <f t="shared" si="15"/>
        <v>246579.80776833752</v>
      </c>
      <c r="BH13" s="17">
        <f t="shared" si="15"/>
        <v>246579.80776833752</v>
      </c>
      <c r="BI13" s="17">
        <f t="shared" si="15"/>
        <v>246579.80776833752</v>
      </c>
      <c r="BJ13" s="17">
        <f t="shared" si="15"/>
        <v>197890.34300926406</v>
      </c>
      <c r="BK13" s="17">
        <f t="shared" si="15"/>
        <v>265903.16372926411</v>
      </c>
      <c r="BL13" s="17">
        <f t="shared" si="15"/>
        <v>267258.28526590241</v>
      </c>
      <c r="BM13" s="17">
        <f t="shared" si="15"/>
        <v>267509.44614910241</v>
      </c>
      <c r="BN13" s="17">
        <f t="shared" si="15"/>
        <v>267509.44614910241</v>
      </c>
      <c r="BO13" s="17">
        <f t="shared" si="15"/>
        <v>267509.44614910241</v>
      </c>
      <c r="BP13" s="17">
        <f t="shared" si="15"/>
        <v>267509.44614910241</v>
      </c>
      <c r="BQ13" s="17">
        <f t="shared" si="15"/>
        <v>267509.44614910241</v>
      </c>
      <c r="BR13" s="17">
        <f t="shared" si="15"/>
        <v>267916.29207214242</v>
      </c>
      <c r="BS13" s="17">
        <f t="shared" si="15"/>
        <v>270569.18291035737</v>
      </c>
      <c r="BT13" s="17">
        <f t="shared" si="15"/>
        <v>270569.18291035737</v>
      </c>
      <c r="BU13" s="17">
        <f t="shared" si="15"/>
        <v>270569.18291035737</v>
      </c>
      <c r="BV13" s="17">
        <f t="shared" si="15"/>
        <v>271308.16836625739</v>
      </c>
      <c r="BW13" s="17">
        <f t="shared" ref="BW13:EH13" si="16">SUM(BW10:BW12)</f>
        <v>271308.16836625739</v>
      </c>
      <c r="BX13" s="17">
        <f t="shared" si="16"/>
        <v>272690.39233362849</v>
      </c>
      <c r="BY13" s="17">
        <f t="shared" si="16"/>
        <v>272946.57643449248</v>
      </c>
      <c r="BZ13" s="17">
        <f t="shared" si="16"/>
        <v>272946.57643449248</v>
      </c>
      <c r="CA13" s="17">
        <f t="shared" si="16"/>
        <v>272946.57643449248</v>
      </c>
      <c r="CB13" s="17">
        <f t="shared" si="16"/>
        <v>272946.57643449248</v>
      </c>
      <c r="CC13" s="17">
        <f t="shared" si="16"/>
        <v>272946.57643449248</v>
      </c>
      <c r="CD13" s="17">
        <f t="shared" si="16"/>
        <v>273361.55927599326</v>
      </c>
      <c r="CE13" s="17">
        <f t="shared" si="16"/>
        <v>276069.6814650328</v>
      </c>
      <c r="CF13" s="17">
        <f t="shared" si="16"/>
        <v>276069.6814650328</v>
      </c>
      <c r="CG13" s="17">
        <f t="shared" si="16"/>
        <v>276069.6814650328</v>
      </c>
      <c r="CH13" s="17">
        <f t="shared" si="16"/>
        <v>276823.44663005078</v>
      </c>
      <c r="CI13" s="17">
        <f t="shared" si="16"/>
        <v>276823.44663005078</v>
      </c>
      <c r="CJ13" s="17">
        <f t="shared" si="16"/>
        <v>278233.31507676927</v>
      </c>
      <c r="CK13" s="17">
        <f t="shared" si="16"/>
        <v>278494.62285965058</v>
      </c>
      <c r="CL13" s="17">
        <f t="shared" si="16"/>
        <v>278494.62285965058</v>
      </c>
      <c r="CM13" s="17">
        <f t="shared" si="16"/>
        <v>278494.62285965058</v>
      </c>
      <c r="CN13" s="17">
        <f t="shared" si="16"/>
        <v>278494.62285965058</v>
      </c>
      <c r="CO13" s="17">
        <f t="shared" si="16"/>
        <v>278494.62285965058</v>
      </c>
      <c r="CP13" s="17">
        <f t="shared" si="16"/>
        <v>278917.90535798139</v>
      </c>
      <c r="CQ13" s="17">
        <f t="shared" si="16"/>
        <v>257587.37011596674</v>
      </c>
      <c r="CR13" s="17">
        <f t="shared" si="16"/>
        <v>257587.37011596674</v>
      </c>
      <c r="CS13" s="17">
        <f t="shared" si="16"/>
        <v>257587.37011596674</v>
      </c>
      <c r="CT13" s="17">
        <f t="shared" si="16"/>
        <v>188653.46352541985</v>
      </c>
      <c r="CU13" s="17">
        <f t="shared" si="16"/>
        <v>285112.18868064135</v>
      </c>
      <c r="CV13" s="17">
        <f t="shared" si="16"/>
        <v>286550.25449629419</v>
      </c>
      <c r="CW13" s="17">
        <f t="shared" si="16"/>
        <v>286816.78843483311</v>
      </c>
      <c r="CX13" s="17">
        <f t="shared" si="16"/>
        <v>286816.78843483311</v>
      </c>
      <c r="CY13" s="17">
        <f t="shared" si="16"/>
        <v>286816.78843483311</v>
      </c>
      <c r="CZ13" s="17">
        <f t="shared" si="16"/>
        <v>286816.78843483311</v>
      </c>
      <c r="DA13" s="17">
        <f t="shared" si="16"/>
        <v>286816.78843483311</v>
      </c>
      <c r="DB13" s="17">
        <f t="shared" si="16"/>
        <v>287248.53658313054</v>
      </c>
      <c r="DC13" s="17">
        <f t="shared" si="16"/>
        <v>289738.00661405048</v>
      </c>
      <c r="DD13" s="17">
        <f t="shared" si="16"/>
        <v>289738.00661405048</v>
      </c>
      <c r="DE13" s="17">
        <f t="shared" si="16"/>
        <v>248370.24264435933</v>
      </c>
      <c r="DF13" s="17">
        <f t="shared" si="16"/>
        <v>249540.2948226649</v>
      </c>
      <c r="DG13" s="17">
        <f t="shared" si="16"/>
        <v>249540.2948226649</v>
      </c>
      <c r="DH13" s="17">
        <f t="shared" si="16"/>
        <v>127729.6970894589</v>
      </c>
      <c r="DI13" s="17">
        <f t="shared" si="16"/>
        <v>298600.04949478596</v>
      </c>
      <c r="DJ13" s="17">
        <f t="shared" si="16"/>
        <v>298600.04949478596</v>
      </c>
      <c r="DK13" s="17">
        <f t="shared" si="16"/>
        <v>298600.04949478596</v>
      </c>
      <c r="DL13" s="17">
        <f t="shared" si="16"/>
        <v>298600.04949478596</v>
      </c>
      <c r="DM13" s="17">
        <f t="shared" si="16"/>
        <v>298600.04949478596</v>
      </c>
      <c r="DN13" s="17">
        <f t="shared" si="16"/>
        <v>299040.43260604935</v>
      </c>
      <c r="DO13" s="17">
        <f t="shared" si="16"/>
        <v>301018.70472395129</v>
      </c>
      <c r="DP13" s="17">
        <f t="shared" si="16"/>
        <v>301018.70472395129</v>
      </c>
      <c r="DQ13" s="17">
        <f t="shared" si="16"/>
        <v>301018.70472395129</v>
      </c>
      <c r="DR13" s="17">
        <f t="shared" si="16"/>
        <v>302212.15794582292</v>
      </c>
      <c r="DS13" s="17">
        <f t="shared" si="16"/>
        <v>302212.15794582292</v>
      </c>
      <c r="DT13" s="17">
        <f t="shared" si="16"/>
        <v>202479.7728894169</v>
      </c>
      <c r="DU13" s="17">
        <f t="shared" si="16"/>
        <v>202757.07479907278</v>
      </c>
      <c r="DV13" s="17">
        <f t="shared" si="16"/>
        <v>-127648.43065337514</v>
      </c>
      <c r="DW13" s="17">
        <f t="shared" si="16"/>
        <v>287699.0201979921</v>
      </c>
      <c r="DX13" s="17">
        <f t="shared" si="16"/>
        <v>287699.0201979921</v>
      </c>
      <c r="DY13" s="17">
        <f t="shared" si="16"/>
        <v>287699.0201979921</v>
      </c>
      <c r="DZ13" s="17">
        <f t="shared" si="16"/>
        <v>288148.2109714807</v>
      </c>
      <c r="EA13" s="17">
        <f t="shared" si="16"/>
        <v>290168.44770665449</v>
      </c>
      <c r="EB13" s="17">
        <f t="shared" si="16"/>
        <v>290168.44770665449</v>
      </c>
      <c r="EC13" s="17">
        <f t="shared" si="16"/>
        <v>290168.44770665449</v>
      </c>
      <c r="ED13" s="17">
        <f t="shared" si="16"/>
        <v>291385.76999296364</v>
      </c>
      <c r="EE13" s="17">
        <f t="shared" si="16"/>
        <v>291385.76999296364</v>
      </c>
      <c r="EF13" s="17">
        <f t="shared" si="16"/>
        <v>292081.81182313873</v>
      </c>
      <c r="EG13" s="17">
        <f t="shared" si="16"/>
        <v>292364.65977098775</v>
      </c>
      <c r="EH13" s="17">
        <f t="shared" si="16"/>
        <v>293551.36677342025</v>
      </c>
      <c r="EI13" s="17">
        <f t="shared" ref="EI13:EL13" si="17">SUM(EI10:EI12)</f>
        <v>293551.36677342025</v>
      </c>
      <c r="EJ13" s="17">
        <f t="shared" si="17"/>
        <v>293551.36677342025</v>
      </c>
      <c r="EK13" s="17">
        <f t="shared" si="17"/>
        <v>293551.36677342025</v>
      </c>
      <c r="EL13" s="17">
        <f t="shared" si="17"/>
        <v>294009.54136237863</v>
      </c>
      <c r="EM13" s="17"/>
    </row>
    <row r="14" spans="2:143" ht="16.2" x14ac:dyDescent="0.45">
      <c r="B14" s="20" t="s">
        <v>8</v>
      </c>
      <c r="F14" s="10">
        <v>0.04</v>
      </c>
      <c r="G14" s="14">
        <f>+-F14*G13</f>
        <v>-110945.03972536509</v>
      </c>
      <c r="J14" s="19"/>
      <c r="K14" s="19">
        <f t="shared" ref="K14:BV14" si="18">-$F$14*K13</f>
        <v>-9545.6364666666668</v>
      </c>
      <c r="L14" s="19">
        <f t="shared" si="18"/>
        <v>-9545.6364666666668</v>
      </c>
      <c r="M14" s="19">
        <f t="shared" si="18"/>
        <v>-9545.6364666666668</v>
      </c>
      <c r="N14" s="19">
        <f t="shared" si="18"/>
        <v>-9555.2868986666672</v>
      </c>
      <c r="O14" s="19">
        <f t="shared" si="18"/>
        <v>-9555.2868986666672</v>
      </c>
      <c r="P14" s="19">
        <f t="shared" si="18"/>
        <v>-9605.3638120000014</v>
      </c>
      <c r="Q14" s="19">
        <f t="shared" si="18"/>
        <v>-9605.3638120000014</v>
      </c>
      <c r="R14" s="19">
        <f t="shared" si="18"/>
        <v>-9605.3638120000014</v>
      </c>
      <c r="S14" s="19">
        <f t="shared" si="18"/>
        <v>-9616.2993960000003</v>
      </c>
      <c r="T14" s="19">
        <f t="shared" si="18"/>
        <v>-9616.2993960000003</v>
      </c>
      <c r="U14" s="19">
        <f t="shared" si="18"/>
        <v>-9616.2993960000003</v>
      </c>
      <c r="V14" s="19">
        <f t="shared" si="18"/>
        <v>-9616.2993960000003</v>
      </c>
      <c r="W14" s="19">
        <f t="shared" si="18"/>
        <v>-9739.6997793333339</v>
      </c>
      <c r="X14" s="19">
        <f t="shared" si="18"/>
        <v>-9739.6997793333339</v>
      </c>
      <c r="Y14" s="19">
        <f t="shared" si="18"/>
        <v>-9739.6997793333339</v>
      </c>
      <c r="Z14" s="19">
        <f t="shared" si="18"/>
        <v>-9079.0588793326024</v>
      </c>
      <c r="AA14" s="19">
        <f t="shared" si="18"/>
        <v>-9079.0588793326024</v>
      </c>
      <c r="AB14" s="19">
        <f t="shared" si="18"/>
        <v>-9130.1373309326027</v>
      </c>
      <c r="AC14" s="19">
        <f t="shared" si="18"/>
        <v>-8815.790198933335</v>
      </c>
      <c r="AD14" s="19">
        <f t="shared" si="18"/>
        <v>-9781.4221989333346</v>
      </c>
      <c r="AE14" s="19">
        <f t="shared" si="18"/>
        <v>-9792.5764946133349</v>
      </c>
      <c r="AF14" s="19">
        <f t="shared" si="18"/>
        <v>-9792.5764946133349</v>
      </c>
      <c r="AG14" s="19">
        <f t="shared" si="18"/>
        <v>-9792.5764946133349</v>
      </c>
      <c r="AH14" s="19">
        <f t="shared" si="18"/>
        <v>-9792.5764946133349</v>
      </c>
      <c r="AI14" s="19">
        <f t="shared" si="18"/>
        <v>-9918.5236501966683</v>
      </c>
      <c r="AJ14" s="19">
        <f t="shared" si="18"/>
        <v>-9918.5236501966683</v>
      </c>
      <c r="AK14" s="19">
        <f t="shared" si="18"/>
        <v>-9918.5236501966683</v>
      </c>
      <c r="AL14" s="19">
        <f t="shared" si="18"/>
        <v>-9918.5236501966683</v>
      </c>
      <c r="AM14" s="19">
        <f t="shared" si="18"/>
        <v>-9918.5236501966683</v>
      </c>
      <c r="AN14" s="19">
        <f t="shared" si="18"/>
        <v>-9970.6236708286688</v>
      </c>
      <c r="AO14" s="19">
        <f t="shared" si="18"/>
        <v>-9980.2799908286688</v>
      </c>
      <c r="AP14" s="19">
        <f t="shared" si="18"/>
        <v>-9980.2799908286688</v>
      </c>
      <c r="AQ14" s="19">
        <f t="shared" si="18"/>
        <v>-9991.6573724222671</v>
      </c>
      <c r="AR14" s="19">
        <f t="shared" si="18"/>
        <v>-9991.6573724222671</v>
      </c>
      <c r="AS14" s="19">
        <f t="shared" si="18"/>
        <v>-9991.6573724222671</v>
      </c>
      <c r="AT14" s="19">
        <f t="shared" si="18"/>
        <v>-9991.6573724222671</v>
      </c>
      <c r="AU14" s="19">
        <f t="shared" si="18"/>
        <v>-9065.7195258262818</v>
      </c>
      <c r="AV14" s="19">
        <f t="shared" si="18"/>
        <v>-9065.7195258262818</v>
      </c>
      <c r="AW14" s="19">
        <f t="shared" si="18"/>
        <v>-9065.7195258262818</v>
      </c>
      <c r="AX14" s="19">
        <f t="shared" si="18"/>
        <v>-5757.7319919751844</v>
      </c>
      <c r="AY14" s="19">
        <f t="shared" si="18"/>
        <v>-10335.518001975184</v>
      </c>
      <c r="AZ14" s="19">
        <f t="shared" si="18"/>
        <v>-10388.660023019822</v>
      </c>
      <c r="BA14" s="19">
        <f t="shared" si="18"/>
        <v>-10398.509469419821</v>
      </c>
      <c r="BB14" s="19">
        <f t="shared" si="18"/>
        <v>-10398.509469419821</v>
      </c>
      <c r="BC14" s="19">
        <f t="shared" si="18"/>
        <v>-9503.4347967681733</v>
      </c>
      <c r="BD14" s="19">
        <f t="shared" si="18"/>
        <v>-9503.4347967681733</v>
      </c>
      <c r="BE14" s="19">
        <f t="shared" si="18"/>
        <v>-9503.4347967681733</v>
      </c>
      <c r="BF14" s="19">
        <f t="shared" si="18"/>
        <v>-6563.4956238262221</v>
      </c>
      <c r="BG14" s="19">
        <f t="shared" si="18"/>
        <v>-9863.1923107335006</v>
      </c>
      <c r="BH14" s="19">
        <f t="shared" si="18"/>
        <v>-9863.1923107335006</v>
      </c>
      <c r="BI14" s="19">
        <f t="shared" si="18"/>
        <v>-9863.1923107335006</v>
      </c>
      <c r="BJ14" s="19">
        <f t="shared" si="18"/>
        <v>-7915.613720370563</v>
      </c>
      <c r="BK14" s="19">
        <f t="shared" si="18"/>
        <v>-10636.126549170565</v>
      </c>
      <c r="BL14" s="19">
        <f t="shared" si="18"/>
        <v>-10690.331410636096</v>
      </c>
      <c r="BM14" s="19">
        <f t="shared" si="18"/>
        <v>-10700.377845964096</v>
      </c>
      <c r="BN14" s="19">
        <f t="shared" si="18"/>
        <v>-10700.377845964096</v>
      </c>
      <c r="BO14" s="19">
        <f t="shared" si="18"/>
        <v>-10700.377845964096</v>
      </c>
      <c r="BP14" s="19">
        <f t="shared" si="18"/>
        <v>-10700.377845964096</v>
      </c>
      <c r="BQ14" s="19">
        <f t="shared" si="18"/>
        <v>-10700.377845964096</v>
      </c>
      <c r="BR14" s="19">
        <f t="shared" si="18"/>
        <v>-10716.651682885697</v>
      </c>
      <c r="BS14" s="19">
        <f t="shared" si="18"/>
        <v>-10822.767316414294</v>
      </c>
      <c r="BT14" s="19">
        <f t="shared" si="18"/>
        <v>-10822.767316414294</v>
      </c>
      <c r="BU14" s="19">
        <f t="shared" si="18"/>
        <v>-10822.767316414294</v>
      </c>
      <c r="BV14" s="19">
        <f t="shared" si="18"/>
        <v>-10852.326734650296</v>
      </c>
      <c r="BW14" s="19">
        <f t="shared" ref="BW14:EH14" si="19">-$F$14*BW13</f>
        <v>-10852.326734650296</v>
      </c>
      <c r="BX14" s="19">
        <f t="shared" si="19"/>
        <v>-10907.61569334514</v>
      </c>
      <c r="BY14" s="19">
        <f t="shared" si="19"/>
        <v>-10917.8630573797</v>
      </c>
      <c r="BZ14" s="19">
        <f t="shared" si="19"/>
        <v>-10917.8630573797</v>
      </c>
      <c r="CA14" s="19">
        <f t="shared" si="19"/>
        <v>-10917.8630573797</v>
      </c>
      <c r="CB14" s="19">
        <f t="shared" si="19"/>
        <v>-10917.8630573797</v>
      </c>
      <c r="CC14" s="19">
        <f t="shared" si="19"/>
        <v>-10917.8630573797</v>
      </c>
      <c r="CD14" s="19">
        <f t="shared" si="19"/>
        <v>-10934.46237103973</v>
      </c>
      <c r="CE14" s="19">
        <f t="shared" si="19"/>
        <v>-11042.787258601313</v>
      </c>
      <c r="CF14" s="19">
        <f t="shared" si="19"/>
        <v>-11042.787258601313</v>
      </c>
      <c r="CG14" s="19">
        <f t="shared" si="19"/>
        <v>-11042.787258601313</v>
      </c>
      <c r="CH14" s="19">
        <f t="shared" si="19"/>
        <v>-11072.937865202031</v>
      </c>
      <c r="CI14" s="19">
        <f t="shared" si="19"/>
        <v>-11072.937865202031</v>
      </c>
      <c r="CJ14" s="19">
        <f t="shared" si="19"/>
        <v>-11129.33260307077</v>
      </c>
      <c r="CK14" s="19">
        <f t="shared" si="19"/>
        <v>-11139.784914386024</v>
      </c>
      <c r="CL14" s="19">
        <f t="shared" si="19"/>
        <v>-11139.784914386024</v>
      </c>
      <c r="CM14" s="19">
        <f t="shared" si="19"/>
        <v>-11139.784914386024</v>
      </c>
      <c r="CN14" s="19">
        <f t="shared" si="19"/>
        <v>-11139.784914386024</v>
      </c>
      <c r="CO14" s="19">
        <f t="shared" si="19"/>
        <v>-11139.784914386024</v>
      </c>
      <c r="CP14" s="19">
        <f t="shared" si="19"/>
        <v>-11156.716214319256</v>
      </c>
      <c r="CQ14" s="19">
        <f t="shared" si="19"/>
        <v>-10303.494804638669</v>
      </c>
      <c r="CR14" s="19">
        <f t="shared" si="19"/>
        <v>-10303.494804638669</v>
      </c>
      <c r="CS14" s="19">
        <f t="shared" si="19"/>
        <v>-10303.494804638669</v>
      </c>
      <c r="CT14" s="19">
        <f t="shared" si="19"/>
        <v>-7546.1385410167941</v>
      </c>
      <c r="CU14" s="19">
        <f t="shared" si="19"/>
        <v>-11404.487547225654</v>
      </c>
      <c r="CV14" s="19">
        <f t="shared" si="19"/>
        <v>-11462.010179851768</v>
      </c>
      <c r="CW14" s="19">
        <f t="shared" si="19"/>
        <v>-11472.671537393324</v>
      </c>
      <c r="CX14" s="19">
        <f t="shared" si="19"/>
        <v>-11472.671537393324</v>
      </c>
      <c r="CY14" s="19">
        <f t="shared" si="19"/>
        <v>-11472.671537393324</v>
      </c>
      <c r="CZ14" s="19">
        <f t="shared" si="19"/>
        <v>-11472.671537393324</v>
      </c>
      <c r="DA14" s="19">
        <f t="shared" si="19"/>
        <v>-11472.671537393324</v>
      </c>
      <c r="DB14" s="19">
        <f t="shared" si="19"/>
        <v>-11489.941463325222</v>
      </c>
      <c r="DC14" s="19">
        <f t="shared" si="19"/>
        <v>-11589.520264562019</v>
      </c>
      <c r="DD14" s="19">
        <f t="shared" si="19"/>
        <v>-11589.520264562019</v>
      </c>
      <c r="DE14" s="19">
        <f t="shared" si="19"/>
        <v>-9934.8097057743726</v>
      </c>
      <c r="DF14" s="19">
        <f t="shared" si="19"/>
        <v>-9981.6117929065967</v>
      </c>
      <c r="DG14" s="19">
        <f t="shared" si="19"/>
        <v>-9981.6117929065967</v>
      </c>
      <c r="DH14" s="19">
        <f t="shared" si="19"/>
        <v>-5109.1878835783564</v>
      </c>
      <c r="DI14" s="19">
        <f t="shared" si="19"/>
        <v>-11944.001979791439</v>
      </c>
      <c r="DJ14" s="19">
        <f t="shared" si="19"/>
        <v>-11944.001979791439</v>
      </c>
      <c r="DK14" s="19">
        <f t="shared" si="19"/>
        <v>-11944.001979791439</v>
      </c>
      <c r="DL14" s="19">
        <f t="shared" si="19"/>
        <v>-11944.001979791439</v>
      </c>
      <c r="DM14" s="19">
        <f t="shared" si="19"/>
        <v>-11944.001979791439</v>
      </c>
      <c r="DN14" s="19">
        <f t="shared" si="19"/>
        <v>-11961.617304241974</v>
      </c>
      <c r="DO14" s="19">
        <f t="shared" si="19"/>
        <v>-12040.748188958052</v>
      </c>
      <c r="DP14" s="19">
        <f t="shared" si="19"/>
        <v>-12040.748188958052</v>
      </c>
      <c r="DQ14" s="19">
        <f t="shared" si="19"/>
        <v>-12040.748188958052</v>
      </c>
      <c r="DR14" s="19">
        <f t="shared" si="19"/>
        <v>-12088.486317832918</v>
      </c>
      <c r="DS14" s="19">
        <f t="shared" si="19"/>
        <v>-12088.486317832918</v>
      </c>
      <c r="DT14" s="19">
        <f t="shared" si="19"/>
        <v>-8099.1909155766762</v>
      </c>
      <c r="DU14" s="19">
        <f t="shared" si="19"/>
        <v>-8110.2829919629112</v>
      </c>
      <c r="DV14" s="19">
        <f t="shared" si="19"/>
        <v>5105.9372261350054</v>
      </c>
      <c r="DW14" s="19">
        <f t="shared" si="19"/>
        <v>-11507.960807919684</v>
      </c>
      <c r="DX14" s="19">
        <f t="shared" si="19"/>
        <v>-11507.960807919684</v>
      </c>
      <c r="DY14" s="19">
        <f t="shared" si="19"/>
        <v>-11507.960807919684</v>
      </c>
      <c r="DZ14" s="19">
        <f t="shared" si="19"/>
        <v>-11525.928438859228</v>
      </c>
      <c r="EA14" s="19">
        <f t="shared" si="19"/>
        <v>-11606.737908266179</v>
      </c>
      <c r="EB14" s="19">
        <f t="shared" si="19"/>
        <v>-11606.737908266179</v>
      </c>
      <c r="EC14" s="19">
        <f t="shared" si="19"/>
        <v>-11606.737908266179</v>
      </c>
      <c r="ED14" s="19">
        <f t="shared" si="19"/>
        <v>-11655.430799718546</v>
      </c>
      <c r="EE14" s="19">
        <f t="shared" si="19"/>
        <v>-11655.430799718546</v>
      </c>
      <c r="EF14" s="19">
        <f t="shared" si="19"/>
        <v>-11683.27247292555</v>
      </c>
      <c r="EG14" s="19">
        <f t="shared" si="19"/>
        <v>-11694.586390839509</v>
      </c>
      <c r="EH14" s="19">
        <f t="shared" si="19"/>
        <v>-11742.05467093681</v>
      </c>
      <c r="EI14" s="19">
        <f t="shared" ref="EI14:EL14" si="20">-$F$14*EI13</f>
        <v>-11742.05467093681</v>
      </c>
      <c r="EJ14" s="19">
        <f t="shared" si="20"/>
        <v>-11742.05467093681</v>
      </c>
      <c r="EK14" s="19">
        <f t="shared" si="20"/>
        <v>-11742.05467093681</v>
      </c>
      <c r="EL14" s="19">
        <f t="shared" si="20"/>
        <v>-11760.381654495146</v>
      </c>
      <c r="EM14" s="17"/>
    </row>
    <row r="15" spans="2:143" x14ac:dyDescent="0.3">
      <c r="B15" t="s">
        <v>9</v>
      </c>
      <c r="G15" s="12">
        <f>SUM(G13:G14)</f>
        <v>2662680.9534087619</v>
      </c>
      <c r="J15" s="17"/>
      <c r="K15" s="17">
        <f t="shared" ref="K15:BV15" si="21">SUM(K13:K14)</f>
        <v>229095.2752</v>
      </c>
      <c r="L15" s="17">
        <f t="shared" si="21"/>
        <v>229095.2752</v>
      </c>
      <c r="M15" s="17">
        <f t="shared" si="21"/>
        <v>229095.2752</v>
      </c>
      <c r="N15" s="17">
        <f t="shared" si="21"/>
        <v>229326.885568</v>
      </c>
      <c r="O15" s="17">
        <f t="shared" si="21"/>
        <v>229326.885568</v>
      </c>
      <c r="P15" s="17">
        <f t="shared" si="21"/>
        <v>230528.73148800002</v>
      </c>
      <c r="Q15" s="17">
        <f t="shared" si="21"/>
        <v>230528.73148800002</v>
      </c>
      <c r="R15" s="17">
        <f t="shared" si="21"/>
        <v>230528.73148800002</v>
      </c>
      <c r="S15" s="17">
        <f t="shared" si="21"/>
        <v>230791.18550400002</v>
      </c>
      <c r="T15" s="17">
        <f t="shared" si="21"/>
        <v>230791.18550400002</v>
      </c>
      <c r="U15" s="17">
        <f t="shared" si="21"/>
        <v>230791.18550400002</v>
      </c>
      <c r="V15" s="17">
        <f t="shared" si="21"/>
        <v>230791.18550400002</v>
      </c>
      <c r="W15" s="17">
        <f t="shared" si="21"/>
        <v>233752.794704</v>
      </c>
      <c r="X15" s="17">
        <f t="shared" si="21"/>
        <v>233752.794704</v>
      </c>
      <c r="Y15" s="17">
        <f t="shared" si="21"/>
        <v>233752.794704</v>
      </c>
      <c r="Z15" s="17">
        <f t="shared" si="21"/>
        <v>217897.41310398246</v>
      </c>
      <c r="AA15" s="17">
        <f t="shared" si="21"/>
        <v>217897.41310398246</v>
      </c>
      <c r="AB15" s="17">
        <f t="shared" si="21"/>
        <v>219123.29594238248</v>
      </c>
      <c r="AC15" s="17">
        <f t="shared" si="21"/>
        <v>211578.96477440002</v>
      </c>
      <c r="AD15" s="17">
        <f t="shared" si="21"/>
        <v>234754.1327744</v>
      </c>
      <c r="AE15" s="17">
        <f t="shared" si="21"/>
        <v>235021.83587072004</v>
      </c>
      <c r="AF15" s="17">
        <f t="shared" si="21"/>
        <v>235021.83587072004</v>
      </c>
      <c r="AG15" s="17">
        <f t="shared" si="21"/>
        <v>235021.83587072004</v>
      </c>
      <c r="AH15" s="17">
        <f t="shared" si="21"/>
        <v>235021.83587072004</v>
      </c>
      <c r="AI15" s="17">
        <f t="shared" si="21"/>
        <v>238044.56760472001</v>
      </c>
      <c r="AJ15" s="17">
        <f t="shared" si="21"/>
        <v>238044.56760472001</v>
      </c>
      <c r="AK15" s="17">
        <f t="shared" si="21"/>
        <v>238044.56760472001</v>
      </c>
      <c r="AL15" s="17">
        <f t="shared" si="21"/>
        <v>238044.56760472001</v>
      </c>
      <c r="AM15" s="17">
        <f t="shared" si="21"/>
        <v>238044.56760472001</v>
      </c>
      <c r="AN15" s="17">
        <f t="shared" si="21"/>
        <v>239294.96809988804</v>
      </c>
      <c r="AO15" s="17">
        <f t="shared" si="21"/>
        <v>239526.71977988805</v>
      </c>
      <c r="AP15" s="17">
        <f t="shared" si="21"/>
        <v>239526.71977988805</v>
      </c>
      <c r="AQ15" s="17">
        <f t="shared" si="21"/>
        <v>239799.77693813443</v>
      </c>
      <c r="AR15" s="17">
        <f t="shared" si="21"/>
        <v>239799.77693813443</v>
      </c>
      <c r="AS15" s="17">
        <f t="shared" si="21"/>
        <v>239799.77693813443</v>
      </c>
      <c r="AT15" s="17">
        <f t="shared" si="21"/>
        <v>239799.77693813443</v>
      </c>
      <c r="AU15" s="17">
        <f t="shared" si="21"/>
        <v>217577.26861983075</v>
      </c>
      <c r="AV15" s="17">
        <f t="shared" si="21"/>
        <v>217577.26861983075</v>
      </c>
      <c r="AW15" s="17">
        <f t="shared" si="21"/>
        <v>217577.26861983075</v>
      </c>
      <c r="AX15" s="17">
        <f t="shared" si="21"/>
        <v>138185.56780740441</v>
      </c>
      <c r="AY15" s="17">
        <f t="shared" si="21"/>
        <v>248052.43204740441</v>
      </c>
      <c r="AZ15" s="17">
        <f t="shared" si="21"/>
        <v>249327.84055247574</v>
      </c>
      <c r="BA15" s="17">
        <f t="shared" si="21"/>
        <v>249564.2272660757</v>
      </c>
      <c r="BB15" s="17">
        <f t="shared" si="21"/>
        <v>249564.2272660757</v>
      </c>
      <c r="BC15" s="17">
        <f t="shared" si="21"/>
        <v>228082.43512243615</v>
      </c>
      <c r="BD15" s="17">
        <f t="shared" si="21"/>
        <v>228082.43512243615</v>
      </c>
      <c r="BE15" s="17">
        <f t="shared" si="21"/>
        <v>228082.43512243615</v>
      </c>
      <c r="BF15" s="17">
        <f t="shared" si="21"/>
        <v>157523.89497182932</v>
      </c>
      <c r="BG15" s="17">
        <f t="shared" si="21"/>
        <v>236716.61545760403</v>
      </c>
      <c r="BH15" s="17">
        <f t="shared" si="21"/>
        <v>236716.61545760403</v>
      </c>
      <c r="BI15" s="17">
        <f t="shared" si="21"/>
        <v>236716.61545760403</v>
      </c>
      <c r="BJ15" s="17">
        <f t="shared" si="21"/>
        <v>189974.72928889349</v>
      </c>
      <c r="BK15" s="17">
        <f t="shared" si="21"/>
        <v>255267.03718009355</v>
      </c>
      <c r="BL15" s="17">
        <f t="shared" si="21"/>
        <v>256567.9538552663</v>
      </c>
      <c r="BM15" s="17">
        <f t="shared" si="21"/>
        <v>256809.06830313831</v>
      </c>
      <c r="BN15" s="17">
        <f t="shared" si="21"/>
        <v>256809.06830313831</v>
      </c>
      <c r="BO15" s="17">
        <f t="shared" si="21"/>
        <v>256809.06830313831</v>
      </c>
      <c r="BP15" s="17">
        <f t="shared" si="21"/>
        <v>256809.06830313831</v>
      </c>
      <c r="BQ15" s="17">
        <f t="shared" si="21"/>
        <v>256809.06830313831</v>
      </c>
      <c r="BR15" s="17">
        <f t="shared" si="21"/>
        <v>257199.64038925673</v>
      </c>
      <c r="BS15" s="17">
        <f t="shared" si="21"/>
        <v>259746.41559394306</v>
      </c>
      <c r="BT15" s="17">
        <f t="shared" si="21"/>
        <v>259746.41559394306</v>
      </c>
      <c r="BU15" s="17">
        <f t="shared" si="21"/>
        <v>259746.41559394306</v>
      </c>
      <c r="BV15" s="17">
        <f t="shared" si="21"/>
        <v>260455.84163160709</v>
      </c>
      <c r="BW15" s="17">
        <f t="shared" ref="BW15:EH15" si="22">SUM(BW13:BW14)</f>
        <v>260455.84163160709</v>
      </c>
      <c r="BX15" s="17">
        <f t="shared" si="22"/>
        <v>261782.77664028335</v>
      </c>
      <c r="BY15" s="17">
        <f t="shared" si="22"/>
        <v>262028.71337711278</v>
      </c>
      <c r="BZ15" s="17">
        <f t="shared" si="22"/>
        <v>262028.71337711278</v>
      </c>
      <c r="CA15" s="17">
        <f t="shared" si="22"/>
        <v>262028.71337711278</v>
      </c>
      <c r="CB15" s="17">
        <f t="shared" si="22"/>
        <v>262028.71337711278</v>
      </c>
      <c r="CC15" s="17">
        <f t="shared" si="22"/>
        <v>262028.71337711278</v>
      </c>
      <c r="CD15" s="17">
        <f t="shared" si="22"/>
        <v>262427.09690495353</v>
      </c>
      <c r="CE15" s="17">
        <f t="shared" si="22"/>
        <v>265026.89420643146</v>
      </c>
      <c r="CF15" s="17">
        <f t="shared" si="22"/>
        <v>265026.89420643146</v>
      </c>
      <c r="CG15" s="17">
        <f t="shared" si="22"/>
        <v>265026.89420643146</v>
      </c>
      <c r="CH15" s="17">
        <f t="shared" si="22"/>
        <v>265750.50876484875</v>
      </c>
      <c r="CI15" s="17">
        <f t="shared" si="22"/>
        <v>265750.50876484875</v>
      </c>
      <c r="CJ15" s="17">
        <f t="shared" si="22"/>
        <v>267103.9824736985</v>
      </c>
      <c r="CK15" s="17">
        <f t="shared" si="22"/>
        <v>267354.83794526453</v>
      </c>
      <c r="CL15" s="17">
        <f t="shared" si="22"/>
        <v>267354.83794526453</v>
      </c>
      <c r="CM15" s="17">
        <f t="shared" si="22"/>
        <v>267354.83794526453</v>
      </c>
      <c r="CN15" s="17">
        <f t="shared" si="22"/>
        <v>267354.83794526453</v>
      </c>
      <c r="CO15" s="17">
        <f t="shared" si="22"/>
        <v>267354.83794526453</v>
      </c>
      <c r="CP15" s="17">
        <f t="shared" si="22"/>
        <v>267761.18914366211</v>
      </c>
      <c r="CQ15" s="17">
        <f t="shared" si="22"/>
        <v>247283.87531132807</v>
      </c>
      <c r="CR15" s="17">
        <f t="shared" si="22"/>
        <v>247283.87531132807</v>
      </c>
      <c r="CS15" s="17">
        <f t="shared" si="22"/>
        <v>247283.87531132807</v>
      </c>
      <c r="CT15" s="17">
        <f t="shared" si="22"/>
        <v>181107.32498440307</v>
      </c>
      <c r="CU15" s="17">
        <f t="shared" si="22"/>
        <v>273707.70113341569</v>
      </c>
      <c r="CV15" s="17">
        <f t="shared" si="22"/>
        <v>275088.2443164424</v>
      </c>
      <c r="CW15" s="17">
        <f t="shared" si="22"/>
        <v>275344.11689743982</v>
      </c>
      <c r="CX15" s="17">
        <f t="shared" si="22"/>
        <v>275344.11689743982</v>
      </c>
      <c r="CY15" s="17">
        <f t="shared" si="22"/>
        <v>275344.11689743982</v>
      </c>
      <c r="CZ15" s="17">
        <f t="shared" si="22"/>
        <v>275344.11689743982</v>
      </c>
      <c r="DA15" s="17">
        <f t="shared" si="22"/>
        <v>275344.11689743982</v>
      </c>
      <c r="DB15" s="17">
        <f t="shared" si="22"/>
        <v>275758.59511980531</v>
      </c>
      <c r="DC15" s="17">
        <f t="shared" si="22"/>
        <v>278148.48634948843</v>
      </c>
      <c r="DD15" s="17">
        <f t="shared" si="22"/>
        <v>278148.48634948843</v>
      </c>
      <c r="DE15" s="17">
        <f t="shared" si="22"/>
        <v>238435.43293858494</v>
      </c>
      <c r="DF15" s="17">
        <f t="shared" si="22"/>
        <v>239558.68302975831</v>
      </c>
      <c r="DG15" s="17">
        <f t="shared" si="22"/>
        <v>239558.68302975831</v>
      </c>
      <c r="DH15" s="17">
        <f t="shared" si="22"/>
        <v>122620.50920588055</v>
      </c>
      <c r="DI15" s="17">
        <f t="shared" si="22"/>
        <v>286656.04751499451</v>
      </c>
      <c r="DJ15" s="17">
        <f t="shared" si="22"/>
        <v>286656.04751499451</v>
      </c>
      <c r="DK15" s="17">
        <f t="shared" si="22"/>
        <v>286656.04751499451</v>
      </c>
      <c r="DL15" s="17">
        <f t="shared" si="22"/>
        <v>286656.04751499451</v>
      </c>
      <c r="DM15" s="17">
        <f t="shared" si="22"/>
        <v>286656.04751499451</v>
      </c>
      <c r="DN15" s="17">
        <f t="shared" si="22"/>
        <v>287078.81530180736</v>
      </c>
      <c r="DO15" s="17">
        <f t="shared" si="22"/>
        <v>288977.95653499325</v>
      </c>
      <c r="DP15" s="17">
        <f t="shared" si="22"/>
        <v>288977.95653499325</v>
      </c>
      <c r="DQ15" s="17">
        <f t="shared" si="22"/>
        <v>288977.95653499325</v>
      </c>
      <c r="DR15" s="17">
        <f t="shared" si="22"/>
        <v>290123.67162799003</v>
      </c>
      <c r="DS15" s="17">
        <f t="shared" si="22"/>
        <v>290123.67162799003</v>
      </c>
      <c r="DT15" s="17">
        <f t="shared" si="22"/>
        <v>194380.58197384022</v>
      </c>
      <c r="DU15" s="17">
        <f t="shared" si="22"/>
        <v>194646.79180710987</v>
      </c>
      <c r="DV15" s="17">
        <f t="shared" si="22"/>
        <v>-122542.49342724013</v>
      </c>
      <c r="DW15" s="17">
        <f t="shared" si="22"/>
        <v>276191.05939007242</v>
      </c>
      <c r="DX15" s="17">
        <f t="shared" si="22"/>
        <v>276191.05939007242</v>
      </c>
      <c r="DY15" s="17">
        <f t="shared" si="22"/>
        <v>276191.05939007242</v>
      </c>
      <c r="DZ15" s="17">
        <f t="shared" si="22"/>
        <v>276622.28253262147</v>
      </c>
      <c r="EA15" s="17">
        <f t="shared" si="22"/>
        <v>278561.7097983883</v>
      </c>
      <c r="EB15" s="17">
        <f t="shared" si="22"/>
        <v>278561.7097983883</v>
      </c>
      <c r="EC15" s="17">
        <f t="shared" si="22"/>
        <v>278561.7097983883</v>
      </c>
      <c r="ED15" s="17">
        <f t="shared" si="22"/>
        <v>279730.3391932451</v>
      </c>
      <c r="EE15" s="17">
        <f t="shared" si="22"/>
        <v>279730.3391932451</v>
      </c>
      <c r="EF15" s="17">
        <f t="shared" si="22"/>
        <v>280398.53935021319</v>
      </c>
      <c r="EG15" s="17">
        <f t="shared" si="22"/>
        <v>280670.07338014827</v>
      </c>
      <c r="EH15" s="17">
        <f t="shared" si="22"/>
        <v>281809.31210248341</v>
      </c>
      <c r="EI15" s="17">
        <f t="shared" ref="EI15:EL15" si="23">SUM(EI13:EI14)</f>
        <v>281809.31210248341</v>
      </c>
      <c r="EJ15" s="17">
        <f t="shared" si="23"/>
        <v>281809.31210248341</v>
      </c>
      <c r="EK15" s="17">
        <f t="shared" si="23"/>
        <v>281809.31210248341</v>
      </c>
      <c r="EL15" s="17">
        <f t="shared" si="23"/>
        <v>282249.15970788349</v>
      </c>
      <c r="EM15" s="17"/>
    </row>
    <row r="16" spans="2:143" x14ac:dyDescent="0.3"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</row>
    <row r="17" spans="2:146" ht="16.2" x14ac:dyDescent="0.45">
      <c r="B17" s="22" t="s">
        <v>10</v>
      </c>
      <c r="F17" s="28"/>
      <c r="G17" s="21">
        <v>767341</v>
      </c>
      <c r="J17" s="19"/>
      <c r="K17" s="19">
        <f t="shared" ref="K17:BV17" si="24">$G$17/12*(1+$G$5)^(K$6-1)</f>
        <v>63945.083333333336</v>
      </c>
      <c r="L17" s="19">
        <f t="shared" si="24"/>
        <v>63945.083333333336</v>
      </c>
      <c r="M17" s="19">
        <f t="shared" si="24"/>
        <v>63945.083333333336</v>
      </c>
      <c r="N17" s="19">
        <f t="shared" si="24"/>
        <v>63945.083333333336</v>
      </c>
      <c r="O17" s="19">
        <f t="shared" si="24"/>
        <v>63945.083333333336</v>
      </c>
      <c r="P17" s="19">
        <f t="shared" si="24"/>
        <v>63945.083333333336</v>
      </c>
      <c r="Q17" s="19">
        <f t="shared" si="24"/>
        <v>63945.083333333336</v>
      </c>
      <c r="R17" s="19">
        <f t="shared" si="24"/>
        <v>63945.083333333336</v>
      </c>
      <c r="S17" s="19">
        <f t="shared" si="24"/>
        <v>63945.083333333336</v>
      </c>
      <c r="T17" s="19">
        <f t="shared" si="24"/>
        <v>63945.083333333336</v>
      </c>
      <c r="U17" s="19">
        <f t="shared" si="24"/>
        <v>63945.083333333336</v>
      </c>
      <c r="V17" s="19">
        <f t="shared" si="24"/>
        <v>63945.083333333336</v>
      </c>
      <c r="W17" s="19">
        <f t="shared" si="24"/>
        <v>65223.985000000001</v>
      </c>
      <c r="X17" s="19">
        <f t="shared" si="24"/>
        <v>65223.985000000001</v>
      </c>
      <c r="Y17" s="19">
        <f t="shared" si="24"/>
        <v>65223.985000000001</v>
      </c>
      <c r="Z17" s="19">
        <f t="shared" si="24"/>
        <v>65223.985000000001</v>
      </c>
      <c r="AA17" s="19">
        <f t="shared" si="24"/>
        <v>65223.985000000001</v>
      </c>
      <c r="AB17" s="19">
        <f t="shared" si="24"/>
        <v>65223.985000000001</v>
      </c>
      <c r="AC17" s="19">
        <f t="shared" si="24"/>
        <v>65223.985000000001</v>
      </c>
      <c r="AD17" s="19">
        <f t="shared" si="24"/>
        <v>65223.985000000001</v>
      </c>
      <c r="AE17" s="19">
        <f t="shared" si="24"/>
        <v>65223.985000000001</v>
      </c>
      <c r="AF17" s="19">
        <f t="shared" si="24"/>
        <v>65223.985000000001</v>
      </c>
      <c r="AG17" s="19">
        <f t="shared" si="24"/>
        <v>65223.985000000001</v>
      </c>
      <c r="AH17" s="19">
        <f t="shared" si="24"/>
        <v>65223.985000000001</v>
      </c>
      <c r="AI17" s="19">
        <f t="shared" si="24"/>
        <v>66528.464699999997</v>
      </c>
      <c r="AJ17" s="19">
        <f t="shared" si="24"/>
        <v>66528.464699999997</v>
      </c>
      <c r="AK17" s="19">
        <f t="shared" si="24"/>
        <v>66528.464699999997</v>
      </c>
      <c r="AL17" s="19">
        <f t="shared" si="24"/>
        <v>66528.464699999997</v>
      </c>
      <c r="AM17" s="19">
        <f t="shared" si="24"/>
        <v>66528.464699999997</v>
      </c>
      <c r="AN17" s="19">
        <f t="shared" si="24"/>
        <v>66528.464699999997</v>
      </c>
      <c r="AO17" s="19">
        <f t="shared" si="24"/>
        <v>66528.464699999997</v>
      </c>
      <c r="AP17" s="19">
        <f t="shared" si="24"/>
        <v>66528.464699999997</v>
      </c>
      <c r="AQ17" s="19">
        <f t="shared" si="24"/>
        <v>66528.464699999997</v>
      </c>
      <c r="AR17" s="19">
        <f t="shared" si="24"/>
        <v>66528.464699999997</v>
      </c>
      <c r="AS17" s="19">
        <f t="shared" si="24"/>
        <v>66528.464699999997</v>
      </c>
      <c r="AT17" s="19">
        <f t="shared" si="24"/>
        <v>66528.464699999997</v>
      </c>
      <c r="AU17" s="19">
        <f t="shared" si="24"/>
        <v>67859.033993999998</v>
      </c>
      <c r="AV17" s="19">
        <f t="shared" si="24"/>
        <v>67859.033993999998</v>
      </c>
      <c r="AW17" s="19">
        <f t="shared" si="24"/>
        <v>67859.033993999998</v>
      </c>
      <c r="AX17" s="19">
        <f t="shared" si="24"/>
        <v>67859.033993999998</v>
      </c>
      <c r="AY17" s="19">
        <f t="shared" si="24"/>
        <v>67859.033993999998</v>
      </c>
      <c r="AZ17" s="19">
        <f t="shared" si="24"/>
        <v>67859.033993999998</v>
      </c>
      <c r="BA17" s="19">
        <f t="shared" si="24"/>
        <v>67859.033993999998</v>
      </c>
      <c r="BB17" s="19">
        <f t="shared" si="24"/>
        <v>67859.033993999998</v>
      </c>
      <c r="BC17" s="19">
        <f t="shared" si="24"/>
        <v>67859.033993999998</v>
      </c>
      <c r="BD17" s="19">
        <f t="shared" si="24"/>
        <v>67859.033993999998</v>
      </c>
      <c r="BE17" s="19">
        <f t="shared" si="24"/>
        <v>67859.033993999998</v>
      </c>
      <c r="BF17" s="19">
        <f t="shared" si="24"/>
        <v>67859.033993999998</v>
      </c>
      <c r="BG17" s="19">
        <f t="shared" si="24"/>
        <v>69216.214673880007</v>
      </c>
      <c r="BH17" s="19">
        <f t="shared" si="24"/>
        <v>69216.214673880007</v>
      </c>
      <c r="BI17" s="19">
        <f t="shared" si="24"/>
        <v>69216.214673880007</v>
      </c>
      <c r="BJ17" s="19">
        <f t="shared" si="24"/>
        <v>69216.214673880007</v>
      </c>
      <c r="BK17" s="19">
        <f t="shared" si="24"/>
        <v>69216.214673880007</v>
      </c>
      <c r="BL17" s="19">
        <f t="shared" si="24"/>
        <v>69216.214673880007</v>
      </c>
      <c r="BM17" s="19">
        <f t="shared" si="24"/>
        <v>69216.214673880007</v>
      </c>
      <c r="BN17" s="19">
        <f t="shared" si="24"/>
        <v>69216.214673880007</v>
      </c>
      <c r="BO17" s="19">
        <f t="shared" si="24"/>
        <v>69216.214673880007</v>
      </c>
      <c r="BP17" s="19">
        <f t="shared" si="24"/>
        <v>69216.214673880007</v>
      </c>
      <c r="BQ17" s="19">
        <f t="shared" si="24"/>
        <v>69216.214673880007</v>
      </c>
      <c r="BR17" s="19">
        <f t="shared" si="24"/>
        <v>69216.214673880007</v>
      </c>
      <c r="BS17" s="19">
        <f t="shared" si="24"/>
        <v>70600.538967357599</v>
      </c>
      <c r="BT17" s="19">
        <f t="shared" si="24"/>
        <v>70600.538967357599</v>
      </c>
      <c r="BU17" s="19">
        <f t="shared" si="24"/>
        <v>70600.538967357599</v>
      </c>
      <c r="BV17" s="19">
        <f t="shared" si="24"/>
        <v>70600.538967357599</v>
      </c>
      <c r="BW17" s="19">
        <f t="shared" ref="BW17:EH17" si="25">$G$17/12*(1+$G$5)^(BW$6-1)</f>
        <v>70600.538967357599</v>
      </c>
      <c r="BX17" s="19">
        <f t="shared" si="25"/>
        <v>70600.538967357599</v>
      </c>
      <c r="BY17" s="19">
        <f t="shared" si="25"/>
        <v>70600.538967357599</v>
      </c>
      <c r="BZ17" s="19">
        <f t="shared" si="25"/>
        <v>70600.538967357599</v>
      </c>
      <c r="CA17" s="19">
        <f t="shared" si="25"/>
        <v>70600.538967357599</v>
      </c>
      <c r="CB17" s="19">
        <f t="shared" si="25"/>
        <v>70600.538967357599</v>
      </c>
      <c r="CC17" s="19">
        <f t="shared" si="25"/>
        <v>70600.538967357599</v>
      </c>
      <c r="CD17" s="19">
        <f t="shared" si="25"/>
        <v>70600.538967357599</v>
      </c>
      <c r="CE17" s="19">
        <f t="shared" si="25"/>
        <v>72012.549746704753</v>
      </c>
      <c r="CF17" s="19">
        <f t="shared" si="25"/>
        <v>72012.549746704753</v>
      </c>
      <c r="CG17" s="19">
        <f t="shared" si="25"/>
        <v>72012.549746704753</v>
      </c>
      <c r="CH17" s="19">
        <f t="shared" si="25"/>
        <v>72012.549746704753</v>
      </c>
      <c r="CI17" s="19">
        <f t="shared" si="25"/>
        <v>72012.549746704753</v>
      </c>
      <c r="CJ17" s="19">
        <f t="shared" si="25"/>
        <v>72012.549746704753</v>
      </c>
      <c r="CK17" s="19">
        <f t="shared" si="25"/>
        <v>72012.549746704753</v>
      </c>
      <c r="CL17" s="19">
        <f t="shared" si="25"/>
        <v>72012.549746704753</v>
      </c>
      <c r="CM17" s="19">
        <f t="shared" si="25"/>
        <v>72012.549746704753</v>
      </c>
      <c r="CN17" s="19">
        <f t="shared" si="25"/>
        <v>72012.549746704753</v>
      </c>
      <c r="CO17" s="19">
        <f t="shared" si="25"/>
        <v>72012.549746704753</v>
      </c>
      <c r="CP17" s="19">
        <f t="shared" si="25"/>
        <v>72012.549746704753</v>
      </c>
      <c r="CQ17" s="19">
        <f t="shared" si="25"/>
        <v>73452.800741638843</v>
      </c>
      <c r="CR17" s="19">
        <f t="shared" si="25"/>
        <v>73452.800741638843</v>
      </c>
      <c r="CS17" s="19">
        <f t="shared" si="25"/>
        <v>73452.800741638843</v>
      </c>
      <c r="CT17" s="19">
        <f t="shared" si="25"/>
        <v>73452.800741638843</v>
      </c>
      <c r="CU17" s="19">
        <f t="shared" si="25"/>
        <v>73452.800741638843</v>
      </c>
      <c r="CV17" s="19">
        <f t="shared" si="25"/>
        <v>73452.800741638843</v>
      </c>
      <c r="CW17" s="19">
        <f t="shared" si="25"/>
        <v>73452.800741638843</v>
      </c>
      <c r="CX17" s="19">
        <f t="shared" si="25"/>
        <v>73452.800741638843</v>
      </c>
      <c r="CY17" s="19">
        <f t="shared" si="25"/>
        <v>73452.800741638843</v>
      </c>
      <c r="CZ17" s="19">
        <f t="shared" si="25"/>
        <v>73452.800741638843</v>
      </c>
      <c r="DA17" s="19">
        <f t="shared" si="25"/>
        <v>73452.800741638843</v>
      </c>
      <c r="DB17" s="19">
        <f t="shared" si="25"/>
        <v>73452.800741638843</v>
      </c>
      <c r="DC17" s="19">
        <f t="shared" si="25"/>
        <v>74921.856756471621</v>
      </c>
      <c r="DD17" s="19">
        <f t="shared" si="25"/>
        <v>74921.856756471621</v>
      </c>
      <c r="DE17" s="19">
        <f t="shared" si="25"/>
        <v>74921.856756471621</v>
      </c>
      <c r="DF17" s="19">
        <f t="shared" si="25"/>
        <v>74921.856756471621</v>
      </c>
      <c r="DG17" s="19">
        <f t="shared" si="25"/>
        <v>74921.856756471621</v>
      </c>
      <c r="DH17" s="19">
        <f t="shared" si="25"/>
        <v>74921.856756471621</v>
      </c>
      <c r="DI17" s="19">
        <f t="shared" si="25"/>
        <v>74921.856756471621</v>
      </c>
      <c r="DJ17" s="19">
        <f t="shared" si="25"/>
        <v>74921.856756471621</v>
      </c>
      <c r="DK17" s="19">
        <f t="shared" si="25"/>
        <v>74921.856756471621</v>
      </c>
      <c r="DL17" s="19">
        <f t="shared" si="25"/>
        <v>74921.856756471621</v>
      </c>
      <c r="DM17" s="19">
        <f t="shared" si="25"/>
        <v>74921.856756471621</v>
      </c>
      <c r="DN17" s="19">
        <f t="shared" si="25"/>
        <v>74921.856756471621</v>
      </c>
      <c r="DO17" s="19">
        <f t="shared" si="25"/>
        <v>76420.293891601061</v>
      </c>
      <c r="DP17" s="19">
        <f t="shared" si="25"/>
        <v>76420.293891601061</v>
      </c>
      <c r="DQ17" s="19">
        <f t="shared" si="25"/>
        <v>76420.293891601061</v>
      </c>
      <c r="DR17" s="19">
        <f t="shared" si="25"/>
        <v>76420.293891601061</v>
      </c>
      <c r="DS17" s="19">
        <f t="shared" si="25"/>
        <v>76420.293891601061</v>
      </c>
      <c r="DT17" s="19">
        <f t="shared" si="25"/>
        <v>76420.293891601061</v>
      </c>
      <c r="DU17" s="19">
        <f t="shared" si="25"/>
        <v>76420.293891601061</v>
      </c>
      <c r="DV17" s="19">
        <f t="shared" si="25"/>
        <v>76420.293891601061</v>
      </c>
      <c r="DW17" s="19">
        <f t="shared" si="25"/>
        <v>76420.293891601061</v>
      </c>
      <c r="DX17" s="19">
        <f t="shared" si="25"/>
        <v>76420.293891601061</v>
      </c>
      <c r="DY17" s="19">
        <f t="shared" si="25"/>
        <v>76420.293891601061</v>
      </c>
      <c r="DZ17" s="19">
        <f t="shared" si="25"/>
        <v>76420.293891601061</v>
      </c>
      <c r="EA17" s="19">
        <f t="shared" si="25"/>
        <v>77948.699769433078</v>
      </c>
      <c r="EB17" s="19">
        <f t="shared" si="25"/>
        <v>77948.699769433078</v>
      </c>
      <c r="EC17" s="19">
        <f t="shared" si="25"/>
        <v>77948.699769433078</v>
      </c>
      <c r="ED17" s="19">
        <f t="shared" si="25"/>
        <v>77948.699769433078</v>
      </c>
      <c r="EE17" s="19">
        <f t="shared" si="25"/>
        <v>77948.699769433078</v>
      </c>
      <c r="EF17" s="19">
        <f t="shared" si="25"/>
        <v>77948.699769433078</v>
      </c>
      <c r="EG17" s="19">
        <f t="shared" si="25"/>
        <v>77948.699769433078</v>
      </c>
      <c r="EH17" s="19">
        <f t="shared" si="25"/>
        <v>77948.699769433078</v>
      </c>
      <c r="EI17" s="19">
        <f t="shared" ref="EI17:EL17" si="26">$G$17/12*(1+$G$5)^(EI$6-1)</f>
        <v>77948.699769433078</v>
      </c>
      <c r="EJ17" s="19">
        <f t="shared" si="26"/>
        <v>77948.699769433078</v>
      </c>
      <c r="EK17" s="19">
        <f t="shared" si="26"/>
        <v>77948.699769433078</v>
      </c>
      <c r="EL17" s="19">
        <f t="shared" si="26"/>
        <v>77948.699769433078</v>
      </c>
      <c r="EM17" s="17"/>
    </row>
    <row r="18" spans="2:146" x14ac:dyDescent="0.3">
      <c r="B18" t="s">
        <v>11</v>
      </c>
      <c r="G18" s="12">
        <f>G15-G17</f>
        <v>1895339.9534087619</v>
      </c>
      <c r="I18" s="48"/>
      <c r="J18" s="17"/>
      <c r="K18" s="17">
        <f t="shared" ref="K18:BV18" si="27">+K15-K17</f>
        <v>165150.19186666666</v>
      </c>
      <c r="L18" s="17">
        <f t="shared" si="27"/>
        <v>165150.19186666666</v>
      </c>
      <c r="M18" s="17">
        <f t="shared" si="27"/>
        <v>165150.19186666666</v>
      </c>
      <c r="N18" s="17">
        <f t="shared" si="27"/>
        <v>165381.80223466665</v>
      </c>
      <c r="O18" s="17">
        <f t="shared" si="27"/>
        <v>165381.80223466665</v>
      </c>
      <c r="P18" s="17">
        <f t="shared" si="27"/>
        <v>166583.64815466668</v>
      </c>
      <c r="Q18" s="17">
        <f t="shared" si="27"/>
        <v>166583.64815466668</v>
      </c>
      <c r="R18" s="17">
        <f t="shared" si="27"/>
        <v>166583.64815466668</v>
      </c>
      <c r="S18" s="17">
        <f t="shared" si="27"/>
        <v>166846.10217066668</v>
      </c>
      <c r="T18" s="17">
        <f t="shared" si="27"/>
        <v>166846.10217066668</v>
      </c>
      <c r="U18" s="17">
        <f t="shared" si="27"/>
        <v>166846.10217066668</v>
      </c>
      <c r="V18" s="17">
        <f t="shared" si="27"/>
        <v>166846.10217066668</v>
      </c>
      <c r="W18" s="17">
        <f t="shared" si="27"/>
        <v>168528.80970400001</v>
      </c>
      <c r="X18" s="17">
        <f t="shared" si="27"/>
        <v>168528.80970400001</v>
      </c>
      <c r="Y18" s="17">
        <f t="shared" si="27"/>
        <v>168528.80970400001</v>
      </c>
      <c r="Z18" s="17">
        <f t="shared" si="27"/>
        <v>152673.42810398247</v>
      </c>
      <c r="AA18" s="17">
        <f t="shared" si="27"/>
        <v>152673.42810398247</v>
      </c>
      <c r="AB18" s="17">
        <f t="shared" si="27"/>
        <v>153899.31094238249</v>
      </c>
      <c r="AC18" s="17">
        <f t="shared" si="27"/>
        <v>146354.97977440001</v>
      </c>
      <c r="AD18" s="17">
        <f t="shared" si="27"/>
        <v>169530.14777440001</v>
      </c>
      <c r="AE18" s="17">
        <f t="shared" si="27"/>
        <v>169797.85087072005</v>
      </c>
      <c r="AF18" s="17">
        <f t="shared" si="27"/>
        <v>169797.85087072005</v>
      </c>
      <c r="AG18" s="17">
        <f t="shared" si="27"/>
        <v>169797.85087072005</v>
      </c>
      <c r="AH18" s="17">
        <f t="shared" si="27"/>
        <v>169797.85087072005</v>
      </c>
      <c r="AI18" s="17">
        <f t="shared" si="27"/>
        <v>171516.10290472</v>
      </c>
      <c r="AJ18" s="17">
        <f t="shared" si="27"/>
        <v>171516.10290472</v>
      </c>
      <c r="AK18" s="17">
        <f t="shared" si="27"/>
        <v>171516.10290472</v>
      </c>
      <c r="AL18" s="17">
        <f t="shared" si="27"/>
        <v>171516.10290472</v>
      </c>
      <c r="AM18" s="17">
        <f t="shared" si="27"/>
        <v>171516.10290472</v>
      </c>
      <c r="AN18" s="17">
        <f t="shared" si="27"/>
        <v>172766.50339988805</v>
      </c>
      <c r="AO18" s="17">
        <f t="shared" si="27"/>
        <v>172998.25507988804</v>
      </c>
      <c r="AP18" s="17">
        <f t="shared" si="27"/>
        <v>172998.25507988804</v>
      </c>
      <c r="AQ18" s="17">
        <f t="shared" si="27"/>
        <v>173271.31223813444</v>
      </c>
      <c r="AR18" s="17">
        <f t="shared" si="27"/>
        <v>173271.31223813444</v>
      </c>
      <c r="AS18" s="17">
        <f t="shared" si="27"/>
        <v>173271.31223813444</v>
      </c>
      <c r="AT18" s="17">
        <f t="shared" si="27"/>
        <v>173271.31223813444</v>
      </c>
      <c r="AU18" s="17">
        <f t="shared" si="27"/>
        <v>149718.23462583075</v>
      </c>
      <c r="AV18" s="17">
        <f t="shared" si="27"/>
        <v>149718.23462583075</v>
      </c>
      <c r="AW18" s="17">
        <f t="shared" si="27"/>
        <v>149718.23462583075</v>
      </c>
      <c r="AX18" s="17">
        <f t="shared" si="27"/>
        <v>70326.533813404414</v>
      </c>
      <c r="AY18" s="17">
        <f t="shared" si="27"/>
        <v>180193.39805340441</v>
      </c>
      <c r="AZ18" s="17">
        <f t="shared" si="27"/>
        <v>181468.80655847574</v>
      </c>
      <c r="BA18" s="17">
        <f t="shared" si="27"/>
        <v>181705.1932720757</v>
      </c>
      <c r="BB18" s="17">
        <f t="shared" si="27"/>
        <v>181705.1932720757</v>
      </c>
      <c r="BC18" s="17">
        <f t="shared" si="27"/>
        <v>160223.40112843615</v>
      </c>
      <c r="BD18" s="17">
        <f t="shared" si="27"/>
        <v>160223.40112843615</v>
      </c>
      <c r="BE18" s="17">
        <f t="shared" si="27"/>
        <v>160223.40112843615</v>
      </c>
      <c r="BF18" s="17">
        <f t="shared" si="27"/>
        <v>89664.860977829318</v>
      </c>
      <c r="BG18" s="17">
        <f t="shared" si="27"/>
        <v>167500.40078372404</v>
      </c>
      <c r="BH18" s="17">
        <f t="shared" si="27"/>
        <v>167500.40078372404</v>
      </c>
      <c r="BI18" s="17">
        <f t="shared" si="27"/>
        <v>167500.40078372404</v>
      </c>
      <c r="BJ18" s="17">
        <f t="shared" si="27"/>
        <v>120758.51461501348</v>
      </c>
      <c r="BK18" s="17">
        <f t="shared" si="27"/>
        <v>186050.82250621356</v>
      </c>
      <c r="BL18" s="17">
        <f t="shared" si="27"/>
        <v>187351.73918138631</v>
      </c>
      <c r="BM18" s="17">
        <f t="shared" si="27"/>
        <v>187592.85362925829</v>
      </c>
      <c r="BN18" s="17">
        <f t="shared" si="27"/>
        <v>187592.85362925829</v>
      </c>
      <c r="BO18" s="17">
        <f t="shared" si="27"/>
        <v>187592.85362925829</v>
      </c>
      <c r="BP18" s="17">
        <f t="shared" si="27"/>
        <v>187592.85362925829</v>
      </c>
      <c r="BQ18" s="17">
        <f t="shared" si="27"/>
        <v>187592.85362925829</v>
      </c>
      <c r="BR18" s="17">
        <f t="shared" si="27"/>
        <v>187983.42571537674</v>
      </c>
      <c r="BS18" s="17">
        <f t="shared" si="27"/>
        <v>189145.87662658546</v>
      </c>
      <c r="BT18" s="17">
        <f t="shared" si="27"/>
        <v>189145.87662658546</v>
      </c>
      <c r="BU18" s="17">
        <f t="shared" si="27"/>
        <v>189145.87662658546</v>
      </c>
      <c r="BV18" s="17">
        <f t="shared" si="27"/>
        <v>189855.3026642495</v>
      </c>
      <c r="BW18" s="17">
        <f t="shared" ref="BW18:EH18" si="28">+BW15-BW17</f>
        <v>189855.3026642495</v>
      </c>
      <c r="BX18" s="17">
        <f t="shared" si="28"/>
        <v>191182.23767292575</v>
      </c>
      <c r="BY18" s="17">
        <f t="shared" si="28"/>
        <v>191428.17440975519</v>
      </c>
      <c r="BZ18" s="17">
        <f t="shared" si="28"/>
        <v>191428.17440975519</v>
      </c>
      <c r="CA18" s="17">
        <f t="shared" si="28"/>
        <v>191428.17440975519</v>
      </c>
      <c r="CB18" s="17">
        <f t="shared" si="28"/>
        <v>191428.17440975519</v>
      </c>
      <c r="CC18" s="17">
        <f t="shared" si="28"/>
        <v>191428.17440975519</v>
      </c>
      <c r="CD18" s="17">
        <f t="shared" si="28"/>
        <v>191826.55793759594</v>
      </c>
      <c r="CE18" s="17">
        <f t="shared" si="28"/>
        <v>193014.34445972671</v>
      </c>
      <c r="CF18" s="17">
        <f t="shared" si="28"/>
        <v>193014.34445972671</v>
      </c>
      <c r="CG18" s="17">
        <f t="shared" si="28"/>
        <v>193014.34445972671</v>
      </c>
      <c r="CH18" s="17">
        <f t="shared" si="28"/>
        <v>193737.959018144</v>
      </c>
      <c r="CI18" s="17">
        <f t="shared" si="28"/>
        <v>193737.959018144</v>
      </c>
      <c r="CJ18" s="17">
        <f t="shared" si="28"/>
        <v>195091.43272699375</v>
      </c>
      <c r="CK18" s="17">
        <f t="shared" si="28"/>
        <v>195342.28819855978</v>
      </c>
      <c r="CL18" s="17">
        <f t="shared" si="28"/>
        <v>195342.28819855978</v>
      </c>
      <c r="CM18" s="17">
        <f t="shared" si="28"/>
        <v>195342.28819855978</v>
      </c>
      <c r="CN18" s="17">
        <f t="shared" si="28"/>
        <v>195342.28819855978</v>
      </c>
      <c r="CO18" s="17">
        <f t="shared" si="28"/>
        <v>195342.28819855978</v>
      </c>
      <c r="CP18" s="17">
        <f t="shared" si="28"/>
        <v>195748.63939695735</v>
      </c>
      <c r="CQ18" s="17">
        <f t="shared" si="28"/>
        <v>173831.07456968923</v>
      </c>
      <c r="CR18" s="17">
        <f t="shared" si="28"/>
        <v>173831.07456968923</v>
      </c>
      <c r="CS18" s="17">
        <f t="shared" si="28"/>
        <v>173831.07456968923</v>
      </c>
      <c r="CT18" s="17">
        <f t="shared" si="28"/>
        <v>107654.52424276422</v>
      </c>
      <c r="CU18" s="17">
        <f t="shared" si="28"/>
        <v>200254.90039177684</v>
      </c>
      <c r="CV18" s="17">
        <f t="shared" si="28"/>
        <v>201635.44357480356</v>
      </c>
      <c r="CW18" s="17">
        <f t="shared" si="28"/>
        <v>201891.31615580097</v>
      </c>
      <c r="CX18" s="17">
        <f t="shared" si="28"/>
        <v>201891.31615580097</v>
      </c>
      <c r="CY18" s="17">
        <f t="shared" si="28"/>
        <v>201891.31615580097</v>
      </c>
      <c r="CZ18" s="17">
        <f t="shared" si="28"/>
        <v>201891.31615580097</v>
      </c>
      <c r="DA18" s="17">
        <f t="shared" si="28"/>
        <v>201891.31615580097</v>
      </c>
      <c r="DB18" s="17">
        <f t="shared" si="28"/>
        <v>202305.79437816647</v>
      </c>
      <c r="DC18" s="17">
        <f t="shared" si="28"/>
        <v>203226.62959301681</v>
      </c>
      <c r="DD18" s="17">
        <f t="shared" si="28"/>
        <v>203226.62959301681</v>
      </c>
      <c r="DE18" s="17">
        <f t="shared" si="28"/>
        <v>163513.57618211332</v>
      </c>
      <c r="DF18" s="17">
        <f t="shared" si="28"/>
        <v>164636.82627328669</v>
      </c>
      <c r="DG18" s="17">
        <f t="shared" si="28"/>
        <v>164636.82627328669</v>
      </c>
      <c r="DH18" s="17">
        <f t="shared" si="28"/>
        <v>47698.652449408924</v>
      </c>
      <c r="DI18" s="17">
        <f t="shared" si="28"/>
        <v>211734.19075852289</v>
      </c>
      <c r="DJ18" s="17">
        <f t="shared" si="28"/>
        <v>211734.19075852289</v>
      </c>
      <c r="DK18" s="17">
        <f t="shared" si="28"/>
        <v>211734.19075852289</v>
      </c>
      <c r="DL18" s="17">
        <f t="shared" si="28"/>
        <v>211734.19075852289</v>
      </c>
      <c r="DM18" s="17">
        <f t="shared" si="28"/>
        <v>211734.19075852289</v>
      </c>
      <c r="DN18" s="17">
        <f t="shared" si="28"/>
        <v>212156.95854533574</v>
      </c>
      <c r="DO18" s="17">
        <f t="shared" si="28"/>
        <v>212557.66264339219</v>
      </c>
      <c r="DP18" s="17">
        <f t="shared" si="28"/>
        <v>212557.66264339219</v>
      </c>
      <c r="DQ18" s="17">
        <f t="shared" si="28"/>
        <v>212557.66264339219</v>
      </c>
      <c r="DR18" s="17">
        <f t="shared" si="28"/>
        <v>213703.37773638897</v>
      </c>
      <c r="DS18" s="17">
        <f t="shared" si="28"/>
        <v>213703.37773638897</v>
      </c>
      <c r="DT18" s="17">
        <f t="shared" si="28"/>
        <v>117960.28808223916</v>
      </c>
      <c r="DU18" s="17">
        <f t="shared" si="28"/>
        <v>118226.49791550881</v>
      </c>
      <c r="DV18" s="17">
        <f t="shared" si="28"/>
        <v>-198962.7873188412</v>
      </c>
      <c r="DW18" s="17">
        <f t="shared" si="28"/>
        <v>199770.76549847136</v>
      </c>
      <c r="DX18" s="17">
        <f t="shared" si="28"/>
        <v>199770.76549847136</v>
      </c>
      <c r="DY18" s="17">
        <f t="shared" si="28"/>
        <v>199770.76549847136</v>
      </c>
      <c r="DZ18" s="17">
        <f t="shared" si="28"/>
        <v>200201.98864102041</v>
      </c>
      <c r="EA18" s="17">
        <f t="shared" si="28"/>
        <v>200613.01002895524</v>
      </c>
      <c r="EB18" s="17">
        <f t="shared" si="28"/>
        <v>200613.01002895524</v>
      </c>
      <c r="EC18" s="17">
        <f t="shared" si="28"/>
        <v>200613.01002895524</v>
      </c>
      <c r="ED18" s="17">
        <f t="shared" si="28"/>
        <v>201781.63942381204</v>
      </c>
      <c r="EE18" s="17">
        <f t="shared" si="28"/>
        <v>201781.63942381204</v>
      </c>
      <c r="EF18" s="17">
        <f t="shared" si="28"/>
        <v>202449.83958078013</v>
      </c>
      <c r="EG18" s="17">
        <f t="shared" si="28"/>
        <v>202721.37361071521</v>
      </c>
      <c r="EH18" s="17">
        <f t="shared" si="28"/>
        <v>203860.61233305035</v>
      </c>
      <c r="EI18" s="17">
        <f t="shared" ref="EI18:EL18" si="29">+EI15-EI17</f>
        <v>203860.61233305035</v>
      </c>
      <c r="EJ18" s="17">
        <f t="shared" si="29"/>
        <v>203860.61233305035</v>
      </c>
      <c r="EK18" s="17">
        <f t="shared" si="29"/>
        <v>203860.61233305035</v>
      </c>
      <c r="EL18" s="17">
        <f t="shared" si="29"/>
        <v>204300.45993845043</v>
      </c>
      <c r="EM18" s="17"/>
    </row>
    <row r="19" spans="2:146" ht="16.2" x14ac:dyDescent="0.45">
      <c r="B19" s="22" t="s">
        <v>23</v>
      </c>
      <c r="E19" s="75">
        <f>SUMPRODUCT('Rent Roll'!Q7:Q13,'Rent Roll'!D7:D13)/'Rent Roll'!D6/12</f>
        <v>11.675379272527875</v>
      </c>
      <c r="F19" s="74">
        <f>SUMPRODUCT('Rent Roll'!AH7:AH13,'Rent Roll'!D7:D13)/'Rent Roll'!D6</f>
        <v>18.241596475965085</v>
      </c>
      <c r="G19" s="14">
        <f>F19*'Rent Roll'!D6/E19</f>
        <v>213697.07139800049</v>
      </c>
      <c r="J19" s="17"/>
      <c r="K19" s="70">
        <f>'Rent Roll'!APR6</f>
        <v>0</v>
      </c>
      <c r="L19" s="70">
        <f>'Rent Roll'!APS6</f>
        <v>0</v>
      </c>
      <c r="M19" s="70">
        <f>'Rent Roll'!APT6</f>
        <v>0</v>
      </c>
      <c r="N19" s="70">
        <f>'Rent Roll'!APU6</f>
        <v>0</v>
      </c>
      <c r="O19" s="70">
        <f>'Rent Roll'!APV6</f>
        <v>0</v>
      </c>
      <c r="P19" s="70">
        <f>'Rent Roll'!APW6</f>
        <v>0</v>
      </c>
      <c r="Q19" s="70">
        <f>'Rent Roll'!APX6</f>
        <v>0</v>
      </c>
      <c r="R19" s="70">
        <f>'Rent Roll'!APY6</f>
        <v>0</v>
      </c>
      <c r="S19" s="70">
        <f>'Rent Roll'!APZ6</f>
        <v>0</v>
      </c>
      <c r="T19" s="70">
        <f>'Rent Roll'!AQA6</f>
        <v>0</v>
      </c>
      <c r="U19" s="70">
        <f>'Rent Roll'!AQB6</f>
        <v>0</v>
      </c>
      <c r="V19" s="70">
        <f>'Rent Roll'!AQC6</f>
        <v>0</v>
      </c>
      <c r="W19" s="70">
        <f>'Rent Roll'!AQD6</f>
        <v>0</v>
      </c>
      <c r="X19" s="70">
        <f>'Rent Roll'!AQE6</f>
        <v>0</v>
      </c>
      <c r="Y19" s="70">
        <f>'Rent Roll'!AQF6</f>
        <v>0</v>
      </c>
      <c r="Z19" s="70">
        <f>'Rent Roll'!AQG6</f>
        <v>0</v>
      </c>
      <c r="AA19" s="70">
        <f>'Rent Roll'!AQH6</f>
        <v>0</v>
      </c>
      <c r="AB19" s="70">
        <f>'Rent Roll'!AQI6</f>
        <v>0</v>
      </c>
      <c r="AC19" s="70">
        <f>'Rent Roll'!AQJ6</f>
        <v>197801.47200000001</v>
      </c>
      <c r="AD19" s="70">
        <f>'Rent Roll'!AQK6</f>
        <v>0</v>
      </c>
      <c r="AE19" s="70">
        <f>'Rent Roll'!AQL6</f>
        <v>0</v>
      </c>
      <c r="AF19" s="70">
        <f>'Rent Roll'!AQM6</f>
        <v>0</v>
      </c>
      <c r="AG19" s="70">
        <f>'Rent Roll'!AQN6</f>
        <v>0</v>
      </c>
      <c r="AH19" s="70">
        <f>'Rent Roll'!AQO6</f>
        <v>0</v>
      </c>
      <c r="AI19" s="70">
        <f>'Rent Roll'!AQP6</f>
        <v>0</v>
      </c>
      <c r="AJ19" s="70">
        <f>'Rent Roll'!AQQ6</f>
        <v>0</v>
      </c>
      <c r="AK19" s="70">
        <f>'Rent Roll'!AQR6</f>
        <v>0</v>
      </c>
      <c r="AL19" s="70">
        <f>'Rent Roll'!AQS6</f>
        <v>0</v>
      </c>
      <c r="AM19" s="70">
        <f>'Rent Roll'!AQT6</f>
        <v>0</v>
      </c>
      <c r="AN19" s="70">
        <f>'Rent Roll'!AQU6</f>
        <v>0</v>
      </c>
      <c r="AO19" s="70">
        <f>'Rent Roll'!AQV6</f>
        <v>0</v>
      </c>
      <c r="AP19" s="70">
        <f>'Rent Roll'!AQW6</f>
        <v>0</v>
      </c>
      <c r="AQ19" s="70">
        <f>'Rent Roll'!AQX6</f>
        <v>0</v>
      </c>
      <c r="AR19" s="70">
        <f>'Rent Roll'!AQY6</f>
        <v>0</v>
      </c>
      <c r="AS19" s="70">
        <f>'Rent Roll'!AQZ6</f>
        <v>0</v>
      </c>
      <c r="AT19" s="70">
        <f>'Rent Roll'!ARA6</f>
        <v>0</v>
      </c>
      <c r="AU19" s="70">
        <f>'Rent Roll'!ARB6</f>
        <v>0</v>
      </c>
      <c r="AV19" s="70">
        <f>'Rent Roll'!ARC6</f>
        <v>0</v>
      </c>
      <c r="AW19" s="70">
        <f>'Rent Roll'!ARD6</f>
        <v>0</v>
      </c>
      <c r="AX19" s="70">
        <f>'Rent Roll'!ARE6</f>
        <v>330930.17781600001</v>
      </c>
      <c r="AY19" s="70">
        <f>'Rent Roll'!ARF6</f>
        <v>0</v>
      </c>
      <c r="AZ19" s="70">
        <f>'Rent Roll'!ARG6</f>
        <v>0</v>
      </c>
      <c r="BA19" s="70">
        <f>'Rent Roll'!ARH6</f>
        <v>0</v>
      </c>
      <c r="BB19" s="70">
        <f>'Rent Roll'!ARI6</f>
        <v>0</v>
      </c>
      <c r="BC19" s="70">
        <f>'Rent Roll'!ARJ6</f>
        <v>0</v>
      </c>
      <c r="BD19" s="70">
        <f>'Rent Roll'!ARK6</f>
        <v>0</v>
      </c>
      <c r="BE19" s="70">
        <f>'Rent Roll'!ARL6</f>
        <v>0</v>
      </c>
      <c r="BF19" s="70">
        <f>'Rent Roll'!ARM6</f>
        <v>294110.71937663999</v>
      </c>
      <c r="BG19" s="70">
        <f>'Rent Roll'!ARN6</f>
        <v>0</v>
      </c>
      <c r="BH19" s="70">
        <f>'Rent Roll'!ARO6</f>
        <v>0</v>
      </c>
      <c r="BI19" s="70">
        <f>'Rent Roll'!ARP6</f>
        <v>0</v>
      </c>
      <c r="BJ19" s="70">
        <f>'Rent Roll'!ARQ6</f>
        <v>193963.07710208002</v>
      </c>
      <c r="BK19" s="70">
        <f>'Rent Roll'!ARR6</f>
        <v>0</v>
      </c>
      <c r="BL19" s="70">
        <f>'Rent Roll'!ARS6</f>
        <v>0</v>
      </c>
      <c r="BM19" s="70">
        <f>'Rent Roll'!ART6</f>
        <v>0</v>
      </c>
      <c r="BN19" s="70">
        <f>'Rent Roll'!ARU6</f>
        <v>0</v>
      </c>
      <c r="BO19" s="70">
        <f>'Rent Roll'!ARV6</f>
        <v>0</v>
      </c>
      <c r="BP19" s="70">
        <f>'Rent Roll'!ARW6</f>
        <v>0</v>
      </c>
      <c r="BQ19" s="70">
        <f>'Rent Roll'!ARX6</f>
        <v>0</v>
      </c>
      <c r="BR19" s="70">
        <f>'Rent Roll'!ARY6</f>
        <v>0</v>
      </c>
      <c r="BS19" s="70">
        <f>'Rent Roll'!ARZ6</f>
        <v>0</v>
      </c>
      <c r="BT19" s="70">
        <f>'Rent Roll'!ASA6</f>
        <v>0</v>
      </c>
      <c r="BU19" s="70">
        <f>'Rent Roll'!ASB6</f>
        <v>0</v>
      </c>
      <c r="BV19" s="70">
        <f>'Rent Roll'!ASC6</f>
        <v>0</v>
      </c>
      <c r="BW19" s="70">
        <f>'Rent Roll'!ASD6</f>
        <v>0</v>
      </c>
      <c r="BX19" s="70">
        <f>'Rent Roll'!ASE6</f>
        <v>0</v>
      </c>
      <c r="BY19" s="70">
        <f>'Rent Roll'!ASF6</f>
        <v>0</v>
      </c>
      <c r="BZ19" s="70">
        <f>'Rent Roll'!ASG6</f>
        <v>0</v>
      </c>
      <c r="CA19" s="70">
        <f>'Rent Roll'!ASH6</f>
        <v>0</v>
      </c>
      <c r="CB19" s="70">
        <f>'Rent Roll'!ASI6</f>
        <v>0</v>
      </c>
      <c r="CC19" s="70">
        <f>'Rent Roll'!ASJ6</f>
        <v>0</v>
      </c>
      <c r="CD19" s="70">
        <f>'Rent Roll'!ASK6</f>
        <v>0</v>
      </c>
      <c r="CE19" s="70">
        <f>'Rent Roll'!ASL6</f>
        <v>0</v>
      </c>
      <c r="CF19" s="70">
        <f>'Rent Roll'!ASM6</f>
        <v>0</v>
      </c>
      <c r="CG19" s="70">
        <f>'Rent Roll'!ASN6</f>
        <v>0</v>
      </c>
      <c r="CH19" s="70">
        <f>'Rent Roll'!ASO6</f>
        <v>0</v>
      </c>
      <c r="CI19" s="70">
        <f>'Rent Roll'!ASP6</f>
        <v>0</v>
      </c>
      <c r="CJ19" s="70">
        <f>'Rent Roll'!ASQ6</f>
        <v>0</v>
      </c>
      <c r="CK19" s="70">
        <f>'Rent Roll'!ASR6</f>
        <v>0</v>
      </c>
      <c r="CL19" s="70">
        <f>'Rent Roll'!ASS6</f>
        <v>0</v>
      </c>
      <c r="CM19" s="70">
        <f>'Rent Roll'!AST6</f>
        <v>0</v>
      </c>
      <c r="CN19" s="70">
        <f>'Rent Roll'!ASU6</f>
        <v>0</v>
      </c>
      <c r="CO19" s="70">
        <f>'Rent Roll'!ASV6</f>
        <v>0</v>
      </c>
      <c r="CP19" s="70">
        <f>'Rent Roll'!ASW6</f>
        <v>0</v>
      </c>
      <c r="CQ19" s="70">
        <f>'Rent Roll'!ASX6</f>
        <v>0</v>
      </c>
      <c r="CR19" s="70">
        <f>'Rent Roll'!ASY6</f>
        <v>0</v>
      </c>
      <c r="CS19" s="70">
        <f>'Rent Roll'!ASZ6</f>
        <v>0</v>
      </c>
      <c r="CT19" s="70">
        <f>'Rent Roll'!ATA6</f>
        <v>264027.33853411133</v>
      </c>
      <c r="CU19" s="70">
        <f>'Rent Roll'!ATB6</f>
        <v>0</v>
      </c>
      <c r="CV19" s="70">
        <f>'Rent Roll'!ATC6</f>
        <v>0</v>
      </c>
      <c r="CW19" s="70">
        <f>'Rent Roll'!ATD6</f>
        <v>0</v>
      </c>
      <c r="CX19" s="70">
        <f>'Rent Roll'!ATE6</f>
        <v>0</v>
      </c>
      <c r="CY19" s="70">
        <f>'Rent Roll'!ATF6</f>
        <v>0</v>
      </c>
      <c r="CZ19" s="70">
        <f>'Rent Roll'!ATG6</f>
        <v>0</v>
      </c>
      <c r="DA19" s="70">
        <f>'Rent Roll'!ATH6</f>
        <v>0</v>
      </c>
      <c r="DB19" s="70">
        <f>'Rent Roll'!ATI6</f>
        <v>0</v>
      </c>
      <c r="DC19" s="70">
        <f>'Rent Roll'!ATJ6</f>
        <v>0</v>
      </c>
      <c r="DD19" s="70">
        <f>'Rent Roll'!ATK6</f>
        <v>0</v>
      </c>
      <c r="DE19" s="70">
        <f>'Rent Roll'!ATL6</f>
        <v>0</v>
      </c>
      <c r="DF19" s="70">
        <f>'Rent Roll'!ATM6</f>
        <v>0</v>
      </c>
      <c r="DG19" s="70">
        <f>'Rent Roll'!ATN6</f>
        <v>0</v>
      </c>
      <c r="DH19" s="70">
        <f>'Rent Roll'!ATO6</f>
        <v>460697.09344884701</v>
      </c>
      <c r="DI19" s="70">
        <f>'Rent Roll'!ATP6</f>
        <v>0</v>
      </c>
      <c r="DJ19" s="70">
        <f>'Rent Roll'!ATQ6</f>
        <v>0</v>
      </c>
      <c r="DK19" s="70">
        <f>'Rent Roll'!ATR6</f>
        <v>0</v>
      </c>
      <c r="DL19" s="70">
        <f>'Rent Roll'!ATS6</f>
        <v>0</v>
      </c>
      <c r="DM19" s="70">
        <f>'Rent Roll'!ATT6</f>
        <v>0</v>
      </c>
      <c r="DN19" s="70">
        <f>'Rent Roll'!ATU6</f>
        <v>0</v>
      </c>
      <c r="DO19" s="70">
        <f>'Rent Roll'!ATV6</f>
        <v>0</v>
      </c>
      <c r="DP19" s="70">
        <f>'Rent Roll'!ATW6</f>
        <v>0</v>
      </c>
      <c r="DQ19" s="70">
        <f>'Rent Roll'!ATX6</f>
        <v>0</v>
      </c>
      <c r="DR19" s="70">
        <f>'Rent Roll'!ATY6</f>
        <v>0</v>
      </c>
      <c r="DS19" s="70">
        <f>'Rent Roll'!ATZ6</f>
        <v>0</v>
      </c>
      <c r="DT19" s="70">
        <f>'Rent Roll'!AUA6</f>
        <v>0</v>
      </c>
      <c r="DU19" s="70">
        <f>'Rent Roll'!AUB6</f>
        <v>0</v>
      </c>
      <c r="DV19" s="70">
        <f>'Rent Roll'!AUC6</f>
        <v>753464.47972244595</v>
      </c>
      <c r="DW19" s="70">
        <f>'Rent Roll'!AUD6</f>
        <v>0</v>
      </c>
      <c r="DX19" s="70">
        <f>'Rent Roll'!AUE6</f>
        <v>0</v>
      </c>
      <c r="DY19" s="70">
        <f>'Rent Roll'!AUF6</f>
        <v>0</v>
      </c>
      <c r="DZ19" s="70">
        <f>'Rent Roll'!AUG6</f>
        <v>0</v>
      </c>
      <c r="EA19" s="70">
        <f>'Rent Roll'!AUH6</f>
        <v>0</v>
      </c>
      <c r="EB19" s="70">
        <f>'Rent Roll'!AUI6</f>
        <v>0</v>
      </c>
      <c r="EC19" s="70">
        <f>'Rent Roll'!AUJ6</f>
        <v>0</v>
      </c>
      <c r="ED19" s="70">
        <f>'Rent Roll'!AUK6</f>
        <v>0</v>
      </c>
      <c r="EE19" s="70">
        <f>'Rent Roll'!AUL6</f>
        <v>0</v>
      </c>
      <c r="EF19" s="70">
        <f>'Rent Roll'!AUM6</f>
        <v>0</v>
      </c>
      <c r="EG19" s="70">
        <f>'Rent Roll'!AUN6</f>
        <v>0</v>
      </c>
      <c r="EH19" s="70">
        <f>'Rent Roll'!AUO6</f>
        <v>0</v>
      </c>
      <c r="EI19" s="70">
        <f>'Rent Roll'!AUP6</f>
        <v>0</v>
      </c>
      <c r="EJ19" s="70">
        <f>'Rent Roll'!AUQ6</f>
        <v>0</v>
      </c>
      <c r="EK19" s="70">
        <f>'Rent Roll'!AUR6</f>
        <v>0</v>
      </c>
      <c r="EL19" s="70">
        <f>'Rent Roll'!AUS6</f>
        <v>0</v>
      </c>
      <c r="EM19" s="17"/>
    </row>
    <row r="20" spans="2:146" x14ac:dyDescent="0.3">
      <c r="B20" t="s">
        <v>24</v>
      </c>
      <c r="G20" s="12">
        <f>+G18-G19</f>
        <v>1681642.8820107614</v>
      </c>
      <c r="J20" s="17"/>
      <c r="K20" s="17">
        <f>K18-K19</f>
        <v>165150.19186666666</v>
      </c>
      <c r="L20" s="17">
        <f t="shared" ref="L20:BW20" si="30">L18-L19</f>
        <v>165150.19186666666</v>
      </c>
      <c r="M20" s="17">
        <f t="shared" si="30"/>
        <v>165150.19186666666</v>
      </c>
      <c r="N20" s="17">
        <f t="shared" si="30"/>
        <v>165381.80223466665</v>
      </c>
      <c r="O20" s="17">
        <f t="shared" si="30"/>
        <v>165381.80223466665</v>
      </c>
      <c r="P20" s="17">
        <f t="shared" si="30"/>
        <v>166583.64815466668</v>
      </c>
      <c r="Q20" s="17">
        <f t="shared" si="30"/>
        <v>166583.64815466668</v>
      </c>
      <c r="R20" s="17">
        <f t="shared" si="30"/>
        <v>166583.64815466668</v>
      </c>
      <c r="S20" s="17">
        <f t="shared" si="30"/>
        <v>166846.10217066668</v>
      </c>
      <c r="T20" s="17">
        <f t="shared" si="30"/>
        <v>166846.10217066668</v>
      </c>
      <c r="U20" s="17">
        <f t="shared" si="30"/>
        <v>166846.10217066668</v>
      </c>
      <c r="V20" s="17">
        <f t="shared" si="30"/>
        <v>166846.10217066668</v>
      </c>
      <c r="W20" s="17">
        <f t="shared" si="30"/>
        <v>168528.80970400001</v>
      </c>
      <c r="X20" s="17">
        <f t="shared" si="30"/>
        <v>168528.80970400001</v>
      </c>
      <c r="Y20" s="17">
        <f t="shared" si="30"/>
        <v>168528.80970400001</v>
      </c>
      <c r="Z20" s="17">
        <f t="shared" si="30"/>
        <v>152673.42810398247</v>
      </c>
      <c r="AA20" s="17">
        <f t="shared" si="30"/>
        <v>152673.42810398247</v>
      </c>
      <c r="AB20" s="17">
        <f t="shared" si="30"/>
        <v>153899.31094238249</v>
      </c>
      <c r="AC20" s="17">
        <f t="shared" si="30"/>
        <v>-51446.492225599999</v>
      </c>
      <c r="AD20" s="17">
        <f t="shared" si="30"/>
        <v>169530.14777440001</v>
      </c>
      <c r="AE20" s="17">
        <f t="shared" si="30"/>
        <v>169797.85087072005</v>
      </c>
      <c r="AF20" s="17">
        <f t="shared" si="30"/>
        <v>169797.85087072005</v>
      </c>
      <c r="AG20" s="17">
        <f t="shared" si="30"/>
        <v>169797.85087072005</v>
      </c>
      <c r="AH20" s="17">
        <f t="shared" si="30"/>
        <v>169797.85087072005</v>
      </c>
      <c r="AI20" s="17">
        <f t="shared" si="30"/>
        <v>171516.10290472</v>
      </c>
      <c r="AJ20" s="17">
        <f t="shared" si="30"/>
        <v>171516.10290472</v>
      </c>
      <c r="AK20" s="17">
        <f t="shared" si="30"/>
        <v>171516.10290472</v>
      </c>
      <c r="AL20" s="17">
        <f t="shared" si="30"/>
        <v>171516.10290472</v>
      </c>
      <c r="AM20" s="17">
        <f t="shared" si="30"/>
        <v>171516.10290472</v>
      </c>
      <c r="AN20" s="17">
        <f t="shared" si="30"/>
        <v>172766.50339988805</v>
      </c>
      <c r="AO20" s="17">
        <f t="shared" si="30"/>
        <v>172998.25507988804</v>
      </c>
      <c r="AP20" s="17">
        <f t="shared" si="30"/>
        <v>172998.25507988804</v>
      </c>
      <c r="AQ20" s="17">
        <f t="shared" si="30"/>
        <v>173271.31223813444</v>
      </c>
      <c r="AR20" s="17">
        <f t="shared" si="30"/>
        <v>173271.31223813444</v>
      </c>
      <c r="AS20" s="17">
        <f t="shared" si="30"/>
        <v>173271.31223813444</v>
      </c>
      <c r="AT20" s="17">
        <f t="shared" si="30"/>
        <v>173271.31223813444</v>
      </c>
      <c r="AU20" s="17">
        <f t="shared" si="30"/>
        <v>149718.23462583075</v>
      </c>
      <c r="AV20" s="17">
        <f t="shared" si="30"/>
        <v>149718.23462583075</v>
      </c>
      <c r="AW20" s="17">
        <f t="shared" si="30"/>
        <v>149718.23462583075</v>
      </c>
      <c r="AX20" s="17">
        <f t="shared" si="30"/>
        <v>-260603.6440025956</v>
      </c>
      <c r="AY20" s="17">
        <f t="shared" si="30"/>
        <v>180193.39805340441</v>
      </c>
      <c r="AZ20" s="17">
        <f t="shared" si="30"/>
        <v>181468.80655847574</v>
      </c>
      <c r="BA20" s="17">
        <f t="shared" si="30"/>
        <v>181705.1932720757</v>
      </c>
      <c r="BB20" s="17">
        <f t="shared" si="30"/>
        <v>181705.1932720757</v>
      </c>
      <c r="BC20" s="17">
        <f t="shared" si="30"/>
        <v>160223.40112843615</v>
      </c>
      <c r="BD20" s="17">
        <f t="shared" si="30"/>
        <v>160223.40112843615</v>
      </c>
      <c r="BE20" s="17">
        <f t="shared" si="30"/>
        <v>160223.40112843615</v>
      </c>
      <c r="BF20" s="17">
        <f t="shared" si="30"/>
        <v>-204445.85839881067</v>
      </c>
      <c r="BG20" s="17">
        <f t="shared" si="30"/>
        <v>167500.40078372404</v>
      </c>
      <c r="BH20" s="17">
        <f t="shared" si="30"/>
        <v>167500.40078372404</v>
      </c>
      <c r="BI20" s="17">
        <f t="shared" si="30"/>
        <v>167500.40078372404</v>
      </c>
      <c r="BJ20" s="17">
        <f t="shared" si="30"/>
        <v>-73204.562487066534</v>
      </c>
      <c r="BK20" s="17">
        <f t="shared" si="30"/>
        <v>186050.82250621356</v>
      </c>
      <c r="BL20" s="17">
        <f t="shared" si="30"/>
        <v>187351.73918138631</v>
      </c>
      <c r="BM20" s="17">
        <f t="shared" si="30"/>
        <v>187592.85362925829</v>
      </c>
      <c r="BN20" s="17">
        <f t="shared" si="30"/>
        <v>187592.85362925829</v>
      </c>
      <c r="BO20" s="17">
        <f t="shared" si="30"/>
        <v>187592.85362925829</v>
      </c>
      <c r="BP20" s="17">
        <f t="shared" si="30"/>
        <v>187592.85362925829</v>
      </c>
      <c r="BQ20" s="17">
        <f t="shared" si="30"/>
        <v>187592.85362925829</v>
      </c>
      <c r="BR20" s="17">
        <f t="shared" si="30"/>
        <v>187983.42571537674</v>
      </c>
      <c r="BS20" s="17">
        <f t="shared" si="30"/>
        <v>189145.87662658546</v>
      </c>
      <c r="BT20" s="17">
        <f t="shared" si="30"/>
        <v>189145.87662658546</v>
      </c>
      <c r="BU20" s="17">
        <f t="shared" si="30"/>
        <v>189145.87662658546</v>
      </c>
      <c r="BV20" s="17">
        <f t="shared" si="30"/>
        <v>189855.3026642495</v>
      </c>
      <c r="BW20" s="17">
        <f t="shared" si="30"/>
        <v>189855.3026642495</v>
      </c>
      <c r="BX20" s="17">
        <f t="shared" ref="BX20:EI20" si="31">BX18-BX19</f>
        <v>191182.23767292575</v>
      </c>
      <c r="BY20" s="17">
        <f t="shared" si="31"/>
        <v>191428.17440975519</v>
      </c>
      <c r="BZ20" s="17">
        <f t="shared" si="31"/>
        <v>191428.17440975519</v>
      </c>
      <c r="CA20" s="17">
        <f t="shared" si="31"/>
        <v>191428.17440975519</v>
      </c>
      <c r="CB20" s="17">
        <f t="shared" si="31"/>
        <v>191428.17440975519</v>
      </c>
      <c r="CC20" s="17">
        <f t="shared" si="31"/>
        <v>191428.17440975519</v>
      </c>
      <c r="CD20" s="17">
        <f t="shared" si="31"/>
        <v>191826.55793759594</v>
      </c>
      <c r="CE20" s="17">
        <f t="shared" si="31"/>
        <v>193014.34445972671</v>
      </c>
      <c r="CF20" s="17">
        <f t="shared" si="31"/>
        <v>193014.34445972671</v>
      </c>
      <c r="CG20" s="17">
        <f t="shared" si="31"/>
        <v>193014.34445972671</v>
      </c>
      <c r="CH20" s="17">
        <f t="shared" si="31"/>
        <v>193737.959018144</v>
      </c>
      <c r="CI20" s="17">
        <f t="shared" si="31"/>
        <v>193737.959018144</v>
      </c>
      <c r="CJ20" s="17">
        <f t="shared" si="31"/>
        <v>195091.43272699375</v>
      </c>
      <c r="CK20" s="17">
        <f t="shared" si="31"/>
        <v>195342.28819855978</v>
      </c>
      <c r="CL20" s="17">
        <f t="shared" si="31"/>
        <v>195342.28819855978</v>
      </c>
      <c r="CM20" s="17">
        <f t="shared" si="31"/>
        <v>195342.28819855978</v>
      </c>
      <c r="CN20" s="17">
        <f t="shared" si="31"/>
        <v>195342.28819855978</v>
      </c>
      <c r="CO20" s="17">
        <f t="shared" si="31"/>
        <v>195342.28819855978</v>
      </c>
      <c r="CP20" s="17">
        <f t="shared" si="31"/>
        <v>195748.63939695735</v>
      </c>
      <c r="CQ20" s="17">
        <f t="shared" si="31"/>
        <v>173831.07456968923</v>
      </c>
      <c r="CR20" s="17">
        <f t="shared" si="31"/>
        <v>173831.07456968923</v>
      </c>
      <c r="CS20" s="17">
        <f t="shared" si="31"/>
        <v>173831.07456968923</v>
      </c>
      <c r="CT20" s="17">
        <f t="shared" si="31"/>
        <v>-156372.81429134711</v>
      </c>
      <c r="CU20" s="17">
        <f t="shared" si="31"/>
        <v>200254.90039177684</v>
      </c>
      <c r="CV20" s="17">
        <f t="shared" si="31"/>
        <v>201635.44357480356</v>
      </c>
      <c r="CW20" s="17">
        <f t="shared" si="31"/>
        <v>201891.31615580097</v>
      </c>
      <c r="CX20" s="17">
        <f t="shared" si="31"/>
        <v>201891.31615580097</v>
      </c>
      <c r="CY20" s="17">
        <f t="shared" si="31"/>
        <v>201891.31615580097</v>
      </c>
      <c r="CZ20" s="17">
        <f t="shared" si="31"/>
        <v>201891.31615580097</v>
      </c>
      <c r="DA20" s="17">
        <f t="shared" si="31"/>
        <v>201891.31615580097</v>
      </c>
      <c r="DB20" s="17">
        <f t="shared" si="31"/>
        <v>202305.79437816647</v>
      </c>
      <c r="DC20" s="17">
        <f t="shared" si="31"/>
        <v>203226.62959301681</v>
      </c>
      <c r="DD20" s="17">
        <f t="shared" si="31"/>
        <v>203226.62959301681</v>
      </c>
      <c r="DE20" s="17">
        <f t="shared" si="31"/>
        <v>163513.57618211332</v>
      </c>
      <c r="DF20" s="17">
        <f t="shared" si="31"/>
        <v>164636.82627328669</v>
      </c>
      <c r="DG20" s="17">
        <f t="shared" si="31"/>
        <v>164636.82627328669</v>
      </c>
      <c r="DH20" s="17">
        <f t="shared" si="31"/>
        <v>-412998.44099943805</v>
      </c>
      <c r="DI20" s="17">
        <f t="shared" si="31"/>
        <v>211734.19075852289</v>
      </c>
      <c r="DJ20" s="17">
        <f t="shared" si="31"/>
        <v>211734.19075852289</v>
      </c>
      <c r="DK20" s="17">
        <f t="shared" si="31"/>
        <v>211734.19075852289</v>
      </c>
      <c r="DL20" s="17">
        <f t="shared" si="31"/>
        <v>211734.19075852289</v>
      </c>
      <c r="DM20" s="17">
        <f t="shared" si="31"/>
        <v>211734.19075852289</v>
      </c>
      <c r="DN20" s="17">
        <f t="shared" si="31"/>
        <v>212156.95854533574</v>
      </c>
      <c r="DO20" s="17">
        <f t="shared" si="31"/>
        <v>212557.66264339219</v>
      </c>
      <c r="DP20" s="17">
        <f t="shared" si="31"/>
        <v>212557.66264339219</v>
      </c>
      <c r="DQ20" s="17">
        <f t="shared" si="31"/>
        <v>212557.66264339219</v>
      </c>
      <c r="DR20" s="17">
        <f t="shared" si="31"/>
        <v>213703.37773638897</v>
      </c>
      <c r="DS20" s="17">
        <f t="shared" si="31"/>
        <v>213703.37773638897</v>
      </c>
      <c r="DT20" s="17">
        <f t="shared" si="31"/>
        <v>117960.28808223916</v>
      </c>
      <c r="DU20" s="17">
        <f t="shared" si="31"/>
        <v>118226.49791550881</v>
      </c>
      <c r="DV20" s="17">
        <f t="shared" si="31"/>
        <v>-952427.26704128715</v>
      </c>
      <c r="DW20" s="17">
        <f t="shared" si="31"/>
        <v>199770.76549847136</v>
      </c>
      <c r="DX20" s="17">
        <f t="shared" si="31"/>
        <v>199770.76549847136</v>
      </c>
      <c r="DY20" s="17">
        <f t="shared" si="31"/>
        <v>199770.76549847136</v>
      </c>
      <c r="DZ20" s="17">
        <f t="shared" si="31"/>
        <v>200201.98864102041</v>
      </c>
      <c r="EA20" s="17">
        <f t="shared" si="31"/>
        <v>200613.01002895524</v>
      </c>
      <c r="EB20" s="17">
        <f t="shared" si="31"/>
        <v>200613.01002895524</v>
      </c>
      <c r="EC20" s="17">
        <f t="shared" si="31"/>
        <v>200613.01002895524</v>
      </c>
      <c r="ED20" s="17">
        <f t="shared" si="31"/>
        <v>201781.63942381204</v>
      </c>
      <c r="EE20" s="17">
        <f t="shared" si="31"/>
        <v>201781.63942381204</v>
      </c>
      <c r="EF20" s="17">
        <f t="shared" si="31"/>
        <v>202449.83958078013</v>
      </c>
      <c r="EG20" s="17">
        <f t="shared" si="31"/>
        <v>202721.37361071521</v>
      </c>
      <c r="EH20" s="17">
        <f t="shared" si="31"/>
        <v>203860.61233305035</v>
      </c>
      <c r="EI20" s="17">
        <f t="shared" si="31"/>
        <v>203860.61233305035</v>
      </c>
      <c r="EJ20" s="17">
        <f t="shared" ref="EJ20:EL20" si="32">EJ18-EJ19</f>
        <v>203860.61233305035</v>
      </c>
      <c r="EK20" s="17">
        <f t="shared" si="32"/>
        <v>203860.61233305035</v>
      </c>
      <c r="EL20" s="17">
        <f t="shared" si="32"/>
        <v>204300.45993845043</v>
      </c>
      <c r="EM20" s="17"/>
    </row>
    <row r="21" spans="2:146" x14ac:dyDescent="0.3"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</row>
    <row r="22" spans="2:146" x14ac:dyDescent="0.3">
      <c r="B22" t="s">
        <v>13</v>
      </c>
      <c r="G22" s="12">
        <f>SUM(EA18:EL18)/D6</f>
        <v>42266372.719941512</v>
      </c>
      <c r="J22" s="17"/>
      <c r="K22" s="17">
        <f>(K7=120)*$G$22</f>
        <v>0</v>
      </c>
      <c r="L22" s="17">
        <f t="shared" ref="L22:BW22" si="33">(L7=120)*$G$22</f>
        <v>0</v>
      </c>
      <c r="M22" s="17">
        <f t="shared" si="33"/>
        <v>0</v>
      </c>
      <c r="N22" s="17">
        <f t="shared" si="33"/>
        <v>0</v>
      </c>
      <c r="O22" s="17">
        <f t="shared" si="33"/>
        <v>0</v>
      </c>
      <c r="P22" s="17">
        <f t="shared" si="33"/>
        <v>0</v>
      </c>
      <c r="Q22" s="17">
        <f t="shared" si="33"/>
        <v>0</v>
      </c>
      <c r="R22" s="17">
        <f t="shared" si="33"/>
        <v>0</v>
      </c>
      <c r="S22" s="17">
        <f t="shared" si="33"/>
        <v>0</v>
      </c>
      <c r="T22" s="17">
        <f t="shared" si="33"/>
        <v>0</v>
      </c>
      <c r="U22" s="17">
        <f t="shared" si="33"/>
        <v>0</v>
      </c>
      <c r="V22" s="17">
        <f t="shared" si="33"/>
        <v>0</v>
      </c>
      <c r="W22" s="17">
        <f t="shared" si="33"/>
        <v>0</v>
      </c>
      <c r="X22" s="17">
        <f t="shared" si="33"/>
        <v>0</v>
      </c>
      <c r="Y22" s="17">
        <f t="shared" si="33"/>
        <v>0</v>
      </c>
      <c r="Z22" s="17">
        <f t="shared" si="33"/>
        <v>0</v>
      </c>
      <c r="AA22" s="17">
        <f t="shared" si="33"/>
        <v>0</v>
      </c>
      <c r="AB22" s="17">
        <f t="shared" si="33"/>
        <v>0</v>
      </c>
      <c r="AC22" s="17">
        <f t="shared" si="33"/>
        <v>0</v>
      </c>
      <c r="AD22" s="17">
        <f t="shared" si="33"/>
        <v>0</v>
      </c>
      <c r="AE22" s="17">
        <f t="shared" si="33"/>
        <v>0</v>
      </c>
      <c r="AF22" s="17">
        <f t="shared" si="33"/>
        <v>0</v>
      </c>
      <c r="AG22" s="17">
        <f t="shared" si="33"/>
        <v>0</v>
      </c>
      <c r="AH22" s="17">
        <f t="shared" si="33"/>
        <v>0</v>
      </c>
      <c r="AI22" s="17">
        <f t="shared" si="33"/>
        <v>0</v>
      </c>
      <c r="AJ22" s="17">
        <f t="shared" si="33"/>
        <v>0</v>
      </c>
      <c r="AK22" s="17">
        <f t="shared" si="33"/>
        <v>0</v>
      </c>
      <c r="AL22" s="17">
        <f t="shared" si="33"/>
        <v>0</v>
      </c>
      <c r="AM22" s="17">
        <f t="shared" si="33"/>
        <v>0</v>
      </c>
      <c r="AN22" s="17">
        <f t="shared" si="33"/>
        <v>0</v>
      </c>
      <c r="AO22" s="17">
        <f t="shared" si="33"/>
        <v>0</v>
      </c>
      <c r="AP22" s="17">
        <f t="shared" si="33"/>
        <v>0</v>
      </c>
      <c r="AQ22" s="17">
        <f t="shared" si="33"/>
        <v>0</v>
      </c>
      <c r="AR22" s="17">
        <f t="shared" si="33"/>
        <v>0</v>
      </c>
      <c r="AS22" s="17">
        <f t="shared" si="33"/>
        <v>0</v>
      </c>
      <c r="AT22" s="17">
        <f t="shared" si="33"/>
        <v>0</v>
      </c>
      <c r="AU22" s="17">
        <f t="shared" si="33"/>
        <v>0</v>
      </c>
      <c r="AV22" s="17">
        <f t="shared" si="33"/>
        <v>0</v>
      </c>
      <c r="AW22" s="17">
        <f t="shared" si="33"/>
        <v>0</v>
      </c>
      <c r="AX22" s="17">
        <f t="shared" si="33"/>
        <v>0</v>
      </c>
      <c r="AY22" s="17">
        <f t="shared" si="33"/>
        <v>0</v>
      </c>
      <c r="AZ22" s="17">
        <f t="shared" si="33"/>
        <v>0</v>
      </c>
      <c r="BA22" s="17">
        <f t="shared" si="33"/>
        <v>0</v>
      </c>
      <c r="BB22" s="17">
        <f t="shared" si="33"/>
        <v>0</v>
      </c>
      <c r="BC22" s="17">
        <f t="shared" si="33"/>
        <v>0</v>
      </c>
      <c r="BD22" s="17">
        <f t="shared" si="33"/>
        <v>0</v>
      </c>
      <c r="BE22" s="17">
        <f t="shared" si="33"/>
        <v>0</v>
      </c>
      <c r="BF22" s="17">
        <f t="shared" si="33"/>
        <v>0</v>
      </c>
      <c r="BG22" s="17">
        <f t="shared" si="33"/>
        <v>0</v>
      </c>
      <c r="BH22" s="17">
        <f t="shared" si="33"/>
        <v>0</v>
      </c>
      <c r="BI22" s="17">
        <f t="shared" si="33"/>
        <v>0</v>
      </c>
      <c r="BJ22" s="17">
        <f t="shared" si="33"/>
        <v>0</v>
      </c>
      <c r="BK22" s="17">
        <f t="shared" si="33"/>
        <v>0</v>
      </c>
      <c r="BL22" s="17">
        <f t="shared" si="33"/>
        <v>0</v>
      </c>
      <c r="BM22" s="17">
        <f t="shared" si="33"/>
        <v>0</v>
      </c>
      <c r="BN22" s="17">
        <f t="shared" si="33"/>
        <v>0</v>
      </c>
      <c r="BO22" s="17">
        <f t="shared" si="33"/>
        <v>0</v>
      </c>
      <c r="BP22" s="17">
        <f t="shared" si="33"/>
        <v>0</v>
      </c>
      <c r="BQ22" s="17">
        <f t="shared" si="33"/>
        <v>0</v>
      </c>
      <c r="BR22" s="17">
        <f t="shared" si="33"/>
        <v>0</v>
      </c>
      <c r="BS22" s="17">
        <f t="shared" si="33"/>
        <v>0</v>
      </c>
      <c r="BT22" s="17">
        <f t="shared" si="33"/>
        <v>0</v>
      </c>
      <c r="BU22" s="17">
        <f t="shared" si="33"/>
        <v>0</v>
      </c>
      <c r="BV22" s="17">
        <f t="shared" si="33"/>
        <v>0</v>
      </c>
      <c r="BW22" s="17">
        <f t="shared" si="33"/>
        <v>0</v>
      </c>
      <c r="BX22" s="17">
        <f t="shared" ref="BX22:EI22" si="34">(BX7=120)*$G$22</f>
        <v>0</v>
      </c>
      <c r="BY22" s="17">
        <f t="shared" si="34"/>
        <v>0</v>
      </c>
      <c r="BZ22" s="17">
        <f t="shared" si="34"/>
        <v>0</v>
      </c>
      <c r="CA22" s="17">
        <f t="shared" si="34"/>
        <v>0</v>
      </c>
      <c r="CB22" s="17">
        <f t="shared" si="34"/>
        <v>0</v>
      </c>
      <c r="CC22" s="17">
        <f t="shared" si="34"/>
        <v>0</v>
      </c>
      <c r="CD22" s="17">
        <f t="shared" si="34"/>
        <v>0</v>
      </c>
      <c r="CE22" s="17">
        <f t="shared" si="34"/>
        <v>0</v>
      </c>
      <c r="CF22" s="17">
        <f t="shared" si="34"/>
        <v>0</v>
      </c>
      <c r="CG22" s="17">
        <f t="shared" si="34"/>
        <v>0</v>
      </c>
      <c r="CH22" s="17">
        <f t="shared" si="34"/>
        <v>0</v>
      </c>
      <c r="CI22" s="17">
        <f t="shared" si="34"/>
        <v>0</v>
      </c>
      <c r="CJ22" s="17">
        <f t="shared" si="34"/>
        <v>0</v>
      </c>
      <c r="CK22" s="17">
        <f t="shared" si="34"/>
        <v>0</v>
      </c>
      <c r="CL22" s="17">
        <f t="shared" si="34"/>
        <v>0</v>
      </c>
      <c r="CM22" s="17">
        <f t="shared" si="34"/>
        <v>0</v>
      </c>
      <c r="CN22" s="17">
        <f t="shared" si="34"/>
        <v>0</v>
      </c>
      <c r="CO22" s="17">
        <f t="shared" si="34"/>
        <v>0</v>
      </c>
      <c r="CP22" s="17">
        <f t="shared" si="34"/>
        <v>0</v>
      </c>
      <c r="CQ22" s="17">
        <f t="shared" si="34"/>
        <v>0</v>
      </c>
      <c r="CR22" s="17">
        <f t="shared" si="34"/>
        <v>0</v>
      </c>
      <c r="CS22" s="17">
        <f t="shared" si="34"/>
        <v>0</v>
      </c>
      <c r="CT22" s="17">
        <f t="shared" si="34"/>
        <v>0</v>
      </c>
      <c r="CU22" s="17">
        <f t="shared" si="34"/>
        <v>0</v>
      </c>
      <c r="CV22" s="17">
        <f t="shared" si="34"/>
        <v>0</v>
      </c>
      <c r="CW22" s="17">
        <f t="shared" si="34"/>
        <v>0</v>
      </c>
      <c r="CX22" s="17">
        <f t="shared" si="34"/>
        <v>0</v>
      </c>
      <c r="CY22" s="17">
        <f t="shared" si="34"/>
        <v>0</v>
      </c>
      <c r="CZ22" s="17">
        <f t="shared" si="34"/>
        <v>0</v>
      </c>
      <c r="DA22" s="17">
        <f t="shared" si="34"/>
        <v>0</v>
      </c>
      <c r="DB22" s="17">
        <f t="shared" si="34"/>
        <v>0</v>
      </c>
      <c r="DC22" s="17">
        <f t="shared" si="34"/>
        <v>0</v>
      </c>
      <c r="DD22" s="17">
        <f t="shared" si="34"/>
        <v>0</v>
      </c>
      <c r="DE22" s="17">
        <f t="shared" si="34"/>
        <v>0</v>
      </c>
      <c r="DF22" s="17">
        <f t="shared" si="34"/>
        <v>0</v>
      </c>
      <c r="DG22" s="17">
        <f t="shared" si="34"/>
        <v>0</v>
      </c>
      <c r="DH22" s="17">
        <f t="shared" si="34"/>
        <v>0</v>
      </c>
      <c r="DI22" s="17">
        <f t="shared" si="34"/>
        <v>0</v>
      </c>
      <c r="DJ22" s="17">
        <f t="shared" si="34"/>
        <v>0</v>
      </c>
      <c r="DK22" s="17">
        <f t="shared" si="34"/>
        <v>0</v>
      </c>
      <c r="DL22" s="17">
        <f t="shared" si="34"/>
        <v>0</v>
      </c>
      <c r="DM22" s="17">
        <f t="shared" si="34"/>
        <v>0</v>
      </c>
      <c r="DN22" s="17">
        <f t="shared" si="34"/>
        <v>0</v>
      </c>
      <c r="DO22" s="17">
        <f t="shared" si="34"/>
        <v>0</v>
      </c>
      <c r="DP22" s="17">
        <f t="shared" si="34"/>
        <v>0</v>
      </c>
      <c r="DQ22" s="17">
        <f t="shared" si="34"/>
        <v>0</v>
      </c>
      <c r="DR22" s="17">
        <f t="shared" si="34"/>
        <v>0</v>
      </c>
      <c r="DS22" s="17">
        <f t="shared" si="34"/>
        <v>0</v>
      </c>
      <c r="DT22" s="17">
        <f t="shared" si="34"/>
        <v>0</v>
      </c>
      <c r="DU22" s="17">
        <f t="shared" si="34"/>
        <v>0</v>
      </c>
      <c r="DV22" s="17">
        <f t="shared" si="34"/>
        <v>0</v>
      </c>
      <c r="DW22" s="17">
        <f t="shared" si="34"/>
        <v>0</v>
      </c>
      <c r="DX22" s="17">
        <f t="shared" si="34"/>
        <v>0</v>
      </c>
      <c r="DY22" s="17">
        <f t="shared" si="34"/>
        <v>0</v>
      </c>
      <c r="DZ22" s="17">
        <f t="shared" si="34"/>
        <v>42266372.719941512</v>
      </c>
      <c r="EA22" s="17">
        <f t="shared" si="34"/>
        <v>0</v>
      </c>
      <c r="EB22" s="17">
        <f t="shared" si="34"/>
        <v>0</v>
      </c>
      <c r="EC22" s="17">
        <f t="shared" si="34"/>
        <v>0</v>
      </c>
      <c r="ED22" s="17">
        <f t="shared" si="34"/>
        <v>0</v>
      </c>
      <c r="EE22" s="17">
        <f t="shared" si="34"/>
        <v>0</v>
      </c>
      <c r="EF22" s="17">
        <f t="shared" si="34"/>
        <v>0</v>
      </c>
      <c r="EG22" s="17">
        <f t="shared" si="34"/>
        <v>0</v>
      </c>
      <c r="EH22" s="17">
        <f t="shared" si="34"/>
        <v>0</v>
      </c>
      <c r="EI22" s="17">
        <f t="shared" si="34"/>
        <v>0</v>
      </c>
      <c r="EJ22" s="17">
        <f t="shared" ref="EJ22:EL22" si="35">(EJ7=120)*$G$22</f>
        <v>0</v>
      </c>
      <c r="EK22" s="17">
        <f t="shared" si="35"/>
        <v>0</v>
      </c>
      <c r="EL22" s="17">
        <f t="shared" si="35"/>
        <v>0</v>
      </c>
      <c r="EM22" s="17"/>
    </row>
    <row r="23" spans="2:146" x14ac:dyDescent="0.3">
      <c r="B23" t="s">
        <v>19</v>
      </c>
      <c r="G23" s="17"/>
      <c r="I23"/>
      <c r="J23" s="17">
        <f>+J22+J20</f>
        <v>0</v>
      </c>
      <c r="K23" s="23">
        <f>(K7&lt;=120)*(K22+K20)</f>
        <v>165150.19186666666</v>
      </c>
      <c r="L23" s="23">
        <f t="shared" ref="L23:BW23" si="36">(L7&lt;=120)*(L22+L20)</f>
        <v>165150.19186666666</v>
      </c>
      <c r="M23" s="23">
        <f t="shared" si="36"/>
        <v>165150.19186666666</v>
      </c>
      <c r="N23" s="23">
        <f t="shared" si="36"/>
        <v>165381.80223466665</v>
      </c>
      <c r="O23" s="23">
        <f t="shared" si="36"/>
        <v>165381.80223466665</v>
      </c>
      <c r="P23" s="23">
        <f t="shared" si="36"/>
        <v>166583.64815466668</v>
      </c>
      <c r="Q23" s="23">
        <f t="shared" si="36"/>
        <v>166583.64815466668</v>
      </c>
      <c r="R23" s="23">
        <f t="shared" si="36"/>
        <v>166583.64815466668</v>
      </c>
      <c r="S23" s="23">
        <f t="shared" si="36"/>
        <v>166846.10217066668</v>
      </c>
      <c r="T23" s="23">
        <f t="shared" si="36"/>
        <v>166846.10217066668</v>
      </c>
      <c r="U23" s="23">
        <f t="shared" si="36"/>
        <v>166846.10217066668</v>
      </c>
      <c r="V23" s="23">
        <f t="shared" si="36"/>
        <v>166846.10217066668</v>
      </c>
      <c r="W23" s="23">
        <f t="shared" si="36"/>
        <v>168528.80970400001</v>
      </c>
      <c r="X23" s="23">
        <f t="shared" si="36"/>
        <v>168528.80970400001</v>
      </c>
      <c r="Y23" s="23">
        <f t="shared" si="36"/>
        <v>168528.80970400001</v>
      </c>
      <c r="Z23" s="23">
        <f t="shared" si="36"/>
        <v>152673.42810398247</v>
      </c>
      <c r="AA23" s="23">
        <f t="shared" si="36"/>
        <v>152673.42810398247</v>
      </c>
      <c r="AB23" s="23">
        <f t="shared" si="36"/>
        <v>153899.31094238249</v>
      </c>
      <c r="AC23" s="23">
        <f t="shared" si="36"/>
        <v>-51446.492225599999</v>
      </c>
      <c r="AD23" s="23">
        <f t="shared" si="36"/>
        <v>169530.14777440001</v>
      </c>
      <c r="AE23" s="23">
        <f t="shared" si="36"/>
        <v>169797.85087072005</v>
      </c>
      <c r="AF23" s="23">
        <f t="shared" si="36"/>
        <v>169797.85087072005</v>
      </c>
      <c r="AG23" s="23">
        <f t="shared" si="36"/>
        <v>169797.85087072005</v>
      </c>
      <c r="AH23" s="23">
        <f t="shared" si="36"/>
        <v>169797.85087072005</v>
      </c>
      <c r="AI23" s="23">
        <f t="shared" si="36"/>
        <v>171516.10290472</v>
      </c>
      <c r="AJ23" s="23">
        <f t="shared" si="36"/>
        <v>171516.10290472</v>
      </c>
      <c r="AK23" s="23">
        <f t="shared" si="36"/>
        <v>171516.10290472</v>
      </c>
      <c r="AL23" s="23">
        <f t="shared" si="36"/>
        <v>171516.10290472</v>
      </c>
      <c r="AM23" s="23">
        <f t="shared" si="36"/>
        <v>171516.10290472</v>
      </c>
      <c r="AN23" s="23">
        <f t="shared" si="36"/>
        <v>172766.50339988805</v>
      </c>
      <c r="AO23" s="23">
        <f t="shared" si="36"/>
        <v>172998.25507988804</v>
      </c>
      <c r="AP23" s="23">
        <f t="shared" si="36"/>
        <v>172998.25507988804</v>
      </c>
      <c r="AQ23" s="23">
        <f t="shared" si="36"/>
        <v>173271.31223813444</v>
      </c>
      <c r="AR23" s="23">
        <f t="shared" si="36"/>
        <v>173271.31223813444</v>
      </c>
      <c r="AS23" s="23">
        <f t="shared" si="36"/>
        <v>173271.31223813444</v>
      </c>
      <c r="AT23" s="23">
        <f t="shared" si="36"/>
        <v>173271.31223813444</v>
      </c>
      <c r="AU23" s="23">
        <f t="shared" si="36"/>
        <v>149718.23462583075</v>
      </c>
      <c r="AV23" s="23">
        <f t="shared" si="36"/>
        <v>149718.23462583075</v>
      </c>
      <c r="AW23" s="23">
        <f t="shared" si="36"/>
        <v>149718.23462583075</v>
      </c>
      <c r="AX23" s="23">
        <f t="shared" si="36"/>
        <v>-260603.6440025956</v>
      </c>
      <c r="AY23" s="23">
        <f t="shared" si="36"/>
        <v>180193.39805340441</v>
      </c>
      <c r="AZ23" s="23">
        <f t="shared" si="36"/>
        <v>181468.80655847574</v>
      </c>
      <c r="BA23" s="23">
        <f t="shared" si="36"/>
        <v>181705.1932720757</v>
      </c>
      <c r="BB23" s="23">
        <f t="shared" si="36"/>
        <v>181705.1932720757</v>
      </c>
      <c r="BC23" s="23">
        <f t="shared" si="36"/>
        <v>160223.40112843615</v>
      </c>
      <c r="BD23" s="23">
        <f t="shared" si="36"/>
        <v>160223.40112843615</v>
      </c>
      <c r="BE23" s="23">
        <f t="shared" si="36"/>
        <v>160223.40112843615</v>
      </c>
      <c r="BF23" s="23">
        <f t="shared" si="36"/>
        <v>-204445.85839881067</v>
      </c>
      <c r="BG23" s="23">
        <f t="shared" si="36"/>
        <v>167500.40078372404</v>
      </c>
      <c r="BH23" s="23">
        <f t="shared" si="36"/>
        <v>167500.40078372404</v>
      </c>
      <c r="BI23" s="23">
        <f t="shared" si="36"/>
        <v>167500.40078372404</v>
      </c>
      <c r="BJ23" s="23">
        <f t="shared" si="36"/>
        <v>-73204.562487066534</v>
      </c>
      <c r="BK23" s="23">
        <f t="shared" si="36"/>
        <v>186050.82250621356</v>
      </c>
      <c r="BL23" s="23">
        <f t="shared" si="36"/>
        <v>187351.73918138631</v>
      </c>
      <c r="BM23" s="23">
        <f t="shared" si="36"/>
        <v>187592.85362925829</v>
      </c>
      <c r="BN23" s="23">
        <f t="shared" si="36"/>
        <v>187592.85362925829</v>
      </c>
      <c r="BO23" s="23">
        <f t="shared" si="36"/>
        <v>187592.85362925829</v>
      </c>
      <c r="BP23" s="23">
        <f t="shared" si="36"/>
        <v>187592.85362925829</v>
      </c>
      <c r="BQ23" s="23">
        <f t="shared" si="36"/>
        <v>187592.85362925829</v>
      </c>
      <c r="BR23" s="23">
        <f t="shared" si="36"/>
        <v>187983.42571537674</v>
      </c>
      <c r="BS23" s="23">
        <f t="shared" si="36"/>
        <v>189145.87662658546</v>
      </c>
      <c r="BT23" s="23">
        <f t="shared" si="36"/>
        <v>189145.87662658546</v>
      </c>
      <c r="BU23" s="23">
        <f t="shared" si="36"/>
        <v>189145.87662658546</v>
      </c>
      <c r="BV23" s="23">
        <f t="shared" si="36"/>
        <v>189855.3026642495</v>
      </c>
      <c r="BW23" s="23">
        <f t="shared" si="36"/>
        <v>189855.3026642495</v>
      </c>
      <c r="BX23" s="23">
        <f t="shared" ref="BX23:EI23" si="37">(BX7&lt;=120)*(BX22+BX20)</f>
        <v>191182.23767292575</v>
      </c>
      <c r="BY23" s="23">
        <f t="shared" si="37"/>
        <v>191428.17440975519</v>
      </c>
      <c r="BZ23" s="23">
        <f t="shared" si="37"/>
        <v>191428.17440975519</v>
      </c>
      <c r="CA23" s="23">
        <f t="shared" si="37"/>
        <v>191428.17440975519</v>
      </c>
      <c r="CB23" s="23">
        <f t="shared" si="37"/>
        <v>191428.17440975519</v>
      </c>
      <c r="CC23" s="23">
        <f t="shared" si="37"/>
        <v>191428.17440975519</v>
      </c>
      <c r="CD23" s="23">
        <f t="shared" si="37"/>
        <v>191826.55793759594</v>
      </c>
      <c r="CE23" s="23">
        <f t="shared" si="37"/>
        <v>193014.34445972671</v>
      </c>
      <c r="CF23" s="23">
        <f t="shared" si="37"/>
        <v>193014.34445972671</v>
      </c>
      <c r="CG23" s="23">
        <f t="shared" si="37"/>
        <v>193014.34445972671</v>
      </c>
      <c r="CH23" s="23">
        <f t="shared" si="37"/>
        <v>193737.959018144</v>
      </c>
      <c r="CI23" s="23">
        <f t="shared" si="37"/>
        <v>193737.959018144</v>
      </c>
      <c r="CJ23" s="23">
        <f t="shared" si="37"/>
        <v>195091.43272699375</v>
      </c>
      <c r="CK23" s="23">
        <f t="shared" si="37"/>
        <v>195342.28819855978</v>
      </c>
      <c r="CL23" s="23">
        <f t="shared" si="37"/>
        <v>195342.28819855978</v>
      </c>
      <c r="CM23" s="23">
        <f t="shared" si="37"/>
        <v>195342.28819855978</v>
      </c>
      <c r="CN23" s="23">
        <f t="shared" si="37"/>
        <v>195342.28819855978</v>
      </c>
      <c r="CO23" s="23">
        <f t="shared" si="37"/>
        <v>195342.28819855978</v>
      </c>
      <c r="CP23" s="23">
        <f t="shared" si="37"/>
        <v>195748.63939695735</v>
      </c>
      <c r="CQ23" s="23">
        <f t="shared" si="37"/>
        <v>173831.07456968923</v>
      </c>
      <c r="CR23" s="23">
        <f t="shared" si="37"/>
        <v>173831.07456968923</v>
      </c>
      <c r="CS23" s="23">
        <f t="shared" si="37"/>
        <v>173831.07456968923</v>
      </c>
      <c r="CT23" s="23">
        <f t="shared" si="37"/>
        <v>-156372.81429134711</v>
      </c>
      <c r="CU23" s="23">
        <f t="shared" si="37"/>
        <v>200254.90039177684</v>
      </c>
      <c r="CV23" s="23">
        <f t="shared" si="37"/>
        <v>201635.44357480356</v>
      </c>
      <c r="CW23" s="23">
        <f t="shared" si="37"/>
        <v>201891.31615580097</v>
      </c>
      <c r="CX23" s="23">
        <f t="shared" si="37"/>
        <v>201891.31615580097</v>
      </c>
      <c r="CY23" s="23">
        <f t="shared" si="37"/>
        <v>201891.31615580097</v>
      </c>
      <c r="CZ23" s="23">
        <f t="shared" si="37"/>
        <v>201891.31615580097</v>
      </c>
      <c r="DA23" s="23">
        <f t="shared" si="37"/>
        <v>201891.31615580097</v>
      </c>
      <c r="DB23" s="23">
        <f t="shared" si="37"/>
        <v>202305.79437816647</v>
      </c>
      <c r="DC23" s="23">
        <f t="shared" si="37"/>
        <v>203226.62959301681</v>
      </c>
      <c r="DD23" s="23">
        <f t="shared" si="37"/>
        <v>203226.62959301681</v>
      </c>
      <c r="DE23" s="23">
        <f t="shared" si="37"/>
        <v>163513.57618211332</v>
      </c>
      <c r="DF23" s="23">
        <f t="shared" si="37"/>
        <v>164636.82627328669</v>
      </c>
      <c r="DG23" s="23">
        <f t="shared" si="37"/>
        <v>164636.82627328669</v>
      </c>
      <c r="DH23" s="23">
        <f t="shared" si="37"/>
        <v>-412998.44099943805</v>
      </c>
      <c r="DI23" s="23">
        <f t="shared" si="37"/>
        <v>211734.19075852289</v>
      </c>
      <c r="DJ23" s="23">
        <f t="shared" si="37"/>
        <v>211734.19075852289</v>
      </c>
      <c r="DK23" s="23">
        <f t="shared" si="37"/>
        <v>211734.19075852289</v>
      </c>
      <c r="DL23" s="23">
        <f t="shared" si="37"/>
        <v>211734.19075852289</v>
      </c>
      <c r="DM23" s="23">
        <f t="shared" si="37"/>
        <v>211734.19075852289</v>
      </c>
      <c r="DN23" s="23">
        <f t="shared" si="37"/>
        <v>212156.95854533574</v>
      </c>
      <c r="DO23" s="23">
        <f t="shared" si="37"/>
        <v>212557.66264339219</v>
      </c>
      <c r="DP23" s="23">
        <f t="shared" si="37"/>
        <v>212557.66264339219</v>
      </c>
      <c r="DQ23" s="23">
        <f t="shared" si="37"/>
        <v>212557.66264339219</v>
      </c>
      <c r="DR23" s="23">
        <f t="shared" si="37"/>
        <v>213703.37773638897</v>
      </c>
      <c r="DS23" s="23">
        <f t="shared" si="37"/>
        <v>213703.37773638897</v>
      </c>
      <c r="DT23" s="23">
        <f t="shared" si="37"/>
        <v>117960.28808223916</v>
      </c>
      <c r="DU23" s="23">
        <f t="shared" si="37"/>
        <v>118226.49791550881</v>
      </c>
      <c r="DV23" s="23">
        <f t="shared" si="37"/>
        <v>-952427.26704128715</v>
      </c>
      <c r="DW23" s="23">
        <f t="shared" si="37"/>
        <v>199770.76549847136</v>
      </c>
      <c r="DX23" s="23">
        <f t="shared" si="37"/>
        <v>199770.76549847136</v>
      </c>
      <c r="DY23" s="23">
        <f t="shared" si="37"/>
        <v>199770.76549847136</v>
      </c>
      <c r="DZ23" s="23">
        <f t="shared" si="37"/>
        <v>42466574.708582535</v>
      </c>
      <c r="EA23" s="23">
        <f t="shared" si="37"/>
        <v>0</v>
      </c>
      <c r="EB23" s="23">
        <f t="shared" si="37"/>
        <v>0</v>
      </c>
      <c r="EC23" s="23">
        <f t="shared" si="37"/>
        <v>0</v>
      </c>
      <c r="ED23" s="23">
        <f t="shared" si="37"/>
        <v>0</v>
      </c>
      <c r="EE23" s="23">
        <f t="shared" si="37"/>
        <v>0</v>
      </c>
      <c r="EF23" s="23">
        <f t="shared" si="37"/>
        <v>0</v>
      </c>
      <c r="EG23" s="23">
        <f t="shared" si="37"/>
        <v>0</v>
      </c>
      <c r="EH23" s="23">
        <f t="shared" si="37"/>
        <v>0</v>
      </c>
      <c r="EI23" s="23">
        <f t="shared" si="37"/>
        <v>0</v>
      </c>
      <c r="EJ23" s="23">
        <f t="shared" ref="EJ23:EL23" si="38">(EJ7&lt;=120)*(EJ22+EJ20)</f>
        <v>0</v>
      </c>
      <c r="EK23" s="23">
        <f t="shared" si="38"/>
        <v>0</v>
      </c>
      <c r="EL23" s="23">
        <f t="shared" si="38"/>
        <v>0</v>
      </c>
      <c r="EM23" s="23"/>
      <c r="EN23" s="23">
        <f>(EN2&lt;=120)*(EN22+EN18)</f>
        <v>0</v>
      </c>
      <c r="EO23" s="23">
        <f>(EO2&lt;=120)*(EO22+EO18)</f>
        <v>0</v>
      </c>
      <c r="EP23" s="17"/>
    </row>
    <row r="24" spans="2:146" x14ac:dyDescent="0.3">
      <c r="B24" s="22" t="str">
        <f>"Present Value @ "&amp;TEXT(G6,"0.00%")</f>
        <v>Present Value @ 8.00%</v>
      </c>
      <c r="G24" s="17">
        <f>XNPV(G6,J23:EL23,J5:EL5)</f>
        <v>32482488.235285141</v>
      </c>
      <c r="I24"/>
      <c r="J24" s="12"/>
      <c r="K24" s="17"/>
      <c r="L24" s="12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</row>
    <row r="25" spans="2:146" x14ac:dyDescent="0.3">
      <c r="G25" s="17"/>
      <c r="I25"/>
      <c r="J25" s="12"/>
      <c r="K25" s="17"/>
      <c r="L25" s="12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</row>
    <row r="26" spans="2:146" x14ac:dyDescent="0.3">
      <c r="B26" t="s">
        <v>20</v>
      </c>
      <c r="G26" s="17"/>
      <c r="I26"/>
      <c r="J26" s="78">
        <f>+-G24</f>
        <v>-32482488.235285141</v>
      </c>
      <c r="K26" s="17">
        <f>+K23</f>
        <v>165150.19186666666</v>
      </c>
      <c r="L26" s="17">
        <f t="shared" ref="L26:BW26" si="39">+L23</f>
        <v>165150.19186666666</v>
      </c>
      <c r="M26" s="17">
        <f t="shared" si="39"/>
        <v>165150.19186666666</v>
      </c>
      <c r="N26" s="17">
        <f t="shared" si="39"/>
        <v>165381.80223466665</v>
      </c>
      <c r="O26" s="17">
        <f t="shared" si="39"/>
        <v>165381.80223466665</v>
      </c>
      <c r="P26" s="17">
        <f t="shared" si="39"/>
        <v>166583.64815466668</v>
      </c>
      <c r="Q26" s="17">
        <f t="shared" si="39"/>
        <v>166583.64815466668</v>
      </c>
      <c r="R26" s="17">
        <f t="shared" si="39"/>
        <v>166583.64815466668</v>
      </c>
      <c r="S26" s="17">
        <f t="shared" si="39"/>
        <v>166846.10217066668</v>
      </c>
      <c r="T26" s="17">
        <f t="shared" si="39"/>
        <v>166846.10217066668</v>
      </c>
      <c r="U26" s="17">
        <f t="shared" si="39"/>
        <v>166846.10217066668</v>
      </c>
      <c r="V26" s="17">
        <f t="shared" si="39"/>
        <v>166846.10217066668</v>
      </c>
      <c r="W26" s="17">
        <f t="shared" si="39"/>
        <v>168528.80970400001</v>
      </c>
      <c r="X26" s="17">
        <f t="shared" si="39"/>
        <v>168528.80970400001</v>
      </c>
      <c r="Y26" s="17">
        <f t="shared" si="39"/>
        <v>168528.80970400001</v>
      </c>
      <c r="Z26" s="17">
        <f t="shared" si="39"/>
        <v>152673.42810398247</v>
      </c>
      <c r="AA26" s="17">
        <f t="shared" si="39"/>
        <v>152673.42810398247</v>
      </c>
      <c r="AB26" s="17">
        <f t="shared" si="39"/>
        <v>153899.31094238249</v>
      </c>
      <c r="AC26" s="17">
        <f t="shared" si="39"/>
        <v>-51446.492225599999</v>
      </c>
      <c r="AD26" s="17">
        <f t="shared" si="39"/>
        <v>169530.14777440001</v>
      </c>
      <c r="AE26" s="17">
        <f t="shared" si="39"/>
        <v>169797.85087072005</v>
      </c>
      <c r="AF26" s="17">
        <f t="shared" si="39"/>
        <v>169797.85087072005</v>
      </c>
      <c r="AG26" s="17">
        <f t="shared" si="39"/>
        <v>169797.85087072005</v>
      </c>
      <c r="AH26" s="17">
        <f t="shared" si="39"/>
        <v>169797.85087072005</v>
      </c>
      <c r="AI26" s="17">
        <f t="shared" si="39"/>
        <v>171516.10290472</v>
      </c>
      <c r="AJ26" s="17">
        <f t="shared" si="39"/>
        <v>171516.10290472</v>
      </c>
      <c r="AK26" s="17">
        <f t="shared" si="39"/>
        <v>171516.10290472</v>
      </c>
      <c r="AL26" s="17">
        <f t="shared" si="39"/>
        <v>171516.10290472</v>
      </c>
      <c r="AM26" s="17">
        <f t="shared" si="39"/>
        <v>171516.10290472</v>
      </c>
      <c r="AN26" s="17">
        <f t="shared" si="39"/>
        <v>172766.50339988805</v>
      </c>
      <c r="AO26" s="17">
        <f t="shared" si="39"/>
        <v>172998.25507988804</v>
      </c>
      <c r="AP26" s="17">
        <f t="shared" si="39"/>
        <v>172998.25507988804</v>
      </c>
      <c r="AQ26" s="17">
        <f t="shared" si="39"/>
        <v>173271.31223813444</v>
      </c>
      <c r="AR26" s="17">
        <f t="shared" si="39"/>
        <v>173271.31223813444</v>
      </c>
      <c r="AS26" s="17">
        <f t="shared" si="39"/>
        <v>173271.31223813444</v>
      </c>
      <c r="AT26" s="17">
        <f t="shared" si="39"/>
        <v>173271.31223813444</v>
      </c>
      <c r="AU26" s="17">
        <f t="shared" si="39"/>
        <v>149718.23462583075</v>
      </c>
      <c r="AV26" s="17">
        <f t="shared" si="39"/>
        <v>149718.23462583075</v>
      </c>
      <c r="AW26" s="17">
        <f t="shared" si="39"/>
        <v>149718.23462583075</v>
      </c>
      <c r="AX26" s="17">
        <f t="shared" si="39"/>
        <v>-260603.6440025956</v>
      </c>
      <c r="AY26" s="17">
        <f t="shared" si="39"/>
        <v>180193.39805340441</v>
      </c>
      <c r="AZ26" s="17">
        <f t="shared" si="39"/>
        <v>181468.80655847574</v>
      </c>
      <c r="BA26" s="17">
        <f t="shared" si="39"/>
        <v>181705.1932720757</v>
      </c>
      <c r="BB26" s="17">
        <f t="shared" si="39"/>
        <v>181705.1932720757</v>
      </c>
      <c r="BC26" s="17">
        <f t="shared" si="39"/>
        <v>160223.40112843615</v>
      </c>
      <c r="BD26" s="17">
        <f t="shared" si="39"/>
        <v>160223.40112843615</v>
      </c>
      <c r="BE26" s="17">
        <f t="shared" si="39"/>
        <v>160223.40112843615</v>
      </c>
      <c r="BF26" s="17">
        <f t="shared" si="39"/>
        <v>-204445.85839881067</v>
      </c>
      <c r="BG26" s="17">
        <f t="shared" si="39"/>
        <v>167500.40078372404</v>
      </c>
      <c r="BH26" s="17">
        <f t="shared" si="39"/>
        <v>167500.40078372404</v>
      </c>
      <c r="BI26" s="17">
        <f t="shared" si="39"/>
        <v>167500.40078372404</v>
      </c>
      <c r="BJ26" s="17">
        <f t="shared" si="39"/>
        <v>-73204.562487066534</v>
      </c>
      <c r="BK26" s="17">
        <f t="shared" si="39"/>
        <v>186050.82250621356</v>
      </c>
      <c r="BL26" s="17">
        <f t="shared" si="39"/>
        <v>187351.73918138631</v>
      </c>
      <c r="BM26" s="17">
        <f t="shared" si="39"/>
        <v>187592.85362925829</v>
      </c>
      <c r="BN26" s="17">
        <f t="shared" si="39"/>
        <v>187592.85362925829</v>
      </c>
      <c r="BO26" s="17">
        <f t="shared" si="39"/>
        <v>187592.85362925829</v>
      </c>
      <c r="BP26" s="17">
        <f t="shared" si="39"/>
        <v>187592.85362925829</v>
      </c>
      <c r="BQ26" s="17">
        <f t="shared" si="39"/>
        <v>187592.85362925829</v>
      </c>
      <c r="BR26" s="17">
        <f t="shared" si="39"/>
        <v>187983.42571537674</v>
      </c>
      <c r="BS26" s="17">
        <f t="shared" si="39"/>
        <v>189145.87662658546</v>
      </c>
      <c r="BT26" s="17">
        <f t="shared" si="39"/>
        <v>189145.87662658546</v>
      </c>
      <c r="BU26" s="17">
        <f t="shared" si="39"/>
        <v>189145.87662658546</v>
      </c>
      <c r="BV26" s="17">
        <f t="shared" si="39"/>
        <v>189855.3026642495</v>
      </c>
      <c r="BW26" s="17">
        <f t="shared" si="39"/>
        <v>189855.3026642495</v>
      </c>
      <c r="BX26" s="17">
        <f t="shared" ref="BX26:EI26" si="40">+BX23</f>
        <v>191182.23767292575</v>
      </c>
      <c r="BY26" s="17">
        <f t="shared" si="40"/>
        <v>191428.17440975519</v>
      </c>
      <c r="BZ26" s="17">
        <f t="shared" si="40"/>
        <v>191428.17440975519</v>
      </c>
      <c r="CA26" s="17">
        <f t="shared" si="40"/>
        <v>191428.17440975519</v>
      </c>
      <c r="CB26" s="17">
        <f t="shared" si="40"/>
        <v>191428.17440975519</v>
      </c>
      <c r="CC26" s="17">
        <f t="shared" si="40"/>
        <v>191428.17440975519</v>
      </c>
      <c r="CD26" s="17">
        <f t="shared" si="40"/>
        <v>191826.55793759594</v>
      </c>
      <c r="CE26" s="17">
        <f t="shared" si="40"/>
        <v>193014.34445972671</v>
      </c>
      <c r="CF26" s="17">
        <f t="shared" si="40"/>
        <v>193014.34445972671</v>
      </c>
      <c r="CG26" s="17">
        <f t="shared" si="40"/>
        <v>193014.34445972671</v>
      </c>
      <c r="CH26" s="17">
        <f t="shared" si="40"/>
        <v>193737.959018144</v>
      </c>
      <c r="CI26" s="17">
        <f t="shared" si="40"/>
        <v>193737.959018144</v>
      </c>
      <c r="CJ26" s="17">
        <f t="shared" si="40"/>
        <v>195091.43272699375</v>
      </c>
      <c r="CK26" s="17">
        <f t="shared" si="40"/>
        <v>195342.28819855978</v>
      </c>
      <c r="CL26" s="17">
        <f t="shared" si="40"/>
        <v>195342.28819855978</v>
      </c>
      <c r="CM26" s="17">
        <f t="shared" si="40"/>
        <v>195342.28819855978</v>
      </c>
      <c r="CN26" s="17">
        <f t="shared" si="40"/>
        <v>195342.28819855978</v>
      </c>
      <c r="CO26" s="17">
        <f t="shared" si="40"/>
        <v>195342.28819855978</v>
      </c>
      <c r="CP26" s="17">
        <f t="shared" si="40"/>
        <v>195748.63939695735</v>
      </c>
      <c r="CQ26" s="17">
        <f t="shared" si="40"/>
        <v>173831.07456968923</v>
      </c>
      <c r="CR26" s="17">
        <f t="shared" si="40"/>
        <v>173831.07456968923</v>
      </c>
      <c r="CS26" s="17">
        <f t="shared" si="40"/>
        <v>173831.07456968923</v>
      </c>
      <c r="CT26" s="17">
        <f t="shared" si="40"/>
        <v>-156372.81429134711</v>
      </c>
      <c r="CU26" s="17">
        <f t="shared" si="40"/>
        <v>200254.90039177684</v>
      </c>
      <c r="CV26" s="17">
        <f t="shared" si="40"/>
        <v>201635.44357480356</v>
      </c>
      <c r="CW26" s="17">
        <f t="shared" si="40"/>
        <v>201891.31615580097</v>
      </c>
      <c r="CX26" s="17">
        <f t="shared" si="40"/>
        <v>201891.31615580097</v>
      </c>
      <c r="CY26" s="17">
        <f t="shared" si="40"/>
        <v>201891.31615580097</v>
      </c>
      <c r="CZ26" s="17">
        <f t="shared" si="40"/>
        <v>201891.31615580097</v>
      </c>
      <c r="DA26" s="17">
        <f t="shared" si="40"/>
        <v>201891.31615580097</v>
      </c>
      <c r="DB26" s="17">
        <f t="shared" si="40"/>
        <v>202305.79437816647</v>
      </c>
      <c r="DC26" s="17">
        <f t="shared" si="40"/>
        <v>203226.62959301681</v>
      </c>
      <c r="DD26" s="17">
        <f t="shared" si="40"/>
        <v>203226.62959301681</v>
      </c>
      <c r="DE26" s="17">
        <f t="shared" si="40"/>
        <v>163513.57618211332</v>
      </c>
      <c r="DF26" s="17">
        <f t="shared" si="40"/>
        <v>164636.82627328669</v>
      </c>
      <c r="DG26" s="17">
        <f t="shared" si="40"/>
        <v>164636.82627328669</v>
      </c>
      <c r="DH26" s="17">
        <f t="shared" si="40"/>
        <v>-412998.44099943805</v>
      </c>
      <c r="DI26" s="17">
        <f t="shared" si="40"/>
        <v>211734.19075852289</v>
      </c>
      <c r="DJ26" s="17">
        <f t="shared" si="40"/>
        <v>211734.19075852289</v>
      </c>
      <c r="DK26" s="17">
        <f t="shared" si="40"/>
        <v>211734.19075852289</v>
      </c>
      <c r="DL26" s="17">
        <f t="shared" si="40"/>
        <v>211734.19075852289</v>
      </c>
      <c r="DM26" s="17">
        <f t="shared" si="40"/>
        <v>211734.19075852289</v>
      </c>
      <c r="DN26" s="17">
        <f t="shared" si="40"/>
        <v>212156.95854533574</v>
      </c>
      <c r="DO26" s="17">
        <f t="shared" si="40"/>
        <v>212557.66264339219</v>
      </c>
      <c r="DP26" s="17">
        <f t="shared" si="40"/>
        <v>212557.66264339219</v>
      </c>
      <c r="DQ26" s="17">
        <f t="shared" si="40"/>
        <v>212557.66264339219</v>
      </c>
      <c r="DR26" s="17">
        <f t="shared" si="40"/>
        <v>213703.37773638897</v>
      </c>
      <c r="DS26" s="17">
        <f t="shared" si="40"/>
        <v>213703.37773638897</v>
      </c>
      <c r="DT26" s="17">
        <f t="shared" si="40"/>
        <v>117960.28808223916</v>
      </c>
      <c r="DU26" s="17">
        <f t="shared" si="40"/>
        <v>118226.49791550881</v>
      </c>
      <c r="DV26" s="17">
        <f t="shared" si="40"/>
        <v>-952427.26704128715</v>
      </c>
      <c r="DW26" s="17">
        <f t="shared" si="40"/>
        <v>199770.76549847136</v>
      </c>
      <c r="DX26" s="17">
        <f t="shared" si="40"/>
        <v>199770.76549847136</v>
      </c>
      <c r="DY26" s="17">
        <f t="shared" si="40"/>
        <v>199770.76549847136</v>
      </c>
      <c r="DZ26" s="17">
        <f t="shared" si="40"/>
        <v>42466574.708582535</v>
      </c>
      <c r="EA26" s="17">
        <f t="shared" si="40"/>
        <v>0</v>
      </c>
      <c r="EB26" s="17">
        <f t="shared" si="40"/>
        <v>0</v>
      </c>
      <c r="EC26" s="17">
        <f t="shared" si="40"/>
        <v>0</v>
      </c>
      <c r="ED26" s="17">
        <f t="shared" si="40"/>
        <v>0</v>
      </c>
      <c r="EE26" s="17">
        <f t="shared" si="40"/>
        <v>0</v>
      </c>
      <c r="EF26" s="17">
        <f t="shared" si="40"/>
        <v>0</v>
      </c>
      <c r="EG26" s="17">
        <f t="shared" si="40"/>
        <v>0</v>
      </c>
      <c r="EH26" s="17">
        <f t="shared" si="40"/>
        <v>0</v>
      </c>
      <c r="EI26" s="17">
        <f t="shared" si="40"/>
        <v>0</v>
      </c>
      <c r="EJ26" s="17">
        <f t="shared" ref="EJ26:EL26" si="41">+EJ23</f>
        <v>0</v>
      </c>
      <c r="EK26" s="17">
        <f t="shared" si="41"/>
        <v>0</v>
      </c>
      <c r="EL26" s="17">
        <f t="shared" si="41"/>
        <v>0</v>
      </c>
      <c r="EM26" s="17"/>
      <c r="EN26" s="17">
        <f t="shared" ref="EN26:EO26" si="42">+EN23</f>
        <v>0</v>
      </c>
      <c r="EO26" s="17">
        <f t="shared" si="42"/>
        <v>0</v>
      </c>
      <c r="EP26" s="17"/>
    </row>
    <row r="27" spans="2:146" x14ac:dyDescent="0.3">
      <c r="B27" s="22" t="s">
        <v>21</v>
      </c>
      <c r="G27" s="29">
        <f>XIRR(J26:EL26,J5:EL5)</f>
        <v>7.9999998211860726E-2</v>
      </c>
      <c r="I27"/>
      <c r="J27" s="12"/>
      <c r="K27" s="17"/>
      <c r="L27" s="12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</row>
    <row r="28" spans="2:146" x14ac:dyDescent="0.3"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</row>
    <row r="29" spans="2:146" x14ac:dyDescent="0.3"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</row>
    <row r="30" spans="2:146" hidden="1" x14ac:dyDescent="0.3"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</row>
    <row r="31" spans="2:146" hidden="1" x14ac:dyDescent="0.3"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</row>
    <row r="32" spans="2:146" hidden="1" x14ac:dyDescent="0.3"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</row>
    <row r="33" spans="10:142" hidden="1" x14ac:dyDescent="0.3"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</row>
    <row r="34" spans="10:142" hidden="1" x14ac:dyDescent="0.3"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F847-ED95-44AD-8FBC-B925ACEC78AB}">
  <dimension ref="A1:AUW17"/>
  <sheetViews>
    <sheetView zoomScaleNormal="100" workbookViewId="0">
      <pane xSplit="4" topLeftCell="E1" activePane="topRight" state="frozen"/>
      <selection pane="topRight" activeCell="Q17" sqref="Q17"/>
    </sheetView>
  </sheetViews>
  <sheetFormatPr defaultColWidth="0" defaultRowHeight="14.4" zeroHeight="1" outlineLevelCol="1" x14ac:dyDescent="0.3"/>
  <cols>
    <col min="1" max="1" width="2.44140625" customWidth="1"/>
    <col min="2" max="2" width="5.5546875" style="39" bestFit="1" customWidth="1"/>
    <col min="3" max="3" width="14.88671875" bestFit="1" customWidth="1"/>
    <col min="4" max="4" width="8.6640625" style="6" bestFit="1" customWidth="1"/>
    <col min="5" max="5" width="8.33203125" style="6" bestFit="1" customWidth="1"/>
    <col min="6" max="6" width="10.33203125" style="6" bestFit="1" customWidth="1"/>
    <col min="7" max="7" width="7.6640625" style="6" bestFit="1" customWidth="1"/>
    <col min="8" max="8" width="9.109375" style="6" bestFit="1" customWidth="1"/>
    <col min="9" max="9" width="10.6640625" style="6" bestFit="1" customWidth="1"/>
    <col min="10" max="10" width="11.33203125" style="6" bestFit="1" customWidth="1"/>
    <col min="11" max="11" width="8.6640625" style="6" bestFit="1" customWidth="1"/>
    <col min="12" max="12" width="9.6640625" style="6" bestFit="1" customWidth="1"/>
    <col min="13" max="13" width="7.33203125" style="6" bestFit="1" customWidth="1"/>
    <col min="14" max="14" width="9.5546875" style="6" bestFit="1" customWidth="1"/>
    <col min="15" max="15" width="10.6640625" style="6" bestFit="1" customWidth="1"/>
    <col min="16" max="16" width="11.6640625" style="6" bestFit="1" customWidth="1"/>
    <col min="17" max="17" width="11.5546875" style="6" bestFit="1" customWidth="1"/>
    <col min="18" max="19" width="10.33203125" style="6" bestFit="1" customWidth="1"/>
    <col min="20" max="20" width="8.6640625" style="6" bestFit="1" customWidth="1"/>
    <col min="21" max="21" width="10.6640625" style="6" bestFit="1" customWidth="1"/>
    <col min="22" max="22" width="11.33203125" style="6" bestFit="1" customWidth="1"/>
    <col min="23" max="23" width="8.6640625" style="6" bestFit="1" customWidth="1"/>
    <col min="24" max="24" width="9.6640625" style="6" bestFit="1" customWidth="1"/>
    <col min="25" max="27" width="11" style="6" bestFit="1" customWidth="1"/>
    <col min="28" max="28" width="6.5546875" style="6" bestFit="1" customWidth="1"/>
    <col min="29" max="29" width="8.5546875" style="6" bestFit="1" customWidth="1"/>
    <col min="30" max="30" width="6.5546875" style="6" bestFit="1" customWidth="1"/>
    <col min="31" max="31" width="8.5546875" style="6" bestFit="1" customWidth="1"/>
    <col min="32" max="34" width="9.109375" style="6" bestFit="1" customWidth="1"/>
    <col min="35" max="35" width="2.6640625" customWidth="1"/>
    <col min="36" max="36" width="9.33203125" hidden="1" customWidth="1" outlineLevel="1"/>
    <col min="37" max="37" width="9.6640625" hidden="1" customWidth="1" outlineLevel="1"/>
    <col min="38" max="38" width="9.88671875" hidden="1" customWidth="1" outlineLevel="1"/>
    <col min="39" max="39" width="9.5546875" hidden="1" customWidth="1" outlineLevel="1"/>
    <col min="40" max="40" width="10.109375" hidden="1" customWidth="1" outlineLevel="1"/>
    <col min="41" max="41" width="9.44140625" hidden="1" customWidth="1" outlineLevel="1"/>
    <col min="42" max="42" width="8.88671875" hidden="1" customWidth="1" outlineLevel="1"/>
    <col min="43" max="43" width="9.88671875" hidden="1" customWidth="1" outlineLevel="1"/>
    <col min="44" max="44" width="9.6640625" hidden="1" customWidth="1" outlineLevel="1"/>
    <col min="45" max="45" width="9.44140625" hidden="1" customWidth="1" outlineLevel="1"/>
    <col min="46" max="46" width="10" hidden="1" customWidth="1" outlineLevel="1"/>
    <col min="47" max="47" width="9.6640625" hidden="1" customWidth="1" outlineLevel="1"/>
    <col min="48" max="48" width="9.33203125" hidden="1" customWidth="1" outlineLevel="1"/>
    <col min="49" max="49" width="9.6640625" hidden="1" customWidth="1" outlineLevel="1"/>
    <col min="50" max="50" width="9.88671875" hidden="1" customWidth="1" outlineLevel="1"/>
    <col min="51" max="51" width="9.5546875" hidden="1" customWidth="1" outlineLevel="1"/>
    <col min="52" max="52" width="10.109375" hidden="1" customWidth="1" outlineLevel="1"/>
    <col min="53" max="53" width="9.44140625" hidden="1" customWidth="1" outlineLevel="1"/>
    <col min="54" max="54" width="9.33203125" hidden="1" customWidth="1" outlineLevel="1"/>
    <col min="55" max="55" width="9.88671875" hidden="1" customWidth="1" outlineLevel="1"/>
    <col min="56" max="56" width="9.6640625" hidden="1" customWidth="1" outlineLevel="1"/>
    <col min="57" max="57" width="9.44140625" hidden="1" customWidth="1" outlineLevel="1"/>
    <col min="58" max="58" width="10" hidden="1" customWidth="1" outlineLevel="1"/>
    <col min="59" max="59" width="9.6640625" hidden="1" customWidth="1" outlineLevel="1"/>
    <col min="60" max="60" width="9.33203125" hidden="1" customWidth="1" outlineLevel="1"/>
    <col min="61" max="61" width="9.6640625" hidden="1" customWidth="1" outlineLevel="1"/>
    <col min="62" max="62" width="9.88671875" hidden="1" customWidth="1" outlineLevel="1"/>
    <col min="63" max="63" width="9.5546875" hidden="1" customWidth="1" outlineLevel="1"/>
    <col min="64" max="64" width="10.109375" hidden="1" customWidth="1" outlineLevel="1"/>
    <col min="65" max="65" width="9.44140625" hidden="1" customWidth="1" outlineLevel="1"/>
    <col min="66" max="66" width="9.33203125" hidden="1" customWidth="1" outlineLevel="1"/>
    <col min="67" max="67" width="9.88671875" hidden="1" customWidth="1" outlineLevel="1"/>
    <col min="68" max="68" width="9.6640625" hidden="1" customWidth="1" outlineLevel="1"/>
    <col min="69" max="69" width="9.44140625" hidden="1" customWidth="1" outlineLevel="1"/>
    <col min="70" max="70" width="10" hidden="1" customWidth="1" outlineLevel="1"/>
    <col min="71" max="71" width="9.6640625" hidden="1" customWidth="1" outlineLevel="1"/>
    <col min="72" max="72" width="9.33203125" hidden="1" customWidth="1" outlineLevel="1"/>
    <col min="73" max="73" width="9.6640625" hidden="1" customWidth="1" outlineLevel="1"/>
    <col min="74" max="74" width="9.88671875" hidden="1" customWidth="1" outlineLevel="1"/>
    <col min="75" max="75" width="9.5546875" hidden="1" customWidth="1" outlineLevel="1"/>
    <col min="76" max="76" width="10.109375" hidden="1" customWidth="1" outlineLevel="1"/>
    <col min="77" max="77" width="9.44140625" hidden="1" customWidth="1" outlineLevel="1"/>
    <col min="78" max="78" width="9.33203125" hidden="1" customWidth="1" outlineLevel="1"/>
    <col min="79" max="79" width="9.88671875" hidden="1" customWidth="1" outlineLevel="1"/>
    <col min="80" max="80" width="9.6640625" hidden="1" customWidth="1" outlineLevel="1"/>
    <col min="81" max="81" width="9.44140625" hidden="1" customWidth="1" outlineLevel="1"/>
    <col min="82" max="82" width="10" hidden="1" customWidth="1" outlineLevel="1"/>
    <col min="83" max="83" width="9.6640625" hidden="1" customWidth="1" outlineLevel="1"/>
    <col min="84" max="84" width="9.33203125" hidden="1" customWidth="1" outlineLevel="1"/>
    <col min="85" max="85" width="9.6640625" hidden="1" customWidth="1" outlineLevel="1"/>
    <col min="86" max="86" width="9.88671875" hidden="1" customWidth="1" outlineLevel="1"/>
    <col min="87" max="87" width="9.5546875" hidden="1" customWidth="1" outlineLevel="1"/>
    <col min="88" max="88" width="10.109375" hidden="1" customWidth="1" outlineLevel="1"/>
    <col min="89" max="89" width="9.44140625" hidden="1" customWidth="1" outlineLevel="1"/>
    <col min="90" max="90" width="9.33203125" hidden="1" customWidth="1" outlineLevel="1"/>
    <col min="91" max="91" width="9.88671875" hidden="1" customWidth="1" outlineLevel="1"/>
    <col min="92" max="92" width="9.6640625" hidden="1" customWidth="1" outlineLevel="1"/>
    <col min="93" max="93" width="9.44140625" hidden="1" customWidth="1" outlineLevel="1"/>
    <col min="94" max="94" width="10" hidden="1" customWidth="1" outlineLevel="1"/>
    <col min="95" max="95" width="9.6640625" hidden="1" customWidth="1" outlineLevel="1"/>
    <col min="96" max="96" width="9.33203125" hidden="1" customWidth="1" outlineLevel="1"/>
    <col min="97" max="97" width="9.6640625" hidden="1" customWidth="1" outlineLevel="1"/>
    <col min="98" max="98" width="9.88671875" hidden="1" customWidth="1" outlineLevel="1"/>
    <col min="99" max="99" width="9.5546875" hidden="1" customWidth="1" outlineLevel="1"/>
    <col min="100" max="100" width="10.109375" hidden="1" customWidth="1" outlineLevel="1"/>
    <col min="101" max="101" width="9.44140625" hidden="1" customWidth="1" outlineLevel="1"/>
    <col min="102" max="102" width="9.33203125" hidden="1" customWidth="1" outlineLevel="1"/>
    <col min="103" max="103" width="9.88671875" hidden="1" customWidth="1" outlineLevel="1"/>
    <col min="104" max="104" width="9.6640625" hidden="1" customWidth="1" outlineLevel="1"/>
    <col min="105" max="105" width="9.44140625" hidden="1" customWidth="1" outlineLevel="1"/>
    <col min="106" max="106" width="10" hidden="1" customWidth="1" outlineLevel="1"/>
    <col min="107" max="107" width="9.6640625" hidden="1" customWidth="1" outlineLevel="1"/>
    <col min="108" max="108" width="9.33203125" hidden="1" customWidth="1" outlineLevel="1"/>
    <col min="109" max="109" width="9.6640625" hidden="1" customWidth="1" outlineLevel="1"/>
    <col min="110" max="110" width="9.88671875" hidden="1" customWidth="1" outlineLevel="1"/>
    <col min="111" max="111" width="9.5546875" hidden="1" customWidth="1" outlineLevel="1"/>
    <col min="112" max="112" width="10.109375" hidden="1" customWidth="1" outlineLevel="1"/>
    <col min="113" max="113" width="9.44140625" hidden="1" customWidth="1" outlineLevel="1"/>
    <col min="114" max="114" width="9.33203125" hidden="1" customWidth="1" outlineLevel="1"/>
    <col min="115" max="115" width="9.88671875" hidden="1" customWidth="1" outlineLevel="1"/>
    <col min="116" max="116" width="9.6640625" hidden="1" customWidth="1" outlineLevel="1"/>
    <col min="117" max="117" width="9.44140625" hidden="1" customWidth="1" outlineLevel="1"/>
    <col min="118" max="118" width="10" hidden="1" customWidth="1" outlineLevel="1"/>
    <col min="119" max="119" width="9.6640625" hidden="1" customWidth="1" outlineLevel="1"/>
    <col min="120" max="120" width="9.33203125" hidden="1" customWidth="1" outlineLevel="1"/>
    <col min="121" max="121" width="9.6640625" hidden="1" customWidth="1" outlineLevel="1"/>
    <col min="122" max="122" width="9.88671875" hidden="1" customWidth="1" outlineLevel="1"/>
    <col min="123" max="123" width="9.5546875" hidden="1" customWidth="1" outlineLevel="1"/>
    <col min="124" max="124" width="10.109375" hidden="1" customWidth="1" outlineLevel="1"/>
    <col min="125" max="125" width="9.44140625" hidden="1" customWidth="1" outlineLevel="1"/>
    <col min="126" max="126" width="9.33203125" hidden="1" customWidth="1" outlineLevel="1"/>
    <col min="127" max="127" width="9.88671875" hidden="1" customWidth="1" outlineLevel="1"/>
    <col min="128" max="128" width="9.6640625" hidden="1" customWidth="1" outlineLevel="1"/>
    <col min="129" max="129" width="9.44140625" hidden="1" customWidth="1" outlineLevel="1"/>
    <col min="130" max="130" width="10" hidden="1" customWidth="1" outlineLevel="1"/>
    <col min="131" max="131" width="9.6640625" hidden="1" customWidth="1" outlineLevel="1"/>
    <col min="132" max="132" width="9.33203125" hidden="1" customWidth="1" outlineLevel="1"/>
    <col min="133" max="133" width="9.6640625" hidden="1" customWidth="1" outlineLevel="1"/>
    <col min="134" max="134" width="9.88671875" hidden="1" customWidth="1" outlineLevel="1"/>
    <col min="135" max="167" width="10.33203125" hidden="1" customWidth="1" outlineLevel="1"/>
    <col min="168" max="168" width="9.109375" customWidth="1" collapsed="1"/>
    <col min="169" max="169" width="2.6640625" customWidth="1"/>
    <col min="170" max="301" width="9.109375" hidden="1" customWidth="1" outlineLevel="1"/>
    <col min="302" max="302" width="9.109375" customWidth="1" collapsed="1"/>
    <col min="303" max="303" width="2.6640625" customWidth="1"/>
    <col min="304" max="304" width="10" style="6" hidden="1" customWidth="1" outlineLevel="1"/>
    <col min="305" max="305" width="9.33203125" hidden="1" customWidth="1" outlineLevel="1"/>
    <col min="306" max="306" width="9.6640625" hidden="1" customWidth="1" outlineLevel="1"/>
    <col min="307" max="307" width="9.88671875" hidden="1" customWidth="1" outlineLevel="1"/>
    <col min="308" max="308" width="9.5546875" hidden="1" customWidth="1" outlineLevel="1"/>
    <col min="309" max="309" width="10.109375" hidden="1" customWidth="1" outlineLevel="1"/>
    <col min="310" max="310" width="9.44140625" hidden="1" customWidth="1" outlineLevel="1"/>
    <col min="311" max="311" width="8.88671875" hidden="1" customWidth="1" outlineLevel="1"/>
    <col min="312" max="312" width="9.88671875" hidden="1" customWidth="1" outlineLevel="1"/>
    <col min="313" max="313" width="9.6640625" hidden="1" customWidth="1" outlineLevel="1"/>
    <col min="314" max="314" width="9.44140625" hidden="1" customWidth="1" outlineLevel="1"/>
    <col min="315" max="315" width="10" hidden="1" customWidth="1" outlineLevel="1"/>
    <col min="316" max="316" width="9.6640625" hidden="1" customWidth="1" outlineLevel="1"/>
    <col min="317" max="317" width="9.33203125" hidden="1" customWidth="1" outlineLevel="1"/>
    <col min="318" max="318" width="9.6640625" hidden="1" customWidth="1" outlineLevel="1"/>
    <col min="319" max="319" width="9.88671875" hidden="1" customWidth="1" outlineLevel="1"/>
    <col min="320" max="320" width="9.5546875" hidden="1" customWidth="1" outlineLevel="1"/>
    <col min="321" max="321" width="10.109375" hidden="1" customWidth="1" outlineLevel="1"/>
    <col min="322" max="322" width="9.44140625" hidden="1" customWidth="1" outlineLevel="1"/>
    <col min="323" max="323" width="9.33203125" hidden="1" customWidth="1" outlineLevel="1"/>
    <col min="324" max="324" width="9.88671875" hidden="1" customWidth="1" outlineLevel="1"/>
    <col min="325" max="325" width="9.6640625" hidden="1" customWidth="1" outlineLevel="1"/>
    <col min="326" max="326" width="9.44140625" hidden="1" customWidth="1" outlineLevel="1"/>
    <col min="327" max="327" width="10" hidden="1" customWidth="1" outlineLevel="1"/>
    <col min="328" max="328" width="9.6640625" hidden="1" customWidth="1" outlineLevel="1"/>
    <col min="329" max="329" width="9.33203125" hidden="1" customWidth="1" outlineLevel="1"/>
    <col min="330" max="330" width="9.6640625" hidden="1" customWidth="1" outlineLevel="1"/>
    <col min="331" max="331" width="9.88671875" hidden="1" customWidth="1" outlineLevel="1"/>
    <col min="332" max="332" width="9.5546875" hidden="1" customWidth="1" outlineLevel="1"/>
    <col min="333" max="333" width="10.109375" hidden="1" customWidth="1" outlineLevel="1"/>
    <col min="334" max="334" width="9.44140625" hidden="1" customWidth="1" outlineLevel="1"/>
    <col min="335" max="335" width="9.33203125" hidden="1" customWidth="1" outlineLevel="1"/>
    <col min="336" max="336" width="9.88671875" hidden="1" customWidth="1" outlineLevel="1"/>
    <col min="337" max="337" width="9.6640625" hidden="1" customWidth="1" outlineLevel="1"/>
    <col min="338" max="338" width="9.44140625" hidden="1" customWidth="1" outlineLevel="1"/>
    <col min="339" max="339" width="10" hidden="1" customWidth="1" outlineLevel="1"/>
    <col min="340" max="340" width="9.6640625" hidden="1" customWidth="1" outlineLevel="1"/>
    <col min="341" max="341" width="9.33203125" hidden="1" customWidth="1" outlineLevel="1"/>
    <col min="342" max="342" width="9.6640625" hidden="1" customWidth="1" outlineLevel="1"/>
    <col min="343" max="343" width="9.88671875" hidden="1" customWidth="1" outlineLevel="1"/>
    <col min="344" max="344" width="9.5546875" hidden="1" customWidth="1" outlineLevel="1"/>
    <col min="345" max="345" width="10.109375" hidden="1" customWidth="1" outlineLevel="1"/>
    <col min="346" max="346" width="9.44140625" hidden="1" customWidth="1" outlineLevel="1"/>
    <col min="347" max="347" width="9.33203125" hidden="1" customWidth="1" outlineLevel="1"/>
    <col min="348" max="348" width="9.88671875" hidden="1" customWidth="1" outlineLevel="1"/>
    <col min="349" max="349" width="9.6640625" hidden="1" customWidth="1" outlineLevel="1"/>
    <col min="350" max="350" width="9.44140625" hidden="1" customWidth="1" outlineLevel="1"/>
    <col min="351" max="351" width="10" hidden="1" customWidth="1" outlineLevel="1"/>
    <col min="352" max="352" width="9.6640625" hidden="1" customWidth="1" outlineLevel="1"/>
    <col min="353" max="353" width="9.33203125" hidden="1" customWidth="1" outlineLevel="1"/>
    <col min="354" max="354" width="9.6640625" hidden="1" customWidth="1" outlineLevel="1"/>
    <col min="355" max="355" width="9.88671875" hidden="1" customWidth="1" outlineLevel="1"/>
    <col min="356" max="356" width="9.5546875" hidden="1" customWidth="1" outlineLevel="1"/>
    <col min="357" max="357" width="10.109375" hidden="1" customWidth="1" outlineLevel="1"/>
    <col min="358" max="358" width="9.44140625" hidden="1" customWidth="1" outlineLevel="1"/>
    <col min="359" max="359" width="9.33203125" hidden="1" customWidth="1" outlineLevel="1"/>
    <col min="360" max="360" width="9.88671875" hidden="1" customWidth="1" outlineLevel="1"/>
    <col min="361" max="361" width="9.6640625" hidden="1" customWidth="1" outlineLevel="1"/>
    <col min="362" max="362" width="9.44140625" hidden="1" customWidth="1" outlineLevel="1"/>
    <col min="363" max="363" width="10" hidden="1" customWidth="1" outlineLevel="1"/>
    <col min="364" max="364" width="9.6640625" hidden="1" customWidth="1" outlineLevel="1"/>
    <col min="365" max="365" width="9.33203125" hidden="1" customWidth="1" outlineLevel="1"/>
    <col min="366" max="366" width="9.6640625" hidden="1" customWidth="1" outlineLevel="1"/>
    <col min="367" max="367" width="9.88671875" hidden="1" customWidth="1" outlineLevel="1"/>
    <col min="368" max="368" width="9.5546875" hidden="1" customWidth="1" outlineLevel="1"/>
    <col min="369" max="369" width="10.109375" hidden="1" customWidth="1" outlineLevel="1"/>
    <col min="370" max="370" width="9.44140625" hidden="1" customWidth="1" outlineLevel="1"/>
    <col min="371" max="371" width="9.33203125" hidden="1" customWidth="1" outlineLevel="1"/>
    <col min="372" max="372" width="9.88671875" hidden="1" customWidth="1" outlineLevel="1"/>
    <col min="373" max="373" width="9.6640625" hidden="1" customWidth="1" outlineLevel="1"/>
    <col min="374" max="374" width="9.44140625" hidden="1" customWidth="1" outlineLevel="1"/>
    <col min="375" max="375" width="10" hidden="1" customWidth="1" outlineLevel="1"/>
    <col min="376" max="376" width="9.6640625" hidden="1" customWidth="1" outlineLevel="1"/>
    <col min="377" max="377" width="9.33203125" hidden="1" customWidth="1" outlineLevel="1"/>
    <col min="378" max="378" width="9.6640625" hidden="1" customWidth="1" outlineLevel="1"/>
    <col min="379" max="379" width="9.88671875" hidden="1" customWidth="1" outlineLevel="1"/>
    <col min="380" max="380" width="9.5546875" hidden="1" customWidth="1" outlineLevel="1"/>
    <col min="381" max="381" width="10.109375" hidden="1" customWidth="1" outlineLevel="1"/>
    <col min="382" max="382" width="9.44140625" hidden="1" customWidth="1" outlineLevel="1"/>
    <col min="383" max="383" width="9.33203125" hidden="1" customWidth="1" outlineLevel="1"/>
    <col min="384" max="384" width="9.88671875" hidden="1" customWidth="1" outlineLevel="1"/>
    <col min="385" max="385" width="9.6640625" hidden="1" customWidth="1" outlineLevel="1"/>
    <col min="386" max="386" width="9.44140625" hidden="1" customWidth="1" outlineLevel="1"/>
    <col min="387" max="387" width="10" hidden="1" customWidth="1" outlineLevel="1"/>
    <col min="388" max="388" width="9.6640625" hidden="1" customWidth="1" outlineLevel="1"/>
    <col min="389" max="389" width="9.33203125" hidden="1" customWidth="1" outlineLevel="1"/>
    <col min="390" max="390" width="9.6640625" hidden="1" customWidth="1" outlineLevel="1"/>
    <col min="391" max="391" width="9.88671875" hidden="1" customWidth="1" outlineLevel="1"/>
    <col min="392" max="392" width="9.5546875" hidden="1" customWidth="1" outlineLevel="1"/>
    <col min="393" max="393" width="10.109375" hidden="1" customWidth="1" outlineLevel="1"/>
    <col min="394" max="394" width="9.44140625" hidden="1" customWidth="1" outlineLevel="1"/>
    <col min="395" max="395" width="9.33203125" hidden="1" customWidth="1" outlineLevel="1"/>
    <col min="396" max="396" width="9.88671875" hidden="1" customWidth="1" outlineLevel="1"/>
    <col min="397" max="397" width="9.6640625" hidden="1" customWidth="1" outlineLevel="1"/>
    <col min="398" max="398" width="9.44140625" hidden="1" customWidth="1" outlineLevel="1"/>
    <col min="399" max="399" width="10" hidden="1" customWidth="1" outlineLevel="1"/>
    <col min="400" max="400" width="9.6640625" hidden="1" customWidth="1" outlineLevel="1"/>
    <col min="401" max="401" width="9.33203125" hidden="1" customWidth="1" outlineLevel="1"/>
    <col min="402" max="402" width="9.6640625" hidden="1" customWidth="1" outlineLevel="1"/>
    <col min="403" max="403" width="9.88671875" hidden="1" customWidth="1" outlineLevel="1"/>
    <col min="404" max="436" width="10.33203125" hidden="1" customWidth="1" outlineLevel="1"/>
    <col min="437" max="437" width="9.109375" customWidth="1" collapsed="1"/>
    <col min="438" max="438" width="2.6640625" customWidth="1"/>
    <col min="439" max="439" width="9.6640625" style="6" hidden="1" customWidth="1" outlineLevel="1"/>
    <col min="440" max="467" width="9.109375" hidden="1" customWidth="1" outlineLevel="1"/>
    <col min="468" max="468" width="10.109375" hidden="1" customWidth="1" outlineLevel="1"/>
    <col min="469" max="571" width="9.109375" hidden="1" customWidth="1" outlineLevel="1"/>
    <col min="572" max="572" width="9.109375" customWidth="1" collapsed="1"/>
    <col min="573" max="573" width="2.6640625" customWidth="1"/>
    <col min="574" max="574" width="9.33203125" hidden="1" customWidth="1" outlineLevel="1"/>
    <col min="575" max="575" width="9.6640625" hidden="1" customWidth="1" outlineLevel="1"/>
    <col min="576" max="576" width="9.88671875" hidden="1" customWidth="1" outlineLevel="1"/>
    <col min="577" max="577" width="9.5546875" hidden="1" customWidth="1" outlineLevel="1"/>
    <col min="578" max="578" width="10.109375" hidden="1" customWidth="1" outlineLevel="1"/>
    <col min="579" max="579" width="9.44140625" hidden="1" customWidth="1" outlineLevel="1"/>
    <col min="580" max="580" width="9" hidden="1" customWidth="1" outlineLevel="1"/>
    <col min="581" max="581" width="9.88671875" hidden="1" customWidth="1" outlineLevel="1"/>
    <col min="582" max="582" width="9.6640625" hidden="1" customWidth="1" outlineLevel="1"/>
    <col min="583" max="583" width="9.44140625" hidden="1" customWidth="1" outlineLevel="1"/>
    <col min="584" max="584" width="10" hidden="1" customWidth="1" outlineLevel="1"/>
    <col min="585" max="585" width="9.6640625" hidden="1" customWidth="1" outlineLevel="1"/>
    <col min="586" max="586" width="9.33203125" hidden="1" customWidth="1" outlineLevel="1"/>
    <col min="587" max="587" width="9.6640625" hidden="1" customWidth="1" outlineLevel="1"/>
    <col min="588" max="588" width="9.88671875" hidden="1" customWidth="1" outlineLevel="1"/>
    <col min="589" max="589" width="9.5546875" hidden="1" customWidth="1" outlineLevel="1"/>
    <col min="590" max="590" width="10.109375" hidden="1" customWidth="1" outlineLevel="1"/>
    <col min="591" max="591" width="9.44140625" hidden="1" customWidth="1" outlineLevel="1"/>
    <col min="592" max="592" width="9.33203125" hidden="1" customWidth="1" outlineLevel="1"/>
    <col min="593" max="593" width="9.88671875" hidden="1" customWidth="1" outlineLevel="1"/>
    <col min="594" max="594" width="9.6640625" hidden="1" customWidth="1" outlineLevel="1"/>
    <col min="595" max="595" width="9.44140625" hidden="1" customWidth="1" outlineLevel="1"/>
    <col min="596" max="596" width="10" hidden="1" customWidth="1" outlineLevel="1"/>
    <col min="597" max="597" width="9.6640625" hidden="1" customWidth="1" outlineLevel="1"/>
    <col min="598" max="598" width="9.33203125" hidden="1" customWidth="1" outlineLevel="1"/>
    <col min="599" max="599" width="9.6640625" hidden="1" customWidth="1" outlineLevel="1"/>
    <col min="600" max="600" width="9.88671875" hidden="1" customWidth="1" outlineLevel="1"/>
    <col min="601" max="601" width="9.5546875" hidden="1" customWidth="1" outlineLevel="1"/>
    <col min="602" max="602" width="10.109375" hidden="1" customWidth="1" outlineLevel="1"/>
    <col min="603" max="603" width="9.44140625" hidden="1" customWidth="1" outlineLevel="1"/>
    <col min="604" max="604" width="9.33203125" hidden="1" customWidth="1" outlineLevel="1"/>
    <col min="605" max="605" width="9.88671875" hidden="1" customWidth="1" outlineLevel="1"/>
    <col min="606" max="606" width="9.6640625" hidden="1" customWidth="1" outlineLevel="1"/>
    <col min="607" max="607" width="9.44140625" hidden="1" customWidth="1" outlineLevel="1"/>
    <col min="608" max="608" width="10" hidden="1" customWidth="1" outlineLevel="1"/>
    <col min="609" max="609" width="9.6640625" hidden="1" customWidth="1" outlineLevel="1"/>
    <col min="610" max="610" width="9.33203125" hidden="1" customWidth="1" outlineLevel="1"/>
    <col min="611" max="611" width="9.6640625" hidden="1" customWidth="1" outlineLevel="1"/>
    <col min="612" max="612" width="9.88671875" hidden="1" customWidth="1" outlineLevel="1"/>
    <col min="613" max="613" width="9.5546875" hidden="1" customWidth="1" outlineLevel="1"/>
    <col min="614" max="614" width="10.109375" hidden="1" customWidth="1" outlineLevel="1"/>
    <col min="615" max="615" width="9.44140625" hidden="1" customWidth="1" outlineLevel="1"/>
    <col min="616" max="616" width="9.33203125" hidden="1" customWidth="1" outlineLevel="1"/>
    <col min="617" max="617" width="9.88671875" hidden="1" customWidth="1" outlineLevel="1"/>
    <col min="618" max="618" width="9.6640625" hidden="1" customWidth="1" outlineLevel="1"/>
    <col min="619" max="619" width="9.44140625" hidden="1" customWidth="1" outlineLevel="1"/>
    <col min="620" max="620" width="10" hidden="1" customWidth="1" outlineLevel="1"/>
    <col min="621" max="621" width="9.6640625" hidden="1" customWidth="1" outlineLevel="1"/>
    <col min="622" max="622" width="9.33203125" hidden="1" customWidth="1" outlineLevel="1"/>
    <col min="623" max="623" width="9.6640625" hidden="1" customWidth="1" outlineLevel="1"/>
    <col min="624" max="624" width="9.88671875" hidden="1" customWidth="1" outlineLevel="1"/>
    <col min="625" max="625" width="9.5546875" hidden="1" customWidth="1" outlineLevel="1"/>
    <col min="626" max="626" width="10.109375" hidden="1" customWidth="1" outlineLevel="1"/>
    <col min="627" max="627" width="9.44140625" hidden="1" customWidth="1" outlineLevel="1"/>
    <col min="628" max="628" width="9.33203125" hidden="1" customWidth="1" outlineLevel="1"/>
    <col min="629" max="629" width="9.88671875" hidden="1" customWidth="1" outlineLevel="1"/>
    <col min="630" max="630" width="9.6640625" hidden="1" customWidth="1" outlineLevel="1"/>
    <col min="631" max="631" width="9.44140625" hidden="1" customWidth="1" outlineLevel="1"/>
    <col min="632" max="632" width="10" hidden="1" customWidth="1" outlineLevel="1"/>
    <col min="633" max="633" width="9.6640625" hidden="1" customWidth="1" outlineLevel="1"/>
    <col min="634" max="634" width="9.33203125" hidden="1" customWidth="1" outlineLevel="1"/>
    <col min="635" max="635" width="9.6640625" hidden="1" customWidth="1" outlineLevel="1"/>
    <col min="636" max="636" width="9.88671875" hidden="1" customWidth="1" outlineLevel="1"/>
    <col min="637" max="637" width="9.5546875" hidden="1" customWidth="1" outlineLevel="1"/>
    <col min="638" max="638" width="10.109375" hidden="1" customWidth="1" outlineLevel="1"/>
    <col min="639" max="639" width="9.44140625" hidden="1" customWidth="1" outlineLevel="1"/>
    <col min="640" max="640" width="9.33203125" hidden="1" customWidth="1" outlineLevel="1"/>
    <col min="641" max="641" width="9.88671875" hidden="1" customWidth="1" outlineLevel="1"/>
    <col min="642" max="642" width="9.6640625" hidden="1" customWidth="1" outlineLevel="1"/>
    <col min="643" max="643" width="9.44140625" hidden="1" customWidth="1" outlineLevel="1"/>
    <col min="644" max="644" width="10" hidden="1" customWidth="1" outlineLevel="1"/>
    <col min="645" max="645" width="9.6640625" hidden="1" customWidth="1" outlineLevel="1"/>
    <col min="646" max="646" width="9.33203125" hidden="1" customWidth="1" outlineLevel="1"/>
    <col min="647" max="647" width="9.6640625" hidden="1" customWidth="1" outlineLevel="1"/>
    <col min="648" max="648" width="9.88671875" hidden="1" customWidth="1" outlineLevel="1"/>
    <col min="649" max="649" width="9.5546875" hidden="1" customWidth="1" outlineLevel="1"/>
    <col min="650" max="650" width="10.109375" hidden="1" customWidth="1" outlineLevel="1"/>
    <col min="651" max="651" width="9.44140625" hidden="1" customWidth="1" outlineLevel="1"/>
    <col min="652" max="652" width="9.33203125" hidden="1" customWidth="1" outlineLevel="1"/>
    <col min="653" max="653" width="9.88671875" hidden="1" customWidth="1" outlineLevel="1"/>
    <col min="654" max="654" width="9.6640625" hidden="1" customWidth="1" outlineLevel="1"/>
    <col min="655" max="655" width="9.44140625" hidden="1" customWidth="1" outlineLevel="1"/>
    <col min="656" max="656" width="10" hidden="1" customWidth="1" outlineLevel="1"/>
    <col min="657" max="657" width="9.6640625" hidden="1" customWidth="1" outlineLevel="1"/>
    <col min="658" max="658" width="9.33203125" hidden="1" customWidth="1" outlineLevel="1"/>
    <col min="659" max="659" width="9.6640625" hidden="1" customWidth="1" outlineLevel="1"/>
    <col min="660" max="660" width="9.88671875" hidden="1" customWidth="1" outlineLevel="1"/>
    <col min="661" max="661" width="9.5546875" hidden="1" customWidth="1" outlineLevel="1"/>
    <col min="662" max="662" width="10.109375" hidden="1" customWidth="1" outlineLevel="1"/>
    <col min="663" max="663" width="9.44140625" hidden="1" customWidth="1" outlineLevel="1"/>
    <col min="664" max="664" width="9.33203125" hidden="1" customWidth="1" outlineLevel="1"/>
    <col min="665" max="665" width="9.88671875" hidden="1" customWidth="1" outlineLevel="1"/>
    <col min="666" max="666" width="9.6640625" hidden="1" customWidth="1" outlineLevel="1"/>
    <col min="667" max="667" width="9.44140625" hidden="1" customWidth="1" outlineLevel="1"/>
    <col min="668" max="668" width="10" hidden="1" customWidth="1" outlineLevel="1"/>
    <col min="669" max="669" width="9.6640625" hidden="1" customWidth="1" outlineLevel="1"/>
    <col min="670" max="670" width="9.33203125" hidden="1" customWidth="1" outlineLevel="1"/>
    <col min="671" max="671" width="9.6640625" hidden="1" customWidth="1" outlineLevel="1"/>
    <col min="672" max="672" width="9.88671875" hidden="1" customWidth="1" outlineLevel="1"/>
    <col min="673" max="705" width="10.33203125" hidden="1" customWidth="1" outlineLevel="1"/>
    <col min="706" max="706" width="5.6640625" bestFit="1" customWidth="1" collapsed="1"/>
    <col min="707" max="707" width="2.6640625" customWidth="1"/>
    <col min="708" max="730" width="11.5546875" hidden="1" customWidth="1" outlineLevel="1"/>
    <col min="731" max="735" width="10.5546875" hidden="1" customWidth="1" outlineLevel="1"/>
    <col min="736" max="839" width="11.5546875" hidden="1" customWidth="1" outlineLevel="1"/>
    <col min="840" max="840" width="9.109375" customWidth="1" collapsed="1"/>
    <col min="841" max="841" width="2.6640625" customWidth="1"/>
    <col min="842" max="842" width="9.33203125" hidden="1" customWidth="1" outlineLevel="1"/>
    <col min="843" max="843" width="9.6640625" hidden="1" customWidth="1" outlineLevel="1"/>
    <col min="844" max="844" width="9.88671875" hidden="1" customWidth="1" outlineLevel="1"/>
    <col min="845" max="845" width="9.5546875" hidden="1" customWidth="1" outlineLevel="1"/>
    <col min="846" max="846" width="10.109375" hidden="1" customWidth="1" outlineLevel="1"/>
    <col min="847" max="847" width="9.44140625" hidden="1" customWidth="1" outlineLevel="1"/>
    <col min="848" max="848" width="8.88671875" hidden="1" customWidth="1" outlineLevel="1"/>
    <col min="849" max="849" width="9.88671875" hidden="1" customWidth="1" outlineLevel="1"/>
    <col min="850" max="850" width="9.6640625" hidden="1" customWidth="1" outlineLevel="1"/>
    <col min="851" max="851" width="9.44140625" hidden="1" customWidth="1" outlineLevel="1"/>
    <col min="852" max="852" width="10" hidden="1" customWidth="1" outlineLevel="1"/>
    <col min="853" max="853" width="9.6640625" hidden="1" customWidth="1" outlineLevel="1"/>
    <col min="854" max="854" width="9.33203125" hidden="1" customWidth="1" outlineLevel="1"/>
    <col min="855" max="855" width="9.6640625" hidden="1" customWidth="1" outlineLevel="1"/>
    <col min="856" max="856" width="9.88671875" hidden="1" customWidth="1" outlineLevel="1"/>
    <col min="857" max="857" width="9.5546875" hidden="1" customWidth="1" outlineLevel="1"/>
    <col min="858" max="858" width="10.109375" hidden="1" customWidth="1" outlineLevel="1"/>
    <col min="859" max="859" width="9.44140625" hidden="1" customWidth="1" outlineLevel="1"/>
    <col min="860" max="860" width="9.33203125" hidden="1" customWidth="1" outlineLevel="1"/>
    <col min="861" max="861" width="9.88671875" hidden="1" customWidth="1" outlineLevel="1"/>
    <col min="862" max="862" width="9.6640625" hidden="1" customWidth="1" outlineLevel="1"/>
    <col min="863" max="863" width="9.44140625" hidden="1" customWidth="1" outlineLevel="1"/>
    <col min="864" max="864" width="10" hidden="1" customWidth="1" outlineLevel="1"/>
    <col min="865" max="865" width="9.6640625" hidden="1" customWidth="1" outlineLevel="1"/>
    <col min="866" max="866" width="9.33203125" hidden="1" customWidth="1" outlineLevel="1"/>
    <col min="867" max="867" width="9.6640625" hidden="1" customWidth="1" outlineLevel="1"/>
    <col min="868" max="868" width="9.88671875" hidden="1" customWidth="1" outlineLevel="1"/>
    <col min="869" max="869" width="9.5546875" hidden="1" customWidth="1" outlineLevel="1"/>
    <col min="870" max="870" width="10.109375" hidden="1" customWidth="1" outlineLevel="1"/>
    <col min="871" max="871" width="9.44140625" hidden="1" customWidth="1" outlineLevel="1"/>
    <col min="872" max="872" width="9.33203125" hidden="1" customWidth="1" outlineLevel="1"/>
    <col min="873" max="873" width="9.88671875" hidden="1" customWidth="1" outlineLevel="1"/>
    <col min="874" max="874" width="9.6640625" hidden="1" customWidth="1" outlineLevel="1"/>
    <col min="875" max="875" width="9.44140625" hidden="1" customWidth="1" outlineLevel="1"/>
    <col min="876" max="876" width="10" hidden="1" customWidth="1" outlineLevel="1"/>
    <col min="877" max="877" width="9.6640625" hidden="1" customWidth="1" outlineLevel="1"/>
    <col min="878" max="878" width="9.33203125" hidden="1" customWidth="1" outlineLevel="1"/>
    <col min="879" max="879" width="9.6640625" hidden="1" customWidth="1" outlineLevel="1"/>
    <col min="880" max="880" width="9.88671875" hidden="1" customWidth="1" outlineLevel="1"/>
    <col min="881" max="881" width="9.5546875" hidden="1" customWidth="1" outlineLevel="1"/>
    <col min="882" max="882" width="10.109375" hidden="1" customWidth="1" outlineLevel="1"/>
    <col min="883" max="883" width="9.44140625" hidden="1" customWidth="1" outlineLevel="1"/>
    <col min="884" max="884" width="9.33203125" hidden="1" customWidth="1" outlineLevel="1"/>
    <col min="885" max="885" width="9.88671875" hidden="1" customWidth="1" outlineLevel="1"/>
    <col min="886" max="886" width="9.6640625" hidden="1" customWidth="1" outlineLevel="1"/>
    <col min="887" max="887" width="9.44140625" hidden="1" customWidth="1" outlineLevel="1"/>
    <col min="888" max="888" width="10" hidden="1" customWidth="1" outlineLevel="1"/>
    <col min="889" max="889" width="9.6640625" hidden="1" customWidth="1" outlineLevel="1"/>
    <col min="890" max="890" width="9.33203125" hidden="1" customWidth="1" outlineLevel="1"/>
    <col min="891" max="891" width="9.6640625" hidden="1" customWidth="1" outlineLevel="1"/>
    <col min="892" max="892" width="9.88671875" hidden="1" customWidth="1" outlineLevel="1"/>
    <col min="893" max="893" width="9.5546875" hidden="1" customWidth="1" outlineLevel="1"/>
    <col min="894" max="894" width="10.109375" hidden="1" customWidth="1" outlineLevel="1"/>
    <col min="895" max="895" width="9.44140625" hidden="1" customWidth="1" outlineLevel="1"/>
    <col min="896" max="896" width="9.33203125" hidden="1" customWidth="1" outlineLevel="1"/>
    <col min="897" max="897" width="9.88671875" hidden="1" customWidth="1" outlineLevel="1"/>
    <col min="898" max="898" width="9.6640625" hidden="1" customWidth="1" outlineLevel="1"/>
    <col min="899" max="899" width="9.44140625" hidden="1" customWidth="1" outlineLevel="1"/>
    <col min="900" max="900" width="10" hidden="1" customWidth="1" outlineLevel="1"/>
    <col min="901" max="901" width="9.6640625" hidden="1" customWidth="1" outlineLevel="1"/>
    <col min="902" max="902" width="9.33203125" hidden="1" customWidth="1" outlineLevel="1"/>
    <col min="903" max="903" width="9.6640625" hidden="1" customWidth="1" outlineLevel="1"/>
    <col min="904" max="904" width="9.88671875" hidden="1" customWidth="1" outlineLevel="1"/>
    <col min="905" max="905" width="9.5546875" hidden="1" customWidth="1" outlineLevel="1"/>
    <col min="906" max="906" width="10.109375" hidden="1" customWidth="1" outlineLevel="1"/>
    <col min="907" max="907" width="9.44140625" hidden="1" customWidth="1" outlineLevel="1"/>
    <col min="908" max="908" width="9.33203125" hidden="1" customWidth="1" outlineLevel="1"/>
    <col min="909" max="909" width="9.88671875" hidden="1" customWidth="1" outlineLevel="1"/>
    <col min="910" max="910" width="9.6640625" hidden="1" customWidth="1" outlineLevel="1"/>
    <col min="911" max="911" width="9.44140625" hidden="1" customWidth="1" outlineLevel="1"/>
    <col min="912" max="912" width="10" hidden="1" customWidth="1" outlineLevel="1"/>
    <col min="913" max="913" width="9.6640625" hidden="1" customWidth="1" outlineLevel="1"/>
    <col min="914" max="914" width="9.33203125" hidden="1" customWidth="1" outlineLevel="1"/>
    <col min="915" max="915" width="9.6640625" hidden="1" customWidth="1" outlineLevel="1"/>
    <col min="916" max="916" width="9.88671875" hidden="1" customWidth="1" outlineLevel="1"/>
    <col min="917" max="917" width="9.5546875" hidden="1" customWidth="1" outlineLevel="1"/>
    <col min="918" max="918" width="10.109375" hidden="1" customWidth="1" outlineLevel="1"/>
    <col min="919" max="919" width="9.44140625" hidden="1" customWidth="1" outlineLevel="1"/>
    <col min="920" max="920" width="9.33203125" hidden="1" customWidth="1" outlineLevel="1"/>
    <col min="921" max="921" width="9.88671875" hidden="1" customWidth="1" outlineLevel="1"/>
    <col min="922" max="922" width="9.6640625" hidden="1" customWidth="1" outlineLevel="1"/>
    <col min="923" max="923" width="9.44140625" hidden="1" customWidth="1" outlineLevel="1"/>
    <col min="924" max="924" width="10" hidden="1" customWidth="1" outlineLevel="1"/>
    <col min="925" max="925" width="9.6640625" hidden="1" customWidth="1" outlineLevel="1"/>
    <col min="926" max="926" width="9.33203125" hidden="1" customWidth="1" outlineLevel="1"/>
    <col min="927" max="927" width="9.6640625" hidden="1" customWidth="1" outlineLevel="1"/>
    <col min="928" max="928" width="9.88671875" hidden="1" customWidth="1" outlineLevel="1"/>
    <col min="929" max="929" width="9.5546875" hidden="1" customWidth="1" outlineLevel="1"/>
    <col min="930" max="930" width="10.109375" hidden="1" customWidth="1" outlineLevel="1"/>
    <col min="931" max="931" width="9.44140625" hidden="1" customWidth="1" outlineLevel="1"/>
    <col min="932" max="932" width="9.33203125" hidden="1" customWidth="1" outlineLevel="1"/>
    <col min="933" max="933" width="9.88671875" hidden="1" customWidth="1" outlineLevel="1"/>
    <col min="934" max="934" width="9.6640625" hidden="1" customWidth="1" outlineLevel="1"/>
    <col min="935" max="935" width="9.44140625" hidden="1" customWidth="1" outlineLevel="1"/>
    <col min="936" max="936" width="10" hidden="1" customWidth="1" outlineLevel="1"/>
    <col min="937" max="937" width="9.6640625" hidden="1" customWidth="1" outlineLevel="1"/>
    <col min="938" max="938" width="9.33203125" hidden="1" customWidth="1" outlineLevel="1"/>
    <col min="939" max="939" width="9.6640625" hidden="1" customWidth="1" outlineLevel="1"/>
    <col min="940" max="940" width="9.88671875" hidden="1" customWidth="1" outlineLevel="1"/>
    <col min="941" max="973" width="10.33203125" hidden="1" customWidth="1" outlineLevel="1"/>
    <col min="974" max="974" width="9.109375" customWidth="1" collapsed="1"/>
    <col min="975" max="975" width="2.6640625" customWidth="1"/>
    <col min="976" max="976" width="9.33203125" hidden="1" customWidth="1" outlineLevel="1"/>
    <col min="977" max="977" width="9.6640625" hidden="1" customWidth="1" outlineLevel="1"/>
    <col min="978" max="978" width="9.88671875" hidden="1" customWidth="1" outlineLevel="1"/>
    <col min="979" max="979" width="9.5546875" hidden="1" customWidth="1" outlineLevel="1"/>
    <col min="980" max="980" width="10.109375" hidden="1" customWidth="1" outlineLevel="1"/>
    <col min="981" max="981" width="9.44140625" hidden="1" customWidth="1" outlineLevel="1"/>
    <col min="982" max="982" width="8.88671875" hidden="1" customWidth="1" outlineLevel="1"/>
    <col min="983" max="983" width="9.88671875" hidden="1" customWidth="1" outlineLevel="1"/>
    <col min="984" max="984" width="9.6640625" hidden="1" customWidth="1" outlineLevel="1"/>
    <col min="985" max="985" width="9.44140625" hidden="1" customWidth="1" outlineLevel="1"/>
    <col min="986" max="986" width="10" hidden="1" customWidth="1" outlineLevel="1"/>
    <col min="987" max="987" width="9.6640625" hidden="1" customWidth="1" outlineLevel="1"/>
    <col min="988" max="988" width="9.33203125" hidden="1" customWidth="1" outlineLevel="1"/>
    <col min="989" max="989" width="9.6640625" hidden="1" customWidth="1" outlineLevel="1"/>
    <col min="990" max="990" width="9.88671875" hidden="1" customWidth="1" outlineLevel="1"/>
    <col min="991" max="991" width="9.5546875" hidden="1" customWidth="1" outlineLevel="1"/>
    <col min="992" max="992" width="10.109375" hidden="1" customWidth="1" outlineLevel="1"/>
    <col min="993" max="993" width="9.44140625" hidden="1" customWidth="1" outlineLevel="1"/>
    <col min="994" max="994" width="9.33203125" hidden="1" customWidth="1" outlineLevel="1"/>
    <col min="995" max="995" width="9.88671875" hidden="1" customWidth="1" outlineLevel="1"/>
    <col min="996" max="996" width="9.6640625" hidden="1" customWidth="1" outlineLevel="1"/>
    <col min="997" max="997" width="9.44140625" hidden="1" customWidth="1" outlineLevel="1"/>
    <col min="998" max="998" width="10" hidden="1" customWidth="1" outlineLevel="1"/>
    <col min="999" max="999" width="9.6640625" hidden="1" customWidth="1" outlineLevel="1"/>
    <col min="1000" max="1000" width="9.33203125" hidden="1" customWidth="1" outlineLevel="1"/>
    <col min="1001" max="1001" width="9.6640625" hidden="1" customWidth="1" outlineLevel="1"/>
    <col min="1002" max="1002" width="9.88671875" hidden="1" customWidth="1" outlineLevel="1"/>
    <col min="1003" max="1003" width="9.5546875" hidden="1" customWidth="1" outlineLevel="1"/>
    <col min="1004" max="1004" width="10.109375" hidden="1" customWidth="1" outlineLevel="1"/>
    <col min="1005" max="1005" width="9.44140625" hidden="1" customWidth="1" outlineLevel="1"/>
    <col min="1006" max="1006" width="9.33203125" hidden="1" customWidth="1" outlineLevel="1"/>
    <col min="1007" max="1007" width="9.88671875" hidden="1" customWidth="1" outlineLevel="1"/>
    <col min="1008" max="1008" width="9.6640625" hidden="1" customWidth="1" outlineLevel="1"/>
    <col min="1009" max="1009" width="9.44140625" hidden="1" customWidth="1" outlineLevel="1"/>
    <col min="1010" max="1010" width="10" hidden="1" customWidth="1" outlineLevel="1"/>
    <col min="1011" max="1011" width="9.6640625" hidden="1" customWidth="1" outlineLevel="1"/>
    <col min="1012" max="1012" width="9.33203125" hidden="1" customWidth="1" outlineLevel="1"/>
    <col min="1013" max="1013" width="9.6640625" hidden="1" customWidth="1" outlineLevel="1"/>
    <col min="1014" max="1014" width="9.88671875" hidden="1" customWidth="1" outlineLevel="1"/>
    <col min="1015" max="1015" width="9.5546875" hidden="1" customWidth="1" outlineLevel="1"/>
    <col min="1016" max="1016" width="10.109375" hidden="1" customWidth="1" outlineLevel="1"/>
    <col min="1017" max="1017" width="9.44140625" hidden="1" customWidth="1" outlineLevel="1"/>
    <col min="1018" max="1018" width="9.33203125" hidden="1" customWidth="1" outlineLevel="1"/>
    <col min="1019" max="1019" width="9.88671875" hidden="1" customWidth="1" outlineLevel="1"/>
    <col min="1020" max="1020" width="9.6640625" hidden="1" customWidth="1" outlineLevel="1"/>
    <col min="1021" max="1021" width="9.44140625" hidden="1" customWidth="1" outlineLevel="1"/>
    <col min="1022" max="1022" width="10" hidden="1" customWidth="1" outlineLevel="1"/>
    <col min="1023" max="1023" width="9.6640625" hidden="1" customWidth="1" outlineLevel="1"/>
    <col min="1024" max="1024" width="9.33203125" hidden="1" customWidth="1" outlineLevel="1"/>
    <col min="1025" max="1025" width="9.6640625" hidden="1" customWidth="1" outlineLevel="1"/>
    <col min="1026" max="1026" width="9.88671875" hidden="1" customWidth="1" outlineLevel="1"/>
    <col min="1027" max="1027" width="9.5546875" hidden="1" customWidth="1" outlineLevel="1"/>
    <col min="1028" max="1028" width="10.109375" hidden="1" customWidth="1" outlineLevel="1"/>
    <col min="1029" max="1029" width="9.44140625" hidden="1" customWidth="1" outlineLevel="1"/>
    <col min="1030" max="1030" width="9.33203125" hidden="1" customWidth="1" outlineLevel="1"/>
    <col min="1031" max="1031" width="9.88671875" hidden="1" customWidth="1" outlineLevel="1"/>
    <col min="1032" max="1032" width="9.6640625" hidden="1" customWidth="1" outlineLevel="1"/>
    <col min="1033" max="1033" width="9.44140625" hidden="1" customWidth="1" outlineLevel="1"/>
    <col min="1034" max="1034" width="10" hidden="1" customWidth="1" outlineLevel="1"/>
    <col min="1035" max="1035" width="9.6640625" hidden="1" customWidth="1" outlineLevel="1"/>
    <col min="1036" max="1036" width="9.33203125" hidden="1" customWidth="1" outlineLevel="1"/>
    <col min="1037" max="1037" width="9.6640625" hidden="1" customWidth="1" outlineLevel="1"/>
    <col min="1038" max="1038" width="9.88671875" hidden="1" customWidth="1" outlineLevel="1"/>
    <col min="1039" max="1039" width="9.5546875" hidden="1" customWidth="1" outlineLevel="1"/>
    <col min="1040" max="1040" width="10.109375" hidden="1" customWidth="1" outlineLevel="1"/>
    <col min="1041" max="1041" width="9.44140625" hidden="1" customWidth="1" outlineLevel="1"/>
    <col min="1042" max="1042" width="9.33203125" hidden="1" customWidth="1" outlineLevel="1"/>
    <col min="1043" max="1043" width="9.88671875" hidden="1" customWidth="1" outlineLevel="1"/>
    <col min="1044" max="1044" width="9.6640625" hidden="1" customWidth="1" outlineLevel="1"/>
    <col min="1045" max="1045" width="9.44140625" hidden="1" customWidth="1" outlineLevel="1"/>
    <col min="1046" max="1046" width="10" hidden="1" customWidth="1" outlineLevel="1"/>
    <col min="1047" max="1047" width="9.6640625" hidden="1" customWidth="1" outlineLevel="1"/>
    <col min="1048" max="1048" width="9.33203125" hidden="1" customWidth="1" outlineLevel="1"/>
    <col min="1049" max="1049" width="9.6640625" hidden="1" customWidth="1" outlineLevel="1"/>
    <col min="1050" max="1050" width="9.88671875" hidden="1" customWidth="1" outlineLevel="1"/>
    <col min="1051" max="1051" width="9.5546875" hidden="1" customWidth="1" outlineLevel="1"/>
    <col min="1052" max="1052" width="10.109375" hidden="1" customWidth="1" outlineLevel="1"/>
    <col min="1053" max="1053" width="9.44140625" hidden="1" customWidth="1" outlineLevel="1"/>
    <col min="1054" max="1054" width="9.33203125" hidden="1" customWidth="1" outlineLevel="1"/>
    <col min="1055" max="1055" width="9.88671875" hidden="1" customWidth="1" outlineLevel="1"/>
    <col min="1056" max="1056" width="9.6640625" hidden="1" customWidth="1" outlineLevel="1"/>
    <col min="1057" max="1057" width="9.44140625" hidden="1" customWidth="1" outlineLevel="1"/>
    <col min="1058" max="1058" width="10" hidden="1" customWidth="1" outlineLevel="1"/>
    <col min="1059" max="1059" width="9.6640625" hidden="1" customWidth="1" outlineLevel="1"/>
    <col min="1060" max="1060" width="9.33203125" hidden="1" customWidth="1" outlineLevel="1"/>
    <col min="1061" max="1061" width="9.6640625" hidden="1" customWidth="1" outlineLevel="1"/>
    <col min="1062" max="1062" width="9.88671875" hidden="1" customWidth="1" outlineLevel="1"/>
    <col min="1063" max="1063" width="9.5546875" hidden="1" customWidth="1" outlineLevel="1"/>
    <col min="1064" max="1064" width="10.109375" hidden="1" customWidth="1" outlineLevel="1"/>
    <col min="1065" max="1065" width="9.44140625" hidden="1" customWidth="1" outlineLevel="1"/>
    <col min="1066" max="1066" width="9.33203125" hidden="1" customWidth="1" outlineLevel="1"/>
    <col min="1067" max="1067" width="9.88671875" hidden="1" customWidth="1" outlineLevel="1"/>
    <col min="1068" max="1068" width="9.6640625" hidden="1" customWidth="1" outlineLevel="1"/>
    <col min="1069" max="1069" width="9.44140625" hidden="1" customWidth="1" outlineLevel="1"/>
    <col min="1070" max="1070" width="10" hidden="1" customWidth="1" outlineLevel="1"/>
    <col min="1071" max="1071" width="9.6640625" hidden="1" customWidth="1" outlineLevel="1"/>
    <col min="1072" max="1072" width="9.33203125" hidden="1" customWidth="1" outlineLevel="1"/>
    <col min="1073" max="1073" width="9.6640625" hidden="1" customWidth="1" outlineLevel="1"/>
    <col min="1074" max="1074" width="9.88671875" hidden="1" customWidth="1" outlineLevel="1"/>
    <col min="1075" max="1107" width="10.33203125" hidden="1" customWidth="1" outlineLevel="1"/>
    <col min="1108" max="1108" width="9.109375" customWidth="1" collapsed="1"/>
    <col min="1109" max="1109" width="2.6640625" customWidth="1"/>
    <col min="1110" max="1110" width="9.33203125" hidden="1" customWidth="1" outlineLevel="1"/>
    <col min="1111" max="1111" width="9.6640625" hidden="1" customWidth="1" outlineLevel="1"/>
    <col min="1112" max="1112" width="9.88671875" hidden="1" customWidth="1" outlineLevel="1"/>
    <col min="1113" max="1113" width="9.5546875" hidden="1" customWidth="1" outlineLevel="1"/>
    <col min="1114" max="1114" width="10.109375" hidden="1" customWidth="1" outlineLevel="1"/>
    <col min="1115" max="1115" width="9.44140625" hidden="1" customWidth="1" outlineLevel="1"/>
    <col min="1116" max="1116" width="8.88671875" hidden="1" customWidth="1" outlineLevel="1"/>
    <col min="1117" max="1117" width="9.88671875" hidden="1" customWidth="1" outlineLevel="1"/>
    <col min="1118" max="1118" width="9.6640625" hidden="1" customWidth="1" outlineLevel="1"/>
    <col min="1119" max="1119" width="9.44140625" hidden="1" customWidth="1" outlineLevel="1"/>
    <col min="1120" max="1120" width="10" hidden="1" customWidth="1" outlineLevel="1"/>
    <col min="1121" max="1121" width="9.6640625" hidden="1" customWidth="1" outlineLevel="1"/>
    <col min="1122" max="1122" width="9.33203125" hidden="1" customWidth="1" outlineLevel="1"/>
    <col min="1123" max="1123" width="9.6640625" hidden="1" customWidth="1" outlineLevel="1"/>
    <col min="1124" max="1124" width="9.88671875" hidden="1" customWidth="1" outlineLevel="1"/>
    <col min="1125" max="1125" width="9.5546875" hidden="1" customWidth="1" outlineLevel="1"/>
    <col min="1126" max="1126" width="10.109375" hidden="1" customWidth="1" outlineLevel="1"/>
    <col min="1127" max="1127" width="9.44140625" hidden="1" customWidth="1" outlineLevel="1"/>
    <col min="1128" max="1128" width="9.33203125" hidden="1" customWidth="1" outlineLevel="1"/>
    <col min="1129" max="1129" width="9.88671875" hidden="1" customWidth="1" outlineLevel="1"/>
    <col min="1130" max="1130" width="9.6640625" hidden="1" customWidth="1" outlineLevel="1"/>
    <col min="1131" max="1131" width="9.44140625" hidden="1" customWidth="1" outlineLevel="1"/>
    <col min="1132" max="1132" width="10" hidden="1" customWidth="1" outlineLevel="1"/>
    <col min="1133" max="1133" width="9.6640625" hidden="1" customWidth="1" outlineLevel="1"/>
    <col min="1134" max="1134" width="9.33203125" hidden="1" customWidth="1" outlineLevel="1"/>
    <col min="1135" max="1135" width="9.6640625" hidden="1" customWidth="1" outlineLevel="1"/>
    <col min="1136" max="1136" width="9.88671875" hidden="1" customWidth="1" outlineLevel="1"/>
    <col min="1137" max="1137" width="10.5546875" hidden="1" customWidth="1" outlineLevel="1"/>
    <col min="1138" max="1138" width="10.109375" hidden="1" customWidth="1" outlineLevel="1"/>
    <col min="1139" max="1139" width="9.44140625" hidden="1" customWidth="1" outlineLevel="1"/>
    <col min="1140" max="1140" width="9.33203125" hidden="1" customWidth="1" outlineLevel="1"/>
    <col min="1141" max="1141" width="9.88671875" hidden="1" customWidth="1" outlineLevel="1"/>
    <col min="1142" max="1142" width="9.6640625" hidden="1" customWidth="1" outlineLevel="1"/>
    <col min="1143" max="1143" width="9.44140625" hidden="1" customWidth="1" outlineLevel="1"/>
    <col min="1144" max="1144" width="10" hidden="1" customWidth="1" outlineLevel="1"/>
    <col min="1145" max="1145" width="9.6640625" hidden="1" customWidth="1" outlineLevel="1"/>
    <col min="1146" max="1146" width="9.33203125" hidden="1" customWidth="1" outlineLevel="1"/>
    <col min="1147" max="1147" width="9.6640625" hidden="1" customWidth="1" outlineLevel="1"/>
    <col min="1148" max="1148" width="9.88671875" hidden="1" customWidth="1" outlineLevel="1"/>
    <col min="1149" max="1149" width="9.5546875" hidden="1" customWidth="1" outlineLevel="1"/>
    <col min="1150" max="1150" width="10.109375" hidden="1" customWidth="1" outlineLevel="1"/>
    <col min="1151" max="1151" width="9.44140625" hidden="1" customWidth="1" outlineLevel="1"/>
    <col min="1152" max="1152" width="9.33203125" hidden="1" customWidth="1" outlineLevel="1"/>
    <col min="1153" max="1153" width="9.88671875" hidden="1" customWidth="1" outlineLevel="1"/>
    <col min="1154" max="1154" width="9.6640625" hidden="1" customWidth="1" outlineLevel="1"/>
    <col min="1155" max="1155" width="9.44140625" hidden="1" customWidth="1" outlineLevel="1"/>
    <col min="1156" max="1156" width="10" hidden="1" customWidth="1" outlineLevel="1"/>
    <col min="1157" max="1157" width="9.6640625" hidden="1" customWidth="1" outlineLevel="1"/>
    <col min="1158" max="1158" width="9.33203125" hidden="1" customWidth="1" outlineLevel="1"/>
    <col min="1159" max="1159" width="9.6640625" hidden="1" customWidth="1" outlineLevel="1"/>
    <col min="1160" max="1160" width="9.88671875" hidden="1" customWidth="1" outlineLevel="1"/>
    <col min="1161" max="1161" width="9.5546875" hidden="1" customWidth="1" outlineLevel="1"/>
    <col min="1162" max="1162" width="10.109375" hidden="1" customWidth="1" outlineLevel="1"/>
    <col min="1163" max="1163" width="9.44140625" hidden="1" customWidth="1" outlineLevel="1"/>
    <col min="1164" max="1164" width="9.33203125" hidden="1" customWidth="1" outlineLevel="1"/>
    <col min="1165" max="1165" width="9.88671875" hidden="1" customWidth="1" outlineLevel="1"/>
    <col min="1166" max="1166" width="9.6640625" hidden="1" customWidth="1" outlineLevel="1"/>
    <col min="1167" max="1167" width="9.44140625" hidden="1" customWidth="1" outlineLevel="1"/>
    <col min="1168" max="1168" width="10" hidden="1" customWidth="1" outlineLevel="1"/>
    <col min="1169" max="1169" width="9.6640625" hidden="1" customWidth="1" outlineLevel="1"/>
    <col min="1170" max="1170" width="9.33203125" hidden="1" customWidth="1" outlineLevel="1"/>
    <col min="1171" max="1171" width="9.6640625" hidden="1" customWidth="1" outlineLevel="1"/>
    <col min="1172" max="1172" width="9.88671875" hidden="1" customWidth="1" outlineLevel="1"/>
    <col min="1173" max="1173" width="9.5546875" hidden="1" customWidth="1" outlineLevel="1"/>
    <col min="1174" max="1174" width="10.109375" hidden="1" customWidth="1" outlineLevel="1"/>
    <col min="1175" max="1175" width="9.44140625" hidden="1" customWidth="1" outlineLevel="1"/>
    <col min="1176" max="1176" width="9.33203125" hidden="1" customWidth="1" outlineLevel="1"/>
    <col min="1177" max="1177" width="9.88671875" hidden="1" customWidth="1" outlineLevel="1"/>
    <col min="1178" max="1178" width="9.6640625" hidden="1" customWidth="1" outlineLevel="1"/>
    <col min="1179" max="1179" width="9.44140625" hidden="1" customWidth="1" outlineLevel="1"/>
    <col min="1180" max="1180" width="10" hidden="1" customWidth="1" outlineLevel="1"/>
    <col min="1181" max="1181" width="9.6640625" hidden="1" customWidth="1" outlineLevel="1"/>
    <col min="1182" max="1182" width="9.33203125" hidden="1" customWidth="1" outlineLevel="1"/>
    <col min="1183" max="1183" width="9.6640625" hidden="1" customWidth="1" outlineLevel="1"/>
    <col min="1184" max="1184" width="9.88671875" hidden="1" customWidth="1" outlineLevel="1"/>
    <col min="1185" max="1185" width="9.5546875" hidden="1" customWidth="1" outlineLevel="1"/>
    <col min="1186" max="1186" width="10.109375" hidden="1" customWidth="1" outlineLevel="1"/>
    <col min="1187" max="1187" width="9.44140625" hidden="1" customWidth="1" outlineLevel="1"/>
    <col min="1188" max="1188" width="9.33203125" hidden="1" customWidth="1" outlineLevel="1"/>
    <col min="1189" max="1189" width="9.88671875" hidden="1" customWidth="1" outlineLevel="1"/>
    <col min="1190" max="1190" width="9.6640625" hidden="1" customWidth="1" outlineLevel="1"/>
    <col min="1191" max="1191" width="9.44140625" hidden="1" customWidth="1" outlineLevel="1"/>
    <col min="1192" max="1192" width="10" hidden="1" customWidth="1" outlineLevel="1"/>
    <col min="1193" max="1193" width="9.6640625" hidden="1" customWidth="1" outlineLevel="1"/>
    <col min="1194" max="1194" width="9.33203125" hidden="1" customWidth="1" outlineLevel="1"/>
    <col min="1195" max="1195" width="9.6640625" hidden="1" customWidth="1" outlineLevel="1"/>
    <col min="1196" max="1196" width="9.88671875" hidden="1" customWidth="1" outlineLevel="1"/>
    <col min="1197" max="1197" width="9.5546875" hidden="1" customWidth="1" outlineLevel="1"/>
    <col min="1198" max="1198" width="10.109375" hidden="1" customWidth="1" outlineLevel="1"/>
    <col min="1199" max="1199" width="9.44140625" hidden="1" customWidth="1" outlineLevel="1"/>
    <col min="1200" max="1200" width="9.33203125" hidden="1" customWidth="1" outlineLevel="1"/>
    <col min="1201" max="1201" width="9.88671875" hidden="1" customWidth="1" outlineLevel="1"/>
    <col min="1202" max="1202" width="9.6640625" hidden="1" customWidth="1" outlineLevel="1"/>
    <col min="1203" max="1203" width="9.44140625" hidden="1" customWidth="1" outlineLevel="1"/>
    <col min="1204" max="1204" width="10" hidden="1" customWidth="1" outlineLevel="1"/>
    <col min="1205" max="1205" width="9.6640625" hidden="1" customWidth="1" outlineLevel="1"/>
    <col min="1206" max="1206" width="9.33203125" hidden="1" customWidth="1" outlineLevel="1"/>
    <col min="1207" max="1207" width="9.6640625" hidden="1" customWidth="1" outlineLevel="1"/>
    <col min="1208" max="1208" width="9.88671875" hidden="1" customWidth="1" outlineLevel="1"/>
    <col min="1209" max="1241" width="10.33203125" hidden="1" customWidth="1" outlineLevel="1"/>
    <col min="1242" max="1242" width="9.109375" customWidth="1" collapsed="1"/>
    <col min="1243" max="1243" width="2.6640625" customWidth="1"/>
    <col min="1244" max="1245" width="0" hidden="1" customWidth="1"/>
    <col min="1246" max="16384" width="9.109375" hidden="1"/>
  </cols>
  <sheetData>
    <row r="1" spans="1:1243" x14ac:dyDescent="0.3">
      <c r="E1" s="12"/>
      <c r="F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</row>
    <row r="2" spans="1:1243" ht="15.6" x14ac:dyDescent="0.3">
      <c r="B2" s="40" t="s">
        <v>25</v>
      </c>
      <c r="C2" s="1"/>
      <c r="D2" s="31"/>
      <c r="E2" s="11"/>
      <c r="F2" s="11"/>
      <c r="G2" s="31"/>
      <c r="H2" s="31"/>
      <c r="I2" s="3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J2" s="61" t="s">
        <v>72</v>
      </c>
      <c r="FL2" s="62" t="s">
        <v>65</v>
      </c>
      <c r="FN2" s="61" t="s">
        <v>71</v>
      </c>
      <c r="KP2" s="62" t="s">
        <v>67</v>
      </c>
      <c r="KQ2" s="62"/>
      <c r="KR2" s="61" t="s">
        <v>61</v>
      </c>
      <c r="PU2" s="62" t="s">
        <v>65</v>
      </c>
      <c r="PW2" s="61" t="s">
        <v>62</v>
      </c>
      <c r="UZ2" s="62" t="s">
        <v>67</v>
      </c>
      <c r="VA2" s="62"/>
      <c r="VB2" s="61" t="s">
        <v>22</v>
      </c>
      <c r="AAD2" s="62" t="s">
        <v>78</v>
      </c>
      <c r="AAF2" s="61" t="s">
        <v>1</v>
      </c>
      <c r="AFH2" s="62" t="s">
        <v>68</v>
      </c>
      <c r="AFJ2" s="61" t="s">
        <v>63</v>
      </c>
      <c r="AKL2" s="62" t="s">
        <v>69</v>
      </c>
      <c r="AKN2" s="61" t="s">
        <v>64</v>
      </c>
      <c r="APP2" s="62" t="s">
        <v>67</v>
      </c>
      <c r="APR2" s="61" t="s">
        <v>23</v>
      </c>
      <c r="AUT2" s="62" t="s">
        <v>47</v>
      </c>
    </row>
    <row r="3" spans="1:1243" x14ac:dyDescent="0.3">
      <c r="B3" s="41" t="s">
        <v>28</v>
      </c>
      <c r="C3" s="32"/>
      <c r="D3" s="33"/>
      <c r="E3" s="34"/>
      <c r="F3" s="34"/>
      <c r="G3" s="33"/>
      <c r="H3" s="33"/>
      <c r="I3" s="33"/>
      <c r="J3" s="34"/>
      <c r="K3" s="34"/>
      <c r="L3" s="34"/>
      <c r="M3" s="35" t="s">
        <v>41</v>
      </c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J3" s="60">
        <f>'Long-Term Leases'!$K$5</f>
        <v>43496</v>
      </c>
      <c r="AK3" s="25">
        <f>EOMONTH(AJ3,1)</f>
        <v>43524</v>
      </c>
      <c r="AL3" s="25">
        <f t="shared" ref="AL3:CW3" si="0">EOMONTH(AK3,1)</f>
        <v>43555</v>
      </c>
      <c r="AM3" s="25">
        <f t="shared" si="0"/>
        <v>43585</v>
      </c>
      <c r="AN3" s="25">
        <f t="shared" si="0"/>
        <v>43616</v>
      </c>
      <c r="AO3" s="25">
        <f t="shared" si="0"/>
        <v>43646</v>
      </c>
      <c r="AP3" s="25">
        <f t="shared" si="0"/>
        <v>43677</v>
      </c>
      <c r="AQ3" s="25">
        <f t="shared" si="0"/>
        <v>43708</v>
      </c>
      <c r="AR3" s="25">
        <f t="shared" si="0"/>
        <v>43738</v>
      </c>
      <c r="AS3" s="25">
        <f t="shared" si="0"/>
        <v>43769</v>
      </c>
      <c r="AT3" s="25">
        <f t="shared" si="0"/>
        <v>43799</v>
      </c>
      <c r="AU3" s="25">
        <f t="shared" si="0"/>
        <v>43830</v>
      </c>
      <c r="AV3" s="25">
        <f t="shared" si="0"/>
        <v>43861</v>
      </c>
      <c r="AW3" s="25">
        <f t="shared" si="0"/>
        <v>43890</v>
      </c>
      <c r="AX3" s="25">
        <f t="shared" si="0"/>
        <v>43921</v>
      </c>
      <c r="AY3" s="25">
        <f t="shared" si="0"/>
        <v>43951</v>
      </c>
      <c r="AZ3" s="25">
        <f t="shared" si="0"/>
        <v>43982</v>
      </c>
      <c r="BA3" s="25">
        <f t="shared" si="0"/>
        <v>44012</v>
      </c>
      <c r="BB3" s="25">
        <f t="shared" si="0"/>
        <v>44043</v>
      </c>
      <c r="BC3" s="25">
        <f t="shared" si="0"/>
        <v>44074</v>
      </c>
      <c r="BD3" s="25">
        <f t="shared" si="0"/>
        <v>44104</v>
      </c>
      <c r="BE3" s="25">
        <f t="shared" si="0"/>
        <v>44135</v>
      </c>
      <c r="BF3" s="25">
        <f t="shared" si="0"/>
        <v>44165</v>
      </c>
      <c r="BG3" s="25">
        <f t="shared" si="0"/>
        <v>44196</v>
      </c>
      <c r="BH3" s="25">
        <f t="shared" si="0"/>
        <v>44227</v>
      </c>
      <c r="BI3" s="25">
        <f t="shared" si="0"/>
        <v>44255</v>
      </c>
      <c r="BJ3" s="25">
        <f t="shared" si="0"/>
        <v>44286</v>
      </c>
      <c r="BK3" s="25">
        <f t="shared" si="0"/>
        <v>44316</v>
      </c>
      <c r="BL3" s="25">
        <f t="shared" si="0"/>
        <v>44347</v>
      </c>
      <c r="BM3" s="25">
        <f t="shared" si="0"/>
        <v>44377</v>
      </c>
      <c r="BN3" s="25">
        <f t="shared" si="0"/>
        <v>44408</v>
      </c>
      <c r="BO3" s="25">
        <f t="shared" si="0"/>
        <v>44439</v>
      </c>
      <c r="BP3" s="25">
        <f t="shared" si="0"/>
        <v>44469</v>
      </c>
      <c r="BQ3" s="25">
        <f t="shared" si="0"/>
        <v>44500</v>
      </c>
      <c r="BR3" s="25">
        <f t="shared" si="0"/>
        <v>44530</v>
      </c>
      <c r="BS3" s="25">
        <f t="shared" si="0"/>
        <v>44561</v>
      </c>
      <c r="BT3" s="25">
        <f t="shared" si="0"/>
        <v>44592</v>
      </c>
      <c r="BU3" s="25">
        <f t="shared" si="0"/>
        <v>44620</v>
      </c>
      <c r="BV3" s="25">
        <f t="shared" si="0"/>
        <v>44651</v>
      </c>
      <c r="BW3" s="25">
        <f t="shared" si="0"/>
        <v>44681</v>
      </c>
      <c r="BX3" s="25">
        <f t="shared" si="0"/>
        <v>44712</v>
      </c>
      <c r="BY3" s="25">
        <f t="shared" si="0"/>
        <v>44742</v>
      </c>
      <c r="BZ3" s="25">
        <f t="shared" si="0"/>
        <v>44773</v>
      </c>
      <c r="CA3" s="25">
        <f t="shared" si="0"/>
        <v>44804</v>
      </c>
      <c r="CB3" s="25">
        <f t="shared" si="0"/>
        <v>44834</v>
      </c>
      <c r="CC3" s="25">
        <f t="shared" si="0"/>
        <v>44865</v>
      </c>
      <c r="CD3" s="25">
        <f t="shared" si="0"/>
        <v>44895</v>
      </c>
      <c r="CE3" s="25">
        <f t="shared" si="0"/>
        <v>44926</v>
      </c>
      <c r="CF3" s="25">
        <f t="shared" si="0"/>
        <v>44957</v>
      </c>
      <c r="CG3" s="25">
        <f t="shared" si="0"/>
        <v>44985</v>
      </c>
      <c r="CH3" s="25">
        <f t="shared" si="0"/>
        <v>45016</v>
      </c>
      <c r="CI3" s="25">
        <f t="shared" si="0"/>
        <v>45046</v>
      </c>
      <c r="CJ3" s="25">
        <f t="shared" si="0"/>
        <v>45077</v>
      </c>
      <c r="CK3" s="25">
        <f t="shared" si="0"/>
        <v>45107</v>
      </c>
      <c r="CL3" s="25">
        <f t="shared" si="0"/>
        <v>45138</v>
      </c>
      <c r="CM3" s="25">
        <f t="shared" si="0"/>
        <v>45169</v>
      </c>
      <c r="CN3" s="25">
        <f t="shared" si="0"/>
        <v>45199</v>
      </c>
      <c r="CO3" s="25">
        <f t="shared" si="0"/>
        <v>45230</v>
      </c>
      <c r="CP3" s="25">
        <f t="shared" si="0"/>
        <v>45260</v>
      </c>
      <c r="CQ3" s="25">
        <f t="shared" si="0"/>
        <v>45291</v>
      </c>
      <c r="CR3" s="25">
        <f t="shared" si="0"/>
        <v>45322</v>
      </c>
      <c r="CS3" s="25">
        <f t="shared" si="0"/>
        <v>45351</v>
      </c>
      <c r="CT3" s="25">
        <f t="shared" si="0"/>
        <v>45382</v>
      </c>
      <c r="CU3" s="25">
        <f t="shared" si="0"/>
        <v>45412</v>
      </c>
      <c r="CV3" s="25">
        <f t="shared" si="0"/>
        <v>45443</v>
      </c>
      <c r="CW3" s="25">
        <f t="shared" si="0"/>
        <v>45473</v>
      </c>
      <c r="CX3" s="25">
        <f t="shared" ref="CX3:FI3" si="1">EOMONTH(CW3,1)</f>
        <v>45504</v>
      </c>
      <c r="CY3" s="25">
        <f t="shared" si="1"/>
        <v>45535</v>
      </c>
      <c r="CZ3" s="25">
        <f t="shared" si="1"/>
        <v>45565</v>
      </c>
      <c r="DA3" s="25">
        <f t="shared" si="1"/>
        <v>45596</v>
      </c>
      <c r="DB3" s="25">
        <f t="shared" si="1"/>
        <v>45626</v>
      </c>
      <c r="DC3" s="25">
        <f t="shared" si="1"/>
        <v>45657</v>
      </c>
      <c r="DD3" s="25">
        <f t="shared" si="1"/>
        <v>45688</v>
      </c>
      <c r="DE3" s="25">
        <f t="shared" si="1"/>
        <v>45716</v>
      </c>
      <c r="DF3" s="25">
        <f t="shared" si="1"/>
        <v>45747</v>
      </c>
      <c r="DG3" s="25">
        <f t="shared" si="1"/>
        <v>45777</v>
      </c>
      <c r="DH3" s="25">
        <f t="shared" si="1"/>
        <v>45808</v>
      </c>
      <c r="DI3" s="25">
        <f t="shared" si="1"/>
        <v>45838</v>
      </c>
      <c r="DJ3" s="25">
        <f t="shared" si="1"/>
        <v>45869</v>
      </c>
      <c r="DK3" s="25">
        <f t="shared" si="1"/>
        <v>45900</v>
      </c>
      <c r="DL3" s="25">
        <f t="shared" si="1"/>
        <v>45930</v>
      </c>
      <c r="DM3" s="25">
        <f t="shared" si="1"/>
        <v>45961</v>
      </c>
      <c r="DN3" s="25">
        <f t="shared" si="1"/>
        <v>45991</v>
      </c>
      <c r="DO3" s="25">
        <f t="shared" si="1"/>
        <v>46022</v>
      </c>
      <c r="DP3" s="25">
        <f t="shared" si="1"/>
        <v>46053</v>
      </c>
      <c r="DQ3" s="25">
        <f t="shared" si="1"/>
        <v>46081</v>
      </c>
      <c r="DR3" s="25">
        <f t="shared" si="1"/>
        <v>46112</v>
      </c>
      <c r="DS3" s="25">
        <f t="shared" si="1"/>
        <v>46142</v>
      </c>
      <c r="DT3" s="25">
        <f t="shared" si="1"/>
        <v>46173</v>
      </c>
      <c r="DU3" s="25">
        <f t="shared" si="1"/>
        <v>46203</v>
      </c>
      <c r="DV3" s="25">
        <f t="shared" si="1"/>
        <v>46234</v>
      </c>
      <c r="DW3" s="25">
        <f t="shared" si="1"/>
        <v>46265</v>
      </c>
      <c r="DX3" s="25">
        <f t="shared" si="1"/>
        <v>46295</v>
      </c>
      <c r="DY3" s="25">
        <f t="shared" si="1"/>
        <v>46326</v>
      </c>
      <c r="DZ3" s="25">
        <f t="shared" si="1"/>
        <v>46356</v>
      </c>
      <c r="EA3" s="25">
        <f t="shared" si="1"/>
        <v>46387</v>
      </c>
      <c r="EB3" s="25">
        <f t="shared" si="1"/>
        <v>46418</v>
      </c>
      <c r="EC3" s="25">
        <f t="shared" si="1"/>
        <v>46446</v>
      </c>
      <c r="ED3" s="25">
        <f t="shared" si="1"/>
        <v>46477</v>
      </c>
      <c r="EE3" s="25">
        <f t="shared" si="1"/>
        <v>46507</v>
      </c>
      <c r="EF3" s="25">
        <f t="shared" si="1"/>
        <v>46538</v>
      </c>
      <c r="EG3" s="25">
        <f t="shared" si="1"/>
        <v>46568</v>
      </c>
      <c r="EH3" s="25">
        <f t="shared" si="1"/>
        <v>46599</v>
      </c>
      <c r="EI3" s="25">
        <f t="shared" si="1"/>
        <v>46630</v>
      </c>
      <c r="EJ3" s="25">
        <f t="shared" si="1"/>
        <v>46660</v>
      </c>
      <c r="EK3" s="25">
        <f t="shared" si="1"/>
        <v>46691</v>
      </c>
      <c r="EL3" s="25">
        <f t="shared" si="1"/>
        <v>46721</v>
      </c>
      <c r="EM3" s="25">
        <f t="shared" si="1"/>
        <v>46752</v>
      </c>
      <c r="EN3" s="25">
        <f t="shared" si="1"/>
        <v>46783</v>
      </c>
      <c r="EO3" s="25">
        <f t="shared" si="1"/>
        <v>46812</v>
      </c>
      <c r="EP3" s="25">
        <f t="shared" si="1"/>
        <v>46843</v>
      </c>
      <c r="EQ3" s="25">
        <f t="shared" si="1"/>
        <v>46873</v>
      </c>
      <c r="ER3" s="25">
        <f t="shared" si="1"/>
        <v>46904</v>
      </c>
      <c r="ES3" s="25">
        <f t="shared" si="1"/>
        <v>46934</v>
      </c>
      <c r="ET3" s="25">
        <f t="shared" si="1"/>
        <v>46965</v>
      </c>
      <c r="EU3" s="25">
        <f t="shared" si="1"/>
        <v>46996</v>
      </c>
      <c r="EV3" s="25">
        <f t="shared" si="1"/>
        <v>47026</v>
      </c>
      <c r="EW3" s="25">
        <f t="shared" si="1"/>
        <v>47057</v>
      </c>
      <c r="EX3" s="25">
        <f t="shared" si="1"/>
        <v>47087</v>
      </c>
      <c r="EY3" s="25">
        <f t="shared" si="1"/>
        <v>47118</v>
      </c>
      <c r="EZ3" s="25">
        <f t="shared" si="1"/>
        <v>47149</v>
      </c>
      <c r="FA3" s="25">
        <f t="shared" si="1"/>
        <v>47177</v>
      </c>
      <c r="FB3" s="25">
        <f t="shared" si="1"/>
        <v>47208</v>
      </c>
      <c r="FC3" s="25">
        <f t="shared" si="1"/>
        <v>47238</v>
      </c>
      <c r="FD3" s="25">
        <f t="shared" si="1"/>
        <v>47269</v>
      </c>
      <c r="FE3" s="25">
        <f t="shared" si="1"/>
        <v>47299</v>
      </c>
      <c r="FF3" s="25">
        <f t="shared" si="1"/>
        <v>47330</v>
      </c>
      <c r="FG3" s="25">
        <f t="shared" si="1"/>
        <v>47361</v>
      </c>
      <c r="FH3" s="25">
        <f t="shared" si="1"/>
        <v>47391</v>
      </c>
      <c r="FI3" s="25">
        <f t="shared" si="1"/>
        <v>47422</v>
      </c>
      <c r="FJ3" s="25">
        <f t="shared" ref="FJ3:FK3" si="2">EOMONTH(FI3,1)</f>
        <v>47452</v>
      </c>
      <c r="FK3" s="25">
        <f t="shared" si="2"/>
        <v>47483</v>
      </c>
      <c r="FL3" s="62" t="s">
        <v>66</v>
      </c>
      <c r="FN3" s="60">
        <f>'Long-Term Leases'!$K$5</f>
        <v>43496</v>
      </c>
      <c r="FO3" s="25">
        <f>EOMONTH(FN3,1)</f>
        <v>43524</v>
      </c>
      <c r="FP3" s="25">
        <f t="shared" ref="FP3:IA3" si="3">EOMONTH(FO3,1)</f>
        <v>43555</v>
      </c>
      <c r="FQ3" s="25">
        <f t="shared" si="3"/>
        <v>43585</v>
      </c>
      <c r="FR3" s="25">
        <f t="shared" si="3"/>
        <v>43616</v>
      </c>
      <c r="FS3" s="25">
        <f t="shared" si="3"/>
        <v>43646</v>
      </c>
      <c r="FT3" s="25">
        <f t="shared" si="3"/>
        <v>43677</v>
      </c>
      <c r="FU3" s="25">
        <f t="shared" si="3"/>
        <v>43708</v>
      </c>
      <c r="FV3" s="25">
        <f t="shared" si="3"/>
        <v>43738</v>
      </c>
      <c r="FW3" s="25">
        <f t="shared" si="3"/>
        <v>43769</v>
      </c>
      <c r="FX3" s="25">
        <f t="shared" si="3"/>
        <v>43799</v>
      </c>
      <c r="FY3" s="25">
        <f t="shared" si="3"/>
        <v>43830</v>
      </c>
      <c r="FZ3" s="25">
        <f t="shared" si="3"/>
        <v>43861</v>
      </c>
      <c r="GA3" s="25">
        <f t="shared" si="3"/>
        <v>43890</v>
      </c>
      <c r="GB3" s="25">
        <f t="shared" si="3"/>
        <v>43921</v>
      </c>
      <c r="GC3" s="25">
        <f t="shared" si="3"/>
        <v>43951</v>
      </c>
      <c r="GD3" s="25">
        <f t="shared" si="3"/>
        <v>43982</v>
      </c>
      <c r="GE3" s="25">
        <f t="shared" si="3"/>
        <v>44012</v>
      </c>
      <c r="GF3" s="25">
        <f t="shared" si="3"/>
        <v>44043</v>
      </c>
      <c r="GG3" s="25">
        <f t="shared" si="3"/>
        <v>44074</v>
      </c>
      <c r="GH3" s="25">
        <f t="shared" si="3"/>
        <v>44104</v>
      </c>
      <c r="GI3" s="25">
        <f t="shared" si="3"/>
        <v>44135</v>
      </c>
      <c r="GJ3" s="25">
        <f t="shared" si="3"/>
        <v>44165</v>
      </c>
      <c r="GK3" s="25">
        <f t="shared" si="3"/>
        <v>44196</v>
      </c>
      <c r="GL3" s="25">
        <f t="shared" si="3"/>
        <v>44227</v>
      </c>
      <c r="GM3" s="25">
        <f t="shared" si="3"/>
        <v>44255</v>
      </c>
      <c r="GN3" s="25">
        <f t="shared" si="3"/>
        <v>44286</v>
      </c>
      <c r="GO3" s="25">
        <f t="shared" si="3"/>
        <v>44316</v>
      </c>
      <c r="GP3" s="25">
        <f t="shared" si="3"/>
        <v>44347</v>
      </c>
      <c r="GQ3" s="25">
        <f t="shared" si="3"/>
        <v>44377</v>
      </c>
      <c r="GR3" s="25">
        <f t="shared" si="3"/>
        <v>44408</v>
      </c>
      <c r="GS3" s="25">
        <f t="shared" si="3"/>
        <v>44439</v>
      </c>
      <c r="GT3" s="25">
        <f t="shared" si="3"/>
        <v>44469</v>
      </c>
      <c r="GU3" s="25">
        <f t="shared" si="3"/>
        <v>44500</v>
      </c>
      <c r="GV3" s="25">
        <f t="shared" si="3"/>
        <v>44530</v>
      </c>
      <c r="GW3" s="25">
        <f t="shared" si="3"/>
        <v>44561</v>
      </c>
      <c r="GX3" s="25">
        <f t="shared" si="3"/>
        <v>44592</v>
      </c>
      <c r="GY3" s="25">
        <f t="shared" si="3"/>
        <v>44620</v>
      </c>
      <c r="GZ3" s="25">
        <f t="shared" si="3"/>
        <v>44651</v>
      </c>
      <c r="HA3" s="25">
        <f t="shared" si="3"/>
        <v>44681</v>
      </c>
      <c r="HB3" s="25">
        <f t="shared" si="3"/>
        <v>44712</v>
      </c>
      <c r="HC3" s="25">
        <f t="shared" si="3"/>
        <v>44742</v>
      </c>
      <c r="HD3" s="25">
        <f t="shared" si="3"/>
        <v>44773</v>
      </c>
      <c r="HE3" s="25">
        <f t="shared" si="3"/>
        <v>44804</v>
      </c>
      <c r="HF3" s="25">
        <f t="shared" si="3"/>
        <v>44834</v>
      </c>
      <c r="HG3" s="25">
        <f t="shared" si="3"/>
        <v>44865</v>
      </c>
      <c r="HH3" s="25">
        <f t="shared" si="3"/>
        <v>44895</v>
      </c>
      <c r="HI3" s="25">
        <f t="shared" si="3"/>
        <v>44926</v>
      </c>
      <c r="HJ3" s="25">
        <f t="shared" si="3"/>
        <v>44957</v>
      </c>
      <c r="HK3" s="25">
        <f t="shared" si="3"/>
        <v>44985</v>
      </c>
      <c r="HL3" s="25">
        <f t="shared" si="3"/>
        <v>45016</v>
      </c>
      <c r="HM3" s="25">
        <f t="shared" si="3"/>
        <v>45046</v>
      </c>
      <c r="HN3" s="25">
        <f t="shared" si="3"/>
        <v>45077</v>
      </c>
      <c r="HO3" s="25">
        <f t="shared" si="3"/>
        <v>45107</v>
      </c>
      <c r="HP3" s="25">
        <f t="shared" si="3"/>
        <v>45138</v>
      </c>
      <c r="HQ3" s="25">
        <f t="shared" si="3"/>
        <v>45169</v>
      </c>
      <c r="HR3" s="25">
        <f t="shared" si="3"/>
        <v>45199</v>
      </c>
      <c r="HS3" s="25">
        <f t="shared" si="3"/>
        <v>45230</v>
      </c>
      <c r="HT3" s="25">
        <f t="shared" si="3"/>
        <v>45260</v>
      </c>
      <c r="HU3" s="25">
        <f t="shared" si="3"/>
        <v>45291</v>
      </c>
      <c r="HV3" s="25">
        <f t="shared" si="3"/>
        <v>45322</v>
      </c>
      <c r="HW3" s="25">
        <f t="shared" si="3"/>
        <v>45351</v>
      </c>
      <c r="HX3" s="25">
        <f t="shared" si="3"/>
        <v>45382</v>
      </c>
      <c r="HY3" s="25">
        <f t="shared" si="3"/>
        <v>45412</v>
      </c>
      <c r="HZ3" s="25">
        <f t="shared" si="3"/>
        <v>45443</v>
      </c>
      <c r="IA3" s="25">
        <f t="shared" si="3"/>
        <v>45473</v>
      </c>
      <c r="IB3" s="25">
        <f t="shared" ref="IB3:KM3" si="4">EOMONTH(IA3,1)</f>
        <v>45504</v>
      </c>
      <c r="IC3" s="25">
        <f t="shared" si="4"/>
        <v>45535</v>
      </c>
      <c r="ID3" s="25">
        <f t="shared" si="4"/>
        <v>45565</v>
      </c>
      <c r="IE3" s="25">
        <f t="shared" si="4"/>
        <v>45596</v>
      </c>
      <c r="IF3" s="25">
        <f t="shared" si="4"/>
        <v>45626</v>
      </c>
      <c r="IG3" s="25">
        <f t="shared" si="4"/>
        <v>45657</v>
      </c>
      <c r="IH3" s="25">
        <f t="shared" si="4"/>
        <v>45688</v>
      </c>
      <c r="II3" s="25">
        <f t="shared" si="4"/>
        <v>45716</v>
      </c>
      <c r="IJ3" s="25">
        <f t="shared" si="4"/>
        <v>45747</v>
      </c>
      <c r="IK3" s="25">
        <f t="shared" si="4"/>
        <v>45777</v>
      </c>
      <c r="IL3" s="25">
        <f t="shared" si="4"/>
        <v>45808</v>
      </c>
      <c r="IM3" s="25">
        <f t="shared" si="4"/>
        <v>45838</v>
      </c>
      <c r="IN3" s="25">
        <f t="shared" si="4"/>
        <v>45869</v>
      </c>
      <c r="IO3" s="25">
        <f t="shared" si="4"/>
        <v>45900</v>
      </c>
      <c r="IP3" s="25">
        <f t="shared" si="4"/>
        <v>45930</v>
      </c>
      <c r="IQ3" s="25">
        <f t="shared" si="4"/>
        <v>45961</v>
      </c>
      <c r="IR3" s="25">
        <f t="shared" si="4"/>
        <v>45991</v>
      </c>
      <c r="IS3" s="25">
        <f t="shared" si="4"/>
        <v>46022</v>
      </c>
      <c r="IT3" s="25">
        <f t="shared" si="4"/>
        <v>46053</v>
      </c>
      <c r="IU3" s="25">
        <f t="shared" si="4"/>
        <v>46081</v>
      </c>
      <c r="IV3" s="25">
        <f t="shared" si="4"/>
        <v>46112</v>
      </c>
      <c r="IW3" s="25">
        <f t="shared" si="4"/>
        <v>46142</v>
      </c>
      <c r="IX3" s="25">
        <f t="shared" si="4"/>
        <v>46173</v>
      </c>
      <c r="IY3" s="25">
        <f t="shared" si="4"/>
        <v>46203</v>
      </c>
      <c r="IZ3" s="25">
        <f t="shared" si="4"/>
        <v>46234</v>
      </c>
      <c r="JA3" s="25">
        <f t="shared" si="4"/>
        <v>46265</v>
      </c>
      <c r="JB3" s="25">
        <f t="shared" si="4"/>
        <v>46295</v>
      </c>
      <c r="JC3" s="25">
        <f t="shared" si="4"/>
        <v>46326</v>
      </c>
      <c r="JD3" s="25">
        <f t="shared" si="4"/>
        <v>46356</v>
      </c>
      <c r="JE3" s="25">
        <f t="shared" si="4"/>
        <v>46387</v>
      </c>
      <c r="JF3" s="25">
        <f t="shared" si="4"/>
        <v>46418</v>
      </c>
      <c r="JG3" s="25">
        <f t="shared" si="4"/>
        <v>46446</v>
      </c>
      <c r="JH3" s="25">
        <f t="shared" si="4"/>
        <v>46477</v>
      </c>
      <c r="JI3" s="25">
        <f t="shared" si="4"/>
        <v>46507</v>
      </c>
      <c r="JJ3" s="25">
        <f t="shared" si="4"/>
        <v>46538</v>
      </c>
      <c r="JK3" s="25">
        <f t="shared" si="4"/>
        <v>46568</v>
      </c>
      <c r="JL3" s="25">
        <f t="shared" si="4"/>
        <v>46599</v>
      </c>
      <c r="JM3" s="25">
        <f t="shared" si="4"/>
        <v>46630</v>
      </c>
      <c r="JN3" s="25">
        <f t="shared" si="4"/>
        <v>46660</v>
      </c>
      <c r="JO3" s="25">
        <f t="shared" si="4"/>
        <v>46691</v>
      </c>
      <c r="JP3" s="25">
        <f t="shared" si="4"/>
        <v>46721</v>
      </c>
      <c r="JQ3" s="25">
        <f t="shared" si="4"/>
        <v>46752</v>
      </c>
      <c r="JR3" s="25">
        <f t="shared" si="4"/>
        <v>46783</v>
      </c>
      <c r="JS3" s="25">
        <f t="shared" si="4"/>
        <v>46812</v>
      </c>
      <c r="JT3" s="25">
        <f t="shared" si="4"/>
        <v>46843</v>
      </c>
      <c r="JU3" s="25">
        <f t="shared" si="4"/>
        <v>46873</v>
      </c>
      <c r="JV3" s="25">
        <f t="shared" si="4"/>
        <v>46904</v>
      </c>
      <c r="JW3" s="25">
        <f t="shared" si="4"/>
        <v>46934</v>
      </c>
      <c r="JX3" s="25">
        <f t="shared" si="4"/>
        <v>46965</v>
      </c>
      <c r="JY3" s="25">
        <f t="shared" si="4"/>
        <v>46996</v>
      </c>
      <c r="JZ3" s="25">
        <f t="shared" si="4"/>
        <v>47026</v>
      </c>
      <c r="KA3" s="25">
        <f t="shared" si="4"/>
        <v>47057</v>
      </c>
      <c r="KB3" s="25">
        <f t="shared" si="4"/>
        <v>47087</v>
      </c>
      <c r="KC3" s="25">
        <f t="shared" si="4"/>
        <v>47118</v>
      </c>
      <c r="KD3" s="25">
        <f t="shared" si="4"/>
        <v>47149</v>
      </c>
      <c r="KE3" s="25">
        <f t="shared" si="4"/>
        <v>47177</v>
      </c>
      <c r="KF3" s="25">
        <f t="shared" si="4"/>
        <v>47208</v>
      </c>
      <c r="KG3" s="25">
        <f t="shared" si="4"/>
        <v>47238</v>
      </c>
      <c r="KH3" s="25">
        <f t="shared" si="4"/>
        <v>47269</v>
      </c>
      <c r="KI3" s="25">
        <f t="shared" si="4"/>
        <v>47299</v>
      </c>
      <c r="KJ3" s="25">
        <f t="shared" si="4"/>
        <v>47330</v>
      </c>
      <c r="KK3" s="25">
        <f t="shared" si="4"/>
        <v>47361</v>
      </c>
      <c r="KL3" s="25">
        <f t="shared" si="4"/>
        <v>47391</v>
      </c>
      <c r="KM3" s="25">
        <f t="shared" si="4"/>
        <v>47422</v>
      </c>
      <c r="KN3" s="25">
        <f t="shared" ref="KN3:KO3" si="5">EOMONTH(KM3,1)</f>
        <v>47452</v>
      </c>
      <c r="KO3" s="25">
        <f t="shared" si="5"/>
        <v>47483</v>
      </c>
      <c r="KP3" s="62" t="s">
        <v>66</v>
      </c>
      <c r="KQ3" s="62"/>
      <c r="KR3" s="65" t="str">
        <f>+G4</f>
        <v>Current</v>
      </c>
      <c r="KS3" s="60">
        <f>'Long-Term Leases'!$K$5</f>
        <v>43496</v>
      </c>
      <c r="KT3" s="25">
        <f>EOMONTH(KS3,1)</f>
        <v>43524</v>
      </c>
      <c r="KU3" s="25">
        <f t="shared" ref="KU3:NF3" si="6">EOMONTH(KT3,1)</f>
        <v>43555</v>
      </c>
      <c r="KV3" s="25">
        <f t="shared" si="6"/>
        <v>43585</v>
      </c>
      <c r="KW3" s="25">
        <f t="shared" si="6"/>
        <v>43616</v>
      </c>
      <c r="KX3" s="25">
        <f t="shared" si="6"/>
        <v>43646</v>
      </c>
      <c r="KY3" s="25">
        <f t="shared" si="6"/>
        <v>43677</v>
      </c>
      <c r="KZ3" s="25">
        <f t="shared" si="6"/>
        <v>43708</v>
      </c>
      <c r="LA3" s="25">
        <f t="shared" si="6"/>
        <v>43738</v>
      </c>
      <c r="LB3" s="25">
        <f t="shared" si="6"/>
        <v>43769</v>
      </c>
      <c r="LC3" s="25">
        <f t="shared" si="6"/>
        <v>43799</v>
      </c>
      <c r="LD3" s="25">
        <f t="shared" si="6"/>
        <v>43830</v>
      </c>
      <c r="LE3" s="25">
        <f t="shared" si="6"/>
        <v>43861</v>
      </c>
      <c r="LF3" s="25">
        <f t="shared" si="6"/>
        <v>43890</v>
      </c>
      <c r="LG3" s="25">
        <f t="shared" si="6"/>
        <v>43921</v>
      </c>
      <c r="LH3" s="25">
        <f t="shared" si="6"/>
        <v>43951</v>
      </c>
      <c r="LI3" s="25">
        <f t="shared" si="6"/>
        <v>43982</v>
      </c>
      <c r="LJ3" s="25">
        <f t="shared" si="6"/>
        <v>44012</v>
      </c>
      <c r="LK3" s="25">
        <f t="shared" si="6"/>
        <v>44043</v>
      </c>
      <c r="LL3" s="25">
        <f t="shared" si="6"/>
        <v>44074</v>
      </c>
      <c r="LM3" s="25">
        <f t="shared" si="6"/>
        <v>44104</v>
      </c>
      <c r="LN3" s="25">
        <f t="shared" si="6"/>
        <v>44135</v>
      </c>
      <c r="LO3" s="25">
        <f t="shared" si="6"/>
        <v>44165</v>
      </c>
      <c r="LP3" s="25">
        <f t="shared" si="6"/>
        <v>44196</v>
      </c>
      <c r="LQ3" s="25">
        <f t="shared" si="6"/>
        <v>44227</v>
      </c>
      <c r="LR3" s="25">
        <f t="shared" si="6"/>
        <v>44255</v>
      </c>
      <c r="LS3" s="25">
        <f t="shared" si="6"/>
        <v>44286</v>
      </c>
      <c r="LT3" s="25">
        <f t="shared" si="6"/>
        <v>44316</v>
      </c>
      <c r="LU3" s="25">
        <f t="shared" si="6"/>
        <v>44347</v>
      </c>
      <c r="LV3" s="25">
        <f t="shared" si="6"/>
        <v>44377</v>
      </c>
      <c r="LW3" s="25">
        <f t="shared" si="6"/>
        <v>44408</v>
      </c>
      <c r="LX3" s="25">
        <f t="shared" si="6"/>
        <v>44439</v>
      </c>
      <c r="LY3" s="25">
        <f t="shared" si="6"/>
        <v>44469</v>
      </c>
      <c r="LZ3" s="25">
        <f t="shared" si="6"/>
        <v>44500</v>
      </c>
      <c r="MA3" s="25">
        <f t="shared" si="6"/>
        <v>44530</v>
      </c>
      <c r="MB3" s="25">
        <f t="shared" si="6"/>
        <v>44561</v>
      </c>
      <c r="MC3" s="25">
        <f t="shared" si="6"/>
        <v>44592</v>
      </c>
      <c r="MD3" s="25">
        <f t="shared" si="6"/>
        <v>44620</v>
      </c>
      <c r="ME3" s="25">
        <f t="shared" si="6"/>
        <v>44651</v>
      </c>
      <c r="MF3" s="25">
        <f t="shared" si="6"/>
        <v>44681</v>
      </c>
      <c r="MG3" s="25">
        <f t="shared" si="6"/>
        <v>44712</v>
      </c>
      <c r="MH3" s="25">
        <f t="shared" si="6"/>
        <v>44742</v>
      </c>
      <c r="MI3" s="25">
        <f t="shared" si="6"/>
        <v>44773</v>
      </c>
      <c r="MJ3" s="25">
        <f t="shared" si="6"/>
        <v>44804</v>
      </c>
      <c r="MK3" s="25">
        <f t="shared" si="6"/>
        <v>44834</v>
      </c>
      <c r="ML3" s="25">
        <f t="shared" si="6"/>
        <v>44865</v>
      </c>
      <c r="MM3" s="25">
        <f t="shared" si="6"/>
        <v>44895</v>
      </c>
      <c r="MN3" s="25">
        <f t="shared" si="6"/>
        <v>44926</v>
      </c>
      <c r="MO3" s="25">
        <f t="shared" si="6"/>
        <v>44957</v>
      </c>
      <c r="MP3" s="25">
        <f t="shared" si="6"/>
        <v>44985</v>
      </c>
      <c r="MQ3" s="25">
        <f t="shared" si="6"/>
        <v>45016</v>
      </c>
      <c r="MR3" s="25">
        <f t="shared" si="6"/>
        <v>45046</v>
      </c>
      <c r="MS3" s="25">
        <f t="shared" si="6"/>
        <v>45077</v>
      </c>
      <c r="MT3" s="25">
        <f t="shared" si="6"/>
        <v>45107</v>
      </c>
      <c r="MU3" s="25">
        <f t="shared" si="6"/>
        <v>45138</v>
      </c>
      <c r="MV3" s="25">
        <f t="shared" si="6"/>
        <v>45169</v>
      </c>
      <c r="MW3" s="25">
        <f t="shared" si="6"/>
        <v>45199</v>
      </c>
      <c r="MX3" s="25">
        <f t="shared" si="6"/>
        <v>45230</v>
      </c>
      <c r="MY3" s="25">
        <f t="shared" si="6"/>
        <v>45260</v>
      </c>
      <c r="MZ3" s="25">
        <f t="shared" si="6"/>
        <v>45291</v>
      </c>
      <c r="NA3" s="25">
        <f t="shared" si="6"/>
        <v>45322</v>
      </c>
      <c r="NB3" s="25">
        <f t="shared" si="6"/>
        <v>45351</v>
      </c>
      <c r="NC3" s="25">
        <f t="shared" si="6"/>
        <v>45382</v>
      </c>
      <c r="ND3" s="25">
        <f t="shared" si="6"/>
        <v>45412</v>
      </c>
      <c r="NE3" s="25">
        <f t="shared" si="6"/>
        <v>45443</v>
      </c>
      <c r="NF3" s="25">
        <f t="shared" si="6"/>
        <v>45473</v>
      </c>
      <c r="NG3" s="25">
        <f t="shared" ref="NG3:PR3" si="7">EOMONTH(NF3,1)</f>
        <v>45504</v>
      </c>
      <c r="NH3" s="25">
        <f t="shared" si="7"/>
        <v>45535</v>
      </c>
      <c r="NI3" s="25">
        <f t="shared" si="7"/>
        <v>45565</v>
      </c>
      <c r="NJ3" s="25">
        <f t="shared" si="7"/>
        <v>45596</v>
      </c>
      <c r="NK3" s="25">
        <f t="shared" si="7"/>
        <v>45626</v>
      </c>
      <c r="NL3" s="25">
        <f t="shared" si="7"/>
        <v>45657</v>
      </c>
      <c r="NM3" s="25">
        <f t="shared" si="7"/>
        <v>45688</v>
      </c>
      <c r="NN3" s="25">
        <f t="shared" si="7"/>
        <v>45716</v>
      </c>
      <c r="NO3" s="25">
        <f t="shared" si="7"/>
        <v>45747</v>
      </c>
      <c r="NP3" s="25">
        <f t="shared" si="7"/>
        <v>45777</v>
      </c>
      <c r="NQ3" s="25">
        <f t="shared" si="7"/>
        <v>45808</v>
      </c>
      <c r="NR3" s="25">
        <f t="shared" si="7"/>
        <v>45838</v>
      </c>
      <c r="NS3" s="25">
        <f t="shared" si="7"/>
        <v>45869</v>
      </c>
      <c r="NT3" s="25">
        <f t="shared" si="7"/>
        <v>45900</v>
      </c>
      <c r="NU3" s="25">
        <f t="shared" si="7"/>
        <v>45930</v>
      </c>
      <c r="NV3" s="25">
        <f t="shared" si="7"/>
        <v>45961</v>
      </c>
      <c r="NW3" s="25">
        <f t="shared" si="7"/>
        <v>45991</v>
      </c>
      <c r="NX3" s="25">
        <f t="shared" si="7"/>
        <v>46022</v>
      </c>
      <c r="NY3" s="25">
        <f t="shared" si="7"/>
        <v>46053</v>
      </c>
      <c r="NZ3" s="25">
        <f t="shared" si="7"/>
        <v>46081</v>
      </c>
      <c r="OA3" s="25">
        <f t="shared" si="7"/>
        <v>46112</v>
      </c>
      <c r="OB3" s="25">
        <f t="shared" si="7"/>
        <v>46142</v>
      </c>
      <c r="OC3" s="25">
        <f t="shared" si="7"/>
        <v>46173</v>
      </c>
      <c r="OD3" s="25">
        <f t="shared" si="7"/>
        <v>46203</v>
      </c>
      <c r="OE3" s="25">
        <f t="shared" si="7"/>
        <v>46234</v>
      </c>
      <c r="OF3" s="25">
        <f t="shared" si="7"/>
        <v>46265</v>
      </c>
      <c r="OG3" s="25">
        <f t="shared" si="7"/>
        <v>46295</v>
      </c>
      <c r="OH3" s="25">
        <f t="shared" si="7"/>
        <v>46326</v>
      </c>
      <c r="OI3" s="25">
        <f t="shared" si="7"/>
        <v>46356</v>
      </c>
      <c r="OJ3" s="25">
        <f t="shared" si="7"/>
        <v>46387</v>
      </c>
      <c r="OK3" s="25">
        <f t="shared" si="7"/>
        <v>46418</v>
      </c>
      <c r="OL3" s="25">
        <f t="shared" si="7"/>
        <v>46446</v>
      </c>
      <c r="OM3" s="25">
        <f t="shared" si="7"/>
        <v>46477</v>
      </c>
      <c r="ON3" s="25">
        <f t="shared" si="7"/>
        <v>46507</v>
      </c>
      <c r="OO3" s="25">
        <f t="shared" si="7"/>
        <v>46538</v>
      </c>
      <c r="OP3" s="25">
        <f t="shared" si="7"/>
        <v>46568</v>
      </c>
      <c r="OQ3" s="25">
        <f t="shared" si="7"/>
        <v>46599</v>
      </c>
      <c r="OR3" s="25">
        <f t="shared" si="7"/>
        <v>46630</v>
      </c>
      <c r="OS3" s="25">
        <f t="shared" si="7"/>
        <v>46660</v>
      </c>
      <c r="OT3" s="25">
        <f t="shared" si="7"/>
        <v>46691</v>
      </c>
      <c r="OU3" s="25">
        <f t="shared" si="7"/>
        <v>46721</v>
      </c>
      <c r="OV3" s="25">
        <f t="shared" si="7"/>
        <v>46752</v>
      </c>
      <c r="OW3" s="25">
        <f t="shared" si="7"/>
        <v>46783</v>
      </c>
      <c r="OX3" s="25">
        <f t="shared" si="7"/>
        <v>46812</v>
      </c>
      <c r="OY3" s="25">
        <f t="shared" si="7"/>
        <v>46843</v>
      </c>
      <c r="OZ3" s="25">
        <f t="shared" si="7"/>
        <v>46873</v>
      </c>
      <c r="PA3" s="25">
        <f t="shared" si="7"/>
        <v>46904</v>
      </c>
      <c r="PB3" s="25">
        <f t="shared" si="7"/>
        <v>46934</v>
      </c>
      <c r="PC3" s="25">
        <f t="shared" si="7"/>
        <v>46965</v>
      </c>
      <c r="PD3" s="25">
        <f t="shared" si="7"/>
        <v>46996</v>
      </c>
      <c r="PE3" s="25">
        <f t="shared" si="7"/>
        <v>47026</v>
      </c>
      <c r="PF3" s="25">
        <f t="shared" si="7"/>
        <v>47057</v>
      </c>
      <c r="PG3" s="25">
        <f t="shared" si="7"/>
        <v>47087</v>
      </c>
      <c r="PH3" s="25">
        <f t="shared" si="7"/>
        <v>47118</v>
      </c>
      <c r="PI3" s="25">
        <f t="shared" si="7"/>
        <v>47149</v>
      </c>
      <c r="PJ3" s="25">
        <f t="shared" si="7"/>
        <v>47177</v>
      </c>
      <c r="PK3" s="25">
        <f t="shared" si="7"/>
        <v>47208</v>
      </c>
      <c r="PL3" s="25">
        <f t="shared" si="7"/>
        <v>47238</v>
      </c>
      <c r="PM3" s="25">
        <f t="shared" si="7"/>
        <v>47269</v>
      </c>
      <c r="PN3" s="25">
        <f t="shared" si="7"/>
        <v>47299</v>
      </c>
      <c r="PO3" s="25">
        <f t="shared" si="7"/>
        <v>47330</v>
      </c>
      <c r="PP3" s="25">
        <f t="shared" si="7"/>
        <v>47361</v>
      </c>
      <c r="PQ3" s="25">
        <f t="shared" si="7"/>
        <v>47391</v>
      </c>
      <c r="PR3" s="25">
        <f t="shared" si="7"/>
        <v>47422</v>
      </c>
      <c r="PS3" s="25">
        <f t="shared" ref="PS3:PT3" si="8">EOMONTH(PR3,1)</f>
        <v>47452</v>
      </c>
      <c r="PT3" s="25">
        <f t="shared" si="8"/>
        <v>47483</v>
      </c>
      <c r="PU3" s="62" t="s">
        <v>66</v>
      </c>
      <c r="PW3" s="67" t="str">
        <f>T4</f>
        <v>Rent at</v>
      </c>
      <c r="PX3" s="60">
        <f>'Long-Term Leases'!$K$5</f>
        <v>43496</v>
      </c>
      <c r="PY3" s="25">
        <f>EOMONTH(PX3,1)</f>
        <v>43524</v>
      </c>
      <c r="PZ3" s="25">
        <f t="shared" ref="PZ3:SK3" si="9">EOMONTH(PY3,1)</f>
        <v>43555</v>
      </c>
      <c r="QA3" s="25">
        <f t="shared" si="9"/>
        <v>43585</v>
      </c>
      <c r="QB3" s="25">
        <f t="shared" si="9"/>
        <v>43616</v>
      </c>
      <c r="QC3" s="25">
        <f t="shared" si="9"/>
        <v>43646</v>
      </c>
      <c r="QD3" s="25">
        <f t="shared" si="9"/>
        <v>43677</v>
      </c>
      <c r="QE3" s="25">
        <f t="shared" si="9"/>
        <v>43708</v>
      </c>
      <c r="QF3" s="25">
        <f t="shared" si="9"/>
        <v>43738</v>
      </c>
      <c r="QG3" s="25">
        <f t="shared" si="9"/>
        <v>43769</v>
      </c>
      <c r="QH3" s="25">
        <f t="shared" si="9"/>
        <v>43799</v>
      </c>
      <c r="QI3" s="25">
        <f t="shared" si="9"/>
        <v>43830</v>
      </c>
      <c r="QJ3" s="25">
        <f t="shared" si="9"/>
        <v>43861</v>
      </c>
      <c r="QK3" s="25">
        <f t="shared" si="9"/>
        <v>43890</v>
      </c>
      <c r="QL3" s="25">
        <f t="shared" si="9"/>
        <v>43921</v>
      </c>
      <c r="QM3" s="25">
        <f t="shared" si="9"/>
        <v>43951</v>
      </c>
      <c r="QN3" s="25">
        <f t="shared" si="9"/>
        <v>43982</v>
      </c>
      <c r="QO3" s="25">
        <f t="shared" si="9"/>
        <v>44012</v>
      </c>
      <c r="QP3" s="25">
        <f t="shared" si="9"/>
        <v>44043</v>
      </c>
      <c r="QQ3" s="25">
        <f t="shared" si="9"/>
        <v>44074</v>
      </c>
      <c r="QR3" s="25">
        <f t="shared" si="9"/>
        <v>44104</v>
      </c>
      <c r="QS3" s="25">
        <f t="shared" si="9"/>
        <v>44135</v>
      </c>
      <c r="QT3" s="25">
        <f t="shared" si="9"/>
        <v>44165</v>
      </c>
      <c r="QU3" s="25">
        <f t="shared" si="9"/>
        <v>44196</v>
      </c>
      <c r="QV3" s="25">
        <f t="shared" si="9"/>
        <v>44227</v>
      </c>
      <c r="QW3" s="25">
        <f t="shared" si="9"/>
        <v>44255</v>
      </c>
      <c r="QX3" s="25">
        <f t="shared" si="9"/>
        <v>44286</v>
      </c>
      <c r="QY3" s="25">
        <f t="shared" si="9"/>
        <v>44316</v>
      </c>
      <c r="QZ3" s="25">
        <f t="shared" si="9"/>
        <v>44347</v>
      </c>
      <c r="RA3" s="25">
        <f t="shared" si="9"/>
        <v>44377</v>
      </c>
      <c r="RB3" s="25">
        <f t="shared" si="9"/>
        <v>44408</v>
      </c>
      <c r="RC3" s="25">
        <f t="shared" si="9"/>
        <v>44439</v>
      </c>
      <c r="RD3" s="25">
        <f t="shared" si="9"/>
        <v>44469</v>
      </c>
      <c r="RE3" s="25">
        <f t="shared" si="9"/>
        <v>44500</v>
      </c>
      <c r="RF3" s="25">
        <f t="shared" si="9"/>
        <v>44530</v>
      </c>
      <c r="RG3" s="25">
        <f t="shared" si="9"/>
        <v>44561</v>
      </c>
      <c r="RH3" s="25">
        <f t="shared" si="9"/>
        <v>44592</v>
      </c>
      <c r="RI3" s="25">
        <f t="shared" si="9"/>
        <v>44620</v>
      </c>
      <c r="RJ3" s="25">
        <f t="shared" si="9"/>
        <v>44651</v>
      </c>
      <c r="RK3" s="25">
        <f t="shared" si="9"/>
        <v>44681</v>
      </c>
      <c r="RL3" s="25">
        <f t="shared" si="9"/>
        <v>44712</v>
      </c>
      <c r="RM3" s="25">
        <f t="shared" si="9"/>
        <v>44742</v>
      </c>
      <c r="RN3" s="25">
        <f t="shared" si="9"/>
        <v>44773</v>
      </c>
      <c r="RO3" s="25">
        <f t="shared" si="9"/>
        <v>44804</v>
      </c>
      <c r="RP3" s="25">
        <f t="shared" si="9"/>
        <v>44834</v>
      </c>
      <c r="RQ3" s="25">
        <f t="shared" si="9"/>
        <v>44865</v>
      </c>
      <c r="RR3" s="25">
        <f t="shared" si="9"/>
        <v>44895</v>
      </c>
      <c r="RS3" s="25">
        <f t="shared" si="9"/>
        <v>44926</v>
      </c>
      <c r="RT3" s="25">
        <f t="shared" si="9"/>
        <v>44957</v>
      </c>
      <c r="RU3" s="25">
        <f t="shared" si="9"/>
        <v>44985</v>
      </c>
      <c r="RV3" s="25">
        <f t="shared" si="9"/>
        <v>45016</v>
      </c>
      <c r="RW3" s="25">
        <f t="shared" si="9"/>
        <v>45046</v>
      </c>
      <c r="RX3" s="25">
        <f t="shared" si="9"/>
        <v>45077</v>
      </c>
      <c r="RY3" s="25">
        <f t="shared" si="9"/>
        <v>45107</v>
      </c>
      <c r="RZ3" s="25">
        <f t="shared" si="9"/>
        <v>45138</v>
      </c>
      <c r="SA3" s="25">
        <f t="shared" si="9"/>
        <v>45169</v>
      </c>
      <c r="SB3" s="25">
        <f t="shared" si="9"/>
        <v>45199</v>
      </c>
      <c r="SC3" s="25">
        <f t="shared" si="9"/>
        <v>45230</v>
      </c>
      <c r="SD3" s="25">
        <f t="shared" si="9"/>
        <v>45260</v>
      </c>
      <c r="SE3" s="25">
        <f t="shared" si="9"/>
        <v>45291</v>
      </c>
      <c r="SF3" s="25">
        <f t="shared" si="9"/>
        <v>45322</v>
      </c>
      <c r="SG3" s="25">
        <f t="shared" si="9"/>
        <v>45351</v>
      </c>
      <c r="SH3" s="25">
        <f t="shared" si="9"/>
        <v>45382</v>
      </c>
      <c r="SI3" s="25">
        <f t="shared" si="9"/>
        <v>45412</v>
      </c>
      <c r="SJ3" s="25">
        <f t="shared" si="9"/>
        <v>45443</v>
      </c>
      <c r="SK3" s="25">
        <f t="shared" si="9"/>
        <v>45473</v>
      </c>
      <c r="SL3" s="25">
        <f t="shared" ref="SL3:UW3" si="10">EOMONTH(SK3,1)</f>
        <v>45504</v>
      </c>
      <c r="SM3" s="25">
        <f t="shared" si="10"/>
        <v>45535</v>
      </c>
      <c r="SN3" s="25">
        <f t="shared" si="10"/>
        <v>45565</v>
      </c>
      <c r="SO3" s="25">
        <f t="shared" si="10"/>
        <v>45596</v>
      </c>
      <c r="SP3" s="25">
        <f t="shared" si="10"/>
        <v>45626</v>
      </c>
      <c r="SQ3" s="25">
        <f t="shared" si="10"/>
        <v>45657</v>
      </c>
      <c r="SR3" s="25">
        <f t="shared" si="10"/>
        <v>45688</v>
      </c>
      <c r="SS3" s="25">
        <f t="shared" si="10"/>
        <v>45716</v>
      </c>
      <c r="ST3" s="25">
        <f t="shared" si="10"/>
        <v>45747</v>
      </c>
      <c r="SU3" s="25">
        <f t="shared" si="10"/>
        <v>45777</v>
      </c>
      <c r="SV3" s="25">
        <f t="shared" si="10"/>
        <v>45808</v>
      </c>
      <c r="SW3" s="25">
        <f t="shared" si="10"/>
        <v>45838</v>
      </c>
      <c r="SX3" s="25">
        <f t="shared" si="10"/>
        <v>45869</v>
      </c>
      <c r="SY3" s="25">
        <f t="shared" si="10"/>
        <v>45900</v>
      </c>
      <c r="SZ3" s="25">
        <f t="shared" si="10"/>
        <v>45930</v>
      </c>
      <c r="TA3" s="25">
        <f t="shared" si="10"/>
        <v>45961</v>
      </c>
      <c r="TB3" s="25">
        <f t="shared" si="10"/>
        <v>45991</v>
      </c>
      <c r="TC3" s="25">
        <f t="shared" si="10"/>
        <v>46022</v>
      </c>
      <c r="TD3" s="25">
        <f t="shared" si="10"/>
        <v>46053</v>
      </c>
      <c r="TE3" s="25">
        <f t="shared" si="10"/>
        <v>46081</v>
      </c>
      <c r="TF3" s="25">
        <f t="shared" si="10"/>
        <v>46112</v>
      </c>
      <c r="TG3" s="25">
        <f t="shared" si="10"/>
        <v>46142</v>
      </c>
      <c r="TH3" s="25">
        <f t="shared" si="10"/>
        <v>46173</v>
      </c>
      <c r="TI3" s="25">
        <f t="shared" si="10"/>
        <v>46203</v>
      </c>
      <c r="TJ3" s="25">
        <f t="shared" si="10"/>
        <v>46234</v>
      </c>
      <c r="TK3" s="25">
        <f t="shared" si="10"/>
        <v>46265</v>
      </c>
      <c r="TL3" s="25">
        <f t="shared" si="10"/>
        <v>46295</v>
      </c>
      <c r="TM3" s="25">
        <f t="shared" si="10"/>
        <v>46326</v>
      </c>
      <c r="TN3" s="25">
        <f t="shared" si="10"/>
        <v>46356</v>
      </c>
      <c r="TO3" s="25">
        <f t="shared" si="10"/>
        <v>46387</v>
      </c>
      <c r="TP3" s="25">
        <f t="shared" si="10"/>
        <v>46418</v>
      </c>
      <c r="TQ3" s="25">
        <f t="shared" si="10"/>
        <v>46446</v>
      </c>
      <c r="TR3" s="25">
        <f t="shared" si="10"/>
        <v>46477</v>
      </c>
      <c r="TS3" s="25">
        <f t="shared" si="10"/>
        <v>46507</v>
      </c>
      <c r="TT3" s="25">
        <f t="shared" si="10"/>
        <v>46538</v>
      </c>
      <c r="TU3" s="25">
        <f t="shared" si="10"/>
        <v>46568</v>
      </c>
      <c r="TV3" s="25">
        <f t="shared" si="10"/>
        <v>46599</v>
      </c>
      <c r="TW3" s="25">
        <f t="shared" si="10"/>
        <v>46630</v>
      </c>
      <c r="TX3" s="25">
        <f t="shared" si="10"/>
        <v>46660</v>
      </c>
      <c r="TY3" s="25">
        <f t="shared" si="10"/>
        <v>46691</v>
      </c>
      <c r="TZ3" s="25">
        <f t="shared" si="10"/>
        <v>46721</v>
      </c>
      <c r="UA3" s="25">
        <f t="shared" si="10"/>
        <v>46752</v>
      </c>
      <c r="UB3" s="25">
        <f t="shared" si="10"/>
        <v>46783</v>
      </c>
      <c r="UC3" s="25">
        <f t="shared" si="10"/>
        <v>46812</v>
      </c>
      <c r="UD3" s="25">
        <f t="shared" si="10"/>
        <v>46843</v>
      </c>
      <c r="UE3" s="25">
        <f t="shared" si="10"/>
        <v>46873</v>
      </c>
      <c r="UF3" s="25">
        <f t="shared" si="10"/>
        <v>46904</v>
      </c>
      <c r="UG3" s="25">
        <f t="shared" si="10"/>
        <v>46934</v>
      </c>
      <c r="UH3" s="25">
        <f t="shared" si="10"/>
        <v>46965</v>
      </c>
      <c r="UI3" s="25">
        <f t="shared" si="10"/>
        <v>46996</v>
      </c>
      <c r="UJ3" s="25">
        <f t="shared" si="10"/>
        <v>47026</v>
      </c>
      <c r="UK3" s="25">
        <f t="shared" si="10"/>
        <v>47057</v>
      </c>
      <c r="UL3" s="25">
        <f t="shared" si="10"/>
        <v>47087</v>
      </c>
      <c r="UM3" s="25">
        <f t="shared" si="10"/>
        <v>47118</v>
      </c>
      <c r="UN3" s="25">
        <f t="shared" si="10"/>
        <v>47149</v>
      </c>
      <c r="UO3" s="25">
        <f t="shared" si="10"/>
        <v>47177</v>
      </c>
      <c r="UP3" s="25">
        <f t="shared" si="10"/>
        <v>47208</v>
      </c>
      <c r="UQ3" s="25">
        <f t="shared" si="10"/>
        <v>47238</v>
      </c>
      <c r="UR3" s="25">
        <f t="shared" si="10"/>
        <v>47269</v>
      </c>
      <c r="US3" s="25">
        <f t="shared" si="10"/>
        <v>47299</v>
      </c>
      <c r="UT3" s="25">
        <f t="shared" si="10"/>
        <v>47330</v>
      </c>
      <c r="UU3" s="25">
        <f t="shared" si="10"/>
        <v>47361</v>
      </c>
      <c r="UV3" s="25">
        <f t="shared" si="10"/>
        <v>47391</v>
      </c>
      <c r="UW3" s="25">
        <f t="shared" si="10"/>
        <v>47422</v>
      </c>
      <c r="UX3" s="25">
        <f t="shared" ref="UX3:UY3" si="11">EOMONTH(UW3,1)</f>
        <v>47452</v>
      </c>
      <c r="UY3" s="25">
        <f t="shared" si="11"/>
        <v>47483</v>
      </c>
      <c r="UZ3" s="62" t="s">
        <v>66</v>
      </c>
      <c r="VA3" s="62"/>
      <c r="VB3" s="60">
        <f>'Long-Term Leases'!$K$5</f>
        <v>43496</v>
      </c>
      <c r="VC3" s="25">
        <f>EOMONTH(VB3,1)</f>
        <v>43524</v>
      </c>
      <c r="VD3" s="25">
        <f t="shared" ref="VD3:XO3" si="12">EOMONTH(VC3,1)</f>
        <v>43555</v>
      </c>
      <c r="VE3" s="25">
        <f t="shared" si="12"/>
        <v>43585</v>
      </c>
      <c r="VF3" s="25">
        <f t="shared" si="12"/>
        <v>43616</v>
      </c>
      <c r="VG3" s="25">
        <f t="shared" si="12"/>
        <v>43646</v>
      </c>
      <c r="VH3" s="25">
        <f t="shared" si="12"/>
        <v>43677</v>
      </c>
      <c r="VI3" s="25">
        <f t="shared" si="12"/>
        <v>43708</v>
      </c>
      <c r="VJ3" s="25">
        <f t="shared" si="12"/>
        <v>43738</v>
      </c>
      <c r="VK3" s="25">
        <f t="shared" si="12"/>
        <v>43769</v>
      </c>
      <c r="VL3" s="25">
        <f t="shared" si="12"/>
        <v>43799</v>
      </c>
      <c r="VM3" s="25">
        <f t="shared" si="12"/>
        <v>43830</v>
      </c>
      <c r="VN3" s="25">
        <f t="shared" si="12"/>
        <v>43861</v>
      </c>
      <c r="VO3" s="25">
        <f t="shared" si="12"/>
        <v>43890</v>
      </c>
      <c r="VP3" s="25">
        <f t="shared" si="12"/>
        <v>43921</v>
      </c>
      <c r="VQ3" s="25">
        <f t="shared" si="12"/>
        <v>43951</v>
      </c>
      <c r="VR3" s="25">
        <f t="shared" si="12"/>
        <v>43982</v>
      </c>
      <c r="VS3" s="25">
        <f t="shared" si="12"/>
        <v>44012</v>
      </c>
      <c r="VT3" s="25">
        <f t="shared" si="12"/>
        <v>44043</v>
      </c>
      <c r="VU3" s="25">
        <f t="shared" si="12"/>
        <v>44074</v>
      </c>
      <c r="VV3" s="25">
        <f t="shared" si="12"/>
        <v>44104</v>
      </c>
      <c r="VW3" s="25">
        <f t="shared" si="12"/>
        <v>44135</v>
      </c>
      <c r="VX3" s="25">
        <f t="shared" si="12"/>
        <v>44165</v>
      </c>
      <c r="VY3" s="25">
        <f t="shared" si="12"/>
        <v>44196</v>
      </c>
      <c r="VZ3" s="25">
        <f t="shared" si="12"/>
        <v>44227</v>
      </c>
      <c r="WA3" s="25">
        <f t="shared" si="12"/>
        <v>44255</v>
      </c>
      <c r="WB3" s="25">
        <f t="shared" si="12"/>
        <v>44286</v>
      </c>
      <c r="WC3" s="25">
        <f t="shared" si="12"/>
        <v>44316</v>
      </c>
      <c r="WD3" s="25">
        <f t="shared" si="12"/>
        <v>44347</v>
      </c>
      <c r="WE3" s="25">
        <f t="shared" si="12"/>
        <v>44377</v>
      </c>
      <c r="WF3" s="25">
        <f t="shared" si="12"/>
        <v>44408</v>
      </c>
      <c r="WG3" s="25">
        <f t="shared" si="12"/>
        <v>44439</v>
      </c>
      <c r="WH3" s="25">
        <f t="shared" si="12"/>
        <v>44469</v>
      </c>
      <c r="WI3" s="25">
        <f t="shared" si="12"/>
        <v>44500</v>
      </c>
      <c r="WJ3" s="25">
        <f t="shared" si="12"/>
        <v>44530</v>
      </c>
      <c r="WK3" s="25">
        <f t="shared" si="12"/>
        <v>44561</v>
      </c>
      <c r="WL3" s="25">
        <f t="shared" si="12"/>
        <v>44592</v>
      </c>
      <c r="WM3" s="25">
        <f t="shared" si="12"/>
        <v>44620</v>
      </c>
      <c r="WN3" s="25">
        <f t="shared" si="12"/>
        <v>44651</v>
      </c>
      <c r="WO3" s="25">
        <f t="shared" si="12"/>
        <v>44681</v>
      </c>
      <c r="WP3" s="25">
        <f t="shared" si="12"/>
        <v>44712</v>
      </c>
      <c r="WQ3" s="25">
        <f t="shared" si="12"/>
        <v>44742</v>
      </c>
      <c r="WR3" s="25">
        <f t="shared" si="12"/>
        <v>44773</v>
      </c>
      <c r="WS3" s="25">
        <f t="shared" si="12"/>
        <v>44804</v>
      </c>
      <c r="WT3" s="25">
        <f t="shared" si="12"/>
        <v>44834</v>
      </c>
      <c r="WU3" s="25">
        <f t="shared" si="12"/>
        <v>44865</v>
      </c>
      <c r="WV3" s="25">
        <f t="shared" si="12"/>
        <v>44895</v>
      </c>
      <c r="WW3" s="25">
        <f t="shared" si="12"/>
        <v>44926</v>
      </c>
      <c r="WX3" s="25">
        <f t="shared" si="12"/>
        <v>44957</v>
      </c>
      <c r="WY3" s="25">
        <f t="shared" si="12"/>
        <v>44985</v>
      </c>
      <c r="WZ3" s="25">
        <f t="shared" si="12"/>
        <v>45016</v>
      </c>
      <c r="XA3" s="25">
        <f t="shared" si="12"/>
        <v>45046</v>
      </c>
      <c r="XB3" s="25">
        <f t="shared" si="12"/>
        <v>45077</v>
      </c>
      <c r="XC3" s="25">
        <f t="shared" si="12"/>
        <v>45107</v>
      </c>
      <c r="XD3" s="25">
        <f t="shared" si="12"/>
        <v>45138</v>
      </c>
      <c r="XE3" s="25">
        <f t="shared" si="12"/>
        <v>45169</v>
      </c>
      <c r="XF3" s="25">
        <f t="shared" si="12"/>
        <v>45199</v>
      </c>
      <c r="XG3" s="25">
        <f t="shared" si="12"/>
        <v>45230</v>
      </c>
      <c r="XH3" s="25">
        <f t="shared" si="12"/>
        <v>45260</v>
      </c>
      <c r="XI3" s="25">
        <f t="shared" si="12"/>
        <v>45291</v>
      </c>
      <c r="XJ3" s="25">
        <f t="shared" si="12"/>
        <v>45322</v>
      </c>
      <c r="XK3" s="25">
        <f t="shared" si="12"/>
        <v>45351</v>
      </c>
      <c r="XL3" s="25">
        <f t="shared" si="12"/>
        <v>45382</v>
      </c>
      <c r="XM3" s="25">
        <f t="shared" si="12"/>
        <v>45412</v>
      </c>
      <c r="XN3" s="25">
        <f t="shared" si="12"/>
        <v>45443</v>
      </c>
      <c r="XO3" s="25">
        <f t="shared" si="12"/>
        <v>45473</v>
      </c>
      <c r="XP3" s="25">
        <f t="shared" ref="XP3:AAA3" si="13">EOMONTH(XO3,1)</f>
        <v>45504</v>
      </c>
      <c r="XQ3" s="25">
        <f t="shared" si="13"/>
        <v>45535</v>
      </c>
      <c r="XR3" s="25">
        <f t="shared" si="13"/>
        <v>45565</v>
      </c>
      <c r="XS3" s="25">
        <f t="shared" si="13"/>
        <v>45596</v>
      </c>
      <c r="XT3" s="25">
        <f t="shared" si="13"/>
        <v>45626</v>
      </c>
      <c r="XU3" s="25">
        <f t="shared" si="13"/>
        <v>45657</v>
      </c>
      <c r="XV3" s="25">
        <f t="shared" si="13"/>
        <v>45688</v>
      </c>
      <c r="XW3" s="25">
        <f t="shared" si="13"/>
        <v>45716</v>
      </c>
      <c r="XX3" s="25">
        <f t="shared" si="13"/>
        <v>45747</v>
      </c>
      <c r="XY3" s="25">
        <f t="shared" si="13"/>
        <v>45777</v>
      </c>
      <c r="XZ3" s="25">
        <f t="shared" si="13"/>
        <v>45808</v>
      </c>
      <c r="YA3" s="25">
        <f t="shared" si="13"/>
        <v>45838</v>
      </c>
      <c r="YB3" s="25">
        <f t="shared" si="13"/>
        <v>45869</v>
      </c>
      <c r="YC3" s="25">
        <f t="shared" si="13"/>
        <v>45900</v>
      </c>
      <c r="YD3" s="25">
        <f t="shared" si="13"/>
        <v>45930</v>
      </c>
      <c r="YE3" s="25">
        <f t="shared" si="13"/>
        <v>45961</v>
      </c>
      <c r="YF3" s="25">
        <f t="shared" si="13"/>
        <v>45991</v>
      </c>
      <c r="YG3" s="25">
        <f t="shared" si="13"/>
        <v>46022</v>
      </c>
      <c r="YH3" s="25">
        <f t="shared" si="13"/>
        <v>46053</v>
      </c>
      <c r="YI3" s="25">
        <f t="shared" si="13"/>
        <v>46081</v>
      </c>
      <c r="YJ3" s="25">
        <f t="shared" si="13"/>
        <v>46112</v>
      </c>
      <c r="YK3" s="25">
        <f t="shared" si="13"/>
        <v>46142</v>
      </c>
      <c r="YL3" s="25">
        <f t="shared" si="13"/>
        <v>46173</v>
      </c>
      <c r="YM3" s="25">
        <f t="shared" si="13"/>
        <v>46203</v>
      </c>
      <c r="YN3" s="25">
        <f t="shared" si="13"/>
        <v>46234</v>
      </c>
      <c r="YO3" s="25">
        <f t="shared" si="13"/>
        <v>46265</v>
      </c>
      <c r="YP3" s="25">
        <f t="shared" si="13"/>
        <v>46295</v>
      </c>
      <c r="YQ3" s="25">
        <f t="shared" si="13"/>
        <v>46326</v>
      </c>
      <c r="YR3" s="25">
        <f t="shared" si="13"/>
        <v>46356</v>
      </c>
      <c r="YS3" s="25">
        <f t="shared" si="13"/>
        <v>46387</v>
      </c>
      <c r="YT3" s="25">
        <f t="shared" si="13"/>
        <v>46418</v>
      </c>
      <c r="YU3" s="25">
        <f t="shared" si="13"/>
        <v>46446</v>
      </c>
      <c r="YV3" s="25">
        <f t="shared" si="13"/>
        <v>46477</v>
      </c>
      <c r="YW3" s="25">
        <f t="shared" si="13"/>
        <v>46507</v>
      </c>
      <c r="YX3" s="25">
        <f t="shared" si="13"/>
        <v>46538</v>
      </c>
      <c r="YY3" s="25">
        <f t="shared" si="13"/>
        <v>46568</v>
      </c>
      <c r="YZ3" s="25">
        <f t="shared" si="13"/>
        <v>46599</v>
      </c>
      <c r="ZA3" s="25">
        <f t="shared" si="13"/>
        <v>46630</v>
      </c>
      <c r="ZB3" s="25">
        <f t="shared" si="13"/>
        <v>46660</v>
      </c>
      <c r="ZC3" s="25">
        <f t="shared" si="13"/>
        <v>46691</v>
      </c>
      <c r="ZD3" s="25">
        <f t="shared" si="13"/>
        <v>46721</v>
      </c>
      <c r="ZE3" s="25">
        <f t="shared" si="13"/>
        <v>46752</v>
      </c>
      <c r="ZF3" s="25">
        <f t="shared" si="13"/>
        <v>46783</v>
      </c>
      <c r="ZG3" s="25">
        <f t="shared" si="13"/>
        <v>46812</v>
      </c>
      <c r="ZH3" s="25">
        <f t="shared" si="13"/>
        <v>46843</v>
      </c>
      <c r="ZI3" s="25">
        <f t="shared" si="13"/>
        <v>46873</v>
      </c>
      <c r="ZJ3" s="25">
        <f t="shared" si="13"/>
        <v>46904</v>
      </c>
      <c r="ZK3" s="25">
        <f t="shared" si="13"/>
        <v>46934</v>
      </c>
      <c r="ZL3" s="25">
        <f t="shared" si="13"/>
        <v>46965</v>
      </c>
      <c r="ZM3" s="25">
        <f t="shared" si="13"/>
        <v>46996</v>
      </c>
      <c r="ZN3" s="25">
        <f t="shared" si="13"/>
        <v>47026</v>
      </c>
      <c r="ZO3" s="25">
        <f t="shared" si="13"/>
        <v>47057</v>
      </c>
      <c r="ZP3" s="25">
        <f t="shared" si="13"/>
        <v>47087</v>
      </c>
      <c r="ZQ3" s="25">
        <f t="shared" si="13"/>
        <v>47118</v>
      </c>
      <c r="ZR3" s="25">
        <f t="shared" si="13"/>
        <v>47149</v>
      </c>
      <c r="ZS3" s="25">
        <f t="shared" si="13"/>
        <v>47177</v>
      </c>
      <c r="ZT3" s="25">
        <f t="shared" si="13"/>
        <v>47208</v>
      </c>
      <c r="ZU3" s="25">
        <f t="shared" si="13"/>
        <v>47238</v>
      </c>
      <c r="ZV3" s="25">
        <f t="shared" si="13"/>
        <v>47269</v>
      </c>
      <c r="ZW3" s="25">
        <f t="shared" si="13"/>
        <v>47299</v>
      </c>
      <c r="ZX3" s="25">
        <f t="shared" si="13"/>
        <v>47330</v>
      </c>
      <c r="ZY3" s="25">
        <f t="shared" si="13"/>
        <v>47361</v>
      </c>
      <c r="ZZ3" s="25">
        <f t="shared" si="13"/>
        <v>47391</v>
      </c>
      <c r="AAA3" s="25">
        <f t="shared" si="13"/>
        <v>47422</v>
      </c>
      <c r="AAB3" s="25">
        <f t="shared" ref="AAB3:AAC3" si="14">EOMONTH(AAA3,1)</f>
        <v>47452</v>
      </c>
      <c r="AAC3" s="25">
        <f t="shared" si="14"/>
        <v>47483</v>
      </c>
      <c r="AAD3" s="62" t="s">
        <v>77</v>
      </c>
      <c r="AAF3" s="60">
        <f>'Long-Term Leases'!$K$5</f>
        <v>43496</v>
      </c>
      <c r="AAG3" s="25">
        <f>EOMONTH(AAF3,1)</f>
        <v>43524</v>
      </c>
      <c r="AAH3" s="25">
        <f t="shared" ref="AAH3:ACS3" si="15">EOMONTH(AAG3,1)</f>
        <v>43555</v>
      </c>
      <c r="AAI3" s="25">
        <f t="shared" si="15"/>
        <v>43585</v>
      </c>
      <c r="AAJ3" s="25">
        <f t="shared" si="15"/>
        <v>43616</v>
      </c>
      <c r="AAK3" s="25">
        <f t="shared" si="15"/>
        <v>43646</v>
      </c>
      <c r="AAL3" s="25">
        <f t="shared" si="15"/>
        <v>43677</v>
      </c>
      <c r="AAM3" s="25">
        <f t="shared" si="15"/>
        <v>43708</v>
      </c>
      <c r="AAN3" s="25">
        <f t="shared" si="15"/>
        <v>43738</v>
      </c>
      <c r="AAO3" s="25">
        <f t="shared" si="15"/>
        <v>43769</v>
      </c>
      <c r="AAP3" s="25">
        <f t="shared" si="15"/>
        <v>43799</v>
      </c>
      <c r="AAQ3" s="25">
        <f t="shared" si="15"/>
        <v>43830</v>
      </c>
      <c r="AAR3" s="25">
        <f t="shared" si="15"/>
        <v>43861</v>
      </c>
      <c r="AAS3" s="25">
        <f t="shared" si="15"/>
        <v>43890</v>
      </c>
      <c r="AAT3" s="25">
        <f t="shared" si="15"/>
        <v>43921</v>
      </c>
      <c r="AAU3" s="25">
        <f t="shared" si="15"/>
        <v>43951</v>
      </c>
      <c r="AAV3" s="25">
        <f t="shared" si="15"/>
        <v>43982</v>
      </c>
      <c r="AAW3" s="25">
        <f t="shared" si="15"/>
        <v>44012</v>
      </c>
      <c r="AAX3" s="25">
        <f t="shared" si="15"/>
        <v>44043</v>
      </c>
      <c r="AAY3" s="25">
        <f t="shared" si="15"/>
        <v>44074</v>
      </c>
      <c r="AAZ3" s="25">
        <f t="shared" si="15"/>
        <v>44104</v>
      </c>
      <c r="ABA3" s="25">
        <f t="shared" si="15"/>
        <v>44135</v>
      </c>
      <c r="ABB3" s="25">
        <f t="shared" si="15"/>
        <v>44165</v>
      </c>
      <c r="ABC3" s="25">
        <f t="shared" si="15"/>
        <v>44196</v>
      </c>
      <c r="ABD3" s="25">
        <f t="shared" si="15"/>
        <v>44227</v>
      </c>
      <c r="ABE3" s="25">
        <f t="shared" si="15"/>
        <v>44255</v>
      </c>
      <c r="ABF3" s="25">
        <f t="shared" si="15"/>
        <v>44286</v>
      </c>
      <c r="ABG3" s="25">
        <f t="shared" si="15"/>
        <v>44316</v>
      </c>
      <c r="ABH3" s="25">
        <f t="shared" si="15"/>
        <v>44347</v>
      </c>
      <c r="ABI3" s="25">
        <f t="shared" si="15"/>
        <v>44377</v>
      </c>
      <c r="ABJ3" s="25">
        <f t="shared" si="15"/>
        <v>44408</v>
      </c>
      <c r="ABK3" s="25">
        <f t="shared" si="15"/>
        <v>44439</v>
      </c>
      <c r="ABL3" s="25">
        <f t="shared" si="15"/>
        <v>44469</v>
      </c>
      <c r="ABM3" s="25">
        <f t="shared" si="15"/>
        <v>44500</v>
      </c>
      <c r="ABN3" s="25">
        <f t="shared" si="15"/>
        <v>44530</v>
      </c>
      <c r="ABO3" s="25">
        <f t="shared" si="15"/>
        <v>44561</v>
      </c>
      <c r="ABP3" s="25">
        <f t="shared" si="15"/>
        <v>44592</v>
      </c>
      <c r="ABQ3" s="25">
        <f t="shared" si="15"/>
        <v>44620</v>
      </c>
      <c r="ABR3" s="25">
        <f t="shared" si="15"/>
        <v>44651</v>
      </c>
      <c r="ABS3" s="25">
        <f t="shared" si="15"/>
        <v>44681</v>
      </c>
      <c r="ABT3" s="25">
        <f t="shared" si="15"/>
        <v>44712</v>
      </c>
      <c r="ABU3" s="25">
        <f t="shared" si="15"/>
        <v>44742</v>
      </c>
      <c r="ABV3" s="25">
        <f t="shared" si="15"/>
        <v>44773</v>
      </c>
      <c r="ABW3" s="25">
        <f t="shared" si="15"/>
        <v>44804</v>
      </c>
      <c r="ABX3" s="25">
        <f t="shared" si="15"/>
        <v>44834</v>
      </c>
      <c r="ABY3" s="25">
        <f t="shared" si="15"/>
        <v>44865</v>
      </c>
      <c r="ABZ3" s="25">
        <f t="shared" si="15"/>
        <v>44895</v>
      </c>
      <c r="ACA3" s="25">
        <f t="shared" si="15"/>
        <v>44926</v>
      </c>
      <c r="ACB3" s="25">
        <f t="shared" si="15"/>
        <v>44957</v>
      </c>
      <c r="ACC3" s="25">
        <f t="shared" si="15"/>
        <v>44985</v>
      </c>
      <c r="ACD3" s="25">
        <f t="shared" si="15"/>
        <v>45016</v>
      </c>
      <c r="ACE3" s="25">
        <f t="shared" si="15"/>
        <v>45046</v>
      </c>
      <c r="ACF3" s="25">
        <f t="shared" si="15"/>
        <v>45077</v>
      </c>
      <c r="ACG3" s="25">
        <f t="shared" si="15"/>
        <v>45107</v>
      </c>
      <c r="ACH3" s="25">
        <f t="shared" si="15"/>
        <v>45138</v>
      </c>
      <c r="ACI3" s="25">
        <f t="shared" si="15"/>
        <v>45169</v>
      </c>
      <c r="ACJ3" s="25">
        <f t="shared" si="15"/>
        <v>45199</v>
      </c>
      <c r="ACK3" s="25">
        <f t="shared" si="15"/>
        <v>45230</v>
      </c>
      <c r="ACL3" s="25">
        <f t="shared" si="15"/>
        <v>45260</v>
      </c>
      <c r="ACM3" s="25">
        <f t="shared" si="15"/>
        <v>45291</v>
      </c>
      <c r="ACN3" s="25">
        <f t="shared" si="15"/>
        <v>45322</v>
      </c>
      <c r="ACO3" s="25">
        <f t="shared" si="15"/>
        <v>45351</v>
      </c>
      <c r="ACP3" s="25">
        <f t="shared" si="15"/>
        <v>45382</v>
      </c>
      <c r="ACQ3" s="25">
        <f t="shared" si="15"/>
        <v>45412</v>
      </c>
      <c r="ACR3" s="25">
        <f t="shared" si="15"/>
        <v>45443</v>
      </c>
      <c r="ACS3" s="25">
        <f t="shared" si="15"/>
        <v>45473</v>
      </c>
      <c r="ACT3" s="25">
        <f t="shared" ref="ACT3:AFE3" si="16">EOMONTH(ACS3,1)</f>
        <v>45504</v>
      </c>
      <c r="ACU3" s="25">
        <f t="shared" si="16"/>
        <v>45535</v>
      </c>
      <c r="ACV3" s="25">
        <f t="shared" si="16"/>
        <v>45565</v>
      </c>
      <c r="ACW3" s="25">
        <f t="shared" si="16"/>
        <v>45596</v>
      </c>
      <c r="ACX3" s="25">
        <f t="shared" si="16"/>
        <v>45626</v>
      </c>
      <c r="ACY3" s="25">
        <f t="shared" si="16"/>
        <v>45657</v>
      </c>
      <c r="ACZ3" s="25">
        <f t="shared" si="16"/>
        <v>45688</v>
      </c>
      <c r="ADA3" s="25">
        <f t="shared" si="16"/>
        <v>45716</v>
      </c>
      <c r="ADB3" s="25">
        <f t="shared" si="16"/>
        <v>45747</v>
      </c>
      <c r="ADC3" s="25">
        <f t="shared" si="16"/>
        <v>45777</v>
      </c>
      <c r="ADD3" s="25">
        <f t="shared" si="16"/>
        <v>45808</v>
      </c>
      <c r="ADE3" s="25">
        <f t="shared" si="16"/>
        <v>45838</v>
      </c>
      <c r="ADF3" s="25">
        <f t="shared" si="16"/>
        <v>45869</v>
      </c>
      <c r="ADG3" s="25">
        <f t="shared" si="16"/>
        <v>45900</v>
      </c>
      <c r="ADH3" s="25">
        <f t="shared" si="16"/>
        <v>45930</v>
      </c>
      <c r="ADI3" s="25">
        <f t="shared" si="16"/>
        <v>45961</v>
      </c>
      <c r="ADJ3" s="25">
        <f t="shared" si="16"/>
        <v>45991</v>
      </c>
      <c r="ADK3" s="25">
        <f t="shared" si="16"/>
        <v>46022</v>
      </c>
      <c r="ADL3" s="25">
        <f t="shared" si="16"/>
        <v>46053</v>
      </c>
      <c r="ADM3" s="25">
        <f t="shared" si="16"/>
        <v>46081</v>
      </c>
      <c r="ADN3" s="25">
        <f t="shared" si="16"/>
        <v>46112</v>
      </c>
      <c r="ADO3" s="25">
        <f t="shared" si="16"/>
        <v>46142</v>
      </c>
      <c r="ADP3" s="25">
        <f t="shared" si="16"/>
        <v>46173</v>
      </c>
      <c r="ADQ3" s="25">
        <f t="shared" si="16"/>
        <v>46203</v>
      </c>
      <c r="ADR3" s="25">
        <f t="shared" si="16"/>
        <v>46234</v>
      </c>
      <c r="ADS3" s="25">
        <f t="shared" si="16"/>
        <v>46265</v>
      </c>
      <c r="ADT3" s="25">
        <f t="shared" si="16"/>
        <v>46295</v>
      </c>
      <c r="ADU3" s="25">
        <f t="shared" si="16"/>
        <v>46326</v>
      </c>
      <c r="ADV3" s="25">
        <f t="shared" si="16"/>
        <v>46356</v>
      </c>
      <c r="ADW3" s="25">
        <f t="shared" si="16"/>
        <v>46387</v>
      </c>
      <c r="ADX3" s="25">
        <f t="shared" si="16"/>
        <v>46418</v>
      </c>
      <c r="ADY3" s="25">
        <f t="shared" si="16"/>
        <v>46446</v>
      </c>
      <c r="ADZ3" s="25">
        <f t="shared" si="16"/>
        <v>46477</v>
      </c>
      <c r="AEA3" s="25">
        <f t="shared" si="16"/>
        <v>46507</v>
      </c>
      <c r="AEB3" s="25">
        <f t="shared" si="16"/>
        <v>46538</v>
      </c>
      <c r="AEC3" s="25">
        <f t="shared" si="16"/>
        <v>46568</v>
      </c>
      <c r="AED3" s="25">
        <f t="shared" si="16"/>
        <v>46599</v>
      </c>
      <c r="AEE3" s="25">
        <f t="shared" si="16"/>
        <v>46630</v>
      </c>
      <c r="AEF3" s="25">
        <f t="shared" si="16"/>
        <v>46660</v>
      </c>
      <c r="AEG3" s="25">
        <f t="shared" si="16"/>
        <v>46691</v>
      </c>
      <c r="AEH3" s="25">
        <f t="shared" si="16"/>
        <v>46721</v>
      </c>
      <c r="AEI3" s="25">
        <f t="shared" si="16"/>
        <v>46752</v>
      </c>
      <c r="AEJ3" s="25">
        <f t="shared" si="16"/>
        <v>46783</v>
      </c>
      <c r="AEK3" s="25">
        <f t="shared" si="16"/>
        <v>46812</v>
      </c>
      <c r="AEL3" s="25">
        <f t="shared" si="16"/>
        <v>46843</v>
      </c>
      <c r="AEM3" s="25">
        <f t="shared" si="16"/>
        <v>46873</v>
      </c>
      <c r="AEN3" s="25">
        <f t="shared" si="16"/>
        <v>46904</v>
      </c>
      <c r="AEO3" s="25">
        <f t="shared" si="16"/>
        <v>46934</v>
      </c>
      <c r="AEP3" s="25">
        <f t="shared" si="16"/>
        <v>46965</v>
      </c>
      <c r="AEQ3" s="25">
        <f t="shared" si="16"/>
        <v>46996</v>
      </c>
      <c r="AER3" s="25">
        <f t="shared" si="16"/>
        <v>47026</v>
      </c>
      <c r="AES3" s="25">
        <f t="shared" si="16"/>
        <v>47057</v>
      </c>
      <c r="AET3" s="25">
        <f t="shared" si="16"/>
        <v>47087</v>
      </c>
      <c r="AEU3" s="25">
        <f t="shared" si="16"/>
        <v>47118</v>
      </c>
      <c r="AEV3" s="25">
        <f t="shared" si="16"/>
        <v>47149</v>
      </c>
      <c r="AEW3" s="25">
        <f t="shared" si="16"/>
        <v>47177</v>
      </c>
      <c r="AEX3" s="25">
        <f t="shared" si="16"/>
        <v>47208</v>
      </c>
      <c r="AEY3" s="25">
        <f t="shared" si="16"/>
        <v>47238</v>
      </c>
      <c r="AEZ3" s="25">
        <f t="shared" si="16"/>
        <v>47269</v>
      </c>
      <c r="AFA3" s="25">
        <f t="shared" si="16"/>
        <v>47299</v>
      </c>
      <c r="AFB3" s="25">
        <f t="shared" si="16"/>
        <v>47330</v>
      </c>
      <c r="AFC3" s="25">
        <f t="shared" si="16"/>
        <v>47361</v>
      </c>
      <c r="AFD3" s="25">
        <f t="shared" si="16"/>
        <v>47391</v>
      </c>
      <c r="AFE3" s="25">
        <f t="shared" si="16"/>
        <v>47422</v>
      </c>
      <c r="AFF3" s="25">
        <f t="shared" ref="AFF3:AFG3" si="17">EOMONTH(AFE3,1)</f>
        <v>47452</v>
      </c>
      <c r="AFG3" s="25">
        <f t="shared" si="17"/>
        <v>47483</v>
      </c>
      <c r="AFH3" s="62"/>
      <c r="AFJ3" s="60">
        <f>'Long-Term Leases'!$K$5</f>
        <v>43496</v>
      </c>
      <c r="AFK3" s="25">
        <f>EOMONTH(AFJ3,1)</f>
        <v>43524</v>
      </c>
      <c r="AFL3" s="25">
        <f t="shared" ref="AFL3:AHW3" si="18">EOMONTH(AFK3,1)</f>
        <v>43555</v>
      </c>
      <c r="AFM3" s="25">
        <f t="shared" si="18"/>
        <v>43585</v>
      </c>
      <c r="AFN3" s="25">
        <f t="shared" si="18"/>
        <v>43616</v>
      </c>
      <c r="AFO3" s="25">
        <f t="shared" si="18"/>
        <v>43646</v>
      </c>
      <c r="AFP3" s="25">
        <f t="shared" si="18"/>
        <v>43677</v>
      </c>
      <c r="AFQ3" s="25">
        <f t="shared" si="18"/>
        <v>43708</v>
      </c>
      <c r="AFR3" s="25">
        <f t="shared" si="18"/>
        <v>43738</v>
      </c>
      <c r="AFS3" s="25">
        <f t="shared" si="18"/>
        <v>43769</v>
      </c>
      <c r="AFT3" s="25">
        <f t="shared" si="18"/>
        <v>43799</v>
      </c>
      <c r="AFU3" s="25">
        <f t="shared" si="18"/>
        <v>43830</v>
      </c>
      <c r="AFV3" s="25">
        <f t="shared" si="18"/>
        <v>43861</v>
      </c>
      <c r="AFW3" s="25">
        <f t="shared" si="18"/>
        <v>43890</v>
      </c>
      <c r="AFX3" s="25">
        <f t="shared" si="18"/>
        <v>43921</v>
      </c>
      <c r="AFY3" s="25">
        <f t="shared" si="18"/>
        <v>43951</v>
      </c>
      <c r="AFZ3" s="25">
        <f t="shared" si="18"/>
        <v>43982</v>
      </c>
      <c r="AGA3" s="25">
        <f t="shared" si="18"/>
        <v>44012</v>
      </c>
      <c r="AGB3" s="25">
        <f t="shared" si="18"/>
        <v>44043</v>
      </c>
      <c r="AGC3" s="25">
        <f t="shared" si="18"/>
        <v>44074</v>
      </c>
      <c r="AGD3" s="25">
        <f t="shared" si="18"/>
        <v>44104</v>
      </c>
      <c r="AGE3" s="25">
        <f t="shared" si="18"/>
        <v>44135</v>
      </c>
      <c r="AGF3" s="25">
        <f t="shared" si="18"/>
        <v>44165</v>
      </c>
      <c r="AGG3" s="25">
        <f t="shared" si="18"/>
        <v>44196</v>
      </c>
      <c r="AGH3" s="25">
        <f t="shared" si="18"/>
        <v>44227</v>
      </c>
      <c r="AGI3" s="25">
        <f t="shared" si="18"/>
        <v>44255</v>
      </c>
      <c r="AGJ3" s="25">
        <f t="shared" si="18"/>
        <v>44286</v>
      </c>
      <c r="AGK3" s="25">
        <f t="shared" si="18"/>
        <v>44316</v>
      </c>
      <c r="AGL3" s="25">
        <f t="shared" si="18"/>
        <v>44347</v>
      </c>
      <c r="AGM3" s="25">
        <f t="shared" si="18"/>
        <v>44377</v>
      </c>
      <c r="AGN3" s="25">
        <f t="shared" si="18"/>
        <v>44408</v>
      </c>
      <c r="AGO3" s="25">
        <f t="shared" si="18"/>
        <v>44439</v>
      </c>
      <c r="AGP3" s="25">
        <f t="shared" si="18"/>
        <v>44469</v>
      </c>
      <c r="AGQ3" s="25">
        <f t="shared" si="18"/>
        <v>44500</v>
      </c>
      <c r="AGR3" s="25">
        <f t="shared" si="18"/>
        <v>44530</v>
      </c>
      <c r="AGS3" s="25">
        <f t="shared" si="18"/>
        <v>44561</v>
      </c>
      <c r="AGT3" s="25">
        <f t="shared" si="18"/>
        <v>44592</v>
      </c>
      <c r="AGU3" s="25">
        <f t="shared" si="18"/>
        <v>44620</v>
      </c>
      <c r="AGV3" s="25">
        <f t="shared" si="18"/>
        <v>44651</v>
      </c>
      <c r="AGW3" s="25">
        <f t="shared" si="18"/>
        <v>44681</v>
      </c>
      <c r="AGX3" s="25">
        <f t="shared" si="18"/>
        <v>44712</v>
      </c>
      <c r="AGY3" s="25">
        <f t="shared" si="18"/>
        <v>44742</v>
      </c>
      <c r="AGZ3" s="25">
        <f t="shared" si="18"/>
        <v>44773</v>
      </c>
      <c r="AHA3" s="25">
        <f t="shared" si="18"/>
        <v>44804</v>
      </c>
      <c r="AHB3" s="25">
        <f t="shared" si="18"/>
        <v>44834</v>
      </c>
      <c r="AHC3" s="25">
        <f t="shared" si="18"/>
        <v>44865</v>
      </c>
      <c r="AHD3" s="25">
        <f t="shared" si="18"/>
        <v>44895</v>
      </c>
      <c r="AHE3" s="25">
        <f t="shared" si="18"/>
        <v>44926</v>
      </c>
      <c r="AHF3" s="25">
        <f t="shared" si="18"/>
        <v>44957</v>
      </c>
      <c r="AHG3" s="25">
        <f t="shared" si="18"/>
        <v>44985</v>
      </c>
      <c r="AHH3" s="25">
        <f t="shared" si="18"/>
        <v>45016</v>
      </c>
      <c r="AHI3" s="25">
        <f t="shared" si="18"/>
        <v>45046</v>
      </c>
      <c r="AHJ3" s="25">
        <f t="shared" si="18"/>
        <v>45077</v>
      </c>
      <c r="AHK3" s="25">
        <f t="shared" si="18"/>
        <v>45107</v>
      </c>
      <c r="AHL3" s="25">
        <f t="shared" si="18"/>
        <v>45138</v>
      </c>
      <c r="AHM3" s="25">
        <f t="shared" si="18"/>
        <v>45169</v>
      </c>
      <c r="AHN3" s="25">
        <f t="shared" si="18"/>
        <v>45199</v>
      </c>
      <c r="AHO3" s="25">
        <f t="shared" si="18"/>
        <v>45230</v>
      </c>
      <c r="AHP3" s="25">
        <f t="shared" si="18"/>
        <v>45260</v>
      </c>
      <c r="AHQ3" s="25">
        <f t="shared" si="18"/>
        <v>45291</v>
      </c>
      <c r="AHR3" s="25">
        <f t="shared" si="18"/>
        <v>45322</v>
      </c>
      <c r="AHS3" s="25">
        <f t="shared" si="18"/>
        <v>45351</v>
      </c>
      <c r="AHT3" s="25">
        <f t="shared" si="18"/>
        <v>45382</v>
      </c>
      <c r="AHU3" s="25">
        <f t="shared" si="18"/>
        <v>45412</v>
      </c>
      <c r="AHV3" s="25">
        <f t="shared" si="18"/>
        <v>45443</v>
      </c>
      <c r="AHW3" s="25">
        <f t="shared" si="18"/>
        <v>45473</v>
      </c>
      <c r="AHX3" s="25">
        <f t="shared" ref="AHX3:AKI3" si="19">EOMONTH(AHW3,1)</f>
        <v>45504</v>
      </c>
      <c r="AHY3" s="25">
        <f t="shared" si="19"/>
        <v>45535</v>
      </c>
      <c r="AHZ3" s="25">
        <f t="shared" si="19"/>
        <v>45565</v>
      </c>
      <c r="AIA3" s="25">
        <f t="shared" si="19"/>
        <v>45596</v>
      </c>
      <c r="AIB3" s="25">
        <f t="shared" si="19"/>
        <v>45626</v>
      </c>
      <c r="AIC3" s="25">
        <f t="shared" si="19"/>
        <v>45657</v>
      </c>
      <c r="AID3" s="25">
        <f t="shared" si="19"/>
        <v>45688</v>
      </c>
      <c r="AIE3" s="25">
        <f t="shared" si="19"/>
        <v>45716</v>
      </c>
      <c r="AIF3" s="25">
        <f t="shared" si="19"/>
        <v>45747</v>
      </c>
      <c r="AIG3" s="25">
        <f t="shared" si="19"/>
        <v>45777</v>
      </c>
      <c r="AIH3" s="25">
        <f t="shared" si="19"/>
        <v>45808</v>
      </c>
      <c r="AII3" s="25">
        <f t="shared" si="19"/>
        <v>45838</v>
      </c>
      <c r="AIJ3" s="25">
        <f t="shared" si="19"/>
        <v>45869</v>
      </c>
      <c r="AIK3" s="25">
        <f t="shared" si="19"/>
        <v>45900</v>
      </c>
      <c r="AIL3" s="25">
        <f t="shared" si="19"/>
        <v>45930</v>
      </c>
      <c r="AIM3" s="25">
        <f t="shared" si="19"/>
        <v>45961</v>
      </c>
      <c r="AIN3" s="25">
        <f t="shared" si="19"/>
        <v>45991</v>
      </c>
      <c r="AIO3" s="25">
        <f t="shared" si="19"/>
        <v>46022</v>
      </c>
      <c r="AIP3" s="25">
        <f t="shared" si="19"/>
        <v>46053</v>
      </c>
      <c r="AIQ3" s="25">
        <f t="shared" si="19"/>
        <v>46081</v>
      </c>
      <c r="AIR3" s="25">
        <f t="shared" si="19"/>
        <v>46112</v>
      </c>
      <c r="AIS3" s="25">
        <f t="shared" si="19"/>
        <v>46142</v>
      </c>
      <c r="AIT3" s="25">
        <f t="shared" si="19"/>
        <v>46173</v>
      </c>
      <c r="AIU3" s="25">
        <f t="shared" si="19"/>
        <v>46203</v>
      </c>
      <c r="AIV3" s="25">
        <f t="shared" si="19"/>
        <v>46234</v>
      </c>
      <c r="AIW3" s="25">
        <f t="shared" si="19"/>
        <v>46265</v>
      </c>
      <c r="AIX3" s="25">
        <f t="shared" si="19"/>
        <v>46295</v>
      </c>
      <c r="AIY3" s="25">
        <f t="shared" si="19"/>
        <v>46326</v>
      </c>
      <c r="AIZ3" s="25">
        <f t="shared" si="19"/>
        <v>46356</v>
      </c>
      <c r="AJA3" s="25">
        <f t="shared" si="19"/>
        <v>46387</v>
      </c>
      <c r="AJB3" s="25">
        <f t="shared" si="19"/>
        <v>46418</v>
      </c>
      <c r="AJC3" s="25">
        <f t="shared" si="19"/>
        <v>46446</v>
      </c>
      <c r="AJD3" s="25">
        <f t="shared" si="19"/>
        <v>46477</v>
      </c>
      <c r="AJE3" s="25">
        <f t="shared" si="19"/>
        <v>46507</v>
      </c>
      <c r="AJF3" s="25">
        <f t="shared" si="19"/>
        <v>46538</v>
      </c>
      <c r="AJG3" s="25">
        <f t="shared" si="19"/>
        <v>46568</v>
      </c>
      <c r="AJH3" s="25">
        <f t="shared" si="19"/>
        <v>46599</v>
      </c>
      <c r="AJI3" s="25">
        <f t="shared" si="19"/>
        <v>46630</v>
      </c>
      <c r="AJJ3" s="25">
        <f t="shared" si="19"/>
        <v>46660</v>
      </c>
      <c r="AJK3" s="25">
        <f t="shared" si="19"/>
        <v>46691</v>
      </c>
      <c r="AJL3" s="25">
        <f t="shared" si="19"/>
        <v>46721</v>
      </c>
      <c r="AJM3" s="25">
        <f t="shared" si="19"/>
        <v>46752</v>
      </c>
      <c r="AJN3" s="25">
        <f t="shared" si="19"/>
        <v>46783</v>
      </c>
      <c r="AJO3" s="25">
        <f t="shared" si="19"/>
        <v>46812</v>
      </c>
      <c r="AJP3" s="25">
        <f t="shared" si="19"/>
        <v>46843</v>
      </c>
      <c r="AJQ3" s="25">
        <f t="shared" si="19"/>
        <v>46873</v>
      </c>
      <c r="AJR3" s="25">
        <f t="shared" si="19"/>
        <v>46904</v>
      </c>
      <c r="AJS3" s="25">
        <f t="shared" si="19"/>
        <v>46934</v>
      </c>
      <c r="AJT3" s="25">
        <f t="shared" si="19"/>
        <v>46965</v>
      </c>
      <c r="AJU3" s="25">
        <f t="shared" si="19"/>
        <v>46996</v>
      </c>
      <c r="AJV3" s="25">
        <f t="shared" si="19"/>
        <v>47026</v>
      </c>
      <c r="AJW3" s="25">
        <f t="shared" si="19"/>
        <v>47057</v>
      </c>
      <c r="AJX3" s="25">
        <f t="shared" si="19"/>
        <v>47087</v>
      </c>
      <c r="AJY3" s="25">
        <f t="shared" si="19"/>
        <v>47118</v>
      </c>
      <c r="AJZ3" s="25">
        <f t="shared" si="19"/>
        <v>47149</v>
      </c>
      <c r="AKA3" s="25">
        <f t="shared" si="19"/>
        <v>47177</v>
      </c>
      <c r="AKB3" s="25">
        <f t="shared" si="19"/>
        <v>47208</v>
      </c>
      <c r="AKC3" s="25">
        <f t="shared" si="19"/>
        <v>47238</v>
      </c>
      <c r="AKD3" s="25">
        <f t="shared" si="19"/>
        <v>47269</v>
      </c>
      <c r="AKE3" s="25">
        <f t="shared" si="19"/>
        <v>47299</v>
      </c>
      <c r="AKF3" s="25">
        <f t="shared" si="19"/>
        <v>47330</v>
      </c>
      <c r="AKG3" s="25">
        <f t="shared" si="19"/>
        <v>47361</v>
      </c>
      <c r="AKH3" s="25">
        <f t="shared" si="19"/>
        <v>47391</v>
      </c>
      <c r="AKI3" s="25">
        <f t="shared" si="19"/>
        <v>47422</v>
      </c>
      <c r="AKJ3" s="25">
        <f t="shared" ref="AKJ3:AKK3" si="20">EOMONTH(AKI3,1)</f>
        <v>47452</v>
      </c>
      <c r="AKK3" s="25">
        <f t="shared" si="20"/>
        <v>47483</v>
      </c>
      <c r="AKL3" s="62" t="s">
        <v>66</v>
      </c>
      <c r="AKN3" s="60">
        <f>'Long-Term Leases'!$K$5</f>
        <v>43496</v>
      </c>
      <c r="AKO3" s="25">
        <f>EOMONTH(AKN3,1)</f>
        <v>43524</v>
      </c>
      <c r="AKP3" s="25">
        <f t="shared" ref="AKP3:ANA3" si="21">EOMONTH(AKO3,1)</f>
        <v>43555</v>
      </c>
      <c r="AKQ3" s="25">
        <f t="shared" si="21"/>
        <v>43585</v>
      </c>
      <c r="AKR3" s="25">
        <f t="shared" si="21"/>
        <v>43616</v>
      </c>
      <c r="AKS3" s="25">
        <f t="shared" si="21"/>
        <v>43646</v>
      </c>
      <c r="AKT3" s="25">
        <f t="shared" si="21"/>
        <v>43677</v>
      </c>
      <c r="AKU3" s="25">
        <f t="shared" si="21"/>
        <v>43708</v>
      </c>
      <c r="AKV3" s="25">
        <f t="shared" si="21"/>
        <v>43738</v>
      </c>
      <c r="AKW3" s="25">
        <f t="shared" si="21"/>
        <v>43769</v>
      </c>
      <c r="AKX3" s="25">
        <f t="shared" si="21"/>
        <v>43799</v>
      </c>
      <c r="AKY3" s="25">
        <f t="shared" si="21"/>
        <v>43830</v>
      </c>
      <c r="AKZ3" s="25">
        <f t="shared" si="21"/>
        <v>43861</v>
      </c>
      <c r="ALA3" s="25">
        <f t="shared" si="21"/>
        <v>43890</v>
      </c>
      <c r="ALB3" s="25">
        <f t="shared" si="21"/>
        <v>43921</v>
      </c>
      <c r="ALC3" s="25">
        <f t="shared" si="21"/>
        <v>43951</v>
      </c>
      <c r="ALD3" s="25">
        <f t="shared" si="21"/>
        <v>43982</v>
      </c>
      <c r="ALE3" s="25">
        <f t="shared" si="21"/>
        <v>44012</v>
      </c>
      <c r="ALF3" s="25">
        <f t="shared" si="21"/>
        <v>44043</v>
      </c>
      <c r="ALG3" s="25">
        <f t="shared" si="21"/>
        <v>44074</v>
      </c>
      <c r="ALH3" s="25">
        <f t="shared" si="21"/>
        <v>44104</v>
      </c>
      <c r="ALI3" s="25">
        <f t="shared" si="21"/>
        <v>44135</v>
      </c>
      <c r="ALJ3" s="25">
        <f t="shared" si="21"/>
        <v>44165</v>
      </c>
      <c r="ALK3" s="25">
        <f t="shared" si="21"/>
        <v>44196</v>
      </c>
      <c r="ALL3" s="25">
        <f t="shared" si="21"/>
        <v>44227</v>
      </c>
      <c r="ALM3" s="25">
        <f t="shared" si="21"/>
        <v>44255</v>
      </c>
      <c r="ALN3" s="25">
        <f t="shared" si="21"/>
        <v>44286</v>
      </c>
      <c r="ALO3" s="25">
        <f t="shared" si="21"/>
        <v>44316</v>
      </c>
      <c r="ALP3" s="25">
        <f t="shared" si="21"/>
        <v>44347</v>
      </c>
      <c r="ALQ3" s="25">
        <f t="shared" si="21"/>
        <v>44377</v>
      </c>
      <c r="ALR3" s="25">
        <f t="shared" si="21"/>
        <v>44408</v>
      </c>
      <c r="ALS3" s="25">
        <f t="shared" si="21"/>
        <v>44439</v>
      </c>
      <c r="ALT3" s="25">
        <f t="shared" si="21"/>
        <v>44469</v>
      </c>
      <c r="ALU3" s="25">
        <f t="shared" si="21"/>
        <v>44500</v>
      </c>
      <c r="ALV3" s="25">
        <f t="shared" si="21"/>
        <v>44530</v>
      </c>
      <c r="ALW3" s="25">
        <f t="shared" si="21"/>
        <v>44561</v>
      </c>
      <c r="ALX3" s="25">
        <f t="shared" si="21"/>
        <v>44592</v>
      </c>
      <c r="ALY3" s="25">
        <f t="shared" si="21"/>
        <v>44620</v>
      </c>
      <c r="ALZ3" s="25">
        <f t="shared" si="21"/>
        <v>44651</v>
      </c>
      <c r="AMA3" s="25">
        <f t="shared" si="21"/>
        <v>44681</v>
      </c>
      <c r="AMB3" s="25">
        <f t="shared" si="21"/>
        <v>44712</v>
      </c>
      <c r="AMC3" s="25">
        <f t="shared" si="21"/>
        <v>44742</v>
      </c>
      <c r="AMD3" s="25">
        <f t="shared" si="21"/>
        <v>44773</v>
      </c>
      <c r="AME3" s="25">
        <f t="shared" si="21"/>
        <v>44804</v>
      </c>
      <c r="AMF3" s="25">
        <f t="shared" si="21"/>
        <v>44834</v>
      </c>
      <c r="AMG3" s="25">
        <f t="shared" si="21"/>
        <v>44865</v>
      </c>
      <c r="AMH3" s="25">
        <f t="shared" si="21"/>
        <v>44895</v>
      </c>
      <c r="AMI3" s="25">
        <f t="shared" si="21"/>
        <v>44926</v>
      </c>
      <c r="AMJ3" s="25">
        <f t="shared" si="21"/>
        <v>44957</v>
      </c>
      <c r="AMK3" s="25">
        <f t="shared" si="21"/>
        <v>44985</v>
      </c>
      <c r="AML3" s="25">
        <f t="shared" si="21"/>
        <v>45016</v>
      </c>
      <c r="AMM3" s="25">
        <f t="shared" si="21"/>
        <v>45046</v>
      </c>
      <c r="AMN3" s="25">
        <f t="shared" si="21"/>
        <v>45077</v>
      </c>
      <c r="AMO3" s="25">
        <f t="shared" si="21"/>
        <v>45107</v>
      </c>
      <c r="AMP3" s="25">
        <f t="shared" si="21"/>
        <v>45138</v>
      </c>
      <c r="AMQ3" s="25">
        <f t="shared" si="21"/>
        <v>45169</v>
      </c>
      <c r="AMR3" s="25">
        <f t="shared" si="21"/>
        <v>45199</v>
      </c>
      <c r="AMS3" s="25">
        <f t="shared" si="21"/>
        <v>45230</v>
      </c>
      <c r="AMT3" s="25">
        <f t="shared" si="21"/>
        <v>45260</v>
      </c>
      <c r="AMU3" s="25">
        <f t="shared" si="21"/>
        <v>45291</v>
      </c>
      <c r="AMV3" s="25">
        <f t="shared" si="21"/>
        <v>45322</v>
      </c>
      <c r="AMW3" s="25">
        <f t="shared" si="21"/>
        <v>45351</v>
      </c>
      <c r="AMX3" s="25">
        <f t="shared" si="21"/>
        <v>45382</v>
      </c>
      <c r="AMY3" s="25">
        <f t="shared" si="21"/>
        <v>45412</v>
      </c>
      <c r="AMZ3" s="25">
        <f t="shared" si="21"/>
        <v>45443</v>
      </c>
      <c r="ANA3" s="25">
        <f t="shared" si="21"/>
        <v>45473</v>
      </c>
      <c r="ANB3" s="25">
        <f t="shared" ref="ANB3:APM3" si="22">EOMONTH(ANA3,1)</f>
        <v>45504</v>
      </c>
      <c r="ANC3" s="25">
        <f t="shared" si="22"/>
        <v>45535</v>
      </c>
      <c r="AND3" s="25">
        <f t="shared" si="22"/>
        <v>45565</v>
      </c>
      <c r="ANE3" s="25">
        <f t="shared" si="22"/>
        <v>45596</v>
      </c>
      <c r="ANF3" s="25">
        <f t="shared" si="22"/>
        <v>45626</v>
      </c>
      <c r="ANG3" s="25">
        <f t="shared" si="22"/>
        <v>45657</v>
      </c>
      <c r="ANH3" s="25">
        <f t="shared" si="22"/>
        <v>45688</v>
      </c>
      <c r="ANI3" s="25">
        <f t="shared" si="22"/>
        <v>45716</v>
      </c>
      <c r="ANJ3" s="25">
        <f t="shared" si="22"/>
        <v>45747</v>
      </c>
      <c r="ANK3" s="25">
        <f t="shared" si="22"/>
        <v>45777</v>
      </c>
      <c r="ANL3" s="25">
        <f t="shared" si="22"/>
        <v>45808</v>
      </c>
      <c r="ANM3" s="25">
        <f t="shared" si="22"/>
        <v>45838</v>
      </c>
      <c r="ANN3" s="25">
        <f t="shared" si="22"/>
        <v>45869</v>
      </c>
      <c r="ANO3" s="25">
        <f t="shared" si="22"/>
        <v>45900</v>
      </c>
      <c r="ANP3" s="25">
        <f t="shared" si="22"/>
        <v>45930</v>
      </c>
      <c r="ANQ3" s="25">
        <f t="shared" si="22"/>
        <v>45961</v>
      </c>
      <c r="ANR3" s="25">
        <f t="shared" si="22"/>
        <v>45991</v>
      </c>
      <c r="ANS3" s="25">
        <f t="shared" si="22"/>
        <v>46022</v>
      </c>
      <c r="ANT3" s="25">
        <f t="shared" si="22"/>
        <v>46053</v>
      </c>
      <c r="ANU3" s="25">
        <f t="shared" si="22"/>
        <v>46081</v>
      </c>
      <c r="ANV3" s="25">
        <f t="shared" si="22"/>
        <v>46112</v>
      </c>
      <c r="ANW3" s="25">
        <f t="shared" si="22"/>
        <v>46142</v>
      </c>
      <c r="ANX3" s="25">
        <f t="shared" si="22"/>
        <v>46173</v>
      </c>
      <c r="ANY3" s="25">
        <f t="shared" si="22"/>
        <v>46203</v>
      </c>
      <c r="ANZ3" s="25">
        <f t="shared" si="22"/>
        <v>46234</v>
      </c>
      <c r="AOA3" s="25">
        <f t="shared" si="22"/>
        <v>46265</v>
      </c>
      <c r="AOB3" s="25">
        <f t="shared" si="22"/>
        <v>46295</v>
      </c>
      <c r="AOC3" s="25">
        <f t="shared" si="22"/>
        <v>46326</v>
      </c>
      <c r="AOD3" s="25">
        <f t="shared" si="22"/>
        <v>46356</v>
      </c>
      <c r="AOE3" s="25">
        <f t="shared" si="22"/>
        <v>46387</v>
      </c>
      <c r="AOF3" s="25">
        <f t="shared" si="22"/>
        <v>46418</v>
      </c>
      <c r="AOG3" s="25">
        <f t="shared" si="22"/>
        <v>46446</v>
      </c>
      <c r="AOH3" s="25">
        <f t="shared" si="22"/>
        <v>46477</v>
      </c>
      <c r="AOI3" s="25">
        <f t="shared" si="22"/>
        <v>46507</v>
      </c>
      <c r="AOJ3" s="25">
        <f t="shared" si="22"/>
        <v>46538</v>
      </c>
      <c r="AOK3" s="25">
        <f t="shared" si="22"/>
        <v>46568</v>
      </c>
      <c r="AOL3" s="25">
        <f t="shared" si="22"/>
        <v>46599</v>
      </c>
      <c r="AOM3" s="25">
        <f t="shared" si="22"/>
        <v>46630</v>
      </c>
      <c r="AON3" s="25">
        <f t="shared" si="22"/>
        <v>46660</v>
      </c>
      <c r="AOO3" s="25">
        <f t="shared" si="22"/>
        <v>46691</v>
      </c>
      <c r="AOP3" s="25">
        <f t="shared" si="22"/>
        <v>46721</v>
      </c>
      <c r="AOQ3" s="25">
        <f t="shared" si="22"/>
        <v>46752</v>
      </c>
      <c r="AOR3" s="25">
        <f t="shared" si="22"/>
        <v>46783</v>
      </c>
      <c r="AOS3" s="25">
        <f t="shared" si="22"/>
        <v>46812</v>
      </c>
      <c r="AOT3" s="25">
        <f t="shared" si="22"/>
        <v>46843</v>
      </c>
      <c r="AOU3" s="25">
        <f t="shared" si="22"/>
        <v>46873</v>
      </c>
      <c r="AOV3" s="25">
        <f t="shared" si="22"/>
        <v>46904</v>
      </c>
      <c r="AOW3" s="25">
        <f t="shared" si="22"/>
        <v>46934</v>
      </c>
      <c r="AOX3" s="25">
        <f t="shared" si="22"/>
        <v>46965</v>
      </c>
      <c r="AOY3" s="25">
        <f t="shared" si="22"/>
        <v>46996</v>
      </c>
      <c r="AOZ3" s="25">
        <f t="shared" si="22"/>
        <v>47026</v>
      </c>
      <c r="APA3" s="25">
        <f t="shared" si="22"/>
        <v>47057</v>
      </c>
      <c r="APB3" s="25">
        <f t="shared" si="22"/>
        <v>47087</v>
      </c>
      <c r="APC3" s="25">
        <f t="shared" si="22"/>
        <v>47118</v>
      </c>
      <c r="APD3" s="25">
        <f t="shared" si="22"/>
        <v>47149</v>
      </c>
      <c r="APE3" s="25">
        <f t="shared" si="22"/>
        <v>47177</v>
      </c>
      <c r="APF3" s="25">
        <f t="shared" si="22"/>
        <v>47208</v>
      </c>
      <c r="APG3" s="25">
        <f t="shared" si="22"/>
        <v>47238</v>
      </c>
      <c r="APH3" s="25">
        <f t="shared" si="22"/>
        <v>47269</v>
      </c>
      <c r="API3" s="25">
        <f t="shared" si="22"/>
        <v>47299</v>
      </c>
      <c r="APJ3" s="25">
        <f t="shared" si="22"/>
        <v>47330</v>
      </c>
      <c r="APK3" s="25">
        <f t="shared" si="22"/>
        <v>47361</v>
      </c>
      <c r="APL3" s="25">
        <f t="shared" si="22"/>
        <v>47391</v>
      </c>
      <c r="APM3" s="25">
        <f t="shared" si="22"/>
        <v>47422</v>
      </c>
      <c r="APN3" s="25">
        <f t="shared" ref="APN3:APO3" si="23">EOMONTH(APM3,1)</f>
        <v>47452</v>
      </c>
      <c r="APO3" s="25">
        <f t="shared" si="23"/>
        <v>47483</v>
      </c>
      <c r="APP3" s="62" t="s">
        <v>66</v>
      </c>
      <c r="APR3" s="60">
        <f>'Long-Term Leases'!$K$5</f>
        <v>43496</v>
      </c>
      <c r="APS3" s="25">
        <f>EOMONTH(APR3,1)</f>
        <v>43524</v>
      </c>
      <c r="APT3" s="25">
        <f t="shared" ref="APT3:ASE3" si="24">EOMONTH(APS3,1)</f>
        <v>43555</v>
      </c>
      <c r="APU3" s="25">
        <f t="shared" si="24"/>
        <v>43585</v>
      </c>
      <c r="APV3" s="25">
        <f t="shared" si="24"/>
        <v>43616</v>
      </c>
      <c r="APW3" s="25">
        <f t="shared" si="24"/>
        <v>43646</v>
      </c>
      <c r="APX3" s="25">
        <f t="shared" si="24"/>
        <v>43677</v>
      </c>
      <c r="APY3" s="25">
        <f t="shared" si="24"/>
        <v>43708</v>
      </c>
      <c r="APZ3" s="25">
        <f t="shared" si="24"/>
        <v>43738</v>
      </c>
      <c r="AQA3" s="25">
        <f t="shared" si="24"/>
        <v>43769</v>
      </c>
      <c r="AQB3" s="25">
        <f t="shared" si="24"/>
        <v>43799</v>
      </c>
      <c r="AQC3" s="25">
        <f t="shared" si="24"/>
        <v>43830</v>
      </c>
      <c r="AQD3" s="25">
        <f t="shared" si="24"/>
        <v>43861</v>
      </c>
      <c r="AQE3" s="25">
        <f t="shared" si="24"/>
        <v>43890</v>
      </c>
      <c r="AQF3" s="25">
        <f t="shared" si="24"/>
        <v>43921</v>
      </c>
      <c r="AQG3" s="25">
        <f t="shared" si="24"/>
        <v>43951</v>
      </c>
      <c r="AQH3" s="25">
        <f t="shared" si="24"/>
        <v>43982</v>
      </c>
      <c r="AQI3" s="25">
        <f t="shared" si="24"/>
        <v>44012</v>
      </c>
      <c r="AQJ3" s="25">
        <f t="shared" si="24"/>
        <v>44043</v>
      </c>
      <c r="AQK3" s="25">
        <f t="shared" si="24"/>
        <v>44074</v>
      </c>
      <c r="AQL3" s="25">
        <f t="shared" si="24"/>
        <v>44104</v>
      </c>
      <c r="AQM3" s="25">
        <f t="shared" si="24"/>
        <v>44135</v>
      </c>
      <c r="AQN3" s="25">
        <f t="shared" si="24"/>
        <v>44165</v>
      </c>
      <c r="AQO3" s="25">
        <f t="shared" si="24"/>
        <v>44196</v>
      </c>
      <c r="AQP3" s="25">
        <f t="shared" si="24"/>
        <v>44227</v>
      </c>
      <c r="AQQ3" s="25">
        <f t="shared" si="24"/>
        <v>44255</v>
      </c>
      <c r="AQR3" s="25">
        <f t="shared" si="24"/>
        <v>44286</v>
      </c>
      <c r="AQS3" s="25">
        <f t="shared" si="24"/>
        <v>44316</v>
      </c>
      <c r="AQT3" s="25">
        <f t="shared" si="24"/>
        <v>44347</v>
      </c>
      <c r="AQU3" s="25">
        <f t="shared" si="24"/>
        <v>44377</v>
      </c>
      <c r="AQV3" s="25">
        <f t="shared" si="24"/>
        <v>44408</v>
      </c>
      <c r="AQW3" s="25">
        <f t="shared" si="24"/>
        <v>44439</v>
      </c>
      <c r="AQX3" s="25">
        <f t="shared" si="24"/>
        <v>44469</v>
      </c>
      <c r="AQY3" s="25">
        <f t="shared" si="24"/>
        <v>44500</v>
      </c>
      <c r="AQZ3" s="25">
        <f t="shared" si="24"/>
        <v>44530</v>
      </c>
      <c r="ARA3" s="25">
        <f t="shared" si="24"/>
        <v>44561</v>
      </c>
      <c r="ARB3" s="25">
        <f t="shared" si="24"/>
        <v>44592</v>
      </c>
      <c r="ARC3" s="25">
        <f t="shared" si="24"/>
        <v>44620</v>
      </c>
      <c r="ARD3" s="25">
        <f t="shared" si="24"/>
        <v>44651</v>
      </c>
      <c r="ARE3" s="25">
        <f t="shared" si="24"/>
        <v>44681</v>
      </c>
      <c r="ARF3" s="25">
        <f t="shared" si="24"/>
        <v>44712</v>
      </c>
      <c r="ARG3" s="25">
        <f t="shared" si="24"/>
        <v>44742</v>
      </c>
      <c r="ARH3" s="25">
        <f t="shared" si="24"/>
        <v>44773</v>
      </c>
      <c r="ARI3" s="25">
        <f t="shared" si="24"/>
        <v>44804</v>
      </c>
      <c r="ARJ3" s="25">
        <f t="shared" si="24"/>
        <v>44834</v>
      </c>
      <c r="ARK3" s="25">
        <f t="shared" si="24"/>
        <v>44865</v>
      </c>
      <c r="ARL3" s="25">
        <f t="shared" si="24"/>
        <v>44895</v>
      </c>
      <c r="ARM3" s="25">
        <f t="shared" si="24"/>
        <v>44926</v>
      </c>
      <c r="ARN3" s="25">
        <f t="shared" si="24"/>
        <v>44957</v>
      </c>
      <c r="ARO3" s="25">
        <f t="shared" si="24"/>
        <v>44985</v>
      </c>
      <c r="ARP3" s="25">
        <f t="shared" si="24"/>
        <v>45016</v>
      </c>
      <c r="ARQ3" s="25">
        <f t="shared" si="24"/>
        <v>45046</v>
      </c>
      <c r="ARR3" s="25">
        <f t="shared" si="24"/>
        <v>45077</v>
      </c>
      <c r="ARS3" s="25">
        <f t="shared" si="24"/>
        <v>45107</v>
      </c>
      <c r="ART3" s="25">
        <f t="shared" si="24"/>
        <v>45138</v>
      </c>
      <c r="ARU3" s="25">
        <f t="shared" si="24"/>
        <v>45169</v>
      </c>
      <c r="ARV3" s="25">
        <f t="shared" si="24"/>
        <v>45199</v>
      </c>
      <c r="ARW3" s="25">
        <f t="shared" si="24"/>
        <v>45230</v>
      </c>
      <c r="ARX3" s="25">
        <f t="shared" si="24"/>
        <v>45260</v>
      </c>
      <c r="ARY3" s="25">
        <f t="shared" si="24"/>
        <v>45291</v>
      </c>
      <c r="ARZ3" s="25">
        <f t="shared" si="24"/>
        <v>45322</v>
      </c>
      <c r="ASA3" s="25">
        <f t="shared" si="24"/>
        <v>45351</v>
      </c>
      <c r="ASB3" s="25">
        <f t="shared" si="24"/>
        <v>45382</v>
      </c>
      <c r="ASC3" s="25">
        <f t="shared" si="24"/>
        <v>45412</v>
      </c>
      <c r="ASD3" s="25">
        <f t="shared" si="24"/>
        <v>45443</v>
      </c>
      <c r="ASE3" s="25">
        <f t="shared" si="24"/>
        <v>45473</v>
      </c>
      <c r="ASF3" s="25">
        <f t="shared" ref="ASF3:AUQ3" si="25">EOMONTH(ASE3,1)</f>
        <v>45504</v>
      </c>
      <c r="ASG3" s="25">
        <f t="shared" si="25"/>
        <v>45535</v>
      </c>
      <c r="ASH3" s="25">
        <f t="shared" si="25"/>
        <v>45565</v>
      </c>
      <c r="ASI3" s="25">
        <f t="shared" si="25"/>
        <v>45596</v>
      </c>
      <c r="ASJ3" s="25">
        <f t="shared" si="25"/>
        <v>45626</v>
      </c>
      <c r="ASK3" s="25">
        <f t="shared" si="25"/>
        <v>45657</v>
      </c>
      <c r="ASL3" s="25">
        <f t="shared" si="25"/>
        <v>45688</v>
      </c>
      <c r="ASM3" s="25">
        <f t="shared" si="25"/>
        <v>45716</v>
      </c>
      <c r="ASN3" s="25">
        <f t="shared" si="25"/>
        <v>45747</v>
      </c>
      <c r="ASO3" s="25">
        <f t="shared" si="25"/>
        <v>45777</v>
      </c>
      <c r="ASP3" s="25">
        <f t="shared" si="25"/>
        <v>45808</v>
      </c>
      <c r="ASQ3" s="25">
        <f t="shared" si="25"/>
        <v>45838</v>
      </c>
      <c r="ASR3" s="25">
        <f t="shared" si="25"/>
        <v>45869</v>
      </c>
      <c r="ASS3" s="25">
        <f t="shared" si="25"/>
        <v>45900</v>
      </c>
      <c r="AST3" s="25">
        <f t="shared" si="25"/>
        <v>45930</v>
      </c>
      <c r="ASU3" s="25">
        <f t="shared" si="25"/>
        <v>45961</v>
      </c>
      <c r="ASV3" s="25">
        <f t="shared" si="25"/>
        <v>45991</v>
      </c>
      <c r="ASW3" s="25">
        <f t="shared" si="25"/>
        <v>46022</v>
      </c>
      <c r="ASX3" s="25">
        <f t="shared" si="25"/>
        <v>46053</v>
      </c>
      <c r="ASY3" s="25">
        <f t="shared" si="25"/>
        <v>46081</v>
      </c>
      <c r="ASZ3" s="25">
        <f t="shared" si="25"/>
        <v>46112</v>
      </c>
      <c r="ATA3" s="25">
        <f t="shared" si="25"/>
        <v>46142</v>
      </c>
      <c r="ATB3" s="25">
        <f t="shared" si="25"/>
        <v>46173</v>
      </c>
      <c r="ATC3" s="25">
        <f t="shared" si="25"/>
        <v>46203</v>
      </c>
      <c r="ATD3" s="25">
        <f t="shared" si="25"/>
        <v>46234</v>
      </c>
      <c r="ATE3" s="25">
        <f t="shared" si="25"/>
        <v>46265</v>
      </c>
      <c r="ATF3" s="25">
        <f t="shared" si="25"/>
        <v>46295</v>
      </c>
      <c r="ATG3" s="25">
        <f t="shared" si="25"/>
        <v>46326</v>
      </c>
      <c r="ATH3" s="25">
        <f t="shared" si="25"/>
        <v>46356</v>
      </c>
      <c r="ATI3" s="25">
        <f t="shared" si="25"/>
        <v>46387</v>
      </c>
      <c r="ATJ3" s="25">
        <f t="shared" si="25"/>
        <v>46418</v>
      </c>
      <c r="ATK3" s="25">
        <f t="shared" si="25"/>
        <v>46446</v>
      </c>
      <c r="ATL3" s="25">
        <f t="shared" si="25"/>
        <v>46477</v>
      </c>
      <c r="ATM3" s="25">
        <f t="shared" si="25"/>
        <v>46507</v>
      </c>
      <c r="ATN3" s="25">
        <f t="shared" si="25"/>
        <v>46538</v>
      </c>
      <c r="ATO3" s="25">
        <f t="shared" si="25"/>
        <v>46568</v>
      </c>
      <c r="ATP3" s="25">
        <f t="shared" si="25"/>
        <v>46599</v>
      </c>
      <c r="ATQ3" s="25">
        <f t="shared" si="25"/>
        <v>46630</v>
      </c>
      <c r="ATR3" s="25">
        <f t="shared" si="25"/>
        <v>46660</v>
      </c>
      <c r="ATS3" s="25">
        <f t="shared" si="25"/>
        <v>46691</v>
      </c>
      <c r="ATT3" s="25">
        <f t="shared" si="25"/>
        <v>46721</v>
      </c>
      <c r="ATU3" s="25">
        <f t="shared" si="25"/>
        <v>46752</v>
      </c>
      <c r="ATV3" s="25">
        <f t="shared" si="25"/>
        <v>46783</v>
      </c>
      <c r="ATW3" s="25">
        <f t="shared" si="25"/>
        <v>46812</v>
      </c>
      <c r="ATX3" s="25">
        <f t="shared" si="25"/>
        <v>46843</v>
      </c>
      <c r="ATY3" s="25">
        <f t="shared" si="25"/>
        <v>46873</v>
      </c>
      <c r="ATZ3" s="25">
        <f t="shared" si="25"/>
        <v>46904</v>
      </c>
      <c r="AUA3" s="25">
        <f t="shared" si="25"/>
        <v>46934</v>
      </c>
      <c r="AUB3" s="25">
        <f t="shared" si="25"/>
        <v>46965</v>
      </c>
      <c r="AUC3" s="25">
        <f t="shared" si="25"/>
        <v>46996</v>
      </c>
      <c r="AUD3" s="25">
        <f t="shared" si="25"/>
        <v>47026</v>
      </c>
      <c r="AUE3" s="25">
        <f t="shared" si="25"/>
        <v>47057</v>
      </c>
      <c r="AUF3" s="25">
        <f t="shared" si="25"/>
        <v>47087</v>
      </c>
      <c r="AUG3" s="25">
        <f t="shared" si="25"/>
        <v>47118</v>
      </c>
      <c r="AUH3" s="25">
        <f t="shared" si="25"/>
        <v>47149</v>
      </c>
      <c r="AUI3" s="25">
        <f t="shared" si="25"/>
        <v>47177</v>
      </c>
      <c r="AUJ3" s="25">
        <f t="shared" si="25"/>
        <v>47208</v>
      </c>
      <c r="AUK3" s="25">
        <f t="shared" si="25"/>
        <v>47238</v>
      </c>
      <c r="AUL3" s="25">
        <f t="shared" si="25"/>
        <v>47269</v>
      </c>
      <c r="AUM3" s="25">
        <f t="shared" si="25"/>
        <v>47299</v>
      </c>
      <c r="AUN3" s="25">
        <f t="shared" si="25"/>
        <v>47330</v>
      </c>
      <c r="AUO3" s="25">
        <f t="shared" si="25"/>
        <v>47361</v>
      </c>
      <c r="AUP3" s="25">
        <f t="shared" si="25"/>
        <v>47391</v>
      </c>
      <c r="AUQ3" s="25">
        <f t="shared" si="25"/>
        <v>47422</v>
      </c>
      <c r="AUR3" s="25">
        <f t="shared" ref="AUR3:AUS3" si="26">EOMONTH(AUQ3,1)</f>
        <v>47452</v>
      </c>
      <c r="AUS3" s="25">
        <f t="shared" si="26"/>
        <v>47483</v>
      </c>
      <c r="AUT3" s="62" t="s">
        <v>48</v>
      </c>
    </row>
    <row r="4" spans="1:1243" x14ac:dyDescent="0.3">
      <c r="B4" s="41"/>
      <c r="C4" s="32"/>
      <c r="D4" s="33"/>
      <c r="E4" s="34" t="s">
        <v>38</v>
      </c>
      <c r="F4" s="34" t="s">
        <v>38</v>
      </c>
      <c r="G4" s="33" t="s">
        <v>31</v>
      </c>
      <c r="H4" s="33" t="s">
        <v>31</v>
      </c>
      <c r="I4" s="33" t="s">
        <v>75</v>
      </c>
      <c r="J4" s="34" t="s">
        <v>32</v>
      </c>
      <c r="K4" s="34" t="s">
        <v>34</v>
      </c>
      <c r="L4" s="34" t="s">
        <v>36</v>
      </c>
      <c r="M4" s="36" t="s">
        <v>43</v>
      </c>
      <c r="N4" s="33" t="s">
        <v>60</v>
      </c>
      <c r="O4" s="33" t="s">
        <v>57</v>
      </c>
      <c r="P4" s="34" t="s">
        <v>42</v>
      </c>
      <c r="Q4" s="34" t="s">
        <v>53</v>
      </c>
      <c r="R4" s="34" t="s">
        <v>38</v>
      </c>
      <c r="S4" s="34" t="s">
        <v>38</v>
      </c>
      <c r="T4" s="34" t="s">
        <v>46</v>
      </c>
      <c r="U4" s="33" t="s">
        <v>75</v>
      </c>
      <c r="V4" s="34" t="s">
        <v>32</v>
      </c>
      <c r="W4" s="34" t="s">
        <v>34</v>
      </c>
      <c r="X4" s="34" t="s">
        <v>36</v>
      </c>
      <c r="Y4" s="34" t="s">
        <v>79</v>
      </c>
      <c r="Z4" s="34" t="s">
        <v>79</v>
      </c>
      <c r="AA4" s="34" t="s">
        <v>79</v>
      </c>
      <c r="AB4" s="34" t="s">
        <v>49</v>
      </c>
      <c r="AC4" s="34" t="s">
        <v>49</v>
      </c>
      <c r="AD4" s="34" t="s">
        <v>52</v>
      </c>
      <c r="AE4" s="34" t="s">
        <v>52</v>
      </c>
      <c r="AF4" s="34" t="s">
        <v>49</v>
      </c>
      <c r="AG4" s="34" t="s">
        <v>52</v>
      </c>
      <c r="AH4" s="34" t="s">
        <v>47</v>
      </c>
      <c r="AJ4" s="18">
        <f>ROUNDUP(AJ5/12,0)</f>
        <v>1</v>
      </c>
      <c r="AK4" s="18">
        <f t="shared" ref="AK4:CV4" si="27">ROUNDUP(AK5/12,0)</f>
        <v>1</v>
      </c>
      <c r="AL4" s="18">
        <f t="shared" si="27"/>
        <v>1</v>
      </c>
      <c r="AM4" s="18">
        <f t="shared" si="27"/>
        <v>1</v>
      </c>
      <c r="AN4" s="18">
        <f t="shared" si="27"/>
        <v>1</v>
      </c>
      <c r="AO4" s="18">
        <f t="shared" si="27"/>
        <v>1</v>
      </c>
      <c r="AP4" s="18">
        <f t="shared" si="27"/>
        <v>1</v>
      </c>
      <c r="AQ4" s="18">
        <f t="shared" si="27"/>
        <v>1</v>
      </c>
      <c r="AR4" s="18">
        <f t="shared" si="27"/>
        <v>1</v>
      </c>
      <c r="AS4" s="18">
        <f t="shared" si="27"/>
        <v>1</v>
      </c>
      <c r="AT4" s="18">
        <f t="shared" si="27"/>
        <v>1</v>
      </c>
      <c r="AU4" s="18">
        <f t="shared" si="27"/>
        <v>1</v>
      </c>
      <c r="AV4" s="18">
        <f t="shared" si="27"/>
        <v>2</v>
      </c>
      <c r="AW4" s="18">
        <f t="shared" si="27"/>
        <v>2</v>
      </c>
      <c r="AX4" s="18">
        <f t="shared" si="27"/>
        <v>2</v>
      </c>
      <c r="AY4" s="18">
        <f t="shared" si="27"/>
        <v>2</v>
      </c>
      <c r="AZ4" s="18">
        <f t="shared" si="27"/>
        <v>2</v>
      </c>
      <c r="BA4" s="18">
        <f t="shared" si="27"/>
        <v>2</v>
      </c>
      <c r="BB4" s="18">
        <f t="shared" si="27"/>
        <v>2</v>
      </c>
      <c r="BC4" s="18">
        <f t="shared" si="27"/>
        <v>2</v>
      </c>
      <c r="BD4" s="18">
        <f t="shared" si="27"/>
        <v>2</v>
      </c>
      <c r="BE4" s="18">
        <f t="shared" si="27"/>
        <v>2</v>
      </c>
      <c r="BF4" s="18">
        <f t="shared" si="27"/>
        <v>2</v>
      </c>
      <c r="BG4" s="18">
        <f t="shared" si="27"/>
        <v>2</v>
      </c>
      <c r="BH4" s="18">
        <f t="shared" si="27"/>
        <v>3</v>
      </c>
      <c r="BI4" s="18">
        <f t="shared" si="27"/>
        <v>3</v>
      </c>
      <c r="BJ4" s="18">
        <f t="shared" si="27"/>
        <v>3</v>
      </c>
      <c r="BK4" s="18">
        <f t="shared" si="27"/>
        <v>3</v>
      </c>
      <c r="BL4" s="18">
        <f t="shared" si="27"/>
        <v>3</v>
      </c>
      <c r="BM4" s="18">
        <f t="shared" si="27"/>
        <v>3</v>
      </c>
      <c r="BN4" s="18">
        <f t="shared" si="27"/>
        <v>3</v>
      </c>
      <c r="BO4" s="18">
        <f t="shared" si="27"/>
        <v>3</v>
      </c>
      <c r="BP4" s="18">
        <f t="shared" si="27"/>
        <v>3</v>
      </c>
      <c r="BQ4" s="18">
        <f t="shared" si="27"/>
        <v>3</v>
      </c>
      <c r="BR4" s="18">
        <f t="shared" si="27"/>
        <v>3</v>
      </c>
      <c r="BS4" s="18">
        <f t="shared" si="27"/>
        <v>3</v>
      </c>
      <c r="BT4" s="18">
        <f t="shared" si="27"/>
        <v>4</v>
      </c>
      <c r="BU4" s="18">
        <f t="shared" si="27"/>
        <v>4</v>
      </c>
      <c r="BV4" s="18">
        <f t="shared" si="27"/>
        <v>4</v>
      </c>
      <c r="BW4" s="18">
        <f t="shared" si="27"/>
        <v>4</v>
      </c>
      <c r="BX4" s="18">
        <f t="shared" si="27"/>
        <v>4</v>
      </c>
      <c r="BY4" s="18">
        <f t="shared" si="27"/>
        <v>4</v>
      </c>
      <c r="BZ4" s="18">
        <f t="shared" si="27"/>
        <v>4</v>
      </c>
      <c r="CA4" s="18">
        <f t="shared" si="27"/>
        <v>4</v>
      </c>
      <c r="CB4" s="18">
        <f t="shared" si="27"/>
        <v>4</v>
      </c>
      <c r="CC4" s="18">
        <f t="shared" si="27"/>
        <v>4</v>
      </c>
      <c r="CD4" s="18">
        <f t="shared" si="27"/>
        <v>4</v>
      </c>
      <c r="CE4" s="18">
        <f t="shared" si="27"/>
        <v>4</v>
      </c>
      <c r="CF4" s="18">
        <f t="shared" si="27"/>
        <v>5</v>
      </c>
      <c r="CG4" s="18">
        <f t="shared" si="27"/>
        <v>5</v>
      </c>
      <c r="CH4" s="18">
        <f t="shared" si="27"/>
        <v>5</v>
      </c>
      <c r="CI4" s="18">
        <f t="shared" si="27"/>
        <v>5</v>
      </c>
      <c r="CJ4" s="18">
        <f t="shared" si="27"/>
        <v>5</v>
      </c>
      <c r="CK4" s="18">
        <f t="shared" si="27"/>
        <v>5</v>
      </c>
      <c r="CL4" s="18">
        <f t="shared" si="27"/>
        <v>5</v>
      </c>
      <c r="CM4" s="18">
        <f t="shared" si="27"/>
        <v>5</v>
      </c>
      <c r="CN4" s="18">
        <f t="shared" si="27"/>
        <v>5</v>
      </c>
      <c r="CO4" s="18">
        <f t="shared" si="27"/>
        <v>5</v>
      </c>
      <c r="CP4" s="18">
        <f t="shared" si="27"/>
        <v>5</v>
      </c>
      <c r="CQ4" s="18">
        <f t="shared" si="27"/>
        <v>5</v>
      </c>
      <c r="CR4" s="18">
        <f t="shared" si="27"/>
        <v>6</v>
      </c>
      <c r="CS4" s="18">
        <f t="shared" si="27"/>
        <v>6</v>
      </c>
      <c r="CT4" s="18">
        <f t="shared" si="27"/>
        <v>6</v>
      </c>
      <c r="CU4" s="18">
        <f t="shared" si="27"/>
        <v>6</v>
      </c>
      <c r="CV4" s="18">
        <f t="shared" si="27"/>
        <v>6</v>
      </c>
      <c r="CW4" s="18">
        <f t="shared" ref="CW4:FH4" si="28">ROUNDUP(CW5/12,0)</f>
        <v>6</v>
      </c>
      <c r="CX4" s="18">
        <f t="shared" si="28"/>
        <v>6</v>
      </c>
      <c r="CY4" s="18">
        <f t="shared" si="28"/>
        <v>6</v>
      </c>
      <c r="CZ4" s="18">
        <f t="shared" si="28"/>
        <v>6</v>
      </c>
      <c r="DA4" s="18">
        <f t="shared" si="28"/>
        <v>6</v>
      </c>
      <c r="DB4" s="18">
        <f t="shared" si="28"/>
        <v>6</v>
      </c>
      <c r="DC4" s="18">
        <f t="shared" si="28"/>
        <v>6</v>
      </c>
      <c r="DD4" s="18">
        <f t="shared" si="28"/>
        <v>7</v>
      </c>
      <c r="DE4" s="18">
        <f t="shared" si="28"/>
        <v>7</v>
      </c>
      <c r="DF4" s="18">
        <f t="shared" si="28"/>
        <v>7</v>
      </c>
      <c r="DG4" s="18">
        <f t="shared" si="28"/>
        <v>7</v>
      </c>
      <c r="DH4" s="18">
        <f t="shared" si="28"/>
        <v>7</v>
      </c>
      <c r="DI4" s="18">
        <f t="shared" si="28"/>
        <v>7</v>
      </c>
      <c r="DJ4" s="18">
        <f t="shared" si="28"/>
        <v>7</v>
      </c>
      <c r="DK4" s="18">
        <f t="shared" si="28"/>
        <v>7</v>
      </c>
      <c r="DL4" s="18">
        <f t="shared" si="28"/>
        <v>7</v>
      </c>
      <c r="DM4" s="18">
        <f t="shared" si="28"/>
        <v>7</v>
      </c>
      <c r="DN4" s="18">
        <f t="shared" si="28"/>
        <v>7</v>
      </c>
      <c r="DO4" s="18">
        <f t="shared" si="28"/>
        <v>7</v>
      </c>
      <c r="DP4" s="18">
        <f t="shared" si="28"/>
        <v>8</v>
      </c>
      <c r="DQ4" s="18">
        <f t="shared" si="28"/>
        <v>8</v>
      </c>
      <c r="DR4" s="18">
        <f t="shared" si="28"/>
        <v>8</v>
      </c>
      <c r="DS4" s="18">
        <f t="shared" si="28"/>
        <v>8</v>
      </c>
      <c r="DT4" s="18">
        <f t="shared" si="28"/>
        <v>8</v>
      </c>
      <c r="DU4" s="18">
        <f t="shared" si="28"/>
        <v>8</v>
      </c>
      <c r="DV4" s="18">
        <f t="shared" si="28"/>
        <v>8</v>
      </c>
      <c r="DW4" s="18">
        <f t="shared" si="28"/>
        <v>8</v>
      </c>
      <c r="DX4" s="18">
        <f t="shared" si="28"/>
        <v>8</v>
      </c>
      <c r="DY4" s="18">
        <f t="shared" si="28"/>
        <v>8</v>
      </c>
      <c r="DZ4" s="18">
        <f t="shared" si="28"/>
        <v>8</v>
      </c>
      <c r="EA4" s="18">
        <f t="shared" si="28"/>
        <v>8</v>
      </c>
      <c r="EB4" s="18">
        <f t="shared" si="28"/>
        <v>9</v>
      </c>
      <c r="EC4" s="18">
        <f t="shared" si="28"/>
        <v>9</v>
      </c>
      <c r="ED4" s="18">
        <f t="shared" si="28"/>
        <v>9</v>
      </c>
      <c r="EE4" s="18">
        <f t="shared" si="28"/>
        <v>9</v>
      </c>
      <c r="EF4" s="18">
        <f t="shared" si="28"/>
        <v>9</v>
      </c>
      <c r="EG4" s="18">
        <f t="shared" si="28"/>
        <v>9</v>
      </c>
      <c r="EH4" s="18">
        <f t="shared" si="28"/>
        <v>9</v>
      </c>
      <c r="EI4" s="18">
        <f t="shared" si="28"/>
        <v>9</v>
      </c>
      <c r="EJ4" s="18">
        <f t="shared" si="28"/>
        <v>9</v>
      </c>
      <c r="EK4" s="18">
        <f t="shared" si="28"/>
        <v>9</v>
      </c>
      <c r="EL4" s="18">
        <f t="shared" si="28"/>
        <v>9</v>
      </c>
      <c r="EM4" s="18">
        <f t="shared" si="28"/>
        <v>9</v>
      </c>
      <c r="EN4" s="18">
        <f t="shared" si="28"/>
        <v>10</v>
      </c>
      <c r="EO4" s="18">
        <f t="shared" si="28"/>
        <v>10</v>
      </c>
      <c r="EP4" s="18">
        <f t="shared" si="28"/>
        <v>10</v>
      </c>
      <c r="EQ4" s="18">
        <f t="shared" si="28"/>
        <v>10</v>
      </c>
      <c r="ER4" s="18">
        <f t="shared" si="28"/>
        <v>10</v>
      </c>
      <c r="ES4" s="18">
        <f t="shared" si="28"/>
        <v>10</v>
      </c>
      <c r="ET4" s="18">
        <f t="shared" si="28"/>
        <v>10</v>
      </c>
      <c r="EU4" s="18">
        <f t="shared" si="28"/>
        <v>10</v>
      </c>
      <c r="EV4" s="18">
        <f t="shared" si="28"/>
        <v>10</v>
      </c>
      <c r="EW4" s="18">
        <f t="shared" si="28"/>
        <v>10</v>
      </c>
      <c r="EX4" s="18">
        <f t="shared" si="28"/>
        <v>10</v>
      </c>
      <c r="EY4" s="18">
        <f t="shared" si="28"/>
        <v>10</v>
      </c>
      <c r="EZ4" s="18">
        <f t="shared" si="28"/>
        <v>11</v>
      </c>
      <c r="FA4" s="18">
        <f t="shared" si="28"/>
        <v>11</v>
      </c>
      <c r="FB4" s="18">
        <f t="shared" si="28"/>
        <v>11</v>
      </c>
      <c r="FC4" s="18">
        <f t="shared" si="28"/>
        <v>11</v>
      </c>
      <c r="FD4" s="18">
        <f t="shared" si="28"/>
        <v>11</v>
      </c>
      <c r="FE4" s="18">
        <f t="shared" si="28"/>
        <v>11</v>
      </c>
      <c r="FF4" s="18">
        <f t="shared" si="28"/>
        <v>11</v>
      </c>
      <c r="FG4" s="18">
        <f t="shared" si="28"/>
        <v>11</v>
      </c>
      <c r="FH4" s="18">
        <f t="shared" si="28"/>
        <v>11</v>
      </c>
      <c r="FI4" s="18">
        <f t="shared" ref="FI4:FK4" si="29">ROUNDUP(FI5/12,0)</f>
        <v>11</v>
      </c>
      <c r="FJ4" s="18">
        <f t="shared" si="29"/>
        <v>11</v>
      </c>
      <c r="FK4" s="18">
        <f t="shared" si="29"/>
        <v>11</v>
      </c>
      <c r="FL4" s="62" t="s">
        <v>73</v>
      </c>
      <c r="FN4" s="18">
        <f>ROUNDUP(FN5/12,0)</f>
        <v>1</v>
      </c>
      <c r="FO4" s="18">
        <f t="shared" ref="FO4" si="30">ROUNDUP(FO5/12,0)</f>
        <v>1</v>
      </c>
      <c r="FP4" s="18">
        <f t="shared" ref="FP4" si="31">ROUNDUP(FP5/12,0)</f>
        <v>1</v>
      </c>
      <c r="FQ4" s="18">
        <f t="shared" ref="FQ4" si="32">ROUNDUP(FQ5/12,0)</f>
        <v>1</v>
      </c>
      <c r="FR4" s="18">
        <f t="shared" ref="FR4" si="33">ROUNDUP(FR5/12,0)</f>
        <v>1</v>
      </c>
      <c r="FS4" s="18">
        <f t="shared" ref="FS4" si="34">ROUNDUP(FS5/12,0)</f>
        <v>1</v>
      </c>
      <c r="FT4" s="18">
        <f t="shared" ref="FT4" si="35">ROUNDUP(FT5/12,0)</f>
        <v>1</v>
      </c>
      <c r="FU4" s="18">
        <f t="shared" ref="FU4" si="36">ROUNDUP(FU5/12,0)</f>
        <v>1</v>
      </c>
      <c r="FV4" s="18">
        <f t="shared" ref="FV4" si="37">ROUNDUP(FV5/12,0)</f>
        <v>1</v>
      </c>
      <c r="FW4" s="18">
        <f t="shared" ref="FW4" si="38">ROUNDUP(FW5/12,0)</f>
        <v>1</v>
      </c>
      <c r="FX4" s="18">
        <f t="shared" ref="FX4" si="39">ROUNDUP(FX5/12,0)</f>
        <v>1</v>
      </c>
      <c r="FY4" s="18">
        <f t="shared" ref="FY4" si="40">ROUNDUP(FY5/12,0)</f>
        <v>1</v>
      </c>
      <c r="FZ4" s="18">
        <f t="shared" ref="FZ4" si="41">ROUNDUP(FZ5/12,0)</f>
        <v>2</v>
      </c>
      <c r="GA4" s="18">
        <f t="shared" ref="GA4" si="42">ROUNDUP(GA5/12,0)</f>
        <v>2</v>
      </c>
      <c r="GB4" s="18">
        <f t="shared" ref="GB4" si="43">ROUNDUP(GB5/12,0)</f>
        <v>2</v>
      </c>
      <c r="GC4" s="18">
        <f t="shared" ref="GC4" si="44">ROUNDUP(GC5/12,0)</f>
        <v>2</v>
      </c>
      <c r="GD4" s="18">
        <f t="shared" ref="GD4" si="45">ROUNDUP(GD5/12,0)</f>
        <v>2</v>
      </c>
      <c r="GE4" s="18">
        <f t="shared" ref="GE4" si="46">ROUNDUP(GE5/12,0)</f>
        <v>2</v>
      </c>
      <c r="GF4" s="18">
        <f t="shared" ref="GF4" si="47">ROUNDUP(GF5/12,0)</f>
        <v>2</v>
      </c>
      <c r="GG4" s="18">
        <f t="shared" ref="GG4" si="48">ROUNDUP(GG5/12,0)</f>
        <v>2</v>
      </c>
      <c r="GH4" s="18">
        <f t="shared" ref="GH4" si="49">ROUNDUP(GH5/12,0)</f>
        <v>2</v>
      </c>
      <c r="GI4" s="18">
        <f t="shared" ref="GI4" si="50">ROUNDUP(GI5/12,0)</f>
        <v>2</v>
      </c>
      <c r="GJ4" s="18">
        <f t="shared" ref="GJ4" si="51">ROUNDUP(GJ5/12,0)</f>
        <v>2</v>
      </c>
      <c r="GK4" s="18">
        <f t="shared" ref="GK4" si="52">ROUNDUP(GK5/12,0)</f>
        <v>2</v>
      </c>
      <c r="GL4" s="18">
        <f t="shared" ref="GL4" si="53">ROUNDUP(GL5/12,0)</f>
        <v>3</v>
      </c>
      <c r="GM4" s="18">
        <f t="shared" ref="GM4" si="54">ROUNDUP(GM5/12,0)</f>
        <v>3</v>
      </c>
      <c r="GN4" s="18">
        <f t="shared" ref="GN4" si="55">ROUNDUP(GN5/12,0)</f>
        <v>3</v>
      </c>
      <c r="GO4" s="18">
        <f t="shared" ref="GO4" si="56">ROUNDUP(GO5/12,0)</f>
        <v>3</v>
      </c>
      <c r="GP4" s="18">
        <f t="shared" ref="GP4" si="57">ROUNDUP(GP5/12,0)</f>
        <v>3</v>
      </c>
      <c r="GQ4" s="18">
        <f t="shared" ref="GQ4" si="58">ROUNDUP(GQ5/12,0)</f>
        <v>3</v>
      </c>
      <c r="GR4" s="18">
        <f t="shared" ref="GR4" si="59">ROUNDUP(GR5/12,0)</f>
        <v>3</v>
      </c>
      <c r="GS4" s="18">
        <f t="shared" ref="GS4" si="60">ROUNDUP(GS5/12,0)</f>
        <v>3</v>
      </c>
      <c r="GT4" s="18">
        <f t="shared" ref="GT4" si="61">ROUNDUP(GT5/12,0)</f>
        <v>3</v>
      </c>
      <c r="GU4" s="18">
        <f t="shared" ref="GU4" si="62">ROUNDUP(GU5/12,0)</f>
        <v>3</v>
      </c>
      <c r="GV4" s="18">
        <f t="shared" ref="GV4" si="63">ROUNDUP(GV5/12,0)</f>
        <v>3</v>
      </c>
      <c r="GW4" s="18">
        <f t="shared" ref="GW4" si="64">ROUNDUP(GW5/12,0)</f>
        <v>3</v>
      </c>
      <c r="GX4" s="18">
        <f t="shared" ref="GX4" si="65">ROUNDUP(GX5/12,0)</f>
        <v>4</v>
      </c>
      <c r="GY4" s="18">
        <f t="shared" ref="GY4" si="66">ROUNDUP(GY5/12,0)</f>
        <v>4</v>
      </c>
      <c r="GZ4" s="18">
        <f t="shared" ref="GZ4" si="67">ROUNDUP(GZ5/12,0)</f>
        <v>4</v>
      </c>
      <c r="HA4" s="18">
        <f t="shared" ref="HA4" si="68">ROUNDUP(HA5/12,0)</f>
        <v>4</v>
      </c>
      <c r="HB4" s="18">
        <f t="shared" ref="HB4" si="69">ROUNDUP(HB5/12,0)</f>
        <v>4</v>
      </c>
      <c r="HC4" s="18">
        <f t="shared" ref="HC4" si="70">ROUNDUP(HC5/12,0)</f>
        <v>4</v>
      </c>
      <c r="HD4" s="18">
        <f t="shared" ref="HD4" si="71">ROUNDUP(HD5/12,0)</f>
        <v>4</v>
      </c>
      <c r="HE4" s="18">
        <f t="shared" ref="HE4" si="72">ROUNDUP(HE5/12,0)</f>
        <v>4</v>
      </c>
      <c r="HF4" s="18">
        <f t="shared" ref="HF4" si="73">ROUNDUP(HF5/12,0)</f>
        <v>4</v>
      </c>
      <c r="HG4" s="18">
        <f t="shared" ref="HG4" si="74">ROUNDUP(HG5/12,0)</f>
        <v>4</v>
      </c>
      <c r="HH4" s="18">
        <f t="shared" ref="HH4" si="75">ROUNDUP(HH5/12,0)</f>
        <v>4</v>
      </c>
      <c r="HI4" s="18">
        <f t="shared" ref="HI4" si="76">ROUNDUP(HI5/12,0)</f>
        <v>4</v>
      </c>
      <c r="HJ4" s="18">
        <f t="shared" ref="HJ4" si="77">ROUNDUP(HJ5/12,0)</f>
        <v>5</v>
      </c>
      <c r="HK4" s="18">
        <f t="shared" ref="HK4" si="78">ROUNDUP(HK5/12,0)</f>
        <v>5</v>
      </c>
      <c r="HL4" s="18">
        <f t="shared" ref="HL4" si="79">ROUNDUP(HL5/12,0)</f>
        <v>5</v>
      </c>
      <c r="HM4" s="18">
        <f t="shared" ref="HM4" si="80">ROUNDUP(HM5/12,0)</f>
        <v>5</v>
      </c>
      <c r="HN4" s="18">
        <f t="shared" ref="HN4" si="81">ROUNDUP(HN5/12,0)</f>
        <v>5</v>
      </c>
      <c r="HO4" s="18">
        <f t="shared" ref="HO4" si="82">ROUNDUP(HO5/12,0)</f>
        <v>5</v>
      </c>
      <c r="HP4" s="18">
        <f t="shared" ref="HP4" si="83">ROUNDUP(HP5/12,0)</f>
        <v>5</v>
      </c>
      <c r="HQ4" s="18">
        <f t="shared" ref="HQ4" si="84">ROUNDUP(HQ5/12,0)</f>
        <v>5</v>
      </c>
      <c r="HR4" s="18">
        <f t="shared" ref="HR4" si="85">ROUNDUP(HR5/12,0)</f>
        <v>5</v>
      </c>
      <c r="HS4" s="18">
        <f t="shared" ref="HS4" si="86">ROUNDUP(HS5/12,0)</f>
        <v>5</v>
      </c>
      <c r="HT4" s="18">
        <f t="shared" ref="HT4" si="87">ROUNDUP(HT5/12,0)</f>
        <v>5</v>
      </c>
      <c r="HU4" s="18">
        <f t="shared" ref="HU4" si="88">ROUNDUP(HU5/12,0)</f>
        <v>5</v>
      </c>
      <c r="HV4" s="18">
        <f t="shared" ref="HV4" si="89">ROUNDUP(HV5/12,0)</f>
        <v>6</v>
      </c>
      <c r="HW4" s="18">
        <f t="shared" ref="HW4" si="90">ROUNDUP(HW5/12,0)</f>
        <v>6</v>
      </c>
      <c r="HX4" s="18">
        <f t="shared" ref="HX4" si="91">ROUNDUP(HX5/12,0)</f>
        <v>6</v>
      </c>
      <c r="HY4" s="18">
        <f t="shared" ref="HY4" si="92">ROUNDUP(HY5/12,0)</f>
        <v>6</v>
      </c>
      <c r="HZ4" s="18">
        <f t="shared" ref="HZ4" si="93">ROUNDUP(HZ5/12,0)</f>
        <v>6</v>
      </c>
      <c r="IA4" s="18">
        <f t="shared" ref="IA4" si="94">ROUNDUP(IA5/12,0)</f>
        <v>6</v>
      </c>
      <c r="IB4" s="18">
        <f t="shared" ref="IB4" si="95">ROUNDUP(IB5/12,0)</f>
        <v>6</v>
      </c>
      <c r="IC4" s="18">
        <f t="shared" ref="IC4" si="96">ROUNDUP(IC5/12,0)</f>
        <v>6</v>
      </c>
      <c r="ID4" s="18">
        <f t="shared" ref="ID4" si="97">ROUNDUP(ID5/12,0)</f>
        <v>6</v>
      </c>
      <c r="IE4" s="18">
        <f t="shared" ref="IE4" si="98">ROUNDUP(IE5/12,0)</f>
        <v>6</v>
      </c>
      <c r="IF4" s="18">
        <f t="shared" ref="IF4" si="99">ROUNDUP(IF5/12,0)</f>
        <v>6</v>
      </c>
      <c r="IG4" s="18">
        <f t="shared" ref="IG4" si="100">ROUNDUP(IG5/12,0)</f>
        <v>6</v>
      </c>
      <c r="IH4" s="18">
        <f t="shared" ref="IH4" si="101">ROUNDUP(IH5/12,0)</f>
        <v>7</v>
      </c>
      <c r="II4" s="18">
        <f t="shared" ref="II4" si="102">ROUNDUP(II5/12,0)</f>
        <v>7</v>
      </c>
      <c r="IJ4" s="18">
        <f t="shared" ref="IJ4" si="103">ROUNDUP(IJ5/12,0)</f>
        <v>7</v>
      </c>
      <c r="IK4" s="18">
        <f t="shared" ref="IK4" si="104">ROUNDUP(IK5/12,0)</f>
        <v>7</v>
      </c>
      <c r="IL4" s="18">
        <f t="shared" ref="IL4" si="105">ROUNDUP(IL5/12,0)</f>
        <v>7</v>
      </c>
      <c r="IM4" s="18">
        <f t="shared" ref="IM4" si="106">ROUNDUP(IM5/12,0)</f>
        <v>7</v>
      </c>
      <c r="IN4" s="18">
        <f t="shared" ref="IN4" si="107">ROUNDUP(IN5/12,0)</f>
        <v>7</v>
      </c>
      <c r="IO4" s="18">
        <f t="shared" ref="IO4" si="108">ROUNDUP(IO5/12,0)</f>
        <v>7</v>
      </c>
      <c r="IP4" s="18">
        <f t="shared" ref="IP4" si="109">ROUNDUP(IP5/12,0)</f>
        <v>7</v>
      </c>
      <c r="IQ4" s="18">
        <f t="shared" ref="IQ4" si="110">ROUNDUP(IQ5/12,0)</f>
        <v>7</v>
      </c>
      <c r="IR4" s="18">
        <f t="shared" ref="IR4" si="111">ROUNDUP(IR5/12,0)</f>
        <v>7</v>
      </c>
      <c r="IS4" s="18">
        <f t="shared" ref="IS4" si="112">ROUNDUP(IS5/12,0)</f>
        <v>7</v>
      </c>
      <c r="IT4" s="18">
        <f t="shared" ref="IT4" si="113">ROUNDUP(IT5/12,0)</f>
        <v>8</v>
      </c>
      <c r="IU4" s="18">
        <f t="shared" ref="IU4" si="114">ROUNDUP(IU5/12,0)</f>
        <v>8</v>
      </c>
      <c r="IV4" s="18">
        <f t="shared" ref="IV4" si="115">ROUNDUP(IV5/12,0)</f>
        <v>8</v>
      </c>
      <c r="IW4" s="18">
        <f t="shared" ref="IW4" si="116">ROUNDUP(IW5/12,0)</f>
        <v>8</v>
      </c>
      <c r="IX4" s="18">
        <f t="shared" ref="IX4" si="117">ROUNDUP(IX5/12,0)</f>
        <v>8</v>
      </c>
      <c r="IY4" s="18">
        <f t="shared" ref="IY4" si="118">ROUNDUP(IY5/12,0)</f>
        <v>8</v>
      </c>
      <c r="IZ4" s="18">
        <f t="shared" ref="IZ4" si="119">ROUNDUP(IZ5/12,0)</f>
        <v>8</v>
      </c>
      <c r="JA4" s="18">
        <f t="shared" ref="JA4" si="120">ROUNDUP(JA5/12,0)</f>
        <v>8</v>
      </c>
      <c r="JB4" s="18">
        <f t="shared" ref="JB4" si="121">ROUNDUP(JB5/12,0)</f>
        <v>8</v>
      </c>
      <c r="JC4" s="18">
        <f t="shared" ref="JC4" si="122">ROUNDUP(JC5/12,0)</f>
        <v>8</v>
      </c>
      <c r="JD4" s="18">
        <f t="shared" ref="JD4" si="123">ROUNDUP(JD5/12,0)</f>
        <v>8</v>
      </c>
      <c r="JE4" s="18">
        <f t="shared" ref="JE4" si="124">ROUNDUP(JE5/12,0)</f>
        <v>8</v>
      </c>
      <c r="JF4" s="18">
        <f t="shared" ref="JF4" si="125">ROUNDUP(JF5/12,0)</f>
        <v>9</v>
      </c>
      <c r="JG4" s="18">
        <f t="shared" ref="JG4" si="126">ROUNDUP(JG5/12,0)</f>
        <v>9</v>
      </c>
      <c r="JH4" s="18">
        <f t="shared" ref="JH4" si="127">ROUNDUP(JH5/12,0)</f>
        <v>9</v>
      </c>
      <c r="JI4" s="18">
        <f t="shared" ref="JI4" si="128">ROUNDUP(JI5/12,0)</f>
        <v>9</v>
      </c>
      <c r="JJ4" s="18">
        <f t="shared" ref="JJ4" si="129">ROUNDUP(JJ5/12,0)</f>
        <v>9</v>
      </c>
      <c r="JK4" s="18">
        <f t="shared" ref="JK4" si="130">ROUNDUP(JK5/12,0)</f>
        <v>9</v>
      </c>
      <c r="JL4" s="18">
        <f t="shared" ref="JL4" si="131">ROUNDUP(JL5/12,0)</f>
        <v>9</v>
      </c>
      <c r="JM4" s="18">
        <f t="shared" ref="JM4" si="132">ROUNDUP(JM5/12,0)</f>
        <v>9</v>
      </c>
      <c r="JN4" s="18">
        <f t="shared" ref="JN4" si="133">ROUNDUP(JN5/12,0)</f>
        <v>9</v>
      </c>
      <c r="JO4" s="18">
        <f t="shared" ref="JO4" si="134">ROUNDUP(JO5/12,0)</f>
        <v>9</v>
      </c>
      <c r="JP4" s="18">
        <f t="shared" ref="JP4" si="135">ROUNDUP(JP5/12,0)</f>
        <v>9</v>
      </c>
      <c r="JQ4" s="18">
        <f t="shared" ref="JQ4" si="136">ROUNDUP(JQ5/12,0)</f>
        <v>9</v>
      </c>
      <c r="JR4" s="18">
        <f t="shared" ref="JR4" si="137">ROUNDUP(JR5/12,0)</f>
        <v>10</v>
      </c>
      <c r="JS4" s="18">
        <f t="shared" ref="JS4" si="138">ROUNDUP(JS5/12,0)</f>
        <v>10</v>
      </c>
      <c r="JT4" s="18">
        <f t="shared" ref="JT4" si="139">ROUNDUP(JT5/12,0)</f>
        <v>10</v>
      </c>
      <c r="JU4" s="18">
        <f t="shared" ref="JU4" si="140">ROUNDUP(JU5/12,0)</f>
        <v>10</v>
      </c>
      <c r="JV4" s="18">
        <f t="shared" ref="JV4" si="141">ROUNDUP(JV5/12,0)</f>
        <v>10</v>
      </c>
      <c r="JW4" s="18">
        <f t="shared" ref="JW4" si="142">ROUNDUP(JW5/12,0)</f>
        <v>10</v>
      </c>
      <c r="JX4" s="18">
        <f t="shared" ref="JX4" si="143">ROUNDUP(JX5/12,0)</f>
        <v>10</v>
      </c>
      <c r="JY4" s="18">
        <f t="shared" ref="JY4" si="144">ROUNDUP(JY5/12,0)</f>
        <v>10</v>
      </c>
      <c r="JZ4" s="18">
        <f t="shared" ref="JZ4" si="145">ROUNDUP(JZ5/12,0)</f>
        <v>10</v>
      </c>
      <c r="KA4" s="18">
        <f t="shared" ref="KA4" si="146">ROUNDUP(KA5/12,0)</f>
        <v>10</v>
      </c>
      <c r="KB4" s="18">
        <f t="shared" ref="KB4" si="147">ROUNDUP(KB5/12,0)</f>
        <v>10</v>
      </c>
      <c r="KC4" s="18">
        <f t="shared" ref="KC4" si="148">ROUNDUP(KC5/12,0)</f>
        <v>10</v>
      </c>
      <c r="KD4" s="18">
        <f t="shared" ref="KD4" si="149">ROUNDUP(KD5/12,0)</f>
        <v>11</v>
      </c>
      <c r="KE4" s="18">
        <f t="shared" ref="KE4" si="150">ROUNDUP(KE5/12,0)</f>
        <v>11</v>
      </c>
      <c r="KF4" s="18">
        <f t="shared" ref="KF4" si="151">ROUNDUP(KF5/12,0)</f>
        <v>11</v>
      </c>
      <c r="KG4" s="18">
        <f t="shared" ref="KG4" si="152">ROUNDUP(KG5/12,0)</f>
        <v>11</v>
      </c>
      <c r="KH4" s="18">
        <f t="shared" ref="KH4" si="153">ROUNDUP(KH5/12,0)</f>
        <v>11</v>
      </c>
      <c r="KI4" s="18">
        <f t="shared" ref="KI4" si="154">ROUNDUP(KI5/12,0)</f>
        <v>11</v>
      </c>
      <c r="KJ4" s="18">
        <f t="shared" ref="KJ4" si="155">ROUNDUP(KJ5/12,0)</f>
        <v>11</v>
      </c>
      <c r="KK4" s="18">
        <f t="shared" ref="KK4" si="156">ROUNDUP(KK5/12,0)</f>
        <v>11</v>
      </c>
      <c r="KL4" s="18">
        <f t="shared" ref="KL4" si="157">ROUNDUP(KL5/12,0)</f>
        <v>11</v>
      </c>
      <c r="KM4" s="18">
        <f t="shared" ref="KM4" si="158">ROUNDUP(KM5/12,0)</f>
        <v>11</v>
      </c>
      <c r="KN4" s="18">
        <f t="shared" ref="KN4" si="159">ROUNDUP(KN5/12,0)</f>
        <v>11</v>
      </c>
      <c r="KO4" s="18">
        <f t="shared" ref="KO4" si="160">ROUNDUP(KO5/12,0)</f>
        <v>11</v>
      </c>
      <c r="KP4" s="62" t="s">
        <v>73</v>
      </c>
      <c r="KQ4" s="62"/>
      <c r="KR4" s="65" t="str">
        <f>+G5</f>
        <v>Rent/SF</v>
      </c>
      <c r="KS4" s="18">
        <f>ROUNDUP(KS5/12,0)</f>
        <v>1</v>
      </c>
      <c r="KT4" s="18">
        <f t="shared" ref="KT4" si="161">ROUNDUP(KT5/12,0)</f>
        <v>1</v>
      </c>
      <c r="KU4" s="18">
        <f t="shared" ref="KU4" si="162">ROUNDUP(KU5/12,0)</f>
        <v>1</v>
      </c>
      <c r="KV4" s="18">
        <f t="shared" ref="KV4" si="163">ROUNDUP(KV5/12,0)</f>
        <v>1</v>
      </c>
      <c r="KW4" s="18">
        <f t="shared" ref="KW4" si="164">ROUNDUP(KW5/12,0)</f>
        <v>1</v>
      </c>
      <c r="KX4" s="18">
        <f t="shared" ref="KX4" si="165">ROUNDUP(KX5/12,0)</f>
        <v>1</v>
      </c>
      <c r="KY4" s="18">
        <f t="shared" ref="KY4" si="166">ROUNDUP(KY5/12,0)</f>
        <v>1</v>
      </c>
      <c r="KZ4" s="18">
        <f t="shared" ref="KZ4" si="167">ROUNDUP(KZ5/12,0)</f>
        <v>1</v>
      </c>
      <c r="LA4" s="18">
        <f t="shared" ref="LA4" si="168">ROUNDUP(LA5/12,0)</f>
        <v>1</v>
      </c>
      <c r="LB4" s="18">
        <f t="shared" ref="LB4" si="169">ROUNDUP(LB5/12,0)</f>
        <v>1</v>
      </c>
      <c r="LC4" s="18">
        <f t="shared" ref="LC4" si="170">ROUNDUP(LC5/12,0)</f>
        <v>1</v>
      </c>
      <c r="LD4" s="18">
        <f t="shared" ref="LD4" si="171">ROUNDUP(LD5/12,0)</f>
        <v>1</v>
      </c>
      <c r="LE4" s="18">
        <f t="shared" ref="LE4" si="172">ROUNDUP(LE5/12,0)</f>
        <v>2</v>
      </c>
      <c r="LF4" s="18">
        <f t="shared" ref="LF4" si="173">ROUNDUP(LF5/12,0)</f>
        <v>2</v>
      </c>
      <c r="LG4" s="18">
        <f t="shared" ref="LG4" si="174">ROUNDUP(LG5/12,0)</f>
        <v>2</v>
      </c>
      <c r="LH4" s="18">
        <f t="shared" ref="LH4" si="175">ROUNDUP(LH5/12,0)</f>
        <v>2</v>
      </c>
      <c r="LI4" s="18">
        <f t="shared" ref="LI4" si="176">ROUNDUP(LI5/12,0)</f>
        <v>2</v>
      </c>
      <c r="LJ4" s="18">
        <f t="shared" ref="LJ4" si="177">ROUNDUP(LJ5/12,0)</f>
        <v>2</v>
      </c>
      <c r="LK4" s="18">
        <f t="shared" ref="LK4" si="178">ROUNDUP(LK5/12,0)</f>
        <v>2</v>
      </c>
      <c r="LL4" s="18">
        <f t="shared" ref="LL4" si="179">ROUNDUP(LL5/12,0)</f>
        <v>2</v>
      </c>
      <c r="LM4" s="18">
        <f t="shared" ref="LM4" si="180">ROUNDUP(LM5/12,0)</f>
        <v>2</v>
      </c>
      <c r="LN4" s="18">
        <f t="shared" ref="LN4" si="181">ROUNDUP(LN5/12,0)</f>
        <v>2</v>
      </c>
      <c r="LO4" s="18">
        <f t="shared" ref="LO4" si="182">ROUNDUP(LO5/12,0)</f>
        <v>2</v>
      </c>
      <c r="LP4" s="18">
        <f t="shared" ref="LP4" si="183">ROUNDUP(LP5/12,0)</f>
        <v>2</v>
      </c>
      <c r="LQ4" s="18">
        <f t="shared" ref="LQ4" si="184">ROUNDUP(LQ5/12,0)</f>
        <v>3</v>
      </c>
      <c r="LR4" s="18">
        <f t="shared" ref="LR4" si="185">ROUNDUP(LR5/12,0)</f>
        <v>3</v>
      </c>
      <c r="LS4" s="18">
        <f t="shared" ref="LS4" si="186">ROUNDUP(LS5/12,0)</f>
        <v>3</v>
      </c>
      <c r="LT4" s="18">
        <f t="shared" ref="LT4" si="187">ROUNDUP(LT5/12,0)</f>
        <v>3</v>
      </c>
      <c r="LU4" s="18">
        <f t="shared" ref="LU4" si="188">ROUNDUP(LU5/12,0)</f>
        <v>3</v>
      </c>
      <c r="LV4" s="18">
        <f t="shared" ref="LV4" si="189">ROUNDUP(LV5/12,0)</f>
        <v>3</v>
      </c>
      <c r="LW4" s="18">
        <f t="shared" ref="LW4" si="190">ROUNDUP(LW5/12,0)</f>
        <v>3</v>
      </c>
      <c r="LX4" s="18">
        <f t="shared" ref="LX4" si="191">ROUNDUP(LX5/12,0)</f>
        <v>3</v>
      </c>
      <c r="LY4" s="18">
        <f t="shared" ref="LY4" si="192">ROUNDUP(LY5/12,0)</f>
        <v>3</v>
      </c>
      <c r="LZ4" s="18">
        <f t="shared" ref="LZ4" si="193">ROUNDUP(LZ5/12,0)</f>
        <v>3</v>
      </c>
      <c r="MA4" s="18">
        <f t="shared" ref="MA4" si="194">ROUNDUP(MA5/12,0)</f>
        <v>3</v>
      </c>
      <c r="MB4" s="18">
        <f t="shared" ref="MB4" si="195">ROUNDUP(MB5/12,0)</f>
        <v>3</v>
      </c>
      <c r="MC4" s="18">
        <f t="shared" ref="MC4" si="196">ROUNDUP(MC5/12,0)</f>
        <v>4</v>
      </c>
      <c r="MD4" s="18">
        <f t="shared" ref="MD4" si="197">ROUNDUP(MD5/12,0)</f>
        <v>4</v>
      </c>
      <c r="ME4" s="18">
        <f t="shared" ref="ME4" si="198">ROUNDUP(ME5/12,0)</f>
        <v>4</v>
      </c>
      <c r="MF4" s="18">
        <f t="shared" ref="MF4" si="199">ROUNDUP(MF5/12,0)</f>
        <v>4</v>
      </c>
      <c r="MG4" s="18">
        <f t="shared" ref="MG4" si="200">ROUNDUP(MG5/12,0)</f>
        <v>4</v>
      </c>
      <c r="MH4" s="18">
        <f t="shared" ref="MH4" si="201">ROUNDUP(MH5/12,0)</f>
        <v>4</v>
      </c>
      <c r="MI4" s="18">
        <f t="shared" ref="MI4" si="202">ROUNDUP(MI5/12,0)</f>
        <v>4</v>
      </c>
      <c r="MJ4" s="18">
        <f t="shared" ref="MJ4" si="203">ROUNDUP(MJ5/12,0)</f>
        <v>4</v>
      </c>
      <c r="MK4" s="18">
        <f t="shared" ref="MK4" si="204">ROUNDUP(MK5/12,0)</f>
        <v>4</v>
      </c>
      <c r="ML4" s="18">
        <f t="shared" ref="ML4" si="205">ROUNDUP(ML5/12,0)</f>
        <v>4</v>
      </c>
      <c r="MM4" s="18">
        <f t="shared" ref="MM4" si="206">ROUNDUP(MM5/12,0)</f>
        <v>4</v>
      </c>
      <c r="MN4" s="18">
        <f t="shared" ref="MN4" si="207">ROUNDUP(MN5/12,0)</f>
        <v>4</v>
      </c>
      <c r="MO4" s="18">
        <f t="shared" ref="MO4" si="208">ROUNDUP(MO5/12,0)</f>
        <v>5</v>
      </c>
      <c r="MP4" s="18">
        <f t="shared" ref="MP4" si="209">ROUNDUP(MP5/12,0)</f>
        <v>5</v>
      </c>
      <c r="MQ4" s="18">
        <f t="shared" ref="MQ4" si="210">ROUNDUP(MQ5/12,0)</f>
        <v>5</v>
      </c>
      <c r="MR4" s="18">
        <f t="shared" ref="MR4" si="211">ROUNDUP(MR5/12,0)</f>
        <v>5</v>
      </c>
      <c r="MS4" s="18">
        <f t="shared" ref="MS4" si="212">ROUNDUP(MS5/12,0)</f>
        <v>5</v>
      </c>
      <c r="MT4" s="18">
        <f t="shared" ref="MT4" si="213">ROUNDUP(MT5/12,0)</f>
        <v>5</v>
      </c>
      <c r="MU4" s="18">
        <f t="shared" ref="MU4" si="214">ROUNDUP(MU5/12,0)</f>
        <v>5</v>
      </c>
      <c r="MV4" s="18">
        <f t="shared" ref="MV4" si="215">ROUNDUP(MV5/12,0)</f>
        <v>5</v>
      </c>
      <c r="MW4" s="18">
        <f t="shared" ref="MW4" si="216">ROUNDUP(MW5/12,0)</f>
        <v>5</v>
      </c>
      <c r="MX4" s="18">
        <f t="shared" ref="MX4" si="217">ROUNDUP(MX5/12,0)</f>
        <v>5</v>
      </c>
      <c r="MY4" s="18">
        <f t="shared" ref="MY4" si="218">ROUNDUP(MY5/12,0)</f>
        <v>5</v>
      </c>
      <c r="MZ4" s="18">
        <f t="shared" ref="MZ4" si="219">ROUNDUP(MZ5/12,0)</f>
        <v>5</v>
      </c>
      <c r="NA4" s="18">
        <f t="shared" ref="NA4" si="220">ROUNDUP(NA5/12,0)</f>
        <v>6</v>
      </c>
      <c r="NB4" s="18">
        <f t="shared" ref="NB4" si="221">ROUNDUP(NB5/12,0)</f>
        <v>6</v>
      </c>
      <c r="NC4" s="18">
        <f t="shared" ref="NC4" si="222">ROUNDUP(NC5/12,0)</f>
        <v>6</v>
      </c>
      <c r="ND4" s="18">
        <f t="shared" ref="ND4" si="223">ROUNDUP(ND5/12,0)</f>
        <v>6</v>
      </c>
      <c r="NE4" s="18">
        <f t="shared" ref="NE4" si="224">ROUNDUP(NE5/12,0)</f>
        <v>6</v>
      </c>
      <c r="NF4" s="18">
        <f t="shared" ref="NF4" si="225">ROUNDUP(NF5/12,0)</f>
        <v>6</v>
      </c>
      <c r="NG4" s="18">
        <f t="shared" ref="NG4" si="226">ROUNDUP(NG5/12,0)</f>
        <v>6</v>
      </c>
      <c r="NH4" s="18">
        <f t="shared" ref="NH4" si="227">ROUNDUP(NH5/12,0)</f>
        <v>6</v>
      </c>
      <c r="NI4" s="18">
        <f t="shared" ref="NI4" si="228">ROUNDUP(NI5/12,0)</f>
        <v>6</v>
      </c>
      <c r="NJ4" s="18">
        <f t="shared" ref="NJ4" si="229">ROUNDUP(NJ5/12,0)</f>
        <v>6</v>
      </c>
      <c r="NK4" s="18">
        <f t="shared" ref="NK4" si="230">ROUNDUP(NK5/12,0)</f>
        <v>6</v>
      </c>
      <c r="NL4" s="18">
        <f t="shared" ref="NL4" si="231">ROUNDUP(NL5/12,0)</f>
        <v>6</v>
      </c>
      <c r="NM4" s="18">
        <f t="shared" ref="NM4" si="232">ROUNDUP(NM5/12,0)</f>
        <v>7</v>
      </c>
      <c r="NN4" s="18">
        <f t="shared" ref="NN4" si="233">ROUNDUP(NN5/12,0)</f>
        <v>7</v>
      </c>
      <c r="NO4" s="18">
        <f t="shared" ref="NO4" si="234">ROUNDUP(NO5/12,0)</f>
        <v>7</v>
      </c>
      <c r="NP4" s="18">
        <f t="shared" ref="NP4" si="235">ROUNDUP(NP5/12,0)</f>
        <v>7</v>
      </c>
      <c r="NQ4" s="18">
        <f t="shared" ref="NQ4" si="236">ROUNDUP(NQ5/12,0)</f>
        <v>7</v>
      </c>
      <c r="NR4" s="18">
        <f t="shared" ref="NR4" si="237">ROUNDUP(NR5/12,0)</f>
        <v>7</v>
      </c>
      <c r="NS4" s="18">
        <f t="shared" ref="NS4" si="238">ROUNDUP(NS5/12,0)</f>
        <v>7</v>
      </c>
      <c r="NT4" s="18">
        <f t="shared" ref="NT4" si="239">ROUNDUP(NT5/12,0)</f>
        <v>7</v>
      </c>
      <c r="NU4" s="18">
        <f t="shared" ref="NU4" si="240">ROUNDUP(NU5/12,0)</f>
        <v>7</v>
      </c>
      <c r="NV4" s="18">
        <f t="shared" ref="NV4" si="241">ROUNDUP(NV5/12,0)</f>
        <v>7</v>
      </c>
      <c r="NW4" s="18">
        <f t="shared" ref="NW4" si="242">ROUNDUP(NW5/12,0)</f>
        <v>7</v>
      </c>
      <c r="NX4" s="18">
        <f t="shared" ref="NX4" si="243">ROUNDUP(NX5/12,0)</f>
        <v>7</v>
      </c>
      <c r="NY4" s="18">
        <f t="shared" ref="NY4" si="244">ROUNDUP(NY5/12,0)</f>
        <v>8</v>
      </c>
      <c r="NZ4" s="18">
        <f t="shared" ref="NZ4" si="245">ROUNDUP(NZ5/12,0)</f>
        <v>8</v>
      </c>
      <c r="OA4" s="18">
        <f t="shared" ref="OA4" si="246">ROUNDUP(OA5/12,0)</f>
        <v>8</v>
      </c>
      <c r="OB4" s="18">
        <f t="shared" ref="OB4" si="247">ROUNDUP(OB5/12,0)</f>
        <v>8</v>
      </c>
      <c r="OC4" s="18">
        <f t="shared" ref="OC4" si="248">ROUNDUP(OC5/12,0)</f>
        <v>8</v>
      </c>
      <c r="OD4" s="18">
        <f t="shared" ref="OD4" si="249">ROUNDUP(OD5/12,0)</f>
        <v>8</v>
      </c>
      <c r="OE4" s="18">
        <f t="shared" ref="OE4" si="250">ROUNDUP(OE5/12,0)</f>
        <v>8</v>
      </c>
      <c r="OF4" s="18">
        <f t="shared" ref="OF4" si="251">ROUNDUP(OF5/12,0)</f>
        <v>8</v>
      </c>
      <c r="OG4" s="18">
        <f t="shared" ref="OG4" si="252">ROUNDUP(OG5/12,0)</f>
        <v>8</v>
      </c>
      <c r="OH4" s="18">
        <f t="shared" ref="OH4" si="253">ROUNDUP(OH5/12,0)</f>
        <v>8</v>
      </c>
      <c r="OI4" s="18">
        <f t="shared" ref="OI4" si="254">ROUNDUP(OI5/12,0)</f>
        <v>8</v>
      </c>
      <c r="OJ4" s="18">
        <f t="shared" ref="OJ4" si="255">ROUNDUP(OJ5/12,0)</f>
        <v>8</v>
      </c>
      <c r="OK4" s="18">
        <f t="shared" ref="OK4" si="256">ROUNDUP(OK5/12,0)</f>
        <v>9</v>
      </c>
      <c r="OL4" s="18">
        <f t="shared" ref="OL4" si="257">ROUNDUP(OL5/12,0)</f>
        <v>9</v>
      </c>
      <c r="OM4" s="18">
        <f t="shared" ref="OM4" si="258">ROUNDUP(OM5/12,0)</f>
        <v>9</v>
      </c>
      <c r="ON4" s="18">
        <f t="shared" ref="ON4" si="259">ROUNDUP(ON5/12,0)</f>
        <v>9</v>
      </c>
      <c r="OO4" s="18">
        <f t="shared" ref="OO4" si="260">ROUNDUP(OO5/12,0)</f>
        <v>9</v>
      </c>
      <c r="OP4" s="18">
        <f t="shared" ref="OP4" si="261">ROUNDUP(OP5/12,0)</f>
        <v>9</v>
      </c>
      <c r="OQ4" s="18">
        <f t="shared" ref="OQ4" si="262">ROUNDUP(OQ5/12,0)</f>
        <v>9</v>
      </c>
      <c r="OR4" s="18">
        <f t="shared" ref="OR4" si="263">ROUNDUP(OR5/12,0)</f>
        <v>9</v>
      </c>
      <c r="OS4" s="18">
        <f t="shared" ref="OS4" si="264">ROUNDUP(OS5/12,0)</f>
        <v>9</v>
      </c>
      <c r="OT4" s="18">
        <f t="shared" ref="OT4" si="265">ROUNDUP(OT5/12,0)</f>
        <v>9</v>
      </c>
      <c r="OU4" s="18">
        <f t="shared" ref="OU4" si="266">ROUNDUP(OU5/12,0)</f>
        <v>9</v>
      </c>
      <c r="OV4" s="18">
        <f t="shared" ref="OV4" si="267">ROUNDUP(OV5/12,0)</f>
        <v>9</v>
      </c>
      <c r="OW4" s="18">
        <f t="shared" ref="OW4" si="268">ROUNDUP(OW5/12,0)</f>
        <v>10</v>
      </c>
      <c r="OX4" s="18">
        <f t="shared" ref="OX4" si="269">ROUNDUP(OX5/12,0)</f>
        <v>10</v>
      </c>
      <c r="OY4" s="18">
        <f t="shared" ref="OY4" si="270">ROUNDUP(OY5/12,0)</f>
        <v>10</v>
      </c>
      <c r="OZ4" s="18">
        <f t="shared" ref="OZ4" si="271">ROUNDUP(OZ5/12,0)</f>
        <v>10</v>
      </c>
      <c r="PA4" s="18">
        <f t="shared" ref="PA4" si="272">ROUNDUP(PA5/12,0)</f>
        <v>10</v>
      </c>
      <c r="PB4" s="18">
        <f t="shared" ref="PB4" si="273">ROUNDUP(PB5/12,0)</f>
        <v>10</v>
      </c>
      <c r="PC4" s="18">
        <f t="shared" ref="PC4" si="274">ROUNDUP(PC5/12,0)</f>
        <v>10</v>
      </c>
      <c r="PD4" s="18">
        <f t="shared" ref="PD4" si="275">ROUNDUP(PD5/12,0)</f>
        <v>10</v>
      </c>
      <c r="PE4" s="18">
        <f t="shared" ref="PE4" si="276">ROUNDUP(PE5/12,0)</f>
        <v>10</v>
      </c>
      <c r="PF4" s="18">
        <f t="shared" ref="PF4" si="277">ROUNDUP(PF5/12,0)</f>
        <v>10</v>
      </c>
      <c r="PG4" s="18">
        <f t="shared" ref="PG4" si="278">ROUNDUP(PG5/12,0)</f>
        <v>10</v>
      </c>
      <c r="PH4" s="18">
        <f t="shared" ref="PH4" si="279">ROUNDUP(PH5/12,0)</f>
        <v>10</v>
      </c>
      <c r="PI4" s="18">
        <f t="shared" ref="PI4" si="280">ROUNDUP(PI5/12,0)</f>
        <v>11</v>
      </c>
      <c r="PJ4" s="18">
        <f t="shared" ref="PJ4" si="281">ROUNDUP(PJ5/12,0)</f>
        <v>11</v>
      </c>
      <c r="PK4" s="18">
        <f t="shared" ref="PK4" si="282">ROUNDUP(PK5/12,0)</f>
        <v>11</v>
      </c>
      <c r="PL4" s="18">
        <f t="shared" ref="PL4" si="283">ROUNDUP(PL5/12,0)</f>
        <v>11</v>
      </c>
      <c r="PM4" s="18">
        <f t="shared" ref="PM4" si="284">ROUNDUP(PM5/12,0)</f>
        <v>11</v>
      </c>
      <c r="PN4" s="18">
        <f t="shared" ref="PN4" si="285">ROUNDUP(PN5/12,0)</f>
        <v>11</v>
      </c>
      <c r="PO4" s="18">
        <f t="shared" ref="PO4" si="286">ROUNDUP(PO5/12,0)</f>
        <v>11</v>
      </c>
      <c r="PP4" s="18">
        <f t="shared" ref="PP4" si="287">ROUNDUP(PP5/12,0)</f>
        <v>11</v>
      </c>
      <c r="PQ4" s="18">
        <f t="shared" ref="PQ4" si="288">ROUNDUP(PQ5/12,0)</f>
        <v>11</v>
      </c>
      <c r="PR4" s="18">
        <f t="shared" ref="PR4" si="289">ROUNDUP(PR5/12,0)</f>
        <v>11</v>
      </c>
      <c r="PS4" s="18">
        <f t="shared" ref="PS4" si="290">ROUNDUP(PS5/12,0)</f>
        <v>11</v>
      </c>
      <c r="PT4" s="18">
        <f t="shared" ref="PT4" si="291">ROUNDUP(PT5/12,0)</f>
        <v>11</v>
      </c>
      <c r="PU4" s="62" t="s">
        <v>29</v>
      </c>
      <c r="PW4" s="65" t="str">
        <f>T5</f>
        <v>Start</v>
      </c>
      <c r="PX4" s="18">
        <f>ROUNDUP(PX5/12,0)</f>
        <v>1</v>
      </c>
      <c r="PY4" s="18">
        <f t="shared" ref="PY4" si="292">ROUNDUP(PY5/12,0)</f>
        <v>1</v>
      </c>
      <c r="PZ4" s="18">
        <f t="shared" ref="PZ4" si="293">ROUNDUP(PZ5/12,0)</f>
        <v>1</v>
      </c>
      <c r="QA4" s="18">
        <f t="shared" ref="QA4" si="294">ROUNDUP(QA5/12,0)</f>
        <v>1</v>
      </c>
      <c r="QB4" s="18">
        <f t="shared" ref="QB4" si="295">ROUNDUP(QB5/12,0)</f>
        <v>1</v>
      </c>
      <c r="QC4" s="18">
        <f t="shared" ref="QC4" si="296">ROUNDUP(QC5/12,0)</f>
        <v>1</v>
      </c>
      <c r="QD4" s="18">
        <f t="shared" ref="QD4" si="297">ROUNDUP(QD5/12,0)</f>
        <v>1</v>
      </c>
      <c r="QE4" s="18">
        <f t="shared" ref="QE4" si="298">ROUNDUP(QE5/12,0)</f>
        <v>1</v>
      </c>
      <c r="QF4" s="18">
        <f t="shared" ref="QF4" si="299">ROUNDUP(QF5/12,0)</f>
        <v>1</v>
      </c>
      <c r="QG4" s="18">
        <f t="shared" ref="QG4" si="300">ROUNDUP(QG5/12,0)</f>
        <v>1</v>
      </c>
      <c r="QH4" s="18">
        <f t="shared" ref="QH4" si="301">ROUNDUP(QH5/12,0)</f>
        <v>1</v>
      </c>
      <c r="QI4" s="18">
        <f t="shared" ref="QI4" si="302">ROUNDUP(QI5/12,0)</f>
        <v>1</v>
      </c>
      <c r="QJ4" s="18">
        <f t="shared" ref="QJ4" si="303">ROUNDUP(QJ5/12,0)</f>
        <v>2</v>
      </c>
      <c r="QK4" s="18">
        <f t="shared" ref="QK4" si="304">ROUNDUP(QK5/12,0)</f>
        <v>2</v>
      </c>
      <c r="QL4" s="18">
        <f t="shared" ref="QL4" si="305">ROUNDUP(QL5/12,0)</f>
        <v>2</v>
      </c>
      <c r="QM4" s="18">
        <f t="shared" ref="QM4" si="306">ROUNDUP(QM5/12,0)</f>
        <v>2</v>
      </c>
      <c r="QN4" s="18">
        <f t="shared" ref="QN4" si="307">ROUNDUP(QN5/12,0)</f>
        <v>2</v>
      </c>
      <c r="QO4" s="18">
        <f t="shared" ref="QO4" si="308">ROUNDUP(QO5/12,0)</f>
        <v>2</v>
      </c>
      <c r="QP4" s="18">
        <f t="shared" ref="QP4" si="309">ROUNDUP(QP5/12,0)</f>
        <v>2</v>
      </c>
      <c r="QQ4" s="18">
        <f t="shared" ref="QQ4" si="310">ROUNDUP(QQ5/12,0)</f>
        <v>2</v>
      </c>
      <c r="QR4" s="18">
        <f t="shared" ref="QR4" si="311">ROUNDUP(QR5/12,0)</f>
        <v>2</v>
      </c>
      <c r="QS4" s="18">
        <f t="shared" ref="QS4" si="312">ROUNDUP(QS5/12,0)</f>
        <v>2</v>
      </c>
      <c r="QT4" s="18">
        <f t="shared" ref="QT4" si="313">ROUNDUP(QT5/12,0)</f>
        <v>2</v>
      </c>
      <c r="QU4" s="18">
        <f t="shared" ref="QU4" si="314">ROUNDUP(QU5/12,0)</f>
        <v>2</v>
      </c>
      <c r="QV4" s="18">
        <f t="shared" ref="QV4" si="315">ROUNDUP(QV5/12,0)</f>
        <v>3</v>
      </c>
      <c r="QW4" s="18">
        <f t="shared" ref="QW4" si="316">ROUNDUP(QW5/12,0)</f>
        <v>3</v>
      </c>
      <c r="QX4" s="18">
        <f t="shared" ref="QX4" si="317">ROUNDUP(QX5/12,0)</f>
        <v>3</v>
      </c>
      <c r="QY4" s="18">
        <f t="shared" ref="QY4" si="318">ROUNDUP(QY5/12,0)</f>
        <v>3</v>
      </c>
      <c r="QZ4" s="18">
        <f t="shared" ref="QZ4" si="319">ROUNDUP(QZ5/12,0)</f>
        <v>3</v>
      </c>
      <c r="RA4" s="18">
        <f t="shared" ref="RA4" si="320">ROUNDUP(RA5/12,0)</f>
        <v>3</v>
      </c>
      <c r="RB4" s="18">
        <f t="shared" ref="RB4" si="321">ROUNDUP(RB5/12,0)</f>
        <v>3</v>
      </c>
      <c r="RC4" s="18">
        <f t="shared" ref="RC4" si="322">ROUNDUP(RC5/12,0)</f>
        <v>3</v>
      </c>
      <c r="RD4" s="18">
        <f t="shared" ref="RD4" si="323">ROUNDUP(RD5/12,0)</f>
        <v>3</v>
      </c>
      <c r="RE4" s="18">
        <f t="shared" ref="RE4" si="324">ROUNDUP(RE5/12,0)</f>
        <v>3</v>
      </c>
      <c r="RF4" s="18">
        <f t="shared" ref="RF4" si="325">ROUNDUP(RF5/12,0)</f>
        <v>3</v>
      </c>
      <c r="RG4" s="18">
        <f t="shared" ref="RG4" si="326">ROUNDUP(RG5/12,0)</f>
        <v>3</v>
      </c>
      <c r="RH4" s="18">
        <f t="shared" ref="RH4" si="327">ROUNDUP(RH5/12,0)</f>
        <v>4</v>
      </c>
      <c r="RI4" s="18">
        <f t="shared" ref="RI4" si="328">ROUNDUP(RI5/12,0)</f>
        <v>4</v>
      </c>
      <c r="RJ4" s="18">
        <f t="shared" ref="RJ4" si="329">ROUNDUP(RJ5/12,0)</f>
        <v>4</v>
      </c>
      <c r="RK4" s="18">
        <f t="shared" ref="RK4" si="330">ROUNDUP(RK5/12,0)</f>
        <v>4</v>
      </c>
      <c r="RL4" s="18">
        <f t="shared" ref="RL4" si="331">ROUNDUP(RL5/12,0)</f>
        <v>4</v>
      </c>
      <c r="RM4" s="18">
        <f t="shared" ref="RM4" si="332">ROUNDUP(RM5/12,0)</f>
        <v>4</v>
      </c>
      <c r="RN4" s="18">
        <f t="shared" ref="RN4" si="333">ROUNDUP(RN5/12,0)</f>
        <v>4</v>
      </c>
      <c r="RO4" s="18">
        <f t="shared" ref="RO4" si="334">ROUNDUP(RO5/12,0)</f>
        <v>4</v>
      </c>
      <c r="RP4" s="18">
        <f t="shared" ref="RP4" si="335">ROUNDUP(RP5/12,0)</f>
        <v>4</v>
      </c>
      <c r="RQ4" s="18">
        <f t="shared" ref="RQ4" si="336">ROUNDUP(RQ5/12,0)</f>
        <v>4</v>
      </c>
      <c r="RR4" s="18">
        <f t="shared" ref="RR4" si="337">ROUNDUP(RR5/12,0)</f>
        <v>4</v>
      </c>
      <c r="RS4" s="18">
        <f t="shared" ref="RS4" si="338">ROUNDUP(RS5/12,0)</f>
        <v>4</v>
      </c>
      <c r="RT4" s="18">
        <f t="shared" ref="RT4" si="339">ROUNDUP(RT5/12,0)</f>
        <v>5</v>
      </c>
      <c r="RU4" s="18">
        <f t="shared" ref="RU4" si="340">ROUNDUP(RU5/12,0)</f>
        <v>5</v>
      </c>
      <c r="RV4" s="18">
        <f t="shared" ref="RV4" si="341">ROUNDUP(RV5/12,0)</f>
        <v>5</v>
      </c>
      <c r="RW4" s="18">
        <f t="shared" ref="RW4" si="342">ROUNDUP(RW5/12,0)</f>
        <v>5</v>
      </c>
      <c r="RX4" s="18">
        <f t="shared" ref="RX4" si="343">ROUNDUP(RX5/12,0)</f>
        <v>5</v>
      </c>
      <c r="RY4" s="18">
        <f t="shared" ref="RY4" si="344">ROUNDUP(RY5/12,0)</f>
        <v>5</v>
      </c>
      <c r="RZ4" s="18">
        <f t="shared" ref="RZ4" si="345">ROUNDUP(RZ5/12,0)</f>
        <v>5</v>
      </c>
      <c r="SA4" s="18">
        <f t="shared" ref="SA4" si="346">ROUNDUP(SA5/12,0)</f>
        <v>5</v>
      </c>
      <c r="SB4" s="18">
        <f t="shared" ref="SB4" si="347">ROUNDUP(SB5/12,0)</f>
        <v>5</v>
      </c>
      <c r="SC4" s="18">
        <f t="shared" ref="SC4" si="348">ROUNDUP(SC5/12,0)</f>
        <v>5</v>
      </c>
      <c r="SD4" s="18">
        <f t="shared" ref="SD4" si="349">ROUNDUP(SD5/12,0)</f>
        <v>5</v>
      </c>
      <c r="SE4" s="18">
        <f t="shared" ref="SE4" si="350">ROUNDUP(SE5/12,0)</f>
        <v>5</v>
      </c>
      <c r="SF4" s="18">
        <f t="shared" ref="SF4" si="351">ROUNDUP(SF5/12,0)</f>
        <v>6</v>
      </c>
      <c r="SG4" s="18">
        <f t="shared" ref="SG4" si="352">ROUNDUP(SG5/12,0)</f>
        <v>6</v>
      </c>
      <c r="SH4" s="18">
        <f t="shared" ref="SH4" si="353">ROUNDUP(SH5/12,0)</f>
        <v>6</v>
      </c>
      <c r="SI4" s="18">
        <f t="shared" ref="SI4" si="354">ROUNDUP(SI5/12,0)</f>
        <v>6</v>
      </c>
      <c r="SJ4" s="18">
        <f t="shared" ref="SJ4" si="355">ROUNDUP(SJ5/12,0)</f>
        <v>6</v>
      </c>
      <c r="SK4" s="18">
        <f t="shared" ref="SK4" si="356">ROUNDUP(SK5/12,0)</f>
        <v>6</v>
      </c>
      <c r="SL4" s="18">
        <f t="shared" ref="SL4" si="357">ROUNDUP(SL5/12,0)</f>
        <v>6</v>
      </c>
      <c r="SM4" s="18">
        <f t="shared" ref="SM4" si="358">ROUNDUP(SM5/12,0)</f>
        <v>6</v>
      </c>
      <c r="SN4" s="18">
        <f t="shared" ref="SN4" si="359">ROUNDUP(SN5/12,0)</f>
        <v>6</v>
      </c>
      <c r="SO4" s="18">
        <f t="shared" ref="SO4" si="360">ROUNDUP(SO5/12,0)</f>
        <v>6</v>
      </c>
      <c r="SP4" s="18">
        <f t="shared" ref="SP4" si="361">ROUNDUP(SP5/12,0)</f>
        <v>6</v>
      </c>
      <c r="SQ4" s="18">
        <f t="shared" ref="SQ4" si="362">ROUNDUP(SQ5/12,0)</f>
        <v>6</v>
      </c>
      <c r="SR4" s="18">
        <f t="shared" ref="SR4" si="363">ROUNDUP(SR5/12,0)</f>
        <v>7</v>
      </c>
      <c r="SS4" s="18">
        <f t="shared" ref="SS4" si="364">ROUNDUP(SS5/12,0)</f>
        <v>7</v>
      </c>
      <c r="ST4" s="18">
        <f t="shared" ref="ST4" si="365">ROUNDUP(ST5/12,0)</f>
        <v>7</v>
      </c>
      <c r="SU4" s="18">
        <f t="shared" ref="SU4" si="366">ROUNDUP(SU5/12,0)</f>
        <v>7</v>
      </c>
      <c r="SV4" s="18">
        <f t="shared" ref="SV4" si="367">ROUNDUP(SV5/12,0)</f>
        <v>7</v>
      </c>
      <c r="SW4" s="18">
        <f t="shared" ref="SW4" si="368">ROUNDUP(SW5/12,0)</f>
        <v>7</v>
      </c>
      <c r="SX4" s="18">
        <f t="shared" ref="SX4" si="369">ROUNDUP(SX5/12,0)</f>
        <v>7</v>
      </c>
      <c r="SY4" s="18">
        <f t="shared" ref="SY4" si="370">ROUNDUP(SY5/12,0)</f>
        <v>7</v>
      </c>
      <c r="SZ4" s="18">
        <f t="shared" ref="SZ4" si="371">ROUNDUP(SZ5/12,0)</f>
        <v>7</v>
      </c>
      <c r="TA4" s="18">
        <f t="shared" ref="TA4" si="372">ROUNDUP(TA5/12,0)</f>
        <v>7</v>
      </c>
      <c r="TB4" s="18">
        <f t="shared" ref="TB4" si="373">ROUNDUP(TB5/12,0)</f>
        <v>7</v>
      </c>
      <c r="TC4" s="18">
        <f t="shared" ref="TC4" si="374">ROUNDUP(TC5/12,0)</f>
        <v>7</v>
      </c>
      <c r="TD4" s="18">
        <f t="shared" ref="TD4" si="375">ROUNDUP(TD5/12,0)</f>
        <v>8</v>
      </c>
      <c r="TE4" s="18">
        <f t="shared" ref="TE4" si="376">ROUNDUP(TE5/12,0)</f>
        <v>8</v>
      </c>
      <c r="TF4" s="18">
        <f t="shared" ref="TF4" si="377">ROUNDUP(TF5/12,0)</f>
        <v>8</v>
      </c>
      <c r="TG4" s="18">
        <f t="shared" ref="TG4" si="378">ROUNDUP(TG5/12,0)</f>
        <v>8</v>
      </c>
      <c r="TH4" s="18">
        <f t="shared" ref="TH4" si="379">ROUNDUP(TH5/12,0)</f>
        <v>8</v>
      </c>
      <c r="TI4" s="18">
        <f t="shared" ref="TI4" si="380">ROUNDUP(TI5/12,0)</f>
        <v>8</v>
      </c>
      <c r="TJ4" s="18">
        <f t="shared" ref="TJ4" si="381">ROUNDUP(TJ5/12,0)</f>
        <v>8</v>
      </c>
      <c r="TK4" s="18">
        <f t="shared" ref="TK4" si="382">ROUNDUP(TK5/12,0)</f>
        <v>8</v>
      </c>
      <c r="TL4" s="18">
        <f t="shared" ref="TL4" si="383">ROUNDUP(TL5/12,0)</f>
        <v>8</v>
      </c>
      <c r="TM4" s="18">
        <f t="shared" ref="TM4" si="384">ROUNDUP(TM5/12,0)</f>
        <v>8</v>
      </c>
      <c r="TN4" s="18">
        <f t="shared" ref="TN4" si="385">ROUNDUP(TN5/12,0)</f>
        <v>8</v>
      </c>
      <c r="TO4" s="18">
        <f t="shared" ref="TO4" si="386">ROUNDUP(TO5/12,0)</f>
        <v>8</v>
      </c>
      <c r="TP4" s="18">
        <f t="shared" ref="TP4" si="387">ROUNDUP(TP5/12,0)</f>
        <v>9</v>
      </c>
      <c r="TQ4" s="18">
        <f t="shared" ref="TQ4" si="388">ROUNDUP(TQ5/12,0)</f>
        <v>9</v>
      </c>
      <c r="TR4" s="18">
        <f t="shared" ref="TR4" si="389">ROUNDUP(TR5/12,0)</f>
        <v>9</v>
      </c>
      <c r="TS4" s="18">
        <f t="shared" ref="TS4" si="390">ROUNDUP(TS5/12,0)</f>
        <v>9</v>
      </c>
      <c r="TT4" s="18">
        <f t="shared" ref="TT4" si="391">ROUNDUP(TT5/12,0)</f>
        <v>9</v>
      </c>
      <c r="TU4" s="18">
        <f t="shared" ref="TU4" si="392">ROUNDUP(TU5/12,0)</f>
        <v>9</v>
      </c>
      <c r="TV4" s="18">
        <f t="shared" ref="TV4" si="393">ROUNDUP(TV5/12,0)</f>
        <v>9</v>
      </c>
      <c r="TW4" s="18">
        <f t="shared" ref="TW4" si="394">ROUNDUP(TW5/12,0)</f>
        <v>9</v>
      </c>
      <c r="TX4" s="18">
        <f t="shared" ref="TX4" si="395">ROUNDUP(TX5/12,0)</f>
        <v>9</v>
      </c>
      <c r="TY4" s="18">
        <f t="shared" ref="TY4" si="396">ROUNDUP(TY5/12,0)</f>
        <v>9</v>
      </c>
      <c r="TZ4" s="18">
        <f t="shared" ref="TZ4" si="397">ROUNDUP(TZ5/12,0)</f>
        <v>9</v>
      </c>
      <c r="UA4" s="18">
        <f t="shared" ref="UA4" si="398">ROUNDUP(UA5/12,0)</f>
        <v>9</v>
      </c>
      <c r="UB4" s="18">
        <f t="shared" ref="UB4" si="399">ROUNDUP(UB5/12,0)</f>
        <v>10</v>
      </c>
      <c r="UC4" s="18">
        <f t="shared" ref="UC4" si="400">ROUNDUP(UC5/12,0)</f>
        <v>10</v>
      </c>
      <c r="UD4" s="18">
        <f t="shared" ref="UD4" si="401">ROUNDUP(UD5/12,0)</f>
        <v>10</v>
      </c>
      <c r="UE4" s="18">
        <f t="shared" ref="UE4" si="402">ROUNDUP(UE5/12,0)</f>
        <v>10</v>
      </c>
      <c r="UF4" s="18">
        <f t="shared" ref="UF4" si="403">ROUNDUP(UF5/12,0)</f>
        <v>10</v>
      </c>
      <c r="UG4" s="18">
        <f t="shared" ref="UG4" si="404">ROUNDUP(UG5/12,0)</f>
        <v>10</v>
      </c>
      <c r="UH4" s="18">
        <f t="shared" ref="UH4" si="405">ROUNDUP(UH5/12,0)</f>
        <v>10</v>
      </c>
      <c r="UI4" s="18">
        <f t="shared" ref="UI4" si="406">ROUNDUP(UI5/12,0)</f>
        <v>10</v>
      </c>
      <c r="UJ4" s="18">
        <f t="shared" ref="UJ4" si="407">ROUNDUP(UJ5/12,0)</f>
        <v>10</v>
      </c>
      <c r="UK4" s="18">
        <f t="shared" ref="UK4" si="408">ROUNDUP(UK5/12,0)</f>
        <v>10</v>
      </c>
      <c r="UL4" s="18">
        <f t="shared" ref="UL4" si="409">ROUNDUP(UL5/12,0)</f>
        <v>10</v>
      </c>
      <c r="UM4" s="18">
        <f t="shared" ref="UM4" si="410">ROUNDUP(UM5/12,0)</f>
        <v>10</v>
      </c>
      <c r="UN4" s="18">
        <f t="shared" ref="UN4" si="411">ROUNDUP(UN5/12,0)</f>
        <v>11</v>
      </c>
      <c r="UO4" s="18">
        <f t="shared" ref="UO4" si="412">ROUNDUP(UO5/12,0)</f>
        <v>11</v>
      </c>
      <c r="UP4" s="18">
        <f t="shared" ref="UP4" si="413">ROUNDUP(UP5/12,0)</f>
        <v>11</v>
      </c>
      <c r="UQ4" s="18">
        <f t="shared" ref="UQ4" si="414">ROUNDUP(UQ5/12,0)</f>
        <v>11</v>
      </c>
      <c r="UR4" s="18">
        <f t="shared" ref="UR4" si="415">ROUNDUP(UR5/12,0)</f>
        <v>11</v>
      </c>
      <c r="US4" s="18">
        <f t="shared" ref="US4" si="416">ROUNDUP(US5/12,0)</f>
        <v>11</v>
      </c>
      <c r="UT4" s="18">
        <f t="shared" ref="UT4" si="417">ROUNDUP(UT5/12,0)</f>
        <v>11</v>
      </c>
      <c r="UU4" s="18">
        <f t="shared" ref="UU4" si="418">ROUNDUP(UU5/12,0)</f>
        <v>11</v>
      </c>
      <c r="UV4" s="18">
        <f t="shared" ref="UV4" si="419">ROUNDUP(UV5/12,0)</f>
        <v>11</v>
      </c>
      <c r="UW4" s="18">
        <f t="shared" ref="UW4" si="420">ROUNDUP(UW5/12,0)</f>
        <v>11</v>
      </c>
      <c r="UX4" s="18">
        <f t="shared" ref="UX4" si="421">ROUNDUP(UX5/12,0)</f>
        <v>11</v>
      </c>
      <c r="UY4" s="18">
        <f t="shared" ref="UY4" si="422">ROUNDUP(UY5/12,0)</f>
        <v>11</v>
      </c>
      <c r="UZ4" s="62" t="s">
        <v>29</v>
      </c>
      <c r="VA4" s="62"/>
      <c r="VB4" s="18">
        <f>ROUNDUP(VB5/12,0)</f>
        <v>1</v>
      </c>
      <c r="VC4" s="18">
        <f t="shared" ref="VC4" si="423">ROUNDUP(VC5/12,0)</f>
        <v>1</v>
      </c>
      <c r="VD4" s="18">
        <f t="shared" ref="VD4" si="424">ROUNDUP(VD5/12,0)</f>
        <v>1</v>
      </c>
      <c r="VE4" s="18">
        <f t="shared" ref="VE4" si="425">ROUNDUP(VE5/12,0)</f>
        <v>1</v>
      </c>
      <c r="VF4" s="18">
        <f t="shared" ref="VF4" si="426">ROUNDUP(VF5/12,0)</f>
        <v>1</v>
      </c>
      <c r="VG4" s="18">
        <f t="shared" ref="VG4" si="427">ROUNDUP(VG5/12,0)</f>
        <v>1</v>
      </c>
      <c r="VH4" s="18">
        <f t="shared" ref="VH4" si="428">ROUNDUP(VH5/12,0)</f>
        <v>1</v>
      </c>
      <c r="VI4" s="18">
        <f t="shared" ref="VI4" si="429">ROUNDUP(VI5/12,0)</f>
        <v>1</v>
      </c>
      <c r="VJ4" s="18">
        <f t="shared" ref="VJ4" si="430">ROUNDUP(VJ5/12,0)</f>
        <v>1</v>
      </c>
      <c r="VK4" s="18">
        <f t="shared" ref="VK4" si="431">ROUNDUP(VK5/12,0)</f>
        <v>1</v>
      </c>
      <c r="VL4" s="18">
        <f t="shared" ref="VL4" si="432">ROUNDUP(VL5/12,0)</f>
        <v>1</v>
      </c>
      <c r="VM4" s="18">
        <f t="shared" ref="VM4" si="433">ROUNDUP(VM5/12,0)</f>
        <v>1</v>
      </c>
      <c r="VN4" s="18">
        <f t="shared" ref="VN4" si="434">ROUNDUP(VN5/12,0)</f>
        <v>2</v>
      </c>
      <c r="VO4" s="18">
        <f t="shared" ref="VO4" si="435">ROUNDUP(VO5/12,0)</f>
        <v>2</v>
      </c>
      <c r="VP4" s="18">
        <f t="shared" ref="VP4" si="436">ROUNDUP(VP5/12,0)</f>
        <v>2</v>
      </c>
      <c r="VQ4" s="18">
        <f t="shared" ref="VQ4" si="437">ROUNDUP(VQ5/12,0)</f>
        <v>2</v>
      </c>
      <c r="VR4" s="18">
        <f t="shared" ref="VR4" si="438">ROUNDUP(VR5/12,0)</f>
        <v>2</v>
      </c>
      <c r="VS4" s="18">
        <f t="shared" ref="VS4" si="439">ROUNDUP(VS5/12,0)</f>
        <v>2</v>
      </c>
      <c r="VT4" s="18">
        <f t="shared" ref="VT4" si="440">ROUNDUP(VT5/12,0)</f>
        <v>2</v>
      </c>
      <c r="VU4" s="18">
        <f t="shared" ref="VU4" si="441">ROUNDUP(VU5/12,0)</f>
        <v>2</v>
      </c>
      <c r="VV4" s="18">
        <f t="shared" ref="VV4" si="442">ROUNDUP(VV5/12,0)</f>
        <v>2</v>
      </c>
      <c r="VW4" s="18">
        <f t="shared" ref="VW4" si="443">ROUNDUP(VW5/12,0)</f>
        <v>2</v>
      </c>
      <c r="VX4" s="18">
        <f t="shared" ref="VX4" si="444">ROUNDUP(VX5/12,0)</f>
        <v>2</v>
      </c>
      <c r="VY4" s="18">
        <f t="shared" ref="VY4" si="445">ROUNDUP(VY5/12,0)</f>
        <v>2</v>
      </c>
      <c r="VZ4" s="18">
        <f t="shared" ref="VZ4" si="446">ROUNDUP(VZ5/12,0)</f>
        <v>3</v>
      </c>
      <c r="WA4" s="18">
        <f t="shared" ref="WA4" si="447">ROUNDUP(WA5/12,0)</f>
        <v>3</v>
      </c>
      <c r="WB4" s="18">
        <f t="shared" ref="WB4" si="448">ROUNDUP(WB5/12,0)</f>
        <v>3</v>
      </c>
      <c r="WC4" s="18">
        <f t="shared" ref="WC4" si="449">ROUNDUP(WC5/12,0)</f>
        <v>3</v>
      </c>
      <c r="WD4" s="18">
        <f t="shared" ref="WD4" si="450">ROUNDUP(WD5/12,0)</f>
        <v>3</v>
      </c>
      <c r="WE4" s="18">
        <f t="shared" ref="WE4" si="451">ROUNDUP(WE5/12,0)</f>
        <v>3</v>
      </c>
      <c r="WF4" s="18">
        <f t="shared" ref="WF4" si="452">ROUNDUP(WF5/12,0)</f>
        <v>3</v>
      </c>
      <c r="WG4" s="18">
        <f t="shared" ref="WG4" si="453">ROUNDUP(WG5/12,0)</f>
        <v>3</v>
      </c>
      <c r="WH4" s="18">
        <f t="shared" ref="WH4" si="454">ROUNDUP(WH5/12,0)</f>
        <v>3</v>
      </c>
      <c r="WI4" s="18">
        <f t="shared" ref="WI4" si="455">ROUNDUP(WI5/12,0)</f>
        <v>3</v>
      </c>
      <c r="WJ4" s="18">
        <f t="shared" ref="WJ4" si="456">ROUNDUP(WJ5/12,0)</f>
        <v>3</v>
      </c>
      <c r="WK4" s="18">
        <f t="shared" ref="WK4" si="457">ROUNDUP(WK5/12,0)</f>
        <v>3</v>
      </c>
      <c r="WL4" s="18">
        <f t="shared" ref="WL4" si="458">ROUNDUP(WL5/12,0)</f>
        <v>4</v>
      </c>
      <c r="WM4" s="18">
        <f t="shared" ref="WM4" si="459">ROUNDUP(WM5/12,0)</f>
        <v>4</v>
      </c>
      <c r="WN4" s="18">
        <f t="shared" ref="WN4" si="460">ROUNDUP(WN5/12,0)</f>
        <v>4</v>
      </c>
      <c r="WO4" s="18">
        <f t="shared" ref="WO4" si="461">ROUNDUP(WO5/12,0)</f>
        <v>4</v>
      </c>
      <c r="WP4" s="18">
        <f t="shared" ref="WP4" si="462">ROUNDUP(WP5/12,0)</f>
        <v>4</v>
      </c>
      <c r="WQ4" s="18">
        <f t="shared" ref="WQ4" si="463">ROUNDUP(WQ5/12,0)</f>
        <v>4</v>
      </c>
      <c r="WR4" s="18">
        <f t="shared" ref="WR4" si="464">ROUNDUP(WR5/12,0)</f>
        <v>4</v>
      </c>
      <c r="WS4" s="18">
        <f t="shared" ref="WS4" si="465">ROUNDUP(WS5/12,0)</f>
        <v>4</v>
      </c>
      <c r="WT4" s="18">
        <f t="shared" ref="WT4" si="466">ROUNDUP(WT5/12,0)</f>
        <v>4</v>
      </c>
      <c r="WU4" s="18">
        <f t="shared" ref="WU4" si="467">ROUNDUP(WU5/12,0)</f>
        <v>4</v>
      </c>
      <c r="WV4" s="18">
        <f t="shared" ref="WV4" si="468">ROUNDUP(WV5/12,0)</f>
        <v>4</v>
      </c>
      <c r="WW4" s="18">
        <f t="shared" ref="WW4" si="469">ROUNDUP(WW5/12,0)</f>
        <v>4</v>
      </c>
      <c r="WX4" s="18">
        <f t="shared" ref="WX4" si="470">ROUNDUP(WX5/12,0)</f>
        <v>5</v>
      </c>
      <c r="WY4" s="18">
        <f t="shared" ref="WY4" si="471">ROUNDUP(WY5/12,0)</f>
        <v>5</v>
      </c>
      <c r="WZ4" s="18">
        <f t="shared" ref="WZ4" si="472">ROUNDUP(WZ5/12,0)</f>
        <v>5</v>
      </c>
      <c r="XA4" s="18">
        <f t="shared" ref="XA4" si="473">ROUNDUP(XA5/12,0)</f>
        <v>5</v>
      </c>
      <c r="XB4" s="18">
        <f t="shared" ref="XB4" si="474">ROUNDUP(XB5/12,0)</f>
        <v>5</v>
      </c>
      <c r="XC4" s="18">
        <f t="shared" ref="XC4" si="475">ROUNDUP(XC5/12,0)</f>
        <v>5</v>
      </c>
      <c r="XD4" s="18">
        <f t="shared" ref="XD4" si="476">ROUNDUP(XD5/12,0)</f>
        <v>5</v>
      </c>
      <c r="XE4" s="18">
        <f t="shared" ref="XE4" si="477">ROUNDUP(XE5/12,0)</f>
        <v>5</v>
      </c>
      <c r="XF4" s="18">
        <f t="shared" ref="XF4" si="478">ROUNDUP(XF5/12,0)</f>
        <v>5</v>
      </c>
      <c r="XG4" s="18">
        <f t="shared" ref="XG4" si="479">ROUNDUP(XG5/12,0)</f>
        <v>5</v>
      </c>
      <c r="XH4" s="18">
        <f t="shared" ref="XH4" si="480">ROUNDUP(XH5/12,0)</f>
        <v>5</v>
      </c>
      <c r="XI4" s="18">
        <f t="shared" ref="XI4" si="481">ROUNDUP(XI5/12,0)</f>
        <v>5</v>
      </c>
      <c r="XJ4" s="18">
        <f t="shared" ref="XJ4" si="482">ROUNDUP(XJ5/12,0)</f>
        <v>6</v>
      </c>
      <c r="XK4" s="18">
        <f t="shared" ref="XK4" si="483">ROUNDUP(XK5/12,0)</f>
        <v>6</v>
      </c>
      <c r="XL4" s="18">
        <f t="shared" ref="XL4" si="484">ROUNDUP(XL5/12,0)</f>
        <v>6</v>
      </c>
      <c r="XM4" s="18">
        <f t="shared" ref="XM4" si="485">ROUNDUP(XM5/12,0)</f>
        <v>6</v>
      </c>
      <c r="XN4" s="18">
        <f t="shared" ref="XN4" si="486">ROUNDUP(XN5/12,0)</f>
        <v>6</v>
      </c>
      <c r="XO4" s="18">
        <f t="shared" ref="XO4" si="487">ROUNDUP(XO5/12,0)</f>
        <v>6</v>
      </c>
      <c r="XP4" s="18">
        <f t="shared" ref="XP4" si="488">ROUNDUP(XP5/12,0)</f>
        <v>6</v>
      </c>
      <c r="XQ4" s="18">
        <f t="shared" ref="XQ4" si="489">ROUNDUP(XQ5/12,0)</f>
        <v>6</v>
      </c>
      <c r="XR4" s="18">
        <f t="shared" ref="XR4" si="490">ROUNDUP(XR5/12,0)</f>
        <v>6</v>
      </c>
      <c r="XS4" s="18">
        <f t="shared" ref="XS4" si="491">ROUNDUP(XS5/12,0)</f>
        <v>6</v>
      </c>
      <c r="XT4" s="18">
        <f t="shared" ref="XT4" si="492">ROUNDUP(XT5/12,0)</f>
        <v>6</v>
      </c>
      <c r="XU4" s="18">
        <f t="shared" ref="XU4" si="493">ROUNDUP(XU5/12,0)</f>
        <v>6</v>
      </c>
      <c r="XV4" s="18">
        <f t="shared" ref="XV4" si="494">ROUNDUP(XV5/12,0)</f>
        <v>7</v>
      </c>
      <c r="XW4" s="18">
        <f t="shared" ref="XW4" si="495">ROUNDUP(XW5/12,0)</f>
        <v>7</v>
      </c>
      <c r="XX4" s="18">
        <f t="shared" ref="XX4" si="496">ROUNDUP(XX5/12,0)</f>
        <v>7</v>
      </c>
      <c r="XY4" s="18">
        <f t="shared" ref="XY4" si="497">ROUNDUP(XY5/12,0)</f>
        <v>7</v>
      </c>
      <c r="XZ4" s="18">
        <f t="shared" ref="XZ4" si="498">ROUNDUP(XZ5/12,0)</f>
        <v>7</v>
      </c>
      <c r="YA4" s="18">
        <f t="shared" ref="YA4" si="499">ROUNDUP(YA5/12,0)</f>
        <v>7</v>
      </c>
      <c r="YB4" s="18">
        <f t="shared" ref="YB4" si="500">ROUNDUP(YB5/12,0)</f>
        <v>7</v>
      </c>
      <c r="YC4" s="18">
        <f t="shared" ref="YC4" si="501">ROUNDUP(YC5/12,0)</f>
        <v>7</v>
      </c>
      <c r="YD4" s="18">
        <f t="shared" ref="YD4" si="502">ROUNDUP(YD5/12,0)</f>
        <v>7</v>
      </c>
      <c r="YE4" s="18">
        <f t="shared" ref="YE4" si="503">ROUNDUP(YE5/12,0)</f>
        <v>7</v>
      </c>
      <c r="YF4" s="18">
        <f t="shared" ref="YF4" si="504">ROUNDUP(YF5/12,0)</f>
        <v>7</v>
      </c>
      <c r="YG4" s="18">
        <f t="shared" ref="YG4" si="505">ROUNDUP(YG5/12,0)</f>
        <v>7</v>
      </c>
      <c r="YH4" s="18">
        <f t="shared" ref="YH4" si="506">ROUNDUP(YH5/12,0)</f>
        <v>8</v>
      </c>
      <c r="YI4" s="18">
        <f t="shared" ref="YI4" si="507">ROUNDUP(YI5/12,0)</f>
        <v>8</v>
      </c>
      <c r="YJ4" s="18">
        <f t="shared" ref="YJ4" si="508">ROUNDUP(YJ5/12,0)</f>
        <v>8</v>
      </c>
      <c r="YK4" s="18">
        <f t="shared" ref="YK4" si="509">ROUNDUP(YK5/12,0)</f>
        <v>8</v>
      </c>
      <c r="YL4" s="18">
        <f t="shared" ref="YL4" si="510">ROUNDUP(YL5/12,0)</f>
        <v>8</v>
      </c>
      <c r="YM4" s="18">
        <f t="shared" ref="YM4" si="511">ROUNDUP(YM5/12,0)</f>
        <v>8</v>
      </c>
      <c r="YN4" s="18">
        <f t="shared" ref="YN4" si="512">ROUNDUP(YN5/12,0)</f>
        <v>8</v>
      </c>
      <c r="YO4" s="18">
        <f t="shared" ref="YO4" si="513">ROUNDUP(YO5/12,0)</f>
        <v>8</v>
      </c>
      <c r="YP4" s="18">
        <f t="shared" ref="YP4" si="514">ROUNDUP(YP5/12,0)</f>
        <v>8</v>
      </c>
      <c r="YQ4" s="18">
        <f t="shared" ref="YQ4" si="515">ROUNDUP(YQ5/12,0)</f>
        <v>8</v>
      </c>
      <c r="YR4" s="18">
        <f t="shared" ref="YR4" si="516">ROUNDUP(YR5/12,0)</f>
        <v>8</v>
      </c>
      <c r="YS4" s="18">
        <f t="shared" ref="YS4" si="517">ROUNDUP(YS5/12,0)</f>
        <v>8</v>
      </c>
      <c r="YT4" s="18">
        <f t="shared" ref="YT4" si="518">ROUNDUP(YT5/12,0)</f>
        <v>9</v>
      </c>
      <c r="YU4" s="18">
        <f t="shared" ref="YU4" si="519">ROUNDUP(YU5/12,0)</f>
        <v>9</v>
      </c>
      <c r="YV4" s="18">
        <f t="shared" ref="YV4" si="520">ROUNDUP(YV5/12,0)</f>
        <v>9</v>
      </c>
      <c r="YW4" s="18">
        <f t="shared" ref="YW4" si="521">ROUNDUP(YW5/12,0)</f>
        <v>9</v>
      </c>
      <c r="YX4" s="18">
        <f t="shared" ref="YX4" si="522">ROUNDUP(YX5/12,0)</f>
        <v>9</v>
      </c>
      <c r="YY4" s="18">
        <f t="shared" ref="YY4" si="523">ROUNDUP(YY5/12,0)</f>
        <v>9</v>
      </c>
      <c r="YZ4" s="18">
        <f t="shared" ref="YZ4" si="524">ROUNDUP(YZ5/12,0)</f>
        <v>9</v>
      </c>
      <c r="ZA4" s="18">
        <f t="shared" ref="ZA4" si="525">ROUNDUP(ZA5/12,0)</f>
        <v>9</v>
      </c>
      <c r="ZB4" s="18">
        <f t="shared" ref="ZB4" si="526">ROUNDUP(ZB5/12,0)</f>
        <v>9</v>
      </c>
      <c r="ZC4" s="18">
        <f t="shared" ref="ZC4" si="527">ROUNDUP(ZC5/12,0)</f>
        <v>9</v>
      </c>
      <c r="ZD4" s="18">
        <f t="shared" ref="ZD4" si="528">ROUNDUP(ZD5/12,0)</f>
        <v>9</v>
      </c>
      <c r="ZE4" s="18">
        <f t="shared" ref="ZE4" si="529">ROUNDUP(ZE5/12,0)</f>
        <v>9</v>
      </c>
      <c r="ZF4" s="18">
        <f t="shared" ref="ZF4" si="530">ROUNDUP(ZF5/12,0)</f>
        <v>10</v>
      </c>
      <c r="ZG4" s="18">
        <f t="shared" ref="ZG4" si="531">ROUNDUP(ZG5/12,0)</f>
        <v>10</v>
      </c>
      <c r="ZH4" s="18">
        <f t="shared" ref="ZH4" si="532">ROUNDUP(ZH5/12,0)</f>
        <v>10</v>
      </c>
      <c r="ZI4" s="18">
        <f t="shared" ref="ZI4" si="533">ROUNDUP(ZI5/12,0)</f>
        <v>10</v>
      </c>
      <c r="ZJ4" s="18">
        <f t="shared" ref="ZJ4" si="534">ROUNDUP(ZJ5/12,0)</f>
        <v>10</v>
      </c>
      <c r="ZK4" s="18">
        <f t="shared" ref="ZK4" si="535">ROUNDUP(ZK5/12,0)</f>
        <v>10</v>
      </c>
      <c r="ZL4" s="18">
        <f t="shared" ref="ZL4" si="536">ROUNDUP(ZL5/12,0)</f>
        <v>10</v>
      </c>
      <c r="ZM4" s="18">
        <f t="shared" ref="ZM4" si="537">ROUNDUP(ZM5/12,0)</f>
        <v>10</v>
      </c>
      <c r="ZN4" s="18">
        <f t="shared" ref="ZN4" si="538">ROUNDUP(ZN5/12,0)</f>
        <v>10</v>
      </c>
      <c r="ZO4" s="18">
        <f t="shared" ref="ZO4" si="539">ROUNDUP(ZO5/12,0)</f>
        <v>10</v>
      </c>
      <c r="ZP4" s="18">
        <f t="shared" ref="ZP4" si="540">ROUNDUP(ZP5/12,0)</f>
        <v>10</v>
      </c>
      <c r="ZQ4" s="18">
        <f t="shared" ref="ZQ4" si="541">ROUNDUP(ZQ5/12,0)</f>
        <v>10</v>
      </c>
      <c r="ZR4" s="18">
        <f t="shared" ref="ZR4" si="542">ROUNDUP(ZR5/12,0)</f>
        <v>11</v>
      </c>
      <c r="ZS4" s="18">
        <f t="shared" ref="ZS4" si="543">ROUNDUP(ZS5/12,0)</f>
        <v>11</v>
      </c>
      <c r="ZT4" s="18">
        <f t="shared" ref="ZT4" si="544">ROUNDUP(ZT5/12,0)</f>
        <v>11</v>
      </c>
      <c r="ZU4" s="18">
        <f t="shared" ref="ZU4" si="545">ROUNDUP(ZU5/12,0)</f>
        <v>11</v>
      </c>
      <c r="ZV4" s="18">
        <f t="shared" ref="ZV4" si="546">ROUNDUP(ZV5/12,0)</f>
        <v>11</v>
      </c>
      <c r="ZW4" s="18">
        <f t="shared" ref="ZW4" si="547">ROUNDUP(ZW5/12,0)</f>
        <v>11</v>
      </c>
      <c r="ZX4" s="18">
        <f t="shared" ref="ZX4" si="548">ROUNDUP(ZX5/12,0)</f>
        <v>11</v>
      </c>
      <c r="ZY4" s="18">
        <f t="shared" ref="ZY4" si="549">ROUNDUP(ZY5/12,0)</f>
        <v>11</v>
      </c>
      <c r="ZZ4" s="18">
        <f t="shared" ref="ZZ4" si="550">ROUNDUP(ZZ5/12,0)</f>
        <v>11</v>
      </c>
      <c r="AAA4" s="18">
        <f t="shared" ref="AAA4" si="551">ROUNDUP(AAA5/12,0)</f>
        <v>11</v>
      </c>
      <c r="AAB4" s="18">
        <f t="shared" ref="AAB4" si="552">ROUNDUP(AAB5/12,0)</f>
        <v>11</v>
      </c>
      <c r="AAC4" s="18">
        <f t="shared" ref="AAC4" si="553">ROUNDUP(AAC5/12,0)</f>
        <v>11</v>
      </c>
      <c r="AAD4" s="62" t="s">
        <v>29</v>
      </c>
      <c r="AAF4" s="18">
        <f>ROUNDUP(AAF5/12,0)</f>
        <v>1</v>
      </c>
      <c r="AAG4" s="18">
        <f t="shared" ref="AAG4" si="554">ROUNDUP(AAG5/12,0)</f>
        <v>1</v>
      </c>
      <c r="AAH4" s="18">
        <f t="shared" ref="AAH4" si="555">ROUNDUP(AAH5/12,0)</f>
        <v>1</v>
      </c>
      <c r="AAI4" s="18">
        <f t="shared" ref="AAI4" si="556">ROUNDUP(AAI5/12,0)</f>
        <v>1</v>
      </c>
      <c r="AAJ4" s="18">
        <f t="shared" ref="AAJ4" si="557">ROUNDUP(AAJ5/12,0)</f>
        <v>1</v>
      </c>
      <c r="AAK4" s="18">
        <f t="shared" ref="AAK4" si="558">ROUNDUP(AAK5/12,0)</f>
        <v>1</v>
      </c>
      <c r="AAL4" s="18">
        <f t="shared" ref="AAL4" si="559">ROUNDUP(AAL5/12,0)</f>
        <v>1</v>
      </c>
      <c r="AAM4" s="18">
        <f t="shared" ref="AAM4" si="560">ROUNDUP(AAM5/12,0)</f>
        <v>1</v>
      </c>
      <c r="AAN4" s="18">
        <f t="shared" ref="AAN4" si="561">ROUNDUP(AAN5/12,0)</f>
        <v>1</v>
      </c>
      <c r="AAO4" s="18">
        <f t="shared" ref="AAO4" si="562">ROUNDUP(AAO5/12,0)</f>
        <v>1</v>
      </c>
      <c r="AAP4" s="18">
        <f t="shared" ref="AAP4" si="563">ROUNDUP(AAP5/12,0)</f>
        <v>1</v>
      </c>
      <c r="AAQ4" s="18">
        <f t="shared" ref="AAQ4" si="564">ROUNDUP(AAQ5/12,0)</f>
        <v>1</v>
      </c>
      <c r="AAR4" s="18">
        <f t="shared" ref="AAR4" si="565">ROUNDUP(AAR5/12,0)</f>
        <v>2</v>
      </c>
      <c r="AAS4" s="18">
        <f t="shared" ref="AAS4" si="566">ROUNDUP(AAS5/12,0)</f>
        <v>2</v>
      </c>
      <c r="AAT4" s="18">
        <f t="shared" ref="AAT4" si="567">ROUNDUP(AAT5/12,0)</f>
        <v>2</v>
      </c>
      <c r="AAU4" s="18">
        <f t="shared" ref="AAU4" si="568">ROUNDUP(AAU5/12,0)</f>
        <v>2</v>
      </c>
      <c r="AAV4" s="18">
        <f t="shared" ref="AAV4" si="569">ROUNDUP(AAV5/12,0)</f>
        <v>2</v>
      </c>
      <c r="AAW4" s="18">
        <f t="shared" ref="AAW4" si="570">ROUNDUP(AAW5/12,0)</f>
        <v>2</v>
      </c>
      <c r="AAX4" s="18">
        <f t="shared" ref="AAX4" si="571">ROUNDUP(AAX5/12,0)</f>
        <v>2</v>
      </c>
      <c r="AAY4" s="18">
        <f t="shared" ref="AAY4" si="572">ROUNDUP(AAY5/12,0)</f>
        <v>2</v>
      </c>
      <c r="AAZ4" s="18">
        <f t="shared" ref="AAZ4" si="573">ROUNDUP(AAZ5/12,0)</f>
        <v>2</v>
      </c>
      <c r="ABA4" s="18">
        <f t="shared" ref="ABA4" si="574">ROUNDUP(ABA5/12,0)</f>
        <v>2</v>
      </c>
      <c r="ABB4" s="18">
        <f t="shared" ref="ABB4" si="575">ROUNDUP(ABB5/12,0)</f>
        <v>2</v>
      </c>
      <c r="ABC4" s="18">
        <f t="shared" ref="ABC4" si="576">ROUNDUP(ABC5/12,0)</f>
        <v>2</v>
      </c>
      <c r="ABD4" s="18">
        <f t="shared" ref="ABD4" si="577">ROUNDUP(ABD5/12,0)</f>
        <v>3</v>
      </c>
      <c r="ABE4" s="18">
        <f t="shared" ref="ABE4" si="578">ROUNDUP(ABE5/12,0)</f>
        <v>3</v>
      </c>
      <c r="ABF4" s="18">
        <f t="shared" ref="ABF4" si="579">ROUNDUP(ABF5/12,0)</f>
        <v>3</v>
      </c>
      <c r="ABG4" s="18">
        <f t="shared" ref="ABG4" si="580">ROUNDUP(ABG5/12,0)</f>
        <v>3</v>
      </c>
      <c r="ABH4" s="18">
        <f t="shared" ref="ABH4" si="581">ROUNDUP(ABH5/12,0)</f>
        <v>3</v>
      </c>
      <c r="ABI4" s="18">
        <f t="shared" ref="ABI4" si="582">ROUNDUP(ABI5/12,0)</f>
        <v>3</v>
      </c>
      <c r="ABJ4" s="18">
        <f t="shared" ref="ABJ4" si="583">ROUNDUP(ABJ5/12,0)</f>
        <v>3</v>
      </c>
      <c r="ABK4" s="18">
        <f t="shared" ref="ABK4" si="584">ROUNDUP(ABK5/12,0)</f>
        <v>3</v>
      </c>
      <c r="ABL4" s="18">
        <f t="shared" ref="ABL4" si="585">ROUNDUP(ABL5/12,0)</f>
        <v>3</v>
      </c>
      <c r="ABM4" s="18">
        <f t="shared" ref="ABM4" si="586">ROUNDUP(ABM5/12,0)</f>
        <v>3</v>
      </c>
      <c r="ABN4" s="18">
        <f t="shared" ref="ABN4" si="587">ROUNDUP(ABN5/12,0)</f>
        <v>3</v>
      </c>
      <c r="ABO4" s="18">
        <f t="shared" ref="ABO4" si="588">ROUNDUP(ABO5/12,0)</f>
        <v>3</v>
      </c>
      <c r="ABP4" s="18">
        <f t="shared" ref="ABP4" si="589">ROUNDUP(ABP5/12,0)</f>
        <v>4</v>
      </c>
      <c r="ABQ4" s="18">
        <f t="shared" ref="ABQ4" si="590">ROUNDUP(ABQ5/12,0)</f>
        <v>4</v>
      </c>
      <c r="ABR4" s="18">
        <f t="shared" ref="ABR4" si="591">ROUNDUP(ABR5/12,0)</f>
        <v>4</v>
      </c>
      <c r="ABS4" s="18">
        <f t="shared" ref="ABS4" si="592">ROUNDUP(ABS5/12,0)</f>
        <v>4</v>
      </c>
      <c r="ABT4" s="18">
        <f t="shared" ref="ABT4" si="593">ROUNDUP(ABT5/12,0)</f>
        <v>4</v>
      </c>
      <c r="ABU4" s="18">
        <f t="shared" ref="ABU4" si="594">ROUNDUP(ABU5/12,0)</f>
        <v>4</v>
      </c>
      <c r="ABV4" s="18">
        <f t="shared" ref="ABV4" si="595">ROUNDUP(ABV5/12,0)</f>
        <v>4</v>
      </c>
      <c r="ABW4" s="18">
        <f t="shared" ref="ABW4" si="596">ROUNDUP(ABW5/12,0)</f>
        <v>4</v>
      </c>
      <c r="ABX4" s="18">
        <f t="shared" ref="ABX4" si="597">ROUNDUP(ABX5/12,0)</f>
        <v>4</v>
      </c>
      <c r="ABY4" s="18">
        <f t="shared" ref="ABY4" si="598">ROUNDUP(ABY5/12,0)</f>
        <v>4</v>
      </c>
      <c r="ABZ4" s="18">
        <f t="shared" ref="ABZ4" si="599">ROUNDUP(ABZ5/12,0)</f>
        <v>4</v>
      </c>
      <c r="ACA4" s="18">
        <f t="shared" ref="ACA4" si="600">ROUNDUP(ACA5/12,0)</f>
        <v>4</v>
      </c>
      <c r="ACB4" s="18">
        <f t="shared" ref="ACB4" si="601">ROUNDUP(ACB5/12,0)</f>
        <v>5</v>
      </c>
      <c r="ACC4" s="18">
        <f t="shared" ref="ACC4" si="602">ROUNDUP(ACC5/12,0)</f>
        <v>5</v>
      </c>
      <c r="ACD4" s="18">
        <f t="shared" ref="ACD4" si="603">ROUNDUP(ACD5/12,0)</f>
        <v>5</v>
      </c>
      <c r="ACE4" s="18">
        <f t="shared" ref="ACE4" si="604">ROUNDUP(ACE5/12,0)</f>
        <v>5</v>
      </c>
      <c r="ACF4" s="18">
        <f t="shared" ref="ACF4" si="605">ROUNDUP(ACF5/12,0)</f>
        <v>5</v>
      </c>
      <c r="ACG4" s="18">
        <f t="shared" ref="ACG4" si="606">ROUNDUP(ACG5/12,0)</f>
        <v>5</v>
      </c>
      <c r="ACH4" s="18">
        <f t="shared" ref="ACH4" si="607">ROUNDUP(ACH5/12,0)</f>
        <v>5</v>
      </c>
      <c r="ACI4" s="18">
        <f t="shared" ref="ACI4" si="608">ROUNDUP(ACI5/12,0)</f>
        <v>5</v>
      </c>
      <c r="ACJ4" s="18">
        <f t="shared" ref="ACJ4" si="609">ROUNDUP(ACJ5/12,0)</f>
        <v>5</v>
      </c>
      <c r="ACK4" s="18">
        <f t="shared" ref="ACK4" si="610">ROUNDUP(ACK5/12,0)</f>
        <v>5</v>
      </c>
      <c r="ACL4" s="18">
        <f t="shared" ref="ACL4" si="611">ROUNDUP(ACL5/12,0)</f>
        <v>5</v>
      </c>
      <c r="ACM4" s="18">
        <f t="shared" ref="ACM4" si="612">ROUNDUP(ACM5/12,0)</f>
        <v>5</v>
      </c>
      <c r="ACN4" s="18">
        <f t="shared" ref="ACN4" si="613">ROUNDUP(ACN5/12,0)</f>
        <v>6</v>
      </c>
      <c r="ACO4" s="18">
        <f t="shared" ref="ACO4" si="614">ROUNDUP(ACO5/12,0)</f>
        <v>6</v>
      </c>
      <c r="ACP4" s="18">
        <f t="shared" ref="ACP4" si="615">ROUNDUP(ACP5/12,0)</f>
        <v>6</v>
      </c>
      <c r="ACQ4" s="18">
        <f t="shared" ref="ACQ4" si="616">ROUNDUP(ACQ5/12,0)</f>
        <v>6</v>
      </c>
      <c r="ACR4" s="18">
        <f t="shared" ref="ACR4" si="617">ROUNDUP(ACR5/12,0)</f>
        <v>6</v>
      </c>
      <c r="ACS4" s="18">
        <f t="shared" ref="ACS4" si="618">ROUNDUP(ACS5/12,0)</f>
        <v>6</v>
      </c>
      <c r="ACT4" s="18">
        <f t="shared" ref="ACT4" si="619">ROUNDUP(ACT5/12,0)</f>
        <v>6</v>
      </c>
      <c r="ACU4" s="18">
        <f t="shared" ref="ACU4" si="620">ROUNDUP(ACU5/12,0)</f>
        <v>6</v>
      </c>
      <c r="ACV4" s="18">
        <f t="shared" ref="ACV4" si="621">ROUNDUP(ACV5/12,0)</f>
        <v>6</v>
      </c>
      <c r="ACW4" s="18">
        <f t="shared" ref="ACW4" si="622">ROUNDUP(ACW5/12,0)</f>
        <v>6</v>
      </c>
      <c r="ACX4" s="18">
        <f t="shared" ref="ACX4" si="623">ROUNDUP(ACX5/12,0)</f>
        <v>6</v>
      </c>
      <c r="ACY4" s="18">
        <f t="shared" ref="ACY4" si="624">ROUNDUP(ACY5/12,0)</f>
        <v>6</v>
      </c>
      <c r="ACZ4" s="18">
        <f t="shared" ref="ACZ4" si="625">ROUNDUP(ACZ5/12,0)</f>
        <v>7</v>
      </c>
      <c r="ADA4" s="18">
        <f t="shared" ref="ADA4" si="626">ROUNDUP(ADA5/12,0)</f>
        <v>7</v>
      </c>
      <c r="ADB4" s="18">
        <f t="shared" ref="ADB4" si="627">ROUNDUP(ADB5/12,0)</f>
        <v>7</v>
      </c>
      <c r="ADC4" s="18">
        <f t="shared" ref="ADC4" si="628">ROUNDUP(ADC5/12,0)</f>
        <v>7</v>
      </c>
      <c r="ADD4" s="18">
        <f t="shared" ref="ADD4" si="629">ROUNDUP(ADD5/12,0)</f>
        <v>7</v>
      </c>
      <c r="ADE4" s="18">
        <f t="shared" ref="ADE4" si="630">ROUNDUP(ADE5/12,0)</f>
        <v>7</v>
      </c>
      <c r="ADF4" s="18">
        <f t="shared" ref="ADF4" si="631">ROUNDUP(ADF5/12,0)</f>
        <v>7</v>
      </c>
      <c r="ADG4" s="18">
        <f t="shared" ref="ADG4" si="632">ROUNDUP(ADG5/12,0)</f>
        <v>7</v>
      </c>
      <c r="ADH4" s="18">
        <f t="shared" ref="ADH4" si="633">ROUNDUP(ADH5/12,0)</f>
        <v>7</v>
      </c>
      <c r="ADI4" s="18">
        <f t="shared" ref="ADI4" si="634">ROUNDUP(ADI5/12,0)</f>
        <v>7</v>
      </c>
      <c r="ADJ4" s="18">
        <f t="shared" ref="ADJ4" si="635">ROUNDUP(ADJ5/12,0)</f>
        <v>7</v>
      </c>
      <c r="ADK4" s="18">
        <f t="shared" ref="ADK4" si="636">ROUNDUP(ADK5/12,0)</f>
        <v>7</v>
      </c>
      <c r="ADL4" s="18">
        <f t="shared" ref="ADL4" si="637">ROUNDUP(ADL5/12,0)</f>
        <v>8</v>
      </c>
      <c r="ADM4" s="18">
        <f t="shared" ref="ADM4" si="638">ROUNDUP(ADM5/12,0)</f>
        <v>8</v>
      </c>
      <c r="ADN4" s="18">
        <f t="shared" ref="ADN4" si="639">ROUNDUP(ADN5/12,0)</f>
        <v>8</v>
      </c>
      <c r="ADO4" s="18">
        <f t="shared" ref="ADO4" si="640">ROUNDUP(ADO5/12,0)</f>
        <v>8</v>
      </c>
      <c r="ADP4" s="18">
        <f t="shared" ref="ADP4" si="641">ROUNDUP(ADP5/12,0)</f>
        <v>8</v>
      </c>
      <c r="ADQ4" s="18">
        <f t="shared" ref="ADQ4" si="642">ROUNDUP(ADQ5/12,0)</f>
        <v>8</v>
      </c>
      <c r="ADR4" s="18">
        <f t="shared" ref="ADR4" si="643">ROUNDUP(ADR5/12,0)</f>
        <v>8</v>
      </c>
      <c r="ADS4" s="18">
        <f t="shared" ref="ADS4" si="644">ROUNDUP(ADS5/12,0)</f>
        <v>8</v>
      </c>
      <c r="ADT4" s="18">
        <f t="shared" ref="ADT4" si="645">ROUNDUP(ADT5/12,0)</f>
        <v>8</v>
      </c>
      <c r="ADU4" s="18">
        <f t="shared" ref="ADU4" si="646">ROUNDUP(ADU5/12,0)</f>
        <v>8</v>
      </c>
      <c r="ADV4" s="18">
        <f t="shared" ref="ADV4" si="647">ROUNDUP(ADV5/12,0)</f>
        <v>8</v>
      </c>
      <c r="ADW4" s="18">
        <f t="shared" ref="ADW4" si="648">ROUNDUP(ADW5/12,0)</f>
        <v>8</v>
      </c>
      <c r="ADX4" s="18">
        <f t="shared" ref="ADX4" si="649">ROUNDUP(ADX5/12,0)</f>
        <v>9</v>
      </c>
      <c r="ADY4" s="18">
        <f t="shared" ref="ADY4" si="650">ROUNDUP(ADY5/12,0)</f>
        <v>9</v>
      </c>
      <c r="ADZ4" s="18">
        <f t="shared" ref="ADZ4" si="651">ROUNDUP(ADZ5/12,0)</f>
        <v>9</v>
      </c>
      <c r="AEA4" s="18">
        <f t="shared" ref="AEA4" si="652">ROUNDUP(AEA5/12,0)</f>
        <v>9</v>
      </c>
      <c r="AEB4" s="18">
        <f t="shared" ref="AEB4" si="653">ROUNDUP(AEB5/12,0)</f>
        <v>9</v>
      </c>
      <c r="AEC4" s="18">
        <f t="shared" ref="AEC4" si="654">ROUNDUP(AEC5/12,0)</f>
        <v>9</v>
      </c>
      <c r="AED4" s="18">
        <f t="shared" ref="AED4" si="655">ROUNDUP(AED5/12,0)</f>
        <v>9</v>
      </c>
      <c r="AEE4" s="18">
        <f t="shared" ref="AEE4" si="656">ROUNDUP(AEE5/12,0)</f>
        <v>9</v>
      </c>
      <c r="AEF4" s="18">
        <f t="shared" ref="AEF4" si="657">ROUNDUP(AEF5/12,0)</f>
        <v>9</v>
      </c>
      <c r="AEG4" s="18">
        <f t="shared" ref="AEG4" si="658">ROUNDUP(AEG5/12,0)</f>
        <v>9</v>
      </c>
      <c r="AEH4" s="18">
        <f t="shared" ref="AEH4" si="659">ROUNDUP(AEH5/12,0)</f>
        <v>9</v>
      </c>
      <c r="AEI4" s="18">
        <f t="shared" ref="AEI4" si="660">ROUNDUP(AEI5/12,0)</f>
        <v>9</v>
      </c>
      <c r="AEJ4" s="18">
        <f t="shared" ref="AEJ4" si="661">ROUNDUP(AEJ5/12,0)</f>
        <v>10</v>
      </c>
      <c r="AEK4" s="18">
        <f t="shared" ref="AEK4" si="662">ROUNDUP(AEK5/12,0)</f>
        <v>10</v>
      </c>
      <c r="AEL4" s="18">
        <f t="shared" ref="AEL4" si="663">ROUNDUP(AEL5/12,0)</f>
        <v>10</v>
      </c>
      <c r="AEM4" s="18">
        <f t="shared" ref="AEM4" si="664">ROUNDUP(AEM5/12,0)</f>
        <v>10</v>
      </c>
      <c r="AEN4" s="18">
        <f t="shared" ref="AEN4" si="665">ROUNDUP(AEN5/12,0)</f>
        <v>10</v>
      </c>
      <c r="AEO4" s="18">
        <f t="shared" ref="AEO4" si="666">ROUNDUP(AEO5/12,0)</f>
        <v>10</v>
      </c>
      <c r="AEP4" s="18">
        <f t="shared" ref="AEP4" si="667">ROUNDUP(AEP5/12,0)</f>
        <v>10</v>
      </c>
      <c r="AEQ4" s="18">
        <f t="shared" ref="AEQ4" si="668">ROUNDUP(AEQ5/12,0)</f>
        <v>10</v>
      </c>
      <c r="AER4" s="18">
        <f t="shared" ref="AER4" si="669">ROUNDUP(AER5/12,0)</f>
        <v>10</v>
      </c>
      <c r="AES4" s="18">
        <f t="shared" ref="AES4" si="670">ROUNDUP(AES5/12,0)</f>
        <v>10</v>
      </c>
      <c r="AET4" s="18">
        <f t="shared" ref="AET4" si="671">ROUNDUP(AET5/12,0)</f>
        <v>10</v>
      </c>
      <c r="AEU4" s="18">
        <f t="shared" ref="AEU4" si="672">ROUNDUP(AEU5/12,0)</f>
        <v>10</v>
      </c>
      <c r="AEV4" s="18">
        <f t="shared" ref="AEV4" si="673">ROUNDUP(AEV5/12,0)</f>
        <v>11</v>
      </c>
      <c r="AEW4" s="18">
        <f t="shared" ref="AEW4" si="674">ROUNDUP(AEW5/12,0)</f>
        <v>11</v>
      </c>
      <c r="AEX4" s="18">
        <f t="shared" ref="AEX4" si="675">ROUNDUP(AEX5/12,0)</f>
        <v>11</v>
      </c>
      <c r="AEY4" s="18">
        <f t="shared" ref="AEY4" si="676">ROUNDUP(AEY5/12,0)</f>
        <v>11</v>
      </c>
      <c r="AEZ4" s="18">
        <f t="shared" ref="AEZ4" si="677">ROUNDUP(AEZ5/12,0)</f>
        <v>11</v>
      </c>
      <c r="AFA4" s="18">
        <f t="shared" ref="AFA4" si="678">ROUNDUP(AFA5/12,0)</f>
        <v>11</v>
      </c>
      <c r="AFB4" s="18">
        <f t="shared" ref="AFB4" si="679">ROUNDUP(AFB5/12,0)</f>
        <v>11</v>
      </c>
      <c r="AFC4" s="18">
        <f t="shared" ref="AFC4" si="680">ROUNDUP(AFC5/12,0)</f>
        <v>11</v>
      </c>
      <c r="AFD4" s="18">
        <f t="shared" ref="AFD4" si="681">ROUNDUP(AFD5/12,0)</f>
        <v>11</v>
      </c>
      <c r="AFE4" s="18">
        <f t="shared" ref="AFE4" si="682">ROUNDUP(AFE5/12,0)</f>
        <v>11</v>
      </c>
      <c r="AFF4" s="18">
        <f t="shared" ref="AFF4" si="683">ROUNDUP(AFF5/12,0)</f>
        <v>11</v>
      </c>
      <c r="AFG4" s="18">
        <f t="shared" ref="AFG4" si="684">ROUNDUP(AFG5/12,0)</f>
        <v>11</v>
      </c>
      <c r="AFH4" s="62"/>
      <c r="AFJ4" s="18">
        <f>ROUNDUP(AFJ5/12,0)</f>
        <v>1</v>
      </c>
      <c r="AFK4" s="18">
        <f t="shared" ref="AFK4" si="685">ROUNDUP(AFK5/12,0)</f>
        <v>1</v>
      </c>
      <c r="AFL4" s="18">
        <f t="shared" ref="AFL4" si="686">ROUNDUP(AFL5/12,0)</f>
        <v>1</v>
      </c>
      <c r="AFM4" s="18">
        <f t="shared" ref="AFM4" si="687">ROUNDUP(AFM5/12,0)</f>
        <v>1</v>
      </c>
      <c r="AFN4" s="18">
        <f t="shared" ref="AFN4" si="688">ROUNDUP(AFN5/12,0)</f>
        <v>1</v>
      </c>
      <c r="AFO4" s="18">
        <f t="shared" ref="AFO4" si="689">ROUNDUP(AFO5/12,0)</f>
        <v>1</v>
      </c>
      <c r="AFP4" s="18">
        <f t="shared" ref="AFP4" si="690">ROUNDUP(AFP5/12,0)</f>
        <v>1</v>
      </c>
      <c r="AFQ4" s="18">
        <f t="shared" ref="AFQ4" si="691">ROUNDUP(AFQ5/12,0)</f>
        <v>1</v>
      </c>
      <c r="AFR4" s="18">
        <f t="shared" ref="AFR4" si="692">ROUNDUP(AFR5/12,0)</f>
        <v>1</v>
      </c>
      <c r="AFS4" s="18">
        <f t="shared" ref="AFS4" si="693">ROUNDUP(AFS5/12,0)</f>
        <v>1</v>
      </c>
      <c r="AFT4" s="18">
        <f t="shared" ref="AFT4" si="694">ROUNDUP(AFT5/12,0)</f>
        <v>1</v>
      </c>
      <c r="AFU4" s="18">
        <f t="shared" ref="AFU4" si="695">ROUNDUP(AFU5/12,0)</f>
        <v>1</v>
      </c>
      <c r="AFV4" s="18">
        <f t="shared" ref="AFV4" si="696">ROUNDUP(AFV5/12,0)</f>
        <v>2</v>
      </c>
      <c r="AFW4" s="18">
        <f t="shared" ref="AFW4" si="697">ROUNDUP(AFW5/12,0)</f>
        <v>2</v>
      </c>
      <c r="AFX4" s="18">
        <f t="shared" ref="AFX4" si="698">ROUNDUP(AFX5/12,0)</f>
        <v>2</v>
      </c>
      <c r="AFY4" s="18">
        <f t="shared" ref="AFY4" si="699">ROUNDUP(AFY5/12,0)</f>
        <v>2</v>
      </c>
      <c r="AFZ4" s="18">
        <f t="shared" ref="AFZ4" si="700">ROUNDUP(AFZ5/12,0)</f>
        <v>2</v>
      </c>
      <c r="AGA4" s="18">
        <f t="shared" ref="AGA4" si="701">ROUNDUP(AGA5/12,0)</f>
        <v>2</v>
      </c>
      <c r="AGB4" s="18">
        <f t="shared" ref="AGB4" si="702">ROUNDUP(AGB5/12,0)</f>
        <v>2</v>
      </c>
      <c r="AGC4" s="18">
        <f t="shared" ref="AGC4" si="703">ROUNDUP(AGC5/12,0)</f>
        <v>2</v>
      </c>
      <c r="AGD4" s="18">
        <f t="shared" ref="AGD4" si="704">ROUNDUP(AGD5/12,0)</f>
        <v>2</v>
      </c>
      <c r="AGE4" s="18">
        <f t="shared" ref="AGE4" si="705">ROUNDUP(AGE5/12,0)</f>
        <v>2</v>
      </c>
      <c r="AGF4" s="18">
        <f t="shared" ref="AGF4" si="706">ROUNDUP(AGF5/12,0)</f>
        <v>2</v>
      </c>
      <c r="AGG4" s="18">
        <f t="shared" ref="AGG4" si="707">ROUNDUP(AGG5/12,0)</f>
        <v>2</v>
      </c>
      <c r="AGH4" s="18">
        <f t="shared" ref="AGH4" si="708">ROUNDUP(AGH5/12,0)</f>
        <v>3</v>
      </c>
      <c r="AGI4" s="18">
        <f t="shared" ref="AGI4" si="709">ROUNDUP(AGI5/12,0)</f>
        <v>3</v>
      </c>
      <c r="AGJ4" s="18">
        <f t="shared" ref="AGJ4" si="710">ROUNDUP(AGJ5/12,0)</f>
        <v>3</v>
      </c>
      <c r="AGK4" s="18">
        <f t="shared" ref="AGK4" si="711">ROUNDUP(AGK5/12,0)</f>
        <v>3</v>
      </c>
      <c r="AGL4" s="18">
        <f t="shared" ref="AGL4" si="712">ROUNDUP(AGL5/12,0)</f>
        <v>3</v>
      </c>
      <c r="AGM4" s="18">
        <f t="shared" ref="AGM4" si="713">ROUNDUP(AGM5/12,0)</f>
        <v>3</v>
      </c>
      <c r="AGN4" s="18">
        <f t="shared" ref="AGN4" si="714">ROUNDUP(AGN5/12,0)</f>
        <v>3</v>
      </c>
      <c r="AGO4" s="18">
        <f t="shared" ref="AGO4" si="715">ROUNDUP(AGO5/12,0)</f>
        <v>3</v>
      </c>
      <c r="AGP4" s="18">
        <f t="shared" ref="AGP4" si="716">ROUNDUP(AGP5/12,0)</f>
        <v>3</v>
      </c>
      <c r="AGQ4" s="18">
        <f t="shared" ref="AGQ4" si="717">ROUNDUP(AGQ5/12,0)</f>
        <v>3</v>
      </c>
      <c r="AGR4" s="18">
        <f t="shared" ref="AGR4" si="718">ROUNDUP(AGR5/12,0)</f>
        <v>3</v>
      </c>
      <c r="AGS4" s="18">
        <f t="shared" ref="AGS4" si="719">ROUNDUP(AGS5/12,0)</f>
        <v>3</v>
      </c>
      <c r="AGT4" s="18">
        <f t="shared" ref="AGT4" si="720">ROUNDUP(AGT5/12,0)</f>
        <v>4</v>
      </c>
      <c r="AGU4" s="18">
        <f t="shared" ref="AGU4" si="721">ROUNDUP(AGU5/12,0)</f>
        <v>4</v>
      </c>
      <c r="AGV4" s="18">
        <f t="shared" ref="AGV4" si="722">ROUNDUP(AGV5/12,0)</f>
        <v>4</v>
      </c>
      <c r="AGW4" s="18">
        <f t="shared" ref="AGW4" si="723">ROUNDUP(AGW5/12,0)</f>
        <v>4</v>
      </c>
      <c r="AGX4" s="18">
        <f t="shared" ref="AGX4" si="724">ROUNDUP(AGX5/12,0)</f>
        <v>4</v>
      </c>
      <c r="AGY4" s="18">
        <f t="shared" ref="AGY4" si="725">ROUNDUP(AGY5/12,0)</f>
        <v>4</v>
      </c>
      <c r="AGZ4" s="18">
        <f t="shared" ref="AGZ4" si="726">ROUNDUP(AGZ5/12,0)</f>
        <v>4</v>
      </c>
      <c r="AHA4" s="18">
        <f t="shared" ref="AHA4" si="727">ROUNDUP(AHA5/12,0)</f>
        <v>4</v>
      </c>
      <c r="AHB4" s="18">
        <f t="shared" ref="AHB4" si="728">ROUNDUP(AHB5/12,0)</f>
        <v>4</v>
      </c>
      <c r="AHC4" s="18">
        <f t="shared" ref="AHC4" si="729">ROUNDUP(AHC5/12,0)</f>
        <v>4</v>
      </c>
      <c r="AHD4" s="18">
        <f t="shared" ref="AHD4" si="730">ROUNDUP(AHD5/12,0)</f>
        <v>4</v>
      </c>
      <c r="AHE4" s="18">
        <f t="shared" ref="AHE4" si="731">ROUNDUP(AHE5/12,0)</f>
        <v>4</v>
      </c>
      <c r="AHF4" s="18">
        <f t="shared" ref="AHF4" si="732">ROUNDUP(AHF5/12,0)</f>
        <v>5</v>
      </c>
      <c r="AHG4" s="18">
        <f t="shared" ref="AHG4" si="733">ROUNDUP(AHG5/12,0)</f>
        <v>5</v>
      </c>
      <c r="AHH4" s="18">
        <f t="shared" ref="AHH4" si="734">ROUNDUP(AHH5/12,0)</f>
        <v>5</v>
      </c>
      <c r="AHI4" s="18">
        <f t="shared" ref="AHI4" si="735">ROUNDUP(AHI5/12,0)</f>
        <v>5</v>
      </c>
      <c r="AHJ4" s="18">
        <f t="shared" ref="AHJ4" si="736">ROUNDUP(AHJ5/12,0)</f>
        <v>5</v>
      </c>
      <c r="AHK4" s="18">
        <f t="shared" ref="AHK4" si="737">ROUNDUP(AHK5/12,0)</f>
        <v>5</v>
      </c>
      <c r="AHL4" s="18">
        <f t="shared" ref="AHL4" si="738">ROUNDUP(AHL5/12,0)</f>
        <v>5</v>
      </c>
      <c r="AHM4" s="18">
        <f t="shared" ref="AHM4" si="739">ROUNDUP(AHM5/12,0)</f>
        <v>5</v>
      </c>
      <c r="AHN4" s="18">
        <f t="shared" ref="AHN4" si="740">ROUNDUP(AHN5/12,0)</f>
        <v>5</v>
      </c>
      <c r="AHO4" s="18">
        <f t="shared" ref="AHO4" si="741">ROUNDUP(AHO5/12,0)</f>
        <v>5</v>
      </c>
      <c r="AHP4" s="18">
        <f t="shared" ref="AHP4" si="742">ROUNDUP(AHP5/12,0)</f>
        <v>5</v>
      </c>
      <c r="AHQ4" s="18">
        <f t="shared" ref="AHQ4" si="743">ROUNDUP(AHQ5/12,0)</f>
        <v>5</v>
      </c>
      <c r="AHR4" s="18">
        <f t="shared" ref="AHR4" si="744">ROUNDUP(AHR5/12,0)</f>
        <v>6</v>
      </c>
      <c r="AHS4" s="18">
        <f t="shared" ref="AHS4" si="745">ROUNDUP(AHS5/12,0)</f>
        <v>6</v>
      </c>
      <c r="AHT4" s="18">
        <f t="shared" ref="AHT4" si="746">ROUNDUP(AHT5/12,0)</f>
        <v>6</v>
      </c>
      <c r="AHU4" s="18">
        <f t="shared" ref="AHU4" si="747">ROUNDUP(AHU5/12,0)</f>
        <v>6</v>
      </c>
      <c r="AHV4" s="18">
        <f t="shared" ref="AHV4" si="748">ROUNDUP(AHV5/12,0)</f>
        <v>6</v>
      </c>
      <c r="AHW4" s="18">
        <f t="shared" ref="AHW4" si="749">ROUNDUP(AHW5/12,0)</f>
        <v>6</v>
      </c>
      <c r="AHX4" s="18">
        <f t="shared" ref="AHX4" si="750">ROUNDUP(AHX5/12,0)</f>
        <v>6</v>
      </c>
      <c r="AHY4" s="18">
        <f t="shared" ref="AHY4" si="751">ROUNDUP(AHY5/12,0)</f>
        <v>6</v>
      </c>
      <c r="AHZ4" s="18">
        <f t="shared" ref="AHZ4" si="752">ROUNDUP(AHZ5/12,0)</f>
        <v>6</v>
      </c>
      <c r="AIA4" s="18">
        <f t="shared" ref="AIA4" si="753">ROUNDUP(AIA5/12,0)</f>
        <v>6</v>
      </c>
      <c r="AIB4" s="18">
        <f t="shared" ref="AIB4" si="754">ROUNDUP(AIB5/12,0)</f>
        <v>6</v>
      </c>
      <c r="AIC4" s="18">
        <f t="shared" ref="AIC4" si="755">ROUNDUP(AIC5/12,0)</f>
        <v>6</v>
      </c>
      <c r="AID4" s="18">
        <f t="shared" ref="AID4" si="756">ROUNDUP(AID5/12,0)</f>
        <v>7</v>
      </c>
      <c r="AIE4" s="18">
        <f t="shared" ref="AIE4" si="757">ROUNDUP(AIE5/12,0)</f>
        <v>7</v>
      </c>
      <c r="AIF4" s="18">
        <f t="shared" ref="AIF4" si="758">ROUNDUP(AIF5/12,0)</f>
        <v>7</v>
      </c>
      <c r="AIG4" s="18">
        <f t="shared" ref="AIG4" si="759">ROUNDUP(AIG5/12,0)</f>
        <v>7</v>
      </c>
      <c r="AIH4" s="18">
        <f t="shared" ref="AIH4" si="760">ROUNDUP(AIH5/12,0)</f>
        <v>7</v>
      </c>
      <c r="AII4" s="18">
        <f t="shared" ref="AII4" si="761">ROUNDUP(AII5/12,0)</f>
        <v>7</v>
      </c>
      <c r="AIJ4" s="18">
        <f t="shared" ref="AIJ4" si="762">ROUNDUP(AIJ5/12,0)</f>
        <v>7</v>
      </c>
      <c r="AIK4" s="18">
        <f t="shared" ref="AIK4" si="763">ROUNDUP(AIK5/12,0)</f>
        <v>7</v>
      </c>
      <c r="AIL4" s="18">
        <f t="shared" ref="AIL4" si="764">ROUNDUP(AIL5/12,0)</f>
        <v>7</v>
      </c>
      <c r="AIM4" s="18">
        <f t="shared" ref="AIM4" si="765">ROUNDUP(AIM5/12,0)</f>
        <v>7</v>
      </c>
      <c r="AIN4" s="18">
        <f t="shared" ref="AIN4" si="766">ROUNDUP(AIN5/12,0)</f>
        <v>7</v>
      </c>
      <c r="AIO4" s="18">
        <f t="shared" ref="AIO4" si="767">ROUNDUP(AIO5/12,0)</f>
        <v>7</v>
      </c>
      <c r="AIP4" s="18">
        <f t="shared" ref="AIP4" si="768">ROUNDUP(AIP5/12,0)</f>
        <v>8</v>
      </c>
      <c r="AIQ4" s="18">
        <f t="shared" ref="AIQ4" si="769">ROUNDUP(AIQ5/12,0)</f>
        <v>8</v>
      </c>
      <c r="AIR4" s="18">
        <f t="shared" ref="AIR4" si="770">ROUNDUP(AIR5/12,0)</f>
        <v>8</v>
      </c>
      <c r="AIS4" s="18">
        <f t="shared" ref="AIS4" si="771">ROUNDUP(AIS5/12,0)</f>
        <v>8</v>
      </c>
      <c r="AIT4" s="18">
        <f t="shared" ref="AIT4" si="772">ROUNDUP(AIT5/12,0)</f>
        <v>8</v>
      </c>
      <c r="AIU4" s="18">
        <f t="shared" ref="AIU4" si="773">ROUNDUP(AIU5/12,0)</f>
        <v>8</v>
      </c>
      <c r="AIV4" s="18">
        <f t="shared" ref="AIV4" si="774">ROUNDUP(AIV5/12,0)</f>
        <v>8</v>
      </c>
      <c r="AIW4" s="18">
        <f t="shared" ref="AIW4" si="775">ROUNDUP(AIW5/12,0)</f>
        <v>8</v>
      </c>
      <c r="AIX4" s="18">
        <f t="shared" ref="AIX4" si="776">ROUNDUP(AIX5/12,0)</f>
        <v>8</v>
      </c>
      <c r="AIY4" s="18">
        <f t="shared" ref="AIY4" si="777">ROUNDUP(AIY5/12,0)</f>
        <v>8</v>
      </c>
      <c r="AIZ4" s="18">
        <f t="shared" ref="AIZ4" si="778">ROUNDUP(AIZ5/12,0)</f>
        <v>8</v>
      </c>
      <c r="AJA4" s="18">
        <f t="shared" ref="AJA4" si="779">ROUNDUP(AJA5/12,0)</f>
        <v>8</v>
      </c>
      <c r="AJB4" s="18">
        <f t="shared" ref="AJB4" si="780">ROUNDUP(AJB5/12,0)</f>
        <v>9</v>
      </c>
      <c r="AJC4" s="18">
        <f t="shared" ref="AJC4" si="781">ROUNDUP(AJC5/12,0)</f>
        <v>9</v>
      </c>
      <c r="AJD4" s="18">
        <f t="shared" ref="AJD4" si="782">ROUNDUP(AJD5/12,0)</f>
        <v>9</v>
      </c>
      <c r="AJE4" s="18">
        <f t="shared" ref="AJE4" si="783">ROUNDUP(AJE5/12,0)</f>
        <v>9</v>
      </c>
      <c r="AJF4" s="18">
        <f t="shared" ref="AJF4" si="784">ROUNDUP(AJF5/12,0)</f>
        <v>9</v>
      </c>
      <c r="AJG4" s="18">
        <f t="shared" ref="AJG4" si="785">ROUNDUP(AJG5/12,0)</f>
        <v>9</v>
      </c>
      <c r="AJH4" s="18">
        <f t="shared" ref="AJH4" si="786">ROUNDUP(AJH5/12,0)</f>
        <v>9</v>
      </c>
      <c r="AJI4" s="18">
        <f t="shared" ref="AJI4" si="787">ROUNDUP(AJI5/12,0)</f>
        <v>9</v>
      </c>
      <c r="AJJ4" s="18">
        <f t="shared" ref="AJJ4" si="788">ROUNDUP(AJJ5/12,0)</f>
        <v>9</v>
      </c>
      <c r="AJK4" s="18">
        <f t="shared" ref="AJK4" si="789">ROUNDUP(AJK5/12,0)</f>
        <v>9</v>
      </c>
      <c r="AJL4" s="18">
        <f t="shared" ref="AJL4" si="790">ROUNDUP(AJL5/12,0)</f>
        <v>9</v>
      </c>
      <c r="AJM4" s="18">
        <f t="shared" ref="AJM4" si="791">ROUNDUP(AJM5/12,0)</f>
        <v>9</v>
      </c>
      <c r="AJN4" s="18">
        <f t="shared" ref="AJN4" si="792">ROUNDUP(AJN5/12,0)</f>
        <v>10</v>
      </c>
      <c r="AJO4" s="18">
        <f t="shared" ref="AJO4" si="793">ROUNDUP(AJO5/12,0)</f>
        <v>10</v>
      </c>
      <c r="AJP4" s="18">
        <f t="shared" ref="AJP4" si="794">ROUNDUP(AJP5/12,0)</f>
        <v>10</v>
      </c>
      <c r="AJQ4" s="18">
        <f t="shared" ref="AJQ4" si="795">ROUNDUP(AJQ5/12,0)</f>
        <v>10</v>
      </c>
      <c r="AJR4" s="18">
        <f t="shared" ref="AJR4" si="796">ROUNDUP(AJR5/12,0)</f>
        <v>10</v>
      </c>
      <c r="AJS4" s="18">
        <f t="shared" ref="AJS4" si="797">ROUNDUP(AJS5/12,0)</f>
        <v>10</v>
      </c>
      <c r="AJT4" s="18">
        <f t="shared" ref="AJT4" si="798">ROUNDUP(AJT5/12,0)</f>
        <v>10</v>
      </c>
      <c r="AJU4" s="18">
        <f t="shared" ref="AJU4" si="799">ROUNDUP(AJU5/12,0)</f>
        <v>10</v>
      </c>
      <c r="AJV4" s="18">
        <f t="shared" ref="AJV4" si="800">ROUNDUP(AJV5/12,0)</f>
        <v>10</v>
      </c>
      <c r="AJW4" s="18">
        <f t="shared" ref="AJW4" si="801">ROUNDUP(AJW5/12,0)</f>
        <v>10</v>
      </c>
      <c r="AJX4" s="18">
        <f t="shared" ref="AJX4" si="802">ROUNDUP(AJX5/12,0)</f>
        <v>10</v>
      </c>
      <c r="AJY4" s="18">
        <f t="shared" ref="AJY4" si="803">ROUNDUP(AJY5/12,0)</f>
        <v>10</v>
      </c>
      <c r="AJZ4" s="18">
        <f t="shared" ref="AJZ4" si="804">ROUNDUP(AJZ5/12,0)</f>
        <v>11</v>
      </c>
      <c r="AKA4" s="18">
        <f t="shared" ref="AKA4" si="805">ROUNDUP(AKA5/12,0)</f>
        <v>11</v>
      </c>
      <c r="AKB4" s="18">
        <f t="shared" ref="AKB4" si="806">ROUNDUP(AKB5/12,0)</f>
        <v>11</v>
      </c>
      <c r="AKC4" s="18">
        <f t="shared" ref="AKC4" si="807">ROUNDUP(AKC5/12,0)</f>
        <v>11</v>
      </c>
      <c r="AKD4" s="18">
        <f t="shared" ref="AKD4" si="808">ROUNDUP(AKD5/12,0)</f>
        <v>11</v>
      </c>
      <c r="AKE4" s="18">
        <f t="shared" ref="AKE4" si="809">ROUNDUP(AKE5/12,0)</f>
        <v>11</v>
      </c>
      <c r="AKF4" s="18">
        <f t="shared" ref="AKF4" si="810">ROUNDUP(AKF5/12,0)</f>
        <v>11</v>
      </c>
      <c r="AKG4" s="18">
        <f t="shared" ref="AKG4" si="811">ROUNDUP(AKG5/12,0)</f>
        <v>11</v>
      </c>
      <c r="AKH4" s="18">
        <f t="shared" ref="AKH4" si="812">ROUNDUP(AKH5/12,0)</f>
        <v>11</v>
      </c>
      <c r="AKI4" s="18">
        <f t="shared" ref="AKI4" si="813">ROUNDUP(AKI5/12,0)</f>
        <v>11</v>
      </c>
      <c r="AKJ4" s="18">
        <f t="shared" ref="AKJ4" si="814">ROUNDUP(AKJ5/12,0)</f>
        <v>11</v>
      </c>
      <c r="AKK4" s="18">
        <f t="shared" ref="AKK4" si="815">ROUNDUP(AKK5/12,0)</f>
        <v>11</v>
      </c>
      <c r="AKL4" s="62" t="s">
        <v>70</v>
      </c>
      <c r="AKN4" s="18">
        <f>ROUNDUP(AKN5/12,0)</f>
        <v>1</v>
      </c>
      <c r="AKO4" s="18">
        <f t="shared" ref="AKO4" si="816">ROUNDUP(AKO5/12,0)</f>
        <v>1</v>
      </c>
      <c r="AKP4" s="18">
        <f t="shared" ref="AKP4" si="817">ROUNDUP(AKP5/12,0)</f>
        <v>1</v>
      </c>
      <c r="AKQ4" s="18">
        <f t="shared" ref="AKQ4" si="818">ROUNDUP(AKQ5/12,0)</f>
        <v>1</v>
      </c>
      <c r="AKR4" s="18">
        <f t="shared" ref="AKR4" si="819">ROUNDUP(AKR5/12,0)</f>
        <v>1</v>
      </c>
      <c r="AKS4" s="18">
        <f t="shared" ref="AKS4" si="820">ROUNDUP(AKS5/12,0)</f>
        <v>1</v>
      </c>
      <c r="AKT4" s="18">
        <f t="shared" ref="AKT4" si="821">ROUNDUP(AKT5/12,0)</f>
        <v>1</v>
      </c>
      <c r="AKU4" s="18">
        <f t="shared" ref="AKU4" si="822">ROUNDUP(AKU5/12,0)</f>
        <v>1</v>
      </c>
      <c r="AKV4" s="18">
        <f t="shared" ref="AKV4" si="823">ROUNDUP(AKV5/12,0)</f>
        <v>1</v>
      </c>
      <c r="AKW4" s="18">
        <f t="shared" ref="AKW4" si="824">ROUNDUP(AKW5/12,0)</f>
        <v>1</v>
      </c>
      <c r="AKX4" s="18">
        <f t="shared" ref="AKX4" si="825">ROUNDUP(AKX5/12,0)</f>
        <v>1</v>
      </c>
      <c r="AKY4" s="18">
        <f t="shared" ref="AKY4" si="826">ROUNDUP(AKY5/12,0)</f>
        <v>1</v>
      </c>
      <c r="AKZ4" s="18">
        <f t="shared" ref="AKZ4" si="827">ROUNDUP(AKZ5/12,0)</f>
        <v>2</v>
      </c>
      <c r="ALA4" s="18">
        <f t="shared" ref="ALA4" si="828">ROUNDUP(ALA5/12,0)</f>
        <v>2</v>
      </c>
      <c r="ALB4" s="18">
        <f t="shared" ref="ALB4" si="829">ROUNDUP(ALB5/12,0)</f>
        <v>2</v>
      </c>
      <c r="ALC4" s="18">
        <f t="shared" ref="ALC4" si="830">ROUNDUP(ALC5/12,0)</f>
        <v>2</v>
      </c>
      <c r="ALD4" s="18">
        <f t="shared" ref="ALD4" si="831">ROUNDUP(ALD5/12,0)</f>
        <v>2</v>
      </c>
      <c r="ALE4" s="18">
        <f t="shared" ref="ALE4" si="832">ROUNDUP(ALE5/12,0)</f>
        <v>2</v>
      </c>
      <c r="ALF4" s="18">
        <f t="shared" ref="ALF4" si="833">ROUNDUP(ALF5/12,0)</f>
        <v>2</v>
      </c>
      <c r="ALG4" s="18">
        <f t="shared" ref="ALG4" si="834">ROUNDUP(ALG5/12,0)</f>
        <v>2</v>
      </c>
      <c r="ALH4" s="18">
        <f t="shared" ref="ALH4" si="835">ROUNDUP(ALH5/12,0)</f>
        <v>2</v>
      </c>
      <c r="ALI4" s="18">
        <f t="shared" ref="ALI4" si="836">ROUNDUP(ALI5/12,0)</f>
        <v>2</v>
      </c>
      <c r="ALJ4" s="18">
        <f t="shared" ref="ALJ4" si="837">ROUNDUP(ALJ5/12,0)</f>
        <v>2</v>
      </c>
      <c r="ALK4" s="18">
        <f t="shared" ref="ALK4" si="838">ROUNDUP(ALK5/12,0)</f>
        <v>2</v>
      </c>
      <c r="ALL4" s="18">
        <f t="shared" ref="ALL4" si="839">ROUNDUP(ALL5/12,0)</f>
        <v>3</v>
      </c>
      <c r="ALM4" s="18">
        <f t="shared" ref="ALM4" si="840">ROUNDUP(ALM5/12,0)</f>
        <v>3</v>
      </c>
      <c r="ALN4" s="18">
        <f t="shared" ref="ALN4" si="841">ROUNDUP(ALN5/12,0)</f>
        <v>3</v>
      </c>
      <c r="ALO4" s="18">
        <f t="shared" ref="ALO4" si="842">ROUNDUP(ALO5/12,0)</f>
        <v>3</v>
      </c>
      <c r="ALP4" s="18">
        <f t="shared" ref="ALP4" si="843">ROUNDUP(ALP5/12,0)</f>
        <v>3</v>
      </c>
      <c r="ALQ4" s="18">
        <f t="shared" ref="ALQ4" si="844">ROUNDUP(ALQ5/12,0)</f>
        <v>3</v>
      </c>
      <c r="ALR4" s="18">
        <f t="shared" ref="ALR4" si="845">ROUNDUP(ALR5/12,0)</f>
        <v>3</v>
      </c>
      <c r="ALS4" s="18">
        <f t="shared" ref="ALS4" si="846">ROUNDUP(ALS5/12,0)</f>
        <v>3</v>
      </c>
      <c r="ALT4" s="18">
        <f t="shared" ref="ALT4" si="847">ROUNDUP(ALT5/12,0)</f>
        <v>3</v>
      </c>
      <c r="ALU4" s="18">
        <f t="shared" ref="ALU4" si="848">ROUNDUP(ALU5/12,0)</f>
        <v>3</v>
      </c>
      <c r="ALV4" s="18">
        <f t="shared" ref="ALV4" si="849">ROUNDUP(ALV5/12,0)</f>
        <v>3</v>
      </c>
      <c r="ALW4" s="18">
        <f t="shared" ref="ALW4" si="850">ROUNDUP(ALW5/12,0)</f>
        <v>3</v>
      </c>
      <c r="ALX4" s="18">
        <f t="shared" ref="ALX4" si="851">ROUNDUP(ALX5/12,0)</f>
        <v>4</v>
      </c>
      <c r="ALY4" s="18">
        <f t="shared" ref="ALY4" si="852">ROUNDUP(ALY5/12,0)</f>
        <v>4</v>
      </c>
      <c r="ALZ4" s="18">
        <f t="shared" ref="ALZ4" si="853">ROUNDUP(ALZ5/12,0)</f>
        <v>4</v>
      </c>
      <c r="AMA4" s="18">
        <f t="shared" ref="AMA4" si="854">ROUNDUP(AMA5/12,0)</f>
        <v>4</v>
      </c>
      <c r="AMB4" s="18">
        <f t="shared" ref="AMB4" si="855">ROUNDUP(AMB5/12,0)</f>
        <v>4</v>
      </c>
      <c r="AMC4" s="18">
        <f t="shared" ref="AMC4" si="856">ROUNDUP(AMC5/12,0)</f>
        <v>4</v>
      </c>
      <c r="AMD4" s="18">
        <f t="shared" ref="AMD4" si="857">ROUNDUP(AMD5/12,0)</f>
        <v>4</v>
      </c>
      <c r="AME4" s="18">
        <f t="shared" ref="AME4" si="858">ROUNDUP(AME5/12,0)</f>
        <v>4</v>
      </c>
      <c r="AMF4" s="18">
        <f t="shared" ref="AMF4" si="859">ROUNDUP(AMF5/12,0)</f>
        <v>4</v>
      </c>
      <c r="AMG4" s="18">
        <f t="shared" ref="AMG4" si="860">ROUNDUP(AMG5/12,0)</f>
        <v>4</v>
      </c>
      <c r="AMH4" s="18">
        <f t="shared" ref="AMH4" si="861">ROUNDUP(AMH5/12,0)</f>
        <v>4</v>
      </c>
      <c r="AMI4" s="18">
        <f t="shared" ref="AMI4" si="862">ROUNDUP(AMI5/12,0)</f>
        <v>4</v>
      </c>
      <c r="AMJ4" s="18">
        <f t="shared" ref="AMJ4" si="863">ROUNDUP(AMJ5/12,0)</f>
        <v>5</v>
      </c>
      <c r="AMK4" s="18">
        <f t="shared" ref="AMK4" si="864">ROUNDUP(AMK5/12,0)</f>
        <v>5</v>
      </c>
      <c r="AML4" s="18">
        <f t="shared" ref="AML4" si="865">ROUNDUP(AML5/12,0)</f>
        <v>5</v>
      </c>
      <c r="AMM4" s="18">
        <f t="shared" ref="AMM4" si="866">ROUNDUP(AMM5/12,0)</f>
        <v>5</v>
      </c>
      <c r="AMN4" s="18">
        <f t="shared" ref="AMN4" si="867">ROUNDUP(AMN5/12,0)</f>
        <v>5</v>
      </c>
      <c r="AMO4" s="18">
        <f t="shared" ref="AMO4" si="868">ROUNDUP(AMO5/12,0)</f>
        <v>5</v>
      </c>
      <c r="AMP4" s="18">
        <f t="shared" ref="AMP4" si="869">ROUNDUP(AMP5/12,0)</f>
        <v>5</v>
      </c>
      <c r="AMQ4" s="18">
        <f t="shared" ref="AMQ4" si="870">ROUNDUP(AMQ5/12,0)</f>
        <v>5</v>
      </c>
      <c r="AMR4" s="18">
        <f t="shared" ref="AMR4" si="871">ROUNDUP(AMR5/12,0)</f>
        <v>5</v>
      </c>
      <c r="AMS4" s="18">
        <f t="shared" ref="AMS4" si="872">ROUNDUP(AMS5/12,0)</f>
        <v>5</v>
      </c>
      <c r="AMT4" s="18">
        <f t="shared" ref="AMT4" si="873">ROUNDUP(AMT5/12,0)</f>
        <v>5</v>
      </c>
      <c r="AMU4" s="18">
        <f t="shared" ref="AMU4" si="874">ROUNDUP(AMU5/12,0)</f>
        <v>5</v>
      </c>
      <c r="AMV4" s="18">
        <f t="shared" ref="AMV4" si="875">ROUNDUP(AMV5/12,0)</f>
        <v>6</v>
      </c>
      <c r="AMW4" s="18">
        <f t="shared" ref="AMW4" si="876">ROUNDUP(AMW5/12,0)</f>
        <v>6</v>
      </c>
      <c r="AMX4" s="18">
        <f t="shared" ref="AMX4" si="877">ROUNDUP(AMX5/12,0)</f>
        <v>6</v>
      </c>
      <c r="AMY4" s="18">
        <f t="shared" ref="AMY4" si="878">ROUNDUP(AMY5/12,0)</f>
        <v>6</v>
      </c>
      <c r="AMZ4" s="18">
        <f t="shared" ref="AMZ4" si="879">ROUNDUP(AMZ5/12,0)</f>
        <v>6</v>
      </c>
      <c r="ANA4" s="18">
        <f t="shared" ref="ANA4" si="880">ROUNDUP(ANA5/12,0)</f>
        <v>6</v>
      </c>
      <c r="ANB4" s="18">
        <f t="shared" ref="ANB4" si="881">ROUNDUP(ANB5/12,0)</f>
        <v>6</v>
      </c>
      <c r="ANC4" s="18">
        <f t="shared" ref="ANC4" si="882">ROUNDUP(ANC5/12,0)</f>
        <v>6</v>
      </c>
      <c r="AND4" s="18">
        <f t="shared" ref="AND4" si="883">ROUNDUP(AND5/12,0)</f>
        <v>6</v>
      </c>
      <c r="ANE4" s="18">
        <f t="shared" ref="ANE4" si="884">ROUNDUP(ANE5/12,0)</f>
        <v>6</v>
      </c>
      <c r="ANF4" s="18">
        <f t="shared" ref="ANF4" si="885">ROUNDUP(ANF5/12,0)</f>
        <v>6</v>
      </c>
      <c r="ANG4" s="18">
        <f t="shared" ref="ANG4" si="886">ROUNDUP(ANG5/12,0)</f>
        <v>6</v>
      </c>
      <c r="ANH4" s="18">
        <f t="shared" ref="ANH4" si="887">ROUNDUP(ANH5/12,0)</f>
        <v>7</v>
      </c>
      <c r="ANI4" s="18">
        <f t="shared" ref="ANI4" si="888">ROUNDUP(ANI5/12,0)</f>
        <v>7</v>
      </c>
      <c r="ANJ4" s="18">
        <f t="shared" ref="ANJ4" si="889">ROUNDUP(ANJ5/12,0)</f>
        <v>7</v>
      </c>
      <c r="ANK4" s="18">
        <f t="shared" ref="ANK4" si="890">ROUNDUP(ANK5/12,0)</f>
        <v>7</v>
      </c>
      <c r="ANL4" s="18">
        <f t="shared" ref="ANL4" si="891">ROUNDUP(ANL5/12,0)</f>
        <v>7</v>
      </c>
      <c r="ANM4" s="18">
        <f t="shared" ref="ANM4" si="892">ROUNDUP(ANM5/12,0)</f>
        <v>7</v>
      </c>
      <c r="ANN4" s="18">
        <f t="shared" ref="ANN4" si="893">ROUNDUP(ANN5/12,0)</f>
        <v>7</v>
      </c>
      <c r="ANO4" s="18">
        <f t="shared" ref="ANO4" si="894">ROUNDUP(ANO5/12,0)</f>
        <v>7</v>
      </c>
      <c r="ANP4" s="18">
        <f t="shared" ref="ANP4" si="895">ROUNDUP(ANP5/12,0)</f>
        <v>7</v>
      </c>
      <c r="ANQ4" s="18">
        <f t="shared" ref="ANQ4" si="896">ROUNDUP(ANQ5/12,0)</f>
        <v>7</v>
      </c>
      <c r="ANR4" s="18">
        <f t="shared" ref="ANR4" si="897">ROUNDUP(ANR5/12,0)</f>
        <v>7</v>
      </c>
      <c r="ANS4" s="18">
        <f t="shared" ref="ANS4" si="898">ROUNDUP(ANS5/12,0)</f>
        <v>7</v>
      </c>
      <c r="ANT4" s="18">
        <f t="shared" ref="ANT4" si="899">ROUNDUP(ANT5/12,0)</f>
        <v>8</v>
      </c>
      <c r="ANU4" s="18">
        <f t="shared" ref="ANU4" si="900">ROUNDUP(ANU5/12,0)</f>
        <v>8</v>
      </c>
      <c r="ANV4" s="18">
        <f t="shared" ref="ANV4" si="901">ROUNDUP(ANV5/12,0)</f>
        <v>8</v>
      </c>
      <c r="ANW4" s="18">
        <f t="shared" ref="ANW4" si="902">ROUNDUP(ANW5/12,0)</f>
        <v>8</v>
      </c>
      <c r="ANX4" s="18">
        <f t="shared" ref="ANX4" si="903">ROUNDUP(ANX5/12,0)</f>
        <v>8</v>
      </c>
      <c r="ANY4" s="18">
        <f t="shared" ref="ANY4" si="904">ROUNDUP(ANY5/12,0)</f>
        <v>8</v>
      </c>
      <c r="ANZ4" s="18">
        <f t="shared" ref="ANZ4" si="905">ROUNDUP(ANZ5/12,0)</f>
        <v>8</v>
      </c>
      <c r="AOA4" s="18">
        <f t="shared" ref="AOA4" si="906">ROUNDUP(AOA5/12,0)</f>
        <v>8</v>
      </c>
      <c r="AOB4" s="18">
        <f t="shared" ref="AOB4" si="907">ROUNDUP(AOB5/12,0)</f>
        <v>8</v>
      </c>
      <c r="AOC4" s="18">
        <f t="shared" ref="AOC4" si="908">ROUNDUP(AOC5/12,0)</f>
        <v>8</v>
      </c>
      <c r="AOD4" s="18">
        <f t="shared" ref="AOD4" si="909">ROUNDUP(AOD5/12,0)</f>
        <v>8</v>
      </c>
      <c r="AOE4" s="18">
        <f t="shared" ref="AOE4" si="910">ROUNDUP(AOE5/12,0)</f>
        <v>8</v>
      </c>
      <c r="AOF4" s="18">
        <f t="shared" ref="AOF4" si="911">ROUNDUP(AOF5/12,0)</f>
        <v>9</v>
      </c>
      <c r="AOG4" s="18">
        <f t="shared" ref="AOG4" si="912">ROUNDUP(AOG5/12,0)</f>
        <v>9</v>
      </c>
      <c r="AOH4" s="18">
        <f t="shared" ref="AOH4" si="913">ROUNDUP(AOH5/12,0)</f>
        <v>9</v>
      </c>
      <c r="AOI4" s="18">
        <f t="shared" ref="AOI4" si="914">ROUNDUP(AOI5/12,0)</f>
        <v>9</v>
      </c>
      <c r="AOJ4" s="18">
        <f t="shared" ref="AOJ4" si="915">ROUNDUP(AOJ5/12,0)</f>
        <v>9</v>
      </c>
      <c r="AOK4" s="18">
        <f t="shared" ref="AOK4" si="916">ROUNDUP(AOK5/12,0)</f>
        <v>9</v>
      </c>
      <c r="AOL4" s="18">
        <f t="shared" ref="AOL4" si="917">ROUNDUP(AOL5/12,0)</f>
        <v>9</v>
      </c>
      <c r="AOM4" s="18">
        <f t="shared" ref="AOM4" si="918">ROUNDUP(AOM5/12,0)</f>
        <v>9</v>
      </c>
      <c r="AON4" s="18">
        <f t="shared" ref="AON4" si="919">ROUNDUP(AON5/12,0)</f>
        <v>9</v>
      </c>
      <c r="AOO4" s="18">
        <f t="shared" ref="AOO4" si="920">ROUNDUP(AOO5/12,0)</f>
        <v>9</v>
      </c>
      <c r="AOP4" s="18">
        <f t="shared" ref="AOP4" si="921">ROUNDUP(AOP5/12,0)</f>
        <v>9</v>
      </c>
      <c r="AOQ4" s="18">
        <f t="shared" ref="AOQ4" si="922">ROUNDUP(AOQ5/12,0)</f>
        <v>9</v>
      </c>
      <c r="AOR4" s="18">
        <f t="shared" ref="AOR4" si="923">ROUNDUP(AOR5/12,0)</f>
        <v>10</v>
      </c>
      <c r="AOS4" s="18">
        <f t="shared" ref="AOS4" si="924">ROUNDUP(AOS5/12,0)</f>
        <v>10</v>
      </c>
      <c r="AOT4" s="18">
        <f t="shared" ref="AOT4" si="925">ROUNDUP(AOT5/12,0)</f>
        <v>10</v>
      </c>
      <c r="AOU4" s="18">
        <f t="shared" ref="AOU4" si="926">ROUNDUP(AOU5/12,0)</f>
        <v>10</v>
      </c>
      <c r="AOV4" s="18">
        <f t="shared" ref="AOV4" si="927">ROUNDUP(AOV5/12,0)</f>
        <v>10</v>
      </c>
      <c r="AOW4" s="18">
        <f t="shared" ref="AOW4" si="928">ROUNDUP(AOW5/12,0)</f>
        <v>10</v>
      </c>
      <c r="AOX4" s="18">
        <f t="shared" ref="AOX4" si="929">ROUNDUP(AOX5/12,0)</f>
        <v>10</v>
      </c>
      <c r="AOY4" s="18">
        <f t="shared" ref="AOY4" si="930">ROUNDUP(AOY5/12,0)</f>
        <v>10</v>
      </c>
      <c r="AOZ4" s="18">
        <f t="shared" ref="AOZ4" si="931">ROUNDUP(AOZ5/12,0)</f>
        <v>10</v>
      </c>
      <c r="APA4" s="18">
        <f t="shared" ref="APA4" si="932">ROUNDUP(APA5/12,0)</f>
        <v>10</v>
      </c>
      <c r="APB4" s="18">
        <f t="shared" ref="APB4" si="933">ROUNDUP(APB5/12,0)</f>
        <v>10</v>
      </c>
      <c r="APC4" s="18">
        <f t="shared" ref="APC4" si="934">ROUNDUP(APC5/12,0)</f>
        <v>10</v>
      </c>
      <c r="APD4" s="18">
        <f t="shared" ref="APD4" si="935">ROUNDUP(APD5/12,0)</f>
        <v>11</v>
      </c>
      <c r="APE4" s="18">
        <f t="shared" ref="APE4" si="936">ROUNDUP(APE5/12,0)</f>
        <v>11</v>
      </c>
      <c r="APF4" s="18">
        <f t="shared" ref="APF4" si="937">ROUNDUP(APF5/12,0)</f>
        <v>11</v>
      </c>
      <c r="APG4" s="18">
        <f t="shared" ref="APG4" si="938">ROUNDUP(APG5/12,0)</f>
        <v>11</v>
      </c>
      <c r="APH4" s="18">
        <f t="shared" ref="APH4" si="939">ROUNDUP(APH5/12,0)</f>
        <v>11</v>
      </c>
      <c r="API4" s="18">
        <f t="shared" ref="API4" si="940">ROUNDUP(API5/12,0)</f>
        <v>11</v>
      </c>
      <c r="APJ4" s="18">
        <f t="shared" ref="APJ4" si="941">ROUNDUP(APJ5/12,0)</f>
        <v>11</v>
      </c>
      <c r="APK4" s="18">
        <f t="shared" ref="APK4" si="942">ROUNDUP(APK5/12,0)</f>
        <v>11</v>
      </c>
      <c r="APL4" s="18">
        <f t="shared" ref="APL4" si="943">ROUNDUP(APL5/12,0)</f>
        <v>11</v>
      </c>
      <c r="APM4" s="18">
        <f t="shared" ref="APM4" si="944">ROUNDUP(APM5/12,0)</f>
        <v>11</v>
      </c>
      <c r="APN4" s="18">
        <f t="shared" ref="APN4" si="945">ROUNDUP(APN5/12,0)</f>
        <v>11</v>
      </c>
      <c r="APO4" s="18">
        <f t="shared" ref="APO4" si="946">ROUNDUP(APO5/12,0)</f>
        <v>11</v>
      </c>
      <c r="APP4" s="62" t="s">
        <v>70</v>
      </c>
      <c r="APR4" s="18">
        <f>ROUNDUP(APR5/12,0)</f>
        <v>1</v>
      </c>
      <c r="APS4" s="18">
        <f t="shared" ref="APS4" si="947">ROUNDUP(APS5/12,0)</f>
        <v>1</v>
      </c>
      <c r="APT4" s="18">
        <f t="shared" ref="APT4" si="948">ROUNDUP(APT5/12,0)</f>
        <v>1</v>
      </c>
      <c r="APU4" s="18">
        <f t="shared" ref="APU4" si="949">ROUNDUP(APU5/12,0)</f>
        <v>1</v>
      </c>
      <c r="APV4" s="18">
        <f t="shared" ref="APV4" si="950">ROUNDUP(APV5/12,0)</f>
        <v>1</v>
      </c>
      <c r="APW4" s="18">
        <f t="shared" ref="APW4" si="951">ROUNDUP(APW5/12,0)</f>
        <v>1</v>
      </c>
      <c r="APX4" s="18">
        <f t="shared" ref="APX4" si="952">ROUNDUP(APX5/12,0)</f>
        <v>1</v>
      </c>
      <c r="APY4" s="18">
        <f t="shared" ref="APY4" si="953">ROUNDUP(APY5/12,0)</f>
        <v>1</v>
      </c>
      <c r="APZ4" s="18">
        <f t="shared" ref="APZ4" si="954">ROUNDUP(APZ5/12,0)</f>
        <v>1</v>
      </c>
      <c r="AQA4" s="18">
        <f t="shared" ref="AQA4" si="955">ROUNDUP(AQA5/12,0)</f>
        <v>1</v>
      </c>
      <c r="AQB4" s="18">
        <f t="shared" ref="AQB4" si="956">ROUNDUP(AQB5/12,0)</f>
        <v>1</v>
      </c>
      <c r="AQC4" s="18">
        <f t="shared" ref="AQC4" si="957">ROUNDUP(AQC5/12,0)</f>
        <v>1</v>
      </c>
      <c r="AQD4" s="18">
        <f t="shared" ref="AQD4" si="958">ROUNDUP(AQD5/12,0)</f>
        <v>2</v>
      </c>
      <c r="AQE4" s="18">
        <f t="shared" ref="AQE4" si="959">ROUNDUP(AQE5/12,0)</f>
        <v>2</v>
      </c>
      <c r="AQF4" s="18">
        <f t="shared" ref="AQF4" si="960">ROUNDUP(AQF5/12,0)</f>
        <v>2</v>
      </c>
      <c r="AQG4" s="18">
        <f t="shared" ref="AQG4" si="961">ROUNDUP(AQG5/12,0)</f>
        <v>2</v>
      </c>
      <c r="AQH4" s="18">
        <f t="shared" ref="AQH4" si="962">ROUNDUP(AQH5/12,0)</f>
        <v>2</v>
      </c>
      <c r="AQI4" s="18">
        <f t="shared" ref="AQI4" si="963">ROUNDUP(AQI5/12,0)</f>
        <v>2</v>
      </c>
      <c r="AQJ4" s="18">
        <f t="shared" ref="AQJ4" si="964">ROUNDUP(AQJ5/12,0)</f>
        <v>2</v>
      </c>
      <c r="AQK4" s="18">
        <f t="shared" ref="AQK4" si="965">ROUNDUP(AQK5/12,0)</f>
        <v>2</v>
      </c>
      <c r="AQL4" s="18">
        <f t="shared" ref="AQL4" si="966">ROUNDUP(AQL5/12,0)</f>
        <v>2</v>
      </c>
      <c r="AQM4" s="18">
        <f t="shared" ref="AQM4" si="967">ROUNDUP(AQM5/12,0)</f>
        <v>2</v>
      </c>
      <c r="AQN4" s="18">
        <f t="shared" ref="AQN4" si="968">ROUNDUP(AQN5/12,0)</f>
        <v>2</v>
      </c>
      <c r="AQO4" s="18">
        <f t="shared" ref="AQO4" si="969">ROUNDUP(AQO5/12,0)</f>
        <v>2</v>
      </c>
      <c r="AQP4" s="18">
        <f t="shared" ref="AQP4" si="970">ROUNDUP(AQP5/12,0)</f>
        <v>3</v>
      </c>
      <c r="AQQ4" s="18">
        <f t="shared" ref="AQQ4" si="971">ROUNDUP(AQQ5/12,0)</f>
        <v>3</v>
      </c>
      <c r="AQR4" s="18">
        <f t="shared" ref="AQR4" si="972">ROUNDUP(AQR5/12,0)</f>
        <v>3</v>
      </c>
      <c r="AQS4" s="18">
        <f t="shared" ref="AQS4" si="973">ROUNDUP(AQS5/12,0)</f>
        <v>3</v>
      </c>
      <c r="AQT4" s="18">
        <f t="shared" ref="AQT4" si="974">ROUNDUP(AQT5/12,0)</f>
        <v>3</v>
      </c>
      <c r="AQU4" s="18">
        <f t="shared" ref="AQU4" si="975">ROUNDUP(AQU5/12,0)</f>
        <v>3</v>
      </c>
      <c r="AQV4" s="18">
        <f t="shared" ref="AQV4" si="976">ROUNDUP(AQV5/12,0)</f>
        <v>3</v>
      </c>
      <c r="AQW4" s="18">
        <f t="shared" ref="AQW4" si="977">ROUNDUP(AQW5/12,0)</f>
        <v>3</v>
      </c>
      <c r="AQX4" s="18">
        <f t="shared" ref="AQX4" si="978">ROUNDUP(AQX5/12,0)</f>
        <v>3</v>
      </c>
      <c r="AQY4" s="18">
        <f t="shared" ref="AQY4" si="979">ROUNDUP(AQY5/12,0)</f>
        <v>3</v>
      </c>
      <c r="AQZ4" s="18">
        <f t="shared" ref="AQZ4" si="980">ROUNDUP(AQZ5/12,0)</f>
        <v>3</v>
      </c>
      <c r="ARA4" s="18">
        <f t="shared" ref="ARA4" si="981">ROUNDUP(ARA5/12,0)</f>
        <v>3</v>
      </c>
      <c r="ARB4" s="18">
        <f t="shared" ref="ARB4" si="982">ROUNDUP(ARB5/12,0)</f>
        <v>4</v>
      </c>
      <c r="ARC4" s="18">
        <f t="shared" ref="ARC4" si="983">ROUNDUP(ARC5/12,0)</f>
        <v>4</v>
      </c>
      <c r="ARD4" s="18">
        <f t="shared" ref="ARD4" si="984">ROUNDUP(ARD5/12,0)</f>
        <v>4</v>
      </c>
      <c r="ARE4" s="18">
        <f t="shared" ref="ARE4" si="985">ROUNDUP(ARE5/12,0)</f>
        <v>4</v>
      </c>
      <c r="ARF4" s="18">
        <f t="shared" ref="ARF4" si="986">ROUNDUP(ARF5/12,0)</f>
        <v>4</v>
      </c>
      <c r="ARG4" s="18">
        <f t="shared" ref="ARG4" si="987">ROUNDUP(ARG5/12,0)</f>
        <v>4</v>
      </c>
      <c r="ARH4" s="18">
        <f t="shared" ref="ARH4" si="988">ROUNDUP(ARH5/12,0)</f>
        <v>4</v>
      </c>
      <c r="ARI4" s="18">
        <f t="shared" ref="ARI4" si="989">ROUNDUP(ARI5/12,0)</f>
        <v>4</v>
      </c>
      <c r="ARJ4" s="18">
        <f t="shared" ref="ARJ4" si="990">ROUNDUP(ARJ5/12,0)</f>
        <v>4</v>
      </c>
      <c r="ARK4" s="18">
        <f t="shared" ref="ARK4" si="991">ROUNDUP(ARK5/12,0)</f>
        <v>4</v>
      </c>
      <c r="ARL4" s="18">
        <f t="shared" ref="ARL4" si="992">ROUNDUP(ARL5/12,0)</f>
        <v>4</v>
      </c>
      <c r="ARM4" s="18">
        <f t="shared" ref="ARM4" si="993">ROUNDUP(ARM5/12,0)</f>
        <v>4</v>
      </c>
      <c r="ARN4" s="18">
        <f t="shared" ref="ARN4" si="994">ROUNDUP(ARN5/12,0)</f>
        <v>5</v>
      </c>
      <c r="ARO4" s="18">
        <f t="shared" ref="ARO4" si="995">ROUNDUP(ARO5/12,0)</f>
        <v>5</v>
      </c>
      <c r="ARP4" s="18">
        <f t="shared" ref="ARP4" si="996">ROUNDUP(ARP5/12,0)</f>
        <v>5</v>
      </c>
      <c r="ARQ4" s="18">
        <f t="shared" ref="ARQ4" si="997">ROUNDUP(ARQ5/12,0)</f>
        <v>5</v>
      </c>
      <c r="ARR4" s="18">
        <f t="shared" ref="ARR4" si="998">ROUNDUP(ARR5/12,0)</f>
        <v>5</v>
      </c>
      <c r="ARS4" s="18">
        <f t="shared" ref="ARS4" si="999">ROUNDUP(ARS5/12,0)</f>
        <v>5</v>
      </c>
      <c r="ART4" s="18">
        <f t="shared" ref="ART4" si="1000">ROUNDUP(ART5/12,0)</f>
        <v>5</v>
      </c>
      <c r="ARU4" s="18">
        <f t="shared" ref="ARU4" si="1001">ROUNDUP(ARU5/12,0)</f>
        <v>5</v>
      </c>
      <c r="ARV4" s="18">
        <f t="shared" ref="ARV4" si="1002">ROUNDUP(ARV5/12,0)</f>
        <v>5</v>
      </c>
      <c r="ARW4" s="18">
        <f t="shared" ref="ARW4" si="1003">ROUNDUP(ARW5/12,0)</f>
        <v>5</v>
      </c>
      <c r="ARX4" s="18">
        <f t="shared" ref="ARX4" si="1004">ROUNDUP(ARX5/12,0)</f>
        <v>5</v>
      </c>
      <c r="ARY4" s="18">
        <f t="shared" ref="ARY4" si="1005">ROUNDUP(ARY5/12,0)</f>
        <v>5</v>
      </c>
      <c r="ARZ4" s="18">
        <f t="shared" ref="ARZ4" si="1006">ROUNDUP(ARZ5/12,0)</f>
        <v>6</v>
      </c>
      <c r="ASA4" s="18">
        <f t="shared" ref="ASA4" si="1007">ROUNDUP(ASA5/12,0)</f>
        <v>6</v>
      </c>
      <c r="ASB4" s="18">
        <f t="shared" ref="ASB4" si="1008">ROUNDUP(ASB5/12,0)</f>
        <v>6</v>
      </c>
      <c r="ASC4" s="18">
        <f t="shared" ref="ASC4" si="1009">ROUNDUP(ASC5/12,0)</f>
        <v>6</v>
      </c>
      <c r="ASD4" s="18">
        <f t="shared" ref="ASD4" si="1010">ROUNDUP(ASD5/12,0)</f>
        <v>6</v>
      </c>
      <c r="ASE4" s="18">
        <f t="shared" ref="ASE4" si="1011">ROUNDUP(ASE5/12,0)</f>
        <v>6</v>
      </c>
      <c r="ASF4" s="18">
        <f t="shared" ref="ASF4" si="1012">ROUNDUP(ASF5/12,0)</f>
        <v>6</v>
      </c>
      <c r="ASG4" s="18">
        <f t="shared" ref="ASG4" si="1013">ROUNDUP(ASG5/12,0)</f>
        <v>6</v>
      </c>
      <c r="ASH4" s="18">
        <f t="shared" ref="ASH4" si="1014">ROUNDUP(ASH5/12,0)</f>
        <v>6</v>
      </c>
      <c r="ASI4" s="18">
        <f t="shared" ref="ASI4" si="1015">ROUNDUP(ASI5/12,0)</f>
        <v>6</v>
      </c>
      <c r="ASJ4" s="18">
        <f t="shared" ref="ASJ4" si="1016">ROUNDUP(ASJ5/12,0)</f>
        <v>6</v>
      </c>
      <c r="ASK4" s="18">
        <f t="shared" ref="ASK4" si="1017">ROUNDUP(ASK5/12,0)</f>
        <v>6</v>
      </c>
      <c r="ASL4" s="18">
        <f t="shared" ref="ASL4" si="1018">ROUNDUP(ASL5/12,0)</f>
        <v>7</v>
      </c>
      <c r="ASM4" s="18">
        <f t="shared" ref="ASM4" si="1019">ROUNDUP(ASM5/12,0)</f>
        <v>7</v>
      </c>
      <c r="ASN4" s="18">
        <f t="shared" ref="ASN4" si="1020">ROUNDUP(ASN5/12,0)</f>
        <v>7</v>
      </c>
      <c r="ASO4" s="18">
        <f t="shared" ref="ASO4" si="1021">ROUNDUP(ASO5/12,0)</f>
        <v>7</v>
      </c>
      <c r="ASP4" s="18">
        <f t="shared" ref="ASP4" si="1022">ROUNDUP(ASP5/12,0)</f>
        <v>7</v>
      </c>
      <c r="ASQ4" s="18">
        <f t="shared" ref="ASQ4" si="1023">ROUNDUP(ASQ5/12,0)</f>
        <v>7</v>
      </c>
      <c r="ASR4" s="18">
        <f t="shared" ref="ASR4" si="1024">ROUNDUP(ASR5/12,0)</f>
        <v>7</v>
      </c>
      <c r="ASS4" s="18">
        <f t="shared" ref="ASS4" si="1025">ROUNDUP(ASS5/12,0)</f>
        <v>7</v>
      </c>
      <c r="AST4" s="18">
        <f t="shared" ref="AST4" si="1026">ROUNDUP(AST5/12,0)</f>
        <v>7</v>
      </c>
      <c r="ASU4" s="18">
        <f t="shared" ref="ASU4" si="1027">ROUNDUP(ASU5/12,0)</f>
        <v>7</v>
      </c>
      <c r="ASV4" s="18">
        <f t="shared" ref="ASV4" si="1028">ROUNDUP(ASV5/12,0)</f>
        <v>7</v>
      </c>
      <c r="ASW4" s="18">
        <f t="shared" ref="ASW4" si="1029">ROUNDUP(ASW5/12,0)</f>
        <v>7</v>
      </c>
      <c r="ASX4" s="18">
        <f t="shared" ref="ASX4" si="1030">ROUNDUP(ASX5/12,0)</f>
        <v>8</v>
      </c>
      <c r="ASY4" s="18">
        <f t="shared" ref="ASY4" si="1031">ROUNDUP(ASY5/12,0)</f>
        <v>8</v>
      </c>
      <c r="ASZ4" s="18">
        <f t="shared" ref="ASZ4" si="1032">ROUNDUP(ASZ5/12,0)</f>
        <v>8</v>
      </c>
      <c r="ATA4" s="18">
        <f t="shared" ref="ATA4" si="1033">ROUNDUP(ATA5/12,0)</f>
        <v>8</v>
      </c>
      <c r="ATB4" s="18">
        <f t="shared" ref="ATB4" si="1034">ROUNDUP(ATB5/12,0)</f>
        <v>8</v>
      </c>
      <c r="ATC4" s="18">
        <f t="shared" ref="ATC4" si="1035">ROUNDUP(ATC5/12,0)</f>
        <v>8</v>
      </c>
      <c r="ATD4" s="18">
        <f t="shared" ref="ATD4" si="1036">ROUNDUP(ATD5/12,0)</f>
        <v>8</v>
      </c>
      <c r="ATE4" s="18">
        <f t="shared" ref="ATE4" si="1037">ROUNDUP(ATE5/12,0)</f>
        <v>8</v>
      </c>
      <c r="ATF4" s="18">
        <f t="shared" ref="ATF4" si="1038">ROUNDUP(ATF5/12,0)</f>
        <v>8</v>
      </c>
      <c r="ATG4" s="18">
        <f t="shared" ref="ATG4" si="1039">ROUNDUP(ATG5/12,0)</f>
        <v>8</v>
      </c>
      <c r="ATH4" s="18">
        <f t="shared" ref="ATH4" si="1040">ROUNDUP(ATH5/12,0)</f>
        <v>8</v>
      </c>
      <c r="ATI4" s="18">
        <f t="shared" ref="ATI4" si="1041">ROUNDUP(ATI5/12,0)</f>
        <v>8</v>
      </c>
      <c r="ATJ4" s="18">
        <f t="shared" ref="ATJ4" si="1042">ROUNDUP(ATJ5/12,0)</f>
        <v>9</v>
      </c>
      <c r="ATK4" s="18">
        <f t="shared" ref="ATK4" si="1043">ROUNDUP(ATK5/12,0)</f>
        <v>9</v>
      </c>
      <c r="ATL4" s="18">
        <f t="shared" ref="ATL4" si="1044">ROUNDUP(ATL5/12,0)</f>
        <v>9</v>
      </c>
      <c r="ATM4" s="18">
        <f t="shared" ref="ATM4" si="1045">ROUNDUP(ATM5/12,0)</f>
        <v>9</v>
      </c>
      <c r="ATN4" s="18">
        <f t="shared" ref="ATN4" si="1046">ROUNDUP(ATN5/12,0)</f>
        <v>9</v>
      </c>
      <c r="ATO4" s="18">
        <f t="shared" ref="ATO4" si="1047">ROUNDUP(ATO5/12,0)</f>
        <v>9</v>
      </c>
      <c r="ATP4" s="18">
        <f t="shared" ref="ATP4" si="1048">ROUNDUP(ATP5/12,0)</f>
        <v>9</v>
      </c>
      <c r="ATQ4" s="18">
        <f t="shared" ref="ATQ4" si="1049">ROUNDUP(ATQ5/12,0)</f>
        <v>9</v>
      </c>
      <c r="ATR4" s="18">
        <f t="shared" ref="ATR4" si="1050">ROUNDUP(ATR5/12,0)</f>
        <v>9</v>
      </c>
      <c r="ATS4" s="18">
        <f t="shared" ref="ATS4" si="1051">ROUNDUP(ATS5/12,0)</f>
        <v>9</v>
      </c>
      <c r="ATT4" s="18">
        <f t="shared" ref="ATT4" si="1052">ROUNDUP(ATT5/12,0)</f>
        <v>9</v>
      </c>
      <c r="ATU4" s="18">
        <f t="shared" ref="ATU4" si="1053">ROUNDUP(ATU5/12,0)</f>
        <v>9</v>
      </c>
      <c r="ATV4" s="18">
        <f t="shared" ref="ATV4" si="1054">ROUNDUP(ATV5/12,0)</f>
        <v>10</v>
      </c>
      <c r="ATW4" s="18">
        <f t="shared" ref="ATW4" si="1055">ROUNDUP(ATW5/12,0)</f>
        <v>10</v>
      </c>
      <c r="ATX4" s="18">
        <f t="shared" ref="ATX4" si="1056">ROUNDUP(ATX5/12,0)</f>
        <v>10</v>
      </c>
      <c r="ATY4" s="18">
        <f t="shared" ref="ATY4" si="1057">ROUNDUP(ATY5/12,0)</f>
        <v>10</v>
      </c>
      <c r="ATZ4" s="18">
        <f t="shared" ref="ATZ4" si="1058">ROUNDUP(ATZ5/12,0)</f>
        <v>10</v>
      </c>
      <c r="AUA4" s="18">
        <f t="shared" ref="AUA4" si="1059">ROUNDUP(AUA5/12,0)</f>
        <v>10</v>
      </c>
      <c r="AUB4" s="18">
        <f t="shared" ref="AUB4" si="1060">ROUNDUP(AUB5/12,0)</f>
        <v>10</v>
      </c>
      <c r="AUC4" s="18">
        <f t="shared" ref="AUC4" si="1061">ROUNDUP(AUC5/12,0)</f>
        <v>10</v>
      </c>
      <c r="AUD4" s="18">
        <f t="shared" ref="AUD4" si="1062">ROUNDUP(AUD5/12,0)</f>
        <v>10</v>
      </c>
      <c r="AUE4" s="18">
        <f t="shared" ref="AUE4" si="1063">ROUNDUP(AUE5/12,0)</f>
        <v>10</v>
      </c>
      <c r="AUF4" s="18">
        <f t="shared" ref="AUF4" si="1064">ROUNDUP(AUF5/12,0)</f>
        <v>10</v>
      </c>
      <c r="AUG4" s="18">
        <f t="shared" ref="AUG4" si="1065">ROUNDUP(AUG5/12,0)</f>
        <v>10</v>
      </c>
      <c r="AUH4" s="18">
        <f t="shared" ref="AUH4" si="1066">ROUNDUP(AUH5/12,0)</f>
        <v>11</v>
      </c>
      <c r="AUI4" s="18">
        <f t="shared" ref="AUI4" si="1067">ROUNDUP(AUI5/12,0)</f>
        <v>11</v>
      </c>
      <c r="AUJ4" s="18">
        <f t="shared" ref="AUJ4" si="1068">ROUNDUP(AUJ5/12,0)</f>
        <v>11</v>
      </c>
      <c r="AUK4" s="18">
        <f t="shared" ref="AUK4" si="1069">ROUNDUP(AUK5/12,0)</f>
        <v>11</v>
      </c>
      <c r="AUL4" s="18">
        <f t="shared" ref="AUL4" si="1070">ROUNDUP(AUL5/12,0)</f>
        <v>11</v>
      </c>
      <c r="AUM4" s="18">
        <f t="shared" ref="AUM4" si="1071">ROUNDUP(AUM5/12,0)</f>
        <v>11</v>
      </c>
      <c r="AUN4" s="18">
        <f t="shared" ref="AUN4" si="1072">ROUNDUP(AUN5/12,0)</f>
        <v>11</v>
      </c>
      <c r="AUO4" s="18">
        <f t="shared" ref="AUO4" si="1073">ROUNDUP(AUO5/12,0)</f>
        <v>11</v>
      </c>
      <c r="AUP4" s="18">
        <f t="shared" ref="AUP4" si="1074">ROUNDUP(AUP5/12,0)</f>
        <v>11</v>
      </c>
      <c r="AUQ4" s="18">
        <f t="shared" ref="AUQ4" si="1075">ROUNDUP(AUQ5/12,0)</f>
        <v>11</v>
      </c>
      <c r="AUR4" s="18">
        <f t="shared" ref="AUR4" si="1076">ROUNDUP(AUR5/12,0)</f>
        <v>11</v>
      </c>
      <c r="AUS4" s="18">
        <f t="shared" ref="AUS4" si="1077">ROUNDUP(AUS5/12,0)</f>
        <v>11</v>
      </c>
    </row>
    <row r="5" spans="1:1243" x14ac:dyDescent="0.3">
      <c r="B5" s="41" t="s">
        <v>26</v>
      </c>
      <c r="C5" s="32" t="s">
        <v>27</v>
      </c>
      <c r="D5" s="33" t="s">
        <v>30</v>
      </c>
      <c r="E5" s="34" t="s">
        <v>39</v>
      </c>
      <c r="F5" s="34" t="s">
        <v>40</v>
      </c>
      <c r="G5" s="33" t="s">
        <v>45</v>
      </c>
      <c r="H5" s="33" t="s">
        <v>29</v>
      </c>
      <c r="I5" s="33" t="s">
        <v>56</v>
      </c>
      <c r="J5" s="34" t="s">
        <v>33</v>
      </c>
      <c r="K5" s="34" t="s">
        <v>35</v>
      </c>
      <c r="L5" s="34" t="s">
        <v>37</v>
      </c>
      <c r="M5" s="36" t="s">
        <v>29</v>
      </c>
      <c r="N5" s="33" t="s">
        <v>44</v>
      </c>
      <c r="O5" s="33" t="s">
        <v>58</v>
      </c>
      <c r="P5" s="34" t="s">
        <v>55</v>
      </c>
      <c r="Q5" s="34" t="s">
        <v>54</v>
      </c>
      <c r="R5" s="34" t="s">
        <v>39</v>
      </c>
      <c r="S5" s="34" t="s">
        <v>40</v>
      </c>
      <c r="T5" s="34" t="s">
        <v>39</v>
      </c>
      <c r="U5" s="33" t="s">
        <v>56</v>
      </c>
      <c r="V5" s="34" t="s">
        <v>33</v>
      </c>
      <c r="W5" s="34" t="s">
        <v>35</v>
      </c>
      <c r="X5" s="34" t="s">
        <v>37</v>
      </c>
      <c r="Y5" s="34" t="s">
        <v>50</v>
      </c>
      <c r="Z5" s="34" t="s">
        <v>51</v>
      </c>
      <c r="AA5" s="34" t="s">
        <v>59</v>
      </c>
      <c r="AB5" s="34" t="s">
        <v>50</v>
      </c>
      <c r="AC5" s="34" t="s">
        <v>51</v>
      </c>
      <c r="AD5" s="34" t="s">
        <v>50</v>
      </c>
      <c r="AE5" s="34" t="s">
        <v>51</v>
      </c>
      <c r="AF5" s="34" t="s">
        <v>59</v>
      </c>
      <c r="AG5" s="34" t="s">
        <v>59</v>
      </c>
      <c r="AH5" s="34" t="s">
        <v>59</v>
      </c>
      <c r="AJ5" s="5">
        <v>1</v>
      </c>
      <c r="AK5" s="5">
        <f>+AJ5+1</f>
        <v>2</v>
      </c>
      <c r="AL5" s="5">
        <f t="shared" ref="AL5:CW5" si="1078">+AK5+1</f>
        <v>3</v>
      </c>
      <c r="AM5" s="5">
        <f t="shared" si="1078"/>
        <v>4</v>
      </c>
      <c r="AN5" s="5">
        <f t="shared" si="1078"/>
        <v>5</v>
      </c>
      <c r="AO5" s="5">
        <f t="shared" si="1078"/>
        <v>6</v>
      </c>
      <c r="AP5" s="5">
        <f t="shared" si="1078"/>
        <v>7</v>
      </c>
      <c r="AQ5" s="5">
        <f t="shared" si="1078"/>
        <v>8</v>
      </c>
      <c r="AR5" s="5">
        <f t="shared" si="1078"/>
        <v>9</v>
      </c>
      <c r="AS5" s="5">
        <f t="shared" si="1078"/>
        <v>10</v>
      </c>
      <c r="AT5" s="5">
        <f t="shared" si="1078"/>
        <v>11</v>
      </c>
      <c r="AU5" s="5">
        <f t="shared" si="1078"/>
        <v>12</v>
      </c>
      <c r="AV5" s="5">
        <f t="shared" si="1078"/>
        <v>13</v>
      </c>
      <c r="AW5" s="5">
        <f t="shared" si="1078"/>
        <v>14</v>
      </c>
      <c r="AX5" s="5">
        <f t="shared" si="1078"/>
        <v>15</v>
      </c>
      <c r="AY5" s="5">
        <f t="shared" si="1078"/>
        <v>16</v>
      </c>
      <c r="AZ5" s="5">
        <f t="shared" si="1078"/>
        <v>17</v>
      </c>
      <c r="BA5" s="5">
        <f t="shared" si="1078"/>
        <v>18</v>
      </c>
      <c r="BB5" s="5">
        <f t="shared" si="1078"/>
        <v>19</v>
      </c>
      <c r="BC5" s="5">
        <f t="shared" si="1078"/>
        <v>20</v>
      </c>
      <c r="BD5" s="5">
        <f t="shared" si="1078"/>
        <v>21</v>
      </c>
      <c r="BE5" s="5">
        <f t="shared" si="1078"/>
        <v>22</v>
      </c>
      <c r="BF5" s="5">
        <f t="shared" si="1078"/>
        <v>23</v>
      </c>
      <c r="BG5" s="5">
        <f t="shared" si="1078"/>
        <v>24</v>
      </c>
      <c r="BH5" s="5">
        <f t="shared" si="1078"/>
        <v>25</v>
      </c>
      <c r="BI5" s="5">
        <f t="shared" si="1078"/>
        <v>26</v>
      </c>
      <c r="BJ5" s="5">
        <f t="shared" si="1078"/>
        <v>27</v>
      </c>
      <c r="BK5" s="5">
        <f t="shared" si="1078"/>
        <v>28</v>
      </c>
      <c r="BL5" s="5">
        <f t="shared" si="1078"/>
        <v>29</v>
      </c>
      <c r="BM5" s="5">
        <f t="shared" si="1078"/>
        <v>30</v>
      </c>
      <c r="BN5" s="5">
        <f t="shared" si="1078"/>
        <v>31</v>
      </c>
      <c r="BO5" s="5">
        <f t="shared" si="1078"/>
        <v>32</v>
      </c>
      <c r="BP5" s="5">
        <f t="shared" si="1078"/>
        <v>33</v>
      </c>
      <c r="BQ5" s="5">
        <f t="shared" si="1078"/>
        <v>34</v>
      </c>
      <c r="BR5" s="5">
        <f t="shared" si="1078"/>
        <v>35</v>
      </c>
      <c r="BS5" s="5">
        <f t="shared" si="1078"/>
        <v>36</v>
      </c>
      <c r="BT5" s="5">
        <f t="shared" si="1078"/>
        <v>37</v>
      </c>
      <c r="BU5" s="5">
        <f t="shared" si="1078"/>
        <v>38</v>
      </c>
      <c r="BV5" s="5">
        <f t="shared" si="1078"/>
        <v>39</v>
      </c>
      <c r="BW5" s="5">
        <f t="shared" si="1078"/>
        <v>40</v>
      </c>
      <c r="BX5" s="5">
        <f t="shared" si="1078"/>
        <v>41</v>
      </c>
      <c r="BY5" s="5">
        <f t="shared" si="1078"/>
        <v>42</v>
      </c>
      <c r="BZ5" s="5">
        <f t="shared" si="1078"/>
        <v>43</v>
      </c>
      <c r="CA5" s="5">
        <f t="shared" si="1078"/>
        <v>44</v>
      </c>
      <c r="CB5" s="5">
        <f t="shared" si="1078"/>
        <v>45</v>
      </c>
      <c r="CC5" s="5">
        <f t="shared" si="1078"/>
        <v>46</v>
      </c>
      <c r="CD5" s="5">
        <f t="shared" si="1078"/>
        <v>47</v>
      </c>
      <c r="CE5" s="5">
        <f t="shared" si="1078"/>
        <v>48</v>
      </c>
      <c r="CF5" s="5">
        <f t="shared" si="1078"/>
        <v>49</v>
      </c>
      <c r="CG5" s="5">
        <f t="shared" si="1078"/>
        <v>50</v>
      </c>
      <c r="CH5" s="5">
        <f t="shared" si="1078"/>
        <v>51</v>
      </c>
      <c r="CI5" s="5">
        <f t="shared" si="1078"/>
        <v>52</v>
      </c>
      <c r="CJ5" s="5">
        <f t="shared" si="1078"/>
        <v>53</v>
      </c>
      <c r="CK5" s="5">
        <f t="shared" si="1078"/>
        <v>54</v>
      </c>
      <c r="CL5" s="5">
        <f t="shared" si="1078"/>
        <v>55</v>
      </c>
      <c r="CM5" s="5">
        <f t="shared" si="1078"/>
        <v>56</v>
      </c>
      <c r="CN5" s="5">
        <f t="shared" si="1078"/>
        <v>57</v>
      </c>
      <c r="CO5" s="5">
        <f t="shared" si="1078"/>
        <v>58</v>
      </c>
      <c r="CP5" s="5">
        <f t="shared" si="1078"/>
        <v>59</v>
      </c>
      <c r="CQ5" s="5">
        <f t="shared" si="1078"/>
        <v>60</v>
      </c>
      <c r="CR5" s="5">
        <f t="shared" si="1078"/>
        <v>61</v>
      </c>
      <c r="CS5" s="5">
        <f t="shared" si="1078"/>
        <v>62</v>
      </c>
      <c r="CT5" s="5">
        <f t="shared" si="1078"/>
        <v>63</v>
      </c>
      <c r="CU5" s="5">
        <f t="shared" si="1078"/>
        <v>64</v>
      </c>
      <c r="CV5" s="5">
        <f t="shared" si="1078"/>
        <v>65</v>
      </c>
      <c r="CW5" s="5">
        <f t="shared" si="1078"/>
        <v>66</v>
      </c>
      <c r="CX5" s="5">
        <f t="shared" ref="CX5:FI5" si="1079">+CW5+1</f>
        <v>67</v>
      </c>
      <c r="CY5" s="5">
        <f t="shared" si="1079"/>
        <v>68</v>
      </c>
      <c r="CZ5" s="5">
        <f t="shared" si="1079"/>
        <v>69</v>
      </c>
      <c r="DA5" s="5">
        <f t="shared" si="1079"/>
        <v>70</v>
      </c>
      <c r="DB5" s="5">
        <f t="shared" si="1079"/>
        <v>71</v>
      </c>
      <c r="DC5" s="5">
        <f t="shared" si="1079"/>
        <v>72</v>
      </c>
      <c r="DD5" s="5">
        <f t="shared" si="1079"/>
        <v>73</v>
      </c>
      <c r="DE5" s="5">
        <f t="shared" si="1079"/>
        <v>74</v>
      </c>
      <c r="DF5" s="5">
        <f t="shared" si="1079"/>
        <v>75</v>
      </c>
      <c r="DG5" s="5">
        <f t="shared" si="1079"/>
        <v>76</v>
      </c>
      <c r="DH5" s="5">
        <f t="shared" si="1079"/>
        <v>77</v>
      </c>
      <c r="DI5" s="5">
        <f t="shared" si="1079"/>
        <v>78</v>
      </c>
      <c r="DJ5" s="5">
        <f t="shared" si="1079"/>
        <v>79</v>
      </c>
      <c r="DK5" s="5">
        <f t="shared" si="1079"/>
        <v>80</v>
      </c>
      <c r="DL5" s="5">
        <f t="shared" si="1079"/>
        <v>81</v>
      </c>
      <c r="DM5" s="5">
        <f t="shared" si="1079"/>
        <v>82</v>
      </c>
      <c r="DN5" s="5">
        <f t="shared" si="1079"/>
        <v>83</v>
      </c>
      <c r="DO5" s="5">
        <f t="shared" si="1079"/>
        <v>84</v>
      </c>
      <c r="DP5" s="5">
        <f t="shared" si="1079"/>
        <v>85</v>
      </c>
      <c r="DQ5" s="5">
        <f t="shared" si="1079"/>
        <v>86</v>
      </c>
      <c r="DR5" s="5">
        <f t="shared" si="1079"/>
        <v>87</v>
      </c>
      <c r="DS5" s="5">
        <f t="shared" si="1079"/>
        <v>88</v>
      </c>
      <c r="DT5" s="5">
        <f t="shared" si="1079"/>
        <v>89</v>
      </c>
      <c r="DU5" s="5">
        <f t="shared" si="1079"/>
        <v>90</v>
      </c>
      <c r="DV5" s="5">
        <f t="shared" si="1079"/>
        <v>91</v>
      </c>
      <c r="DW5" s="5">
        <f t="shared" si="1079"/>
        <v>92</v>
      </c>
      <c r="DX5" s="5">
        <f t="shared" si="1079"/>
        <v>93</v>
      </c>
      <c r="DY5" s="5">
        <f t="shared" si="1079"/>
        <v>94</v>
      </c>
      <c r="DZ5" s="5">
        <f t="shared" si="1079"/>
        <v>95</v>
      </c>
      <c r="EA5" s="5">
        <f t="shared" si="1079"/>
        <v>96</v>
      </c>
      <c r="EB5" s="5">
        <f t="shared" si="1079"/>
        <v>97</v>
      </c>
      <c r="EC5" s="5">
        <f t="shared" si="1079"/>
        <v>98</v>
      </c>
      <c r="ED5" s="5">
        <f t="shared" si="1079"/>
        <v>99</v>
      </c>
      <c r="EE5" s="5">
        <f t="shared" si="1079"/>
        <v>100</v>
      </c>
      <c r="EF5" s="5">
        <f t="shared" si="1079"/>
        <v>101</v>
      </c>
      <c r="EG5" s="5">
        <f t="shared" si="1079"/>
        <v>102</v>
      </c>
      <c r="EH5" s="5">
        <f t="shared" si="1079"/>
        <v>103</v>
      </c>
      <c r="EI5" s="5">
        <f t="shared" si="1079"/>
        <v>104</v>
      </c>
      <c r="EJ5" s="5">
        <f t="shared" si="1079"/>
        <v>105</v>
      </c>
      <c r="EK5" s="5">
        <f t="shared" si="1079"/>
        <v>106</v>
      </c>
      <c r="EL5" s="5">
        <f t="shared" si="1079"/>
        <v>107</v>
      </c>
      <c r="EM5" s="5">
        <f t="shared" si="1079"/>
        <v>108</v>
      </c>
      <c r="EN5" s="5">
        <f t="shared" si="1079"/>
        <v>109</v>
      </c>
      <c r="EO5" s="5">
        <f t="shared" si="1079"/>
        <v>110</v>
      </c>
      <c r="EP5" s="5">
        <f t="shared" si="1079"/>
        <v>111</v>
      </c>
      <c r="EQ5" s="5">
        <f t="shared" si="1079"/>
        <v>112</v>
      </c>
      <c r="ER5" s="5">
        <f t="shared" si="1079"/>
        <v>113</v>
      </c>
      <c r="ES5" s="5">
        <f t="shared" si="1079"/>
        <v>114</v>
      </c>
      <c r="ET5" s="5">
        <f t="shared" si="1079"/>
        <v>115</v>
      </c>
      <c r="EU5" s="5">
        <f t="shared" si="1079"/>
        <v>116</v>
      </c>
      <c r="EV5" s="5">
        <f t="shared" si="1079"/>
        <v>117</v>
      </c>
      <c r="EW5" s="5">
        <f t="shared" si="1079"/>
        <v>118</v>
      </c>
      <c r="EX5" s="5">
        <f t="shared" si="1079"/>
        <v>119</v>
      </c>
      <c r="EY5" s="5">
        <f t="shared" si="1079"/>
        <v>120</v>
      </c>
      <c r="EZ5" s="5">
        <f t="shared" si="1079"/>
        <v>121</v>
      </c>
      <c r="FA5" s="5">
        <f t="shared" si="1079"/>
        <v>122</v>
      </c>
      <c r="FB5" s="5">
        <f t="shared" si="1079"/>
        <v>123</v>
      </c>
      <c r="FC5" s="5">
        <f t="shared" si="1079"/>
        <v>124</v>
      </c>
      <c r="FD5" s="5">
        <f t="shared" si="1079"/>
        <v>125</v>
      </c>
      <c r="FE5" s="5">
        <f t="shared" si="1079"/>
        <v>126</v>
      </c>
      <c r="FF5" s="5">
        <f t="shared" si="1079"/>
        <v>127</v>
      </c>
      <c r="FG5" s="5">
        <f t="shared" si="1079"/>
        <v>128</v>
      </c>
      <c r="FH5" s="5">
        <f t="shared" si="1079"/>
        <v>129</v>
      </c>
      <c r="FI5" s="5">
        <f t="shared" si="1079"/>
        <v>130</v>
      </c>
      <c r="FJ5" s="5">
        <f t="shared" ref="FJ5:FK5" si="1080">+FI5+1</f>
        <v>131</v>
      </c>
      <c r="FK5" s="5">
        <f t="shared" si="1080"/>
        <v>132</v>
      </c>
      <c r="FL5" s="62" t="s">
        <v>74</v>
      </c>
      <c r="FN5" s="5">
        <v>1</v>
      </c>
      <c r="FO5" s="5">
        <f>+FN5+1</f>
        <v>2</v>
      </c>
      <c r="FP5" s="5">
        <f t="shared" ref="FP5:IA5" si="1081">+FO5+1</f>
        <v>3</v>
      </c>
      <c r="FQ5" s="5">
        <f t="shared" si="1081"/>
        <v>4</v>
      </c>
      <c r="FR5" s="5">
        <f t="shared" si="1081"/>
        <v>5</v>
      </c>
      <c r="FS5" s="5">
        <f t="shared" si="1081"/>
        <v>6</v>
      </c>
      <c r="FT5" s="5">
        <f t="shared" si="1081"/>
        <v>7</v>
      </c>
      <c r="FU5" s="5">
        <f t="shared" si="1081"/>
        <v>8</v>
      </c>
      <c r="FV5" s="5">
        <f t="shared" si="1081"/>
        <v>9</v>
      </c>
      <c r="FW5" s="5">
        <f t="shared" si="1081"/>
        <v>10</v>
      </c>
      <c r="FX5" s="5">
        <f t="shared" si="1081"/>
        <v>11</v>
      </c>
      <c r="FY5" s="5">
        <f t="shared" si="1081"/>
        <v>12</v>
      </c>
      <c r="FZ5" s="5">
        <f t="shared" si="1081"/>
        <v>13</v>
      </c>
      <c r="GA5" s="5">
        <f t="shared" si="1081"/>
        <v>14</v>
      </c>
      <c r="GB5" s="5">
        <f t="shared" si="1081"/>
        <v>15</v>
      </c>
      <c r="GC5" s="5">
        <f t="shared" si="1081"/>
        <v>16</v>
      </c>
      <c r="GD5" s="5">
        <f t="shared" si="1081"/>
        <v>17</v>
      </c>
      <c r="GE5" s="5">
        <f t="shared" si="1081"/>
        <v>18</v>
      </c>
      <c r="GF5" s="5">
        <f t="shared" si="1081"/>
        <v>19</v>
      </c>
      <c r="GG5" s="5">
        <f t="shared" si="1081"/>
        <v>20</v>
      </c>
      <c r="GH5" s="5">
        <f t="shared" si="1081"/>
        <v>21</v>
      </c>
      <c r="GI5" s="5">
        <f t="shared" si="1081"/>
        <v>22</v>
      </c>
      <c r="GJ5" s="5">
        <f t="shared" si="1081"/>
        <v>23</v>
      </c>
      <c r="GK5" s="5">
        <f t="shared" si="1081"/>
        <v>24</v>
      </c>
      <c r="GL5" s="5">
        <f t="shared" si="1081"/>
        <v>25</v>
      </c>
      <c r="GM5" s="5">
        <f t="shared" si="1081"/>
        <v>26</v>
      </c>
      <c r="GN5" s="5">
        <f t="shared" si="1081"/>
        <v>27</v>
      </c>
      <c r="GO5" s="5">
        <f t="shared" si="1081"/>
        <v>28</v>
      </c>
      <c r="GP5" s="5">
        <f t="shared" si="1081"/>
        <v>29</v>
      </c>
      <c r="GQ5" s="5">
        <f t="shared" si="1081"/>
        <v>30</v>
      </c>
      <c r="GR5" s="5">
        <f t="shared" si="1081"/>
        <v>31</v>
      </c>
      <c r="GS5" s="5">
        <f t="shared" si="1081"/>
        <v>32</v>
      </c>
      <c r="GT5" s="5">
        <f t="shared" si="1081"/>
        <v>33</v>
      </c>
      <c r="GU5" s="5">
        <f t="shared" si="1081"/>
        <v>34</v>
      </c>
      <c r="GV5" s="5">
        <f t="shared" si="1081"/>
        <v>35</v>
      </c>
      <c r="GW5" s="5">
        <f t="shared" si="1081"/>
        <v>36</v>
      </c>
      <c r="GX5" s="5">
        <f t="shared" si="1081"/>
        <v>37</v>
      </c>
      <c r="GY5" s="5">
        <f t="shared" si="1081"/>
        <v>38</v>
      </c>
      <c r="GZ5" s="5">
        <f t="shared" si="1081"/>
        <v>39</v>
      </c>
      <c r="HA5" s="5">
        <f t="shared" si="1081"/>
        <v>40</v>
      </c>
      <c r="HB5" s="5">
        <f t="shared" si="1081"/>
        <v>41</v>
      </c>
      <c r="HC5" s="5">
        <f t="shared" si="1081"/>
        <v>42</v>
      </c>
      <c r="HD5" s="5">
        <f t="shared" si="1081"/>
        <v>43</v>
      </c>
      <c r="HE5" s="5">
        <f t="shared" si="1081"/>
        <v>44</v>
      </c>
      <c r="HF5" s="5">
        <f t="shared" si="1081"/>
        <v>45</v>
      </c>
      <c r="HG5" s="5">
        <f t="shared" si="1081"/>
        <v>46</v>
      </c>
      <c r="HH5" s="5">
        <f t="shared" si="1081"/>
        <v>47</v>
      </c>
      <c r="HI5" s="5">
        <f t="shared" si="1081"/>
        <v>48</v>
      </c>
      <c r="HJ5" s="5">
        <f t="shared" si="1081"/>
        <v>49</v>
      </c>
      <c r="HK5" s="5">
        <f t="shared" si="1081"/>
        <v>50</v>
      </c>
      <c r="HL5" s="5">
        <f t="shared" si="1081"/>
        <v>51</v>
      </c>
      <c r="HM5" s="5">
        <f t="shared" si="1081"/>
        <v>52</v>
      </c>
      <c r="HN5" s="5">
        <f t="shared" si="1081"/>
        <v>53</v>
      </c>
      <c r="HO5" s="5">
        <f t="shared" si="1081"/>
        <v>54</v>
      </c>
      <c r="HP5" s="5">
        <f t="shared" si="1081"/>
        <v>55</v>
      </c>
      <c r="HQ5" s="5">
        <f t="shared" si="1081"/>
        <v>56</v>
      </c>
      <c r="HR5" s="5">
        <f t="shared" si="1081"/>
        <v>57</v>
      </c>
      <c r="HS5" s="5">
        <f t="shared" si="1081"/>
        <v>58</v>
      </c>
      <c r="HT5" s="5">
        <f t="shared" si="1081"/>
        <v>59</v>
      </c>
      <c r="HU5" s="5">
        <f t="shared" si="1081"/>
        <v>60</v>
      </c>
      <c r="HV5" s="5">
        <f t="shared" si="1081"/>
        <v>61</v>
      </c>
      <c r="HW5" s="5">
        <f t="shared" si="1081"/>
        <v>62</v>
      </c>
      <c r="HX5" s="5">
        <f t="shared" si="1081"/>
        <v>63</v>
      </c>
      <c r="HY5" s="5">
        <f t="shared" si="1081"/>
        <v>64</v>
      </c>
      <c r="HZ5" s="5">
        <f t="shared" si="1081"/>
        <v>65</v>
      </c>
      <c r="IA5" s="5">
        <f t="shared" si="1081"/>
        <v>66</v>
      </c>
      <c r="IB5" s="5">
        <f t="shared" ref="IB5:KM5" si="1082">+IA5+1</f>
        <v>67</v>
      </c>
      <c r="IC5" s="5">
        <f t="shared" si="1082"/>
        <v>68</v>
      </c>
      <c r="ID5" s="5">
        <f t="shared" si="1082"/>
        <v>69</v>
      </c>
      <c r="IE5" s="5">
        <f t="shared" si="1082"/>
        <v>70</v>
      </c>
      <c r="IF5" s="5">
        <f t="shared" si="1082"/>
        <v>71</v>
      </c>
      <c r="IG5" s="5">
        <f t="shared" si="1082"/>
        <v>72</v>
      </c>
      <c r="IH5" s="5">
        <f t="shared" si="1082"/>
        <v>73</v>
      </c>
      <c r="II5" s="5">
        <f t="shared" si="1082"/>
        <v>74</v>
      </c>
      <c r="IJ5" s="5">
        <f t="shared" si="1082"/>
        <v>75</v>
      </c>
      <c r="IK5" s="5">
        <f t="shared" si="1082"/>
        <v>76</v>
      </c>
      <c r="IL5" s="5">
        <f t="shared" si="1082"/>
        <v>77</v>
      </c>
      <c r="IM5" s="5">
        <f t="shared" si="1082"/>
        <v>78</v>
      </c>
      <c r="IN5" s="5">
        <f t="shared" si="1082"/>
        <v>79</v>
      </c>
      <c r="IO5" s="5">
        <f t="shared" si="1082"/>
        <v>80</v>
      </c>
      <c r="IP5" s="5">
        <f t="shared" si="1082"/>
        <v>81</v>
      </c>
      <c r="IQ5" s="5">
        <f t="shared" si="1082"/>
        <v>82</v>
      </c>
      <c r="IR5" s="5">
        <f t="shared" si="1082"/>
        <v>83</v>
      </c>
      <c r="IS5" s="5">
        <f t="shared" si="1082"/>
        <v>84</v>
      </c>
      <c r="IT5" s="5">
        <f t="shared" si="1082"/>
        <v>85</v>
      </c>
      <c r="IU5" s="5">
        <f t="shared" si="1082"/>
        <v>86</v>
      </c>
      <c r="IV5" s="5">
        <f t="shared" si="1082"/>
        <v>87</v>
      </c>
      <c r="IW5" s="5">
        <f t="shared" si="1082"/>
        <v>88</v>
      </c>
      <c r="IX5" s="5">
        <f t="shared" si="1082"/>
        <v>89</v>
      </c>
      <c r="IY5" s="5">
        <f t="shared" si="1082"/>
        <v>90</v>
      </c>
      <c r="IZ5" s="5">
        <f t="shared" si="1082"/>
        <v>91</v>
      </c>
      <c r="JA5" s="5">
        <f t="shared" si="1082"/>
        <v>92</v>
      </c>
      <c r="JB5" s="5">
        <f t="shared" si="1082"/>
        <v>93</v>
      </c>
      <c r="JC5" s="5">
        <f t="shared" si="1082"/>
        <v>94</v>
      </c>
      <c r="JD5" s="5">
        <f t="shared" si="1082"/>
        <v>95</v>
      </c>
      <c r="JE5" s="5">
        <f t="shared" si="1082"/>
        <v>96</v>
      </c>
      <c r="JF5" s="5">
        <f t="shared" si="1082"/>
        <v>97</v>
      </c>
      <c r="JG5" s="5">
        <f t="shared" si="1082"/>
        <v>98</v>
      </c>
      <c r="JH5" s="5">
        <f t="shared" si="1082"/>
        <v>99</v>
      </c>
      <c r="JI5" s="5">
        <f t="shared" si="1082"/>
        <v>100</v>
      </c>
      <c r="JJ5" s="5">
        <f t="shared" si="1082"/>
        <v>101</v>
      </c>
      <c r="JK5" s="5">
        <f t="shared" si="1082"/>
        <v>102</v>
      </c>
      <c r="JL5" s="5">
        <f t="shared" si="1082"/>
        <v>103</v>
      </c>
      <c r="JM5" s="5">
        <f t="shared" si="1082"/>
        <v>104</v>
      </c>
      <c r="JN5" s="5">
        <f t="shared" si="1082"/>
        <v>105</v>
      </c>
      <c r="JO5" s="5">
        <f t="shared" si="1082"/>
        <v>106</v>
      </c>
      <c r="JP5" s="5">
        <f t="shared" si="1082"/>
        <v>107</v>
      </c>
      <c r="JQ5" s="5">
        <f t="shared" si="1082"/>
        <v>108</v>
      </c>
      <c r="JR5" s="5">
        <f t="shared" si="1082"/>
        <v>109</v>
      </c>
      <c r="JS5" s="5">
        <f t="shared" si="1082"/>
        <v>110</v>
      </c>
      <c r="JT5" s="5">
        <f t="shared" si="1082"/>
        <v>111</v>
      </c>
      <c r="JU5" s="5">
        <f t="shared" si="1082"/>
        <v>112</v>
      </c>
      <c r="JV5" s="5">
        <f t="shared" si="1082"/>
        <v>113</v>
      </c>
      <c r="JW5" s="5">
        <f t="shared" si="1082"/>
        <v>114</v>
      </c>
      <c r="JX5" s="5">
        <f t="shared" si="1082"/>
        <v>115</v>
      </c>
      <c r="JY5" s="5">
        <f t="shared" si="1082"/>
        <v>116</v>
      </c>
      <c r="JZ5" s="5">
        <f t="shared" si="1082"/>
        <v>117</v>
      </c>
      <c r="KA5" s="5">
        <f t="shared" si="1082"/>
        <v>118</v>
      </c>
      <c r="KB5" s="5">
        <f t="shared" si="1082"/>
        <v>119</v>
      </c>
      <c r="KC5" s="5">
        <f t="shared" si="1082"/>
        <v>120</v>
      </c>
      <c r="KD5" s="5">
        <f t="shared" si="1082"/>
        <v>121</v>
      </c>
      <c r="KE5" s="5">
        <f t="shared" si="1082"/>
        <v>122</v>
      </c>
      <c r="KF5" s="5">
        <f t="shared" si="1082"/>
        <v>123</v>
      </c>
      <c r="KG5" s="5">
        <f t="shared" si="1082"/>
        <v>124</v>
      </c>
      <c r="KH5" s="5">
        <f t="shared" si="1082"/>
        <v>125</v>
      </c>
      <c r="KI5" s="5">
        <f t="shared" si="1082"/>
        <v>126</v>
      </c>
      <c r="KJ5" s="5">
        <f t="shared" si="1082"/>
        <v>127</v>
      </c>
      <c r="KK5" s="5">
        <f t="shared" si="1082"/>
        <v>128</v>
      </c>
      <c r="KL5" s="5">
        <f t="shared" si="1082"/>
        <v>129</v>
      </c>
      <c r="KM5" s="5">
        <f t="shared" si="1082"/>
        <v>130</v>
      </c>
      <c r="KN5" s="5">
        <f t="shared" ref="KN5:KO5" si="1083">+KM5+1</f>
        <v>131</v>
      </c>
      <c r="KO5" s="5">
        <f t="shared" si="1083"/>
        <v>132</v>
      </c>
      <c r="KP5" s="62" t="s">
        <v>74</v>
      </c>
      <c r="KQ5" s="62"/>
      <c r="KR5" s="65" t="s">
        <v>76</v>
      </c>
      <c r="KS5" s="5">
        <v>1</v>
      </c>
      <c r="KT5" s="5">
        <f>+KS5+1</f>
        <v>2</v>
      </c>
      <c r="KU5" s="5">
        <f t="shared" ref="KU5:NF5" si="1084">+KT5+1</f>
        <v>3</v>
      </c>
      <c r="KV5" s="5">
        <f t="shared" si="1084"/>
        <v>4</v>
      </c>
      <c r="KW5" s="5">
        <f t="shared" si="1084"/>
        <v>5</v>
      </c>
      <c r="KX5" s="5">
        <f t="shared" si="1084"/>
        <v>6</v>
      </c>
      <c r="KY5" s="5">
        <f t="shared" si="1084"/>
        <v>7</v>
      </c>
      <c r="KZ5" s="5">
        <f t="shared" si="1084"/>
        <v>8</v>
      </c>
      <c r="LA5" s="5">
        <f t="shared" si="1084"/>
        <v>9</v>
      </c>
      <c r="LB5" s="5">
        <f t="shared" si="1084"/>
        <v>10</v>
      </c>
      <c r="LC5" s="5">
        <f t="shared" si="1084"/>
        <v>11</v>
      </c>
      <c r="LD5" s="5">
        <f t="shared" si="1084"/>
        <v>12</v>
      </c>
      <c r="LE5" s="5">
        <f t="shared" si="1084"/>
        <v>13</v>
      </c>
      <c r="LF5" s="5">
        <f t="shared" si="1084"/>
        <v>14</v>
      </c>
      <c r="LG5" s="5">
        <f t="shared" si="1084"/>
        <v>15</v>
      </c>
      <c r="LH5" s="5">
        <f t="shared" si="1084"/>
        <v>16</v>
      </c>
      <c r="LI5" s="5">
        <f t="shared" si="1084"/>
        <v>17</v>
      </c>
      <c r="LJ5" s="5">
        <f t="shared" si="1084"/>
        <v>18</v>
      </c>
      <c r="LK5" s="5">
        <f t="shared" si="1084"/>
        <v>19</v>
      </c>
      <c r="LL5" s="5">
        <f t="shared" si="1084"/>
        <v>20</v>
      </c>
      <c r="LM5" s="5">
        <f t="shared" si="1084"/>
        <v>21</v>
      </c>
      <c r="LN5" s="5">
        <f t="shared" si="1084"/>
        <v>22</v>
      </c>
      <c r="LO5" s="5">
        <f t="shared" si="1084"/>
        <v>23</v>
      </c>
      <c r="LP5" s="5">
        <f t="shared" si="1084"/>
        <v>24</v>
      </c>
      <c r="LQ5" s="5">
        <f t="shared" si="1084"/>
        <v>25</v>
      </c>
      <c r="LR5" s="5">
        <f t="shared" si="1084"/>
        <v>26</v>
      </c>
      <c r="LS5" s="5">
        <f t="shared" si="1084"/>
        <v>27</v>
      </c>
      <c r="LT5" s="5">
        <f t="shared" si="1084"/>
        <v>28</v>
      </c>
      <c r="LU5" s="5">
        <f t="shared" si="1084"/>
        <v>29</v>
      </c>
      <c r="LV5" s="5">
        <f t="shared" si="1084"/>
        <v>30</v>
      </c>
      <c r="LW5" s="5">
        <f t="shared" si="1084"/>
        <v>31</v>
      </c>
      <c r="LX5" s="5">
        <f t="shared" si="1084"/>
        <v>32</v>
      </c>
      <c r="LY5" s="5">
        <f t="shared" si="1084"/>
        <v>33</v>
      </c>
      <c r="LZ5" s="5">
        <f t="shared" si="1084"/>
        <v>34</v>
      </c>
      <c r="MA5" s="5">
        <f t="shared" si="1084"/>
        <v>35</v>
      </c>
      <c r="MB5" s="5">
        <f t="shared" si="1084"/>
        <v>36</v>
      </c>
      <c r="MC5" s="5">
        <f t="shared" si="1084"/>
        <v>37</v>
      </c>
      <c r="MD5" s="5">
        <f t="shared" si="1084"/>
        <v>38</v>
      </c>
      <c r="ME5" s="5">
        <f t="shared" si="1084"/>
        <v>39</v>
      </c>
      <c r="MF5" s="5">
        <f t="shared" si="1084"/>
        <v>40</v>
      </c>
      <c r="MG5" s="5">
        <f t="shared" si="1084"/>
        <v>41</v>
      </c>
      <c r="MH5" s="5">
        <f t="shared" si="1084"/>
        <v>42</v>
      </c>
      <c r="MI5" s="5">
        <f t="shared" si="1084"/>
        <v>43</v>
      </c>
      <c r="MJ5" s="5">
        <f t="shared" si="1084"/>
        <v>44</v>
      </c>
      <c r="MK5" s="5">
        <f t="shared" si="1084"/>
        <v>45</v>
      </c>
      <c r="ML5" s="5">
        <f t="shared" si="1084"/>
        <v>46</v>
      </c>
      <c r="MM5" s="5">
        <f t="shared" si="1084"/>
        <v>47</v>
      </c>
      <c r="MN5" s="5">
        <f t="shared" si="1084"/>
        <v>48</v>
      </c>
      <c r="MO5" s="5">
        <f t="shared" si="1084"/>
        <v>49</v>
      </c>
      <c r="MP5" s="5">
        <f t="shared" si="1084"/>
        <v>50</v>
      </c>
      <c r="MQ5" s="5">
        <f t="shared" si="1084"/>
        <v>51</v>
      </c>
      <c r="MR5" s="5">
        <f t="shared" si="1084"/>
        <v>52</v>
      </c>
      <c r="MS5" s="5">
        <f t="shared" si="1084"/>
        <v>53</v>
      </c>
      <c r="MT5" s="5">
        <f t="shared" si="1084"/>
        <v>54</v>
      </c>
      <c r="MU5" s="5">
        <f t="shared" si="1084"/>
        <v>55</v>
      </c>
      <c r="MV5" s="5">
        <f t="shared" si="1084"/>
        <v>56</v>
      </c>
      <c r="MW5" s="5">
        <f t="shared" si="1084"/>
        <v>57</v>
      </c>
      <c r="MX5" s="5">
        <f t="shared" si="1084"/>
        <v>58</v>
      </c>
      <c r="MY5" s="5">
        <f t="shared" si="1084"/>
        <v>59</v>
      </c>
      <c r="MZ5" s="5">
        <f t="shared" si="1084"/>
        <v>60</v>
      </c>
      <c r="NA5" s="5">
        <f t="shared" si="1084"/>
        <v>61</v>
      </c>
      <c r="NB5" s="5">
        <f t="shared" si="1084"/>
        <v>62</v>
      </c>
      <c r="NC5" s="5">
        <f t="shared" si="1084"/>
        <v>63</v>
      </c>
      <c r="ND5" s="5">
        <f t="shared" si="1084"/>
        <v>64</v>
      </c>
      <c r="NE5" s="5">
        <f t="shared" si="1084"/>
        <v>65</v>
      </c>
      <c r="NF5" s="5">
        <f t="shared" si="1084"/>
        <v>66</v>
      </c>
      <c r="NG5" s="5">
        <f t="shared" ref="NG5:PR5" si="1085">+NF5+1</f>
        <v>67</v>
      </c>
      <c r="NH5" s="5">
        <f t="shared" si="1085"/>
        <v>68</v>
      </c>
      <c r="NI5" s="5">
        <f t="shared" si="1085"/>
        <v>69</v>
      </c>
      <c r="NJ5" s="5">
        <f t="shared" si="1085"/>
        <v>70</v>
      </c>
      <c r="NK5" s="5">
        <f t="shared" si="1085"/>
        <v>71</v>
      </c>
      <c r="NL5" s="5">
        <f t="shared" si="1085"/>
        <v>72</v>
      </c>
      <c r="NM5" s="5">
        <f t="shared" si="1085"/>
        <v>73</v>
      </c>
      <c r="NN5" s="5">
        <f t="shared" si="1085"/>
        <v>74</v>
      </c>
      <c r="NO5" s="5">
        <f t="shared" si="1085"/>
        <v>75</v>
      </c>
      <c r="NP5" s="5">
        <f t="shared" si="1085"/>
        <v>76</v>
      </c>
      <c r="NQ5" s="5">
        <f t="shared" si="1085"/>
        <v>77</v>
      </c>
      <c r="NR5" s="5">
        <f t="shared" si="1085"/>
        <v>78</v>
      </c>
      <c r="NS5" s="5">
        <f t="shared" si="1085"/>
        <v>79</v>
      </c>
      <c r="NT5" s="5">
        <f t="shared" si="1085"/>
        <v>80</v>
      </c>
      <c r="NU5" s="5">
        <f t="shared" si="1085"/>
        <v>81</v>
      </c>
      <c r="NV5" s="5">
        <f t="shared" si="1085"/>
        <v>82</v>
      </c>
      <c r="NW5" s="5">
        <f t="shared" si="1085"/>
        <v>83</v>
      </c>
      <c r="NX5" s="5">
        <f t="shared" si="1085"/>
        <v>84</v>
      </c>
      <c r="NY5" s="5">
        <f t="shared" si="1085"/>
        <v>85</v>
      </c>
      <c r="NZ5" s="5">
        <f t="shared" si="1085"/>
        <v>86</v>
      </c>
      <c r="OA5" s="5">
        <f t="shared" si="1085"/>
        <v>87</v>
      </c>
      <c r="OB5" s="5">
        <f t="shared" si="1085"/>
        <v>88</v>
      </c>
      <c r="OC5" s="5">
        <f t="shared" si="1085"/>
        <v>89</v>
      </c>
      <c r="OD5" s="5">
        <f t="shared" si="1085"/>
        <v>90</v>
      </c>
      <c r="OE5" s="5">
        <f t="shared" si="1085"/>
        <v>91</v>
      </c>
      <c r="OF5" s="5">
        <f t="shared" si="1085"/>
        <v>92</v>
      </c>
      <c r="OG5" s="5">
        <f t="shared" si="1085"/>
        <v>93</v>
      </c>
      <c r="OH5" s="5">
        <f t="shared" si="1085"/>
        <v>94</v>
      </c>
      <c r="OI5" s="5">
        <f t="shared" si="1085"/>
        <v>95</v>
      </c>
      <c r="OJ5" s="5">
        <f t="shared" si="1085"/>
        <v>96</v>
      </c>
      <c r="OK5" s="5">
        <f t="shared" si="1085"/>
        <v>97</v>
      </c>
      <c r="OL5" s="5">
        <f t="shared" si="1085"/>
        <v>98</v>
      </c>
      <c r="OM5" s="5">
        <f t="shared" si="1085"/>
        <v>99</v>
      </c>
      <c r="ON5" s="5">
        <f t="shared" si="1085"/>
        <v>100</v>
      </c>
      <c r="OO5" s="5">
        <f t="shared" si="1085"/>
        <v>101</v>
      </c>
      <c r="OP5" s="5">
        <f t="shared" si="1085"/>
        <v>102</v>
      </c>
      <c r="OQ5" s="5">
        <f t="shared" si="1085"/>
        <v>103</v>
      </c>
      <c r="OR5" s="5">
        <f t="shared" si="1085"/>
        <v>104</v>
      </c>
      <c r="OS5" s="5">
        <f t="shared" si="1085"/>
        <v>105</v>
      </c>
      <c r="OT5" s="5">
        <f t="shared" si="1085"/>
        <v>106</v>
      </c>
      <c r="OU5" s="5">
        <f t="shared" si="1085"/>
        <v>107</v>
      </c>
      <c r="OV5" s="5">
        <f t="shared" si="1085"/>
        <v>108</v>
      </c>
      <c r="OW5" s="5">
        <f t="shared" si="1085"/>
        <v>109</v>
      </c>
      <c r="OX5" s="5">
        <f t="shared" si="1085"/>
        <v>110</v>
      </c>
      <c r="OY5" s="5">
        <f t="shared" si="1085"/>
        <v>111</v>
      </c>
      <c r="OZ5" s="5">
        <f t="shared" si="1085"/>
        <v>112</v>
      </c>
      <c r="PA5" s="5">
        <f t="shared" si="1085"/>
        <v>113</v>
      </c>
      <c r="PB5" s="5">
        <f t="shared" si="1085"/>
        <v>114</v>
      </c>
      <c r="PC5" s="5">
        <f t="shared" si="1085"/>
        <v>115</v>
      </c>
      <c r="PD5" s="5">
        <f t="shared" si="1085"/>
        <v>116</v>
      </c>
      <c r="PE5" s="5">
        <f t="shared" si="1085"/>
        <v>117</v>
      </c>
      <c r="PF5" s="5">
        <f t="shared" si="1085"/>
        <v>118</v>
      </c>
      <c r="PG5" s="5">
        <f t="shared" si="1085"/>
        <v>119</v>
      </c>
      <c r="PH5" s="5">
        <f t="shared" si="1085"/>
        <v>120</v>
      </c>
      <c r="PI5" s="5">
        <f t="shared" si="1085"/>
        <v>121</v>
      </c>
      <c r="PJ5" s="5">
        <f t="shared" si="1085"/>
        <v>122</v>
      </c>
      <c r="PK5" s="5">
        <f t="shared" si="1085"/>
        <v>123</v>
      </c>
      <c r="PL5" s="5">
        <f t="shared" si="1085"/>
        <v>124</v>
      </c>
      <c r="PM5" s="5">
        <f t="shared" si="1085"/>
        <v>125</v>
      </c>
      <c r="PN5" s="5">
        <f t="shared" si="1085"/>
        <v>126</v>
      </c>
      <c r="PO5" s="5">
        <f t="shared" si="1085"/>
        <v>127</v>
      </c>
      <c r="PP5" s="5">
        <f t="shared" si="1085"/>
        <v>128</v>
      </c>
      <c r="PQ5" s="5">
        <f t="shared" si="1085"/>
        <v>129</v>
      </c>
      <c r="PR5" s="5">
        <f t="shared" si="1085"/>
        <v>130</v>
      </c>
      <c r="PS5" s="5">
        <f t="shared" ref="PS5:PT5" si="1086">+PR5+1</f>
        <v>131</v>
      </c>
      <c r="PT5" s="5">
        <f t="shared" si="1086"/>
        <v>132</v>
      </c>
      <c r="PU5" s="62"/>
      <c r="PW5" s="6" t="s">
        <v>76</v>
      </c>
      <c r="PX5" s="5">
        <v>1</v>
      </c>
      <c r="PY5" s="5">
        <f>+PX5+1</f>
        <v>2</v>
      </c>
      <c r="PZ5" s="5">
        <f t="shared" ref="PZ5:SK5" si="1087">+PY5+1</f>
        <v>3</v>
      </c>
      <c r="QA5" s="5">
        <f t="shared" si="1087"/>
        <v>4</v>
      </c>
      <c r="QB5" s="5">
        <f t="shared" si="1087"/>
        <v>5</v>
      </c>
      <c r="QC5" s="5">
        <f t="shared" si="1087"/>
        <v>6</v>
      </c>
      <c r="QD5" s="5">
        <f t="shared" si="1087"/>
        <v>7</v>
      </c>
      <c r="QE5" s="5">
        <f t="shared" si="1087"/>
        <v>8</v>
      </c>
      <c r="QF5" s="5">
        <f t="shared" si="1087"/>
        <v>9</v>
      </c>
      <c r="QG5" s="5">
        <f t="shared" si="1087"/>
        <v>10</v>
      </c>
      <c r="QH5" s="5">
        <f t="shared" si="1087"/>
        <v>11</v>
      </c>
      <c r="QI5" s="5">
        <f t="shared" si="1087"/>
        <v>12</v>
      </c>
      <c r="QJ5" s="5">
        <f t="shared" si="1087"/>
        <v>13</v>
      </c>
      <c r="QK5" s="5">
        <f t="shared" si="1087"/>
        <v>14</v>
      </c>
      <c r="QL5" s="5">
        <f t="shared" si="1087"/>
        <v>15</v>
      </c>
      <c r="QM5" s="5">
        <f t="shared" si="1087"/>
        <v>16</v>
      </c>
      <c r="QN5" s="5">
        <f t="shared" si="1087"/>
        <v>17</v>
      </c>
      <c r="QO5" s="5">
        <f t="shared" si="1087"/>
        <v>18</v>
      </c>
      <c r="QP5" s="5">
        <f t="shared" si="1087"/>
        <v>19</v>
      </c>
      <c r="QQ5" s="5">
        <f t="shared" si="1087"/>
        <v>20</v>
      </c>
      <c r="QR5" s="5">
        <f t="shared" si="1087"/>
        <v>21</v>
      </c>
      <c r="QS5" s="5">
        <f t="shared" si="1087"/>
        <v>22</v>
      </c>
      <c r="QT5" s="5">
        <f t="shared" si="1087"/>
        <v>23</v>
      </c>
      <c r="QU5" s="5">
        <f t="shared" si="1087"/>
        <v>24</v>
      </c>
      <c r="QV5" s="5">
        <f t="shared" si="1087"/>
        <v>25</v>
      </c>
      <c r="QW5" s="5">
        <f t="shared" si="1087"/>
        <v>26</v>
      </c>
      <c r="QX5" s="5">
        <f t="shared" si="1087"/>
        <v>27</v>
      </c>
      <c r="QY5" s="5">
        <f t="shared" si="1087"/>
        <v>28</v>
      </c>
      <c r="QZ5" s="5">
        <f t="shared" si="1087"/>
        <v>29</v>
      </c>
      <c r="RA5" s="5">
        <f t="shared" si="1087"/>
        <v>30</v>
      </c>
      <c r="RB5" s="5">
        <f t="shared" si="1087"/>
        <v>31</v>
      </c>
      <c r="RC5" s="5">
        <f t="shared" si="1087"/>
        <v>32</v>
      </c>
      <c r="RD5" s="5">
        <f t="shared" si="1087"/>
        <v>33</v>
      </c>
      <c r="RE5" s="5">
        <f t="shared" si="1087"/>
        <v>34</v>
      </c>
      <c r="RF5" s="5">
        <f t="shared" si="1087"/>
        <v>35</v>
      </c>
      <c r="RG5" s="5">
        <f t="shared" si="1087"/>
        <v>36</v>
      </c>
      <c r="RH5" s="5">
        <f t="shared" si="1087"/>
        <v>37</v>
      </c>
      <c r="RI5" s="5">
        <f t="shared" si="1087"/>
        <v>38</v>
      </c>
      <c r="RJ5" s="5">
        <f t="shared" si="1087"/>
        <v>39</v>
      </c>
      <c r="RK5" s="5">
        <f t="shared" si="1087"/>
        <v>40</v>
      </c>
      <c r="RL5" s="5">
        <f t="shared" si="1087"/>
        <v>41</v>
      </c>
      <c r="RM5" s="5">
        <f t="shared" si="1087"/>
        <v>42</v>
      </c>
      <c r="RN5" s="5">
        <f t="shared" si="1087"/>
        <v>43</v>
      </c>
      <c r="RO5" s="5">
        <f t="shared" si="1087"/>
        <v>44</v>
      </c>
      <c r="RP5" s="5">
        <f t="shared" si="1087"/>
        <v>45</v>
      </c>
      <c r="RQ5" s="5">
        <f t="shared" si="1087"/>
        <v>46</v>
      </c>
      <c r="RR5" s="5">
        <f t="shared" si="1087"/>
        <v>47</v>
      </c>
      <c r="RS5" s="5">
        <f t="shared" si="1087"/>
        <v>48</v>
      </c>
      <c r="RT5" s="5">
        <f t="shared" si="1087"/>
        <v>49</v>
      </c>
      <c r="RU5" s="5">
        <f t="shared" si="1087"/>
        <v>50</v>
      </c>
      <c r="RV5" s="5">
        <f t="shared" si="1087"/>
        <v>51</v>
      </c>
      <c r="RW5" s="5">
        <f t="shared" si="1087"/>
        <v>52</v>
      </c>
      <c r="RX5" s="5">
        <f t="shared" si="1087"/>
        <v>53</v>
      </c>
      <c r="RY5" s="5">
        <f t="shared" si="1087"/>
        <v>54</v>
      </c>
      <c r="RZ5" s="5">
        <f t="shared" si="1087"/>
        <v>55</v>
      </c>
      <c r="SA5" s="5">
        <f t="shared" si="1087"/>
        <v>56</v>
      </c>
      <c r="SB5" s="5">
        <f t="shared" si="1087"/>
        <v>57</v>
      </c>
      <c r="SC5" s="5">
        <f t="shared" si="1087"/>
        <v>58</v>
      </c>
      <c r="SD5" s="5">
        <f t="shared" si="1087"/>
        <v>59</v>
      </c>
      <c r="SE5" s="5">
        <f t="shared" si="1087"/>
        <v>60</v>
      </c>
      <c r="SF5" s="5">
        <f t="shared" si="1087"/>
        <v>61</v>
      </c>
      <c r="SG5" s="5">
        <f t="shared" si="1087"/>
        <v>62</v>
      </c>
      <c r="SH5" s="5">
        <f t="shared" si="1087"/>
        <v>63</v>
      </c>
      <c r="SI5" s="5">
        <f t="shared" si="1087"/>
        <v>64</v>
      </c>
      <c r="SJ5" s="5">
        <f t="shared" si="1087"/>
        <v>65</v>
      </c>
      <c r="SK5" s="5">
        <f t="shared" si="1087"/>
        <v>66</v>
      </c>
      <c r="SL5" s="5">
        <f t="shared" ref="SL5:UW5" si="1088">+SK5+1</f>
        <v>67</v>
      </c>
      <c r="SM5" s="5">
        <f t="shared" si="1088"/>
        <v>68</v>
      </c>
      <c r="SN5" s="5">
        <f t="shared" si="1088"/>
        <v>69</v>
      </c>
      <c r="SO5" s="5">
        <f t="shared" si="1088"/>
        <v>70</v>
      </c>
      <c r="SP5" s="5">
        <f t="shared" si="1088"/>
        <v>71</v>
      </c>
      <c r="SQ5" s="5">
        <f t="shared" si="1088"/>
        <v>72</v>
      </c>
      <c r="SR5" s="5">
        <f t="shared" si="1088"/>
        <v>73</v>
      </c>
      <c r="SS5" s="5">
        <f t="shared" si="1088"/>
        <v>74</v>
      </c>
      <c r="ST5" s="5">
        <f t="shared" si="1088"/>
        <v>75</v>
      </c>
      <c r="SU5" s="5">
        <f t="shared" si="1088"/>
        <v>76</v>
      </c>
      <c r="SV5" s="5">
        <f t="shared" si="1088"/>
        <v>77</v>
      </c>
      <c r="SW5" s="5">
        <f t="shared" si="1088"/>
        <v>78</v>
      </c>
      <c r="SX5" s="5">
        <f t="shared" si="1088"/>
        <v>79</v>
      </c>
      <c r="SY5" s="5">
        <f t="shared" si="1088"/>
        <v>80</v>
      </c>
      <c r="SZ5" s="5">
        <f t="shared" si="1088"/>
        <v>81</v>
      </c>
      <c r="TA5" s="5">
        <f t="shared" si="1088"/>
        <v>82</v>
      </c>
      <c r="TB5" s="5">
        <f t="shared" si="1088"/>
        <v>83</v>
      </c>
      <c r="TC5" s="5">
        <f t="shared" si="1088"/>
        <v>84</v>
      </c>
      <c r="TD5" s="5">
        <f t="shared" si="1088"/>
        <v>85</v>
      </c>
      <c r="TE5" s="5">
        <f t="shared" si="1088"/>
        <v>86</v>
      </c>
      <c r="TF5" s="5">
        <f t="shared" si="1088"/>
        <v>87</v>
      </c>
      <c r="TG5" s="5">
        <f t="shared" si="1088"/>
        <v>88</v>
      </c>
      <c r="TH5" s="5">
        <f t="shared" si="1088"/>
        <v>89</v>
      </c>
      <c r="TI5" s="5">
        <f t="shared" si="1088"/>
        <v>90</v>
      </c>
      <c r="TJ5" s="5">
        <f t="shared" si="1088"/>
        <v>91</v>
      </c>
      <c r="TK5" s="5">
        <f t="shared" si="1088"/>
        <v>92</v>
      </c>
      <c r="TL5" s="5">
        <f t="shared" si="1088"/>
        <v>93</v>
      </c>
      <c r="TM5" s="5">
        <f t="shared" si="1088"/>
        <v>94</v>
      </c>
      <c r="TN5" s="5">
        <f t="shared" si="1088"/>
        <v>95</v>
      </c>
      <c r="TO5" s="5">
        <f t="shared" si="1088"/>
        <v>96</v>
      </c>
      <c r="TP5" s="5">
        <f t="shared" si="1088"/>
        <v>97</v>
      </c>
      <c r="TQ5" s="5">
        <f t="shared" si="1088"/>
        <v>98</v>
      </c>
      <c r="TR5" s="5">
        <f t="shared" si="1088"/>
        <v>99</v>
      </c>
      <c r="TS5" s="5">
        <f t="shared" si="1088"/>
        <v>100</v>
      </c>
      <c r="TT5" s="5">
        <f t="shared" si="1088"/>
        <v>101</v>
      </c>
      <c r="TU5" s="5">
        <f t="shared" si="1088"/>
        <v>102</v>
      </c>
      <c r="TV5" s="5">
        <f t="shared" si="1088"/>
        <v>103</v>
      </c>
      <c r="TW5" s="5">
        <f t="shared" si="1088"/>
        <v>104</v>
      </c>
      <c r="TX5" s="5">
        <f t="shared" si="1088"/>
        <v>105</v>
      </c>
      <c r="TY5" s="5">
        <f t="shared" si="1088"/>
        <v>106</v>
      </c>
      <c r="TZ5" s="5">
        <f t="shared" si="1088"/>
        <v>107</v>
      </c>
      <c r="UA5" s="5">
        <f t="shared" si="1088"/>
        <v>108</v>
      </c>
      <c r="UB5" s="5">
        <f t="shared" si="1088"/>
        <v>109</v>
      </c>
      <c r="UC5" s="5">
        <f t="shared" si="1088"/>
        <v>110</v>
      </c>
      <c r="UD5" s="5">
        <f t="shared" si="1088"/>
        <v>111</v>
      </c>
      <c r="UE5" s="5">
        <f t="shared" si="1088"/>
        <v>112</v>
      </c>
      <c r="UF5" s="5">
        <f t="shared" si="1088"/>
        <v>113</v>
      </c>
      <c r="UG5" s="5">
        <f t="shared" si="1088"/>
        <v>114</v>
      </c>
      <c r="UH5" s="5">
        <f t="shared" si="1088"/>
        <v>115</v>
      </c>
      <c r="UI5" s="5">
        <f t="shared" si="1088"/>
        <v>116</v>
      </c>
      <c r="UJ5" s="5">
        <f t="shared" si="1088"/>
        <v>117</v>
      </c>
      <c r="UK5" s="5">
        <f t="shared" si="1088"/>
        <v>118</v>
      </c>
      <c r="UL5" s="5">
        <f t="shared" si="1088"/>
        <v>119</v>
      </c>
      <c r="UM5" s="5">
        <f t="shared" si="1088"/>
        <v>120</v>
      </c>
      <c r="UN5" s="5">
        <f t="shared" si="1088"/>
        <v>121</v>
      </c>
      <c r="UO5" s="5">
        <f t="shared" si="1088"/>
        <v>122</v>
      </c>
      <c r="UP5" s="5">
        <f t="shared" si="1088"/>
        <v>123</v>
      </c>
      <c r="UQ5" s="5">
        <f t="shared" si="1088"/>
        <v>124</v>
      </c>
      <c r="UR5" s="5">
        <f t="shared" si="1088"/>
        <v>125</v>
      </c>
      <c r="US5" s="5">
        <f t="shared" si="1088"/>
        <v>126</v>
      </c>
      <c r="UT5" s="5">
        <f t="shared" si="1088"/>
        <v>127</v>
      </c>
      <c r="UU5" s="5">
        <f t="shared" si="1088"/>
        <v>128</v>
      </c>
      <c r="UV5" s="5">
        <f t="shared" si="1088"/>
        <v>129</v>
      </c>
      <c r="UW5" s="5">
        <f t="shared" si="1088"/>
        <v>130</v>
      </c>
      <c r="UX5" s="5">
        <f t="shared" ref="UX5:UY5" si="1089">+UW5+1</f>
        <v>131</v>
      </c>
      <c r="UY5" s="5">
        <f t="shared" si="1089"/>
        <v>132</v>
      </c>
      <c r="VB5" s="5">
        <v>1</v>
      </c>
      <c r="VC5" s="5">
        <f>+VB5+1</f>
        <v>2</v>
      </c>
      <c r="VD5" s="5">
        <f t="shared" ref="VD5:XO5" si="1090">+VC5+1</f>
        <v>3</v>
      </c>
      <c r="VE5" s="5">
        <f t="shared" si="1090"/>
        <v>4</v>
      </c>
      <c r="VF5" s="5">
        <f t="shared" si="1090"/>
        <v>5</v>
      </c>
      <c r="VG5" s="5">
        <f t="shared" si="1090"/>
        <v>6</v>
      </c>
      <c r="VH5" s="5">
        <f t="shared" si="1090"/>
        <v>7</v>
      </c>
      <c r="VI5" s="5">
        <f t="shared" si="1090"/>
        <v>8</v>
      </c>
      <c r="VJ5" s="5">
        <f t="shared" si="1090"/>
        <v>9</v>
      </c>
      <c r="VK5" s="5">
        <f t="shared" si="1090"/>
        <v>10</v>
      </c>
      <c r="VL5" s="5">
        <f t="shared" si="1090"/>
        <v>11</v>
      </c>
      <c r="VM5" s="5">
        <f t="shared" si="1090"/>
        <v>12</v>
      </c>
      <c r="VN5" s="5">
        <f t="shared" si="1090"/>
        <v>13</v>
      </c>
      <c r="VO5" s="5">
        <f t="shared" si="1090"/>
        <v>14</v>
      </c>
      <c r="VP5" s="5">
        <f t="shared" si="1090"/>
        <v>15</v>
      </c>
      <c r="VQ5" s="5">
        <f t="shared" si="1090"/>
        <v>16</v>
      </c>
      <c r="VR5" s="5">
        <f t="shared" si="1090"/>
        <v>17</v>
      </c>
      <c r="VS5" s="5">
        <f t="shared" si="1090"/>
        <v>18</v>
      </c>
      <c r="VT5" s="5">
        <f t="shared" si="1090"/>
        <v>19</v>
      </c>
      <c r="VU5" s="5">
        <f t="shared" si="1090"/>
        <v>20</v>
      </c>
      <c r="VV5" s="5">
        <f t="shared" si="1090"/>
        <v>21</v>
      </c>
      <c r="VW5" s="5">
        <f t="shared" si="1090"/>
        <v>22</v>
      </c>
      <c r="VX5" s="5">
        <f t="shared" si="1090"/>
        <v>23</v>
      </c>
      <c r="VY5" s="5">
        <f t="shared" si="1090"/>
        <v>24</v>
      </c>
      <c r="VZ5" s="5">
        <f t="shared" si="1090"/>
        <v>25</v>
      </c>
      <c r="WA5" s="5">
        <f t="shared" si="1090"/>
        <v>26</v>
      </c>
      <c r="WB5" s="5">
        <f t="shared" si="1090"/>
        <v>27</v>
      </c>
      <c r="WC5" s="5">
        <f t="shared" si="1090"/>
        <v>28</v>
      </c>
      <c r="WD5" s="5">
        <f t="shared" si="1090"/>
        <v>29</v>
      </c>
      <c r="WE5" s="5">
        <f t="shared" si="1090"/>
        <v>30</v>
      </c>
      <c r="WF5" s="5">
        <f t="shared" si="1090"/>
        <v>31</v>
      </c>
      <c r="WG5" s="5">
        <f t="shared" si="1090"/>
        <v>32</v>
      </c>
      <c r="WH5" s="5">
        <f t="shared" si="1090"/>
        <v>33</v>
      </c>
      <c r="WI5" s="5">
        <f t="shared" si="1090"/>
        <v>34</v>
      </c>
      <c r="WJ5" s="5">
        <f t="shared" si="1090"/>
        <v>35</v>
      </c>
      <c r="WK5" s="5">
        <f t="shared" si="1090"/>
        <v>36</v>
      </c>
      <c r="WL5" s="5">
        <f t="shared" si="1090"/>
        <v>37</v>
      </c>
      <c r="WM5" s="5">
        <f t="shared" si="1090"/>
        <v>38</v>
      </c>
      <c r="WN5" s="5">
        <f t="shared" si="1090"/>
        <v>39</v>
      </c>
      <c r="WO5" s="5">
        <f t="shared" si="1090"/>
        <v>40</v>
      </c>
      <c r="WP5" s="5">
        <f t="shared" si="1090"/>
        <v>41</v>
      </c>
      <c r="WQ5" s="5">
        <f t="shared" si="1090"/>
        <v>42</v>
      </c>
      <c r="WR5" s="5">
        <f t="shared" si="1090"/>
        <v>43</v>
      </c>
      <c r="WS5" s="5">
        <f t="shared" si="1090"/>
        <v>44</v>
      </c>
      <c r="WT5" s="5">
        <f t="shared" si="1090"/>
        <v>45</v>
      </c>
      <c r="WU5" s="5">
        <f t="shared" si="1090"/>
        <v>46</v>
      </c>
      <c r="WV5" s="5">
        <f t="shared" si="1090"/>
        <v>47</v>
      </c>
      <c r="WW5" s="5">
        <f t="shared" si="1090"/>
        <v>48</v>
      </c>
      <c r="WX5" s="5">
        <f t="shared" si="1090"/>
        <v>49</v>
      </c>
      <c r="WY5" s="5">
        <f t="shared" si="1090"/>
        <v>50</v>
      </c>
      <c r="WZ5" s="5">
        <f t="shared" si="1090"/>
        <v>51</v>
      </c>
      <c r="XA5" s="5">
        <f t="shared" si="1090"/>
        <v>52</v>
      </c>
      <c r="XB5" s="5">
        <f t="shared" si="1090"/>
        <v>53</v>
      </c>
      <c r="XC5" s="5">
        <f t="shared" si="1090"/>
        <v>54</v>
      </c>
      <c r="XD5" s="5">
        <f t="shared" si="1090"/>
        <v>55</v>
      </c>
      <c r="XE5" s="5">
        <f t="shared" si="1090"/>
        <v>56</v>
      </c>
      <c r="XF5" s="5">
        <f t="shared" si="1090"/>
        <v>57</v>
      </c>
      <c r="XG5" s="5">
        <f t="shared" si="1090"/>
        <v>58</v>
      </c>
      <c r="XH5" s="5">
        <f t="shared" si="1090"/>
        <v>59</v>
      </c>
      <c r="XI5" s="5">
        <f t="shared" si="1090"/>
        <v>60</v>
      </c>
      <c r="XJ5" s="5">
        <f t="shared" si="1090"/>
        <v>61</v>
      </c>
      <c r="XK5" s="5">
        <f t="shared" si="1090"/>
        <v>62</v>
      </c>
      <c r="XL5" s="5">
        <f t="shared" si="1090"/>
        <v>63</v>
      </c>
      <c r="XM5" s="5">
        <f t="shared" si="1090"/>
        <v>64</v>
      </c>
      <c r="XN5" s="5">
        <f t="shared" si="1090"/>
        <v>65</v>
      </c>
      <c r="XO5" s="5">
        <f t="shared" si="1090"/>
        <v>66</v>
      </c>
      <c r="XP5" s="5">
        <f t="shared" ref="XP5:AAA5" si="1091">+XO5+1</f>
        <v>67</v>
      </c>
      <c r="XQ5" s="5">
        <f t="shared" si="1091"/>
        <v>68</v>
      </c>
      <c r="XR5" s="5">
        <f t="shared" si="1091"/>
        <v>69</v>
      </c>
      <c r="XS5" s="5">
        <f t="shared" si="1091"/>
        <v>70</v>
      </c>
      <c r="XT5" s="5">
        <f t="shared" si="1091"/>
        <v>71</v>
      </c>
      <c r="XU5" s="5">
        <f t="shared" si="1091"/>
        <v>72</v>
      </c>
      <c r="XV5" s="5">
        <f t="shared" si="1091"/>
        <v>73</v>
      </c>
      <c r="XW5" s="5">
        <f t="shared" si="1091"/>
        <v>74</v>
      </c>
      <c r="XX5" s="5">
        <f t="shared" si="1091"/>
        <v>75</v>
      </c>
      <c r="XY5" s="5">
        <f t="shared" si="1091"/>
        <v>76</v>
      </c>
      <c r="XZ5" s="5">
        <f t="shared" si="1091"/>
        <v>77</v>
      </c>
      <c r="YA5" s="5">
        <f t="shared" si="1091"/>
        <v>78</v>
      </c>
      <c r="YB5" s="5">
        <f t="shared" si="1091"/>
        <v>79</v>
      </c>
      <c r="YC5" s="5">
        <f t="shared" si="1091"/>
        <v>80</v>
      </c>
      <c r="YD5" s="5">
        <f t="shared" si="1091"/>
        <v>81</v>
      </c>
      <c r="YE5" s="5">
        <f t="shared" si="1091"/>
        <v>82</v>
      </c>
      <c r="YF5" s="5">
        <f t="shared" si="1091"/>
        <v>83</v>
      </c>
      <c r="YG5" s="5">
        <f t="shared" si="1091"/>
        <v>84</v>
      </c>
      <c r="YH5" s="5">
        <f t="shared" si="1091"/>
        <v>85</v>
      </c>
      <c r="YI5" s="5">
        <f t="shared" si="1091"/>
        <v>86</v>
      </c>
      <c r="YJ5" s="5">
        <f t="shared" si="1091"/>
        <v>87</v>
      </c>
      <c r="YK5" s="5">
        <f t="shared" si="1091"/>
        <v>88</v>
      </c>
      <c r="YL5" s="5">
        <f t="shared" si="1091"/>
        <v>89</v>
      </c>
      <c r="YM5" s="5">
        <f t="shared" si="1091"/>
        <v>90</v>
      </c>
      <c r="YN5" s="5">
        <f t="shared" si="1091"/>
        <v>91</v>
      </c>
      <c r="YO5" s="5">
        <f t="shared" si="1091"/>
        <v>92</v>
      </c>
      <c r="YP5" s="5">
        <f t="shared" si="1091"/>
        <v>93</v>
      </c>
      <c r="YQ5" s="5">
        <f t="shared" si="1091"/>
        <v>94</v>
      </c>
      <c r="YR5" s="5">
        <f t="shared" si="1091"/>
        <v>95</v>
      </c>
      <c r="YS5" s="5">
        <f t="shared" si="1091"/>
        <v>96</v>
      </c>
      <c r="YT5" s="5">
        <f t="shared" si="1091"/>
        <v>97</v>
      </c>
      <c r="YU5" s="5">
        <f t="shared" si="1091"/>
        <v>98</v>
      </c>
      <c r="YV5" s="5">
        <f t="shared" si="1091"/>
        <v>99</v>
      </c>
      <c r="YW5" s="5">
        <f t="shared" si="1091"/>
        <v>100</v>
      </c>
      <c r="YX5" s="5">
        <f t="shared" si="1091"/>
        <v>101</v>
      </c>
      <c r="YY5" s="5">
        <f t="shared" si="1091"/>
        <v>102</v>
      </c>
      <c r="YZ5" s="5">
        <f t="shared" si="1091"/>
        <v>103</v>
      </c>
      <c r="ZA5" s="5">
        <f t="shared" si="1091"/>
        <v>104</v>
      </c>
      <c r="ZB5" s="5">
        <f t="shared" si="1091"/>
        <v>105</v>
      </c>
      <c r="ZC5" s="5">
        <f t="shared" si="1091"/>
        <v>106</v>
      </c>
      <c r="ZD5" s="5">
        <f t="shared" si="1091"/>
        <v>107</v>
      </c>
      <c r="ZE5" s="5">
        <f t="shared" si="1091"/>
        <v>108</v>
      </c>
      <c r="ZF5" s="5">
        <f t="shared" si="1091"/>
        <v>109</v>
      </c>
      <c r="ZG5" s="5">
        <f t="shared" si="1091"/>
        <v>110</v>
      </c>
      <c r="ZH5" s="5">
        <f t="shared" si="1091"/>
        <v>111</v>
      </c>
      <c r="ZI5" s="5">
        <f t="shared" si="1091"/>
        <v>112</v>
      </c>
      <c r="ZJ5" s="5">
        <f t="shared" si="1091"/>
        <v>113</v>
      </c>
      <c r="ZK5" s="5">
        <f t="shared" si="1091"/>
        <v>114</v>
      </c>
      <c r="ZL5" s="5">
        <f t="shared" si="1091"/>
        <v>115</v>
      </c>
      <c r="ZM5" s="5">
        <f t="shared" si="1091"/>
        <v>116</v>
      </c>
      <c r="ZN5" s="5">
        <f t="shared" si="1091"/>
        <v>117</v>
      </c>
      <c r="ZO5" s="5">
        <f t="shared" si="1091"/>
        <v>118</v>
      </c>
      <c r="ZP5" s="5">
        <f t="shared" si="1091"/>
        <v>119</v>
      </c>
      <c r="ZQ5" s="5">
        <f t="shared" si="1091"/>
        <v>120</v>
      </c>
      <c r="ZR5" s="5">
        <f t="shared" si="1091"/>
        <v>121</v>
      </c>
      <c r="ZS5" s="5">
        <f t="shared" si="1091"/>
        <v>122</v>
      </c>
      <c r="ZT5" s="5">
        <f t="shared" si="1091"/>
        <v>123</v>
      </c>
      <c r="ZU5" s="5">
        <f t="shared" si="1091"/>
        <v>124</v>
      </c>
      <c r="ZV5" s="5">
        <f t="shared" si="1091"/>
        <v>125</v>
      </c>
      <c r="ZW5" s="5">
        <f t="shared" si="1091"/>
        <v>126</v>
      </c>
      <c r="ZX5" s="5">
        <f t="shared" si="1091"/>
        <v>127</v>
      </c>
      <c r="ZY5" s="5">
        <f t="shared" si="1091"/>
        <v>128</v>
      </c>
      <c r="ZZ5" s="5">
        <f t="shared" si="1091"/>
        <v>129</v>
      </c>
      <c r="AAA5" s="5">
        <f t="shared" si="1091"/>
        <v>130</v>
      </c>
      <c r="AAB5" s="5">
        <f t="shared" ref="AAB5:AAC5" si="1092">+AAA5+1</f>
        <v>131</v>
      </c>
      <c r="AAC5" s="5">
        <f t="shared" si="1092"/>
        <v>132</v>
      </c>
      <c r="AAF5" s="5">
        <v>1</v>
      </c>
      <c r="AAG5" s="5">
        <f>+AAF5+1</f>
        <v>2</v>
      </c>
      <c r="AAH5" s="5">
        <f t="shared" ref="AAH5:ACS5" si="1093">+AAG5+1</f>
        <v>3</v>
      </c>
      <c r="AAI5" s="5">
        <f t="shared" si="1093"/>
        <v>4</v>
      </c>
      <c r="AAJ5" s="5">
        <f t="shared" si="1093"/>
        <v>5</v>
      </c>
      <c r="AAK5" s="5">
        <f t="shared" si="1093"/>
        <v>6</v>
      </c>
      <c r="AAL5" s="5">
        <f t="shared" si="1093"/>
        <v>7</v>
      </c>
      <c r="AAM5" s="5">
        <f t="shared" si="1093"/>
        <v>8</v>
      </c>
      <c r="AAN5" s="5">
        <f t="shared" si="1093"/>
        <v>9</v>
      </c>
      <c r="AAO5" s="5">
        <f t="shared" si="1093"/>
        <v>10</v>
      </c>
      <c r="AAP5" s="5">
        <f t="shared" si="1093"/>
        <v>11</v>
      </c>
      <c r="AAQ5" s="5">
        <f t="shared" si="1093"/>
        <v>12</v>
      </c>
      <c r="AAR5" s="5">
        <f t="shared" si="1093"/>
        <v>13</v>
      </c>
      <c r="AAS5" s="5">
        <f t="shared" si="1093"/>
        <v>14</v>
      </c>
      <c r="AAT5" s="5">
        <f t="shared" si="1093"/>
        <v>15</v>
      </c>
      <c r="AAU5" s="5">
        <f t="shared" si="1093"/>
        <v>16</v>
      </c>
      <c r="AAV5" s="5">
        <f t="shared" si="1093"/>
        <v>17</v>
      </c>
      <c r="AAW5" s="5">
        <f t="shared" si="1093"/>
        <v>18</v>
      </c>
      <c r="AAX5" s="5">
        <f t="shared" si="1093"/>
        <v>19</v>
      </c>
      <c r="AAY5" s="5">
        <f t="shared" si="1093"/>
        <v>20</v>
      </c>
      <c r="AAZ5" s="5">
        <f t="shared" si="1093"/>
        <v>21</v>
      </c>
      <c r="ABA5" s="5">
        <f t="shared" si="1093"/>
        <v>22</v>
      </c>
      <c r="ABB5" s="5">
        <f t="shared" si="1093"/>
        <v>23</v>
      </c>
      <c r="ABC5" s="5">
        <f t="shared" si="1093"/>
        <v>24</v>
      </c>
      <c r="ABD5" s="5">
        <f t="shared" si="1093"/>
        <v>25</v>
      </c>
      <c r="ABE5" s="5">
        <f t="shared" si="1093"/>
        <v>26</v>
      </c>
      <c r="ABF5" s="5">
        <f t="shared" si="1093"/>
        <v>27</v>
      </c>
      <c r="ABG5" s="5">
        <f t="shared" si="1093"/>
        <v>28</v>
      </c>
      <c r="ABH5" s="5">
        <f t="shared" si="1093"/>
        <v>29</v>
      </c>
      <c r="ABI5" s="5">
        <f t="shared" si="1093"/>
        <v>30</v>
      </c>
      <c r="ABJ5" s="5">
        <f t="shared" si="1093"/>
        <v>31</v>
      </c>
      <c r="ABK5" s="5">
        <f t="shared" si="1093"/>
        <v>32</v>
      </c>
      <c r="ABL5" s="5">
        <f t="shared" si="1093"/>
        <v>33</v>
      </c>
      <c r="ABM5" s="5">
        <f t="shared" si="1093"/>
        <v>34</v>
      </c>
      <c r="ABN5" s="5">
        <f t="shared" si="1093"/>
        <v>35</v>
      </c>
      <c r="ABO5" s="5">
        <f t="shared" si="1093"/>
        <v>36</v>
      </c>
      <c r="ABP5" s="5">
        <f t="shared" si="1093"/>
        <v>37</v>
      </c>
      <c r="ABQ5" s="5">
        <f t="shared" si="1093"/>
        <v>38</v>
      </c>
      <c r="ABR5" s="5">
        <f t="shared" si="1093"/>
        <v>39</v>
      </c>
      <c r="ABS5" s="5">
        <f t="shared" si="1093"/>
        <v>40</v>
      </c>
      <c r="ABT5" s="5">
        <f t="shared" si="1093"/>
        <v>41</v>
      </c>
      <c r="ABU5" s="5">
        <f t="shared" si="1093"/>
        <v>42</v>
      </c>
      <c r="ABV5" s="5">
        <f t="shared" si="1093"/>
        <v>43</v>
      </c>
      <c r="ABW5" s="5">
        <f t="shared" si="1093"/>
        <v>44</v>
      </c>
      <c r="ABX5" s="5">
        <f t="shared" si="1093"/>
        <v>45</v>
      </c>
      <c r="ABY5" s="5">
        <f t="shared" si="1093"/>
        <v>46</v>
      </c>
      <c r="ABZ5" s="5">
        <f t="shared" si="1093"/>
        <v>47</v>
      </c>
      <c r="ACA5" s="5">
        <f t="shared" si="1093"/>
        <v>48</v>
      </c>
      <c r="ACB5" s="5">
        <f t="shared" si="1093"/>
        <v>49</v>
      </c>
      <c r="ACC5" s="5">
        <f t="shared" si="1093"/>
        <v>50</v>
      </c>
      <c r="ACD5" s="5">
        <f t="shared" si="1093"/>
        <v>51</v>
      </c>
      <c r="ACE5" s="5">
        <f t="shared" si="1093"/>
        <v>52</v>
      </c>
      <c r="ACF5" s="5">
        <f t="shared" si="1093"/>
        <v>53</v>
      </c>
      <c r="ACG5" s="5">
        <f t="shared" si="1093"/>
        <v>54</v>
      </c>
      <c r="ACH5" s="5">
        <f t="shared" si="1093"/>
        <v>55</v>
      </c>
      <c r="ACI5" s="5">
        <f t="shared" si="1093"/>
        <v>56</v>
      </c>
      <c r="ACJ5" s="5">
        <f t="shared" si="1093"/>
        <v>57</v>
      </c>
      <c r="ACK5" s="5">
        <f t="shared" si="1093"/>
        <v>58</v>
      </c>
      <c r="ACL5" s="5">
        <f t="shared" si="1093"/>
        <v>59</v>
      </c>
      <c r="ACM5" s="5">
        <f t="shared" si="1093"/>
        <v>60</v>
      </c>
      <c r="ACN5" s="5">
        <f t="shared" si="1093"/>
        <v>61</v>
      </c>
      <c r="ACO5" s="5">
        <f t="shared" si="1093"/>
        <v>62</v>
      </c>
      <c r="ACP5" s="5">
        <f t="shared" si="1093"/>
        <v>63</v>
      </c>
      <c r="ACQ5" s="5">
        <f t="shared" si="1093"/>
        <v>64</v>
      </c>
      <c r="ACR5" s="5">
        <f t="shared" si="1093"/>
        <v>65</v>
      </c>
      <c r="ACS5" s="5">
        <f t="shared" si="1093"/>
        <v>66</v>
      </c>
      <c r="ACT5" s="5">
        <f t="shared" ref="ACT5:AFE5" si="1094">+ACS5+1</f>
        <v>67</v>
      </c>
      <c r="ACU5" s="5">
        <f t="shared" si="1094"/>
        <v>68</v>
      </c>
      <c r="ACV5" s="5">
        <f t="shared" si="1094"/>
        <v>69</v>
      </c>
      <c r="ACW5" s="5">
        <f t="shared" si="1094"/>
        <v>70</v>
      </c>
      <c r="ACX5" s="5">
        <f t="shared" si="1094"/>
        <v>71</v>
      </c>
      <c r="ACY5" s="5">
        <f t="shared" si="1094"/>
        <v>72</v>
      </c>
      <c r="ACZ5" s="5">
        <f t="shared" si="1094"/>
        <v>73</v>
      </c>
      <c r="ADA5" s="5">
        <f t="shared" si="1094"/>
        <v>74</v>
      </c>
      <c r="ADB5" s="5">
        <f t="shared" si="1094"/>
        <v>75</v>
      </c>
      <c r="ADC5" s="5">
        <f t="shared" si="1094"/>
        <v>76</v>
      </c>
      <c r="ADD5" s="5">
        <f t="shared" si="1094"/>
        <v>77</v>
      </c>
      <c r="ADE5" s="5">
        <f t="shared" si="1094"/>
        <v>78</v>
      </c>
      <c r="ADF5" s="5">
        <f t="shared" si="1094"/>
        <v>79</v>
      </c>
      <c r="ADG5" s="5">
        <f t="shared" si="1094"/>
        <v>80</v>
      </c>
      <c r="ADH5" s="5">
        <f t="shared" si="1094"/>
        <v>81</v>
      </c>
      <c r="ADI5" s="5">
        <f t="shared" si="1094"/>
        <v>82</v>
      </c>
      <c r="ADJ5" s="5">
        <f t="shared" si="1094"/>
        <v>83</v>
      </c>
      <c r="ADK5" s="5">
        <f t="shared" si="1094"/>
        <v>84</v>
      </c>
      <c r="ADL5" s="5">
        <f t="shared" si="1094"/>
        <v>85</v>
      </c>
      <c r="ADM5" s="5">
        <f t="shared" si="1094"/>
        <v>86</v>
      </c>
      <c r="ADN5" s="5">
        <f t="shared" si="1094"/>
        <v>87</v>
      </c>
      <c r="ADO5" s="5">
        <f t="shared" si="1094"/>
        <v>88</v>
      </c>
      <c r="ADP5" s="5">
        <f t="shared" si="1094"/>
        <v>89</v>
      </c>
      <c r="ADQ5" s="5">
        <f t="shared" si="1094"/>
        <v>90</v>
      </c>
      <c r="ADR5" s="5">
        <f t="shared" si="1094"/>
        <v>91</v>
      </c>
      <c r="ADS5" s="5">
        <f t="shared" si="1094"/>
        <v>92</v>
      </c>
      <c r="ADT5" s="5">
        <f t="shared" si="1094"/>
        <v>93</v>
      </c>
      <c r="ADU5" s="5">
        <f t="shared" si="1094"/>
        <v>94</v>
      </c>
      <c r="ADV5" s="5">
        <f t="shared" si="1094"/>
        <v>95</v>
      </c>
      <c r="ADW5" s="5">
        <f t="shared" si="1094"/>
        <v>96</v>
      </c>
      <c r="ADX5" s="5">
        <f t="shared" si="1094"/>
        <v>97</v>
      </c>
      <c r="ADY5" s="5">
        <f t="shared" si="1094"/>
        <v>98</v>
      </c>
      <c r="ADZ5" s="5">
        <f t="shared" si="1094"/>
        <v>99</v>
      </c>
      <c r="AEA5" s="5">
        <f t="shared" si="1094"/>
        <v>100</v>
      </c>
      <c r="AEB5" s="5">
        <f t="shared" si="1094"/>
        <v>101</v>
      </c>
      <c r="AEC5" s="5">
        <f t="shared" si="1094"/>
        <v>102</v>
      </c>
      <c r="AED5" s="5">
        <f t="shared" si="1094"/>
        <v>103</v>
      </c>
      <c r="AEE5" s="5">
        <f t="shared" si="1094"/>
        <v>104</v>
      </c>
      <c r="AEF5" s="5">
        <f t="shared" si="1094"/>
        <v>105</v>
      </c>
      <c r="AEG5" s="5">
        <f t="shared" si="1094"/>
        <v>106</v>
      </c>
      <c r="AEH5" s="5">
        <f t="shared" si="1094"/>
        <v>107</v>
      </c>
      <c r="AEI5" s="5">
        <f t="shared" si="1094"/>
        <v>108</v>
      </c>
      <c r="AEJ5" s="5">
        <f t="shared" si="1094"/>
        <v>109</v>
      </c>
      <c r="AEK5" s="5">
        <f t="shared" si="1094"/>
        <v>110</v>
      </c>
      <c r="AEL5" s="5">
        <f t="shared" si="1094"/>
        <v>111</v>
      </c>
      <c r="AEM5" s="5">
        <f t="shared" si="1094"/>
        <v>112</v>
      </c>
      <c r="AEN5" s="5">
        <f t="shared" si="1094"/>
        <v>113</v>
      </c>
      <c r="AEO5" s="5">
        <f t="shared" si="1094"/>
        <v>114</v>
      </c>
      <c r="AEP5" s="5">
        <f t="shared" si="1094"/>
        <v>115</v>
      </c>
      <c r="AEQ5" s="5">
        <f t="shared" si="1094"/>
        <v>116</v>
      </c>
      <c r="AER5" s="5">
        <f t="shared" si="1094"/>
        <v>117</v>
      </c>
      <c r="AES5" s="5">
        <f t="shared" si="1094"/>
        <v>118</v>
      </c>
      <c r="AET5" s="5">
        <f t="shared" si="1094"/>
        <v>119</v>
      </c>
      <c r="AEU5" s="5">
        <f t="shared" si="1094"/>
        <v>120</v>
      </c>
      <c r="AEV5" s="5">
        <f t="shared" si="1094"/>
        <v>121</v>
      </c>
      <c r="AEW5" s="5">
        <f t="shared" si="1094"/>
        <v>122</v>
      </c>
      <c r="AEX5" s="5">
        <f t="shared" si="1094"/>
        <v>123</v>
      </c>
      <c r="AEY5" s="5">
        <f t="shared" si="1094"/>
        <v>124</v>
      </c>
      <c r="AEZ5" s="5">
        <f t="shared" si="1094"/>
        <v>125</v>
      </c>
      <c r="AFA5" s="5">
        <f t="shared" si="1094"/>
        <v>126</v>
      </c>
      <c r="AFB5" s="5">
        <f t="shared" si="1094"/>
        <v>127</v>
      </c>
      <c r="AFC5" s="5">
        <f t="shared" si="1094"/>
        <v>128</v>
      </c>
      <c r="AFD5" s="5">
        <f t="shared" si="1094"/>
        <v>129</v>
      </c>
      <c r="AFE5" s="5">
        <f t="shared" si="1094"/>
        <v>130</v>
      </c>
      <c r="AFF5" s="5">
        <f t="shared" ref="AFF5:AFG5" si="1095">+AFE5+1</f>
        <v>131</v>
      </c>
      <c r="AFG5" s="5">
        <f t="shared" si="1095"/>
        <v>132</v>
      </c>
      <c r="AFJ5" s="5">
        <v>1</v>
      </c>
      <c r="AFK5" s="5">
        <f>+AFJ5+1</f>
        <v>2</v>
      </c>
      <c r="AFL5" s="5">
        <f t="shared" ref="AFL5:AHW5" si="1096">+AFK5+1</f>
        <v>3</v>
      </c>
      <c r="AFM5" s="5">
        <f t="shared" si="1096"/>
        <v>4</v>
      </c>
      <c r="AFN5" s="5">
        <f t="shared" si="1096"/>
        <v>5</v>
      </c>
      <c r="AFO5" s="5">
        <f t="shared" si="1096"/>
        <v>6</v>
      </c>
      <c r="AFP5" s="5">
        <f t="shared" si="1096"/>
        <v>7</v>
      </c>
      <c r="AFQ5" s="5">
        <f t="shared" si="1096"/>
        <v>8</v>
      </c>
      <c r="AFR5" s="5">
        <f t="shared" si="1096"/>
        <v>9</v>
      </c>
      <c r="AFS5" s="5">
        <f t="shared" si="1096"/>
        <v>10</v>
      </c>
      <c r="AFT5" s="5">
        <f t="shared" si="1096"/>
        <v>11</v>
      </c>
      <c r="AFU5" s="5">
        <f t="shared" si="1096"/>
        <v>12</v>
      </c>
      <c r="AFV5" s="5">
        <f t="shared" si="1096"/>
        <v>13</v>
      </c>
      <c r="AFW5" s="5">
        <f t="shared" si="1096"/>
        <v>14</v>
      </c>
      <c r="AFX5" s="5">
        <f t="shared" si="1096"/>
        <v>15</v>
      </c>
      <c r="AFY5" s="5">
        <f t="shared" si="1096"/>
        <v>16</v>
      </c>
      <c r="AFZ5" s="5">
        <f t="shared" si="1096"/>
        <v>17</v>
      </c>
      <c r="AGA5" s="5">
        <f t="shared" si="1096"/>
        <v>18</v>
      </c>
      <c r="AGB5" s="5">
        <f t="shared" si="1096"/>
        <v>19</v>
      </c>
      <c r="AGC5" s="5">
        <f t="shared" si="1096"/>
        <v>20</v>
      </c>
      <c r="AGD5" s="5">
        <f t="shared" si="1096"/>
        <v>21</v>
      </c>
      <c r="AGE5" s="5">
        <f t="shared" si="1096"/>
        <v>22</v>
      </c>
      <c r="AGF5" s="5">
        <f t="shared" si="1096"/>
        <v>23</v>
      </c>
      <c r="AGG5" s="5">
        <f t="shared" si="1096"/>
        <v>24</v>
      </c>
      <c r="AGH5" s="5">
        <f t="shared" si="1096"/>
        <v>25</v>
      </c>
      <c r="AGI5" s="5">
        <f t="shared" si="1096"/>
        <v>26</v>
      </c>
      <c r="AGJ5" s="5">
        <f t="shared" si="1096"/>
        <v>27</v>
      </c>
      <c r="AGK5" s="5">
        <f t="shared" si="1096"/>
        <v>28</v>
      </c>
      <c r="AGL5" s="5">
        <f t="shared" si="1096"/>
        <v>29</v>
      </c>
      <c r="AGM5" s="5">
        <f t="shared" si="1096"/>
        <v>30</v>
      </c>
      <c r="AGN5" s="5">
        <f t="shared" si="1096"/>
        <v>31</v>
      </c>
      <c r="AGO5" s="5">
        <f t="shared" si="1096"/>
        <v>32</v>
      </c>
      <c r="AGP5" s="5">
        <f t="shared" si="1096"/>
        <v>33</v>
      </c>
      <c r="AGQ5" s="5">
        <f t="shared" si="1096"/>
        <v>34</v>
      </c>
      <c r="AGR5" s="5">
        <f t="shared" si="1096"/>
        <v>35</v>
      </c>
      <c r="AGS5" s="5">
        <f t="shared" si="1096"/>
        <v>36</v>
      </c>
      <c r="AGT5" s="5">
        <f t="shared" si="1096"/>
        <v>37</v>
      </c>
      <c r="AGU5" s="5">
        <f t="shared" si="1096"/>
        <v>38</v>
      </c>
      <c r="AGV5" s="5">
        <f t="shared" si="1096"/>
        <v>39</v>
      </c>
      <c r="AGW5" s="5">
        <f t="shared" si="1096"/>
        <v>40</v>
      </c>
      <c r="AGX5" s="5">
        <f t="shared" si="1096"/>
        <v>41</v>
      </c>
      <c r="AGY5" s="5">
        <f t="shared" si="1096"/>
        <v>42</v>
      </c>
      <c r="AGZ5" s="5">
        <f t="shared" si="1096"/>
        <v>43</v>
      </c>
      <c r="AHA5" s="5">
        <f t="shared" si="1096"/>
        <v>44</v>
      </c>
      <c r="AHB5" s="5">
        <f t="shared" si="1096"/>
        <v>45</v>
      </c>
      <c r="AHC5" s="5">
        <f t="shared" si="1096"/>
        <v>46</v>
      </c>
      <c r="AHD5" s="5">
        <f t="shared" si="1096"/>
        <v>47</v>
      </c>
      <c r="AHE5" s="5">
        <f t="shared" si="1096"/>
        <v>48</v>
      </c>
      <c r="AHF5" s="5">
        <f t="shared" si="1096"/>
        <v>49</v>
      </c>
      <c r="AHG5" s="5">
        <f t="shared" si="1096"/>
        <v>50</v>
      </c>
      <c r="AHH5" s="5">
        <f t="shared" si="1096"/>
        <v>51</v>
      </c>
      <c r="AHI5" s="5">
        <f t="shared" si="1096"/>
        <v>52</v>
      </c>
      <c r="AHJ5" s="5">
        <f t="shared" si="1096"/>
        <v>53</v>
      </c>
      <c r="AHK5" s="5">
        <f t="shared" si="1096"/>
        <v>54</v>
      </c>
      <c r="AHL5" s="5">
        <f t="shared" si="1096"/>
        <v>55</v>
      </c>
      <c r="AHM5" s="5">
        <f t="shared" si="1096"/>
        <v>56</v>
      </c>
      <c r="AHN5" s="5">
        <f t="shared" si="1096"/>
        <v>57</v>
      </c>
      <c r="AHO5" s="5">
        <f t="shared" si="1096"/>
        <v>58</v>
      </c>
      <c r="AHP5" s="5">
        <f t="shared" si="1096"/>
        <v>59</v>
      </c>
      <c r="AHQ5" s="5">
        <f t="shared" si="1096"/>
        <v>60</v>
      </c>
      <c r="AHR5" s="5">
        <f t="shared" si="1096"/>
        <v>61</v>
      </c>
      <c r="AHS5" s="5">
        <f t="shared" si="1096"/>
        <v>62</v>
      </c>
      <c r="AHT5" s="5">
        <f t="shared" si="1096"/>
        <v>63</v>
      </c>
      <c r="AHU5" s="5">
        <f t="shared" si="1096"/>
        <v>64</v>
      </c>
      <c r="AHV5" s="5">
        <f t="shared" si="1096"/>
        <v>65</v>
      </c>
      <c r="AHW5" s="5">
        <f t="shared" si="1096"/>
        <v>66</v>
      </c>
      <c r="AHX5" s="5">
        <f t="shared" ref="AHX5:AKI5" si="1097">+AHW5+1</f>
        <v>67</v>
      </c>
      <c r="AHY5" s="5">
        <f t="shared" si="1097"/>
        <v>68</v>
      </c>
      <c r="AHZ5" s="5">
        <f t="shared" si="1097"/>
        <v>69</v>
      </c>
      <c r="AIA5" s="5">
        <f t="shared" si="1097"/>
        <v>70</v>
      </c>
      <c r="AIB5" s="5">
        <f t="shared" si="1097"/>
        <v>71</v>
      </c>
      <c r="AIC5" s="5">
        <f t="shared" si="1097"/>
        <v>72</v>
      </c>
      <c r="AID5" s="5">
        <f t="shared" si="1097"/>
        <v>73</v>
      </c>
      <c r="AIE5" s="5">
        <f t="shared" si="1097"/>
        <v>74</v>
      </c>
      <c r="AIF5" s="5">
        <f t="shared" si="1097"/>
        <v>75</v>
      </c>
      <c r="AIG5" s="5">
        <f t="shared" si="1097"/>
        <v>76</v>
      </c>
      <c r="AIH5" s="5">
        <f t="shared" si="1097"/>
        <v>77</v>
      </c>
      <c r="AII5" s="5">
        <f t="shared" si="1097"/>
        <v>78</v>
      </c>
      <c r="AIJ5" s="5">
        <f t="shared" si="1097"/>
        <v>79</v>
      </c>
      <c r="AIK5" s="5">
        <f t="shared" si="1097"/>
        <v>80</v>
      </c>
      <c r="AIL5" s="5">
        <f t="shared" si="1097"/>
        <v>81</v>
      </c>
      <c r="AIM5" s="5">
        <f t="shared" si="1097"/>
        <v>82</v>
      </c>
      <c r="AIN5" s="5">
        <f t="shared" si="1097"/>
        <v>83</v>
      </c>
      <c r="AIO5" s="5">
        <f t="shared" si="1097"/>
        <v>84</v>
      </c>
      <c r="AIP5" s="5">
        <f t="shared" si="1097"/>
        <v>85</v>
      </c>
      <c r="AIQ5" s="5">
        <f t="shared" si="1097"/>
        <v>86</v>
      </c>
      <c r="AIR5" s="5">
        <f t="shared" si="1097"/>
        <v>87</v>
      </c>
      <c r="AIS5" s="5">
        <f t="shared" si="1097"/>
        <v>88</v>
      </c>
      <c r="AIT5" s="5">
        <f t="shared" si="1097"/>
        <v>89</v>
      </c>
      <c r="AIU5" s="5">
        <f t="shared" si="1097"/>
        <v>90</v>
      </c>
      <c r="AIV5" s="5">
        <f t="shared" si="1097"/>
        <v>91</v>
      </c>
      <c r="AIW5" s="5">
        <f t="shared" si="1097"/>
        <v>92</v>
      </c>
      <c r="AIX5" s="5">
        <f t="shared" si="1097"/>
        <v>93</v>
      </c>
      <c r="AIY5" s="5">
        <f t="shared" si="1097"/>
        <v>94</v>
      </c>
      <c r="AIZ5" s="5">
        <f t="shared" si="1097"/>
        <v>95</v>
      </c>
      <c r="AJA5" s="5">
        <f t="shared" si="1097"/>
        <v>96</v>
      </c>
      <c r="AJB5" s="5">
        <f t="shared" si="1097"/>
        <v>97</v>
      </c>
      <c r="AJC5" s="5">
        <f t="shared" si="1097"/>
        <v>98</v>
      </c>
      <c r="AJD5" s="5">
        <f t="shared" si="1097"/>
        <v>99</v>
      </c>
      <c r="AJE5" s="5">
        <f t="shared" si="1097"/>
        <v>100</v>
      </c>
      <c r="AJF5" s="5">
        <f t="shared" si="1097"/>
        <v>101</v>
      </c>
      <c r="AJG5" s="5">
        <f t="shared" si="1097"/>
        <v>102</v>
      </c>
      <c r="AJH5" s="5">
        <f t="shared" si="1097"/>
        <v>103</v>
      </c>
      <c r="AJI5" s="5">
        <f t="shared" si="1097"/>
        <v>104</v>
      </c>
      <c r="AJJ5" s="5">
        <f t="shared" si="1097"/>
        <v>105</v>
      </c>
      <c r="AJK5" s="5">
        <f t="shared" si="1097"/>
        <v>106</v>
      </c>
      <c r="AJL5" s="5">
        <f t="shared" si="1097"/>
        <v>107</v>
      </c>
      <c r="AJM5" s="5">
        <f t="shared" si="1097"/>
        <v>108</v>
      </c>
      <c r="AJN5" s="5">
        <f t="shared" si="1097"/>
        <v>109</v>
      </c>
      <c r="AJO5" s="5">
        <f t="shared" si="1097"/>
        <v>110</v>
      </c>
      <c r="AJP5" s="5">
        <f t="shared" si="1097"/>
        <v>111</v>
      </c>
      <c r="AJQ5" s="5">
        <f t="shared" si="1097"/>
        <v>112</v>
      </c>
      <c r="AJR5" s="5">
        <f t="shared" si="1097"/>
        <v>113</v>
      </c>
      <c r="AJS5" s="5">
        <f t="shared" si="1097"/>
        <v>114</v>
      </c>
      <c r="AJT5" s="5">
        <f t="shared" si="1097"/>
        <v>115</v>
      </c>
      <c r="AJU5" s="5">
        <f t="shared" si="1097"/>
        <v>116</v>
      </c>
      <c r="AJV5" s="5">
        <f t="shared" si="1097"/>
        <v>117</v>
      </c>
      <c r="AJW5" s="5">
        <f t="shared" si="1097"/>
        <v>118</v>
      </c>
      <c r="AJX5" s="5">
        <f t="shared" si="1097"/>
        <v>119</v>
      </c>
      <c r="AJY5" s="5">
        <f t="shared" si="1097"/>
        <v>120</v>
      </c>
      <c r="AJZ5" s="5">
        <f t="shared" si="1097"/>
        <v>121</v>
      </c>
      <c r="AKA5" s="5">
        <f t="shared" si="1097"/>
        <v>122</v>
      </c>
      <c r="AKB5" s="5">
        <f t="shared" si="1097"/>
        <v>123</v>
      </c>
      <c r="AKC5" s="5">
        <f t="shared" si="1097"/>
        <v>124</v>
      </c>
      <c r="AKD5" s="5">
        <f t="shared" si="1097"/>
        <v>125</v>
      </c>
      <c r="AKE5" s="5">
        <f t="shared" si="1097"/>
        <v>126</v>
      </c>
      <c r="AKF5" s="5">
        <f t="shared" si="1097"/>
        <v>127</v>
      </c>
      <c r="AKG5" s="5">
        <f t="shared" si="1097"/>
        <v>128</v>
      </c>
      <c r="AKH5" s="5">
        <f t="shared" si="1097"/>
        <v>129</v>
      </c>
      <c r="AKI5" s="5">
        <f t="shared" si="1097"/>
        <v>130</v>
      </c>
      <c r="AKJ5" s="5">
        <f t="shared" ref="AKJ5:AKK5" si="1098">+AKI5+1</f>
        <v>131</v>
      </c>
      <c r="AKK5" s="5">
        <f t="shared" si="1098"/>
        <v>132</v>
      </c>
      <c r="AKN5" s="5">
        <v>1</v>
      </c>
      <c r="AKO5" s="5">
        <f>+AKN5+1</f>
        <v>2</v>
      </c>
      <c r="AKP5" s="5">
        <f t="shared" ref="AKP5:ANA5" si="1099">+AKO5+1</f>
        <v>3</v>
      </c>
      <c r="AKQ5" s="5">
        <f t="shared" si="1099"/>
        <v>4</v>
      </c>
      <c r="AKR5" s="5">
        <f t="shared" si="1099"/>
        <v>5</v>
      </c>
      <c r="AKS5" s="5">
        <f t="shared" si="1099"/>
        <v>6</v>
      </c>
      <c r="AKT5" s="5">
        <f t="shared" si="1099"/>
        <v>7</v>
      </c>
      <c r="AKU5" s="5">
        <f t="shared" si="1099"/>
        <v>8</v>
      </c>
      <c r="AKV5" s="5">
        <f t="shared" si="1099"/>
        <v>9</v>
      </c>
      <c r="AKW5" s="5">
        <f t="shared" si="1099"/>
        <v>10</v>
      </c>
      <c r="AKX5" s="5">
        <f t="shared" si="1099"/>
        <v>11</v>
      </c>
      <c r="AKY5" s="5">
        <f t="shared" si="1099"/>
        <v>12</v>
      </c>
      <c r="AKZ5" s="5">
        <f t="shared" si="1099"/>
        <v>13</v>
      </c>
      <c r="ALA5" s="5">
        <f t="shared" si="1099"/>
        <v>14</v>
      </c>
      <c r="ALB5" s="5">
        <f t="shared" si="1099"/>
        <v>15</v>
      </c>
      <c r="ALC5" s="5">
        <f t="shared" si="1099"/>
        <v>16</v>
      </c>
      <c r="ALD5" s="5">
        <f t="shared" si="1099"/>
        <v>17</v>
      </c>
      <c r="ALE5" s="5">
        <f t="shared" si="1099"/>
        <v>18</v>
      </c>
      <c r="ALF5" s="5">
        <f t="shared" si="1099"/>
        <v>19</v>
      </c>
      <c r="ALG5" s="5">
        <f t="shared" si="1099"/>
        <v>20</v>
      </c>
      <c r="ALH5" s="5">
        <f t="shared" si="1099"/>
        <v>21</v>
      </c>
      <c r="ALI5" s="5">
        <f t="shared" si="1099"/>
        <v>22</v>
      </c>
      <c r="ALJ5" s="5">
        <f t="shared" si="1099"/>
        <v>23</v>
      </c>
      <c r="ALK5" s="5">
        <f t="shared" si="1099"/>
        <v>24</v>
      </c>
      <c r="ALL5" s="5">
        <f t="shared" si="1099"/>
        <v>25</v>
      </c>
      <c r="ALM5" s="5">
        <f t="shared" si="1099"/>
        <v>26</v>
      </c>
      <c r="ALN5" s="5">
        <f t="shared" si="1099"/>
        <v>27</v>
      </c>
      <c r="ALO5" s="5">
        <f t="shared" si="1099"/>
        <v>28</v>
      </c>
      <c r="ALP5" s="5">
        <f t="shared" si="1099"/>
        <v>29</v>
      </c>
      <c r="ALQ5" s="5">
        <f t="shared" si="1099"/>
        <v>30</v>
      </c>
      <c r="ALR5" s="5">
        <f t="shared" si="1099"/>
        <v>31</v>
      </c>
      <c r="ALS5" s="5">
        <f t="shared" si="1099"/>
        <v>32</v>
      </c>
      <c r="ALT5" s="5">
        <f t="shared" si="1099"/>
        <v>33</v>
      </c>
      <c r="ALU5" s="5">
        <f t="shared" si="1099"/>
        <v>34</v>
      </c>
      <c r="ALV5" s="5">
        <f t="shared" si="1099"/>
        <v>35</v>
      </c>
      <c r="ALW5" s="5">
        <f t="shared" si="1099"/>
        <v>36</v>
      </c>
      <c r="ALX5" s="5">
        <f t="shared" si="1099"/>
        <v>37</v>
      </c>
      <c r="ALY5" s="5">
        <f t="shared" si="1099"/>
        <v>38</v>
      </c>
      <c r="ALZ5" s="5">
        <f t="shared" si="1099"/>
        <v>39</v>
      </c>
      <c r="AMA5" s="5">
        <f t="shared" si="1099"/>
        <v>40</v>
      </c>
      <c r="AMB5" s="5">
        <f t="shared" si="1099"/>
        <v>41</v>
      </c>
      <c r="AMC5" s="5">
        <f t="shared" si="1099"/>
        <v>42</v>
      </c>
      <c r="AMD5" s="5">
        <f t="shared" si="1099"/>
        <v>43</v>
      </c>
      <c r="AME5" s="5">
        <f t="shared" si="1099"/>
        <v>44</v>
      </c>
      <c r="AMF5" s="5">
        <f t="shared" si="1099"/>
        <v>45</v>
      </c>
      <c r="AMG5" s="5">
        <f t="shared" si="1099"/>
        <v>46</v>
      </c>
      <c r="AMH5" s="5">
        <f t="shared" si="1099"/>
        <v>47</v>
      </c>
      <c r="AMI5" s="5">
        <f t="shared" si="1099"/>
        <v>48</v>
      </c>
      <c r="AMJ5" s="5">
        <f t="shared" si="1099"/>
        <v>49</v>
      </c>
      <c r="AMK5" s="5">
        <f t="shared" si="1099"/>
        <v>50</v>
      </c>
      <c r="AML5" s="5">
        <f t="shared" si="1099"/>
        <v>51</v>
      </c>
      <c r="AMM5" s="5">
        <f t="shared" si="1099"/>
        <v>52</v>
      </c>
      <c r="AMN5" s="5">
        <f t="shared" si="1099"/>
        <v>53</v>
      </c>
      <c r="AMO5" s="5">
        <f t="shared" si="1099"/>
        <v>54</v>
      </c>
      <c r="AMP5" s="5">
        <f t="shared" si="1099"/>
        <v>55</v>
      </c>
      <c r="AMQ5" s="5">
        <f t="shared" si="1099"/>
        <v>56</v>
      </c>
      <c r="AMR5" s="5">
        <f t="shared" si="1099"/>
        <v>57</v>
      </c>
      <c r="AMS5" s="5">
        <f t="shared" si="1099"/>
        <v>58</v>
      </c>
      <c r="AMT5" s="5">
        <f t="shared" si="1099"/>
        <v>59</v>
      </c>
      <c r="AMU5" s="5">
        <f t="shared" si="1099"/>
        <v>60</v>
      </c>
      <c r="AMV5" s="5">
        <f t="shared" si="1099"/>
        <v>61</v>
      </c>
      <c r="AMW5" s="5">
        <f t="shared" si="1099"/>
        <v>62</v>
      </c>
      <c r="AMX5" s="5">
        <f t="shared" si="1099"/>
        <v>63</v>
      </c>
      <c r="AMY5" s="5">
        <f t="shared" si="1099"/>
        <v>64</v>
      </c>
      <c r="AMZ5" s="5">
        <f t="shared" si="1099"/>
        <v>65</v>
      </c>
      <c r="ANA5" s="5">
        <f t="shared" si="1099"/>
        <v>66</v>
      </c>
      <c r="ANB5" s="5">
        <f t="shared" ref="ANB5:APM5" si="1100">+ANA5+1</f>
        <v>67</v>
      </c>
      <c r="ANC5" s="5">
        <f t="shared" si="1100"/>
        <v>68</v>
      </c>
      <c r="AND5" s="5">
        <f t="shared" si="1100"/>
        <v>69</v>
      </c>
      <c r="ANE5" s="5">
        <f t="shared" si="1100"/>
        <v>70</v>
      </c>
      <c r="ANF5" s="5">
        <f t="shared" si="1100"/>
        <v>71</v>
      </c>
      <c r="ANG5" s="5">
        <f t="shared" si="1100"/>
        <v>72</v>
      </c>
      <c r="ANH5" s="5">
        <f t="shared" si="1100"/>
        <v>73</v>
      </c>
      <c r="ANI5" s="5">
        <f t="shared" si="1100"/>
        <v>74</v>
      </c>
      <c r="ANJ5" s="5">
        <f t="shared" si="1100"/>
        <v>75</v>
      </c>
      <c r="ANK5" s="5">
        <f t="shared" si="1100"/>
        <v>76</v>
      </c>
      <c r="ANL5" s="5">
        <f t="shared" si="1100"/>
        <v>77</v>
      </c>
      <c r="ANM5" s="5">
        <f t="shared" si="1100"/>
        <v>78</v>
      </c>
      <c r="ANN5" s="5">
        <f t="shared" si="1100"/>
        <v>79</v>
      </c>
      <c r="ANO5" s="5">
        <f t="shared" si="1100"/>
        <v>80</v>
      </c>
      <c r="ANP5" s="5">
        <f t="shared" si="1100"/>
        <v>81</v>
      </c>
      <c r="ANQ5" s="5">
        <f t="shared" si="1100"/>
        <v>82</v>
      </c>
      <c r="ANR5" s="5">
        <f t="shared" si="1100"/>
        <v>83</v>
      </c>
      <c r="ANS5" s="5">
        <f t="shared" si="1100"/>
        <v>84</v>
      </c>
      <c r="ANT5" s="5">
        <f t="shared" si="1100"/>
        <v>85</v>
      </c>
      <c r="ANU5" s="5">
        <f t="shared" si="1100"/>
        <v>86</v>
      </c>
      <c r="ANV5" s="5">
        <f t="shared" si="1100"/>
        <v>87</v>
      </c>
      <c r="ANW5" s="5">
        <f t="shared" si="1100"/>
        <v>88</v>
      </c>
      <c r="ANX5" s="5">
        <f t="shared" si="1100"/>
        <v>89</v>
      </c>
      <c r="ANY5" s="5">
        <f t="shared" si="1100"/>
        <v>90</v>
      </c>
      <c r="ANZ5" s="5">
        <f t="shared" si="1100"/>
        <v>91</v>
      </c>
      <c r="AOA5" s="5">
        <f t="shared" si="1100"/>
        <v>92</v>
      </c>
      <c r="AOB5" s="5">
        <f t="shared" si="1100"/>
        <v>93</v>
      </c>
      <c r="AOC5" s="5">
        <f t="shared" si="1100"/>
        <v>94</v>
      </c>
      <c r="AOD5" s="5">
        <f t="shared" si="1100"/>
        <v>95</v>
      </c>
      <c r="AOE5" s="5">
        <f t="shared" si="1100"/>
        <v>96</v>
      </c>
      <c r="AOF5" s="5">
        <f t="shared" si="1100"/>
        <v>97</v>
      </c>
      <c r="AOG5" s="5">
        <f t="shared" si="1100"/>
        <v>98</v>
      </c>
      <c r="AOH5" s="5">
        <f t="shared" si="1100"/>
        <v>99</v>
      </c>
      <c r="AOI5" s="5">
        <f t="shared" si="1100"/>
        <v>100</v>
      </c>
      <c r="AOJ5" s="5">
        <f t="shared" si="1100"/>
        <v>101</v>
      </c>
      <c r="AOK5" s="5">
        <f t="shared" si="1100"/>
        <v>102</v>
      </c>
      <c r="AOL5" s="5">
        <f t="shared" si="1100"/>
        <v>103</v>
      </c>
      <c r="AOM5" s="5">
        <f t="shared" si="1100"/>
        <v>104</v>
      </c>
      <c r="AON5" s="5">
        <f t="shared" si="1100"/>
        <v>105</v>
      </c>
      <c r="AOO5" s="5">
        <f t="shared" si="1100"/>
        <v>106</v>
      </c>
      <c r="AOP5" s="5">
        <f t="shared" si="1100"/>
        <v>107</v>
      </c>
      <c r="AOQ5" s="5">
        <f t="shared" si="1100"/>
        <v>108</v>
      </c>
      <c r="AOR5" s="5">
        <f t="shared" si="1100"/>
        <v>109</v>
      </c>
      <c r="AOS5" s="5">
        <f t="shared" si="1100"/>
        <v>110</v>
      </c>
      <c r="AOT5" s="5">
        <f t="shared" si="1100"/>
        <v>111</v>
      </c>
      <c r="AOU5" s="5">
        <f t="shared" si="1100"/>
        <v>112</v>
      </c>
      <c r="AOV5" s="5">
        <f t="shared" si="1100"/>
        <v>113</v>
      </c>
      <c r="AOW5" s="5">
        <f t="shared" si="1100"/>
        <v>114</v>
      </c>
      <c r="AOX5" s="5">
        <f t="shared" si="1100"/>
        <v>115</v>
      </c>
      <c r="AOY5" s="5">
        <f t="shared" si="1100"/>
        <v>116</v>
      </c>
      <c r="AOZ5" s="5">
        <f t="shared" si="1100"/>
        <v>117</v>
      </c>
      <c r="APA5" s="5">
        <f t="shared" si="1100"/>
        <v>118</v>
      </c>
      <c r="APB5" s="5">
        <f t="shared" si="1100"/>
        <v>119</v>
      </c>
      <c r="APC5" s="5">
        <f t="shared" si="1100"/>
        <v>120</v>
      </c>
      <c r="APD5" s="5">
        <f t="shared" si="1100"/>
        <v>121</v>
      </c>
      <c r="APE5" s="5">
        <f t="shared" si="1100"/>
        <v>122</v>
      </c>
      <c r="APF5" s="5">
        <f t="shared" si="1100"/>
        <v>123</v>
      </c>
      <c r="APG5" s="5">
        <f t="shared" si="1100"/>
        <v>124</v>
      </c>
      <c r="APH5" s="5">
        <f t="shared" si="1100"/>
        <v>125</v>
      </c>
      <c r="API5" s="5">
        <f t="shared" si="1100"/>
        <v>126</v>
      </c>
      <c r="APJ5" s="5">
        <f t="shared" si="1100"/>
        <v>127</v>
      </c>
      <c r="APK5" s="5">
        <f t="shared" si="1100"/>
        <v>128</v>
      </c>
      <c r="APL5" s="5">
        <f t="shared" si="1100"/>
        <v>129</v>
      </c>
      <c r="APM5" s="5">
        <f t="shared" si="1100"/>
        <v>130</v>
      </c>
      <c r="APN5" s="5">
        <f t="shared" ref="APN5:APO5" si="1101">+APM5+1</f>
        <v>131</v>
      </c>
      <c r="APO5" s="5">
        <f t="shared" si="1101"/>
        <v>132</v>
      </c>
      <c r="APR5" s="5">
        <v>1</v>
      </c>
      <c r="APS5" s="5">
        <f>+APR5+1</f>
        <v>2</v>
      </c>
      <c r="APT5" s="5">
        <f t="shared" ref="APT5:ASE5" si="1102">+APS5+1</f>
        <v>3</v>
      </c>
      <c r="APU5" s="5">
        <f t="shared" si="1102"/>
        <v>4</v>
      </c>
      <c r="APV5" s="5">
        <f t="shared" si="1102"/>
        <v>5</v>
      </c>
      <c r="APW5" s="5">
        <f t="shared" si="1102"/>
        <v>6</v>
      </c>
      <c r="APX5" s="5">
        <f t="shared" si="1102"/>
        <v>7</v>
      </c>
      <c r="APY5" s="5">
        <f t="shared" si="1102"/>
        <v>8</v>
      </c>
      <c r="APZ5" s="5">
        <f t="shared" si="1102"/>
        <v>9</v>
      </c>
      <c r="AQA5" s="5">
        <f t="shared" si="1102"/>
        <v>10</v>
      </c>
      <c r="AQB5" s="5">
        <f t="shared" si="1102"/>
        <v>11</v>
      </c>
      <c r="AQC5" s="5">
        <f t="shared" si="1102"/>
        <v>12</v>
      </c>
      <c r="AQD5" s="5">
        <f t="shared" si="1102"/>
        <v>13</v>
      </c>
      <c r="AQE5" s="5">
        <f t="shared" si="1102"/>
        <v>14</v>
      </c>
      <c r="AQF5" s="5">
        <f t="shared" si="1102"/>
        <v>15</v>
      </c>
      <c r="AQG5" s="5">
        <f t="shared" si="1102"/>
        <v>16</v>
      </c>
      <c r="AQH5" s="5">
        <f t="shared" si="1102"/>
        <v>17</v>
      </c>
      <c r="AQI5" s="5">
        <f t="shared" si="1102"/>
        <v>18</v>
      </c>
      <c r="AQJ5" s="5">
        <f t="shared" si="1102"/>
        <v>19</v>
      </c>
      <c r="AQK5" s="5">
        <f t="shared" si="1102"/>
        <v>20</v>
      </c>
      <c r="AQL5" s="5">
        <f t="shared" si="1102"/>
        <v>21</v>
      </c>
      <c r="AQM5" s="5">
        <f t="shared" si="1102"/>
        <v>22</v>
      </c>
      <c r="AQN5" s="5">
        <f t="shared" si="1102"/>
        <v>23</v>
      </c>
      <c r="AQO5" s="5">
        <f t="shared" si="1102"/>
        <v>24</v>
      </c>
      <c r="AQP5" s="5">
        <f t="shared" si="1102"/>
        <v>25</v>
      </c>
      <c r="AQQ5" s="5">
        <f t="shared" si="1102"/>
        <v>26</v>
      </c>
      <c r="AQR5" s="5">
        <f t="shared" si="1102"/>
        <v>27</v>
      </c>
      <c r="AQS5" s="5">
        <f t="shared" si="1102"/>
        <v>28</v>
      </c>
      <c r="AQT5" s="5">
        <f t="shared" si="1102"/>
        <v>29</v>
      </c>
      <c r="AQU5" s="5">
        <f t="shared" si="1102"/>
        <v>30</v>
      </c>
      <c r="AQV5" s="5">
        <f t="shared" si="1102"/>
        <v>31</v>
      </c>
      <c r="AQW5" s="5">
        <f t="shared" si="1102"/>
        <v>32</v>
      </c>
      <c r="AQX5" s="5">
        <f t="shared" si="1102"/>
        <v>33</v>
      </c>
      <c r="AQY5" s="5">
        <f t="shared" si="1102"/>
        <v>34</v>
      </c>
      <c r="AQZ5" s="5">
        <f t="shared" si="1102"/>
        <v>35</v>
      </c>
      <c r="ARA5" s="5">
        <f t="shared" si="1102"/>
        <v>36</v>
      </c>
      <c r="ARB5" s="5">
        <f t="shared" si="1102"/>
        <v>37</v>
      </c>
      <c r="ARC5" s="5">
        <f t="shared" si="1102"/>
        <v>38</v>
      </c>
      <c r="ARD5" s="5">
        <f t="shared" si="1102"/>
        <v>39</v>
      </c>
      <c r="ARE5" s="5">
        <f t="shared" si="1102"/>
        <v>40</v>
      </c>
      <c r="ARF5" s="5">
        <f t="shared" si="1102"/>
        <v>41</v>
      </c>
      <c r="ARG5" s="5">
        <f t="shared" si="1102"/>
        <v>42</v>
      </c>
      <c r="ARH5" s="5">
        <f t="shared" si="1102"/>
        <v>43</v>
      </c>
      <c r="ARI5" s="5">
        <f t="shared" si="1102"/>
        <v>44</v>
      </c>
      <c r="ARJ5" s="5">
        <f t="shared" si="1102"/>
        <v>45</v>
      </c>
      <c r="ARK5" s="5">
        <f t="shared" si="1102"/>
        <v>46</v>
      </c>
      <c r="ARL5" s="5">
        <f t="shared" si="1102"/>
        <v>47</v>
      </c>
      <c r="ARM5" s="5">
        <f t="shared" si="1102"/>
        <v>48</v>
      </c>
      <c r="ARN5" s="5">
        <f t="shared" si="1102"/>
        <v>49</v>
      </c>
      <c r="ARO5" s="5">
        <f t="shared" si="1102"/>
        <v>50</v>
      </c>
      <c r="ARP5" s="5">
        <f t="shared" si="1102"/>
        <v>51</v>
      </c>
      <c r="ARQ5" s="5">
        <f t="shared" si="1102"/>
        <v>52</v>
      </c>
      <c r="ARR5" s="5">
        <f t="shared" si="1102"/>
        <v>53</v>
      </c>
      <c r="ARS5" s="5">
        <f t="shared" si="1102"/>
        <v>54</v>
      </c>
      <c r="ART5" s="5">
        <f t="shared" si="1102"/>
        <v>55</v>
      </c>
      <c r="ARU5" s="5">
        <f t="shared" si="1102"/>
        <v>56</v>
      </c>
      <c r="ARV5" s="5">
        <f t="shared" si="1102"/>
        <v>57</v>
      </c>
      <c r="ARW5" s="5">
        <f t="shared" si="1102"/>
        <v>58</v>
      </c>
      <c r="ARX5" s="5">
        <f t="shared" si="1102"/>
        <v>59</v>
      </c>
      <c r="ARY5" s="5">
        <f t="shared" si="1102"/>
        <v>60</v>
      </c>
      <c r="ARZ5" s="5">
        <f t="shared" si="1102"/>
        <v>61</v>
      </c>
      <c r="ASA5" s="5">
        <f t="shared" si="1102"/>
        <v>62</v>
      </c>
      <c r="ASB5" s="5">
        <f t="shared" si="1102"/>
        <v>63</v>
      </c>
      <c r="ASC5" s="5">
        <f t="shared" si="1102"/>
        <v>64</v>
      </c>
      <c r="ASD5" s="5">
        <f t="shared" si="1102"/>
        <v>65</v>
      </c>
      <c r="ASE5" s="5">
        <f t="shared" si="1102"/>
        <v>66</v>
      </c>
      <c r="ASF5" s="5">
        <f t="shared" ref="ASF5:AUQ5" si="1103">+ASE5+1</f>
        <v>67</v>
      </c>
      <c r="ASG5" s="5">
        <f t="shared" si="1103"/>
        <v>68</v>
      </c>
      <c r="ASH5" s="5">
        <f t="shared" si="1103"/>
        <v>69</v>
      </c>
      <c r="ASI5" s="5">
        <f t="shared" si="1103"/>
        <v>70</v>
      </c>
      <c r="ASJ5" s="5">
        <f t="shared" si="1103"/>
        <v>71</v>
      </c>
      <c r="ASK5" s="5">
        <f t="shared" si="1103"/>
        <v>72</v>
      </c>
      <c r="ASL5" s="5">
        <f t="shared" si="1103"/>
        <v>73</v>
      </c>
      <c r="ASM5" s="5">
        <f t="shared" si="1103"/>
        <v>74</v>
      </c>
      <c r="ASN5" s="5">
        <f t="shared" si="1103"/>
        <v>75</v>
      </c>
      <c r="ASO5" s="5">
        <f t="shared" si="1103"/>
        <v>76</v>
      </c>
      <c r="ASP5" s="5">
        <f t="shared" si="1103"/>
        <v>77</v>
      </c>
      <c r="ASQ5" s="5">
        <f t="shared" si="1103"/>
        <v>78</v>
      </c>
      <c r="ASR5" s="5">
        <f t="shared" si="1103"/>
        <v>79</v>
      </c>
      <c r="ASS5" s="5">
        <f t="shared" si="1103"/>
        <v>80</v>
      </c>
      <c r="AST5" s="5">
        <f t="shared" si="1103"/>
        <v>81</v>
      </c>
      <c r="ASU5" s="5">
        <f t="shared" si="1103"/>
        <v>82</v>
      </c>
      <c r="ASV5" s="5">
        <f t="shared" si="1103"/>
        <v>83</v>
      </c>
      <c r="ASW5" s="5">
        <f t="shared" si="1103"/>
        <v>84</v>
      </c>
      <c r="ASX5" s="5">
        <f t="shared" si="1103"/>
        <v>85</v>
      </c>
      <c r="ASY5" s="5">
        <f t="shared" si="1103"/>
        <v>86</v>
      </c>
      <c r="ASZ5" s="5">
        <f t="shared" si="1103"/>
        <v>87</v>
      </c>
      <c r="ATA5" s="5">
        <f t="shared" si="1103"/>
        <v>88</v>
      </c>
      <c r="ATB5" s="5">
        <f t="shared" si="1103"/>
        <v>89</v>
      </c>
      <c r="ATC5" s="5">
        <f t="shared" si="1103"/>
        <v>90</v>
      </c>
      <c r="ATD5" s="5">
        <f t="shared" si="1103"/>
        <v>91</v>
      </c>
      <c r="ATE5" s="5">
        <f t="shared" si="1103"/>
        <v>92</v>
      </c>
      <c r="ATF5" s="5">
        <f t="shared" si="1103"/>
        <v>93</v>
      </c>
      <c r="ATG5" s="5">
        <f t="shared" si="1103"/>
        <v>94</v>
      </c>
      <c r="ATH5" s="5">
        <f t="shared" si="1103"/>
        <v>95</v>
      </c>
      <c r="ATI5" s="5">
        <f t="shared" si="1103"/>
        <v>96</v>
      </c>
      <c r="ATJ5" s="5">
        <f t="shared" si="1103"/>
        <v>97</v>
      </c>
      <c r="ATK5" s="5">
        <f t="shared" si="1103"/>
        <v>98</v>
      </c>
      <c r="ATL5" s="5">
        <f t="shared" si="1103"/>
        <v>99</v>
      </c>
      <c r="ATM5" s="5">
        <f t="shared" si="1103"/>
        <v>100</v>
      </c>
      <c r="ATN5" s="5">
        <f t="shared" si="1103"/>
        <v>101</v>
      </c>
      <c r="ATO5" s="5">
        <f t="shared" si="1103"/>
        <v>102</v>
      </c>
      <c r="ATP5" s="5">
        <f t="shared" si="1103"/>
        <v>103</v>
      </c>
      <c r="ATQ5" s="5">
        <f t="shared" si="1103"/>
        <v>104</v>
      </c>
      <c r="ATR5" s="5">
        <f t="shared" si="1103"/>
        <v>105</v>
      </c>
      <c r="ATS5" s="5">
        <f t="shared" si="1103"/>
        <v>106</v>
      </c>
      <c r="ATT5" s="5">
        <f t="shared" si="1103"/>
        <v>107</v>
      </c>
      <c r="ATU5" s="5">
        <f t="shared" si="1103"/>
        <v>108</v>
      </c>
      <c r="ATV5" s="5">
        <f t="shared" si="1103"/>
        <v>109</v>
      </c>
      <c r="ATW5" s="5">
        <f t="shared" si="1103"/>
        <v>110</v>
      </c>
      <c r="ATX5" s="5">
        <f t="shared" si="1103"/>
        <v>111</v>
      </c>
      <c r="ATY5" s="5">
        <f t="shared" si="1103"/>
        <v>112</v>
      </c>
      <c r="ATZ5" s="5">
        <f t="shared" si="1103"/>
        <v>113</v>
      </c>
      <c r="AUA5" s="5">
        <f t="shared" si="1103"/>
        <v>114</v>
      </c>
      <c r="AUB5" s="5">
        <f t="shared" si="1103"/>
        <v>115</v>
      </c>
      <c r="AUC5" s="5">
        <f t="shared" si="1103"/>
        <v>116</v>
      </c>
      <c r="AUD5" s="5">
        <f t="shared" si="1103"/>
        <v>117</v>
      </c>
      <c r="AUE5" s="5">
        <f t="shared" si="1103"/>
        <v>118</v>
      </c>
      <c r="AUF5" s="5">
        <f t="shared" si="1103"/>
        <v>119</v>
      </c>
      <c r="AUG5" s="5">
        <f t="shared" si="1103"/>
        <v>120</v>
      </c>
      <c r="AUH5" s="5">
        <f t="shared" si="1103"/>
        <v>121</v>
      </c>
      <c r="AUI5" s="5">
        <f t="shared" si="1103"/>
        <v>122</v>
      </c>
      <c r="AUJ5" s="5">
        <f t="shared" si="1103"/>
        <v>123</v>
      </c>
      <c r="AUK5" s="5">
        <f t="shared" si="1103"/>
        <v>124</v>
      </c>
      <c r="AUL5" s="5">
        <f t="shared" si="1103"/>
        <v>125</v>
      </c>
      <c r="AUM5" s="5">
        <f t="shared" si="1103"/>
        <v>126</v>
      </c>
      <c r="AUN5" s="5">
        <f t="shared" si="1103"/>
        <v>127</v>
      </c>
      <c r="AUO5" s="5">
        <f t="shared" si="1103"/>
        <v>128</v>
      </c>
      <c r="AUP5" s="5">
        <f t="shared" si="1103"/>
        <v>129</v>
      </c>
      <c r="AUQ5" s="5">
        <f t="shared" si="1103"/>
        <v>130</v>
      </c>
      <c r="AUR5" s="5">
        <f t="shared" ref="AUR5:AUS5" si="1104">+AUQ5+1</f>
        <v>131</v>
      </c>
      <c r="AUS5" s="5">
        <f t="shared" si="1104"/>
        <v>132</v>
      </c>
    </row>
    <row r="6" spans="1:1243" s="9" customFormat="1" x14ac:dyDescent="0.3">
      <c r="A6"/>
      <c r="B6" s="42"/>
      <c r="C6" s="49"/>
      <c r="D6" s="52">
        <f>SUM(D7:D13)</f>
        <v>136775</v>
      </c>
      <c r="E6" s="50"/>
      <c r="F6" s="50"/>
      <c r="G6" s="77">
        <f>+H6/D6</f>
        <v>13.944909084262477</v>
      </c>
      <c r="H6" s="52">
        <f>SUM(H7:H13)</f>
        <v>1907314.9400000002</v>
      </c>
      <c r="I6" s="37">
        <v>0.02</v>
      </c>
      <c r="J6" s="50"/>
      <c r="K6" s="50"/>
      <c r="L6" s="50">
        <f>SUM(L7:L13)</f>
        <v>1.0000000000000002</v>
      </c>
      <c r="M6" s="51"/>
      <c r="N6" s="37"/>
      <c r="O6" s="50"/>
      <c r="P6" s="50"/>
      <c r="Q6" s="50"/>
      <c r="R6" s="50"/>
      <c r="S6" s="50"/>
      <c r="T6" s="50"/>
      <c r="U6" s="37">
        <v>0.02</v>
      </c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3"/>
      <c r="FM6" s="63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4"/>
      <c r="IQ6" s="64"/>
      <c r="IR6" s="64"/>
      <c r="IS6" s="64"/>
      <c r="IT6" s="64"/>
      <c r="IU6" s="64"/>
      <c r="IV6" s="64"/>
      <c r="IW6" s="64"/>
      <c r="IX6" s="64"/>
      <c r="IY6" s="64"/>
      <c r="IZ6" s="64"/>
      <c r="JA6" s="64"/>
      <c r="JB6" s="64"/>
      <c r="JC6" s="64"/>
      <c r="JD6" s="64"/>
      <c r="JE6" s="64"/>
      <c r="JF6" s="64"/>
      <c r="JG6" s="64"/>
      <c r="JH6" s="64"/>
      <c r="JI6" s="64"/>
      <c r="JJ6" s="64"/>
      <c r="JK6" s="64"/>
      <c r="JL6" s="64"/>
      <c r="JM6" s="64"/>
      <c r="JN6" s="64"/>
      <c r="JO6" s="64"/>
      <c r="JP6" s="64"/>
      <c r="JQ6" s="64"/>
      <c r="JR6" s="64"/>
      <c r="JS6" s="64"/>
      <c r="JT6" s="64"/>
      <c r="JU6" s="64"/>
      <c r="JV6" s="64"/>
      <c r="JW6" s="64"/>
      <c r="JX6" s="64"/>
      <c r="JY6" s="64"/>
      <c r="JZ6" s="64"/>
      <c r="KA6" s="64"/>
      <c r="KB6" s="64"/>
      <c r="KC6" s="64"/>
      <c r="KD6" s="64"/>
      <c r="KE6" s="64"/>
      <c r="KF6" s="64"/>
      <c r="KG6" s="64"/>
      <c r="KH6" s="64"/>
      <c r="KI6" s="64"/>
      <c r="KJ6" s="64"/>
      <c r="KK6" s="64"/>
      <c r="KL6" s="64"/>
      <c r="KM6" s="64"/>
      <c r="KN6" s="64"/>
      <c r="KO6" s="64"/>
      <c r="KP6" s="63"/>
      <c r="KQ6" s="63"/>
      <c r="KR6" s="66"/>
      <c r="KS6" s="64"/>
      <c r="KT6" s="64"/>
      <c r="KU6" s="64"/>
      <c r="KV6" s="64"/>
      <c r="KW6" s="64"/>
      <c r="KX6" s="64"/>
      <c r="KY6" s="64"/>
      <c r="KZ6" s="64"/>
      <c r="LA6" s="64"/>
      <c r="LB6" s="64"/>
      <c r="LC6" s="64"/>
      <c r="LD6" s="64"/>
      <c r="LE6" s="64"/>
      <c r="LF6" s="64"/>
      <c r="LG6" s="64"/>
      <c r="LH6" s="64"/>
      <c r="LI6" s="64"/>
      <c r="LJ6" s="64"/>
      <c r="LK6" s="64"/>
      <c r="LL6" s="64"/>
      <c r="LM6" s="64"/>
      <c r="LN6" s="64"/>
      <c r="LO6" s="64"/>
      <c r="LP6" s="64"/>
      <c r="LQ6" s="64"/>
      <c r="LR6" s="64"/>
      <c r="LS6" s="64"/>
      <c r="LT6" s="64"/>
      <c r="LU6" s="64"/>
      <c r="LV6" s="64"/>
      <c r="LW6" s="64"/>
      <c r="LX6" s="64"/>
      <c r="LY6" s="64"/>
      <c r="LZ6" s="64"/>
      <c r="MA6" s="64"/>
      <c r="MB6" s="64"/>
      <c r="MC6" s="64"/>
      <c r="MD6" s="64"/>
      <c r="ME6" s="64"/>
      <c r="MF6" s="64"/>
      <c r="MG6" s="64"/>
      <c r="MH6" s="64"/>
      <c r="MI6" s="64"/>
      <c r="MJ6" s="64"/>
      <c r="MK6" s="64"/>
      <c r="ML6" s="64"/>
      <c r="MM6" s="64"/>
      <c r="MN6" s="64"/>
      <c r="MO6" s="64"/>
      <c r="MP6" s="64"/>
      <c r="MQ6" s="64"/>
      <c r="MR6" s="64"/>
      <c r="MS6" s="64"/>
      <c r="MT6" s="64"/>
      <c r="MU6" s="64"/>
      <c r="MV6" s="64"/>
      <c r="MW6" s="64"/>
      <c r="MX6" s="64"/>
      <c r="MY6" s="64"/>
      <c r="MZ6" s="64"/>
      <c r="NA6" s="64"/>
      <c r="NB6" s="64"/>
      <c r="NC6" s="64"/>
      <c r="ND6" s="64"/>
      <c r="NE6" s="64"/>
      <c r="NF6" s="64"/>
      <c r="NG6" s="64"/>
      <c r="NH6" s="64"/>
      <c r="NI6" s="64"/>
      <c r="NJ6" s="64"/>
      <c r="NK6" s="64"/>
      <c r="NL6" s="64"/>
      <c r="NM6" s="64"/>
      <c r="NN6" s="64"/>
      <c r="NO6" s="64"/>
      <c r="NP6" s="64"/>
      <c r="NQ6" s="64"/>
      <c r="NR6" s="64"/>
      <c r="NS6" s="64"/>
      <c r="NT6" s="64"/>
      <c r="NU6" s="64"/>
      <c r="NV6" s="64"/>
      <c r="NW6" s="64"/>
      <c r="NX6" s="64"/>
      <c r="NY6" s="64"/>
      <c r="NZ6" s="64"/>
      <c r="OA6" s="64"/>
      <c r="OB6" s="64"/>
      <c r="OC6" s="64"/>
      <c r="OD6" s="64"/>
      <c r="OE6" s="64"/>
      <c r="OF6" s="64"/>
      <c r="OG6" s="64"/>
      <c r="OH6" s="64"/>
      <c r="OI6" s="64"/>
      <c r="OJ6" s="64"/>
      <c r="OK6" s="64"/>
      <c r="OL6" s="64"/>
      <c r="OM6" s="64"/>
      <c r="ON6" s="64"/>
      <c r="OO6" s="64"/>
      <c r="OP6" s="64"/>
      <c r="OQ6" s="64"/>
      <c r="OR6" s="64"/>
      <c r="OS6" s="64"/>
      <c r="OT6" s="64"/>
      <c r="OU6" s="64"/>
      <c r="OV6" s="64"/>
      <c r="OW6" s="64"/>
      <c r="OX6" s="64"/>
      <c r="OY6" s="64"/>
      <c r="OZ6" s="64"/>
      <c r="PA6" s="64"/>
      <c r="PB6" s="64"/>
      <c r="PC6" s="64"/>
      <c r="PD6" s="64"/>
      <c r="PE6" s="64"/>
      <c r="PF6" s="64"/>
      <c r="PG6" s="64"/>
      <c r="PH6" s="64"/>
      <c r="PI6" s="64"/>
      <c r="PJ6" s="64"/>
      <c r="PK6" s="64"/>
      <c r="PL6" s="64"/>
      <c r="PM6" s="64"/>
      <c r="PN6" s="64"/>
      <c r="PO6" s="64"/>
      <c r="PP6" s="64"/>
      <c r="PQ6" s="64"/>
      <c r="PR6" s="64"/>
      <c r="PS6" s="64"/>
      <c r="PT6" s="64"/>
      <c r="PU6" s="63"/>
      <c r="PV6" s="63"/>
      <c r="PW6" s="66"/>
      <c r="PX6" s="64"/>
      <c r="PY6" s="64"/>
      <c r="PZ6" s="64"/>
      <c r="QA6" s="64"/>
      <c r="QB6" s="64"/>
      <c r="QC6" s="64"/>
      <c r="QD6" s="64"/>
      <c r="QE6" s="64"/>
      <c r="QF6" s="64"/>
      <c r="QG6" s="64"/>
      <c r="QH6" s="64"/>
      <c r="QI6" s="64"/>
      <c r="QJ6" s="64"/>
      <c r="QK6" s="64"/>
      <c r="QL6" s="64"/>
      <c r="QM6" s="64"/>
      <c r="QN6" s="64"/>
      <c r="QO6" s="64"/>
      <c r="QP6" s="64"/>
      <c r="QQ6" s="64"/>
      <c r="QR6" s="64"/>
      <c r="QS6" s="64"/>
      <c r="QT6" s="64"/>
      <c r="QU6" s="64"/>
      <c r="QV6" s="64"/>
      <c r="QW6" s="64"/>
      <c r="QX6" s="64"/>
      <c r="QY6" s="64"/>
      <c r="QZ6" s="64"/>
      <c r="RA6" s="64"/>
      <c r="RB6" s="64"/>
      <c r="RC6" s="64"/>
      <c r="RD6" s="64"/>
      <c r="RE6" s="64"/>
      <c r="RF6" s="64"/>
      <c r="RG6" s="64"/>
      <c r="RH6" s="64"/>
      <c r="RI6" s="64"/>
      <c r="RJ6" s="64"/>
      <c r="RK6" s="64"/>
      <c r="RL6" s="64"/>
      <c r="RM6" s="64"/>
      <c r="RN6" s="64"/>
      <c r="RO6" s="64"/>
      <c r="RP6" s="64"/>
      <c r="RQ6" s="64"/>
      <c r="RR6" s="64"/>
      <c r="RS6" s="64"/>
      <c r="RT6" s="64"/>
      <c r="RU6" s="64"/>
      <c r="RV6" s="64"/>
      <c r="RW6" s="64"/>
      <c r="RX6" s="64"/>
      <c r="RY6" s="64"/>
      <c r="RZ6" s="64"/>
      <c r="SA6" s="64"/>
      <c r="SB6" s="64"/>
      <c r="SC6" s="64"/>
      <c r="SD6" s="64"/>
      <c r="SE6" s="64"/>
      <c r="SF6" s="64"/>
      <c r="SG6" s="64"/>
      <c r="SH6" s="64"/>
      <c r="SI6" s="64"/>
      <c r="SJ6" s="64"/>
      <c r="SK6" s="64"/>
      <c r="SL6" s="64"/>
      <c r="SM6" s="64"/>
      <c r="SN6" s="64"/>
      <c r="SO6" s="64"/>
      <c r="SP6" s="64"/>
      <c r="SQ6" s="64"/>
      <c r="SR6" s="64"/>
      <c r="SS6" s="64"/>
      <c r="ST6" s="64"/>
      <c r="SU6" s="64"/>
      <c r="SV6" s="64"/>
      <c r="SW6" s="64"/>
      <c r="SX6" s="64"/>
      <c r="SY6" s="64"/>
      <c r="SZ6" s="64"/>
      <c r="TA6" s="64"/>
      <c r="TB6" s="64"/>
      <c r="TC6" s="64"/>
      <c r="TD6" s="64"/>
      <c r="TE6" s="64"/>
      <c r="TF6" s="64"/>
      <c r="TG6" s="64"/>
      <c r="TH6" s="64"/>
      <c r="TI6" s="64"/>
      <c r="TJ6" s="64"/>
      <c r="TK6" s="64"/>
      <c r="TL6" s="64"/>
      <c r="TM6" s="64"/>
      <c r="TN6" s="64"/>
      <c r="TO6" s="64"/>
      <c r="TP6" s="64"/>
      <c r="TQ6" s="64"/>
      <c r="TR6" s="64"/>
      <c r="TS6" s="64"/>
      <c r="TT6" s="64"/>
      <c r="TU6" s="64"/>
      <c r="TV6" s="64"/>
      <c r="TW6" s="64"/>
      <c r="TX6" s="64"/>
      <c r="TY6" s="64"/>
      <c r="TZ6" s="64"/>
      <c r="UA6" s="64"/>
      <c r="UB6" s="64"/>
      <c r="UC6" s="64"/>
      <c r="UD6" s="64"/>
      <c r="UE6" s="64"/>
      <c r="UF6" s="64"/>
      <c r="UG6" s="64"/>
      <c r="UH6" s="64"/>
      <c r="UI6" s="64"/>
      <c r="UJ6" s="64"/>
      <c r="UK6" s="64"/>
      <c r="UL6" s="64"/>
      <c r="UM6" s="64"/>
      <c r="UN6" s="64"/>
      <c r="UO6" s="64"/>
      <c r="UP6" s="64"/>
      <c r="UQ6" s="64"/>
      <c r="UR6" s="64"/>
      <c r="US6" s="64"/>
      <c r="UT6" s="64"/>
      <c r="UU6" s="64"/>
      <c r="UV6" s="64"/>
      <c r="UW6" s="64"/>
      <c r="UX6" s="64"/>
      <c r="UY6" s="64"/>
      <c r="UZ6" s="63"/>
      <c r="VA6" s="63"/>
      <c r="VB6" s="64">
        <f>SUM(VB7:VB17)</f>
        <v>158942.91166666668</v>
      </c>
      <c r="VC6" s="64">
        <f t="shared" ref="VC6:XN6" si="1105">SUM(VC7:VC17)</f>
        <v>158942.91166666668</v>
      </c>
      <c r="VD6" s="64">
        <f t="shared" si="1105"/>
        <v>158942.91166666668</v>
      </c>
      <c r="VE6" s="64">
        <f t="shared" si="1105"/>
        <v>159184.17246666667</v>
      </c>
      <c r="VF6" s="64">
        <f t="shared" si="1105"/>
        <v>159184.17246666667</v>
      </c>
      <c r="VG6" s="64">
        <f t="shared" si="1105"/>
        <v>160436.09530000002</v>
      </c>
      <c r="VH6" s="64">
        <f t="shared" si="1105"/>
        <v>160436.09530000002</v>
      </c>
      <c r="VI6" s="64">
        <f t="shared" si="1105"/>
        <v>160436.09530000002</v>
      </c>
      <c r="VJ6" s="64">
        <f t="shared" si="1105"/>
        <v>160709.48490000001</v>
      </c>
      <c r="VK6" s="64">
        <f t="shared" si="1105"/>
        <v>160709.48490000001</v>
      </c>
      <c r="VL6" s="64">
        <f t="shared" si="1105"/>
        <v>160709.48490000001</v>
      </c>
      <c r="VM6" s="64">
        <f t="shared" si="1105"/>
        <v>160709.48490000001</v>
      </c>
      <c r="VN6" s="64">
        <f t="shared" si="1105"/>
        <v>162121.76990000001</v>
      </c>
      <c r="VO6" s="64">
        <f t="shared" si="1105"/>
        <v>162121.76990000001</v>
      </c>
      <c r="VP6" s="64">
        <f t="shared" si="1105"/>
        <v>162121.76990000001</v>
      </c>
      <c r="VQ6" s="64">
        <f t="shared" si="1105"/>
        <v>149817.46910000002</v>
      </c>
      <c r="VR6" s="64">
        <f t="shared" si="1105"/>
        <v>149817.46910000002</v>
      </c>
      <c r="VS6" s="64">
        <f t="shared" si="1105"/>
        <v>151094.43039000002</v>
      </c>
      <c r="VT6" s="64">
        <f t="shared" si="1105"/>
        <v>163164.83039000002</v>
      </c>
      <c r="VU6" s="64">
        <f t="shared" si="1105"/>
        <v>163164.83039000002</v>
      </c>
      <c r="VV6" s="64">
        <f t="shared" si="1105"/>
        <v>163443.68778200002</v>
      </c>
      <c r="VW6" s="64">
        <f t="shared" si="1105"/>
        <v>163443.68778200002</v>
      </c>
      <c r="VX6" s="64">
        <f t="shared" si="1105"/>
        <v>163443.68778200002</v>
      </c>
      <c r="VY6" s="64">
        <f t="shared" si="1105"/>
        <v>163443.68778200002</v>
      </c>
      <c r="VZ6" s="64">
        <f t="shared" si="1105"/>
        <v>164884.21848200003</v>
      </c>
      <c r="WA6" s="64">
        <f t="shared" si="1105"/>
        <v>164884.21848200003</v>
      </c>
      <c r="WB6" s="64">
        <f t="shared" si="1105"/>
        <v>164884.21848200003</v>
      </c>
      <c r="WC6" s="64">
        <f t="shared" si="1105"/>
        <v>164884.21848200003</v>
      </c>
      <c r="WD6" s="64">
        <f t="shared" si="1105"/>
        <v>164884.21848200003</v>
      </c>
      <c r="WE6" s="64">
        <f t="shared" si="1105"/>
        <v>166186.71899780002</v>
      </c>
      <c r="WF6" s="64">
        <f t="shared" si="1105"/>
        <v>166428.12699780002</v>
      </c>
      <c r="WG6" s="64">
        <f t="shared" si="1105"/>
        <v>166428.12699780002</v>
      </c>
      <c r="WH6" s="64">
        <f t="shared" si="1105"/>
        <v>166712.56153763999</v>
      </c>
      <c r="WI6" s="64">
        <f t="shared" si="1105"/>
        <v>166712.56153763999</v>
      </c>
      <c r="WJ6" s="64">
        <f t="shared" si="1105"/>
        <v>166712.56153763999</v>
      </c>
      <c r="WK6" s="64">
        <f t="shared" si="1105"/>
        <v>166712.56153763999</v>
      </c>
      <c r="WL6" s="64">
        <f t="shared" si="1105"/>
        <v>150675.81773063997</v>
      </c>
      <c r="WM6" s="64">
        <f t="shared" si="1105"/>
        <v>150675.81773063997</v>
      </c>
      <c r="WN6" s="64">
        <f t="shared" si="1105"/>
        <v>150675.81773063997</v>
      </c>
      <c r="WO6" s="64">
        <f t="shared" si="1105"/>
        <v>173564.74778064</v>
      </c>
      <c r="WP6" s="64">
        <f t="shared" si="1105"/>
        <v>173564.74778064</v>
      </c>
      <c r="WQ6" s="64">
        <f t="shared" si="1105"/>
        <v>174893.29830675598</v>
      </c>
      <c r="WR6" s="64">
        <f t="shared" si="1105"/>
        <v>175139.53446675595</v>
      </c>
      <c r="WS6" s="64">
        <f t="shared" si="1105"/>
        <v>175139.53446675595</v>
      </c>
      <c r="WT6" s="64">
        <f t="shared" si="1105"/>
        <v>160633.37293491597</v>
      </c>
      <c r="WU6" s="64">
        <f t="shared" si="1105"/>
        <v>160633.37293491597</v>
      </c>
      <c r="WV6" s="64">
        <f t="shared" si="1105"/>
        <v>160633.37293491597</v>
      </c>
      <c r="WW6" s="64">
        <f t="shared" si="1105"/>
        <v>180975.66908691596</v>
      </c>
      <c r="WX6" s="64">
        <f t="shared" si="1105"/>
        <v>165238.333828776</v>
      </c>
      <c r="WY6" s="64">
        <f t="shared" si="1105"/>
        <v>165238.333828776</v>
      </c>
      <c r="WZ6" s="64">
        <f t="shared" si="1105"/>
        <v>165238.333828776</v>
      </c>
      <c r="XA6" s="64">
        <f t="shared" si="1105"/>
        <v>179298.676573776</v>
      </c>
      <c r="XB6" s="64">
        <f t="shared" si="1105"/>
        <v>179298.676573776</v>
      </c>
      <c r="XC6" s="64">
        <f t="shared" si="1105"/>
        <v>180653.79811041433</v>
      </c>
      <c r="XD6" s="64">
        <f t="shared" si="1105"/>
        <v>180904.95899361433</v>
      </c>
      <c r="XE6" s="64">
        <f t="shared" si="1105"/>
        <v>180904.95899361433</v>
      </c>
      <c r="XF6" s="64">
        <f t="shared" si="1105"/>
        <v>180904.95899361433</v>
      </c>
      <c r="XG6" s="64">
        <f t="shared" si="1105"/>
        <v>180904.95899361433</v>
      </c>
      <c r="XH6" s="64">
        <f t="shared" si="1105"/>
        <v>180904.95899361433</v>
      </c>
      <c r="XI6" s="64">
        <f t="shared" si="1105"/>
        <v>181311.80491665434</v>
      </c>
      <c r="XJ6" s="64">
        <f t="shared" si="1105"/>
        <v>182145.66464935153</v>
      </c>
      <c r="XK6" s="64">
        <f t="shared" si="1105"/>
        <v>182145.66464935153</v>
      </c>
      <c r="XL6" s="64">
        <f t="shared" si="1105"/>
        <v>182145.66464935153</v>
      </c>
      <c r="XM6" s="64">
        <f t="shared" si="1105"/>
        <v>182884.65010525152</v>
      </c>
      <c r="XN6" s="64">
        <f t="shared" si="1105"/>
        <v>182884.65010525152</v>
      </c>
      <c r="XO6" s="64">
        <f t="shared" ref="XO6:ZZ6" si="1106">SUM(XO7:XO17)</f>
        <v>184266.87407262262</v>
      </c>
      <c r="XP6" s="64">
        <f t="shared" si="1106"/>
        <v>184523.05817348661</v>
      </c>
      <c r="XQ6" s="64">
        <f t="shared" si="1106"/>
        <v>184523.05817348661</v>
      </c>
      <c r="XR6" s="64">
        <f t="shared" si="1106"/>
        <v>184523.05817348661</v>
      </c>
      <c r="XS6" s="64">
        <f t="shared" si="1106"/>
        <v>184523.05817348661</v>
      </c>
      <c r="XT6" s="64">
        <f t="shared" si="1106"/>
        <v>184523.05817348661</v>
      </c>
      <c r="XU6" s="64">
        <f t="shared" si="1106"/>
        <v>184938.04101498742</v>
      </c>
      <c r="XV6" s="64">
        <f t="shared" si="1106"/>
        <v>185788.57794233857</v>
      </c>
      <c r="XW6" s="64">
        <f t="shared" si="1106"/>
        <v>185788.57794233857</v>
      </c>
      <c r="XX6" s="64">
        <f t="shared" si="1106"/>
        <v>185788.57794233857</v>
      </c>
      <c r="XY6" s="64">
        <f t="shared" si="1106"/>
        <v>186542.34310735654</v>
      </c>
      <c r="XZ6" s="64">
        <f t="shared" si="1106"/>
        <v>186542.34310735654</v>
      </c>
      <c r="YA6" s="64">
        <f t="shared" si="1106"/>
        <v>187952.21155407507</v>
      </c>
      <c r="YB6" s="64">
        <f t="shared" si="1106"/>
        <v>188213.51933695635</v>
      </c>
      <c r="YC6" s="64">
        <f t="shared" si="1106"/>
        <v>188213.51933695635</v>
      </c>
      <c r="YD6" s="64">
        <f t="shared" si="1106"/>
        <v>188213.51933695635</v>
      </c>
      <c r="YE6" s="64">
        <f t="shared" si="1106"/>
        <v>188213.51933695635</v>
      </c>
      <c r="YF6" s="64">
        <f t="shared" si="1106"/>
        <v>188213.51933695635</v>
      </c>
      <c r="YG6" s="64">
        <f t="shared" si="1106"/>
        <v>188636.80183528716</v>
      </c>
      <c r="YH6" s="64">
        <f t="shared" si="1106"/>
        <v>172873.53481925061</v>
      </c>
      <c r="YI6" s="64">
        <f t="shared" si="1106"/>
        <v>172873.53481925061</v>
      </c>
      <c r="YJ6" s="64">
        <f t="shared" si="1106"/>
        <v>172873.53481925061</v>
      </c>
      <c r="YK6" s="64">
        <f t="shared" si="1106"/>
        <v>192934.12031861325</v>
      </c>
      <c r="YL6" s="64">
        <f t="shared" si="1106"/>
        <v>192934.12031861325</v>
      </c>
      <c r="YM6" s="64">
        <f t="shared" si="1106"/>
        <v>194372.18613426611</v>
      </c>
      <c r="YN6" s="64">
        <f t="shared" si="1106"/>
        <v>194638.72007280504</v>
      </c>
      <c r="YO6" s="64">
        <f t="shared" si="1106"/>
        <v>194638.72007280504</v>
      </c>
      <c r="YP6" s="64">
        <f t="shared" si="1106"/>
        <v>194638.72007280504</v>
      </c>
      <c r="YQ6" s="64">
        <f t="shared" si="1106"/>
        <v>194638.72007280504</v>
      </c>
      <c r="YR6" s="64">
        <f t="shared" si="1106"/>
        <v>194638.72007280504</v>
      </c>
      <c r="YS6" s="64">
        <f t="shared" si="1106"/>
        <v>195070.46822110246</v>
      </c>
      <c r="YT6" s="64">
        <f t="shared" si="1106"/>
        <v>195622.75054667992</v>
      </c>
      <c r="YU6" s="64">
        <f t="shared" si="1106"/>
        <v>195622.75054667992</v>
      </c>
      <c r="YV6" s="64">
        <f t="shared" si="1106"/>
        <v>167456.35194223069</v>
      </c>
      <c r="YW6" s="64">
        <f t="shared" si="1106"/>
        <v>168626.40412053629</v>
      </c>
      <c r="YX6" s="64">
        <f t="shared" si="1106"/>
        <v>168626.40412053629</v>
      </c>
      <c r="YY6" s="64">
        <f t="shared" si="1106"/>
        <v>204212.92881010572</v>
      </c>
      <c r="YZ6" s="64">
        <f t="shared" si="1106"/>
        <v>204484.79342741537</v>
      </c>
      <c r="ZA6" s="64">
        <f t="shared" si="1106"/>
        <v>204484.79342741537</v>
      </c>
      <c r="ZB6" s="64">
        <f t="shared" si="1106"/>
        <v>204484.79342741537</v>
      </c>
      <c r="ZC6" s="64">
        <f t="shared" si="1106"/>
        <v>204484.79342741537</v>
      </c>
      <c r="ZD6" s="64">
        <f t="shared" si="1106"/>
        <v>204484.79342741537</v>
      </c>
      <c r="ZE6" s="64">
        <f t="shared" si="1106"/>
        <v>204925.17653867876</v>
      </c>
      <c r="ZF6" s="64">
        <f t="shared" si="1106"/>
        <v>204925.17653867876</v>
      </c>
      <c r="ZG6" s="64">
        <f t="shared" si="1106"/>
        <v>204925.17653867876</v>
      </c>
      <c r="ZH6" s="64">
        <f t="shared" si="1106"/>
        <v>204925.17653867876</v>
      </c>
      <c r="ZI6" s="64">
        <f t="shared" si="1106"/>
        <v>206118.62976055048</v>
      </c>
      <c r="ZJ6" s="64">
        <f t="shared" si="1106"/>
        <v>206118.62976055048</v>
      </c>
      <c r="ZK6" s="64">
        <f t="shared" si="1106"/>
        <v>131992.83998143981</v>
      </c>
      <c r="ZL6" s="64">
        <f t="shared" si="1106"/>
        <v>132270.1418910957</v>
      </c>
      <c r="ZM6" s="64">
        <f t="shared" si="1106"/>
        <v>191605.49201271959</v>
      </c>
      <c r="ZN6" s="64">
        <f t="shared" si="1106"/>
        <v>191605.49201271959</v>
      </c>
      <c r="ZO6" s="64">
        <f t="shared" si="1106"/>
        <v>191605.49201271959</v>
      </c>
      <c r="ZP6" s="64">
        <f t="shared" si="1106"/>
        <v>191605.49201271959</v>
      </c>
      <c r="ZQ6" s="64">
        <f t="shared" si="1106"/>
        <v>192054.68278620823</v>
      </c>
      <c r="ZR6" s="64">
        <f t="shared" si="1106"/>
        <v>192054.68278620823</v>
      </c>
      <c r="ZS6" s="64">
        <f t="shared" si="1106"/>
        <v>192054.68278620823</v>
      </c>
      <c r="ZT6" s="64">
        <f t="shared" si="1106"/>
        <v>192054.68278620823</v>
      </c>
      <c r="ZU6" s="64">
        <f t="shared" si="1106"/>
        <v>193272.00507251735</v>
      </c>
      <c r="ZV6" s="64">
        <f t="shared" si="1106"/>
        <v>193272.00507251735</v>
      </c>
      <c r="ZW6" s="64">
        <f t="shared" si="1106"/>
        <v>193968.0469026925</v>
      </c>
      <c r="ZX6" s="64">
        <f t="shared" si="1106"/>
        <v>194250.89485054149</v>
      </c>
      <c r="ZY6" s="64">
        <f t="shared" si="1106"/>
        <v>195437.60185297395</v>
      </c>
      <c r="ZZ6" s="64">
        <f t="shared" si="1106"/>
        <v>195437.60185297395</v>
      </c>
      <c r="AAA6" s="64">
        <f t="shared" ref="AAA6:AAC6" si="1107">SUM(AAA7:AAA17)</f>
        <v>195437.60185297395</v>
      </c>
      <c r="AAB6" s="64">
        <f t="shared" si="1107"/>
        <v>195437.60185297395</v>
      </c>
      <c r="AAC6" s="64">
        <f t="shared" si="1107"/>
        <v>195895.77644193239</v>
      </c>
      <c r="AAD6" s="63"/>
      <c r="AAE6" s="63"/>
      <c r="AAF6" s="64">
        <f>SUM(AAF7:AAF17)</f>
        <v>0</v>
      </c>
      <c r="AAG6" s="64">
        <f t="shared" ref="AAG6:ACR6" si="1108">SUM(AAG7:AAG17)</f>
        <v>0</v>
      </c>
      <c r="AAH6" s="64">
        <f t="shared" si="1108"/>
        <v>0</v>
      </c>
      <c r="AAI6" s="64">
        <f t="shared" si="1108"/>
        <v>0</v>
      </c>
      <c r="AAJ6" s="64">
        <f t="shared" si="1108"/>
        <v>0</v>
      </c>
      <c r="AAK6" s="64">
        <f t="shared" si="1108"/>
        <v>0</v>
      </c>
      <c r="AAL6" s="64">
        <f t="shared" si="1108"/>
        <v>0</v>
      </c>
      <c r="AAM6" s="64">
        <f t="shared" si="1108"/>
        <v>0</v>
      </c>
      <c r="AAN6" s="64">
        <f t="shared" si="1108"/>
        <v>0</v>
      </c>
      <c r="AAO6" s="64">
        <f t="shared" si="1108"/>
        <v>0</v>
      </c>
      <c r="AAP6" s="64">
        <f t="shared" si="1108"/>
        <v>0</v>
      </c>
      <c r="AAQ6" s="64">
        <f t="shared" si="1108"/>
        <v>0</v>
      </c>
      <c r="AAR6" s="64">
        <f t="shared" si="1108"/>
        <v>0</v>
      </c>
      <c r="AAS6" s="64">
        <f t="shared" si="1108"/>
        <v>0</v>
      </c>
      <c r="AAT6" s="64">
        <f t="shared" si="1108"/>
        <v>0</v>
      </c>
      <c r="AAU6" s="64">
        <f t="shared" si="1108"/>
        <v>0</v>
      </c>
      <c r="AAV6" s="64">
        <f t="shared" si="1108"/>
        <v>0</v>
      </c>
      <c r="AAW6" s="64">
        <f t="shared" si="1108"/>
        <v>0</v>
      </c>
      <c r="AAX6" s="64">
        <f t="shared" si="1108"/>
        <v>24140.799999999996</v>
      </c>
      <c r="AAY6" s="64">
        <f t="shared" si="1108"/>
        <v>0</v>
      </c>
      <c r="AAZ6" s="64">
        <f t="shared" si="1108"/>
        <v>0</v>
      </c>
      <c r="ABA6" s="64">
        <f t="shared" si="1108"/>
        <v>0</v>
      </c>
      <c r="ABB6" s="64">
        <f t="shared" si="1108"/>
        <v>0</v>
      </c>
      <c r="ABC6" s="64">
        <f t="shared" si="1108"/>
        <v>0</v>
      </c>
      <c r="ABD6" s="64">
        <f t="shared" si="1108"/>
        <v>0</v>
      </c>
      <c r="ABE6" s="64">
        <f t="shared" si="1108"/>
        <v>0</v>
      </c>
      <c r="ABF6" s="64">
        <f t="shared" si="1108"/>
        <v>0</v>
      </c>
      <c r="ABG6" s="64">
        <f t="shared" si="1108"/>
        <v>0</v>
      </c>
      <c r="ABH6" s="64">
        <f t="shared" si="1108"/>
        <v>0</v>
      </c>
      <c r="ABI6" s="64">
        <f t="shared" si="1108"/>
        <v>0</v>
      </c>
      <c r="ABJ6" s="64">
        <f t="shared" si="1108"/>
        <v>0</v>
      </c>
      <c r="ABK6" s="64">
        <f t="shared" si="1108"/>
        <v>0</v>
      </c>
      <c r="ABL6" s="64">
        <f t="shared" si="1108"/>
        <v>0</v>
      </c>
      <c r="ABM6" s="64">
        <f t="shared" si="1108"/>
        <v>0</v>
      </c>
      <c r="ABN6" s="64">
        <f t="shared" si="1108"/>
        <v>0</v>
      </c>
      <c r="ABO6" s="64">
        <f t="shared" si="1108"/>
        <v>0</v>
      </c>
      <c r="ABP6" s="64">
        <f t="shared" si="1108"/>
        <v>0</v>
      </c>
      <c r="ABQ6" s="64">
        <f t="shared" si="1108"/>
        <v>0</v>
      </c>
      <c r="ABR6" s="64">
        <f t="shared" si="1108"/>
        <v>0</v>
      </c>
      <c r="ABS6" s="64">
        <f t="shared" si="1108"/>
        <v>114444.65024999999</v>
      </c>
      <c r="ABT6" s="64">
        <f t="shared" si="1108"/>
        <v>0</v>
      </c>
      <c r="ABU6" s="64">
        <f t="shared" si="1108"/>
        <v>0</v>
      </c>
      <c r="ABV6" s="64">
        <f t="shared" si="1108"/>
        <v>0</v>
      </c>
      <c r="ABW6" s="64">
        <f t="shared" si="1108"/>
        <v>0</v>
      </c>
      <c r="ABX6" s="64">
        <f t="shared" si="1108"/>
        <v>0</v>
      </c>
      <c r="ABY6" s="64">
        <f t="shared" si="1108"/>
        <v>0</v>
      </c>
      <c r="ABZ6" s="64">
        <f t="shared" si="1108"/>
        <v>0</v>
      </c>
      <c r="ACA6" s="64">
        <f t="shared" si="1108"/>
        <v>101711.48075999999</v>
      </c>
      <c r="ACB6" s="64">
        <f t="shared" si="1108"/>
        <v>0</v>
      </c>
      <c r="ACC6" s="64">
        <f t="shared" si="1108"/>
        <v>0</v>
      </c>
      <c r="ACD6" s="64">
        <f t="shared" si="1108"/>
        <v>0</v>
      </c>
      <c r="ACE6" s="64">
        <f t="shared" si="1108"/>
        <v>68012.820720000003</v>
      </c>
      <c r="ACF6" s="64">
        <f t="shared" si="1108"/>
        <v>0</v>
      </c>
      <c r="ACG6" s="64">
        <f t="shared" si="1108"/>
        <v>0</v>
      </c>
      <c r="ACH6" s="64">
        <f t="shared" si="1108"/>
        <v>0</v>
      </c>
      <c r="ACI6" s="64">
        <f t="shared" si="1108"/>
        <v>0</v>
      </c>
      <c r="ACJ6" s="64">
        <f t="shared" si="1108"/>
        <v>0</v>
      </c>
      <c r="ACK6" s="64">
        <f t="shared" si="1108"/>
        <v>0</v>
      </c>
      <c r="ACL6" s="64">
        <f t="shared" si="1108"/>
        <v>0</v>
      </c>
      <c r="ACM6" s="64">
        <f t="shared" si="1108"/>
        <v>0</v>
      </c>
      <c r="ACN6" s="64">
        <f t="shared" si="1108"/>
        <v>0</v>
      </c>
      <c r="ACO6" s="64">
        <f t="shared" si="1108"/>
        <v>0</v>
      </c>
      <c r="ACP6" s="64">
        <f t="shared" si="1108"/>
        <v>0</v>
      </c>
      <c r="ACQ6" s="64">
        <f t="shared" si="1108"/>
        <v>0</v>
      </c>
      <c r="ACR6" s="64">
        <f t="shared" si="1108"/>
        <v>0</v>
      </c>
      <c r="ACS6" s="64">
        <f t="shared" ref="ACS6:AFD6" si="1109">SUM(ACS7:ACS17)</f>
        <v>0</v>
      </c>
      <c r="ACT6" s="64">
        <f t="shared" si="1109"/>
        <v>0</v>
      </c>
      <c r="ACU6" s="64">
        <f t="shared" si="1109"/>
        <v>0</v>
      </c>
      <c r="ACV6" s="64">
        <f t="shared" si="1109"/>
        <v>0</v>
      </c>
      <c r="ACW6" s="64">
        <f t="shared" si="1109"/>
        <v>0</v>
      </c>
      <c r="ACX6" s="64">
        <f t="shared" si="1109"/>
        <v>0</v>
      </c>
      <c r="ACY6" s="64">
        <f t="shared" si="1109"/>
        <v>0</v>
      </c>
      <c r="ACZ6" s="64">
        <f t="shared" si="1109"/>
        <v>0</v>
      </c>
      <c r="ADA6" s="64">
        <f t="shared" si="1109"/>
        <v>0</v>
      </c>
      <c r="ADB6" s="64">
        <f t="shared" si="1109"/>
        <v>0</v>
      </c>
      <c r="ADC6" s="64">
        <f t="shared" si="1109"/>
        <v>0</v>
      </c>
      <c r="ADD6" s="64">
        <f t="shared" si="1109"/>
        <v>0</v>
      </c>
      <c r="ADE6" s="64">
        <f t="shared" si="1109"/>
        <v>0</v>
      </c>
      <c r="ADF6" s="64">
        <f t="shared" si="1109"/>
        <v>0</v>
      </c>
      <c r="ADG6" s="64">
        <f t="shared" si="1109"/>
        <v>0</v>
      </c>
      <c r="ADH6" s="64">
        <f t="shared" si="1109"/>
        <v>0</v>
      </c>
      <c r="ADI6" s="64">
        <f t="shared" si="1109"/>
        <v>0</v>
      </c>
      <c r="ADJ6" s="64">
        <f t="shared" si="1109"/>
        <v>0</v>
      </c>
      <c r="ADK6" s="64">
        <f t="shared" si="1109"/>
        <v>0</v>
      </c>
      <c r="ADL6" s="64">
        <f t="shared" si="1109"/>
        <v>0</v>
      </c>
      <c r="ADM6" s="64">
        <f t="shared" si="1109"/>
        <v>0</v>
      </c>
      <c r="ADN6" s="64">
        <f t="shared" si="1109"/>
        <v>0</v>
      </c>
      <c r="ADO6" s="64">
        <f t="shared" si="1109"/>
        <v>96458.725155221429</v>
      </c>
      <c r="ADP6" s="64">
        <f t="shared" si="1109"/>
        <v>0</v>
      </c>
      <c r="ADQ6" s="64">
        <f t="shared" si="1109"/>
        <v>0</v>
      </c>
      <c r="ADR6" s="64">
        <f t="shared" si="1109"/>
        <v>0</v>
      </c>
      <c r="ADS6" s="64">
        <f t="shared" si="1109"/>
        <v>0</v>
      </c>
      <c r="ADT6" s="64">
        <f t="shared" si="1109"/>
        <v>0</v>
      </c>
      <c r="ADU6" s="64">
        <f t="shared" si="1109"/>
        <v>0</v>
      </c>
      <c r="ADV6" s="64">
        <f t="shared" si="1109"/>
        <v>0</v>
      </c>
      <c r="ADW6" s="64">
        <f t="shared" si="1109"/>
        <v>0</v>
      </c>
      <c r="ADX6" s="64">
        <f t="shared" si="1109"/>
        <v>0</v>
      </c>
      <c r="ADY6" s="64">
        <f t="shared" si="1109"/>
        <v>0</v>
      </c>
      <c r="ADZ6" s="64">
        <f t="shared" si="1109"/>
        <v>0</v>
      </c>
      <c r="AEA6" s="64">
        <f t="shared" si="1109"/>
        <v>0</v>
      </c>
      <c r="AEB6" s="64">
        <f t="shared" si="1109"/>
        <v>0</v>
      </c>
      <c r="AEC6" s="64">
        <f t="shared" si="1109"/>
        <v>170598.48778801737</v>
      </c>
      <c r="AED6" s="64">
        <f t="shared" si="1109"/>
        <v>0</v>
      </c>
      <c r="AEE6" s="64">
        <f t="shared" si="1109"/>
        <v>0</v>
      </c>
      <c r="AEF6" s="64">
        <f t="shared" si="1109"/>
        <v>0</v>
      </c>
      <c r="AEG6" s="64">
        <f t="shared" si="1109"/>
        <v>0</v>
      </c>
      <c r="AEH6" s="64">
        <f t="shared" si="1109"/>
        <v>0</v>
      </c>
      <c r="AEI6" s="64">
        <f t="shared" si="1109"/>
        <v>0</v>
      </c>
      <c r="AEJ6" s="64">
        <f t="shared" si="1109"/>
        <v>0</v>
      </c>
      <c r="AEK6" s="64">
        <f t="shared" si="1109"/>
        <v>0</v>
      </c>
      <c r="AEL6" s="64">
        <f t="shared" si="1109"/>
        <v>0</v>
      </c>
      <c r="AEM6" s="64">
        <f t="shared" si="1109"/>
        <v>0</v>
      </c>
      <c r="AEN6" s="64">
        <f t="shared" si="1109"/>
        <v>0</v>
      </c>
      <c r="AEO6" s="64">
        <f t="shared" si="1109"/>
        <v>0</v>
      </c>
      <c r="AEP6" s="64">
        <f t="shared" si="1109"/>
        <v>0</v>
      </c>
      <c r="AEQ6" s="64">
        <f t="shared" si="1109"/>
        <v>415347.4508513672</v>
      </c>
      <c r="AER6" s="64">
        <f t="shared" si="1109"/>
        <v>0</v>
      </c>
      <c r="AES6" s="64">
        <f t="shared" si="1109"/>
        <v>0</v>
      </c>
      <c r="AET6" s="64">
        <f t="shared" si="1109"/>
        <v>0</v>
      </c>
      <c r="AEU6" s="64">
        <f t="shared" si="1109"/>
        <v>0</v>
      </c>
      <c r="AEV6" s="64">
        <f t="shared" si="1109"/>
        <v>0</v>
      </c>
      <c r="AEW6" s="64">
        <f t="shared" si="1109"/>
        <v>0</v>
      </c>
      <c r="AEX6" s="64">
        <f t="shared" si="1109"/>
        <v>0</v>
      </c>
      <c r="AEY6" s="64">
        <f t="shared" si="1109"/>
        <v>0</v>
      </c>
      <c r="AEZ6" s="64">
        <f t="shared" si="1109"/>
        <v>0</v>
      </c>
      <c r="AFA6" s="64">
        <f t="shared" si="1109"/>
        <v>0</v>
      </c>
      <c r="AFB6" s="64">
        <f t="shared" si="1109"/>
        <v>0</v>
      </c>
      <c r="AFC6" s="64">
        <f t="shared" si="1109"/>
        <v>0</v>
      </c>
      <c r="AFD6" s="64">
        <f t="shared" si="1109"/>
        <v>0</v>
      </c>
      <c r="AFE6" s="64">
        <f t="shared" ref="AFE6:AFG6" si="1110">SUM(AFE7:AFE17)</f>
        <v>0</v>
      </c>
      <c r="AFF6" s="64">
        <f t="shared" si="1110"/>
        <v>0</v>
      </c>
      <c r="AFG6" s="64">
        <f t="shared" si="1110"/>
        <v>0</v>
      </c>
      <c r="AFH6" s="63"/>
      <c r="AFI6" s="63"/>
      <c r="AFJ6" s="64">
        <f>SUM(AFJ7:AFJ17)</f>
        <v>63945.083333333336</v>
      </c>
      <c r="AFK6" s="64">
        <f t="shared" ref="AFK6:AHV6" si="1111">SUM(AFK7:AFK17)</f>
        <v>63945.083333333336</v>
      </c>
      <c r="AFL6" s="64">
        <f t="shared" si="1111"/>
        <v>63945.083333333336</v>
      </c>
      <c r="AFM6" s="64">
        <f t="shared" si="1111"/>
        <v>63945.083333333336</v>
      </c>
      <c r="AFN6" s="64">
        <f t="shared" si="1111"/>
        <v>63945.083333333336</v>
      </c>
      <c r="AFO6" s="64">
        <f t="shared" si="1111"/>
        <v>63945.083333333336</v>
      </c>
      <c r="AFP6" s="64">
        <f t="shared" si="1111"/>
        <v>63945.083333333336</v>
      </c>
      <c r="AFQ6" s="64">
        <f t="shared" si="1111"/>
        <v>63945.083333333336</v>
      </c>
      <c r="AFR6" s="64">
        <f t="shared" si="1111"/>
        <v>63945.083333333336</v>
      </c>
      <c r="AFS6" s="64">
        <f t="shared" si="1111"/>
        <v>63945.083333333336</v>
      </c>
      <c r="AFT6" s="64">
        <f t="shared" si="1111"/>
        <v>63945.083333333336</v>
      </c>
      <c r="AFU6" s="64">
        <f t="shared" si="1111"/>
        <v>63945.083333333336</v>
      </c>
      <c r="AFV6" s="64">
        <f t="shared" si="1111"/>
        <v>65223.985000000001</v>
      </c>
      <c r="AFW6" s="64">
        <f t="shared" si="1111"/>
        <v>65223.985000000001</v>
      </c>
      <c r="AFX6" s="64">
        <f t="shared" si="1111"/>
        <v>65223.985000000001</v>
      </c>
      <c r="AFY6" s="64">
        <f t="shared" si="1111"/>
        <v>61012.263299981722</v>
      </c>
      <c r="AFZ6" s="64">
        <f t="shared" si="1111"/>
        <v>61012.263299981722</v>
      </c>
      <c r="AGA6" s="64">
        <f t="shared" si="1111"/>
        <v>61012.263299981722</v>
      </c>
      <c r="AGB6" s="64">
        <f t="shared" si="1111"/>
        <v>61012.263299981722</v>
      </c>
      <c r="AGC6" s="64">
        <f t="shared" si="1111"/>
        <v>61012.263299981722</v>
      </c>
      <c r="AGD6" s="64">
        <f t="shared" si="1111"/>
        <v>61012.263299981722</v>
      </c>
      <c r="AGE6" s="64">
        <f t="shared" si="1111"/>
        <v>61012.263299981722</v>
      </c>
      <c r="AGF6" s="64">
        <f t="shared" si="1111"/>
        <v>61012.263299981722</v>
      </c>
      <c r="AGG6" s="64">
        <f t="shared" si="1111"/>
        <v>61012.263299981722</v>
      </c>
      <c r="AGH6" s="64">
        <f t="shared" si="1111"/>
        <v>62232.508565981356</v>
      </c>
      <c r="AGI6" s="64">
        <f t="shared" si="1111"/>
        <v>62232.508565981356</v>
      </c>
      <c r="AGJ6" s="64">
        <f t="shared" si="1111"/>
        <v>62232.508565981356</v>
      </c>
      <c r="AGK6" s="64">
        <f t="shared" si="1111"/>
        <v>62232.508565981356</v>
      </c>
      <c r="AGL6" s="64">
        <f t="shared" si="1111"/>
        <v>62232.508565981356</v>
      </c>
      <c r="AGM6" s="64">
        <f t="shared" si="1111"/>
        <v>62232.508565981356</v>
      </c>
      <c r="AGN6" s="64">
        <f t="shared" si="1111"/>
        <v>62232.508565981356</v>
      </c>
      <c r="AGO6" s="64">
        <f t="shared" si="1111"/>
        <v>62232.508565981356</v>
      </c>
      <c r="AGP6" s="64">
        <f t="shared" si="1111"/>
        <v>62232.508565981356</v>
      </c>
      <c r="AGQ6" s="64">
        <f t="shared" si="1111"/>
        <v>62232.508565981356</v>
      </c>
      <c r="AGR6" s="64">
        <f t="shared" si="1111"/>
        <v>62232.508565981356</v>
      </c>
      <c r="AGS6" s="64">
        <f t="shared" si="1111"/>
        <v>62232.508565981356</v>
      </c>
      <c r="AGT6" s="64">
        <f t="shared" si="1111"/>
        <v>54621.12688357845</v>
      </c>
      <c r="AGU6" s="64">
        <f t="shared" si="1111"/>
        <v>54621.12688357845</v>
      </c>
      <c r="AGV6" s="64">
        <f t="shared" si="1111"/>
        <v>54621.12688357845</v>
      </c>
      <c r="AGW6" s="64">
        <f t="shared" si="1111"/>
        <v>54621.12688357845</v>
      </c>
      <c r="AGX6" s="64">
        <f t="shared" si="1111"/>
        <v>54621.12688357845</v>
      </c>
      <c r="AGY6" s="64">
        <f t="shared" si="1111"/>
        <v>54621.12688357845</v>
      </c>
      <c r="AGZ6" s="64">
        <f t="shared" si="1111"/>
        <v>54621.12688357845</v>
      </c>
      <c r="AHA6" s="64">
        <f t="shared" si="1111"/>
        <v>54621.12688357845</v>
      </c>
      <c r="AHB6" s="64">
        <f t="shared" si="1111"/>
        <v>46750.421599127229</v>
      </c>
      <c r="AHC6" s="64">
        <f t="shared" si="1111"/>
        <v>46750.421599127229</v>
      </c>
      <c r="AHD6" s="64">
        <f t="shared" si="1111"/>
        <v>46750.421599127229</v>
      </c>
      <c r="AHE6" s="64">
        <f t="shared" si="1111"/>
        <v>46750.421599127229</v>
      </c>
      <c r="AHF6" s="64">
        <f t="shared" si="1111"/>
        <v>42422.416815183235</v>
      </c>
      <c r="AHG6" s="64">
        <f t="shared" si="1111"/>
        <v>42422.416815183235</v>
      </c>
      <c r="AHH6" s="64">
        <f t="shared" si="1111"/>
        <v>42422.416815183235</v>
      </c>
      <c r="AHI6" s="64">
        <f t="shared" si="1111"/>
        <v>42422.416815183235</v>
      </c>
      <c r="AHJ6" s="64">
        <f t="shared" si="1111"/>
        <v>42422.416815183235</v>
      </c>
      <c r="AHK6" s="64">
        <f t="shared" si="1111"/>
        <v>42422.416815183235</v>
      </c>
      <c r="AHL6" s="64">
        <f t="shared" si="1111"/>
        <v>42422.416815183235</v>
      </c>
      <c r="AHM6" s="64">
        <f t="shared" si="1111"/>
        <v>42422.416815183235</v>
      </c>
      <c r="AHN6" s="64">
        <f t="shared" si="1111"/>
        <v>42422.416815183235</v>
      </c>
      <c r="AHO6" s="64">
        <f t="shared" si="1111"/>
        <v>42422.416815183235</v>
      </c>
      <c r="AHP6" s="64">
        <f t="shared" si="1111"/>
        <v>42422.416815183235</v>
      </c>
      <c r="AHQ6" s="64">
        <f t="shared" si="1111"/>
        <v>42422.416815183235</v>
      </c>
      <c r="AHR6" s="64">
        <f t="shared" si="1111"/>
        <v>43270.865151486898</v>
      </c>
      <c r="AHS6" s="64">
        <f t="shared" si="1111"/>
        <v>43270.865151486898</v>
      </c>
      <c r="AHT6" s="64">
        <f t="shared" si="1111"/>
        <v>43270.865151486898</v>
      </c>
      <c r="AHU6" s="64">
        <f t="shared" si="1111"/>
        <v>43270.865151486898</v>
      </c>
      <c r="AHV6" s="64">
        <f t="shared" si="1111"/>
        <v>43270.865151486898</v>
      </c>
      <c r="AHW6" s="64">
        <f t="shared" ref="AHW6:AKH6" si="1112">SUM(AHW7:AHW17)</f>
        <v>43270.865151486898</v>
      </c>
      <c r="AHX6" s="64">
        <f t="shared" si="1112"/>
        <v>43270.865151486898</v>
      </c>
      <c r="AHY6" s="64">
        <f t="shared" si="1112"/>
        <v>43270.865151486898</v>
      </c>
      <c r="AHZ6" s="64">
        <f t="shared" si="1112"/>
        <v>43270.865151486898</v>
      </c>
      <c r="AIA6" s="64">
        <f t="shared" si="1112"/>
        <v>43270.865151486898</v>
      </c>
      <c r="AIB6" s="64">
        <f t="shared" si="1112"/>
        <v>43270.865151486898</v>
      </c>
      <c r="AIC6" s="64">
        <f t="shared" si="1112"/>
        <v>43270.865151486898</v>
      </c>
      <c r="AID6" s="64">
        <f t="shared" si="1112"/>
        <v>44136.282454516637</v>
      </c>
      <c r="AIE6" s="64">
        <f t="shared" si="1112"/>
        <v>44136.282454516637</v>
      </c>
      <c r="AIF6" s="64">
        <f t="shared" si="1112"/>
        <v>44136.282454516637</v>
      </c>
      <c r="AIG6" s="64">
        <f t="shared" si="1112"/>
        <v>44136.282454516637</v>
      </c>
      <c r="AIH6" s="64">
        <f t="shared" si="1112"/>
        <v>44136.282454516637</v>
      </c>
      <c r="AII6" s="64">
        <f t="shared" si="1112"/>
        <v>44136.282454516637</v>
      </c>
      <c r="AIJ6" s="64">
        <f t="shared" si="1112"/>
        <v>44136.282454516637</v>
      </c>
      <c r="AIK6" s="64">
        <f t="shared" si="1112"/>
        <v>44136.282454516637</v>
      </c>
      <c r="AIL6" s="64">
        <f t="shared" si="1112"/>
        <v>44136.282454516637</v>
      </c>
      <c r="AIM6" s="64">
        <f t="shared" si="1112"/>
        <v>44136.282454516637</v>
      </c>
      <c r="AIN6" s="64">
        <f t="shared" si="1112"/>
        <v>44136.282454516637</v>
      </c>
      <c r="AIO6" s="64">
        <f t="shared" si="1112"/>
        <v>44136.282454516637</v>
      </c>
      <c r="AIP6" s="64">
        <f t="shared" si="1112"/>
        <v>37554.775038295047</v>
      </c>
      <c r="AIQ6" s="64">
        <f t="shared" si="1112"/>
        <v>37554.775038295047</v>
      </c>
      <c r="AIR6" s="64">
        <f t="shared" si="1112"/>
        <v>37554.775038295047</v>
      </c>
      <c r="AIS6" s="64">
        <f t="shared" si="1112"/>
        <v>37554.775038295047</v>
      </c>
      <c r="AIT6" s="64">
        <f t="shared" si="1112"/>
        <v>37554.775038295047</v>
      </c>
      <c r="AIU6" s="64">
        <f t="shared" si="1112"/>
        <v>37554.775038295047</v>
      </c>
      <c r="AIV6" s="64">
        <f t="shared" si="1112"/>
        <v>37554.775038295047</v>
      </c>
      <c r="AIW6" s="64">
        <f t="shared" si="1112"/>
        <v>37554.775038295047</v>
      </c>
      <c r="AIX6" s="64">
        <f t="shared" si="1112"/>
        <v>37554.775038295047</v>
      </c>
      <c r="AIY6" s="64">
        <f t="shared" si="1112"/>
        <v>37554.775038295047</v>
      </c>
      <c r="AIZ6" s="64">
        <f t="shared" si="1112"/>
        <v>37554.775038295047</v>
      </c>
      <c r="AJA6" s="64">
        <f t="shared" si="1112"/>
        <v>37554.775038295047</v>
      </c>
      <c r="AJB6" s="64">
        <f t="shared" si="1112"/>
        <v>38305.870539060939</v>
      </c>
      <c r="AJC6" s="64">
        <f t="shared" si="1112"/>
        <v>38305.870539060939</v>
      </c>
      <c r="AJD6" s="64">
        <f t="shared" si="1112"/>
        <v>25104.505173819005</v>
      </c>
      <c r="AJE6" s="64">
        <f t="shared" si="1112"/>
        <v>25104.505173819005</v>
      </c>
      <c r="AJF6" s="64">
        <f t="shared" si="1112"/>
        <v>25104.505173819005</v>
      </c>
      <c r="AJG6" s="64">
        <f t="shared" si="1112"/>
        <v>25104.505173819005</v>
      </c>
      <c r="AJH6" s="64">
        <f t="shared" si="1112"/>
        <v>25104.505173819005</v>
      </c>
      <c r="AJI6" s="64">
        <f t="shared" si="1112"/>
        <v>25104.505173819005</v>
      </c>
      <c r="AJJ6" s="64">
        <f t="shared" si="1112"/>
        <v>25104.505173819005</v>
      </c>
      <c r="AJK6" s="64">
        <f t="shared" si="1112"/>
        <v>25104.505173819005</v>
      </c>
      <c r="AJL6" s="64">
        <f t="shared" si="1112"/>
        <v>25104.505173819005</v>
      </c>
      <c r="AJM6" s="64">
        <f t="shared" si="1112"/>
        <v>25104.505173819005</v>
      </c>
      <c r="AJN6" s="64">
        <f t="shared" si="1112"/>
        <v>25606.59527729539</v>
      </c>
      <c r="AJO6" s="64">
        <f t="shared" si="1112"/>
        <v>25606.59527729539</v>
      </c>
      <c r="AJP6" s="64">
        <f t="shared" si="1112"/>
        <v>25606.59527729539</v>
      </c>
      <c r="AJQ6" s="64">
        <f t="shared" si="1112"/>
        <v>25606.59527729539</v>
      </c>
      <c r="AJR6" s="64">
        <f t="shared" si="1112"/>
        <v>25606.59527729539</v>
      </c>
      <c r="AJS6" s="64">
        <f t="shared" si="1112"/>
        <v>0</v>
      </c>
      <c r="AJT6" s="64">
        <f t="shared" si="1112"/>
        <v>0</v>
      </c>
      <c r="AJU6" s="64">
        <f t="shared" si="1112"/>
        <v>0</v>
      </c>
      <c r="AJV6" s="64">
        <f t="shared" si="1112"/>
        <v>0</v>
      </c>
      <c r="AJW6" s="64">
        <f t="shared" si="1112"/>
        <v>0</v>
      </c>
      <c r="AJX6" s="64">
        <f t="shared" si="1112"/>
        <v>0</v>
      </c>
      <c r="AJY6" s="64">
        <f t="shared" si="1112"/>
        <v>0</v>
      </c>
      <c r="AJZ6" s="64">
        <f t="shared" si="1112"/>
        <v>0</v>
      </c>
      <c r="AKA6" s="64">
        <f t="shared" si="1112"/>
        <v>0</v>
      </c>
      <c r="AKB6" s="64">
        <f t="shared" si="1112"/>
        <v>0</v>
      </c>
      <c r="AKC6" s="64">
        <f t="shared" si="1112"/>
        <v>0</v>
      </c>
      <c r="AKD6" s="64">
        <f t="shared" si="1112"/>
        <v>0</v>
      </c>
      <c r="AKE6" s="64">
        <f t="shared" si="1112"/>
        <v>0</v>
      </c>
      <c r="AKF6" s="64">
        <f t="shared" si="1112"/>
        <v>0</v>
      </c>
      <c r="AKG6" s="64">
        <f t="shared" si="1112"/>
        <v>0</v>
      </c>
      <c r="AKH6" s="64">
        <f t="shared" si="1112"/>
        <v>0</v>
      </c>
      <c r="AKI6" s="64">
        <f t="shared" ref="AKI6:AKK6" si="1113">SUM(AKI7:AKI17)</f>
        <v>0</v>
      </c>
      <c r="AKJ6" s="64">
        <f t="shared" si="1113"/>
        <v>0</v>
      </c>
      <c r="AKK6" s="64">
        <f t="shared" si="1113"/>
        <v>0</v>
      </c>
      <c r="AKL6" s="63"/>
      <c r="AKM6" s="63"/>
      <c r="AKN6" s="64">
        <f>SUM(AKN7:AKN17)</f>
        <v>0</v>
      </c>
      <c r="AKO6" s="64">
        <f t="shared" ref="AKO6:AMZ6" si="1114">SUM(AKO7:AKO17)</f>
        <v>0</v>
      </c>
      <c r="AKP6" s="64">
        <f t="shared" si="1114"/>
        <v>0</v>
      </c>
      <c r="AKQ6" s="64">
        <f t="shared" si="1114"/>
        <v>0</v>
      </c>
      <c r="AKR6" s="64">
        <f t="shared" si="1114"/>
        <v>0</v>
      </c>
      <c r="AKS6" s="64">
        <f t="shared" si="1114"/>
        <v>0</v>
      </c>
      <c r="AKT6" s="64">
        <f t="shared" si="1114"/>
        <v>0</v>
      </c>
      <c r="AKU6" s="64">
        <f t="shared" si="1114"/>
        <v>0</v>
      </c>
      <c r="AKV6" s="64">
        <f t="shared" si="1114"/>
        <v>0</v>
      </c>
      <c r="AKW6" s="64">
        <f t="shared" si="1114"/>
        <v>0</v>
      </c>
      <c r="AKX6" s="64">
        <f t="shared" si="1114"/>
        <v>0</v>
      </c>
      <c r="AKY6" s="64">
        <f t="shared" si="1114"/>
        <v>0</v>
      </c>
      <c r="AKZ6" s="64">
        <f t="shared" si="1114"/>
        <v>0</v>
      </c>
      <c r="ALA6" s="64">
        <f t="shared" si="1114"/>
        <v>0</v>
      </c>
      <c r="ALB6" s="64">
        <f t="shared" si="1114"/>
        <v>0</v>
      </c>
      <c r="ALC6" s="64">
        <f t="shared" si="1114"/>
        <v>0</v>
      </c>
      <c r="ALD6" s="64">
        <f t="shared" si="1114"/>
        <v>0</v>
      </c>
      <c r="ALE6" s="64">
        <f t="shared" si="1114"/>
        <v>0</v>
      </c>
      <c r="ALF6" s="64">
        <f t="shared" si="1114"/>
        <v>4211.7217000182782</v>
      </c>
      <c r="ALG6" s="64">
        <f t="shared" si="1114"/>
        <v>4211.7217000182782</v>
      </c>
      <c r="ALH6" s="64">
        <f t="shared" si="1114"/>
        <v>4211.7217000182782</v>
      </c>
      <c r="ALI6" s="64">
        <f t="shared" si="1114"/>
        <v>4211.7217000182782</v>
      </c>
      <c r="ALJ6" s="64">
        <f t="shared" si="1114"/>
        <v>4211.7217000182782</v>
      </c>
      <c r="ALK6" s="64">
        <f t="shared" si="1114"/>
        <v>4211.7217000182782</v>
      </c>
      <c r="ALL6" s="64">
        <f t="shared" si="1114"/>
        <v>4295.9561340186438</v>
      </c>
      <c r="ALM6" s="64">
        <f t="shared" si="1114"/>
        <v>4295.9561340186438</v>
      </c>
      <c r="ALN6" s="64">
        <f t="shared" si="1114"/>
        <v>4295.9561340186438</v>
      </c>
      <c r="ALO6" s="64">
        <f t="shared" si="1114"/>
        <v>4295.9561340186438</v>
      </c>
      <c r="ALP6" s="64">
        <f t="shared" si="1114"/>
        <v>4295.9561340186438</v>
      </c>
      <c r="ALQ6" s="64">
        <f t="shared" si="1114"/>
        <v>4295.9561340186438</v>
      </c>
      <c r="ALR6" s="64">
        <f t="shared" si="1114"/>
        <v>4295.9561340186438</v>
      </c>
      <c r="ALS6" s="64">
        <f t="shared" si="1114"/>
        <v>4295.9561340186438</v>
      </c>
      <c r="ALT6" s="64">
        <f t="shared" si="1114"/>
        <v>4295.9561340186438</v>
      </c>
      <c r="ALU6" s="64">
        <f t="shared" si="1114"/>
        <v>4295.9561340186438</v>
      </c>
      <c r="ALV6" s="64">
        <f t="shared" si="1114"/>
        <v>4295.9561340186438</v>
      </c>
      <c r="ALW6" s="64">
        <f t="shared" si="1114"/>
        <v>4295.9561340186438</v>
      </c>
      <c r="ALX6" s="64">
        <f t="shared" si="1114"/>
        <v>4381.875256699017</v>
      </c>
      <c r="ALY6" s="64">
        <f t="shared" si="1114"/>
        <v>4381.875256699017</v>
      </c>
      <c r="ALZ6" s="64">
        <f t="shared" si="1114"/>
        <v>4381.875256699017</v>
      </c>
      <c r="AMA6" s="64">
        <f t="shared" si="1114"/>
        <v>13237.907110421553</v>
      </c>
      <c r="AMB6" s="64">
        <f t="shared" si="1114"/>
        <v>13237.907110421553</v>
      </c>
      <c r="AMC6" s="64">
        <f t="shared" si="1114"/>
        <v>13237.907110421553</v>
      </c>
      <c r="AMD6" s="64">
        <f t="shared" si="1114"/>
        <v>13237.907110421553</v>
      </c>
      <c r="AME6" s="64">
        <f t="shared" si="1114"/>
        <v>13237.907110421553</v>
      </c>
      <c r="AMF6" s="64">
        <f t="shared" si="1114"/>
        <v>13237.907110421553</v>
      </c>
      <c r="AMG6" s="64">
        <f t="shared" si="1114"/>
        <v>13237.907110421553</v>
      </c>
      <c r="AMH6" s="64">
        <f t="shared" si="1114"/>
        <v>13237.907110421553</v>
      </c>
      <c r="AMI6" s="64">
        <f t="shared" si="1114"/>
        <v>21108.612394872776</v>
      </c>
      <c r="AMJ6" s="64">
        <f t="shared" si="1114"/>
        <v>21530.784642770235</v>
      </c>
      <c r="AMK6" s="64">
        <f t="shared" si="1114"/>
        <v>21530.784642770235</v>
      </c>
      <c r="AML6" s="64">
        <f t="shared" si="1114"/>
        <v>21530.784642770235</v>
      </c>
      <c r="AMM6" s="64">
        <f t="shared" si="1114"/>
        <v>26793.797858696769</v>
      </c>
      <c r="AMN6" s="64">
        <f t="shared" si="1114"/>
        <v>26793.797858696769</v>
      </c>
      <c r="AMO6" s="64">
        <f t="shared" si="1114"/>
        <v>26793.797858696769</v>
      </c>
      <c r="AMP6" s="64">
        <f t="shared" si="1114"/>
        <v>26793.797858696769</v>
      </c>
      <c r="AMQ6" s="64">
        <f t="shared" si="1114"/>
        <v>26793.797858696769</v>
      </c>
      <c r="AMR6" s="64">
        <f t="shared" si="1114"/>
        <v>26793.797858696769</v>
      </c>
      <c r="AMS6" s="64">
        <f t="shared" si="1114"/>
        <v>26793.797858696769</v>
      </c>
      <c r="AMT6" s="64">
        <f t="shared" si="1114"/>
        <v>26793.797858696769</v>
      </c>
      <c r="AMU6" s="64">
        <f t="shared" si="1114"/>
        <v>26793.797858696769</v>
      </c>
      <c r="AMV6" s="64">
        <f t="shared" si="1114"/>
        <v>27329.673815870705</v>
      </c>
      <c r="AMW6" s="64">
        <f t="shared" si="1114"/>
        <v>27329.673815870705</v>
      </c>
      <c r="AMX6" s="64">
        <f t="shared" si="1114"/>
        <v>27329.673815870705</v>
      </c>
      <c r="AMY6" s="64">
        <f t="shared" si="1114"/>
        <v>27329.673815870705</v>
      </c>
      <c r="AMZ6" s="64">
        <f t="shared" si="1114"/>
        <v>27329.673815870705</v>
      </c>
      <c r="ANA6" s="64">
        <f t="shared" ref="ANA6:APL6" si="1115">SUM(ANA7:ANA17)</f>
        <v>27329.673815870705</v>
      </c>
      <c r="ANB6" s="64">
        <f t="shared" si="1115"/>
        <v>27329.673815870705</v>
      </c>
      <c r="ANC6" s="64">
        <f t="shared" si="1115"/>
        <v>27329.673815870705</v>
      </c>
      <c r="AND6" s="64">
        <f t="shared" si="1115"/>
        <v>27329.673815870705</v>
      </c>
      <c r="ANE6" s="64">
        <f t="shared" si="1115"/>
        <v>27329.673815870705</v>
      </c>
      <c r="ANF6" s="64">
        <f t="shared" si="1115"/>
        <v>27329.673815870705</v>
      </c>
      <c r="ANG6" s="64">
        <f t="shared" si="1115"/>
        <v>27329.673815870705</v>
      </c>
      <c r="ANH6" s="64">
        <f t="shared" si="1115"/>
        <v>27876.267292188117</v>
      </c>
      <c r="ANI6" s="64">
        <f t="shared" si="1115"/>
        <v>27876.267292188117</v>
      </c>
      <c r="ANJ6" s="64">
        <f t="shared" si="1115"/>
        <v>27876.267292188117</v>
      </c>
      <c r="ANK6" s="64">
        <f t="shared" si="1115"/>
        <v>27876.267292188117</v>
      </c>
      <c r="ANL6" s="64">
        <f t="shared" si="1115"/>
        <v>27876.267292188117</v>
      </c>
      <c r="ANM6" s="64">
        <f t="shared" si="1115"/>
        <v>27876.267292188117</v>
      </c>
      <c r="ANN6" s="64">
        <f t="shared" si="1115"/>
        <v>27876.267292188117</v>
      </c>
      <c r="ANO6" s="64">
        <f t="shared" si="1115"/>
        <v>27876.267292188117</v>
      </c>
      <c r="ANP6" s="64">
        <f t="shared" si="1115"/>
        <v>27876.267292188117</v>
      </c>
      <c r="ANQ6" s="64">
        <f t="shared" si="1115"/>
        <v>27876.267292188117</v>
      </c>
      <c r="ANR6" s="64">
        <f t="shared" si="1115"/>
        <v>27876.267292188117</v>
      </c>
      <c r="ANS6" s="64">
        <f t="shared" si="1115"/>
        <v>27876.267292188117</v>
      </c>
      <c r="ANT6" s="64">
        <f t="shared" si="1115"/>
        <v>28433.792638031875</v>
      </c>
      <c r="ANU6" s="64">
        <f t="shared" si="1115"/>
        <v>28433.792638031875</v>
      </c>
      <c r="ANV6" s="64">
        <f t="shared" si="1115"/>
        <v>28433.792638031875</v>
      </c>
      <c r="ANW6" s="64">
        <f t="shared" si="1115"/>
        <v>35898.025703343796</v>
      </c>
      <c r="ANX6" s="64">
        <f t="shared" si="1115"/>
        <v>35898.025703343796</v>
      </c>
      <c r="ANY6" s="64">
        <f t="shared" si="1115"/>
        <v>35898.025703343796</v>
      </c>
      <c r="ANZ6" s="64">
        <f t="shared" si="1115"/>
        <v>35898.025703343796</v>
      </c>
      <c r="AOA6" s="64">
        <f t="shared" si="1115"/>
        <v>35898.025703343796</v>
      </c>
      <c r="AOB6" s="64">
        <f t="shared" si="1115"/>
        <v>35898.025703343796</v>
      </c>
      <c r="AOC6" s="64">
        <f t="shared" si="1115"/>
        <v>35898.025703343796</v>
      </c>
      <c r="AOD6" s="64">
        <f t="shared" si="1115"/>
        <v>35898.025703343796</v>
      </c>
      <c r="AOE6" s="64">
        <f t="shared" si="1115"/>
        <v>35898.025703343796</v>
      </c>
      <c r="AOF6" s="64">
        <f t="shared" si="1115"/>
        <v>36615.986217410682</v>
      </c>
      <c r="AOG6" s="64">
        <f t="shared" si="1115"/>
        <v>36615.986217410682</v>
      </c>
      <c r="AOH6" s="64">
        <f t="shared" si="1115"/>
        <v>36615.986217410682</v>
      </c>
      <c r="AOI6" s="64">
        <f t="shared" si="1115"/>
        <v>36615.986217410682</v>
      </c>
      <c r="AOJ6" s="64">
        <f t="shared" si="1115"/>
        <v>36615.986217410682</v>
      </c>
      <c r="AOK6" s="64">
        <f t="shared" si="1115"/>
        <v>49817.35158265262</v>
      </c>
      <c r="AOL6" s="64">
        <f t="shared" si="1115"/>
        <v>49817.35158265262</v>
      </c>
      <c r="AOM6" s="64">
        <f t="shared" si="1115"/>
        <v>49817.35158265262</v>
      </c>
      <c r="AON6" s="64">
        <f t="shared" si="1115"/>
        <v>49817.35158265262</v>
      </c>
      <c r="AOO6" s="64">
        <f t="shared" si="1115"/>
        <v>49817.35158265262</v>
      </c>
      <c r="AOP6" s="64">
        <f t="shared" si="1115"/>
        <v>49817.35158265262</v>
      </c>
      <c r="AOQ6" s="64">
        <f t="shared" si="1115"/>
        <v>49817.35158265262</v>
      </c>
      <c r="AOR6" s="64">
        <f t="shared" si="1115"/>
        <v>50813.698614305664</v>
      </c>
      <c r="AOS6" s="64">
        <f t="shared" si="1115"/>
        <v>50813.698614305664</v>
      </c>
      <c r="AOT6" s="64">
        <f t="shared" si="1115"/>
        <v>50813.698614305664</v>
      </c>
      <c r="AOU6" s="64">
        <f t="shared" si="1115"/>
        <v>50813.698614305664</v>
      </c>
      <c r="AOV6" s="64">
        <f t="shared" si="1115"/>
        <v>50813.698614305664</v>
      </c>
      <c r="AOW6" s="64">
        <f t="shared" si="1115"/>
        <v>50813.698614305664</v>
      </c>
      <c r="AOX6" s="64">
        <f t="shared" si="1115"/>
        <v>50813.698614305664</v>
      </c>
      <c r="AOY6" s="64">
        <f t="shared" si="1115"/>
        <v>76420.293891601061</v>
      </c>
      <c r="AOZ6" s="64">
        <f t="shared" si="1115"/>
        <v>76420.293891601061</v>
      </c>
      <c r="APA6" s="64">
        <f t="shared" si="1115"/>
        <v>76420.293891601061</v>
      </c>
      <c r="APB6" s="64">
        <f t="shared" si="1115"/>
        <v>76420.293891601061</v>
      </c>
      <c r="APC6" s="64">
        <f t="shared" si="1115"/>
        <v>76420.293891601061</v>
      </c>
      <c r="APD6" s="64">
        <f t="shared" si="1115"/>
        <v>77948.699769433064</v>
      </c>
      <c r="APE6" s="64">
        <f t="shared" si="1115"/>
        <v>77948.699769433064</v>
      </c>
      <c r="APF6" s="64">
        <f t="shared" si="1115"/>
        <v>77948.699769433064</v>
      </c>
      <c r="APG6" s="64">
        <f t="shared" si="1115"/>
        <v>77948.699769433064</v>
      </c>
      <c r="APH6" s="64">
        <f t="shared" si="1115"/>
        <v>77948.699769433064</v>
      </c>
      <c r="API6" s="64">
        <f t="shared" si="1115"/>
        <v>77948.699769433064</v>
      </c>
      <c r="APJ6" s="64">
        <f t="shared" si="1115"/>
        <v>77948.699769433064</v>
      </c>
      <c r="APK6" s="64">
        <f t="shared" si="1115"/>
        <v>77948.699769433064</v>
      </c>
      <c r="APL6" s="64">
        <f t="shared" si="1115"/>
        <v>77948.699769433064</v>
      </c>
      <c r="APM6" s="64">
        <f t="shared" ref="APM6:APO6" si="1116">SUM(APM7:APM17)</f>
        <v>77948.699769433064</v>
      </c>
      <c r="APN6" s="64">
        <f t="shared" si="1116"/>
        <v>77948.699769433064</v>
      </c>
      <c r="APO6" s="64">
        <f t="shared" si="1116"/>
        <v>77948.699769433064</v>
      </c>
      <c r="APP6" s="63"/>
      <c r="APQ6" s="63"/>
      <c r="APR6" s="64">
        <f>SUM(APR7:APR17)</f>
        <v>0</v>
      </c>
      <c r="APS6" s="64">
        <f t="shared" ref="APS6:ASD6" si="1117">SUM(APS7:APS17)</f>
        <v>0</v>
      </c>
      <c r="APT6" s="64">
        <f t="shared" si="1117"/>
        <v>0</v>
      </c>
      <c r="APU6" s="64">
        <f t="shared" si="1117"/>
        <v>0</v>
      </c>
      <c r="APV6" s="64">
        <f t="shared" si="1117"/>
        <v>0</v>
      </c>
      <c r="APW6" s="64">
        <f t="shared" si="1117"/>
        <v>0</v>
      </c>
      <c r="APX6" s="64">
        <f t="shared" si="1117"/>
        <v>0</v>
      </c>
      <c r="APY6" s="64">
        <f t="shared" si="1117"/>
        <v>0</v>
      </c>
      <c r="APZ6" s="64">
        <f t="shared" si="1117"/>
        <v>0</v>
      </c>
      <c r="AQA6" s="64">
        <f t="shared" si="1117"/>
        <v>0</v>
      </c>
      <c r="AQB6" s="64">
        <f t="shared" si="1117"/>
        <v>0</v>
      </c>
      <c r="AQC6" s="64">
        <f t="shared" si="1117"/>
        <v>0</v>
      </c>
      <c r="AQD6" s="64">
        <f t="shared" si="1117"/>
        <v>0</v>
      </c>
      <c r="AQE6" s="64">
        <f t="shared" si="1117"/>
        <v>0</v>
      </c>
      <c r="AQF6" s="64">
        <f t="shared" si="1117"/>
        <v>0</v>
      </c>
      <c r="AQG6" s="64">
        <f t="shared" si="1117"/>
        <v>0</v>
      </c>
      <c r="AQH6" s="64">
        <f t="shared" si="1117"/>
        <v>0</v>
      </c>
      <c r="AQI6" s="64">
        <f t="shared" si="1117"/>
        <v>0</v>
      </c>
      <c r="AQJ6" s="64">
        <f t="shared" si="1117"/>
        <v>197801.47200000001</v>
      </c>
      <c r="AQK6" s="64">
        <f t="shared" si="1117"/>
        <v>0</v>
      </c>
      <c r="AQL6" s="64">
        <f t="shared" si="1117"/>
        <v>0</v>
      </c>
      <c r="AQM6" s="64">
        <f t="shared" si="1117"/>
        <v>0</v>
      </c>
      <c r="AQN6" s="64">
        <f t="shared" si="1117"/>
        <v>0</v>
      </c>
      <c r="AQO6" s="64">
        <f t="shared" si="1117"/>
        <v>0</v>
      </c>
      <c r="AQP6" s="64">
        <f t="shared" si="1117"/>
        <v>0</v>
      </c>
      <c r="AQQ6" s="64">
        <f t="shared" si="1117"/>
        <v>0</v>
      </c>
      <c r="AQR6" s="64">
        <f t="shared" si="1117"/>
        <v>0</v>
      </c>
      <c r="AQS6" s="64">
        <f t="shared" si="1117"/>
        <v>0</v>
      </c>
      <c r="AQT6" s="64">
        <f t="shared" si="1117"/>
        <v>0</v>
      </c>
      <c r="AQU6" s="64">
        <f t="shared" si="1117"/>
        <v>0</v>
      </c>
      <c r="AQV6" s="64">
        <f t="shared" si="1117"/>
        <v>0</v>
      </c>
      <c r="AQW6" s="64">
        <f t="shared" si="1117"/>
        <v>0</v>
      </c>
      <c r="AQX6" s="64">
        <f t="shared" si="1117"/>
        <v>0</v>
      </c>
      <c r="AQY6" s="64">
        <f t="shared" si="1117"/>
        <v>0</v>
      </c>
      <c r="AQZ6" s="64">
        <f t="shared" si="1117"/>
        <v>0</v>
      </c>
      <c r="ARA6" s="64">
        <f t="shared" si="1117"/>
        <v>0</v>
      </c>
      <c r="ARB6" s="64">
        <f t="shared" si="1117"/>
        <v>0</v>
      </c>
      <c r="ARC6" s="64">
        <f t="shared" si="1117"/>
        <v>0</v>
      </c>
      <c r="ARD6" s="64">
        <f t="shared" si="1117"/>
        <v>0</v>
      </c>
      <c r="ARE6" s="64">
        <f t="shared" si="1117"/>
        <v>330930.17781600001</v>
      </c>
      <c r="ARF6" s="64">
        <f t="shared" si="1117"/>
        <v>0</v>
      </c>
      <c r="ARG6" s="64">
        <f t="shared" si="1117"/>
        <v>0</v>
      </c>
      <c r="ARH6" s="64">
        <f t="shared" si="1117"/>
        <v>0</v>
      </c>
      <c r="ARI6" s="64">
        <f t="shared" si="1117"/>
        <v>0</v>
      </c>
      <c r="ARJ6" s="64">
        <f t="shared" si="1117"/>
        <v>0</v>
      </c>
      <c r="ARK6" s="64">
        <f t="shared" si="1117"/>
        <v>0</v>
      </c>
      <c r="ARL6" s="64">
        <f t="shared" si="1117"/>
        <v>0</v>
      </c>
      <c r="ARM6" s="64">
        <f t="shared" si="1117"/>
        <v>294110.71937663999</v>
      </c>
      <c r="ARN6" s="64">
        <f t="shared" si="1117"/>
        <v>0</v>
      </c>
      <c r="ARO6" s="64">
        <f t="shared" si="1117"/>
        <v>0</v>
      </c>
      <c r="ARP6" s="64">
        <f t="shared" si="1117"/>
        <v>0</v>
      </c>
      <c r="ARQ6" s="64">
        <f t="shared" si="1117"/>
        <v>193963.07710208002</v>
      </c>
      <c r="ARR6" s="64">
        <f t="shared" si="1117"/>
        <v>0</v>
      </c>
      <c r="ARS6" s="64">
        <f t="shared" si="1117"/>
        <v>0</v>
      </c>
      <c r="ART6" s="64">
        <f t="shared" si="1117"/>
        <v>0</v>
      </c>
      <c r="ARU6" s="64">
        <f t="shared" si="1117"/>
        <v>0</v>
      </c>
      <c r="ARV6" s="64">
        <f t="shared" si="1117"/>
        <v>0</v>
      </c>
      <c r="ARW6" s="64">
        <f t="shared" si="1117"/>
        <v>0</v>
      </c>
      <c r="ARX6" s="64">
        <f t="shared" si="1117"/>
        <v>0</v>
      </c>
      <c r="ARY6" s="64">
        <f t="shared" si="1117"/>
        <v>0</v>
      </c>
      <c r="ARZ6" s="64">
        <f t="shared" si="1117"/>
        <v>0</v>
      </c>
      <c r="ASA6" s="64">
        <f t="shared" si="1117"/>
        <v>0</v>
      </c>
      <c r="ASB6" s="64">
        <f t="shared" si="1117"/>
        <v>0</v>
      </c>
      <c r="ASC6" s="64">
        <f t="shared" si="1117"/>
        <v>0</v>
      </c>
      <c r="ASD6" s="64">
        <f t="shared" si="1117"/>
        <v>0</v>
      </c>
      <c r="ASE6" s="64">
        <f t="shared" ref="ASE6:AUP6" si="1118">SUM(ASE7:ASE17)</f>
        <v>0</v>
      </c>
      <c r="ASF6" s="64">
        <f t="shared" si="1118"/>
        <v>0</v>
      </c>
      <c r="ASG6" s="64">
        <f t="shared" si="1118"/>
        <v>0</v>
      </c>
      <c r="ASH6" s="64">
        <f t="shared" si="1118"/>
        <v>0</v>
      </c>
      <c r="ASI6" s="64">
        <f t="shared" si="1118"/>
        <v>0</v>
      </c>
      <c r="ASJ6" s="64">
        <f t="shared" si="1118"/>
        <v>0</v>
      </c>
      <c r="ASK6" s="64">
        <f t="shared" si="1118"/>
        <v>0</v>
      </c>
      <c r="ASL6" s="64">
        <f t="shared" si="1118"/>
        <v>0</v>
      </c>
      <c r="ASM6" s="64">
        <f t="shared" si="1118"/>
        <v>0</v>
      </c>
      <c r="ASN6" s="64">
        <f t="shared" si="1118"/>
        <v>0</v>
      </c>
      <c r="ASO6" s="64">
        <f t="shared" si="1118"/>
        <v>0</v>
      </c>
      <c r="ASP6" s="64">
        <f t="shared" si="1118"/>
        <v>0</v>
      </c>
      <c r="ASQ6" s="64">
        <f t="shared" si="1118"/>
        <v>0</v>
      </c>
      <c r="ASR6" s="64">
        <f t="shared" si="1118"/>
        <v>0</v>
      </c>
      <c r="ASS6" s="64">
        <f t="shared" si="1118"/>
        <v>0</v>
      </c>
      <c r="AST6" s="64">
        <f t="shared" si="1118"/>
        <v>0</v>
      </c>
      <c r="ASU6" s="64">
        <f t="shared" si="1118"/>
        <v>0</v>
      </c>
      <c r="ASV6" s="64">
        <f t="shared" si="1118"/>
        <v>0</v>
      </c>
      <c r="ASW6" s="64">
        <f t="shared" si="1118"/>
        <v>0</v>
      </c>
      <c r="ASX6" s="64">
        <f t="shared" si="1118"/>
        <v>0</v>
      </c>
      <c r="ASY6" s="64">
        <f t="shared" si="1118"/>
        <v>0</v>
      </c>
      <c r="ASZ6" s="64">
        <f t="shared" si="1118"/>
        <v>0</v>
      </c>
      <c r="ATA6" s="64">
        <f t="shared" si="1118"/>
        <v>264027.33853411133</v>
      </c>
      <c r="ATB6" s="64">
        <f t="shared" si="1118"/>
        <v>0</v>
      </c>
      <c r="ATC6" s="64">
        <f t="shared" si="1118"/>
        <v>0</v>
      </c>
      <c r="ATD6" s="64">
        <f t="shared" si="1118"/>
        <v>0</v>
      </c>
      <c r="ATE6" s="64">
        <f t="shared" si="1118"/>
        <v>0</v>
      </c>
      <c r="ATF6" s="64">
        <f t="shared" si="1118"/>
        <v>0</v>
      </c>
      <c r="ATG6" s="64">
        <f t="shared" si="1118"/>
        <v>0</v>
      </c>
      <c r="ATH6" s="64">
        <f t="shared" si="1118"/>
        <v>0</v>
      </c>
      <c r="ATI6" s="64">
        <f t="shared" si="1118"/>
        <v>0</v>
      </c>
      <c r="ATJ6" s="64">
        <f t="shared" si="1118"/>
        <v>0</v>
      </c>
      <c r="ATK6" s="64">
        <f t="shared" si="1118"/>
        <v>0</v>
      </c>
      <c r="ATL6" s="64">
        <f t="shared" si="1118"/>
        <v>0</v>
      </c>
      <c r="ATM6" s="64">
        <f t="shared" si="1118"/>
        <v>0</v>
      </c>
      <c r="ATN6" s="64">
        <f t="shared" si="1118"/>
        <v>0</v>
      </c>
      <c r="ATO6" s="64">
        <f t="shared" si="1118"/>
        <v>460697.09344884701</v>
      </c>
      <c r="ATP6" s="64">
        <f t="shared" si="1118"/>
        <v>0</v>
      </c>
      <c r="ATQ6" s="64">
        <f t="shared" si="1118"/>
        <v>0</v>
      </c>
      <c r="ATR6" s="64">
        <f t="shared" si="1118"/>
        <v>0</v>
      </c>
      <c r="ATS6" s="64">
        <f t="shared" si="1118"/>
        <v>0</v>
      </c>
      <c r="ATT6" s="64">
        <f t="shared" si="1118"/>
        <v>0</v>
      </c>
      <c r="ATU6" s="64">
        <f t="shared" si="1118"/>
        <v>0</v>
      </c>
      <c r="ATV6" s="64">
        <f t="shared" si="1118"/>
        <v>0</v>
      </c>
      <c r="ATW6" s="64">
        <f t="shared" si="1118"/>
        <v>0</v>
      </c>
      <c r="ATX6" s="64">
        <f t="shared" si="1118"/>
        <v>0</v>
      </c>
      <c r="ATY6" s="64">
        <f t="shared" si="1118"/>
        <v>0</v>
      </c>
      <c r="ATZ6" s="64">
        <f t="shared" si="1118"/>
        <v>0</v>
      </c>
      <c r="AUA6" s="64">
        <f t="shared" si="1118"/>
        <v>0</v>
      </c>
      <c r="AUB6" s="64">
        <f t="shared" si="1118"/>
        <v>0</v>
      </c>
      <c r="AUC6" s="64">
        <f t="shared" si="1118"/>
        <v>753464.47972244595</v>
      </c>
      <c r="AUD6" s="64">
        <f t="shared" si="1118"/>
        <v>0</v>
      </c>
      <c r="AUE6" s="64">
        <f t="shared" si="1118"/>
        <v>0</v>
      </c>
      <c r="AUF6" s="64">
        <f t="shared" si="1118"/>
        <v>0</v>
      </c>
      <c r="AUG6" s="64">
        <f t="shared" si="1118"/>
        <v>0</v>
      </c>
      <c r="AUH6" s="64">
        <f t="shared" si="1118"/>
        <v>0</v>
      </c>
      <c r="AUI6" s="64">
        <f t="shared" si="1118"/>
        <v>0</v>
      </c>
      <c r="AUJ6" s="64">
        <f t="shared" si="1118"/>
        <v>0</v>
      </c>
      <c r="AUK6" s="64">
        <f t="shared" si="1118"/>
        <v>0</v>
      </c>
      <c r="AUL6" s="64">
        <f t="shared" si="1118"/>
        <v>0</v>
      </c>
      <c r="AUM6" s="64">
        <f t="shared" si="1118"/>
        <v>0</v>
      </c>
      <c r="AUN6" s="64">
        <f t="shared" si="1118"/>
        <v>0</v>
      </c>
      <c r="AUO6" s="64">
        <f t="shared" si="1118"/>
        <v>0</v>
      </c>
      <c r="AUP6" s="64">
        <f t="shared" si="1118"/>
        <v>0</v>
      </c>
      <c r="AUQ6" s="64">
        <f t="shared" ref="AUQ6:AUS6" si="1119">SUM(AUQ7:AUQ17)</f>
        <v>0</v>
      </c>
      <c r="AUR6" s="64">
        <f t="shared" si="1119"/>
        <v>0</v>
      </c>
      <c r="AUS6" s="64">
        <f t="shared" si="1119"/>
        <v>0</v>
      </c>
      <c r="AUT6" s="63"/>
      <c r="AUU6" s="63"/>
    </row>
    <row r="7" spans="1:1243" x14ac:dyDescent="0.3">
      <c r="B7" s="43">
        <v>100</v>
      </c>
      <c r="C7" s="44" t="s">
        <v>80</v>
      </c>
      <c r="D7" s="47">
        <v>24100</v>
      </c>
      <c r="E7" s="54">
        <v>1</v>
      </c>
      <c r="F7" s="54">
        <v>98</v>
      </c>
      <c r="G7" s="45">
        <v>11.97</v>
      </c>
      <c r="H7" s="48">
        <f>+G7*D7</f>
        <v>288477</v>
      </c>
      <c r="I7" s="53">
        <f>$I$6</f>
        <v>0.02</v>
      </c>
      <c r="J7" s="54">
        <v>1</v>
      </c>
      <c r="K7" s="56">
        <v>1</v>
      </c>
      <c r="L7" s="16">
        <f>D7/$D$6</f>
        <v>0.17620179126302321</v>
      </c>
      <c r="M7" s="57">
        <v>14.5</v>
      </c>
      <c r="N7" s="26">
        <v>0.02</v>
      </c>
      <c r="O7" s="26">
        <v>0.8</v>
      </c>
      <c r="P7" s="58">
        <v>12</v>
      </c>
      <c r="Q7" s="58">
        <v>120</v>
      </c>
      <c r="R7" s="55">
        <f>ROUNDUP((1-O7)*P7,0)+F7+1</f>
        <v>102</v>
      </c>
      <c r="S7" s="55">
        <f>+R7+Q7-1</f>
        <v>221</v>
      </c>
      <c r="T7" s="4">
        <f>M7*(1+N7)^(ROUNDUP(R7/12,0)-1)</f>
        <v>16.989061024532852</v>
      </c>
      <c r="U7" s="53">
        <f>$U$6</f>
        <v>0.02</v>
      </c>
      <c r="V7" s="55">
        <f>12-(ROUNDUP(R7/12,0)*12-R7)</f>
        <v>6</v>
      </c>
      <c r="W7" s="56">
        <f>+K7</f>
        <v>1</v>
      </c>
      <c r="X7" s="16">
        <f>+L7</f>
        <v>0.17620179126302321</v>
      </c>
      <c r="Y7" s="58">
        <v>9</v>
      </c>
      <c r="Z7" s="58">
        <v>3</v>
      </c>
      <c r="AA7" s="4">
        <f>ROUNDUP(O7*Z7+(1-O7)*Y7,0)*T7/12</f>
        <v>7.0787754268886873</v>
      </c>
      <c r="AB7" s="45">
        <v>25</v>
      </c>
      <c r="AC7" s="45">
        <v>10</v>
      </c>
      <c r="AD7" s="26">
        <v>0.06</v>
      </c>
      <c r="AE7" s="26">
        <v>0.03</v>
      </c>
      <c r="AF7" s="4">
        <f>AC7*O7+AB7*(1-O7)</f>
        <v>13</v>
      </c>
      <c r="AG7" s="4">
        <f>(AE7*O7+AD7*(1-O7))*T7*Q7/12</f>
        <v>6.1160619688318265</v>
      </c>
      <c r="AH7" s="4">
        <f>SUM(AF7:AG7)</f>
        <v>19.116061968831826</v>
      </c>
      <c r="AJ7" s="17">
        <f>AND(AJ$5&gt;=$E7,AJ$5&lt;=$F7)*$D7</f>
        <v>24100</v>
      </c>
      <c r="AK7" s="17">
        <f t="shared" ref="AK7:AZ13" si="1120">AND(AK$5&gt;=$E7,AK$5&lt;=$F7)*$D7</f>
        <v>24100</v>
      </c>
      <c r="AL7" s="17">
        <f t="shared" si="1120"/>
        <v>24100</v>
      </c>
      <c r="AM7" s="17">
        <f t="shared" si="1120"/>
        <v>24100</v>
      </c>
      <c r="AN7" s="17">
        <f t="shared" si="1120"/>
        <v>24100</v>
      </c>
      <c r="AO7" s="17">
        <f t="shared" si="1120"/>
        <v>24100</v>
      </c>
      <c r="AP7" s="17">
        <f t="shared" si="1120"/>
        <v>24100</v>
      </c>
      <c r="AQ7" s="17">
        <f t="shared" si="1120"/>
        <v>24100</v>
      </c>
      <c r="AR7" s="17">
        <f t="shared" si="1120"/>
        <v>24100</v>
      </c>
      <c r="AS7" s="17">
        <f t="shared" si="1120"/>
        <v>24100</v>
      </c>
      <c r="AT7" s="17">
        <f t="shared" si="1120"/>
        <v>24100</v>
      </c>
      <c r="AU7" s="17">
        <f t="shared" si="1120"/>
        <v>24100</v>
      </c>
      <c r="AV7" s="17">
        <f t="shared" si="1120"/>
        <v>24100</v>
      </c>
      <c r="AW7" s="17">
        <f t="shared" si="1120"/>
        <v>24100</v>
      </c>
      <c r="AX7" s="17">
        <f t="shared" si="1120"/>
        <v>24100</v>
      </c>
      <c r="AY7" s="17">
        <f t="shared" si="1120"/>
        <v>24100</v>
      </c>
      <c r="AZ7" s="17">
        <f t="shared" si="1120"/>
        <v>24100</v>
      </c>
      <c r="BA7" s="17">
        <f t="shared" ref="BA7:BP13" si="1121">AND(BA$5&gt;=$E7,BA$5&lt;=$F7)*$D7</f>
        <v>24100</v>
      </c>
      <c r="BB7" s="17">
        <f t="shared" si="1121"/>
        <v>24100</v>
      </c>
      <c r="BC7" s="17">
        <f t="shared" si="1121"/>
        <v>24100</v>
      </c>
      <c r="BD7" s="17">
        <f t="shared" si="1121"/>
        <v>24100</v>
      </c>
      <c r="BE7" s="17">
        <f t="shared" si="1121"/>
        <v>24100</v>
      </c>
      <c r="BF7" s="17">
        <f t="shared" si="1121"/>
        <v>24100</v>
      </c>
      <c r="BG7" s="17">
        <f t="shared" si="1121"/>
        <v>24100</v>
      </c>
      <c r="BH7" s="17">
        <f t="shared" si="1121"/>
        <v>24100</v>
      </c>
      <c r="BI7" s="17">
        <f t="shared" si="1121"/>
        <v>24100</v>
      </c>
      <c r="BJ7" s="17">
        <f t="shared" si="1121"/>
        <v>24100</v>
      </c>
      <c r="BK7" s="17">
        <f t="shared" si="1121"/>
        <v>24100</v>
      </c>
      <c r="BL7" s="17">
        <f t="shared" si="1121"/>
        <v>24100</v>
      </c>
      <c r="BM7" s="17">
        <f t="shared" si="1121"/>
        <v>24100</v>
      </c>
      <c r="BN7" s="17">
        <f t="shared" si="1121"/>
        <v>24100</v>
      </c>
      <c r="BO7" s="17">
        <f t="shared" si="1121"/>
        <v>24100</v>
      </c>
      <c r="BP7" s="17">
        <f t="shared" si="1121"/>
        <v>24100</v>
      </c>
      <c r="BQ7" s="17">
        <f t="shared" ref="BQ7:CF13" si="1122">AND(BQ$5&gt;=$E7,BQ$5&lt;=$F7)*$D7</f>
        <v>24100</v>
      </c>
      <c r="BR7" s="17">
        <f t="shared" si="1122"/>
        <v>24100</v>
      </c>
      <c r="BS7" s="17">
        <f t="shared" si="1122"/>
        <v>24100</v>
      </c>
      <c r="BT7" s="17">
        <f t="shared" si="1122"/>
        <v>24100</v>
      </c>
      <c r="BU7" s="17">
        <f t="shared" si="1122"/>
        <v>24100</v>
      </c>
      <c r="BV7" s="17">
        <f t="shared" si="1122"/>
        <v>24100</v>
      </c>
      <c r="BW7" s="17">
        <f t="shared" si="1122"/>
        <v>24100</v>
      </c>
      <c r="BX7" s="17">
        <f t="shared" si="1122"/>
        <v>24100</v>
      </c>
      <c r="BY7" s="17">
        <f t="shared" si="1122"/>
        <v>24100</v>
      </c>
      <c r="BZ7" s="17">
        <f t="shared" si="1122"/>
        <v>24100</v>
      </c>
      <c r="CA7" s="17">
        <f t="shared" si="1122"/>
        <v>24100</v>
      </c>
      <c r="CB7" s="17">
        <f t="shared" si="1122"/>
        <v>24100</v>
      </c>
      <c r="CC7" s="17">
        <f t="shared" si="1122"/>
        <v>24100</v>
      </c>
      <c r="CD7" s="17">
        <f t="shared" si="1122"/>
        <v>24100</v>
      </c>
      <c r="CE7" s="17">
        <f t="shared" si="1122"/>
        <v>24100</v>
      </c>
      <c r="CF7" s="17">
        <f t="shared" si="1122"/>
        <v>24100</v>
      </c>
      <c r="CG7" s="17">
        <f t="shared" ref="CG7:CV13" si="1123">AND(CG$5&gt;=$E7,CG$5&lt;=$F7)*$D7</f>
        <v>24100</v>
      </c>
      <c r="CH7" s="17">
        <f t="shared" si="1123"/>
        <v>24100</v>
      </c>
      <c r="CI7" s="17">
        <f t="shared" si="1123"/>
        <v>24100</v>
      </c>
      <c r="CJ7" s="17">
        <f t="shared" si="1123"/>
        <v>24100</v>
      </c>
      <c r="CK7" s="17">
        <f t="shared" si="1123"/>
        <v>24100</v>
      </c>
      <c r="CL7" s="17">
        <f t="shared" si="1123"/>
        <v>24100</v>
      </c>
      <c r="CM7" s="17">
        <f t="shared" si="1123"/>
        <v>24100</v>
      </c>
      <c r="CN7" s="17">
        <f t="shared" si="1123"/>
        <v>24100</v>
      </c>
      <c r="CO7" s="17">
        <f t="shared" si="1123"/>
        <v>24100</v>
      </c>
      <c r="CP7" s="17">
        <f t="shared" si="1123"/>
        <v>24100</v>
      </c>
      <c r="CQ7" s="17">
        <f t="shared" si="1123"/>
        <v>24100</v>
      </c>
      <c r="CR7" s="17">
        <f t="shared" si="1123"/>
        <v>24100</v>
      </c>
      <c r="CS7" s="17">
        <f t="shared" si="1123"/>
        <v>24100</v>
      </c>
      <c r="CT7" s="17">
        <f t="shared" si="1123"/>
        <v>24100</v>
      </c>
      <c r="CU7" s="17">
        <f t="shared" si="1123"/>
        <v>24100</v>
      </c>
      <c r="CV7" s="17">
        <f t="shared" si="1123"/>
        <v>24100</v>
      </c>
      <c r="CW7" s="17">
        <f t="shared" ref="CW7:DL13" si="1124">AND(CW$5&gt;=$E7,CW$5&lt;=$F7)*$D7</f>
        <v>24100</v>
      </c>
      <c r="CX7" s="17">
        <f t="shared" si="1124"/>
        <v>24100</v>
      </c>
      <c r="CY7" s="17">
        <f t="shared" si="1124"/>
        <v>24100</v>
      </c>
      <c r="CZ7" s="17">
        <f t="shared" si="1124"/>
        <v>24100</v>
      </c>
      <c r="DA7" s="17">
        <f t="shared" si="1124"/>
        <v>24100</v>
      </c>
      <c r="DB7" s="17">
        <f t="shared" si="1124"/>
        <v>24100</v>
      </c>
      <c r="DC7" s="17">
        <f t="shared" si="1124"/>
        <v>24100</v>
      </c>
      <c r="DD7" s="17">
        <f t="shared" si="1124"/>
        <v>24100</v>
      </c>
      <c r="DE7" s="17">
        <f t="shared" si="1124"/>
        <v>24100</v>
      </c>
      <c r="DF7" s="17">
        <f t="shared" si="1124"/>
        <v>24100</v>
      </c>
      <c r="DG7" s="17">
        <f t="shared" si="1124"/>
        <v>24100</v>
      </c>
      <c r="DH7" s="17">
        <f t="shared" si="1124"/>
        <v>24100</v>
      </c>
      <c r="DI7" s="17">
        <f t="shared" si="1124"/>
        <v>24100</v>
      </c>
      <c r="DJ7" s="17">
        <f t="shared" si="1124"/>
        <v>24100</v>
      </c>
      <c r="DK7" s="17">
        <f t="shared" si="1124"/>
        <v>24100</v>
      </c>
      <c r="DL7" s="17">
        <f t="shared" si="1124"/>
        <v>24100</v>
      </c>
      <c r="DM7" s="17">
        <f t="shared" ref="DM7:EB13" si="1125">AND(DM$5&gt;=$E7,DM$5&lt;=$F7)*$D7</f>
        <v>24100</v>
      </c>
      <c r="DN7" s="17">
        <f t="shared" si="1125"/>
        <v>24100</v>
      </c>
      <c r="DO7" s="17">
        <f t="shared" si="1125"/>
        <v>24100</v>
      </c>
      <c r="DP7" s="17">
        <f t="shared" si="1125"/>
        <v>24100</v>
      </c>
      <c r="DQ7" s="17">
        <f t="shared" si="1125"/>
        <v>24100</v>
      </c>
      <c r="DR7" s="17">
        <f t="shared" si="1125"/>
        <v>24100</v>
      </c>
      <c r="DS7" s="17">
        <f t="shared" si="1125"/>
        <v>24100</v>
      </c>
      <c r="DT7" s="17">
        <f t="shared" si="1125"/>
        <v>24100</v>
      </c>
      <c r="DU7" s="17">
        <f t="shared" si="1125"/>
        <v>24100</v>
      </c>
      <c r="DV7" s="17">
        <f t="shared" si="1125"/>
        <v>24100</v>
      </c>
      <c r="DW7" s="17">
        <f t="shared" si="1125"/>
        <v>24100</v>
      </c>
      <c r="DX7" s="17">
        <f t="shared" si="1125"/>
        <v>24100</v>
      </c>
      <c r="DY7" s="17">
        <f t="shared" si="1125"/>
        <v>24100</v>
      </c>
      <c r="DZ7" s="17">
        <f t="shared" si="1125"/>
        <v>24100</v>
      </c>
      <c r="EA7" s="17">
        <f t="shared" si="1125"/>
        <v>24100</v>
      </c>
      <c r="EB7" s="17">
        <f t="shared" si="1125"/>
        <v>24100</v>
      </c>
      <c r="EC7" s="17">
        <f t="shared" ref="EC7:ER13" si="1126">AND(EC$5&gt;=$E7,EC$5&lt;=$F7)*$D7</f>
        <v>24100</v>
      </c>
      <c r="ED7" s="17">
        <f t="shared" si="1126"/>
        <v>0</v>
      </c>
      <c r="EE7" s="17">
        <f t="shared" si="1126"/>
        <v>0</v>
      </c>
      <c r="EF7" s="17">
        <f t="shared" si="1126"/>
        <v>0</v>
      </c>
      <c r="EG7" s="17">
        <f t="shared" si="1126"/>
        <v>0</v>
      </c>
      <c r="EH7" s="17">
        <f t="shared" si="1126"/>
        <v>0</v>
      </c>
      <c r="EI7" s="17">
        <f t="shared" si="1126"/>
        <v>0</v>
      </c>
      <c r="EJ7" s="17">
        <f t="shared" si="1126"/>
        <v>0</v>
      </c>
      <c r="EK7" s="17">
        <f t="shared" si="1126"/>
        <v>0</v>
      </c>
      <c r="EL7" s="17">
        <f t="shared" si="1126"/>
        <v>0</v>
      </c>
      <c r="EM7" s="17">
        <f t="shared" si="1126"/>
        <v>0</v>
      </c>
      <c r="EN7" s="17">
        <f t="shared" si="1126"/>
        <v>0</v>
      </c>
      <c r="EO7" s="17">
        <f t="shared" si="1126"/>
        <v>0</v>
      </c>
      <c r="EP7" s="17">
        <f t="shared" si="1126"/>
        <v>0</v>
      </c>
      <c r="EQ7" s="17">
        <f t="shared" si="1126"/>
        <v>0</v>
      </c>
      <c r="ER7" s="17">
        <f t="shared" si="1126"/>
        <v>0</v>
      </c>
      <c r="ES7" s="17">
        <f t="shared" ref="ES7:FH13" si="1127">AND(ES$5&gt;=$E7,ES$5&lt;=$F7)*$D7</f>
        <v>0</v>
      </c>
      <c r="ET7" s="17">
        <f t="shared" si="1127"/>
        <v>0</v>
      </c>
      <c r="EU7" s="17">
        <f t="shared" si="1127"/>
        <v>0</v>
      </c>
      <c r="EV7" s="17">
        <f t="shared" si="1127"/>
        <v>0</v>
      </c>
      <c r="EW7" s="17">
        <f t="shared" si="1127"/>
        <v>0</v>
      </c>
      <c r="EX7" s="17">
        <f t="shared" si="1127"/>
        <v>0</v>
      </c>
      <c r="EY7" s="17">
        <f t="shared" si="1127"/>
        <v>0</v>
      </c>
      <c r="EZ7" s="17">
        <f t="shared" si="1127"/>
        <v>0</v>
      </c>
      <c r="FA7" s="17">
        <f t="shared" si="1127"/>
        <v>0</v>
      </c>
      <c r="FB7" s="17">
        <f t="shared" si="1127"/>
        <v>0</v>
      </c>
      <c r="FC7" s="17">
        <f t="shared" si="1127"/>
        <v>0</v>
      </c>
      <c r="FD7" s="17">
        <f t="shared" si="1127"/>
        <v>0</v>
      </c>
      <c r="FE7" s="17">
        <f t="shared" si="1127"/>
        <v>0</v>
      </c>
      <c r="FF7" s="17">
        <f t="shared" si="1127"/>
        <v>0</v>
      </c>
      <c r="FG7" s="17">
        <f t="shared" si="1127"/>
        <v>0</v>
      </c>
      <c r="FH7" s="17">
        <f t="shared" si="1127"/>
        <v>0</v>
      </c>
      <c r="FI7" s="17">
        <f t="shared" ref="FI7:FK13" si="1128">AND(FI$5&gt;=$E7,FI$5&lt;=$F7)*$D7</f>
        <v>0</v>
      </c>
      <c r="FJ7" s="17">
        <f t="shared" si="1128"/>
        <v>0</v>
      </c>
      <c r="FK7" s="17">
        <f t="shared" si="1128"/>
        <v>0</v>
      </c>
      <c r="FL7" s="17"/>
      <c r="FM7" s="17"/>
      <c r="FN7" s="17">
        <f>AND(FN$5&gt;=$R7,FN$5&lt;=$S7)*$D7</f>
        <v>0</v>
      </c>
      <c r="FO7" s="17">
        <f t="shared" ref="FO7:GD13" si="1129">AND(FO$5&gt;=$R7,FO$5&lt;=$S7)*$D7</f>
        <v>0</v>
      </c>
      <c r="FP7" s="17">
        <f t="shared" si="1129"/>
        <v>0</v>
      </c>
      <c r="FQ7" s="17">
        <f t="shared" si="1129"/>
        <v>0</v>
      </c>
      <c r="FR7" s="17">
        <f t="shared" si="1129"/>
        <v>0</v>
      </c>
      <c r="FS7" s="17">
        <f t="shared" si="1129"/>
        <v>0</v>
      </c>
      <c r="FT7" s="17">
        <f t="shared" si="1129"/>
        <v>0</v>
      </c>
      <c r="FU7" s="17">
        <f t="shared" si="1129"/>
        <v>0</v>
      </c>
      <c r="FV7" s="17">
        <f t="shared" si="1129"/>
        <v>0</v>
      </c>
      <c r="FW7" s="17">
        <f t="shared" si="1129"/>
        <v>0</v>
      </c>
      <c r="FX7" s="17">
        <f t="shared" si="1129"/>
        <v>0</v>
      </c>
      <c r="FY7" s="17">
        <f t="shared" si="1129"/>
        <v>0</v>
      </c>
      <c r="FZ7" s="17">
        <f t="shared" si="1129"/>
        <v>0</v>
      </c>
      <c r="GA7" s="17">
        <f t="shared" si="1129"/>
        <v>0</v>
      </c>
      <c r="GB7" s="17">
        <f t="shared" si="1129"/>
        <v>0</v>
      </c>
      <c r="GC7" s="17">
        <f t="shared" si="1129"/>
        <v>0</v>
      </c>
      <c r="GD7" s="17">
        <f t="shared" si="1129"/>
        <v>0</v>
      </c>
      <c r="GE7" s="17">
        <f t="shared" ref="GE7:GT13" si="1130">AND(GE$5&gt;=$R7,GE$5&lt;=$S7)*$D7</f>
        <v>0</v>
      </c>
      <c r="GF7" s="17">
        <f t="shared" si="1130"/>
        <v>0</v>
      </c>
      <c r="GG7" s="17">
        <f t="shared" si="1130"/>
        <v>0</v>
      </c>
      <c r="GH7" s="17">
        <f t="shared" si="1130"/>
        <v>0</v>
      </c>
      <c r="GI7" s="17">
        <f t="shared" si="1130"/>
        <v>0</v>
      </c>
      <c r="GJ7" s="17">
        <f t="shared" si="1130"/>
        <v>0</v>
      </c>
      <c r="GK7" s="17">
        <f t="shared" si="1130"/>
        <v>0</v>
      </c>
      <c r="GL7" s="17">
        <f t="shared" si="1130"/>
        <v>0</v>
      </c>
      <c r="GM7" s="17">
        <f t="shared" si="1130"/>
        <v>0</v>
      </c>
      <c r="GN7" s="17">
        <f t="shared" si="1130"/>
        <v>0</v>
      </c>
      <c r="GO7" s="17">
        <f t="shared" si="1130"/>
        <v>0</v>
      </c>
      <c r="GP7" s="17">
        <f t="shared" si="1130"/>
        <v>0</v>
      </c>
      <c r="GQ7" s="17">
        <f t="shared" si="1130"/>
        <v>0</v>
      </c>
      <c r="GR7" s="17">
        <f t="shared" si="1130"/>
        <v>0</v>
      </c>
      <c r="GS7" s="17">
        <f t="shared" si="1130"/>
        <v>0</v>
      </c>
      <c r="GT7" s="17">
        <f t="shared" si="1130"/>
        <v>0</v>
      </c>
      <c r="GU7" s="17">
        <f t="shared" ref="GU7:HJ13" si="1131">AND(GU$5&gt;=$R7,GU$5&lt;=$S7)*$D7</f>
        <v>0</v>
      </c>
      <c r="GV7" s="17">
        <f t="shared" si="1131"/>
        <v>0</v>
      </c>
      <c r="GW7" s="17">
        <f t="shared" si="1131"/>
        <v>0</v>
      </c>
      <c r="GX7" s="17">
        <f t="shared" si="1131"/>
        <v>0</v>
      </c>
      <c r="GY7" s="17">
        <f t="shared" si="1131"/>
        <v>0</v>
      </c>
      <c r="GZ7" s="17">
        <f t="shared" si="1131"/>
        <v>0</v>
      </c>
      <c r="HA7" s="17">
        <f t="shared" si="1131"/>
        <v>0</v>
      </c>
      <c r="HB7" s="17">
        <f t="shared" si="1131"/>
        <v>0</v>
      </c>
      <c r="HC7" s="17">
        <f t="shared" si="1131"/>
        <v>0</v>
      </c>
      <c r="HD7" s="17">
        <f t="shared" si="1131"/>
        <v>0</v>
      </c>
      <c r="HE7" s="17">
        <f t="shared" si="1131"/>
        <v>0</v>
      </c>
      <c r="HF7" s="17">
        <f t="shared" si="1131"/>
        <v>0</v>
      </c>
      <c r="HG7" s="17">
        <f t="shared" si="1131"/>
        <v>0</v>
      </c>
      <c r="HH7" s="17">
        <f t="shared" si="1131"/>
        <v>0</v>
      </c>
      <c r="HI7" s="17">
        <f t="shared" si="1131"/>
        <v>0</v>
      </c>
      <c r="HJ7" s="17">
        <f t="shared" si="1131"/>
        <v>0</v>
      </c>
      <c r="HK7" s="17">
        <f t="shared" ref="HK7:HZ13" si="1132">AND(HK$5&gt;=$R7,HK$5&lt;=$S7)*$D7</f>
        <v>0</v>
      </c>
      <c r="HL7" s="17">
        <f t="shared" si="1132"/>
        <v>0</v>
      </c>
      <c r="HM7" s="17">
        <f t="shared" si="1132"/>
        <v>0</v>
      </c>
      <c r="HN7" s="17">
        <f t="shared" si="1132"/>
        <v>0</v>
      </c>
      <c r="HO7" s="17">
        <f t="shared" si="1132"/>
        <v>0</v>
      </c>
      <c r="HP7" s="17">
        <f t="shared" si="1132"/>
        <v>0</v>
      </c>
      <c r="HQ7" s="17">
        <f t="shared" si="1132"/>
        <v>0</v>
      </c>
      <c r="HR7" s="17">
        <f t="shared" si="1132"/>
        <v>0</v>
      </c>
      <c r="HS7" s="17">
        <f t="shared" si="1132"/>
        <v>0</v>
      </c>
      <c r="HT7" s="17">
        <f t="shared" si="1132"/>
        <v>0</v>
      </c>
      <c r="HU7" s="17">
        <f t="shared" si="1132"/>
        <v>0</v>
      </c>
      <c r="HV7" s="17">
        <f t="shared" si="1132"/>
        <v>0</v>
      </c>
      <c r="HW7" s="17">
        <f t="shared" si="1132"/>
        <v>0</v>
      </c>
      <c r="HX7" s="17">
        <f t="shared" si="1132"/>
        <v>0</v>
      </c>
      <c r="HY7" s="17">
        <f t="shared" si="1132"/>
        <v>0</v>
      </c>
      <c r="HZ7" s="17">
        <f t="shared" si="1132"/>
        <v>0</v>
      </c>
      <c r="IA7" s="17">
        <f t="shared" ref="IA7:IP13" si="1133">AND(IA$5&gt;=$R7,IA$5&lt;=$S7)*$D7</f>
        <v>0</v>
      </c>
      <c r="IB7" s="17">
        <f t="shared" si="1133"/>
        <v>0</v>
      </c>
      <c r="IC7" s="17">
        <f t="shared" si="1133"/>
        <v>0</v>
      </c>
      <c r="ID7" s="17">
        <f t="shared" si="1133"/>
        <v>0</v>
      </c>
      <c r="IE7" s="17">
        <f t="shared" si="1133"/>
        <v>0</v>
      </c>
      <c r="IF7" s="17">
        <f t="shared" si="1133"/>
        <v>0</v>
      </c>
      <c r="IG7" s="17">
        <f t="shared" si="1133"/>
        <v>0</v>
      </c>
      <c r="IH7" s="17">
        <f t="shared" si="1133"/>
        <v>0</v>
      </c>
      <c r="II7" s="17">
        <f t="shared" si="1133"/>
        <v>0</v>
      </c>
      <c r="IJ7" s="17">
        <f t="shared" si="1133"/>
        <v>0</v>
      </c>
      <c r="IK7" s="17">
        <f t="shared" si="1133"/>
        <v>0</v>
      </c>
      <c r="IL7" s="17">
        <f t="shared" si="1133"/>
        <v>0</v>
      </c>
      <c r="IM7" s="17">
        <f t="shared" si="1133"/>
        <v>0</v>
      </c>
      <c r="IN7" s="17">
        <f t="shared" si="1133"/>
        <v>0</v>
      </c>
      <c r="IO7" s="17">
        <f t="shared" si="1133"/>
        <v>0</v>
      </c>
      <c r="IP7" s="17">
        <f t="shared" si="1133"/>
        <v>0</v>
      </c>
      <c r="IQ7" s="17">
        <f t="shared" ref="IQ7:JF13" si="1134">AND(IQ$5&gt;=$R7,IQ$5&lt;=$S7)*$D7</f>
        <v>0</v>
      </c>
      <c r="IR7" s="17">
        <f t="shared" si="1134"/>
        <v>0</v>
      </c>
      <c r="IS7" s="17">
        <f t="shared" si="1134"/>
        <v>0</v>
      </c>
      <c r="IT7" s="17">
        <f t="shared" si="1134"/>
        <v>0</v>
      </c>
      <c r="IU7" s="17">
        <f t="shared" si="1134"/>
        <v>0</v>
      </c>
      <c r="IV7" s="17">
        <f t="shared" si="1134"/>
        <v>0</v>
      </c>
      <c r="IW7" s="17">
        <f t="shared" si="1134"/>
        <v>0</v>
      </c>
      <c r="IX7" s="17">
        <f t="shared" si="1134"/>
        <v>0</v>
      </c>
      <c r="IY7" s="17">
        <f t="shared" si="1134"/>
        <v>0</v>
      </c>
      <c r="IZ7" s="17">
        <f t="shared" si="1134"/>
        <v>0</v>
      </c>
      <c r="JA7" s="17">
        <f t="shared" si="1134"/>
        <v>0</v>
      </c>
      <c r="JB7" s="17">
        <f t="shared" si="1134"/>
        <v>0</v>
      </c>
      <c r="JC7" s="17">
        <f t="shared" si="1134"/>
        <v>0</v>
      </c>
      <c r="JD7" s="17">
        <f t="shared" si="1134"/>
        <v>0</v>
      </c>
      <c r="JE7" s="17">
        <f t="shared" si="1134"/>
        <v>0</v>
      </c>
      <c r="JF7" s="17">
        <f t="shared" si="1134"/>
        <v>0</v>
      </c>
      <c r="JG7" s="17">
        <f t="shared" ref="JG7:JV13" si="1135">AND(JG$5&gt;=$R7,JG$5&lt;=$S7)*$D7</f>
        <v>0</v>
      </c>
      <c r="JH7" s="17">
        <f t="shared" si="1135"/>
        <v>0</v>
      </c>
      <c r="JI7" s="17">
        <f t="shared" si="1135"/>
        <v>0</v>
      </c>
      <c r="JJ7" s="17">
        <f t="shared" si="1135"/>
        <v>0</v>
      </c>
      <c r="JK7" s="17">
        <f t="shared" si="1135"/>
        <v>24100</v>
      </c>
      <c r="JL7" s="17">
        <f t="shared" si="1135"/>
        <v>24100</v>
      </c>
      <c r="JM7" s="17">
        <f t="shared" si="1135"/>
        <v>24100</v>
      </c>
      <c r="JN7" s="17">
        <f t="shared" si="1135"/>
        <v>24100</v>
      </c>
      <c r="JO7" s="17">
        <f t="shared" si="1135"/>
        <v>24100</v>
      </c>
      <c r="JP7" s="17">
        <f t="shared" si="1135"/>
        <v>24100</v>
      </c>
      <c r="JQ7" s="17">
        <f t="shared" si="1135"/>
        <v>24100</v>
      </c>
      <c r="JR7" s="17">
        <f t="shared" si="1135"/>
        <v>24100</v>
      </c>
      <c r="JS7" s="17">
        <f t="shared" si="1135"/>
        <v>24100</v>
      </c>
      <c r="JT7" s="17">
        <f t="shared" si="1135"/>
        <v>24100</v>
      </c>
      <c r="JU7" s="17">
        <f t="shared" si="1135"/>
        <v>24100</v>
      </c>
      <c r="JV7" s="17">
        <f t="shared" si="1135"/>
        <v>24100</v>
      </c>
      <c r="JW7" s="17">
        <f t="shared" ref="JW7:KL13" si="1136">AND(JW$5&gt;=$R7,JW$5&lt;=$S7)*$D7</f>
        <v>24100</v>
      </c>
      <c r="JX7" s="17">
        <f t="shared" si="1136"/>
        <v>24100</v>
      </c>
      <c r="JY7" s="17">
        <f t="shared" si="1136"/>
        <v>24100</v>
      </c>
      <c r="JZ7" s="17">
        <f t="shared" si="1136"/>
        <v>24100</v>
      </c>
      <c r="KA7" s="17">
        <f t="shared" si="1136"/>
        <v>24100</v>
      </c>
      <c r="KB7" s="17">
        <f t="shared" si="1136"/>
        <v>24100</v>
      </c>
      <c r="KC7" s="17">
        <f t="shared" si="1136"/>
        <v>24100</v>
      </c>
      <c r="KD7" s="17">
        <f t="shared" si="1136"/>
        <v>24100</v>
      </c>
      <c r="KE7" s="17">
        <f t="shared" si="1136"/>
        <v>24100</v>
      </c>
      <c r="KF7" s="17">
        <f t="shared" si="1136"/>
        <v>24100</v>
      </c>
      <c r="KG7" s="17">
        <f t="shared" si="1136"/>
        <v>24100</v>
      </c>
      <c r="KH7" s="17">
        <f t="shared" si="1136"/>
        <v>24100</v>
      </c>
      <c r="KI7" s="17">
        <f t="shared" si="1136"/>
        <v>24100</v>
      </c>
      <c r="KJ7" s="17">
        <f t="shared" si="1136"/>
        <v>24100</v>
      </c>
      <c r="KK7" s="17">
        <f t="shared" si="1136"/>
        <v>24100</v>
      </c>
      <c r="KL7" s="17">
        <f t="shared" si="1136"/>
        <v>24100</v>
      </c>
      <c r="KM7" s="17">
        <f t="shared" ref="KM7:KO13" si="1137">AND(KM$5&gt;=$R7,KM$5&lt;=$S7)*$D7</f>
        <v>24100</v>
      </c>
      <c r="KN7" s="17">
        <f t="shared" si="1137"/>
        <v>24100</v>
      </c>
      <c r="KO7" s="17">
        <f t="shared" si="1137"/>
        <v>24100</v>
      </c>
      <c r="KP7" s="17"/>
      <c r="KQ7" s="17"/>
      <c r="KR7" s="46">
        <f>IF(AND(J7&gt;1,$E7=1),G7/12,G7/12/(1+$I7))</f>
        <v>0.97794117647058831</v>
      </c>
      <c r="KS7" s="30">
        <f>(AJ7&gt;0)*(MAX($KR7:KR7)+(MONTH(KS$3)=$J7)*MAX($KR7:KR7)*$I7)</f>
        <v>0.99750000000000005</v>
      </c>
      <c r="KT7" s="30">
        <f>(AK7&gt;0)*(MAX($KR7:KS7)+(MONTH(KT$3)=$J7)*MAX($KR7:KS7)*$I7)</f>
        <v>0.99750000000000005</v>
      </c>
      <c r="KU7" s="30">
        <f>(AL7&gt;0)*(MAX($KR7:KT7)+(MONTH(KU$3)=$J7)*MAX($KR7:KT7)*$I7)</f>
        <v>0.99750000000000005</v>
      </c>
      <c r="KV7" s="30">
        <f>(AM7&gt;0)*(MAX($KR7:KU7)+(MONTH(KV$3)=$J7)*MAX($KR7:KU7)*$I7)</f>
        <v>0.99750000000000005</v>
      </c>
      <c r="KW7" s="30">
        <f>(AN7&gt;0)*(MAX($KR7:KV7)+(MONTH(KW$3)=$J7)*MAX($KR7:KV7)*$I7)</f>
        <v>0.99750000000000005</v>
      </c>
      <c r="KX7" s="30">
        <f>(AO7&gt;0)*(MAX($KR7:KW7)+(MONTH(KX$3)=$J7)*MAX($KR7:KW7)*$I7)</f>
        <v>0.99750000000000005</v>
      </c>
      <c r="KY7" s="30">
        <f>(AP7&gt;0)*(MAX($KR7:KX7)+(MONTH(KY$3)=$J7)*MAX($KR7:KX7)*$I7)</f>
        <v>0.99750000000000005</v>
      </c>
      <c r="KZ7" s="30">
        <f>(AQ7&gt;0)*(MAX($KR7:KY7)+(MONTH(KZ$3)=$J7)*MAX($KR7:KY7)*$I7)</f>
        <v>0.99750000000000005</v>
      </c>
      <c r="LA7" s="30">
        <f>(AR7&gt;0)*(MAX($KR7:KZ7)+(MONTH(LA$3)=$J7)*MAX($KR7:KZ7)*$I7)</f>
        <v>0.99750000000000005</v>
      </c>
      <c r="LB7" s="30">
        <f>(AS7&gt;0)*(MAX($KR7:LA7)+(MONTH(LB$3)=$J7)*MAX($KR7:LA7)*$I7)</f>
        <v>0.99750000000000005</v>
      </c>
      <c r="LC7" s="30">
        <f>(AT7&gt;0)*(MAX($KR7:LB7)+(MONTH(LC$3)=$J7)*MAX($KR7:LB7)*$I7)</f>
        <v>0.99750000000000005</v>
      </c>
      <c r="LD7" s="30">
        <f>(AU7&gt;0)*(MAX($KR7:LC7)+(MONTH(LD$3)=$J7)*MAX($KR7:LC7)*$I7)</f>
        <v>0.99750000000000005</v>
      </c>
      <c r="LE7" s="30">
        <f>(AV7&gt;0)*(MAX($KR7:LD7)+(MONTH(LE$3)=$J7)*MAX($KR7:LD7)*$I7)</f>
        <v>1.01745</v>
      </c>
      <c r="LF7" s="30">
        <f>(AW7&gt;0)*(MAX($KR7:LE7)+(MONTH(LF$3)=$J7)*MAX($KR7:LE7)*$I7)</f>
        <v>1.01745</v>
      </c>
      <c r="LG7" s="30">
        <f>(AX7&gt;0)*(MAX($KR7:LF7)+(MONTH(LG$3)=$J7)*MAX($KR7:LF7)*$I7)</f>
        <v>1.01745</v>
      </c>
      <c r="LH7" s="30">
        <f>(AY7&gt;0)*(MAX($KR7:LG7)+(MONTH(LH$3)=$J7)*MAX($KR7:LG7)*$I7)</f>
        <v>1.01745</v>
      </c>
      <c r="LI7" s="30">
        <f>(AZ7&gt;0)*(MAX($KR7:LH7)+(MONTH(LI$3)=$J7)*MAX($KR7:LH7)*$I7)</f>
        <v>1.01745</v>
      </c>
      <c r="LJ7" s="30">
        <f>(BA7&gt;0)*(MAX($KR7:LI7)+(MONTH(LJ$3)=$J7)*MAX($KR7:LI7)*$I7)</f>
        <v>1.01745</v>
      </c>
      <c r="LK7" s="30">
        <f>(BB7&gt;0)*(MAX($KR7:LJ7)+(MONTH(LK$3)=$J7)*MAX($KR7:LJ7)*$I7)</f>
        <v>1.01745</v>
      </c>
      <c r="LL7" s="30">
        <f>(BC7&gt;0)*(MAX($KR7:LK7)+(MONTH(LL$3)=$J7)*MAX($KR7:LK7)*$I7)</f>
        <v>1.01745</v>
      </c>
      <c r="LM7" s="30">
        <f>(BD7&gt;0)*(MAX($KR7:LL7)+(MONTH(LM$3)=$J7)*MAX($KR7:LL7)*$I7)</f>
        <v>1.01745</v>
      </c>
      <c r="LN7" s="30">
        <f>(BE7&gt;0)*(MAX($KR7:LM7)+(MONTH(LN$3)=$J7)*MAX($KR7:LM7)*$I7)</f>
        <v>1.01745</v>
      </c>
      <c r="LO7" s="30">
        <f>(BF7&gt;0)*(MAX($KR7:LN7)+(MONTH(LO$3)=$J7)*MAX($KR7:LN7)*$I7)</f>
        <v>1.01745</v>
      </c>
      <c r="LP7" s="30">
        <f>(BG7&gt;0)*(MAX($KR7:LO7)+(MONTH(LP$3)=$J7)*MAX($KR7:LO7)*$I7)</f>
        <v>1.01745</v>
      </c>
      <c r="LQ7" s="30">
        <f>(BH7&gt;0)*(MAX($KR7:LP7)+(MONTH(LQ$3)=$J7)*MAX($KR7:LP7)*$I7)</f>
        <v>1.0377989999999999</v>
      </c>
      <c r="LR7" s="30">
        <f>(BI7&gt;0)*(MAX($KR7:LQ7)+(MONTH(LR$3)=$J7)*MAX($KR7:LQ7)*$I7)</f>
        <v>1.0377989999999999</v>
      </c>
      <c r="LS7" s="30">
        <f>(BJ7&gt;0)*(MAX($KR7:LR7)+(MONTH(LS$3)=$J7)*MAX($KR7:LR7)*$I7)</f>
        <v>1.0377989999999999</v>
      </c>
      <c r="LT7" s="30">
        <f>(BK7&gt;0)*(MAX($KR7:LS7)+(MONTH(LT$3)=$J7)*MAX($KR7:LS7)*$I7)</f>
        <v>1.0377989999999999</v>
      </c>
      <c r="LU7" s="30">
        <f>(BL7&gt;0)*(MAX($KR7:LT7)+(MONTH(LU$3)=$J7)*MAX($KR7:LT7)*$I7)</f>
        <v>1.0377989999999999</v>
      </c>
      <c r="LV7" s="30">
        <f>(BM7&gt;0)*(MAX($KR7:LU7)+(MONTH(LV$3)=$J7)*MAX($KR7:LU7)*$I7)</f>
        <v>1.0377989999999999</v>
      </c>
      <c r="LW7" s="30">
        <f>(BN7&gt;0)*(MAX($KR7:LV7)+(MONTH(LW$3)=$J7)*MAX($KR7:LV7)*$I7)</f>
        <v>1.0377989999999999</v>
      </c>
      <c r="LX7" s="30">
        <f>(BO7&gt;0)*(MAX($KR7:LW7)+(MONTH(LX$3)=$J7)*MAX($KR7:LW7)*$I7)</f>
        <v>1.0377989999999999</v>
      </c>
      <c r="LY7" s="30">
        <f>(BP7&gt;0)*(MAX($KR7:LX7)+(MONTH(LY$3)=$J7)*MAX($KR7:LX7)*$I7)</f>
        <v>1.0377989999999999</v>
      </c>
      <c r="LZ7" s="30">
        <f>(BQ7&gt;0)*(MAX($KR7:LY7)+(MONTH(LZ$3)=$J7)*MAX($KR7:LY7)*$I7)</f>
        <v>1.0377989999999999</v>
      </c>
      <c r="MA7" s="30">
        <f>(BR7&gt;0)*(MAX($KR7:LZ7)+(MONTH(MA$3)=$J7)*MAX($KR7:LZ7)*$I7)</f>
        <v>1.0377989999999999</v>
      </c>
      <c r="MB7" s="30">
        <f>(BS7&gt;0)*(MAX($KR7:MA7)+(MONTH(MB$3)=$J7)*MAX($KR7:MA7)*$I7)</f>
        <v>1.0377989999999999</v>
      </c>
      <c r="MC7" s="30">
        <f>(BT7&gt;0)*(MAX($KR7:MB7)+(MONTH(MC$3)=$J7)*MAX($KR7:MB7)*$I7)</f>
        <v>1.0585549799999998</v>
      </c>
      <c r="MD7" s="30">
        <f>(BU7&gt;0)*(MAX($KR7:MC7)+(MONTH(MD$3)=$J7)*MAX($KR7:MC7)*$I7)</f>
        <v>1.0585549799999998</v>
      </c>
      <c r="ME7" s="30">
        <f>(BV7&gt;0)*(MAX($KR7:MD7)+(MONTH(ME$3)=$J7)*MAX($KR7:MD7)*$I7)</f>
        <v>1.0585549799999998</v>
      </c>
      <c r="MF7" s="30">
        <f>(BW7&gt;0)*(MAX($KR7:ME7)+(MONTH(MF$3)=$J7)*MAX($KR7:ME7)*$I7)</f>
        <v>1.0585549799999998</v>
      </c>
      <c r="MG7" s="30">
        <f>(BX7&gt;0)*(MAX($KR7:MF7)+(MONTH(MG$3)=$J7)*MAX($KR7:MF7)*$I7)</f>
        <v>1.0585549799999998</v>
      </c>
      <c r="MH7" s="30">
        <f>(BY7&gt;0)*(MAX($KR7:MG7)+(MONTH(MH$3)=$J7)*MAX($KR7:MG7)*$I7)</f>
        <v>1.0585549799999998</v>
      </c>
      <c r="MI7" s="30">
        <f>(BZ7&gt;0)*(MAX($KR7:MH7)+(MONTH(MI$3)=$J7)*MAX($KR7:MH7)*$I7)</f>
        <v>1.0585549799999998</v>
      </c>
      <c r="MJ7" s="30">
        <f>(CA7&gt;0)*(MAX($KR7:MI7)+(MONTH(MJ$3)=$J7)*MAX($KR7:MI7)*$I7)</f>
        <v>1.0585549799999998</v>
      </c>
      <c r="MK7" s="30">
        <f>(CB7&gt;0)*(MAX($KR7:MJ7)+(MONTH(MK$3)=$J7)*MAX($KR7:MJ7)*$I7)</f>
        <v>1.0585549799999998</v>
      </c>
      <c r="ML7" s="30">
        <f>(CC7&gt;0)*(MAX($KR7:MK7)+(MONTH(ML$3)=$J7)*MAX($KR7:MK7)*$I7)</f>
        <v>1.0585549799999998</v>
      </c>
      <c r="MM7" s="30">
        <f>(CD7&gt;0)*(MAX($KR7:ML7)+(MONTH(MM$3)=$J7)*MAX($KR7:ML7)*$I7)</f>
        <v>1.0585549799999998</v>
      </c>
      <c r="MN7" s="30">
        <f>(CE7&gt;0)*(MAX($KR7:MM7)+(MONTH(MN$3)=$J7)*MAX($KR7:MM7)*$I7)</f>
        <v>1.0585549799999998</v>
      </c>
      <c r="MO7" s="30">
        <f>(CF7&gt;0)*(MAX($KR7:MN7)+(MONTH(MO$3)=$J7)*MAX($KR7:MN7)*$I7)</f>
        <v>1.0797260795999999</v>
      </c>
      <c r="MP7" s="30">
        <f>(CG7&gt;0)*(MAX($KR7:MO7)+(MONTH(MP$3)=$J7)*MAX($KR7:MO7)*$I7)</f>
        <v>1.0797260795999999</v>
      </c>
      <c r="MQ7" s="30">
        <f>(CH7&gt;0)*(MAX($KR7:MP7)+(MONTH(MQ$3)=$J7)*MAX($KR7:MP7)*$I7)</f>
        <v>1.0797260795999999</v>
      </c>
      <c r="MR7" s="30">
        <f>(CI7&gt;0)*(MAX($KR7:MQ7)+(MONTH(MR$3)=$J7)*MAX($KR7:MQ7)*$I7)</f>
        <v>1.0797260795999999</v>
      </c>
      <c r="MS7" s="30">
        <f>(CJ7&gt;0)*(MAX($KR7:MR7)+(MONTH(MS$3)=$J7)*MAX($KR7:MR7)*$I7)</f>
        <v>1.0797260795999999</v>
      </c>
      <c r="MT7" s="30">
        <f>(CK7&gt;0)*(MAX($KR7:MS7)+(MONTH(MT$3)=$J7)*MAX($KR7:MS7)*$I7)</f>
        <v>1.0797260795999999</v>
      </c>
      <c r="MU7" s="30">
        <f>(CL7&gt;0)*(MAX($KR7:MT7)+(MONTH(MU$3)=$J7)*MAX($KR7:MT7)*$I7)</f>
        <v>1.0797260795999999</v>
      </c>
      <c r="MV7" s="30">
        <f>(CM7&gt;0)*(MAX($KR7:MU7)+(MONTH(MV$3)=$J7)*MAX($KR7:MU7)*$I7)</f>
        <v>1.0797260795999999</v>
      </c>
      <c r="MW7" s="30">
        <f>(CN7&gt;0)*(MAX($KR7:MV7)+(MONTH(MW$3)=$J7)*MAX($KR7:MV7)*$I7)</f>
        <v>1.0797260795999999</v>
      </c>
      <c r="MX7" s="30">
        <f>(CO7&gt;0)*(MAX($KR7:MW7)+(MONTH(MX$3)=$J7)*MAX($KR7:MW7)*$I7)</f>
        <v>1.0797260795999999</v>
      </c>
      <c r="MY7" s="30">
        <f>(CP7&gt;0)*(MAX($KR7:MX7)+(MONTH(MY$3)=$J7)*MAX($KR7:MX7)*$I7)</f>
        <v>1.0797260795999999</v>
      </c>
      <c r="MZ7" s="30">
        <f>(CQ7&gt;0)*(MAX($KR7:MY7)+(MONTH(MZ$3)=$J7)*MAX($KR7:MY7)*$I7)</f>
        <v>1.0797260795999999</v>
      </c>
      <c r="NA7" s="30">
        <f>(CR7&gt;0)*(MAX($KR7:MZ7)+(MONTH(NA$3)=$J7)*MAX($KR7:MZ7)*$I7)</f>
        <v>1.1013206011919998</v>
      </c>
      <c r="NB7" s="30">
        <f>(CS7&gt;0)*(MAX($KR7:NA7)+(MONTH(NB$3)=$J7)*MAX($KR7:NA7)*$I7)</f>
        <v>1.1013206011919998</v>
      </c>
      <c r="NC7" s="30">
        <f>(CT7&gt;0)*(MAX($KR7:NB7)+(MONTH(NC$3)=$J7)*MAX($KR7:NB7)*$I7)</f>
        <v>1.1013206011919998</v>
      </c>
      <c r="ND7" s="30">
        <f>(CU7&gt;0)*(MAX($KR7:NC7)+(MONTH(ND$3)=$J7)*MAX($KR7:NC7)*$I7)</f>
        <v>1.1013206011919998</v>
      </c>
      <c r="NE7" s="30">
        <f>(CV7&gt;0)*(MAX($KR7:ND7)+(MONTH(NE$3)=$J7)*MAX($KR7:ND7)*$I7)</f>
        <v>1.1013206011919998</v>
      </c>
      <c r="NF7" s="30">
        <f>(CW7&gt;0)*(MAX($KR7:NE7)+(MONTH(NF$3)=$J7)*MAX($KR7:NE7)*$I7)</f>
        <v>1.1013206011919998</v>
      </c>
      <c r="NG7" s="30">
        <f>(CX7&gt;0)*(MAX($KR7:NF7)+(MONTH(NG$3)=$J7)*MAX($KR7:NF7)*$I7)</f>
        <v>1.1013206011919998</v>
      </c>
      <c r="NH7" s="30">
        <f>(CY7&gt;0)*(MAX($KR7:NG7)+(MONTH(NH$3)=$J7)*MAX($KR7:NG7)*$I7)</f>
        <v>1.1013206011919998</v>
      </c>
      <c r="NI7" s="30">
        <f>(CZ7&gt;0)*(MAX($KR7:NH7)+(MONTH(NI$3)=$J7)*MAX($KR7:NH7)*$I7)</f>
        <v>1.1013206011919998</v>
      </c>
      <c r="NJ7" s="30">
        <f>(DA7&gt;0)*(MAX($KR7:NI7)+(MONTH(NJ$3)=$J7)*MAX($KR7:NI7)*$I7)</f>
        <v>1.1013206011919998</v>
      </c>
      <c r="NK7" s="30">
        <f>(DB7&gt;0)*(MAX($KR7:NJ7)+(MONTH(NK$3)=$J7)*MAX($KR7:NJ7)*$I7)</f>
        <v>1.1013206011919998</v>
      </c>
      <c r="NL7" s="30">
        <f>(DC7&gt;0)*(MAX($KR7:NK7)+(MONTH(NL$3)=$J7)*MAX($KR7:NK7)*$I7)</f>
        <v>1.1013206011919998</v>
      </c>
      <c r="NM7" s="30">
        <f>(DD7&gt;0)*(MAX($KR7:NL7)+(MONTH(NM$3)=$J7)*MAX($KR7:NL7)*$I7)</f>
        <v>1.1233470132158399</v>
      </c>
      <c r="NN7" s="30">
        <f>(DE7&gt;0)*(MAX($KR7:NM7)+(MONTH(NN$3)=$J7)*MAX($KR7:NM7)*$I7)</f>
        <v>1.1233470132158399</v>
      </c>
      <c r="NO7" s="30">
        <f>(DF7&gt;0)*(MAX($KR7:NN7)+(MONTH(NO$3)=$J7)*MAX($KR7:NN7)*$I7)</f>
        <v>1.1233470132158399</v>
      </c>
      <c r="NP7" s="30">
        <f>(DG7&gt;0)*(MAX($KR7:NO7)+(MONTH(NP$3)=$J7)*MAX($KR7:NO7)*$I7)</f>
        <v>1.1233470132158399</v>
      </c>
      <c r="NQ7" s="30">
        <f>(DH7&gt;0)*(MAX($KR7:NP7)+(MONTH(NQ$3)=$J7)*MAX($KR7:NP7)*$I7)</f>
        <v>1.1233470132158399</v>
      </c>
      <c r="NR7" s="30">
        <f>(DI7&gt;0)*(MAX($KR7:NQ7)+(MONTH(NR$3)=$J7)*MAX($KR7:NQ7)*$I7)</f>
        <v>1.1233470132158399</v>
      </c>
      <c r="NS7" s="30">
        <f>(DJ7&gt;0)*(MAX($KR7:NR7)+(MONTH(NS$3)=$J7)*MAX($KR7:NR7)*$I7)</f>
        <v>1.1233470132158399</v>
      </c>
      <c r="NT7" s="30">
        <f>(DK7&gt;0)*(MAX($KR7:NS7)+(MONTH(NT$3)=$J7)*MAX($KR7:NS7)*$I7)</f>
        <v>1.1233470132158399</v>
      </c>
      <c r="NU7" s="30">
        <f>(DL7&gt;0)*(MAX($KR7:NT7)+(MONTH(NU$3)=$J7)*MAX($KR7:NT7)*$I7)</f>
        <v>1.1233470132158399</v>
      </c>
      <c r="NV7" s="30">
        <f>(DM7&gt;0)*(MAX($KR7:NU7)+(MONTH(NV$3)=$J7)*MAX($KR7:NU7)*$I7)</f>
        <v>1.1233470132158399</v>
      </c>
      <c r="NW7" s="30">
        <f>(DN7&gt;0)*(MAX($KR7:NV7)+(MONTH(NW$3)=$J7)*MAX($KR7:NV7)*$I7)</f>
        <v>1.1233470132158399</v>
      </c>
      <c r="NX7" s="30">
        <f>(DO7&gt;0)*(MAX($KR7:NW7)+(MONTH(NX$3)=$J7)*MAX($KR7:NW7)*$I7)</f>
        <v>1.1233470132158399</v>
      </c>
      <c r="NY7" s="30">
        <f>(DP7&gt;0)*(MAX($KR7:NX7)+(MONTH(NY$3)=$J7)*MAX($KR7:NX7)*$I7)</f>
        <v>1.1458139534801566</v>
      </c>
      <c r="NZ7" s="30">
        <f>(DQ7&gt;0)*(MAX($KR7:NY7)+(MONTH(NZ$3)=$J7)*MAX($KR7:NY7)*$I7)</f>
        <v>1.1458139534801566</v>
      </c>
      <c r="OA7" s="30">
        <f>(DR7&gt;0)*(MAX($KR7:NZ7)+(MONTH(OA$3)=$J7)*MAX($KR7:NZ7)*$I7)</f>
        <v>1.1458139534801566</v>
      </c>
      <c r="OB7" s="30">
        <f>(DS7&gt;0)*(MAX($KR7:OA7)+(MONTH(OB$3)=$J7)*MAX($KR7:OA7)*$I7)</f>
        <v>1.1458139534801566</v>
      </c>
      <c r="OC7" s="30">
        <f>(DT7&gt;0)*(MAX($KR7:OB7)+(MONTH(OC$3)=$J7)*MAX($KR7:OB7)*$I7)</f>
        <v>1.1458139534801566</v>
      </c>
      <c r="OD7" s="30">
        <f>(DU7&gt;0)*(MAX($KR7:OC7)+(MONTH(OD$3)=$J7)*MAX($KR7:OC7)*$I7)</f>
        <v>1.1458139534801566</v>
      </c>
      <c r="OE7" s="30">
        <f>(DV7&gt;0)*(MAX($KR7:OD7)+(MONTH(OE$3)=$J7)*MAX($KR7:OD7)*$I7)</f>
        <v>1.1458139534801566</v>
      </c>
      <c r="OF7" s="30">
        <f>(DW7&gt;0)*(MAX($KR7:OE7)+(MONTH(OF$3)=$J7)*MAX($KR7:OE7)*$I7)</f>
        <v>1.1458139534801566</v>
      </c>
      <c r="OG7" s="30">
        <f>(DX7&gt;0)*(MAX($KR7:OF7)+(MONTH(OG$3)=$J7)*MAX($KR7:OF7)*$I7)</f>
        <v>1.1458139534801566</v>
      </c>
      <c r="OH7" s="30">
        <f>(DY7&gt;0)*(MAX($KR7:OG7)+(MONTH(OH$3)=$J7)*MAX($KR7:OG7)*$I7)</f>
        <v>1.1458139534801566</v>
      </c>
      <c r="OI7" s="30">
        <f>(DZ7&gt;0)*(MAX($KR7:OH7)+(MONTH(OI$3)=$J7)*MAX($KR7:OH7)*$I7)</f>
        <v>1.1458139534801566</v>
      </c>
      <c r="OJ7" s="30">
        <f>(EA7&gt;0)*(MAX($KR7:OI7)+(MONTH(OJ$3)=$J7)*MAX($KR7:OI7)*$I7)</f>
        <v>1.1458139534801566</v>
      </c>
      <c r="OK7" s="30">
        <f>(EB7&gt;0)*(MAX($KR7:OJ7)+(MONTH(OK$3)=$J7)*MAX($KR7:OJ7)*$I7)</f>
        <v>1.1687302325497597</v>
      </c>
      <c r="OL7" s="30">
        <f>(EC7&gt;0)*(MAX($KR7:OK7)+(MONTH(OL$3)=$J7)*MAX($KR7:OK7)*$I7)</f>
        <v>1.1687302325497597</v>
      </c>
      <c r="OM7" s="30">
        <f>(ED7&gt;0)*(MAX($KR7:OL7)+(MONTH(OM$3)=$J7)*MAX($KR7:OL7)*$I7)</f>
        <v>0</v>
      </c>
      <c r="ON7" s="30">
        <f>(EE7&gt;0)*(MAX($KR7:OM7)+(MONTH(ON$3)=$J7)*MAX($KR7:OM7)*$I7)</f>
        <v>0</v>
      </c>
      <c r="OO7" s="30">
        <f>(EF7&gt;0)*(MAX($KR7:ON7)+(MONTH(OO$3)=$J7)*MAX($KR7:ON7)*$I7)</f>
        <v>0</v>
      </c>
      <c r="OP7" s="30">
        <f>(EG7&gt;0)*(MAX($KR7:OO7)+(MONTH(OP$3)=$J7)*MAX($KR7:OO7)*$I7)</f>
        <v>0</v>
      </c>
      <c r="OQ7" s="30">
        <f>(EH7&gt;0)*(MAX($KR7:OP7)+(MONTH(OQ$3)=$J7)*MAX($KR7:OP7)*$I7)</f>
        <v>0</v>
      </c>
      <c r="OR7" s="30">
        <f>(EI7&gt;0)*(MAX($KR7:OQ7)+(MONTH(OR$3)=$J7)*MAX($KR7:OQ7)*$I7)</f>
        <v>0</v>
      </c>
      <c r="OS7" s="30">
        <f>(EJ7&gt;0)*(MAX($KR7:OR7)+(MONTH(OS$3)=$J7)*MAX($KR7:OR7)*$I7)</f>
        <v>0</v>
      </c>
      <c r="OT7" s="30">
        <f>(EK7&gt;0)*(MAX($KR7:OS7)+(MONTH(OT$3)=$J7)*MAX($KR7:OS7)*$I7)</f>
        <v>0</v>
      </c>
      <c r="OU7" s="30">
        <f>(EL7&gt;0)*(MAX($KR7:OT7)+(MONTH(OU$3)=$J7)*MAX($KR7:OT7)*$I7)</f>
        <v>0</v>
      </c>
      <c r="OV7" s="30">
        <f>(EM7&gt;0)*(MAX($KR7:OU7)+(MONTH(OV$3)=$J7)*MAX($KR7:OU7)*$I7)</f>
        <v>0</v>
      </c>
      <c r="OW7" s="30">
        <f>(EN7&gt;0)*(MAX($KR7:OV7)+(MONTH(OW$3)=$J7)*MAX($KR7:OV7)*$I7)</f>
        <v>0</v>
      </c>
      <c r="OX7" s="30">
        <f>(EO7&gt;0)*(MAX($KR7:OW7)+(MONTH(OX$3)=$J7)*MAX($KR7:OW7)*$I7)</f>
        <v>0</v>
      </c>
      <c r="OY7" s="30">
        <f>(EP7&gt;0)*(MAX($KR7:OX7)+(MONTH(OY$3)=$J7)*MAX($KR7:OX7)*$I7)</f>
        <v>0</v>
      </c>
      <c r="OZ7" s="30">
        <f>(EQ7&gt;0)*(MAX($KR7:OY7)+(MONTH(OZ$3)=$J7)*MAX($KR7:OY7)*$I7)</f>
        <v>0</v>
      </c>
      <c r="PA7" s="30">
        <f>(ER7&gt;0)*(MAX($KR7:OZ7)+(MONTH(PA$3)=$J7)*MAX($KR7:OZ7)*$I7)</f>
        <v>0</v>
      </c>
      <c r="PB7" s="30">
        <f>(ES7&gt;0)*(MAX($KR7:PA7)+(MONTH(PB$3)=$J7)*MAX($KR7:PA7)*$I7)</f>
        <v>0</v>
      </c>
      <c r="PC7" s="30">
        <f>(ET7&gt;0)*(MAX($KR7:PB7)+(MONTH(PC$3)=$J7)*MAX($KR7:PB7)*$I7)</f>
        <v>0</v>
      </c>
      <c r="PD7" s="30">
        <f>(EU7&gt;0)*(MAX($KR7:PC7)+(MONTH(PD$3)=$J7)*MAX($KR7:PC7)*$I7)</f>
        <v>0</v>
      </c>
      <c r="PE7" s="30">
        <f>(EV7&gt;0)*(MAX($KR7:PD7)+(MONTH(PE$3)=$J7)*MAX($KR7:PD7)*$I7)</f>
        <v>0</v>
      </c>
      <c r="PF7" s="30">
        <f>(EW7&gt;0)*(MAX($KR7:PE7)+(MONTH(PF$3)=$J7)*MAX($KR7:PE7)*$I7)</f>
        <v>0</v>
      </c>
      <c r="PG7" s="30">
        <f>(EX7&gt;0)*(MAX($KR7:PF7)+(MONTH(PG$3)=$J7)*MAX($KR7:PF7)*$I7)</f>
        <v>0</v>
      </c>
      <c r="PH7" s="30">
        <f>(EY7&gt;0)*(MAX($KR7:PG7)+(MONTH(PH$3)=$J7)*MAX($KR7:PG7)*$I7)</f>
        <v>0</v>
      </c>
      <c r="PI7" s="30">
        <f>(EZ7&gt;0)*(MAX($KR7:PH7)+(MONTH(PI$3)=$J7)*MAX($KR7:PH7)*$I7)</f>
        <v>0</v>
      </c>
      <c r="PJ7" s="30">
        <f>(FA7&gt;0)*(MAX($KR7:PI7)+(MONTH(PJ$3)=$J7)*MAX($KR7:PI7)*$I7)</f>
        <v>0</v>
      </c>
      <c r="PK7" s="30">
        <f>(FB7&gt;0)*(MAX($KR7:PJ7)+(MONTH(PK$3)=$J7)*MAX($KR7:PJ7)*$I7)</f>
        <v>0</v>
      </c>
      <c r="PL7" s="30">
        <f>(FC7&gt;0)*(MAX($KR7:PK7)+(MONTH(PL$3)=$J7)*MAX($KR7:PK7)*$I7)</f>
        <v>0</v>
      </c>
      <c r="PM7" s="30">
        <f>(FD7&gt;0)*(MAX($KR7:PL7)+(MONTH(PM$3)=$J7)*MAX($KR7:PL7)*$I7)</f>
        <v>0</v>
      </c>
      <c r="PN7" s="30">
        <f>(FE7&gt;0)*(MAX($KR7:PM7)+(MONTH(PN$3)=$J7)*MAX($KR7:PM7)*$I7)</f>
        <v>0</v>
      </c>
      <c r="PO7" s="30">
        <f>(FF7&gt;0)*(MAX($KR7:PN7)+(MONTH(PO$3)=$J7)*MAX($KR7:PN7)*$I7)</f>
        <v>0</v>
      </c>
      <c r="PP7" s="30">
        <f>(FG7&gt;0)*(MAX($KR7:PO7)+(MONTH(PP$3)=$J7)*MAX($KR7:PO7)*$I7)</f>
        <v>0</v>
      </c>
      <c r="PQ7" s="30">
        <f>(FH7&gt;0)*(MAX($KR7:PP7)+(MONTH(PQ$3)=$J7)*MAX($KR7:PP7)*$I7)</f>
        <v>0</v>
      </c>
      <c r="PR7" s="30">
        <f>(FI7&gt;0)*(MAX($KR7:PQ7)+(MONTH(PR$3)=$J7)*MAX($KR7:PQ7)*$I7)</f>
        <v>0</v>
      </c>
      <c r="PS7" s="30">
        <f>(FJ7&gt;0)*(MAX($KR7:PR7)+(MONTH(PS$3)=$J7)*MAX($KR7:PR7)*$I7)</f>
        <v>0</v>
      </c>
      <c r="PT7" s="30">
        <f>(FK7&gt;0)*(MAX($KR7:PS7)+(MONTH(PT$3)=$J7)*MAX($KR7:PS7)*$I7)</f>
        <v>0</v>
      </c>
      <c r="PU7" s="30"/>
      <c r="PV7" s="30"/>
      <c r="PW7" s="46">
        <f>T7/12/(1+U7)</f>
        <v>1.3879951817428799</v>
      </c>
      <c r="PX7" s="30">
        <f>(FN7&gt;0)*(MAX($PW7:PW7)+(MONTH(PX$3)=$V7)*MAX($PW7:PW7)*$U7)</f>
        <v>0</v>
      </c>
      <c r="PY7" s="30">
        <f>(FO7&gt;0)*(MAX($PW7:PX7)+(MONTH(PY$3)=$V7)*MAX($PW7:PX7)*$U7)</f>
        <v>0</v>
      </c>
      <c r="PZ7" s="30">
        <f>(FP7&gt;0)*(MAX($PW7:PY7)+(MONTH(PZ$3)=$V7)*MAX($PW7:PY7)*$U7)</f>
        <v>0</v>
      </c>
      <c r="QA7" s="30">
        <f>(FQ7&gt;0)*(MAX($PW7:PZ7)+(MONTH(QA$3)=$V7)*MAX($PW7:PZ7)*$U7)</f>
        <v>0</v>
      </c>
      <c r="QB7" s="30">
        <f>(FR7&gt;0)*(MAX($PW7:QA7)+(MONTH(QB$3)=$V7)*MAX($PW7:QA7)*$U7)</f>
        <v>0</v>
      </c>
      <c r="QC7" s="30">
        <f>(FS7&gt;0)*(MAX($PW7:QB7)+(MONTH(QC$3)=$V7)*MAX($PW7:QB7)*$U7)</f>
        <v>0</v>
      </c>
      <c r="QD7" s="30">
        <f>(FT7&gt;0)*(MAX($PW7:QC7)+(MONTH(QD$3)=$V7)*MAX($PW7:QC7)*$U7)</f>
        <v>0</v>
      </c>
      <c r="QE7" s="30">
        <f>(FU7&gt;0)*(MAX($PW7:QD7)+(MONTH(QE$3)=$V7)*MAX($PW7:QD7)*$U7)</f>
        <v>0</v>
      </c>
      <c r="QF7" s="30">
        <f>(FV7&gt;0)*(MAX($PW7:QE7)+(MONTH(QF$3)=$V7)*MAX($PW7:QE7)*$U7)</f>
        <v>0</v>
      </c>
      <c r="QG7" s="30">
        <f>(FW7&gt;0)*(MAX($PW7:QF7)+(MONTH(QG$3)=$V7)*MAX($PW7:QF7)*$U7)</f>
        <v>0</v>
      </c>
      <c r="QH7" s="30">
        <f>(FX7&gt;0)*(MAX($PW7:QG7)+(MONTH(QH$3)=$V7)*MAX($PW7:QG7)*$U7)</f>
        <v>0</v>
      </c>
      <c r="QI7" s="30">
        <f>(FY7&gt;0)*(MAX($PW7:QH7)+(MONTH(QI$3)=$V7)*MAX($PW7:QH7)*$U7)</f>
        <v>0</v>
      </c>
      <c r="QJ7" s="30">
        <f>(FZ7&gt;0)*(MAX($PW7:QI7)+(MONTH(QJ$3)=$V7)*MAX($PW7:QI7)*$U7)</f>
        <v>0</v>
      </c>
      <c r="QK7" s="30">
        <f>(GA7&gt;0)*(MAX($PW7:QJ7)+(MONTH(QK$3)=$V7)*MAX($PW7:QJ7)*$U7)</f>
        <v>0</v>
      </c>
      <c r="QL7" s="30">
        <f>(GB7&gt;0)*(MAX($PW7:QK7)+(MONTH(QL$3)=$V7)*MAX($PW7:QK7)*$U7)</f>
        <v>0</v>
      </c>
      <c r="QM7" s="30">
        <f>(GC7&gt;0)*(MAX($PW7:QL7)+(MONTH(QM$3)=$V7)*MAX($PW7:QL7)*$U7)</f>
        <v>0</v>
      </c>
      <c r="QN7" s="30">
        <f>(GD7&gt;0)*(MAX($PW7:QM7)+(MONTH(QN$3)=$V7)*MAX($PW7:QM7)*$U7)</f>
        <v>0</v>
      </c>
      <c r="QO7" s="30">
        <f>(GE7&gt;0)*(MAX($PW7:QN7)+(MONTH(QO$3)=$V7)*MAX($PW7:QN7)*$U7)</f>
        <v>0</v>
      </c>
      <c r="QP7" s="30">
        <f>(GF7&gt;0)*(MAX($PW7:QO7)+(MONTH(QP$3)=$V7)*MAX($PW7:QO7)*$U7)</f>
        <v>0</v>
      </c>
      <c r="QQ7" s="30">
        <f>(GG7&gt;0)*(MAX($PW7:QP7)+(MONTH(QQ$3)=$V7)*MAX($PW7:QP7)*$U7)</f>
        <v>0</v>
      </c>
      <c r="QR7" s="30">
        <f>(GH7&gt;0)*(MAX($PW7:QQ7)+(MONTH(QR$3)=$V7)*MAX($PW7:QQ7)*$U7)</f>
        <v>0</v>
      </c>
      <c r="QS7" s="30">
        <f>(GI7&gt;0)*(MAX($PW7:QR7)+(MONTH(QS$3)=$V7)*MAX($PW7:QR7)*$U7)</f>
        <v>0</v>
      </c>
      <c r="QT7" s="30">
        <f>(GJ7&gt;0)*(MAX($PW7:QS7)+(MONTH(QT$3)=$V7)*MAX($PW7:QS7)*$U7)</f>
        <v>0</v>
      </c>
      <c r="QU7" s="30">
        <f>(GK7&gt;0)*(MAX($PW7:QT7)+(MONTH(QU$3)=$V7)*MAX($PW7:QT7)*$U7)</f>
        <v>0</v>
      </c>
      <c r="QV7" s="30">
        <f>(GL7&gt;0)*(MAX($PW7:QU7)+(MONTH(QV$3)=$V7)*MAX($PW7:QU7)*$U7)</f>
        <v>0</v>
      </c>
      <c r="QW7" s="30">
        <f>(GM7&gt;0)*(MAX($PW7:QV7)+(MONTH(QW$3)=$V7)*MAX($PW7:QV7)*$U7)</f>
        <v>0</v>
      </c>
      <c r="QX7" s="30">
        <f>(GN7&gt;0)*(MAX($PW7:QW7)+(MONTH(QX$3)=$V7)*MAX($PW7:QW7)*$U7)</f>
        <v>0</v>
      </c>
      <c r="QY7" s="30">
        <f>(GO7&gt;0)*(MAX($PW7:QX7)+(MONTH(QY$3)=$V7)*MAX($PW7:QX7)*$U7)</f>
        <v>0</v>
      </c>
      <c r="QZ7" s="30">
        <f>(GP7&gt;0)*(MAX($PW7:QY7)+(MONTH(QZ$3)=$V7)*MAX($PW7:QY7)*$U7)</f>
        <v>0</v>
      </c>
      <c r="RA7" s="30">
        <f>(GQ7&gt;0)*(MAX($PW7:QZ7)+(MONTH(RA$3)=$V7)*MAX($PW7:QZ7)*$U7)</f>
        <v>0</v>
      </c>
      <c r="RB7" s="30">
        <f>(GR7&gt;0)*(MAX($PW7:RA7)+(MONTH(RB$3)=$V7)*MAX($PW7:RA7)*$U7)</f>
        <v>0</v>
      </c>
      <c r="RC7" s="30">
        <f>(GS7&gt;0)*(MAX($PW7:RB7)+(MONTH(RC$3)=$V7)*MAX($PW7:RB7)*$U7)</f>
        <v>0</v>
      </c>
      <c r="RD7" s="30">
        <f>(GT7&gt;0)*(MAX($PW7:RC7)+(MONTH(RD$3)=$V7)*MAX($PW7:RC7)*$U7)</f>
        <v>0</v>
      </c>
      <c r="RE7" s="30">
        <f>(GU7&gt;0)*(MAX($PW7:RD7)+(MONTH(RE$3)=$V7)*MAX($PW7:RD7)*$U7)</f>
        <v>0</v>
      </c>
      <c r="RF7" s="30">
        <f>(GV7&gt;0)*(MAX($PW7:RE7)+(MONTH(RF$3)=$V7)*MAX($PW7:RE7)*$U7)</f>
        <v>0</v>
      </c>
      <c r="RG7" s="30">
        <f>(GW7&gt;0)*(MAX($PW7:RF7)+(MONTH(RG$3)=$V7)*MAX($PW7:RF7)*$U7)</f>
        <v>0</v>
      </c>
      <c r="RH7" s="30">
        <f>(GX7&gt;0)*(MAX($PW7:RG7)+(MONTH(RH$3)=$V7)*MAX($PW7:RG7)*$U7)</f>
        <v>0</v>
      </c>
      <c r="RI7" s="30">
        <f>(GY7&gt;0)*(MAX($PW7:RH7)+(MONTH(RI$3)=$V7)*MAX($PW7:RH7)*$U7)</f>
        <v>0</v>
      </c>
      <c r="RJ7" s="30">
        <f>(GZ7&gt;0)*(MAX($PW7:RI7)+(MONTH(RJ$3)=$V7)*MAX($PW7:RI7)*$U7)</f>
        <v>0</v>
      </c>
      <c r="RK7" s="30">
        <f>(HA7&gt;0)*(MAX($PW7:RJ7)+(MONTH(RK$3)=$V7)*MAX($PW7:RJ7)*$U7)</f>
        <v>0</v>
      </c>
      <c r="RL7" s="30">
        <f>(HB7&gt;0)*(MAX($PW7:RK7)+(MONTH(RL$3)=$V7)*MAX($PW7:RK7)*$U7)</f>
        <v>0</v>
      </c>
      <c r="RM7" s="30">
        <f>(HC7&gt;0)*(MAX($PW7:RL7)+(MONTH(RM$3)=$V7)*MAX($PW7:RL7)*$U7)</f>
        <v>0</v>
      </c>
      <c r="RN7" s="30">
        <f>(HD7&gt;0)*(MAX($PW7:RM7)+(MONTH(RN$3)=$V7)*MAX($PW7:RM7)*$U7)</f>
        <v>0</v>
      </c>
      <c r="RO7" s="30">
        <f>(HE7&gt;0)*(MAX($PW7:RN7)+(MONTH(RO$3)=$V7)*MAX($PW7:RN7)*$U7)</f>
        <v>0</v>
      </c>
      <c r="RP7" s="30">
        <f>(HF7&gt;0)*(MAX($PW7:RO7)+(MONTH(RP$3)=$V7)*MAX($PW7:RO7)*$U7)</f>
        <v>0</v>
      </c>
      <c r="RQ7" s="30">
        <f>(HG7&gt;0)*(MAX($PW7:RP7)+(MONTH(RQ$3)=$V7)*MAX($PW7:RP7)*$U7)</f>
        <v>0</v>
      </c>
      <c r="RR7" s="30">
        <f>(HH7&gt;0)*(MAX($PW7:RQ7)+(MONTH(RR$3)=$V7)*MAX($PW7:RQ7)*$U7)</f>
        <v>0</v>
      </c>
      <c r="RS7" s="30">
        <f>(HI7&gt;0)*(MAX($PW7:RR7)+(MONTH(RS$3)=$V7)*MAX($PW7:RR7)*$U7)</f>
        <v>0</v>
      </c>
      <c r="RT7" s="30">
        <f>(HJ7&gt;0)*(MAX($PW7:RS7)+(MONTH(RT$3)=$V7)*MAX($PW7:RS7)*$U7)</f>
        <v>0</v>
      </c>
      <c r="RU7" s="30">
        <f>(HK7&gt;0)*(MAX($PW7:RT7)+(MONTH(RU$3)=$V7)*MAX($PW7:RT7)*$U7)</f>
        <v>0</v>
      </c>
      <c r="RV7" s="30">
        <f>(HL7&gt;0)*(MAX($PW7:RU7)+(MONTH(RV$3)=$V7)*MAX($PW7:RU7)*$U7)</f>
        <v>0</v>
      </c>
      <c r="RW7" s="30">
        <f>(HM7&gt;0)*(MAX($PW7:RV7)+(MONTH(RW$3)=$V7)*MAX($PW7:RV7)*$U7)</f>
        <v>0</v>
      </c>
      <c r="RX7" s="30">
        <f>(HN7&gt;0)*(MAX($PW7:RW7)+(MONTH(RX$3)=$V7)*MAX($PW7:RW7)*$U7)</f>
        <v>0</v>
      </c>
      <c r="RY7" s="30">
        <f>(HO7&gt;0)*(MAX($PW7:RX7)+(MONTH(RY$3)=$V7)*MAX($PW7:RX7)*$U7)</f>
        <v>0</v>
      </c>
      <c r="RZ7" s="30">
        <f>(HP7&gt;0)*(MAX($PW7:RY7)+(MONTH(RZ$3)=$V7)*MAX($PW7:RY7)*$U7)</f>
        <v>0</v>
      </c>
      <c r="SA7" s="30">
        <f>(HQ7&gt;0)*(MAX($PW7:RZ7)+(MONTH(SA$3)=$V7)*MAX($PW7:RZ7)*$U7)</f>
        <v>0</v>
      </c>
      <c r="SB7" s="30">
        <f>(HR7&gt;0)*(MAX($PW7:SA7)+(MONTH(SB$3)=$V7)*MAX($PW7:SA7)*$U7)</f>
        <v>0</v>
      </c>
      <c r="SC7" s="30">
        <f>(HS7&gt;0)*(MAX($PW7:SB7)+(MONTH(SC$3)=$V7)*MAX($PW7:SB7)*$U7)</f>
        <v>0</v>
      </c>
      <c r="SD7" s="30">
        <f>(HT7&gt;0)*(MAX($PW7:SC7)+(MONTH(SD$3)=$V7)*MAX($PW7:SC7)*$U7)</f>
        <v>0</v>
      </c>
      <c r="SE7" s="30">
        <f>(HU7&gt;0)*(MAX($PW7:SD7)+(MONTH(SE$3)=$V7)*MAX($PW7:SD7)*$U7)</f>
        <v>0</v>
      </c>
      <c r="SF7" s="30">
        <f>(HV7&gt;0)*(MAX($PW7:SE7)+(MONTH(SF$3)=$V7)*MAX($PW7:SE7)*$U7)</f>
        <v>0</v>
      </c>
      <c r="SG7" s="30">
        <f>(HW7&gt;0)*(MAX($PW7:SF7)+(MONTH(SG$3)=$V7)*MAX($PW7:SF7)*$U7)</f>
        <v>0</v>
      </c>
      <c r="SH7" s="30">
        <f>(HX7&gt;0)*(MAX($PW7:SG7)+(MONTH(SH$3)=$V7)*MAX($PW7:SG7)*$U7)</f>
        <v>0</v>
      </c>
      <c r="SI7" s="30">
        <f>(HY7&gt;0)*(MAX($PW7:SH7)+(MONTH(SI$3)=$V7)*MAX($PW7:SH7)*$U7)</f>
        <v>0</v>
      </c>
      <c r="SJ7" s="30">
        <f>(HZ7&gt;0)*(MAX($PW7:SI7)+(MONTH(SJ$3)=$V7)*MAX($PW7:SI7)*$U7)</f>
        <v>0</v>
      </c>
      <c r="SK7" s="30">
        <f>(IA7&gt;0)*(MAX($PW7:SJ7)+(MONTH(SK$3)=$V7)*MAX($PW7:SJ7)*$U7)</f>
        <v>0</v>
      </c>
      <c r="SL7" s="30">
        <f>(IB7&gt;0)*(MAX($PW7:SK7)+(MONTH(SL$3)=$V7)*MAX($PW7:SK7)*$U7)</f>
        <v>0</v>
      </c>
      <c r="SM7" s="30">
        <f>(IC7&gt;0)*(MAX($PW7:SL7)+(MONTH(SM$3)=$V7)*MAX($PW7:SL7)*$U7)</f>
        <v>0</v>
      </c>
      <c r="SN7" s="30">
        <f>(ID7&gt;0)*(MAX($PW7:SM7)+(MONTH(SN$3)=$V7)*MAX($PW7:SM7)*$U7)</f>
        <v>0</v>
      </c>
      <c r="SO7" s="30">
        <f>(IE7&gt;0)*(MAX($PW7:SN7)+(MONTH(SO$3)=$V7)*MAX($PW7:SN7)*$U7)</f>
        <v>0</v>
      </c>
      <c r="SP7" s="30">
        <f>(IF7&gt;0)*(MAX($PW7:SO7)+(MONTH(SP$3)=$V7)*MAX($PW7:SO7)*$U7)</f>
        <v>0</v>
      </c>
      <c r="SQ7" s="30">
        <f>(IG7&gt;0)*(MAX($PW7:SP7)+(MONTH(SQ$3)=$V7)*MAX($PW7:SP7)*$U7)</f>
        <v>0</v>
      </c>
      <c r="SR7" s="30">
        <f>(IH7&gt;0)*(MAX($PW7:SQ7)+(MONTH(SR$3)=$V7)*MAX($PW7:SQ7)*$U7)</f>
        <v>0</v>
      </c>
      <c r="SS7" s="30">
        <f>(II7&gt;0)*(MAX($PW7:SR7)+(MONTH(SS$3)=$V7)*MAX($PW7:SR7)*$U7)</f>
        <v>0</v>
      </c>
      <c r="ST7" s="30">
        <f>(IJ7&gt;0)*(MAX($PW7:SS7)+(MONTH(ST$3)=$V7)*MAX($PW7:SS7)*$U7)</f>
        <v>0</v>
      </c>
      <c r="SU7" s="30">
        <f>(IK7&gt;0)*(MAX($PW7:ST7)+(MONTH(SU$3)=$V7)*MAX($PW7:ST7)*$U7)</f>
        <v>0</v>
      </c>
      <c r="SV7" s="30">
        <f>(IL7&gt;0)*(MAX($PW7:SU7)+(MONTH(SV$3)=$V7)*MAX($PW7:SU7)*$U7)</f>
        <v>0</v>
      </c>
      <c r="SW7" s="30">
        <f>(IM7&gt;0)*(MAX($PW7:SV7)+(MONTH(SW$3)=$V7)*MAX($PW7:SV7)*$U7)</f>
        <v>0</v>
      </c>
      <c r="SX7" s="30">
        <f>(IN7&gt;0)*(MAX($PW7:SW7)+(MONTH(SX$3)=$V7)*MAX($PW7:SW7)*$U7)</f>
        <v>0</v>
      </c>
      <c r="SY7" s="30">
        <f>(IO7&gt;0)*(MAX($PW7:SX7)+(MONTH(SY$3)=$V7)*MAX($PW7:SX7)*$U7)</f>
        <v>0</v>
      </c>
      <c r="SZ7" s="30">
        <f>(IP7&gt;0)*(MAX($PW7:SY7)+(MONTH(SZ$3)=$V7)*MAX($PW7:SY7)*$U7)</f>
        <v>0</v>
      </c>
      <c r="TA7" s="30">
        <f>(IQ7&gt;0)*(MAX($PW7:SZ7)+(MONTH(TA$3)=$V7)*MAX($PW7:SZ7)*$U7)</f>
        <v>0</v>
      </c>
      <c r="TB7" s="30">
        <f>(IR7&gt;0)*(MAX($PW7:TA7)+(MONTH(TB$3)=$V7)*MAX($PW7:TA7)*$U7)</f>
        <v>0</v>
      </c>
      <c r="TC7" s="30">
        <f>(IS7&gt;0)*(MAX($PW7:TB7)+(MONTH(TC$3)=$V7)*MAX($PW7:TB7)*$U7)</f>
        <v>0</v>
      </c>
      <c r="TD7" s="30">
        <f>(IT7&gt;0)*(MAX($PW7:TC7)+(MONTH(TD$3)=$V7)*MAX($PW7:TC7)*$U7)</f>
        <v>0</v>
      </c>
      <c r="TE7" s="30">
        <f>(IU7&gt;0)*(MAX($PW7:TD7)+(MONTH(TE$3)=$V7)*MAX($PW7:TD7)*$U7)</f>
        <v>0</v>
      </c>
      <c r="TF7" s="30">
        <f>(IV7&gt;0)*(MAX($PW7:TE7)+(MONTH(TF$3)=$V7)*MAX($PW7:TE7)*$U7)</f>
        <v>0</v>
      </c>
      <c r="TG7" s="30">
        <f>(IW7&gt;0)*(MAX($PW7:TF7)+(MONTH(TG$3)=$V7)*MAX($PW7:TF7)*$U7)</f>
        <v>0</v>
      </c>
      <c r="TH7" s="30">
        <f>(IX7&gt;0)*(MAX($PW7:TG7)+(MONTH(TH$3)=$V7)*MAX($PW7:TG7)*$U7)</f>
        <v>0</v>
      </c>
      <c r="TI7" s="30">
        <f>(IY7&gt;0)*(MAX($PW7:TH7)+(MONTH(TI$3)=$V7)*MAX($PW7:TH7)*$U7)</f>
        <v>0</v>
      </c>
      <c r="TJ7" s="30">
        <f>(IZ7&gt;0)*(MAX($PW7:TI7)+(MONTH(TJ$3)=$V7)*MAX($PW7:TI7)*$U7)</f>
        <v>0</v>
      </c>
      <c r="TK7" s="30">
        <f>(JA7&gt;0)*(MAX($PW7:TJ7)+(MONTH(TK$3)=$V7)*MAX($PW7:TJ7)*$U7)</f>
        <v>0</v>
      </c>
      <c r="TL7" s="30">
        <f>(JB7&gt;0)*(MAX($PW7:TK7)+(MONTH(TL$3)=$V7)*MAX($PW7:TK7)*$U7)</f>
        <v>0</v>
      </c>
      <c r="TM7" s="30">
        <f>(JC7&gt;0)*(MAX($PW7:TL7)+(MONTH(TM$3)=$V7)*MAX($PW7:TL7)*$U7)</f>
        <v>0</v>
      </c>
      <c r="TN7" s="30">
        <f>(JD7&gt;0)*(MAX($PW7:TM7)+(MONTH(TN$3)=$V7)*MAX($PW7:TM7)*$U7)</f>
        <v>0</v>
      </c>
      <c r="TO7" s="30">
        <f>(JE7&gt;0)*(MAX($PW7:TN7)+(MONTH(TO$3)=$V7)*MAX($PW7:TN7)*$U7)</f>
        <v>0</v>
      </c>
      <c r="TP7" s="30">
        <f>(JF7&gt;0)*(MAX($PW7:TO7)+(MONTH(TP$3)=$V7)*MAX($PW7:TO7)*$U7)</f>
        <v>0</v>
      </c>
      <c r="TQ7" s="30">
        <f>(JG7&gt;0)*(MAX($PW7:TP7)+(MONTH(TQ$3)=$V7)*MAX($PW7:TP7)*$U7)</f>
        <v>0</v>
      </c>
      <c r="TR7" s="30">
        <f>(JH7&gt;0)*(MAX($PW7:TQ7)+(MONTH(TR$3)=$V7)*MAX($PW7:TQ7)*$U7)</f>
        <v>0</v>
      </c>
      <c r="TS7" s="30">
        <f>(JI7&gt;0)*(MAX($PW7:TR7)+(MONTH(TS$3)=$V7)*MAX($PW7:TR7)*$U7)</f>
        <v>0</v>
      </c>
      <c r="TT7" s="30">
        <f>(JJ7&gt;0)*(MAX($PW7:TS7)+(MONTH(TT$3)=$V7)*MAX($PW7:TS7)*$U7)</f>
        <v>0</v>
      </c>
      <c r="TU7" s="30">
        <f>(JK7&gt;0)*(MAX($PW7:TT7)+(MONTH(TU$3)=$V7)*MAX($PW7:TT7)*$U7)</f>
        <v>1.4157550853777376</v>
      </c>
      <c r="TV7" s="30">
        <f>(JL7&gt;0)*(MAX($PW7:TU7)+(MONTH(TV$3)=$V7)*MAX($PW7:TU7)*$U7)</f>
        <v>1.4157550853777376</v>
      </c>
      <c r="TW7" s="30">
        <f>(JM7&gt;0)*(MAX($PW7:TV7)+(MONTH(TW$3)=$V7)*MAX($PW7:TV7)*$U7)</f>
        <v>1.4157550853777376</v>
      </c>
      <c r="TX7" s="30">
        <f>(JN7&gt;0)*(MAX($PW7:TW7)+(MONTH(TX$3)=$V7)*MAX($PW7:TW7)*$U7)</f>
        <v>1.4157550853777376</v>
      </c>
      <c r="TY7" s="30">
        <f>(JO7&gt;0)*(MAX($PW7:TX7)+(MONTH(TY$3)=$V7)*MAX($PW7:TX7)*$U7)</f>
        <v>1.4157550853777376</v>
      </c>
      <c r="TZ7" s="30">
        <f>(JP7&gt;0)*(MAX($PW7:TY7)+(MONTH(TZ$3)=$V7)*MAX($PW7:TY7)*$U7)</f>
        <v>1.4157550853777376</v>
      </c>
      <c r="UA7" s="30">
        <f>(JQ7&gt;0)*(MAX($PW7:TZ7)+(MONTH(UA$3)=$V7)*MAX($PW7:TZ7)*$U7)</f>
        <v>1.4157550853777376</v>
      </c>
      <c r="UB7" s="30">
        <f>(JR7&gt;0)*(MAX($PW7:UA7)+(MONTH(UB$3)=$V7)*MAX($PW7:UA7)*$U7)</f>
        <v>1.4157550853777376</v>
      </c>
      <c r="UC7" s="30">
        <f>(JS7&gt;0)*(MAX($PW7:UB7)+(MONTH(UC$3)=$V7)*MAX($PW7:UB7)*$U7)</f>
        <v>1.4157550853777376</v>
      </c>
      <c r="UD7" s="30">
        <f>(JT7&gt;0)*(MAX($PW7:UC7)+(MONTH(UD$3)=$V7)*MAX($PW7:UC7)*$U7)</f>
        <v>1.4157550853777376</v>
      </c>
      <c r="UE7" s="30">
        <f>(JU7&gt;0)*(MAX($PW7:UD7)+(MONTH(UE$3)=$V7)*MAX($PW7:UD7)*$U7)</f>
        <v>1.4157550853777376</v>
      </c>
      <c r="UF7" s="30">
        <f>(JV7&gt;0)*(MAX($PW7:UE7)+(MONTH(UF$3)=$V7)*MAX($PW7:UE7)*$U7)</f>
        <v>1.4157550853777376</v>
      </c>
      <c r="UG7" s="30">
        <f>(JW7&gt;0)*(MAX($PW7:UF7)+(MONTH(UG$3)=$V7)*MAX($PW7:UF7)*$U7)</f>
        <v>1.4440701870852923</v>
      </c>
      <c r="UH7" s="30">
        <f>(JX7&gt;0)*(MAX($PW7:UG7)+(MONTH(UH$3)=$V7)*MAX($PW7:UG7)*$U7)</f>
        <v>1.4440701870852923</v>
      </c>
      <c r="UI7" s="30">
        <f>(JY7&gt;0)*(MAX($PW7:UH7)+(MONTH(UI$3)=$V7)*MAX($PW7:UH7)*$U7)</f>
        <v>1.4440701870852923</v>
      </c>
      <c r="UJ7" s="30">
        <f>(JZ7&gt;0)*(MAX($PW7:UI7)+(MONTH(UJ$3)=$V7)*MAX($PW7:UI7)*$U7)</f>
        <v>1.4440701870852923</v>
      </c>
      <c r="UK7" s="30">
        <f>(KA7&gt;0)*(MAX($PW7:UJ7)+(MONTH(UK$3)=$V7)*MAX($PW7:UJ7)*$U7)</f>
        <v>1.4440701870852923</v>
      </c>
      <c r="UL7" s="30">
        <f>(KB7&gt;0)*(MAX($PW7:UK7)+(MONTH(UL$3)=$V7)*MAX($PW7:UK7)*$U7)</f>
        <v>1.4440701870852923</v>
      </c>
      <c r="UM7" s="30">
        <f>(KC7&gt;0)*(MAX($PW7:UL7)+(MONTH(UM$3)=$V7)*MAX($PW7:UL7)*$U7)</f>
        <v>1.4440701870852923</v>
      </c>
      <c r="UN7" s="30">
        <f>(KD7&gt;0)*(MAX($PW7:UM7)+(MONTH(UN$3)=$V7)*MAX($PW7:UM7)*$U7)</f>
        <v>1.4440701870852923</v>
      </c>
      <c r="UO7" s="30">
        <f>(KE7&gt;0)*(MAX($PW7:UN7)+(MONTH(UO$3)=$V7)*MAX($PW7:UN7)*$U7)</f>
        <v>1.4440701870852923</v>
      </c>
      <c r="UP7" s="30">
        <f>(KF7&gt;0)*(MAX($PW7:UO7)+(MONTH(UP$3)=$V7)*MAX($PW7:UO7)*$U7)</f>
        <v>1.4440701870852923</v>
      </c>
      <c r="UQ7" s="30">
        <f>(KG7&gt;0)*(MAX($PW7:UP7)+(MONTH(UQ$3)=$V7)*MAX($PW7:UP7)*$U7)</f>
        <v>1.4440701870852923</v>
      </c>
      <c r="UR7" s="30">
        <f>(KH7&gt;0)*(MAX($PW7:UQ7)+(MONTH(UR$3)=$V7)*MAX($PW7:UQ7)*$U7)</f>
        <v>1.4440701870852923</v>
      </c>
      <c r="US7" s="30">
        <f>(KI7&gt;0)*(MAX($PW7:UR7)+(MONTH(US$3)=$V7)*MAX($PW7:UR7)*$U7)</f>
        <v>1.4729515908269981</v>
      </c>
      <c r="UT7" s="30">
        <f>(KJ7&gt;0)*(MAX($PW7:US7)+(MONTH(UT$3)=$V7)*MAX($PW7:US7)*$U7)</f>
        <v>1.4729515908269981</v>
      </c>
      <c r="UU7" s="30">
        <f>(KK7&gt;0)*(MAX($PW7:UT7)+(MONTH(UU$3)=$V7)*MAX($PW7:UT7)*$U7)</f>
        <v>1.4729515908269981</v>
      </c>
      <c r="UV7" s="30">
        <f>(KL7&gt;0)*(MAX($PW7:UU7)+(MONTH(UV$3)=$V7)*MAX($PW7:UU7)*$U7)</f>
        <v>1.4729515908269981</v>
      </c>
      <c r="UW7" s="30">
        <f>(KM7&gt;0)*(MAX($PW7:UV7)+(MONTH(UW$3)=$V7)*MAX($PW7:UV7)*$U7)</f>
        <v>1.4729515908269981</v>
      </c>
      <c r="UX7" s="30">
        <f>(KN7&gt;0)*(MAX($PW7:UW7)+(MONTH(UX$3)=$V7)*MAX($PW7:UW7)*$U7)</f>
        <v>1.4729515908269981</v>
      </c>
      <c r="UY7" s="30">
        <f>(KO7&gt;0)*(MAX($PW7:UX7)+(MONTH(UY$3)=$V7)*MAX($PW7:UX7)*$U7)</f>
        <v>1.4729515908269981</v>
      </c>
      <c r="UZ7" s="17"/>
      <c r="VA7" s="17"/>
      <c r="VB7" s="17">
        <f>AJ7*KS7+FN7*PX7</f>
        <v>24039.75</v>
      </c>
      <c r="VC7" s="17">
        <f t="shared" ref="VC7:VC13" si="1138">AK7*KT7+FO7*PY7</f>
        <v>24039.75</v>
      </c>
      <c r="VD7" s="17">
        <f t="shared" ref="VD7:VD13" si="1139">AL7*KU7+FP7*PZ7</f>
        <v>24039.75</v>
      </c>
      <c r="VE7" s="17">
        <f t="shared" ref="VE7:VE13" si="1140">AM7*KV7+FQ7*QA7</f>
        <v>24039.75</v>
      </c>
      <c r="VF7" s="17">
        <f t="shared" ref="VF7:VF13" si="1141">AN7*KW7+FR7*QB7</f>
        <v>24039.75</v>
      </c>
      <c r="VG7" s="17">
        <f t="shared" ref="VG7:VG13" si="1142">AO7*KX7+FS7*QC7</f>
        <v>24039.75</v>
      </c>
      <c r="VH7" s="17">
        <f t="shared" ref="VH7:VH13" si="1143">AP7*KY7+FT7*QD7</f>
        <v>24039.75</v>
      </c>
      <c r="VI7" s="17">
        <f t="shared" ref="VI7:VI13" si="1144">AQ7*KZ7+FU7*QE7</f>
        <v>24039.75</v>
      </c>
      <c r="VJ7" s="17">
        <f t="shared" ref="VJ7:VJ13" si="1145">AR7*LA7+FV7*QF7</f>
        <v>24039.75</v>
      </c>
      <c r="VK7" s="17">
        <f t="shared" ref="VK7:VK13" si="1146">AS7*LB7+FW7*QG7</f>
        <v>24039.75</v>
      </c>
      <c r="VL7" s="17">
        <f t="shared" ref="VL7:VL13" si="1147">AT7*LC7+FX7*QH7</f>
        <v>24039.75</v>
      </c>
      <c r="VM7" s="17">
        <f t="shared" ref="VM7:VM13" si="1148">AU7*LD7+FY7*QI7</f>
        <v>24039.75</v>
      </c>
      <c r="VN7" s="17">
        <f t="shared" ref="VN7:VN13" si="1149">AV7*LE7+FZ7*QJ7</f>
        <v>24520.544999999998</v>
      </c>
      <c r="VO7" s="17">
        <f t="shared" ref="VO7:VO13" si="1150">AW7*LF7+GA7*QK7</f>
        <v>24520.544999999998</v>
      </c>
      <c r="VP7" s="17">
        <f t="shared" ref="VP7:VP13" si="1151">AX7*LG7+GB7*QL7</f>
        <v>24520.544999999998</v>
      </c>
      <c r="VQ7" s="17">
        <f t="shared" ref="VQ7:VQ13" si="1152">AY7*LH7+GC7*QM7</f>
        <v>24520.544999999998</v>
      </c>
      <c r="VR7" s="17">
        <f t="shared" ref="VR7:VR13" si="1153">AZ7*LI7+GD7*QN7</f>
        <v>24520.544999999998</v>
      </c>
      <c r="VS7" s="17">
        <f t="shared" ref="VS7:VS13" si="1154">BA7*LJ7+GE7*QO7</f>
        <v>24520.544999999998</v>
      </c>
      <c r="VT7" s="17">
        <f t="shared" ref="VT7:VT13" si="1155">BB7*LK7+GF7*QP7</f>
        <v>24520.544999999998</v>
      </c>
      <c r="VU7" s="17">
        <f t="shared" ref="VU7:VU13" si="1156">BC7*LL7+GG7*QQ7</f>
        <v>24520.544999999998</v>
      </c>
      <c r="VV7" s="17">
        <f t="shared" ref="VV7:VV13" si="1157">BD7*LM7+GH7*QR7</f>
        <v>24520.544999999998</v>
      </c>
      <c r="VW7" s="17">
        <f t="shared" ref="VW7:VW13" si="1158">BE7*LN7+GI7*QS7</f>
        <v>24520.544999999998</v>
      </c>
      <c r="VX7" s="17">
        <f t="shared" ref="VX7:VX13" si="1159">BF7*LO7+GJ7*QT7</f>
        <v>24520.544999999998</v>
      </c>
      <c r="VY7" s="17">
        <f t="shared" ref="VY7:VY13" si="1160">BG7*LP7+GK7*QU7</f>
        <v>24520.544999999998</v>
      </c>
      <c r="VZ7" s="17">
        <f t="shared" ref="VZ7:VZ13" si="1161">BH7*LQ7+GL7*QV7</f>
        <v>25010.955899999997</v>
      </c>
      <c r="WA7" s="17">
        <f t="shared" ref="WA7:WA13" si="1162">BI7*LR7+GM7*QW7</f>
        <v>25010.955899999997</v>
      </c>
      <c r="WB7" s="17">
        <f t="shared" ref="WB7:WB13" si="1163">BJ7*LS7+GN7*QX7</f>
        <v>25010.955899999997</v>
      </c>
      <c r="WC7" s="17">
        <f t="shared" ref="WC7:WC13" si="1164">BK7*LT7+GO7*QY7</f>
        <v>25010.955899999997</v>
      </c>
      <c r="WD7" s="17">
        <f t="shared" ref="WD7:WD13" si="1165">BL7*LU7+GP7*QZ7</f>
        <v>25010.955899999997</v>
      </c>
      <c r="WE7" s="17">
        <f t="shared" ref="WE7:WE13" si="1166">BM7*LV7+GQ7*RA7</f>
        <v>25010.955899999997</v>
      </c>
      <c r="WF7" s="17">
        <f t="shared" ref="WF7:WF13" si="1167">BN7*LW7+GR7*RB7</f>
        <v>25010.955899999997</v>
      </c>
      <c r="WG7" s="17">
        <f t="shared" ref="WG7:WG13" si="1168">BO7*LX7+GS7*RC7</f>
        <v>25010.955899999997</v>
      </c>
      <c r="WH7" s="17">
        <f t="shared" ref="WH7:WH13" si="1169">BP7*LY7+GT7*RD7</f>
        <v>25010.955899999997</v>
      </c>
      <c r="WI7" s="17">
        <f t="shared" ref="WI7:WI13" si="1170">BQ7*LZ7+GU7*RE7</f>
        <v>25010.955899999997</v>
      </c>
      <c r="WJ7" s="17">
        <f t="shared" ref="WJ7:WJ13" si="1171">BR7*MA7+GV7*RF7</f>
        <v>25010.955899999997</v>
      </c>
      <c r="WK7" s="17">
        <f t="shared" ref="WK7:WK13" si="1172">BS7*MB7+GW7*RG7</f>
        <v>25010.955899999997</v>
      </c>
      <c r="WL7" s="17">
        <f t="shared" ref="WL7:WL13" si="1173">BT7*MC7+GX7*RH7</f>
        <v>25511.175017999994</v>
      </c>
      <c r="WM7" s="17">
        <f t="shared" ref="WM7:WM13" si="1174">BU7*MD7+GY7*RI7</f>
        <v>25511.175017999994</v>
      </c>
      <c r="WN7" s="17">
        <f t="shared" ref="WN7:WN13" si="1175">BV7*ME7+GZ7*RJ7</f>
        <v>25511.175017999994</v>
      </c>
      <c r="WO7" s="17">
        <f t="shared" ref="WO7:WO13" si="1176">BW7*MF7+HA7*RK7</f>
        <v>25511.175017999994</v>
      </c>
      <c r="WP7" s="17">
        <f t="shared" ref="WP7:WP13" si="1177">BX7*MG7+HB7*RL7</f>
        <v>25511.175017999994</v>
      </c>
      <c r="WQ7" s="17">
        <f t="shared" ref="WQ7:WQ13" si="1178">BY7*MH7+HC7*RM7</f>
        <v>25511.175017999994</v>
      </c>
      <c r="WR7" s="17">
        <f t="shared" ref="WR7:WR13" si="1179">BZ7*MI7+HD7*RN7</f>
        <v>25511.175017999994</v>
      </c>
      <c r="WS7" s="17">
        <f t="shared" ref="WS7:WS13" si="1180">CA7*MJ7+HE7*RO7</f>
        <v>25511.175017999994</v>
      </c>
      <c r="WT7" s="17">
        <f t="shared" ref="WT7:WT13" si="1181">CB7*MK7+HF7*RP7</f>
        <v>25511.175017999994</v>
      </c>
      <c r="WU7" s="17">
        <f t="shared" ref="WU7:WU13" si="1182">CC7*ML7+HG7*RQ7</f>
        <v>25511.175017999994</v>
      </c>
      <c r="WV7" s="17">
        <f t="shared" ref="WV7:WV13" si="1183">CD7*MM7+HH7*RR7</f>
        <v>25511.175017999994</v>
      </c>
      <c r="WW7" s="17">
        <f t="shared" ref="WW7:WW13" si="1184">CE7*MN7+HI7*RS7</f>
        <v>25511.175017999994</v>
      </c>
      <c r="WX7" s="17">
        <f t="shared" ref="WX7:WX13" si="1185">CF7*MO7+HJ7*RT7</f>
        <v>26021.398518359998</v>
      </c>
      <c r="WY7" s="17">
        <f t="shared" ref="WY7:WY13" si="1186">CG7*MP7+HK7*RU7</f>
        <v>26021.398518359998</v>
      </c>
      <c r="WZ7" s="17">
        <f t="shared" ref="WZ7:WZ13" si="1187">CH7*MQ7+HL7*RV7</f>
        <v>26021.398518359998</v>
      </c>
      <c r="XA7" s="17">
        <f t="shared" ref="XA7:XA13" si="1188">CI7*MR7+HM7*RW7</f>
        <v>26021.398518359998</v>
      </c>
      <c r="XB7" s="17">
        <f t="shared" ref="XB7:XB13" si="1189">CJ7*MS7+HN7*RX7</f>
        <v>26021.398518359998</v>
      </c>
      <c r="XC7" s="17">
        <f t="shared" ref="XC7:XC13" si="1190">CK7*MT7+HO7*RY7</f>
        <v>26021.398518359998</v>
      </c>
      <c r="XD7" s="17">
        <f t="shared" ref="XD7:XD13" si="1191">CL7*MU7+HP7*RZ7</f>
        <v>26021.398518359998</v>
      </c>
      <c r="XE7" s="17">
        <f t="shared" ref="XE7:XE13" si="1192">CM7*MV7+HQ7*SA7</f>
        <v>26021.398518359998</v>
      </c>
      <c r="XF7" s="17">
        <f t="shared" ref="XF7:XF13" si="1193">CN7*MW7+HR7*SB7</f>
        <v>26021.398518359998</v>
      </c>
      <c r="XG7" s="17">
        <f t="shared" ref="XG7:XG13" si="1194">CO7*MX7+HS7*SC7</f>
        <v>26021.398518359998</v>
      </c>
      <c r="XH7" s="17">
        <f t="shared" ref="XH7:XH13" si="1195">CP7*MY7+HT7*SD7</f>
        <v>26021.398518359998</v>
      </c>
      <c r="XI7" s="17">
        <f t="shared" ref="XI7:XI13" si="1196">CQ7*MZ7+HU7*SE7</f>
        <v>26021.398518359998</v>
      </c>
      <c r="XJ7" s="17">
        <f t="shared" ref="XJ7:XJ13" si="1197">CR7*NA7+HV7*SF7</f>
        <v>26541.826488727194</v>
      </c>
      <c r="XK7" s="17">
        <f t="shared" ref="XK7:XK13" si="1198">CS7*NB7+HW7*SG7</f>
        <v>26541.826488727194</v>
      </c>
      <c r="XL7" s="17">
        <f t="shared" ref="XL7:XL13" si="1199">CT7*NC7+HX7*SH7</f>
        <v>26541.826488727194</v>
      </c>
      <c r="XM7" s="17">
        <f t="shared" ref="XM7:XM13" si="1200">CU7*ND7+HY7*SI7</f>
        <v>26541.826488727194</v>
      </c>
      <c r="XN7" s="17">
        <f t="shared" ref="XN7:XN13" si="1201">CV7*NE7+HZ7*SJ7</f>
        <v>26541.826488727194</v>
      </c>
      <c r="XO7" s="17">
        <f t="shared" ref="XO7:XO13" si="1202">CW7*NF7+IA7*SK7</f>
        <v>26541.826488727194</v>
      </c>
      <c r="XP7" s="17">
        <f t="shared" ref="XP7:XP13" si="1203">CX7*NG7+IB7*SL7</f>
        <v>26541.826488727194</v>
      </c>
      <c r="XQ7" s="17">
        <f t="shared" ref="XQ7:XQ13" si="1204">CY7*NH7+IC7*SM7</f>
        <v>26541.826488727194</v>
      </c>
      <c r="XR7" s="17">
        <f t="shared" ref="XR7:XR13" si="1205">CZ7*NI7+ID7*SN7</f>
        <v>26541.826488727194</v>
      </c>
      <c r="XS7" s="17">
        <f t="shared" ref="XS7:XS13" si="1206">DA7*NJ7+IE7*SO7</f>
        <v>26541.826488727194</v>
      </c>
      <c r="XT7" s="17">
        <f t="shared" ref="XT7:XT13" si="1207">DB7*NK7+IF7*SP7</f>
        <v>26541.826488727194</v>
      </c>
      <c r="XU7" s="17">
        <f t="shared" ref="XU7:XU13" si="1208">DC7*NL7+IG7*SQ7</f>
        <v>26541.826488727194</v>
      </c>
      <c r="XV7" s="17">
        <f t="shared" ref="XV7:XV13" si="1209">DD7*NM7+IH7*SR7</f>
        <v>27072.663018501742</v>
      </c>
      <c r="XW7" s="17">
        <f t="shared" ref="XW7:XW13" si="1210">DE7*NN7+II7*SS7</f>
        <v>27072.663018501742</v>
      </c>
      <c r="XX7" s="17">
        <f t="shared" ref="XX7:XX13" si="1211">DF7*NO7+IJ7*ST7</f>
        <v>27072.663018501742</v>
      </c>
      <c r="XY7" s="17">
        <f t="shared" ref="XY7:XY13" si="1212">DG7*NP7+IK7*SU7</f>
        <v>27072.663018501742</v>
      </c>
      <c r="XZ7" s="17">
        <f t="shared" ref="XZ7:XZ13" si="1213">DH7*NQ7+IL7*SV7</f>
        <v>27072.663018501742</v>
      </c>
      <c r="YA7" s="17">
        <f t="shared" ref="YA7:YA13" si="1214">DI7*NR7+IM7*SW7</f>
        <v>27072.663018501742</v>
      </c>
      <c r="YB7" s="17">
        <f t="shared" ref="YB7:YB13" si="1215">DJ7*NS7+IN7*SX7</f>
        <v>27072.663018501742</v>
      </c>
      <c r="YC7" s="17">
        <f t="shared" ref="YC7:YC13" si="1216">DK7*NT7+IO7*SY7</f>
        <v>27072.663018501742</v>
      </c>
      <c r="YD7" s="17">
        <f t="shared" ref="YD7:YD13" si="1217">DL7*NU7+IP7*SZ7</f>
        <v>27072.663018501742</v>
      </c>
      <c r="YE7" s="17">
        <f t="shared" ref="YE7:YE13" si="1218">DM7*NV7+IQ7*TA7</f>
        <v>27072.663018501742</v>
      </c>
      <c r="YF7" s="17">
        <f t="shared" ref="YF7:YF13" si="1219">DN7*NW7+IR7*TB7</f>
        <v>27072.663018501742</v>
      </c>
      <c r="YG7" s="17">
        <f t="shared" ref="YG7:YG13" si="1220">DO7*NX7+IS7*TC7</f>
        <v>27072.663018501742</v>
      </c>
      <c r="YH7" s="17">
        <f t="shared" ref="YH7:YH13" si="1221">DP7*NY7+IT7*TD7</f>
        <v>27614.116278871774</v>
      </c>
      <c r="YI7" s="17">
        <f t="shared" ref="YI7:YI13" si="1222">DQ7*NZ7+IU7*TE7</f>
        <v>27614.116278871774</v>
      </c>
      <c r="YJ7" s="17">
        <f t="shared" ref="YJ7:YJ13" si="1223">DR7*OA7+IV7*TF7</f>
        <v>27614.116278871774</v>
      </c>
      <c r="YK7" s="17">
        <f t="shared" ref="YK7:YK13" si="1224">DS7*OB7+IW7*TG7</f>
        <v>27614.116278871774</v>
      </c>
      <c r="YL7" s="17">
        <f t="shared" ref="YL7:YL13" si="1225">DT7*OC7+IX7*TH7</f>
        <v>27614.116278871774</v>
      </c>
      <c r="YM7" s="17">
        <f t="shared" ref="YM7:YM13" si="1226">DU7*OD7+IY7*TI7</f>
        <v>27614.116278871774</v>
      </c>
      <c r="YN7" s="17">
        <f t="shared" ref="YN7:YN13" si="1227">DV7*OE7+IZ7*TJ7</f>
        <v>27614.116278871774</v>
      </c>
      <c r="YO7" s="17">
        <f t="shared" ref="YO7:YO13" si="1228">DW7*OF7+JA7*TK7</f>
        <v>27614.116278871774</v>
      </c>
      <c r="YP7" s="17">
        <f t="shared" ref="YP7:YP13" si="1229">DX7*OG7+JB7*TL7</f>
        <v>27614.116278871774</v>
      </c>
      <c r="YQ7" s="17">
        <f t="shared" ref="YQ7:YQ13" si="1230">DY7*OH7+JC7*TM7</f>
        <v>27614.116278871774</v>
      </c>
      <c r="YR7" s="17">
        <f t="shared" ref="YR7:YR13" si="1231">DZ7*OI7+JD7*TN7</f>
        <v>27614.116278871774</v>
      </c>
      <c r="YS7" s="17">
        <f t="shared" ref="YS7:YS13" si="1232">EA7*OJ7+JE7*TO7</f>
        <v>27614.116278871774</v>
      </c>
      <c r="YT7" s="17">
        <f t="shared" ref="YT7:YT13" si="1233">EB7*OK7+JF7*TP7</f>
        <v>28166.398604449209</v>
      </c>
      <c r="YU7" s="17">
        <f t="shared" ref="YU7:YU13" si="1234">EC7*OL7+JG7*TQ7</f>
        <v>28166.398604449209</v>
      </c>
      <c r="YV7" s="17">
        <f t="shared" ref="YV7:YV13" si="1235">ED7*OM7+JH7*TR7</f>
        <v>0</v>
      </c>
      <c r="YW7" s="17">
        <f t="shared" ref="YW7:YW13" si="1236">EE7*ON7+JI7*TS7</f>
        <v>0</v>
      </c>
      <c r="YX7" s="17">
        <f t="shared" ref="YX7:YX13" si="1237">EF7*OO7+JJ7*TT7</f>
        <v>0</v>
      </c>
      <c r="YY7" s="17">
        <f t="shared" ref="YY7:YY13" si="1238">EG7*OP7+JK7*TU7</f>
        <v>34119.697557603475</v>
      </c>
      <c r="YZ7" s="17">
        <f t="shared" ref="YZ7:YZ13" si="1239">EH7*OQ7+JL7*TV7</f>
        <v>34119.697557603475</v>
      </c>
      <c r="ZA7" s="17">
        <f t="shared" ref="ZA7:ZA13" si="1240">EI7*OR7+JM7*TW7</f>
        <v>34119.697557603475</v>
      </c>
      <c r="ZB7" s="17">
        <f t="shared" ref="ZB7:ZB13" si="1241">EJ7*OS7+JN7*TX7</f>
        <v>34119.697557603475</v>
      </c>
      <c r="ZC7" s="17">
        <f t="shared" ref="ZC7:ZC13" si="1242">EK7*OT7+JO7*TY7</f>
        <v>34119.697557603475</v>
      </c>
      <c r="ZD7" s="17">
        <f t="shared" ref="ZD7:ZD13" si="1243">EL7*OU7+JP7*TZ7</f>
        <v>34119.697557603475</v>
      </c>
      <c r="ZE7" s="17">
        <f t="shared" ref="ZE7:ZE13" si="1244">EM7*OV7+JQ7*UA7</f>
        <v>34119.697557603475</v>
      </c>
      <c r="ZF7" s="17">
        <f t="shared" ref="ZF7:ZF13" si="1245">EN7*OW7+JR7*UB7</f>
        <v>34119.697557603475</v>
      </c>
      <c r="ZG7" s="17">
        <f t="shared" ref="ZG7:ZG13" si="1246">EO7*OX7+JS7*UC7</f>
        <v>34119.697557603475</v>
      </c>
      <c r="ZH7" s="17">
        <f t="shared" ref="ZH7:ZH13" si="1247">EP7*OY7+JT7*UD7</f>
        <v>34119.697557603475</v>
      </c>
      <c r="ZI7" s="17">
        <f t="shared" ref="ZI7:ZI13" si="1248">EQ7*OZ7+JU7*UE7</f>
        <v>34119.697557603475</v>
      </c>
      <c r="ZJ7" s="17">
        <f t="shared" ref="ZJ7:ZJ13" si="1249">ER7*PA7+JV7*UF7</f>
        <v>34119.697557603475</v>
      </c>
      <c r="ZK7" s="17">
        <f t="shared" ref="ZK7:ZK13" si="1250">ES7*PB7+JW7*UG7</f>
        <v>34802.091508755548</v>
      </c>
      <c r="ZL7" s="17">
        <f t="shared" ref="ZL7:ZL13" si="1251">ET7*PC7+JX7*UH7</f>
        <v>34802.091508755548</v>
      </c>
      <c r="ZM7" s="17">
        <f t="shared" ref="ZM7:ZM13" si="1252">EU7*PD7+JY7*UI7</f>
        <v>34802.091508755548</v>
      </c>
      <c r="ZN7" s="17">
        <f t="shared" ref="ZN7:ZN13" si="1253">EV7*PE7+JZ7*UJ7</f>
        <v>34802.091508755548</v>
      </c>
      <c r="ZO7" s="17">
        <f t="shared" ref="ZO7:ZO13" si="1254">EW7*PF7+KA7*UK7</f>
        <v>34802.091508755548</v>
      </c>
      <c r="ZP7" s="17">
        <f t="shared" ref="ZP7:ZP13" si="1255">EX7*PG7+KB7*UL7</f>
        <v>34802.091508755548</v>
      </c>
      <c r="ZQ7" s="17">
        <f t="shared" ref="ZQ7:ZQ13" si="1256">EY7*PH7+KC7*UM7</f>
        <v>34802.091508755548</v>
      </c>
      <c r="ZR7" s="17">
        <f t="shared" ref="ZR7:ZR13" si="1257">EZ7*PI7+KD7*UN7</f>
        <v>34802.091508755548</v>
      </c>
      <c r="ZS7" s="17">
        <f t="shared" ref="ZS7:ZS13" si="1258">FA7*PJ7+KE7*UO7</f>
        <v>34802.091508755548</v>
      </c>
      <c r="ZT7" s="17">
        <f t="shared" ref="ZT7:ZT13" si="1259">FB7*PK7+KF7*UP7</f>
        <v>34802.091508755548</v>
      </c>
      <c r="ZU7" s="17">
        <f t="shared" ref="ZU7:ZU13" si="1260">FC7*PL7+KG7*UQ7</f>
        <v>34802.091508755548</v>
      </c>
      <c r="ZV7" s="17">
        <f t="shared" ref="ZV7:ZV13" si="1261">FD7*PM7+KH7*UR7</f>
        <v>34802.091508755548</v>
      </c>
      <c r="ZW7" s="17">
        <f t="shared" ref="ZW7:ZW13" si="1262">FE7*PN7+KI7*US7</f>
        <v>35498.133338930653</v>
      </c>
      <c r="ZX7" s="17">
        <f t="shared" ref="ZX7:ZX13" si="1263">FF7*PO7+KJ7*UT7</f>
        <v>35498.133338930653</v>
      </c>
      <c r="ZY7" s="17">
        <f t="shared" ref="ZY7:ZY13" si="1264">FG7*PP7+KK7*UU7</f>
        <v>35498.133338930653</v>
      </c>
      <c r="ZZ7" s="17">
        <f t="shared" ref="ZZ7:ZZ13" si="1265">FH7*PQ7+KL7*UV7</f>
        <v>35498.133338930653</v>
      </c>
      <c r="AAA7" s="17">
        <f t="shared" ref="AAA7:AAA13" si="1266">FI7*PR7+KM7*UW7</f>
        <v>35498.133338930653</v>
      </c>
      <c r="AAB7" s="17">
        <f t="shared" ref="AAB7:AAB13" si="1267">FJ7*PS7+KN7*UX7</f>
        <v>35498.133338930653</v>
      </c>
      <c r="AAC7" s="17">
        <f t="shared" ref="AAC7:AAC13" si="1268">FK7*PT7+KO7*UY7</f>
        <v>35498.133338930653</v>
      </c>
      <c r="AAD7" s="17"/>
      <c r="AAE7" s="17"/>
      <c r="AAF7" s="17">
        <f>(AAF$5=$R7)*$AA7*$D7</f>
        <v>0</v>
      </c>
      <c r="AAG7" s="17">
        <f t="shared" ref="AAG7:AAV13" si="1269">(AAG$5=$R7)*$AA7*$D7</f>
        <v>0</v>
      </c>
      <c r="AAH7" s="17">
        <f t="shared" si="1269"/>
        <v>0</v>
      </c>
      <c r="AAI7" s="17">
        <f t="shared" si="1269"/>
        <v>0</v>
      </c>
      <c r="AAJ7" s="17">
        <f t="shared" si="1269"/>
        <v>0</v>
      </c>
      <c r="AAK7" s="17">
        <f t="shared" si="1269"/>
        <v>0</v>
      </c>
      <c r="AAL7" s="17">
        <f t="shared" si="1269"/>
        <v>0</v>
      </c>
      <c r="AAM7" s="17">
        <f t="shared" si="1269"/>
        <v>0</v>
      </c>
      <c r="AAN7" s="17">
        <f t="shared" si="1269"/>
        <v>0</v>
      </c>
      <c r="AAO7" s="17">
        <f t="shared" si="1269"/>
        <v>0</v>
      </c>
      <c r="AAP7" s="17">
        <f t="shared" si="1269"/>
        <v>0</v>
      </c>
      <c r="AAQ7" s="17">
        <f t="shared" si="1269"/>
        <v>0</v>
      </c>
      <c r="AAR7" s="17">
        <f t="shared" si="1269"/>
        <v>0</v>
      </c>
      <c r="AAS7" s="17">
        <f t="shared" si="1269"/>
        <v>0</v>
      </c>
      <c r="AAT7" s="17">
        <f t="shared" si="1269"/>
        <v>0</v>
      </c>
      <c r="AAU7" s="17">
        <f t="shared" si="1269"/>
        <v>0</v>
      </c>
      <c r="AAV7" s="17">
        <f t="shared" si="1269"/>
        <v>0</v>
      </c>
      <c r="AAW7" s="17">
        <f t="shared" ref="AAW7:ABL13" si="1270">(AAW$5=$R7)*$AA7*$D7</f>
        <v>0</v>
      </c>
      <c r="AAX7" s="17">
        <f t="shared" si="1270"/>
        <v>0</v>
      </c>
      <c r="AAY7" s="17">
        <f t="shared" si="1270"/>
        <v>0</v>
      </c>
      <c r="AAZ7" s="17">
        <f t="shared" si="1270"/>
        <v>0</v>
      </c>
      <c r="ABA7" s="17">
        <f t="shared" si="1270"/>
        <v>0</v>
      </c>
      <c r="ABB7" s="17">
        <f t="shared" si="1270"/>
        <v>0</v>
      </c>
      <c r="ABC7" s="17">
        <f t="shared" si="1270"/>
        <v>0</v>
      </c>
      <c r="ABD7" s="17">
        <f t="shared" si="1270"/>
        <v>0</v>
      </c>
      <c r="ABE7" s="17">
        <f t="shared" si="1270"/>
        <v>0</v>
      </c>
      <c r="ABF7" s="17">
        <f t="shared" si="1270"/>
        <v>0</v>
      </c>
      <c r="ABG7" s="17">
        <f t="shared" si="1270"/>
        <v>0</v>
      </c>
      <c r="ABH7" s="17">
        <f t="shared" si="1270"/>
        <v>0</v>
      </c>
      <c r="ABI7" s="17">
        <f t="shared" si="1270"/>
        <v>0</v>
      </c>
      <c r="ABJ7" s="17">
        <f t="shared" si="1270"/>
        <v>0</v>
      </c>
      <c r="ABK7" s="17">
        <f t="shared" si="1270"/>
        <v>0</v>
      </c>
      <c r="ABL7" s="17">
        <f t="shared" si="1270"/>
        <v>0</v>
      </c>
      <c r="ABM7" s="17">
        <f t="shared" ref="ABM7:ACB13" si="1271">(ABM$5=$R7)*$AA7*$D7</f>
        <v>0</v>
      </c>
      <c r="ABN7" s="17">
        <f t="shared" si="1271"/>
        <v>0</v>
      </c>
      <c r="ABO7" s="17">
        <f t="shared" si="1271"/>
        <v>0</v>
      </c>
      <c r="ABP7" s="17">
        <f t="shared" si="1271"/>
        <v>0</v>
      </c>
      <c r="ABQ7" s="17">
        <f t="shared" si="1271"/>
        <v>0</v>
      </c>
      <c r="ABR7" s="17">
        <f t="shared" si="1271"/>
        <v>0</v>
      </c>
      <c r="ABS7" s="17">
        <f t="shared" si="1271"/>
        <v>0</v>
      </c>
      <c r="ABT7" s="17">
        <f t="shared" si="1271"/>
        <v>0</v>
      </c>
      <c r="ABU7" s="17">
        <f t="shared" si="1271"/>
        <v>0</v>
      </c>
      <c r="ABV7" s="17">
        <f t="shared" si="1271"/>
        <v>0</v>
      </c>
      <c r="ABW7" s="17">
        <f t="shared" si="1271"/>
        <v>0</v>
      </c>
      <c r="ABX7" s="17">
        <f t="shared" si="1271"/>
        <v>0</v>
      </c>
      <c r="ABY7" s="17">
        <f t="shared" si="1271"/>
        <v>0</v>
      </c>
      <c r="ABZ7" s="17">
        <f t="shared" si="1271"/>
        <v>0</v>
      </c>
      <c r="ACA7" s="17">
        <f t="shared" si="1271"/>
        <v>0</v>
      </c>
      <c r="ACB7" s="17">
        <f t="shared" si="1271"/>
        <v>0</v>
      </c>
      <c r="ACC7" s="17">
        <f t="shared" ref="ACC7:ACR13" si="1272">(ACC$5=$R7)*$AA7*$D7</f>
        <v>0</v>
      </c>
      <c r="ACD7" s="17">
        <f t="shared" si="1272"/>
        <v>0</v>
      </c>
      <c r="ACE7" s="17">
        <f t="shared" si="1272"/>
        <v>0</v>
      </c>
      <c r="ACF7" s="17">
        <f t="shared" si="1272"/>
        <v>0</v>
      </c>
      <c r="ACG7" s="17">
        <f t="shared" si="1272"/>
        <v>0</v>
      </c>
      <c r="ACH7" s="17">
        <f t="shared" si="1272"/>
        <v>0</v>
      </c>
      <c r="ACI7" s="17">
        <f t="shared" si="1272"/>
        <v>0</v>
      </c>
      <c r="ACJ7" s="17">
        <f t="shared" si="1272"/>
        <v>0</v>
      </c>
      <c r="ACK7" s="17">
        <f t="shared" si="1272"/>
        <v>0</v>
      </c>
      <c r="ACL7" s="17">
        <f t="shared" si="1272"/>
        <v>0</v>
      </c>
      <c r="ACM7" s="17">
        <f t="shared" si="1272"/>
        <v>0</v>
      </c>
      <c r="ACN7" s="17">
        <f t="shared" si="1272"/>
        <v>0</v>
      </c>
      <c r="ACO7" s="17">
        <f t="shared" si="1272"/>
        <v>0</v>
      </c>
      <c r="ACP7" s="17">
        <f t="shared" si="1272"/>
        <v>0</v>
      </c>
      <c r="ACQ7" s="17">
        <f t="shared" si="1272"/>
        <v>0</v>
      </c>
      <c r="ACR7" s="17">
        <f t="shared" si="1272"/>
        <v>0</v>
      </c>
      <c r="ACS7" s="17">
        <f t="shared" ref="ACS7:ADH13" si="1273">(ACS$5=$R7)*$AA7*$D7</f>
        <v>0</v>
      </c>
      <c r="ACT7" s="17">
        <f t="shared" si="1273"/>
        <v>0</v>
      </c>
      <c r="ACU7" s="17">
        <f t="shared" si="1273"/>
        <v>0</v>
      </c>
      <c r="ACV7" s="17">
        <f t="shared" si="1273"/>
        <v>0</v>
      </c>
      <c r="ACW7" s="17">
        <f t="shared" si="1273"/>
        <v>0</v>
      </c>
      <c r="ACX7" s="17">
        <f t="shared" si="1273"/>
        <v>0</v>
      </c>
      <c r="ACY7" s="17">
        <f t="shared" si="1273"/>
        <v>0</v>
      </c>
      <c r="ACZ7" s="17">
        <f t="shared" si="1273"/>
        <v>0</v>
      </c>
      <c r="ADA7" s="17">
        <f t="shared" si="1273"/>
        <v>0</v>
      </c>
      <c r="ADB7" s="17">
        <f t="shared" si="1273"/>
        <v>0</v>
      </c>
      <c r="ADC7" s="17">
        <f t="shared" si="1273"/>
        <v>0</v>
      </c>
      <c r="ADD7" s="17">
        <f t="shared" si="1273"/>
        <v>0</v>
      </c>
      <c r="ADE7" s="17">
        <f t="shared" si="1273"/>
        <v>0</v>
      </c>
      <c r="ADF7" s="17">
        <f t="shared" si="1273"/>
        <v>0</v>
      </c>
      <c r="ADG7" s="17">
        <f t="shared" si="1273"/>
        <v>0</v>
      </c>
      <c r="ADH7" s="17">
        <f t="shared" si="1273"/>
        <v>0</v>
      </c>
      <c r="ADI7" s="17">
        <f t="shared" ref="ADI7:ADX13" si="1274">(ADI$5=$R7)*$AA7*$D7</f>
        <v>0</v>
      </c>
      <c r="ADJ7" s="17">
        <f t="shared" si="1274"/>
        <v>0</v>
      </c>
      <c r="ADK7" s="17">
        <f t="shared" si="1274"/>
        <v>0</v>
      </c>
      <c r="ADL7" s="17">
        <f t="shared" si="1274"/>
        <v>0</v>
      </c>
      <c r="ADM7" s="17">
        <f t="shared" si="1274"/>
        <v>0</v>
      </c>
      <c r="ADN7" s="17">
        <f t="shared" si="1274"/>
        <v>0</v>
      </c>
      <c r="ADO7" s="17">
        <f t="shared" si="1274"/>
        <v>0</v>
      </c>
      <c r="ADP7" s="17">
        <f t="shared" si="1274"/>
        <v>0</v>
      </c>
      <c r="ADQ7" s="17">
        <f t="shared" si="1274"/>
        <v>0</v>
      </c>
      <c r="ADR7" s="17">
        <f t="shared" si="1274"/>
        <v>0</v>
      </c>
      <c r="ADS7" s="17">
        <f t="shared" si="1274"/>
        <v>0</v>
      </c>
      <c r="ADT7" s="17">
        <f t="shared" si="1274"/>
        <v>0</v>
      </c>
      <c r="ADU7" s="17">
        <f t="shared" si="1274"/>
        <v>0</v>
      </c>
      <c r="ADV7" s="17">
        <f t="shared" si="1274"/>
        <v>0</v>
      </c>
      <c r="ADW7" s="17">
        <f t="shared" si="1274"/>
        <v>0</v>
      </c>
      <c r="ADX7" s="17">
        <f t="shared" si="1274"/>
        <v>0</v>
      </c>
      <c r="ADY7" s="17">
        <f t="shared" ref="ADY7:AEN13" si="1275">(ADY$5=$R7)*$AA7*$D7</f>
        <v>0</v>
      </c>
      <c r="ADZ7" s="17">
        <f t="shared" si="1275"/>
        <v>0</v>
      </c>
      <c r="AEA7" s="17">
        <f t="shared" si="1275"/>
        <v>0</v>
      </c>
      <c r="AEB7" s="17">
        <f t="shared" si="1275"/>
        <v>0</v>
      </c>
      <c r="AEC7" s="17">
        <f t="shared" si="1275"/>
        <v>170598.48778801737</v>
      </c>
      <c r="AED7" s="17">
        <f t="shared" si="1275"/>
        <v>0</v>
      </c>
      <c r="AEE7" s="17">
        <f t="shared" si="1275"/>
        <v>0</v>
      </c>
      <c r="AEF7" s="17">
        <f t="shared" si="1275"/>
        <v>0</v>
      </c>
      <c r="AEG7" s="17">
        <f t="shared" si="1275"/>
        <v>0</v>
      </c>
      <c r="AEH7" s="17">
        <f t="shared" si="1275"/>
        <v>0</v>
      </c>
      <c r="AEI7" s="17">
        <f t="shared" si="1275"/>
        <v>0</v>
      </c>
      <c r="AEJ7" s="17">
        <f t="shared" si="1275"/>
        <v>0</v>
      </c>
      <c r="AEK7" s="17">
        <f t="shared" si="1275"/>
        <v>0</v>
      </c>
      <c r="AEL7" s="17">
        <f t="shared" si="1275"/>
        <v>0</v>
      </c>
      <c r="AEM7" s="17">
        <f t="shared" si="1275"/>
        <v>0</v>
      </c>
      <c r="AEN7" s="17">
        <f t="shared" si="1275"/>
        <v>0</v>
      </c>
      <c r="AEO7" s="17">
        <f t="shared" ref="AEO7:AFD13" si="1276">(AEO$5=$R7)*$AA7*$D7</f>
        <v>0</v>
      </c>
      <c r="AEP7" s="17">
        <f t="shared" si="1276"/>
        <v>0</v>
      </c>
      <c r="AEQ7" s="17">
        <f t="shared" si="1276"/>
        <v>0</v>
      </c>
      <c r="AER7" s="17">
        <f t="shared" si="1276"/>
        <v>0</v>
      </c>
      <c r="AES7" s="17">
        <f t="shared" si="1276"/>
        <v>0</v>
      </c>
      <c r="AET7" s="17">
        <f t="shared" si="1276"/>
        <v>0</v>
      </c>
      <c r="AEU7" s="17">
        <f t="shared" si="1276"/>
        <v>0</v>
      </c>
      <c r="AEV7" s="17">
        <f t="shared" si="1276"/>
        <v>0</v>
      </c>
      <c r="AEW7" s="17">
        <f t="shared" si="1276"/>
        <v>0</v>
      </c>
      <c r="AEX7" s="17">
        <f t="shared" si="1276"/>
        <v>0</v>
      </c>
      <c r="AEY7" s="17">
        <f t="shared" si="1276"/>
        <v>0</v>
      </c>
      <c r="AEZ7" s="17">
        <f t="shared" si="1276"/>
        <v>0</v>
      </c>
      <c r="AFA7" s="17">
        <f t="shared" si="1276"/>
        <v>0</v>
      </c>
      <c r="AFB7" s="17">
        <f t="shared" si="1276"/>
        <v>0</v>
      </c>
      <c r="AFC7" s="17">
        <f t="shared" si="1276"/>
        <v>0</v>
      </c>
      <c r="AFD7" s="17">
        <f t="shared" si="1276"/>
        <v>0</v>
      </c>
      <c r="AFE7" s="17">
        <f t="shared" ref="AFE7:AFG13" si="1277">(AFE$5=$R7)*$AA7*$D7</f>
        <v>0</v>
      </c>
      <c r="AFF7" s="17">
        <f t="shared" si="1277"/>
        <v>0</v>
      </c>
      <c r="AFG7" s="17">
        <f t="shared" si="1277"/>
        <v>0</v>
      </c>
      <c r="AFH7" s="17"/>
      <c r="AFI7" s="17"/>
      <c r="AFJ7" s="17">
        <f>(AJ7&gt;0)*'Long-Term Leases'!K$17*$L7*$K7</f>
        <v>11267.238225796626</v>
      </c>
      <c r="AFK7" s="17">
        <f>(AK7&gt;0)*'Long-Term Leases'!L$17*$L7*$K7</f>
        <v>11267.238225796626</v>
      </c>
      <c r="AFL7" s="17">
        <f>(AL7&gt;0)*'Long-Term Leases'!M$17*$L7*$K7</f>
        <v>11267.238225796626</v>
      </c>
      <c r="AFM7" s="17">
        <f>(AM7&gt;0)*'Long-Term Leases'!N$17*$L7*$K7</f>
        <v>11267.238225796626</v>
      </c>
      <c r="AFN7" s="17">
        <f>(AN7&gt;0)*'Long-Term Leases'!O$17*$L7*$K7</f>
        <v>11267.238225796626</v>
      </c>
      <c r="AFO7" s="17">
        <f>(AO7&gt;0)*'Long-Term Leases'!P$17*$L7*$K7</f>
        <v>11267.238225796626</v>
      </c>
      <c r="AFP7" s="17">
        <f>(AP7&gt;0)*'Long-Term Leases'!Q$17*$L7*$K7</f>
        <v>11267.238225796626</v>
      </c>
      <c r="AFQ7" s="17">
        <f>(AQ7&gt;0)*'Long-Term Leases'!R$17*$L7*$K7</f>
        <v>11267.238225796626</v>
      </c>
      <c r="AFR7" s="17">
        <f>(AR7&gt;0)*'Long-Term Leases'!S$17*$L7*$K7</f>
        <v>11267.238225796626</v>
      </c>
      <c r="AFS7" s="17">
        <f>(AS7&gt;0)*'Long-Term Leases'!T$17*$L7*$K7</f>
        <v>11267.238225796626</v>
      </c>
      <c r="AFT7" s="17">
        <f>(AT7&gt;0)*'Long-Term Leases'!U$17*$L7*$K7</f>
        <v>11267.238225796626</v>
      </c>
      <c r="AFU7" s="17">
        <f>(AU7&gt;0)*'Long-Term Leases'!V$17*$L7*$K7</f>
        <v>11267.238225796626</v>
      </c>
      <c r="AFV7" s="17">
        <f>(AV7&gt;0)*'Long-Term Leases'!W$17*$L7*$K7</f>
        <v>11492.582990312558</v>
      </c>
      <c r="AFW7" s="17">
        <f>(AW7&gt;0)*'Long-Term Leases'!X$17*$L7*$K7</f>
        <v>11492.582990312558</v>
      </c>
      <c r="AFX7" s="17">
        <f>(AX7&gt;0)*'Long-Term Leases'!Y$17*$L7*$K7</f>
        <v>11492.582990312558</v>
      </c>
      <c r="AFY7" s="17">
        <f>(AY7&gt;0)*'Long-Term Leases'!Z$17*$L7*$K7</f>
        <v>11492.582990312558</v>
      </c>
      <c r="AFZ7" s="17">
        <f>(AZ7&gt;0)*'Long-Term Leases'!AA$17*$L7*$K7</f>
        <v>11492.582990312558</v>
      </c>
      <c r="AGA7" s="17">
        <f>(BA7&gt;0)*'Long-Term Leases'!AB$17*$L7*$K7</f>
        <v>11492.582990312558</v>
      </c>
      <c r="AGB7" s="17">
        <f>(BB7&gt;0)*'Long-Term Leases'!AC$17*$L7*$K7</f>
        <v>11492.582990312558</v>
      </c>
      <c r="AGC7" s="17">
        <f>(BC7&gt;0)*'Long-Term Leases'!AD$17*$L7*$K7</f>
        <v>11492.582990312558</v>
      </c>
      <c r="AGD7" s="17">
        <f>(BD7&gt;0)*'Long-Term Leases'!AE$17*$L7*$K7</f>
        <v>11492.582990312558</v>
      </c>
      <c r="AGE7" s="17">
        <f>(BE7&gt;0)*'Long-Term Leases'!AF$17*$L7*$K7</f>
        <v>11492.582990312558</v>
      </c>
      <c r="AGF7" s="17">
        <f>(BF7&gt;0)*'Long-Term Leases'!AG$17*$L7*$K7</f>
        <v>11492.582990312558</v>
      </c>
      <c r="AGG7" s="17">
        <f>(BG7&gt;0)*'Long-Term Leases'!AH$17*$L7*$K7</f>
        <v>11492.582990312558</v>
      </c>
      <c r="AGH7" s="17">
        <f>(BH7&gt;0)*'Long-Term Leases'!AI$17*$L7*$K7</f>
        <v>11722.434650118808</v>
      </c>
      <c r="AGI7" s="17">
        <f>(BI7&gt;0)*'Long-Term Leases'!AJ$17*$L7*$K7</f>
        <v>11722.434650118808</v>
      </c>
      <c r="AGJ7" s="17">
        <f>(BJ7&gt;0)*'Long-Term Leases'!AK$17*$L7*$K7</f>
        <v>11722.434650118808</v>
      </c>
      <c r="AGK7" s="17">
        <f>(BK7&gt;0)*'Long-Term Leases'!AL$17*$L7*$K7</f>
        <v>11722.434650118808</v>
      </c>
      <c r="AGL7" s="17">
        <f>(BL7&gt;0)*'Long-Term Leases'!AM$17*$L7*$K7</f>
        <v>11722.434650118808</v>
      </c>
      <c r="AGM7" s="17">
        <f>(BM7&gt;0)*'Long-Term Leases'!AN$17*$L7*$K7</f>
        <v>11722.434650118808</v>
      </c>
      <c r="AGN7" s="17">
        <f>(BN7&gt;0)*'Long-Term Leases'!AO$17*$L7*$K7</f>
        <v>11722.434650118808</v>
      </c>
      <c r="AGO7" s="17">
        <f>(BO7&gt;0)*'Long-Term Leases'!AP$17*$L7*$K7</f>
        <v>11722.434650118808</v>
      </c>
      <c r="AGP7" s="17">
        <f>(BP7&gt;0)*'Long-Term Leases'!AQ$17*$L7*$K7</f>
        <v>11722.434650118808</v>
      </c>
      <c r="AGQ7" s="17">
        <f>(BQ7&gt;0)*'Long-Term Leases'!AR$17*$L7*$K7</f>
        <v>11722.434650118808</v>
      </c>
      <c r="AGR7" s="17">
        <f>(BR7&gt;0)*'Long-Term Leases'!AS$17*$L7*$K7</f>
        <v>11722.434650118808</v>
      </c>
      <c r="AGS7" s="17">
        <f>(BS7&gt;0)*'Long-Term Leases'!AT$17*$L7*$K7</f>
        <v>11722.434650118808</v>
      </c>
      <c r="AGT7" s="17">
        <f>(BT7&gt;0)*'Long-Term Leases'!AU$17*$L7*$K7</f>
        <v>11956.883343121184</v>
      </c>
      <c r="AGU7" s="17">
        <f>(BU7&gt;0)*'Long-Term Leases'!AV$17*$L7*$K7</f>
        <v>11956.883343121184</v>
      </c>
      <c r="AGV7" s="17">
        <f>(BV7&gt;0)*'Long-Term Leases'!AW$17*$L7*$K7</f>
        <v>11956.883343121184</v>
      </c>
      <c r="AGW7" s="17">
        <f>(BW7&gt;0)*'Long-Term Leases'!AX$17*$L7*$K7</f>
        <v>11956.883343121184</v>
      </c>
      <c r="AGX7" s="17">
        <f>(BX7&gt;0)*'Long-Term Leases'!AY$17*$L7*$K7</f>
        <v>11956.883343121184</v>
      </c>
      <c r="AGY7" s="17">
        <f>(BY7&gt;0)*'Long-Term Leases'!AZ$17*$L7*$K7</f>
        <v>11956.883343121184</v>
      </c>
      <c r="AGZ7" s="17">
        <f>(BZ7&gt;0)*'Long-Term Leases'!BA$17*$L7*$K7</f>
        <v>11956.883343121184</v>
      </c>
      <c r="AHA7" s="17">
        <f>(CA7&gt;0)*'Long-Term Leases'!BB$17*$L7*$K7</f>
        <v>11956.883343121184</v>
      </c>
      <c r="AHB7" s="17">
        <f>(CB7&gt;0)*'Long-Term Leases'!BC$17*$L7*$K7</f>
        <v>11956.883343121184</v>
      </c>
      <c r="AHC7" s="17">
        <f>(CC7&gt;0)*'Long-Term Leases'!BD$17*$L7*$K7</f>
        <v>11956.883343121184</v>
      </c>
      <c r="AHD7" s="17">
        <f>(CD7&gt;0)*'Long-Term Leases'!BE$17*$L7*$K7</f>
        <v>11956.883343121184</v>
      </c>
      <c r="AHE7" s="17">
        <f>(CE7&gt;0)*'Long-Term Leases'!BF$17*$L7*$K7</f>
        <v>11956.883343121184</v>
      </c>
      <c r="AHF7" s="17">
        <f>(CF7&gt;0)*'Long-Term Leases'!BG$17*$L7*$K7</f>
        <v>12196.021009983609</v>
      </c>
      <c r="AHG7" s="17">
        <f>(CG7&gt;0)*'Long-Term Leases'!BH$17*$L7*$K7</f>
        <v>12196.021009983609</v>
      </c>
      <c r="AHH7" s="17">
        <f>(CH7&gt;0)*'Long-Term Leases'!BI$17*$L7*$K7</f>
        <v>12196.021009983609</v>
      </c>
      <c r="AHI7" s="17">
        <f>(CI7&gt;0)*'Long-Term Leases'!BJ$17*$L7*$K7</f>
        <v>12196.021009983609</v>
      </c>
      <c r="AHJ7" s="17">
        <f>(CJ7&gt;0)*'Long-Term Leases'!BK$17*$L7*$K7</f>
        <v>12196.021009983609</v>
      </c>
      <c r="AHK7" s="17">
        <f>(CK7&gt;0)*'Long-Term Leases'!BL$17*$L7*$K7</f>
        <v>12196.021009983609</v>
      </c>
      <c r="AHL7" s="17">
        <f>(CL7&gt;0)*'Long-Term Leases'!BM$17*$L7*$K7</f>
        <v>12196.021009983609</v>
      </c>
      <c r="AHM7" s="17">
        <f>(CM7&gt;0)*'Long-Term Leases'!BN$17*$L7*$K7</f>
        <v>12196.021009983609</v>
      </c>
      <c r="AHN7" s="17">
        <f>(CN7&gt;0)*'Long-Term Leases'!BO$17*$L7*$K7</f>
        <v>12196.021009983609</v>
      </c>
      <c r="AHO7" s="17">
        <f>(CO7&gt;0)*'Long-Term Leases'!BP$17*$L7*$K7</f>
        <v>12196.021009983609</v>
      </c>
      <c r="AHP7" s="17">
        <f>(CP7&gt;0)*'Long-Term Leases'!BQ$17*$L7*$K7</f>
        <v>12196.021009983609</v>
      </c>
      <c r="AHQ7" s="17">
        <f>(CQ7&gt;0)*'Long-Term Leases'!BR$17*$L7*$K7</f>
        <v>12196.021009983609</v>
      </c>
      <c r="AHR7" s="17">
        <f>(CR7&gt;0)*'Long-Term Leases'!BS$17*$L7*$K7</f>
        <v>12439.94143018328</v>
      </c>
      <c r="AHS7" s="17">
        <f>(CS7&gt;0)*'Long-Term Leases'!BT$17*$L7*$K7</f>
        <v>12439.94143018328</v>
      </c>
      <c r="AHT7" s="17">
        <f>(CT7&gt;0)*'Long-Term Leases'!BU$17*$L7*$K7</f>
        <v>12439.94143018328</v>
      </c>
      <c r="AHU7" s="17">
        <f>(CU7&gt;0)*'Long-Term Leases'!BV$17*$L7*$K7</f>
        <v>12439.94143018328</v>
      </c>
      <c r="AHV7" s="17">
        <f>(CV7&gt;0)*'Long-Term Leases'!BW$17*$L7*$K7</f>
        <v>12439.94143018328</v>
      </c>
      <c r="AHW7" s="17">
        <f>(CW7&gt;0)*'Long-Term Leases'!BX$17*$L7*$K7</f>
        <v>12439.94143018328</v>
      </c>
      <c r="AHX7" s="17">
        <f>(CX7&gt;0)*'Long-Term Leases'!BY$17*$L7*$K7</f>
        <v>12439.94143018328</v>
      </c>
      <c r="AHY7" s="17">
        <f>(CY7&gt;0)*'Long-Term Leases'!BZ$17*$L7*$K7</f>
        <v>12439.94143018328</v>
      </c>
      <c r="AHZ7" s="17">
        <f>(CZ7&gt;0)*'Long-Term Leases'!CA$17*$L7*$K7</f>
        <v>12439.94143018328</v>
      </c>
      <c r="AIA7" s="17">
        <f>(DA7&gt;0)*'Long-Term Leases'!CB$17*$L7*$K7</f>
        <v>12439.94143018328</v>
      </c>
      <c r="AIB7" s="17">
        <f>(DB7&gt;0)*'Long-Term Leases'!CC$17*$L7*$K7</f>
        <v>12439.94143018328</v>
      </c>
      <c r="AIC7" s="17">
        <f>(DC7&gt;0)*'Long-Term Leases'!CD$17*$L7*$K7</f>
        <v>12439.94143018328</v>
      </c>
      <c r="AID7" s="17">
        <f>(DD7&gt;0)*'Long-Term Leases'!CE$17*$L7*$K7</f>
        <v>12688.740258786946</v>
      </c>
      <c r="AIE7" s="17">
        <f>(DE7&gt;0)*'Long-Term Leases'!CF$17*$L7*$K7</f>
        <v>12688.740258786946</v>
      </c>
      <c r="AIF7" s="17">
        <f>(DF7&gt;0)*'Long-Term Leases'!CG$17*$L7*$K7</f>
        <v>12688.740258786946</v>
      </c>
      <c r="AIG7" s="17">
        <f>(DG7&gt;0)*'Long-Term Leases'!CH$17*$L7*$K7</f>
        <v>12688.740258786946</v>
      </c>
      <c r="AIH7" s="17">
        <f>(DH7&gt;0)*'Long-Term Leases'!CI$17*$L7*$K7</f>
        <v>12688.740258786946</v>
      </c>
      <c r="AII7" s="17">
        <f>(DI7&gt;0)*'Long-Term Leases'!CJ$17*$L7*$K7</f>
        <v>12688.740258786946</v>
      </c>
      <c r="AIJ7" s="17">
        <f>(DJ7&gt;0)*'Long-Term Leases'!CK$17*$L7*$K7</f>
        <v>12688.740258786946</v>
      </c>
      <c r="AIK7" s="17">
        <f>(DK7&gt;0)*'Long-Term Leases'!CL$17*$L7*$K7</f>
        <v>12688.740258786946</v>
      </c>
      <c r="AIL7" s="17">
        <f>(DL7&gt;0)*'Long-Term Leases'!CM$17*$L7*$K7</f>
        <v>12688.740258786946</v>
      </c>
      <c r="AIM7" s="17">
        <f>(DM7&gt;0)*'Long-Term Leases'!CN$17*$L7*$K7</f>
        <v>12688.740258786946</v>
      </c>
      <c r="AIN7" s="17">
        <f>(DN7&gt;0)*'Long-Term Leases'!CO$17*$L7*$K7</f>
        <v>12688.740258786946</v>
      </c>
      <c r="AIO7" s="17">
        <f>(DO7&gt;0)*'Long-Term Leases'!CP$17*$L7*$K7</f>
        <v>12688.740258786946</v>
      </c>
      <c r="AIP7" s="17">
        <f>(DP7&gt;0)*'Long-Term Leases'!CQ$17*$L7*$K7</f>
        <v>12942.515063962685</v>
      </c>
      <c r="AIQ7" s="17">
        <f>(DQ7&gt;0)*'Long-Term Leases'!CR$17*$L7*$K7</f>
        <v>12942.515063962685</v>
      </c>
      <c r="AIR7" s="17">
        <f>(DR7&gt;0)*'Long-Term Leases'!CS$17*$L7*$K7</f>
        <v>12942.515063962685</v>
      </c>
      <c r="AIS7" s="17">
        <f>(DS7&gt;0)*'Long-Term Leases'!CT$17*$L7*$K7</f>
        <v>12942.515063962685</v>
      </c>
      <c r="AIT7" s="17">
        <f>(DT7&gt;0)*'Long-Term Leases'!CU$17*$L7*$K7</f>
        <v>12942.515063962685</v>
      </c>
      <c r="AIU7" s="17">
        <f>(DU7&gt;0)*'Long-Term Leases'!CV$17*$L7*$K7</f>
        <v>12942.515063962685</v>
      </c>
      <c r="AIV7" s="17">
        <f>(DV7&gt;0)*'Long-Term Leases'!CW$17*$L7*$K7</f>
        <v>12942.515063962685</v>
      </c>
      <c r="AIW7" s="17">
        <f>(DW7&gt;0)*'Long-Term Leases'!CX$17*$L7*$K7</f>
        <v>12942.515063962685</v>
      </c>
      <c r="AIX7" s="17">
        <f>(DX7&gt;0)*'Long-Term Leases'!CY$17*$L7*$K7</f>
        <v>12942.515063962685</v>
      </c>
      <c r="AIY7" s="17">
        <f>(DY7&gt;0)*'Long-Term Leases'!CZ$17*$L7*$K7</f>
        <v>12942.515063962685</v>
      </c>
      <c r="AIZ7" s="17">
        <f>(DZ7&gt;0)*'Long-Term Leases'!DA$17*$L7*$K7</f>
        <v>12942.515063962685</v>
      </c>
      <c r="AJA7" s="17">
        <f>(EA7&gt;0)*'Long-Term Leases'!DB$17*$L7*$K7</f>
        <v>12942.515063962685</v>
      </c>
      <c r="AJB7" s="17">
        <f>(EB7&gt;0)*'Long-Term Leases'!DC$17*$L7*$K7</f>
        <v>13201.365365241938</v>
      </c>
      <c r="AJC7" s="17">
        <f>(EC7&gt;0)*'Long-Term Leases'!DD$17*$L7*$K7</f>
        <v>13201.365365241938</v>
      </c>
      <c r="AJD7" s="17">
        <f>(ED7&gt;0)*'Long-Term Leases'!DE$17*$L7*$K7</f>
        <v>0</v>
      </c>
      <c r="AJE7" s="17">
        <f>(EE7&gt;0)*'Long-Term Leases'!DF$17*$L7*$K7</f>
        <v>0</v>
      </c>
      <c r="AJF7" s="17">
        <f>(EF7&gt;0)*'Long-Term Leases'!DG$17*$L7*$K7</f>
        <v>0</v>
      </c>
      <c r="AJG7" s="17">
        <f>(EG7&gt;0)*'Long-Term Leases'!DH$17*$L7*$K7</f>
        <v>0</v>
      </c>
      <c r="AJH7" s="17">
        <f>(EH7&gt;0)*'Long-Term Leases'!DI$17*$L7*$K7</f>
        <v>0</v>
      </c>
      <c r="AJI7" s="17">
        <f>(EI7&gt;0)*'Long-Term Leases'!DJ$17*$L7*$K7</f>
        <v>0</v>
      </c>
      <c r="AJJ7" s="17">
        <f>(EJ7&gt;0)*'Long-Term Leases'!DK$17*$L7*$K7</f>
        <v>0</v>
      </c>
      <c r="AJK7" s="17">
        <f>(EK7&gt;0)*'Long-Term Leases'!DL$17*$L7*$K7</f>
        <v>0</v>
      </c>
      <c r="AJL7" s="17">
        <f>(EL7&gt;0)*'Long-Term Leases'!DM$17*$L7*$K7</f>
        <v>0</v>
      </c>
      <c r="AJM7" s="17">
        <f>(EM7&gt;0)*'Long-Term Leases'!DN$17*$L7*$K7</f>
        <v>0</v>
      </c>
      <c r="AJN7" s="17">
        <f>(EN7&gt;0)*'Long-Term Leases'!DO$17*$L7*$K7</f>
        <v>0</v>
      </c>
      <c r="AJO7" s="17">
        <f>(EO7&gt;0)*'Long-Term Leases'!DP$17*$L7*$K7</f>
        <v>0</v>
      </c>
      <c r="AJP7" s="17">
        <f>(EP7&gt;0)*'Long-Term Leases'!DQ$17*$L7*$K7</f>
        <v>0</v>
      </c>
      <c r="AJQ7" s="17">
        <f>(EQ7&gt;0)*'Long-Term Leases'!DR$17*$L7*$K7</f>
        <v>0</v>
      </c>
      <c r="AJR7" s="17">
        <f>(ER7&gt;0)*'Long-Term Leases'!DS$17*$L7*$K7</f>
        <v>0</v>
      </c>
      <c r="AJS7" s="17">
        <f>(ES7&gt;0)*'Long-Term Leases'!DT$17*$L7*$K7</f>
        <v>0</v>
      </c>
      <c r="AJT7" s="17">
        <f>(ET7&gt;0)*'Long-Term Leases'!DU$17*$L7*$K7</f>
        <v>0</v>
      </c>
      <c r="AJU7" s="17">
        <f>(EU7&gt;0)*'Long-Term Leases'!DV$17*$L7*$K7</f>
        <v>0</v>
      </c>
      <c r="AJV7" s="17">
        <f>(EV7&gt;0)*'Long-Term Leases'!DW$17*$L7*$K7</f>
        <v>0</v>
      </c>
      <c r="AJW7" s="17">
        <f>(EW7&gt;0)*'Long-Term Leases'!DX$17*$L7*$K7</f>
        <v>0</v>
      </c>
      <c r="AJX7" s="17">
        <f>(EX7&gt;0)*'Long-Term Leases'!DY$17*$L7*$K7</f>
        <v>0</v>
      </c>
      <c r="AJY7" s="17">
        <f>(EY7&gt;0)*'Long-Term Leases'!DZ$17*$L7*$K7</f>
        <v>0</v>
      </c>
      <c r="AJZ7" s="17">
        <f>(EZ7&gt;0)*'Long-Term Leases'!EA$17*$L7*$K7</f>
        <v>0</v>
      </c>
      <c r="AKA7" s="17">
        <f>(FA7&gt;0)*'Long-Term Leases'!EB$17*$L7*$K7</f>
        <v>0</v>
      </c>
      <c r="AKB7" s="17">
        <f>(FB7&gt;0)*'Long-Term Leases'!EC$17*$L7*$K7</f>
        <v>0</v>
      </c>
      <c r="AKC7" s="17">
        <f>(FC7&gt;0)*'Long-Term Leases'!ED$17*$L7*$K7</f>
        <v>0</v>
      </c>
      <c r="AKD7" s="17">
        <f>(FD7&gt;0)*'Long-Term Leases'!EE$17*$L7*$K7</f>
        <v>0</v>
      </c>
      <c r="AKE7" s="17">
        <f>(FE7&gt;0)*'Long-Term Leases'!EF$17*$L7*$K7</f>
        <v>0</v>
      </c>
      <c r="AKF7" s="17">
        <f>(FF7&gt;0)*'Long-Term Leases'!EG$17*$L7*$K7</f>
        <v>0</v>
      </c>
      <c r="AKG7" s="17">
        <f>(FG7&gt;0)*'Long-Term Leases'!EH$17*$L7*$K7</f>
        <v>0</v>
      </c>
      <c r="AKH7" s="17">
        <f>(FH7&gt;0)*'Long-Term Leases'!EI$17*$L7*$K7</f>
        <v>0</v>
      </c>
      <c r="AKI7" s="17">
        <f>(FI7&gt;0)*'Long-Term Leases'!EJ$17*$L7*$K7</f>
        <v>0</v>
      </c>
      <c r="AKJ7" s="17">
        <f>(FJ7&gt;0)*'Long-Term Leases'!EK$17*$L7*$K7</f>
        <v>0</v>
      </c>
      <c r="AKK7" s="17">
        <f>(FK7&gt;0)*'Long-Term Leases'!EL$17*$L7*$K7</f>
        <v>0</v>
      </c>
      <c r="AKL7" s="17"/>
      <c r="AKM7" s="17"/>
      <c r="AKN7" s="17">
        <f>(FN7&gt;0)*'Long-Term Leases'!K$17*$X7*$W7</f>
        <v>0</v>
      </c>
      <c r="AKO7" s="17">
        <f>(FO7&gt;0)*'Long-Term Leases'!L$17*$X7*$W7</f>
        <v>0</v>
      </c>
      <c r="AKP7" s="17">
        <f>(FP7&gt;0)*'Long-Term Leases'!M$17*$X7*$W7</f>
        <v>0</v>
      </c>
      <c r="AKQ7" s="17">
        <f>(FQ7&gt;0)*'Long-Term Leases'!N$17*$X7*$W7</f>
        <v>0</v>
      </c>
      <c r="AKR7" s="17">
        <f>(FR7&gt;0)*'Long-Term Leases'!O$17*$X7*$W7</f>
        <v>0</v>
      </c>
      <c r="AKS7" s="17">
        <f>(FS7&gt;0)*'Long-Term Leases'!P$17*$X7*$W7</f>
        <v>0</v>
      </c>
      <c r="AKT7" s="17">
        <f>(FT7&gt;0)*'Long-Term Leases'!Q$17*$X7*$W7</f>
        <v>0</v>
      </c>
      <c r="AKU7" s="17">
        <f>(FU7&gt;0)*'Long-Term Leases'!R$17*$X7*$W7</f>
        <v>0</v>
      </c>
      <c r="AKV7" s="17">
        <f>(FV7&gt;0)*'Long-Term Leases'!S$17*$X7*$W7</f>
        <v>0</v>
      </c>
      <c r="AKW7" s="17">
        <f>(FW7&gt;0)*'Long-Term Leases'!T$17*$X7*$W7</f>
        <v>0</v>
      </c>
      <c r="AKX7" s="17">
        <f>(FX7&gt;0)*'Long-Term Leases'!U$17*$X7*$W7</f>
        <v>0</v>
      </c>
      <c r="AKY7" s="17">
        <f>(FY7&gt;0)*'Long-Term Leases'!V$17*$X7*$W7</f>
        <v>0</v>
      </c>
      <c r="AKZ7" s="17">
        <f>(FZ7&gt;0)*'Long-Term Leases'!W$17*$X7*$W7</f>
        <v>0</v>
      </c>
      <c r="ALA7" s="17">
        <f>(GA7&gt;0)*'Long-Term Leases'!X$17*$X7*$W7</f>
        <v>0</v>
      </c>
      <c r="ALB7" s="17">
        <f>(GB7&gt;0)*'Long-Term Leases'!Y$17*$X7*$W7</f>
        <v>0</v>
      </c>
      <c r="ALC7" s="17">
        <f>(GC7&gt;0)*'Long-Term Leases'!Z$17*$X7*$W7</f>
        <v>0</v>
      </c>
      <c r="ALD7" s="17">
        <f>(GD7&gt;0)*'Long-Term Leases'!AA$17*$X7*$W7</f>
        <v>0</v>
      </c>
      <c r="ALE7" s="17">
        <f>(GE7&gt;0)*'Long-Term Leases'!AB$17*$X7*$W7</f>
        <v>0</v>
      </c>
      <c r="ALF7" s="17">
        <f>(GF7&gt;0)*'Long-Term Leases'!AC$17*$X7*$W7</f>
        <v>0</v>
      </c>
      <c r="ALG7" s="17">
        <f>(GG7&gt;0)*'Long-Term Leases'!AD$17*$X7*$W7</f>
        <v>0</v>
      </c>
      <c r="ALH7" s="17">
        <f>(GH7&gt;0)*'Long-Term Leases'!AE$17*$X7*$W7</f>
        <v>0</v>
      </c>
      <c r="ALI7" s="17">
        <f>(GI7&gt;0)*'Long-Term Leases'!AF$17*$X7*$W7</f>
        <v>0</v>
      </c>
      <c r="ALJ7" s="17">
        <f>(GJ7&gt;0)*'Long-Term Leases'!AG$17*$X7*$W7</f>
        <v>0</v>
      </c>
      <c r="ALK7" s="17">
        <f>(GK7&gt;0)*'Long-Term Leases'!AH$17*$X7*$W7</f>
        <v>0</v>
      </c>
      <c r="ALL7" s="17">
        <f>(GL7&gt;0)*'Long-Term Leases'!AI$17*$X7*$W7</f>
        <v>0</v>
      </c>
      <c r="ALM7" s="17">
        <f>(GM7&gt;0)*'Long-Term Leases'!AJ$17*$X7*$W7</f>
        <v>0</v>
      </c>
      <c r="ALN7" s="17">
        <f>(GN7&gt;0)*'Long-Term Leases'!AK$17*$X7*$W7</f>
        <v>0</v>
      </c>
      <c r="ALO7" s="17">
        <f>(GO7&gt;0)*'Long-Term Leases'!AL$17*$X7*$W7</f>
        <v>0</v>
      </c>
      <c r="ALP7" s="17">
        <f>(GP7&gt;0)*'Long-Term Leases'!AM$17*$X7*$W7</f>
        <v>0</v>
      </c>
      <c r="ALQ7" s="17">
        <f>(GQ7&gt;0)*'Long-Term Leases'!AN$17*$X7*$W7</f>
        <v>0</v>
      </c>
      <c r="ALR7" s="17">
        <f>(GR7&gt;0)*'Long-Term Leases'!AO$17*$X7*$W7</f>
        <v>0</v>
      </c>
      <c r="ALS7" s="17">
        <f>(GS7&gt;0)*'Long-Term Leases'!AP$17*$X7*$W7</f>
        <v>0</v>
      </c>
      <c r="ALT7" s="17">
        <f>(GT7&gt;0)*'Long-Term Leases'!AQ$17*$X7*$W7</f>
        <v>0</v>
      </c>
      <c r="ALU7" s="17">
        <f>(GU7&gt;0)*'Long-Term Leases'!AR$17*$X7*$W7</f>
        <v>0</v>
      </c>
      <c r="ALV7" s="17">
        <f>(GV7&gt;0)*'Long-Term Leases'!AS$17*$X7*$W7</f>
        <v>0</v>
      </c>
      <c r="ALW7" s="17">
        <f>(GW7&gt;0)*'Long-Term Leases'!AT$17*$X7*$W7</f>
        <v>0</v>
      </c>
      <c r="ALX7" s="17">
        <f>(GX7&gt;0)*'Long-Term Leases'!AU$17*$X7*$W7</f>
        <v>0</v>
      </c>
      <c r="ALY7" s="17">
        <f>(GY7&gt;0)*'Long-Term Leases'!AV$17*$X7*$W7</f>
        <v>0</v>
      </c>
      <c r="ALZ7" s="17">
        <f>(GZ7&gt;0)*'Long-Term Leases'!AW$17*$X7*$W7</f>
        <v>0</v>
      </c>
      <c r="AMA7" s="17">
        <f>(HA7&gt;0)*'Long-Term Leases'!AX$17*$X7*$W7</f>
        <v>0</v>
      </c>
      <c r="AMB7" s="17">
        <f>(HB7&gt;0)*'Long-Term Leases'!AY$17*$X7*$W7</f>
        <v>0</v>
      </c>
      <c r="AMC7" s="17">
        <f>(HC7&gt;0)*'Long-Term Leases'!AZ$17*$X7*$W7</f>
        <v>0</v>
      </c>
      <c r="AMD7" s="17">
        <f>(HD7&gt;0)*'Long-Term Leases'!BA$17*$X7*$W7</f>
        <v>0</v>
      </c>
      <c r="AME7" s="17">
        <f>(HE7&gt;0)*'Long-Term Leases'!BB$17*$X7*$W7</f>
        <v>0</v>
      </c>
      <c r="AMF7" s="17">
        <f>(HF7&gt;0)*'Long-Term Leases'!BC$17*$X7*$W7</f>
        <v>0</v>
      </c>
      <c r="AMG7" s="17">
        <f>(HG7&gt;0)*'Long-Term Leases'!BD$17*$X7*$W7</f>
        <v>0</v>
      </c>
      <c r="AMH7" s="17">
        <f>(HH7&gt;0)*'Long-Term Leases'!BE$17*$X7*$W7</f>
        <v>0</v>
      </c>
      <c r="AMI7" s="17">
        <f>(HI7&gt;0)*'Long-Term Leases'!BF$17*$X7*$W7</f>
        <v>0</v>
      </c>
      <c r="AMJ7" s="17">
        <f>(HJ7&gt;0)*'Long-Term Leases'!BG$17*$X7*$W7</f>
        <v>0</v>
      </c>
      <c r="AMK7" s="17">
        <f>(HK7&gt;0)*'Long-Term Leases'!BH$17*$X7*$W7</f>
        <v>0</v>
      </c>
      <c r="AML7" s="17">
        <f>(HL7&gt;0)*'Long-Term Leases'!BI$17*$X7*$W7</f>
        <v>0</v>
      </c>
      <c r="AMM7" s="17">
        <f>(HM7&gt;0)*'Long-Term Leases'!BJ$17*$X7*$W7</f>
        <v>0</v>
      </c>
      <c r="AMN7" s="17">
        <f>(HN7&gt;0)*'Long-Term Leases'!BK$17*$X7*$W7</f>
        <v>0</v>
      </c>
      <c r="AMO7" s="17">
        <f>(HO7&gt;0)*'Long-Term Leases'!BL$17*$X7*$W7</f>
        <v>0</v>
      </c>
      <c r="AMP7" s="17">
        <f>(HP7&gt;0)*'Long-Term Leases'!BM$17*$X7*$W7</f>
        <v>0</v>
      </c>
      <c r="AMQ7" s="17">
        <f>(HQ7&gt;0)*'Long-Term Leases'!BN$17*$X7*$W7</f>
        <v>0</v>
      </c>
      <c r="AMR7" s="17">
        <f>(HR7&gt;0)*'Long-Term Leases'!BO$17*$X7*$W7</f>
        <v>0</v>
      </c>
      <c r="AMS7" s="17">
        <f>(HS7&gt;0)*'Long-Term Leases'!BP$17*$X7*$W7</f>
        <v>0</v>
      </c>
      <c r="AMT7" s="17">
        <f>(HT7&gt;0)*'Long-Term Leases'!BQ$17*$X7*$W7</f>
        <v>0</v>
      </c>
      <c r="AMU7" s="17">
        <f>(HU7&gt;0)*'Long-Term Leases'!BR$17*$X7*$W7</f>
        <v>0</v>
      </c>
      <c r="AMV7" s="17">
        <f>(HV7&gt;0)*'Long-Term Leases'!BS$17*$X7*$W7</f>
        <v>0</v>
      </c>
      <c r="AMW7" s="17">
        <f>(HW7&gt;0)*'Long-Term Leases'!BT$17*$X7*$W7</f>
        <v>0</v>
      </c>
      <c r="AMX7" s="17">
        <f>(HX7&gt;0)*'Long-Term Leases'!BU$17*$X7*$W7</f>
        <v>0</v>
      </c>
      <c r="AMY7" s="17">
        <f>(HY7&gt;0)*'Long-Term Leases'!BV$17*$X7*$W7</f>
        <v>0</v>
      </c>
      <c r="AMZ7" s="17">
        <f>(HZ7&gt;0)*'Long-Term Leases'!BW$17*$X7*$W7</f>
        <v>0</v>
      </c>
      <c r="ANA7" s="17">
        <f>(IA7&gt;0)*'Long-Term Leases'!BX$17*$X7*$W7</f>
        <v>0</v>
      </c>
      <c r="ANB7" s="17">
        <f>(IB7&gt;0)*'Long-Term Leases'!BY$17*$X7*$W7</f>
        <v>0</v>
      </c>
      <c r="ANC7" s="17">
        <f>(IC7&gt;0)*'Long-Term Leases'!BZ$17*$X7*$W7</f>
        <v>0</v>
      </c>
      <c r="AND7" s="17">
        <f>(ID7&gt;0)*'Long-Term Leases'!CA$17*$X7*$W7</f>
        <v>0</v>
      </c>
      <c r="ANE7" s="17">
        <f>(IE7&gt;0)*'Long-Term Leases'!CB$17*$X7*$W7</f>
        <v>0</v>
      </c>
      <c r="ANF7" s="17">
        <f>(IF7&gt;0)*'Long-Term Leases'!CC$17*$X7*$W7</f>
        <v>0</v>
      </c>
      <c r="ANG7" s="17">
        <f>(IG7&gt;0)*'Long-Term Leases'!CD$17*$X7*$W7</f>
        <v>0</v>
      </c>
      <c r="ANH7" s="17">
        <f>(IH7&gt;0)*'Long-Term Leases'!CE$17*$X7*$W7</f>
        <v>0</v>
      </c>
      <c r="ANI7" s="17">
        <f>(II7&gt;0)*'Long-Term Leases'!CF$17*$X7*$W7</f>
        <v>0</v>
      </c>
      <c r="ANJ7" s="17">
        <f>(IJ7&gt;0)*'Long-Term Leases'!CG$17*$X7*$W7</f>
        <v>0</v>
      </c>
      <c r="ANK7" s="17">
        <f>(IK7&gt;0)*'Long-Term Leases'!CH$17*$X7*$W7</f>
        <v>0</v>
      </c>
      <c r="ANL7" s="17">
        <f>(IL7&gt;0)*'Long-Term Leases'!CI$17*$X7*$W7</f>
        <v>0</v>
      </c>
      <c r="ANM7" s="17">
        <f>(IM7&gt;0)*'Long-Term Leases'!CJ$17*$X7*$W7</f>
        <v>0</v>
      </c>
      <c r="ANN7" s="17">
        <f>(IN7&gt;0)*'Long-Term Leases'!CK$17*$X7*$W7</f>
        <v>0</v>
      </c>
      <c r="ANO7" s="17">
        <f>(IO7&gt;0)*'Long-Term Leases'!CL$17*$X7*$W7</f>
        <v>0</v>
      </c>
      <c r="ANP7" s="17">
        <f>(IP7&gt;0)*'Long-Term Leases'!CM$17*$X7*$W7</f>
        <v>0</v>
      </c>
      <c r="ANQ7" s="17">
        <f>(IQ7&gt;0)*'Long-Term Leases'!CN$17*$X7*$W7</f>
        <v>0</v>
      </c>
      <c r="ANR7" s="17">
        <f>(IR7&gt;0)*'Long-Term Leases'!CO$17*$X7*$W7</f>
        <v>0</v>
      </c>
      <c r="ANS7" s="17">
        <f>(IS7&gt;0)*'Long-Term Leases'!CP$17*$X7*$W7</f>
        <v>0</v>
      </c>
      <c r="ANT7" s="17">
        <f>(IT7&gt;0)*'Long-Term Leases'!CQ$17*$X7*$W7</f>
        <v>0</v>
      </c>
      <c r="ANU7" s="17">
        <f>(IU7&gt;0)*'Long-Term Leases'!CR$17*$X7*$W7</f>
        <v>0</v>
      </c>
      <c r="ANV7" s="17">
        <f>(IV7&gt;0)*'Long-Term Leases'!CS$17*$X7*$W7</f>
        <v>0</v>
      </c>
      <c r="ANW7" s="17">
        <f>(IW7&gt;0)*'Long-Term Leases'!CT$17*$X7*$W7</f>
        <v>0</v>
      </c>
      <c r="ANX7" s="17">
        <f>(IX7&gt;0)*'Long-Term Leases'!CU$17*$X7*$W7</f>
        <v>0</v>
      </c>
      <c r="ANY7" s="17">
        <f>(IY7&gt;0)*'Long-Term Leases'!CV$17*$X7*$W7</f>
        <v>0</v>
      </c>
      <c r="ANZ7" s="17">
        <f>(IZ7&gt;0)*'Long-Term Leases'!CW$17*$X7*$W7</f>
        <v>0</v>
      </c>
      <c r="AOA7" s="17">
        <f>(JA7&gt;0)*'Long-Term Leases'!CX$17*$X7*$W7</f>
        <v>0</v>
      </c>
      <c r="AOB7" s="17">
        <f>(JB7&gt;0)*'Long-Term Leases'!CY$17*$X7*$W7</f>
        <v>0</v>
      </c>
      <c r="AOC7" s="17">
        <f>(JC7&gt;0)*'Long-Term Leases'!CZ$17*$X7*$W7</f>
        <v>0</v>
      </c>
      <c r="AOD7" s="17">
        <f>(JD7&gt;0)*'Long-Term Leases'!DA$17*$X7*$W7</f>
        <v>0</v>
      </c>
      <c r="AOE7" s="17">
        <f>(JE7&gt;0)*'Long-Term Leases'!DB$17*$X7*$W7</f>
        <v>0</v>
      </c>
      <c r="AOF7" s="17">
        <f>(JF7&gt;0)*'Long-Term Leases'!DC$17*$X7*$W7</f>
        <v>0</v>
      </c>
      <c r="AOG7" s="17">
        <f>(JG7&gt;0)*'Long-Term Leases'!DD$17*$X7*$W7</f>
        <v>0</v>
      </c>
      <c r="AOH7" s="17">
        <f>(JH7&gt;0)*'Long-Term Leases'!DE$17*$X7*$W7</f>
        <v>0</v>
      </c>
      <c r="AOI7" s="17">
        <f>(JI7&gt;0)*'Long-Term Leases'!DF$17*$X7*$W7</f>
        <v>0</v>
      </c>
      <c r="AOJ7" s="17">
        <f>(JJ7&gt;0)*'Long-Term Leases'!DG$17*$X7*$W7</f>
        <v>0</v>
      </c>
      <c r="AOK7" s="17">
        <f>(JK7&gt;0)*'Long-Term Leases'!DH$17*$X7*$W7</f>
        <v>13201.365365241938</v>
      </c>
      <c r="AOL7" s="17">
        <f>(JL7&gt;0)*'Long-Term Leases'!DI$17*$X7*$W7</f>
        <v>13201.365365241938</v>
      </c>
      <c r="AOM7" s="17">
        <f>(JM7&gt;0)*'Long-Term Leases'!DJ$17*$X7*$W7</f>
        <v>13201.365365241938</v>
      </c>
      <c r="AON7" s="17">
        <f>(JN7&gt;0)*'Long-Term Leases'!DK$17*$X7*$W7</f>
        <v>13201.365365241938</v>
      </c>
      <c r="AOO7" s="17">
        <f>(JO7&gt;0)*'Long-Term Leases'!DL$17*$X7*$W7</f>
        <v>13201.365365241938</v>
      </c>
      <c r="AOP7" s="17">
        <f>(JP7&gt;0)*'Long-Term Leases'!DM$17*$X7*$W7</f>
        <v>13201.365365241938</v>
      </c>
      <c r="AOQ7" s="17">
        <f>(JQ7&gt;0)*'Long-Term Leases'!DN$17*$X7*$W7</f>
        <v>13201.365365241938</v>
      </c>
      <c r="AOR7" s="17">
        <f>(JR7&gt;0)*'Long-Term Leases'!DO$17*$X7*$W7</f>
        <v>13465.392672546777</v>
      </c>
      <c r="AOS7" s="17">
        <f>(JS7&gt;0)*'Long-Term Leases'!DP$17*$X7*$W7</f>
        <v>13465.392672546777</v>
      </c>
      <c r="AOT7" s="17">
        <f>(JT7&gt;0)*'Long-Term Leases'!DQ$17*$X7*$W7</f>
        <v>13465.392672546777</v>
      </c>
      <c r="AOU7" s="17">
        <f>(JU7&gt;0)*'Long-Term Leases'!DR$17*$X7*$W7</f>
        <v>13465.392672546777</v>
      </c>
      <c r="AOV7" s="17">
        <f>(JV7&gt;0)*'Long-Term Leases'!DS$17*$X7*$W7</f>
        <v>13465.392672546777</v>
      </c>
      <c r="AOW7" s="17">
        <f>(JW7&gt;0)*'Long-Term Leases'!DT$17*$X7*$W7</f>
        <v>13465.392672546777</v>
      </c>
      <c r="AOX7" s="17">
        <f>(JX7&gt;0)*'Long-Term Leases'!DU$17*$X7*$W7</f>
        <v>13465.392672546777</v>
      </c>
      <c r="AOY7" s="17">
        <f>(JY7&gt;0)*'Long-Term Leases'!DV$17*$X7*$W7</f>
        <v>13465.392672546777</v>
      </c>
      <c r="AOZ7" s="17">
        <f>(JZ7&gt;0)*'Long-Term Leases'!DW$17*$X7*$W7</f>
        <v>13465.392672546777</v>
      </c>
      <c r="APA7" s="17">
        <f>(KA7&gt;0)*'Long-Term Leases'!DX$17*$X7*$W7</f>
        <v>13465.392672546777</v>
      </c>
      <c r="APB7" s="17">
        <f>(KB7&gt;0)*'Long-Term Leases'!DY$17*$X7*$W7</f>
        <v>13465.392672546777</v>
      </c>
      <c r="APC7" s="17">
        <f>(KC7&gt;0)*'Long-Term Leases'!DZ$17*$X7*$W7</f>
        <v>13465.392672546777</v>
      </c>
      <c r="APD7" s="17">
        <f>(KD7&gt;0)*'Long-Term Leases'!EA$17*$X7*$W7</f>
        <v>13734.700525997712</v>
      </c>
      <c r="APE7" s="17">
        <f>(KE7&gt;0)*'Long-Term Leases'!EB$17*$X7*$W7</f>
        <v>13734.700525997712</v>
      </c>
      <c r="APF7" s="17">
        <f>(KF7&gt;0)*'Long-Term Leases'!EC$17*$X7*$W7</f>
        <v>13734.700525997712</v>
      </c>
      <c r="APG7" s="17">
        <f>(KG7&gt;0)*'Long-Term Leases'!ED$17*$X7*$W7</f>
        <v>13734.700525997712</v>
      </c>
      <c r="APH7" s="17">
        <f>(KH7&gt;0)*'Long-Term Leases'!EE$17*$X7*$W7</f>
        <v>13734.700525997712</v>
      </c>
      <c r="API7" s="17">
        <f>(KI7&gt;0)*'Long-Term Leases'!EF$17*$X7*$W7</f>
        <v>13734.700525997712</v>
      </c>
      <c r="APJ7" s="17">
        <f>(KJ7&gt;0)*'Long-Term Leases'!EG$17*$X7*$W7</f>
        <v>13734.700525997712</v>
      </c>
      <c r="APK7" s="17">
        <f>(KK7&gt;0)*'Long-Term Leases'!EH$17*$X7*$W7</f>
        <v>13734.700525997712</v>
      </c>
      <c r="APL7" s="17">
        <f>(KL7&gt;0)*'Long-Term Leases'!EI$17*$X7*$W7</f>
        <v>13734.700525997712</v>
      </c>
      <c r="APM7" s="17">
        <f>(KM7&gt;0)*'Long-Term Leases'!EJ$17*$X7*$W7</f>
        <v>13734.700525997712</v>
      </c>
      <c r="APN7" s="17">
        <f>(KN7&gt;0)*'Long-Term Leases'!EK$17*$X7*$W7</f>
        <v>13734.700525997712</v>
      </c>
      <c r="APO7" s="17">
        <f>(KO7&gt;0)*'Long-Term Leases'!EL$17*$X7*$W7</f>
        <v>13734.700525997712</v>
      </c>
      <c r="APP7" s="17"/>
      <c r="APQ7" s="17"/>
      <c r="APR7" s="17">
        <f>(APR$5=$R7)*$AH7*$D7</f>
        <v>0</v>
      </c>
      <c r="APS7" s="17">
        <f t="shared" ref="APS7:AQH13" si="1278">(APS$5=$R7)*$AH7*$D7</f>
        <v>0</v>
      </c>
      <c r="APT7" s="17">
        <f t="shared" si="1278"/>
        <v>0</v>
      </c>
      <c r="APU7" s="17">
        <f t="shared" si="1278"/>
        <v>0</v>
      </c>
      <c r="APV7" s="17">
        <f t="shared" si="1278"/>
        <v>0</v>
      </c>
      <c r="APW7" s="17">
        <f t="shared" si="1278"/>
        <v>0</v>
      </c>
      <c r="APX7" s="17">
        <f t="shared" si="1278"/>
        <v>0</v>
      </c>
      <c r="APY7" s="17">
        <f t="shared" si="1278"/>
        <v>0</v>
      </c>
      <c r="APZ7" s="17">
        <f t="shared" si="1278"/>
        <v>0</v>
      </c>
      <c r="AQA7" s="17">
        <f t="shared" si="1278"/>
        <v>0</v>
      </c>
      <c r="AQB7" s="17">
        <f t="shared" si="1278"/>
        <v>0</v>
      </c>
      <c r="AQC7" s="17">
        <f t="shared" si="1278"/>
        <v>0</v>
      </c>
      <c r="AQD7" s="17">
        <f t="shared" si="1278"/>
        <v>0</v>
      </c>
      <c r="AQE7" s="17">
        <f t="shared" si="1278"/>
        <v>0</v>
      </c>
      <c r="AQF7" s="17">
        <f t="shared" si="1278"/>
        <v>0</v>
      </c>
      <c r="AQG7" s="17">
        <f t="shared" si="1278"/>
        <v>0</v>
      </c>
      <c r="AQH7" s="17">
        <f t="shared" si="1278"/>
        <v>0</v>
      </c>
      <c r="AQI7" s="17">
        <f t="shared" ref="AQI7:AQX13" si="1279">(AQI$5=$R7)*$AH7*$D7</f>
        <v>0</v>
      </c>
      <c r="AQJ7" s="17">
        <f t="shared" si="1279"/>
        <v>0</v>
      </c>
      <c r="AQK7" s="17">
        <f t="shared" si="1279"/>
        <v>0</v>
      </c>
      <c r="AQL7" s="17">
        <f t="shared" si="1279"/>
        <v>0</v>
      </c>
      <c r="AQM7" s="17">
        <f t="shared" si="1279"/>
        <v>0</v>
      </c>
      <c r="AQN7" s="17">
        <f t="shared" si="1279"/>
        <v>0</v>
      </c>
      <c r="AQO7" s="17">
        <f t="shared" si="1279"/>
        <v>0</v>
      </c>
      <c r="AQP7" s="17">
        <f t="shared" si="1279"/>
        <v>0</v>
      </c>
      <c r="AQQ7" s="17">
        <f t="shared" si="1279"/>
        <v>0</v>
      </c>
      <c r="AQR7" s="17">
        <f t="shared" si="1279"/>
        <v>0</v>
      </c>
      <c r="AQS7" s="17">
        <f t="shared" si="1279"/>
        <v>0</v>
      </c>
      <c r="AQT7" s="17">
        <f t="shared" si="1279"/>
        <v>0</v>
      </c>
      <c r="AQU7" s="17">
        <f t="shared" si="1279"/>
        <v>0</v>
      </c>
      <c r="AQV7" s="17">
        <f t="shared" si="1279"/>
        <v>0</v>
      </c>
      <c r="AQW7" s="17">
        <f t="shared" si="1279"/>
        <v>0</v>
      </c>
      <c r="AQX7" s="17">
        <f t="shared" si="1279"/>
        <v>0</v>
      </c>
      <c r="AQY7" s="17">
        <f t="shared" ref="AQY7:ARN13" si="1280">(AQY$5=$R7)*$AH7*$D7</f>
        <v>0</v>
      </c>
      <c r="AQZ7" s="17">
        <f t="shared" si="1280"/>
        <v>0</v>
      </c>
      <c r="ARA7" s="17">
        <f t="shared" si="1280"/>
        <v>0</v>
      </c>
      <c r="ARB7" s="17">
        <f t="shared" si="1280"/>
        <v>0</v>
      </c>
      <c r="ARC7" s="17">
        <f t="shared" si="1280"/>
        <v>0</v>
      </c>
      <c r="ARD7" s="17">
        <f t="shared" si="1280"/>
        <v>0</v>
      </c>
      <c r="ARE7" s="17">
        <f t="shared" si="1280"/>
        <v>0</v>
      </c>
      <c r="ARF7" s="17">
        <f t="shared" si="1280"/>
        <v>0</v>
      </c>
      <c r="ARG7" s="17">
        <f t="shared" si="1280"/>
        <v>0</v>
      </c>
      <c r="ARH7" s="17">
        <f t="shared" si="1280"/>
        <v>0</v>
      </c>
      <c r="ARI7" s="17">
        <f t="shared" si="1280"/>
        <v>0</v>
      </c>
      <c r="ARJ7" s="17">
        <f t="shared" si="1280"/>
        <v>0</v>
      </c>
      <c r="ARK7" s="17">
        <f t="shared" si="1280"/>
        <v>0</v>
      </c>
      <c r="ARL7" s="17">
        <f t="shared" si="1280"/>
        <v>0</v>
      </c>
      <c r="ARM7" s="17">
        <f t="shared" si="1280"/>
        <v>0</v>
      </c>
      <c r="ARN7" s="17">
        <f t="shared" si="1280"/>
        <v>0</v>
      </c>
      <c r="ARO7" s="17">
        <f t="shared" ref="ARO7:ASD13" si="1281">(ARO$5=$R7)*$AH7*$D7</f>
        <v>0</v>
      </c>
      <c r="ARP7" s="17">
        <f t="shared" si="1281"/>
        <v>0</v>
      </c>
      <c r="ARQ7" s="17">
        <f t="shared" si="1281"/>
        <v>0</v>
      </c>
      <c r="ARR7" s="17">
        <f t="shared" si="1281"/>
        <v>0</v>
      </c>
      <c r="ARS7" s="17">
        <f t="shared" si="1281"/>
        <v>0</v>
      </c>
      <c r="ART7" s="17">
        <f t="shared" si="1281"/>
        <v>0</v>
      </c>
      <c r="ARU7" s="17">
        <f t="shared" si="1281"/>
        <v>0</v>
      </c>
      <c r="ARV7" s="17">
        <f t="shared" si="1281"/>
        <v>0</v>
      </c>
      <c r="ARW7" s="17">
        <f t="shared" si="1281"/>
        <v>0</v>
      </c>
      <c r="ARX7" s="17">
        <f t="shared" si="1281"/>
        <v>0</v>
      </c>
      <c r="ARY7" s="17">
        <f t="shared" si="1281"/>
        <v>0</v>
      </c>
      <c r="ARZ7" s="17">
        <f t="shared" si="1281"/>
        <v>0</v>
      </c>
      <c r="ASA7" s="17">
        <f t="shared" si="1281"/>
        <v>0</v>
      </c>
      <c r="ASB7" s="17">
        <f t="shared" si="1281"/>
        <v>0</v>
      </c>
      <c r="ASC7" s="17">
        <f t="shared" si="1281"/>
        <v>0</v>
      </c>
      <c r="ASD7" s="17">
        <f t="shared" si="1281"/>
        <v>0</v>
      </c>
      <c r="ASE7" s="17">
        <f t="shared" ref="ASE7:AST13" si="1282">(ASE$5=$R7)*$AH7*$D7</f>
        <v>0</v>
      </c>
      <c r="ASF7" s="17">
        <f t="shared" si="1282"/>
        <v>0</v>
      </c>
      <c r="ASG7" s="17">
        <f t="shared" si="1282"/>
        <v>0</v>
      </c>
      <c r="ASH7" s="17">
        <f t="shared" si="1282"/>
        <v>0</v>
      </c>
      <c r="ASI7" s="17">
        <f t="shared" si="1282"/>
        <v>0</v>
      </c>
      <c r="ASJ7" s="17">
        <f t="shared" si="1282"/>
        <v>0</v>
      </c>
      <c r="ASK7" s="17">
        <f t="shared" si="1282"/>
        <v>0</v>
      </c>
      <c r="ASL7" s="17">
        <f t="shared" si="1282"/>
        <v>0</v>
      </c>
      <c r="ASM7" s="17">
        <f t="shared" si="1282"/>
        <v>0</v>
      </c>
      <c r="ASN7" s="17">
        <f t="shared" si="1282"/>
        <v>0</v>
      </c>
      <c r="ASO7" s="17">
        <f t="shared" si="1282"/>
        <v>0</v>
      </c>
      <c r="ASP7" s="17">
        <f t="shared" si="1282"/>
        <v>0</v>
      </c>
      <c r="ASQ7" s="17">
        <f t="shared" si="1282"/>
        <v>0</v>
      </c>
      <c r="ASR7" s="17">
        <f t="shared" si="1282"/>
        <v>0</v>
      </c>
      <c r="ASS7" s="17">
        <f t="shared" si="1282"/>
        <v>0</v>
      </c>
      <c r="AST7" s="17">
        <f t="shared" si="1282"/>
        <v>0</v>
      </c>
      <c r="ASU7" s="17">
        <f t="shared" ref="ASU7:ATJ13" si="1283">(ASU$5=$R7)*$AH7*$D7</f>
        <v>0</v>
      </c>
      <c r="ASV7" s="17">
        <f t="shared" si="1283"/>
        <v>0</v>
      </c>
      <c r="ASW7" s="17">
        <f t="shared" si="1283"/>
        <v>0</v>
      </c>
      <c r="ASX7" s="17">
        <f t="shared" si="1283"/>
        <v>0</v>
      </c>
      <c r="ASY7" s="17">
        <f t="shared" si="1283"/>
        <v>0</v>
      </c>
      <c r="ASZ7" s="17">
        <f t="shared" si="1283"/>
        <v>0</v>
      </c>
      <c r="ATA7" s="17">
        <f t="shared" si="1283"/>
        <v>0</v>
      </c>
      <c r="ATB7" s="17">
        <f t="shared" si="1283"/>
        <v>0</v>
      </c>
      <c r="ATC7" s="17">
        <f t="shared" si="1283"/>
        <v>0</v>
      </c>
      <c r="ATD7" s="17">
        <f t="shared" si="1283"/>
        <v>0</v>
      </c>
      <c r="ATE7" s="17">
        <f t="shared" si="1283"/>
        <v>0</v>
      </c>
      <c r="ATF7" s="17">
        <f t="shared" si="1283"/>
        <v>0</v>
      </c>
      <c r="ATG7" s="17">
        <f t="shared" si="1283"/>
        <v>0</v>
      </c>
      <c r="ATH7" s="17">
        <f t="shared" si="1283"/>
        <v>0</v>
      </c>
      <c r="ATI7" s="17">
        <f t="shared" si="1283"/>
        <v>0</v>
      </c>
      <c r="ATJ7" s="17">
        <f t="shared" si="1283"/>
        <v>0</v>
      </c>
      <c r="ATK7" s="17">
        <f t="shared" ref="ATK7:ATZ13" si="1284">(ATK$5=$R7)*$AH7*$D7</f>
        <v>0</v>
      </c>
      <c r="ATL7" s="17">
        <f t="shared" si="1284"/>
        <v>0</v>
      </c>
      <c r="ATM7" s="17">
        <f t="shared" si="1284"/>
        <v>0</v>
      </c>
      <c r="ATN7" s="17">
        <f t="shared" si="1284"/>
        <v>0</v>
      </c>
      <c r="ATO7" s="17">
        <f t="shared" si="1284"/>
        <v>460697.09344884701</v>
      </c>
      <c r="ATP7" s="17">
        <f t="shared" si="1284"/>
        <v>0</v>
      </c>
      <c r="ATQ7" s="17">
        <f t="shared" si="1284"/>
        <v>0</v>
      </c>
      <c r="ATR7" s="17">
        <f t="shared" si="1284"/>
        <v>0</v>
      </c>
      <c r="ATS7" s="17">
        <f t="shared" si="1284"/>
        <v>0</v>
      </c>
      <c r="ATT7" s="17">
        <f t="shared" si="1284"/>
        <v>0</v>
      </c>
      <c r="ATU7" s="17">
        <f t="shared" si="1284"/>
        <v>0</v>
      </c>
      <c r="ATV7" s="17">
        <f t="shared" si="1284"/>
        <v>0</v>
      </c>
      <c r="ATW7" s="17">
        <f t="shared" si="1284"/>
        <v>0</v>
      </c>
      <c r="ATX7" s="17">
        <f t="shared" si="1284"/>
        <v>0</v>
      </c>
      <c r="ATY7" s="17">
        <f t="shared" si="1284"/>
        <v>0</v>
      </c>
      <c r="ATZ7" s="17">
        <f t="shared" si="1284"/>
        <v>0</v>
      </c>
      <c r="AUA7" s="17">
        <f t="shared" ref="AUA7:AUP13" si="1285">(AUA$5=$R7)*$AH7*$D7</f>
        <v>0</v>
      </c>
      <c r="AUB7" s="17">
        <f t="shared" si="1285"/>
        <v>0</v>
      </c>
      <c r="AUC7" s="17">
        <f t="shared" si="1285"/>
        <v>0</v>
      </c>
      <c r="AUD7" s="17">
        <f t="shared" si="1285"/>
        <v>0</v>
      </c>
      <c r="AUE7" s="17">
        <f t="shared" si="1285"/>
        <v>0</v>
      </c>
      <c r="AUF7" s="17">
        <f t="shared" si="1285"/>
        <v>0</v>
      </c>
      <c r="AUG7" s="17">
        <f t="shared" si="1285"/>
        <v>0</v>
      </c>
      <c r="AUH7" s="17">
        <f t="shared" si="1285"/>
        <v>0</v>
      </c>
      <c r="AUI7" s="17">
        <f t="shared" si="1285"/>
        <v>0</v>
      </c>
      <c r="AUJ7" s="17">
        <f t="shared" si="1285"/>
        <v>0</v>
      </c>
      <c r="AUK7" s="17">
        <f t="shared" si="1285"/>
        <v>0</v>
      </c>
      <c r="AUL7" s="17">
        <f t="shared" si="1285"/>
        <v>0</v>
      </c>
      <c r="AUM7" s="17">
        <f t="shared" si="1285"/>
        <v>0</v>
      </c>
      <c r="AUN7" s="17">
        <f t="shared" si="1285"/>
        <v>0</v>
      </c>
      <c r="AUO7" s="17">
        <f t="shared" si="1285"/>
        <v>0</v>
      </c>
      <c r="AUP7" s="17">
        <f t="shared" si="1285"/>
        <v>0</v>
      </c>
      <c r="AUQ7" s="17">
        <f t="shared" ref="AUQ7:AUS13" si="1286">(AUQ$5=$R7)*$AH7*$D7</f>
        <v>0</v>
      </c>
      <c r="AUR7" s="17">
        <f t="shared" si="1286"/>
        <v>0</v>
      </c>
      <c r="AUS7" s="17">
        <f t="shared" si="1286"/>
        <v>0</v>
      </c>
      <c r="AUT7" s="17"/>
      <c r="AUU7" s="17"/>
    </row>
    <row r="8" spans="1:1243" x14ac:dyDescent="0.3">
      <c r="B8" s="43">
        <v>200</v>
      </c>
      <c r="C8" s="44" t="s">
        <v>81</v>
      </c>
      <c r="D8" s="47">
        <v>17850</v>
      </c>
      <c r="E8" s="54">
        <v>1</v>
      </c>
      <c r="F8" s="54">
        <v>36</v>
      </c>
      <c r="G8" s="45">
        <v>11.09</v>
      </c>
      <c r="H8" s="48">
        <f t="shared" ref="H8:H13" si="1287">+G8*D8</f>
        <v>197956.5</v>
      </c>
      <c r="I8" s="53">
        <f t="shared" ref="I8:I13" si="1288">$I$6</f>
        <v>0.02</v>
      </c>
      <c r="J8" s="54">
        <v>1</v>
      </c>
      <c r="K8" s="56">
        <v>1</v>
      </c>
      <c r="L8" s="16">
        <f t="shared" ref="L8:L13" si="1289">D8/$D$6</f>
        <v>0.13050630597696947</v>
      </c>
      <c r="M8" s="57">
        <v>14.5</v>
      </c>
      <c r="N8" s="26">
        <v>0.02</v>
      </c>
      <c r="O8" s="26">
        <v>0.8</v>
      </c>
      <c r="P8" s="58">
        <v>12</v>
      </c>
      <c r="Q8" s="58">
        <v>120</v>
      </c>
      <c r="R8" s="55">
        <f t="shared" ref="R8:R13" si="1290">ROUNDUP((1-O8)*P8,0)+F8+1</f>
        <v>40</v>
      </c>
      <c r="S8" s="55">
        <f t="shared" ref="S8:S13" si="1291">+R8+Q8-1</f>
        <v>159</v>
      </c>
      <c r="T8" s="4">
        <f t="shared" ref="T8:T13" si="1292">M8*(1+N8)^(ROUNDUP(R8/12,0)-1)</f>
        <v>15.387516</v>
      </c>
      <c r="U8" s="53">
        <f t="shared" ref="U8:U13" si="1293">$U$6</f>
        <v>0.02</v>
      </c>
      <c r="V8" s="55">
        <f t="shared" ref="V8:V13" si="1294">12-(ROUNDUP(R8/12,0)*12-R8)</f>
        <v>4</v>
      </c>
      <c r="W8" s="56">
        <f t="shared" ref="W8:W13" si="1295">+K8</f>
        <v>1</v>
      </c>
      <c r="X8" s="16">
        <f t="shared" ref="X8:X13" si="1296">+L8</f>
        <v>0.13050630597696947</v>
      </c>
      <c r="Y8" s="58">
        <v>9</v>
      </c>
      <c r="Z8" s="58">
        <v>3</v>
      </c>
      <c r="AA8" s="4">
        <f t="shared" ref="AA8:AA13" si="1297">ROUNDUP(O8*Z8+(1-O8)*Y8,0)*T8/12</f>
        <v>6.4114649999999997</v>
      </c>
      <c r="AB8" s="45">
        <v>25</v>
      </c>
      <c r="AC8" s="45">
        <v>10</v>
      </c>
      <c r="AD8" s="26">
        <v>0.06</v>
      </c>
      <c r="AE8" s="26">
        <v>0.03</v>
      </c>
      <c r="AF8" s="4">
        <f t="shared" ref="AF8:AF13" si="1298">AC8*O8+AB8*(1-O8)</f>
        <v>13</v>
      </c>
      <c r="AG8" s="4">
        <f t="shared" ref="AG8:AG13" si="1299">(AE8*O8+AD8*(1-O8))*T8*Q8/12</f>
        <v>5.5395057599999999</v>
      </c>
      <c r="AH8" s="4">
        <f t="shared" ref="AH8:AH13" si="1300">SUM(AF8:AG8)</f>
        <v>18.539505760000001</v>
      </c>
      <c r="AJ8" s="17">
        <f t="shared" ref="AJ8:AJ13" si="1301">AND(AJ$5&gt;=$E8,AJ$5&lt;=$F8)*$D8</f>
        <v>17850</v>
      </c>
      <c r="AK8" s="17">
        <f t="shared" si="1120"/>
        <v>17850</v>
      </c>
      <c r="AL8" s="17">
        <f t="shared" si="1120"/>
        <v>17850</v>
      </c>
      <c r="AM8" s="17">
        <f t="shared" si="1120"/>
        <v>17850</v>
      </c>
      <c r="AN8" s="17">
        <f t="shared" si="1120"/>
        <v>17850</v>
      </c>
      <c r="AO8" s="17">
        <f t="shared" si="1120"/>
        <v>17850</v>
      </c>
      <c r="AP8" s="17">
        <f t="shared" si="1120"/>
        <v>17850</v>
      </c>
      <c r="AQ8" s="17">
        <f t="shared" si="1120"/>
        <v>17850</v>
      </c>
      <c r="AR8" s="17">
        <f t="shared" si="1120"/>
        <v>17850</v>
      </c>
      <c r="AS8" s="17">
        <f t="shared" si="1120"/>
        <v>17850</v>
      </c>
      <c r="AT8" s="17">
        <f t="shared" si="1120"/>
        <v>17850</v>
      </c>
      <c r="AU8" s="17">
        <f t="shared" si="1120"/>
        <v>17850</v>
      </c>
      <c r="AV8" s="17">
        <f t="shared" si="1120"/>
        <v>17850</v>
      </c>
      <c r="AW8" s="17">
        <f t="shared" si="1120"/>
        <v>17850</v>
      </c>
      <c r="AX8" s="17">
        <f t="shared" si="1120"/>
        <v>17850</v>
      </c>
      <c r="AY8" s="17">
        <f t="shared" si="1120"/>
        <v>17850</v>
      </c>
      <c r="AZ8" s="17">
        <f t="shared" si="1120"/>
        <v>17850</v>
      </c>
      <c r="BA8" s="17">
        <f t="shared" si="1121"/>
        <v>17850</v>
      </c>
      <c r="BB8" s="17">
        <f t="shared" si="1121"/>
        <v>17850</v>
      </c>
      <c r="BC8" s="17">
        <f t="shared" si="1121"/>
        <v>17850</v>
      </c>
      <c r="BD8" s="17">
        <f t="shared" si="1121"/>
        <v>17850</v>
      </c>
      <c r="BE8" s="17">
        <f t="shared" si="1121"/>
        <v>17850</v>
      </c>
      <c r="BF8" s="17">
        <f t="shared" si="1121"/>
        <v>17850</v>
      </c>
      <c r="BG8" s="17">
        <f t="shared" si="1121"/>
        <v>17850</v>
      </c>
      <c r="BH8" s="17">
        <f t="shared" si="1121"/>
        <v>17850</v>
      </c>
      <c r="BI8" s="17">
        <f t="shared" si="1121"/>
        <v>17850</v>
      </c>
      <c r="BJ8" s="17">
        <f t="shared" si="1121"/>
        <v>17850</v>
      </c>
      <c r="BK8" s="17">
        <f t="shared" si="1121"/>
        <v>17850</v>
      </c>
      <c r="BL8" s="17">
        <f t="shared" si="1121"/>
        <v>17850</v>
      </c>
      <c r="BM8" s="17">
        <f t="shared" si="1121"/>
        <v>17850</v>
      </c>
      <c r="BN8" s="17">
        <f t="shared" si="1121"/>
        <v>17850</v>
      </c>
      <c r="BO8" s="17">
        <f t="shared" si="1121"/>
        <v>17850</v>
      </c>
      <c r="BP8" s="17">
        <f t="shared" si="1121"/>
        <v>17850</v>
      </c>
      <c r="BQ8" s="17">
        <f t="shared" si="1122"/>
        <v>17850</v>
      </c>
      <c r="BR8" s="17">
        <f t="shared" si="1122"/>
        <v>17850</v>
      </c>
      <c r="BS8" s="17">
        <f t="shared" si="1122"/>
        <v>17850</v>
      </c>
      <c r="BT8" s="17">
        <f t="shared" si="1122"/>
        <v>0</v>
      </c>
      <c r="BU8" s="17">
        <f t="shared" si="1122"/>
        <v>0</v>
      </c>
      <c r="BV8" s="17">
        <f t="shared" si="1122"/>
        <v>0</v>
      </c>
      <c r="BW8" s="17">
        <f t="shared" si="1122"/>
        <v>0</v>
      </c>
      <c r="BX8" s="17">
        <f t="shared" si="1122"/>
        <v>0</v>
      </c>
      <c r="BY8" s="17">
        <f t="shared" si="1122"/>
        <v>0</v>
      </c>
      <c r="BZ8" s="17">
        <f t="shared" si="1122"/>
        <v>0</v>
      </c>
      <c r="CA8" s="17">
        <f t="shared" si="1122"/>
        <v>0</v>
      </c>
      <c r="CB8" s="17">
        <f t="shared" si="1122"/>
        <v>0</v>
      </c>
      <c r="CC8" s="17">
        <f t="shared" si="1122"/>
        <v>0</v>
      </c>
      <c r="CD8" s="17">
        <f t="shared" si="1122"/>
        <v>0</v>
      </c>
      <c r="CE8" s="17">
        <f t="shared" si="1122"/>
        <v>0</v>
      </c>
      <c r="CF8" s="17">
        <f t="shared" si="1122"/>
        <v>0</v>
      </c>
      <c r="CG8" s="17">
        <f t="shared" si="1123"/>
        <v>0</v>
      </c>
      <c r="CH8" s="17">
        <f t="shared" si="1123"/>
        <v>0</v>
      </c>
      <c r="CI8" s="17">
        <f t="shared" si="1123"/>
        <v>0</v>
      </c>
      <c r="CJ8" s="17">
        <f t="shared" si="1123"/>
        <v>0</v>
      </c>
      <c r="CK8" s="17">
        <f t="shared" si="1123"/>
        <v>0</v>
      </c>
      <c r="CL8" s="17">
        <f t="shared" si="1123"/>
        <v>0</v>
      </c>
      <c r="CM8" s="17">
        <f t="shared" si="1123"/>
        <v>0</v>
      </c>
      <c r="CN8" s="17">
        <f t="shared" si="1123"/>
        <v>0</v>
      </c>
      <c r="CO8" s="17">
        <f t="shared" si="1123"/>
        <v>0</v>
      </c>
      <c r="CP8" s="17">
        <f t="shared" si="1123"/>
        <v>0</v>
      </c>
      <c r="CQ8" s="17">
        <f t="shared" si="1123"/>
        <v>0</v>
      </c>
      <c r="CR8" s="17">
        <f t="shared" si="1123"/>
        <v>0</v>
      </c>
      <c r="CS8" s="17">
        <f t="shared" si="1123"/>
        <v>0</v>
      </c>
      <c r="CT8" s="17">
        <f t="shared" si="1123"/>
        <v>0</v>
      </c>
      <c r="CU8" s="17">
        <f t="shared" si="1123"/>
        <v>0</v>
      </c>
      <c r="CV8" s="17">
        <f t="shared" si="1123"/>
        <v>0</v>
      </c>
      <c r="CW8" s="17">
        <f t="shared" si="1124"/>
        <v>0</v>
      </c>
      <c r="CX8" s="17">
        <f t="shared" si="1124"/>
        <v>0</v>
      </c>
      <c r="CY8" s="17">
        <f t="shared" si="1124"/>
        <v>0</v>
      </c>
      <c r="CZ8" s="17">
        <f t="shared" si="1124"/>
        <v>0</v>
      </c>
      <c r="DA8" s="17">
        <f t="shared" si="1124"/>
        <v>0</v>
      </c>
      <c r="DB8" s="17">
        <f t="shared" si="1124"/>
        <v>0</v>
      </c>
      <c r="DC8" s="17">
        <f t="shared" si="1124"/>
        <v>0</v>
      </c>
      <c r="DD8" s="17">
        <f t="shared" si="1124"/>
        <v>0</v>
      </c>
      <c r="DE8" s="17">
        <f t="shared" si="1124"/>
        <v>0</v>
      </c>
      <c r="DF8" s="17">
        <f t="shared" si="1124"/>
        <v>0</v>
      </c>
      <c r="DG8" s="17">
        <f t="shared" si="1124"/>
        <v>0</v>
      </c>
      <c r="DH8" s="17">
        <f t="shared" si="1124"/>
        <v>0</v>
      </c>
      <c r="DI8" s="17">
        <f t="shared" si="1124"/>
        <v>0</v>
      </c>
      <c r="DJ8" s="17">
        <f t="shared" si="1124"/>
        <v>0</v>
      </c>
      <c r="DK8" s="17">
        <f t="shared" si="1124"/>
        <v>0</v>
      </c>
      <c r="DL8" s="17">
        <f t="shared" si="1124"/>
        <v>0</v>
      </c>
      <c r="DM8" s="17">
        <f t="shared" si="1125"/>
        <v>0</v>
      </c>
      <c r="DN8" s="17">
        <f t="shared" si="1125"/>
        <v>0</v>
      </c>
      <c r="DO8" s="17">
        <f t="shared" si="1125"/>
        <v>0</v>
      </c>
      <c r="DP8" s="17">
        <f t="shared" si="1125"/>
        <v>0</v>
      </c>
      <c r="DQ8" s="17">
        <f t="shared" si="1125"/>
        <v>0</v>
      </c>
      <c r="DR8" s="17">
        <f t="shared" si="1125"/>
        <v>0</v>
      </c>
      <c r="DS8" s="17">
        <f t="shared" si="1125"/>
        <v>0</v>
      </c>
      <c r="DT8" s="17">
        <f t="shared" si="1125"/>
        <v>0</v>
      </c>
      <c r="DU8" s="17">
        <f t="shared" si="1125"/>
        <v>0</v>
      </c>
      <c r="DV8" s="17">
        <f t="shared" si="1125"/>
        <v>0</v>
      </c>
      <c r="DW8" s="17">
        <f t="shared" si="1125"/>
        <v>0</v>
      </c>
      <c r="DX8" s="17">
        <f t="shared" si="1125"/>
        <v>0</v>
      </c>
      <c r="DY8" s="17">
        <f t="shared" si="1125"/>
        <v>0</v>
      </c>
      <c r="DZ8" s="17">
        <f t="shared" si="1125"/>
        <v>0</v>
      </c>
      <c r="EA8" s="17">
        <f t="shared" si="1125"/>
        <v>0</v>
      </c>
      <c r="EB8" s="17">
        <f t="shared" si="1125"/>
        <v>0</v>
      </c>
      <c r="EC8" s="17">
        <f t="shared" si="1126"/>
        <v>0</v>
      </c>
      <c r="ED8" s="17">
        <f t="shared" si="1126"/>
        <v>0</v>
      </c>
      <c r="EE8" s="17">
        <f t="shared" si="1126"/>
        <v>0</v>
      </c>
      <c r="EF8" s="17">
        <f t="shared" si="1126"/>
        <v>0</v>
      </c>
      <c r="EG8" s="17">
        <f t="shared" si="1126"/>
        <v>0</v>
      </c>
      <c r="EH8" s="17">
        <f t="shared" si="1126"/>
        <v>0</v>
      </c>
      <c r="EI8" s="17">
        <f t="shared" si="1126"/>
        <v>0</v>
      </c>
      <c r="EJ8" s="17">
        <f t="shared" si="1126"/>
        <v>0</v>
      </c>
      <c r="EK8" s="17">
        <f t="shared" si="1126"/>
        <v>0</v>
      </c>
      <c r="EL8" s="17">
        <f t="shared" si="1126"/>
        <v>0</v>
      </c>
      <c r="EM8" s="17">
        <f t="shared" si="1126"/>
        <v>0</v>
      </c>
      <c r="EN8" s="17">
        <f t="shared" si="1126"/>
        <v>0</v>
      </c>
      <c r="EO8" s="17">
        <f t="shared" si="1126"/>
        <v>0</v>
      </c>
      <c r="EP8" s="17">
        <f t="shared" si="1126"/>
        <v>0</v>
      </c>
      <c r="EQ8" s="17">
        <f t="shared" si="1126"/>
        <v>0</v>
      </c>
      <c r="ER8" s="17">
        <f t="shared" si="1126"/>
        <v>0</v>
      </c>
      <c r="ES8" s="17">
        <f t="shared" si="1127"/>
        <v>0</v>
      </c>
      <c r="ET8" s="17">
        <f t="shared" si="1127"/>
        <v>0</v>
      </c>
      <c r="EU8" s="17">
        <f t="shared" si="1127"/>
        <v>0</v>
      </c>
      <c r="EV8" s="17">
        <f t="shared" si="1127"/>
        <v>0</v>
      </c>
      <c r="EW8" s="17">
        <f t="shared" si="1127"/>
        <v>0</v>
      </c>
      <c r="EX8" s="17">
        <f t="shared" si="1127"/>
        <v>0</v>
      </c>
      <c r="EY8" s="17">
        <f t="shared" si="1127"/>
        <v>0</v>
      </c>
      <c r="EZ8" s="17">
        <f t="shared" si="1127"/>
        <v>0</v>
      </c>
      <c r="FA8" s="17">
        <f t="shared" si="1127"/>
        <v>0</v>
      </c>
      <c r="FB8" s="17">
        <f t="shared" si="1127"/>
        <v>0</v>
      </c>
      <c r="FC8" s="17">
        <f t="shared" si="1127"/>
        <v>0</v>
      </c>
      <c r="FD8" s="17">
        <f t="shared" si="1127"/>
        <v>0</v>
      </c>
      <c r="FE8" s="17">
        <f t="shared" si="1127"/>
        <v>0</v>
      </c>
      <c r="FF8" s="17">
        <f t="shared" si="1127"/>
        <v>0</v>
      </c>
      <c r="FG8" s="17">
        <f t="shared" si="1127"/>
        <v>0</v>
      </c>
      <c r="FH8" s="17">
        <f t="shared" si="1127"/>
        <v>0</v>
      </c>
      <c r="FI8" s="17">
        <f t="shared" si="1128"/>
        <v>0</v>
      </c>
      <c r="FJ8" s="17">
        <f t="shared" si="1128"/>
        <v>0</v>
      </c>
      <c r="FK8" s="17">
        <f t="shared" si="1128"/>
        <v>0</v>
      </c>
      <c r="FL8" s="17"/>
      <c r="FM8" s="17"/>
      <c r="FN8" s="17">
        <f t="shared" ref="FN8:FN13" si="1302">AND(FN$5&gt;=$R8,FN$5&lt;=$S8)*$D8</f>
        <v>0</v>
      </c>
      <c r="FO8" s="17">
        <f t="shared" si="1129"/>
        <v>0</v>
      </c>
      <c r="FP8" s="17">
        <f t="shared" si="1129"/>
        <v>0</v>
      </c>
      <c r="FQ8" s="17">
        <f t="shared" si="1129"/>
        <v>0</v>
      </c>
      <c r="FR8" s="17">
        <f t="shared" si="1129"/>
        <v>0</v>
      </c>
      <c r="FS8" s="17">
        <f t="shared" si="1129"/>
        <v>0</v>
      </c>
      <c r="FT8" s="17">
        <f t="shared" si="1129"/>
        <v>0</v>
      </c>
      <c r="FU8" s="17">
        <f t="shared" si="1129"/>
        <v>0</v>
      </c>
      <c r="FV8" s="17">
        <f t="shared" si="1129"/>
        <v>0</v>
      </c>
      <c r="FW8" s="17">
        <f t="shared" si="1129"/>
        <v>0</v>
      </c>
      <c r="FX8" s="17">
        <f t="shared" si="1129"/>
        <v>0</v>
      </c>
      <c r="FY8" s="17">
        <f t="shared" si="1129"/>
        <v>0</v>
      </c>
      <c r="FZ8" s="17">
        <f t="shared" si="1129"/>
        <v>0</v>
      </c>
      <c r="GA8" s="17">
        <f t="shared" si="1129"/>
        <v>0</v>
      </c>
      <c r="GB8" s="17">
        <f t="shared" si="1129"/>
        <v>0</v>
      </c>
      <c r="GC8" s="17">
        <f t="shared" si="1129"/>
        <v>0</v>
      </c>
      <c r="GD8" s="17">
        <f t="shared" si="1129"/>
        <v>0</v>
      </c>
      <c r="GE8" s="17">
        <f t="shared" si="1130"/>
        <v>0</v>
      </c>
      <c r="GF8" s="17">
        <f t="shared" si="1130"/>
        <v>0</v>
      </c>
      <c r="GG8" s="17">
        <f t="shared" si="1130"/>
        <v>0</v>
      </c>
      <c r="GH8" s="17">
        <f t="shared" si="1130"/>
        <v>0</v>
      </c>
      <c r="GI8" s="17">
        <f t="shared" si="1130"/>
        <v>0</v>
      </c>
      <c r="GJ8" s="17">
        <f t="shared" si="1130"/>
        <v>0</v>
      </c>
      <c r="GK8" s="17">
        <f t="shared" si="1130"/>
        <v>0</v>
      </c>
      <c r="GL8" s="17">
        <f t="shared" si="1130"/>
        <v>0</v>
      </c>
      <c r="GM8" s="17">
        <f t="shared" si="1130"/>
        <v>0</v>
      </c>
      <c r="GN8" s="17">
        <f t="shared" si="1130"/>
        <v>0</v>
      </c>
      <c r="GO8" s="17">
        <f t="shared" si="1130"/>
        <v>0</v>
      </c>
      <c r="GP8" s="17">
        <f t="shared" si="1130"/>
        <v>0</v>
      </c>
      <c r="GQ8" s="17">
        <f t="shared" si="1130"/>
        <v>0</v>
      </c>
      <c r="GR8" s="17">
        <f t="shared" si="1130"/>
        <v>0</v>
      </c>
      <c r="GS8" s="17">
        <f t="shared" si="1130"/>
        <v>0</v>
      </c>
      <c r="GT8" s="17">
        <f t="shared" si="1130"/>
        <v>0</v>
      </c>
      <c r="GU8" s="17">
        <f t="shared" si="1131"/>
        <v>0</v>
      </c>
      <c r="GV8" s="17">
        <f t="shared" si="1131"/>
        <v>0</v>
      </c>
      <c r="GW8" s="17">
        <f t="shared" si="1131"/>
        <v>0</v>
      </c>
      <c r="GX8" s="17">
        <f t="shared" si="1131"/>
        <v>0</v>
      </c>
      <c r="GY8" s="17">
        <f t="shared" si="1131"/>
        <v>0</v>
      </c>
      <c r="GZ8" s="17">
        <f t="shared" si="1131"/>
        <v>0</v>
      </c>
      <c r="HA8" s="17">
        <f t="shared" si="1131"/>
        <v>17850</v>
      </c>
      <c r="HB8" s="17">
        <f t="shared" si="1131"/>
        <v>17850</v>
      </c>
      <c r="HC8" s="17">
        <f t="shared" si="1131"/>
        <v>17850</v>
      </c>
      <c r="HD8" s="17">
        <f t="shared" si="1131"/>
        <v>17850</v>
      </c>
      <c r="HE8" s="17">
        <f t="shared" si="1131"/>
        <v>17850</v>
      </c>
      <c r="HF8" s="17">
        <f t="shared" si="1131"/>
        <v>17850</v>
      </c>
      <c r="HG8" s="17">
        <f t="shared" si="1131"/>
        <v>17850</v>
      </c>
      <c r="HH8" s="17">
        <f t="shared" si="1131"/>
        <v>17850</v>
      </c>
      <c r="HI8" s="17">
        <f t="shared" si="1131"/>
        <v>17850</v>
      </c>
      <c r="HJ8" s="17">
        <f t="shared" si="1131"/>
        <v>17850</v>
      </c>
      <c r="HK8" s="17">
        <f t="shared" si="1132"/>
        <v>17850</v>
      </c>
      <c r="HL8" s="17">
        <f t="shared" si="1132"/>
        <v>17850</v>
      </c>
      <c r="HM8" s="17">
        <f t="shared" si="1132"/>
        <v>17850</v>
      </c>
      <c r="HN8" s="17">
        <f t="shared" si="1132"/>
        <v>17850</v>
      </c>
      <c r="HO8" s="17">
        <f t="shared" si="1132"/>
        <v>17850</v>
      </c>
      <c r="HP8" s="17">
        <f t="shared" si="1132"/>
        <v>17850</v>
      </c>
      <c r="HQ8" s="17">
        <f t="shared" si="1132"/>
        <v>17850</v>
      </c>
      <c r="HR8" s="17">
        <f t="shared" si="1132"/>
        <v>17850</v>
      </c>
      <c r="HS8" s="17">
        <f t="shared" si="1132"/>
        <v>17850</v>
      </c>
      <c r="HT8" s="17">
        <f t="shared" si="1132"/>
        <v>17850</v>
      </c>
      <c r="HU8" s="17">
        <f t="shared" si="1132"/>
        <v>17850</v>
      </c>
      <c r="HV8" s="17">
        <f t="shared" si="1132"/>
        <v>17850</v>
      </c>
      <c r="HW8" s="17">
        <f t="shared" si="1132"/>
        <v>17850</v>
      </c>
      <c r="HX8" s="17">
        <f t="shared" si="1132"/>
        <v>17850</v>
      </c>
      <c r="HY8" s="17">
        <f t="shared" si="1132"/>
        <v>17850</v>
      </c>
      <c r="HZ8" s="17">
        <f t="shared" si="1132"/>
        <v>17850</v>
      </c>
      <c r="IA8" s="17">
        <f t="shared" si="1133"/>
        <v>17850</v>
      </c>
      <c r="IB8" s="17">
        <f t="shared" si="1133"/>
        <v>17850</v>
      </c>
      <c r="IC8" s="17">
        <f t="shared" si="1133"/>
        <v>17850</v>
      </c>
      <c r="ID8" s="17">
        <f t="shared" si="1133"/>
        <v>17850</v>
      </c>
      <c r="IE8" s="17">
        <f t="shared" si="1133"/>
        <v>17850</v>
      </c>
      <c r="IF8" s="17">
        <f t="shared" si="1133"/>
        <v>17850</v>
      </c>
      <c r="IG8" s="17">
        <f t="shared" si="1133"/>
        <v>17850</v>
      </c>
      <c r="IH8" s="17">
        <f t="shared" si="1133"/>
        <v>17850</v>
      </c>
      <c r="II8" s="17">
        <f t="shared" si="1133"/>
        <v>17850</v>
      </c>
      <c r="IJ8" s="17">
        <f t="shared" si="1133"/>
        <v>17850</v>
      </c>
      <c r="IK8" s="17">
        <f t="shared" si="1133"/>
        <v>17850</v>
      </c>
      <c r="IL8" s="17">
        <f t="shared" si="1133"/>
        <v>17850</v>
      </c>
      <c r="IM8" s="17">
        <f t="shared" si="1133"/>
        <v>17850</v>
      </c>
      <c r="IN8" s="17">
        <f t="shared" si="1133"/>
        <v>17850</v>
      </c>
      <c r="IO8" s="17">
        <f t="shared" si="1133"/>
        <v>17850</v>
      </c>
      <c r="IP8" s="17">
        <f t="shared" si="1133"/>
        <v>17850</v>
      </c>
      <c r="IQ8" s="17">
        <f t="shared" si="1134"/>
        <v>17850</v>
      </c>
      <c r="IR8" s="17">
        <f t="shared" si="1134"/>
        <v>17850</v>
      </c>
      <c r="IS8" s="17">
        <f t="shared" si="1134"/>
        <v>17850</v>
      </c>
      <c r="IT8" s="17">
        <f t="shared" si="1134"/>
        <v>17850</v>
      </c>
      <c r="IU8" s="17">
        <f t="shared" si="1134"/>
        <v>17850</v>
      </c>
      <c r="IV8" s="17">
        <f t="shared" si="1134"/>
        <v>17850</v>
      </c>
      <c r="IW8" s="17">
        <f t="shared" si="1134"/>
        <v>17850</v>
      </c>
      <c r="IX8" s="17">
        <f t="shared" si="1134"/>
        <v>17850</v>
      </c>
      <c r="IY8" s="17">
        <f t="shared" si="1134"/>
        <v>17850</v>
      </c>
      <c r="IZ8" s="17">
        <f t="shared" si="1134"/>
        <v>17850</v>
      </c>
      <c r="JA8" s="17">
        <f t="shared" si="1134"/>
        <v>17850</v>
      </c>
      <c r="JB8" s="17">
        <f t="shared" si="1134"/>
        <v>17850</v>
      </c>
      <c r="JC8" s="17">
        <f t="shared" si="1134"/>
        <v>17850</v>
      </c>
      <c r="JD8" s="17">
        <f t="shared" si="1134"/>
        <v>17850</v>
      </c>
      <c r="JE8" s="17">
        <f t="shared" si="1134"/>
        <v>17850</v>
      </c>
      <c r="JF8" s="17">
        <f t="shared" si="1134"/>
        <v>17850</v>
      </c>
      <c r="JG8" s="17">
        <f t="shared" si="1135"/>
        <v>17850</v>
      </c>
      <c r="JH8" s="17">
        <f t="shared" si="1135"/>
        <v>17850</v>
      </c>
      <c r="JI8" s="17">
        <f t="shared" si="1135"/>
        <v>17850</v>
      </c>
      <c r="JJ8" s="17">
        <f t="shared" si="1135"/>
        <v>17850</v>
      </c>
      <c r="JK8" s="17">
        <f t="shared" si="1135"/>
        <v>17850</v>
      </c>
      <c r="JL8" s="17">
        <f t="shared" si="1135"/>
        <v>17850</v>
      </c>
      <c r="JM8" s="17">
        <f t="shared" si="1135"/>
        <v>17850</v>
      </c>
      <c r="JN8" s="17">
        <f t="shared" si="1135"/>
        <v>17850</v>
      </c>
      <c r="JO8" s="17">
        <f t="shared" si="1135"/>
        <v>17850</v>
      </c>
      <c r="JP8" s="17">
        <f t="shared" si="1135"/>
        <v>17850</v>
      </c>
      <c r="JQ8" s="17">
        <f t="shared" si="1135"/>
        <v>17850</v>
      </c>
      <c r="JR8" s="17">
        <f t="shared" si="1135"/>
        <v>17850</v>
      </c>
      <c r="JS8" s="17">
        <f t="shared" si="1135"/>
        <v>17850</v>
      </c>
      <c r="JT8" s="17">
        <f t="shared" si="1135"/>
        <v>17850</v>
      </c>
      <c r="JU8" s="17">
        <f t="shared" si="1135"/>
        <v>17850</v>
      </c>
      <c r="JV8" s="17">
        <f t="shared" si="1135"/>
        <v>17850</v>
      </c>
      <c r="JW8" s="17">
        <f t="shared" si="1136"/>
        <v>17850</v>
      </c>
      <c r="JX8" s="17">
        <f t="shared" si="1136"/>
        <v>17850</v>
      </c>
      <c r="JY8" s="17">
        <f t="shared" si="1136"/>
        <v>17850</v>
      </c>
      <c r="JZ8" s="17">
        <f t="shared" si="1136"/>
        <v>17850</v>
      </c>
      <c r="KA8" s="17">
        <f t="shared" si="1136"/>
        <v>17850</v>
      </c>
      <c r="KB8" s="17">
        <f t="shared" si="1136"/>
        <v>17850</v>
      </c>
      <c r="KC8" s="17">
        <f t="shared" si="1136"/>
        <v>17850</v>
      </c>
      <c r="KD8" s="17">
        <f t="shared" si="1136"/>
        <v>17850</v>
      </c>
      <c r="KE8" s="17">
        <f t="shared" si="1136"/>
        <v>17850</v>
      </c>
      <c r="KF8" s="17">
        <f t="shared" si="1136"/>
        <v>17850</v>
      </c>
      <c r="KG8" s="17">
        <f t="shared" si="1136"/>
        <v>17850</v>
      </c>
      <c r="KH8" s="17">
        <f t="shared" si="1136"/>
        <v>17850</v>
      </c>
      <c r="KI8" s="17">
        <f t="shared" si="1136"/>
        <v>17850</v>
      </c>
      <c r="KJ8" s="17">
        <f t="shared" si="1136"/>
        <v>17850</v>
      </c>
      <c r="KK8" s="17">
        <f t="shared" si="1136"/>
        <v>17850</v>
      </c>
      <c r="KL8" s="17">
        <f t="shared" si="1136"/>
        <v>17850</v>
      </c>
      <c r="KM8" s="17">
        <f t="shared" si="1137"/>
        <v>17850</v>
      </c>
      <c r="KN8" s="17">
        <f t="shared" si="1137"/>
        <v>17850</v>
      </c>
      <c r="KO8" s="17">
        <f t="shared" si="1137"/>
        <v>17850</v>
      </c>
      <c r="KP8" s="17"/>
      <c r="KQ8" s="17"/>
      <c r="KR8" s="46">
        <f t="shared" ref="KR8:KR13" si="1303">IF(AND(J8&gt;1,$E8=1),G8/12,G8/12/(1+$I8))</f>
        <v>0.90604575163398693</v>
      </c>
      <c r="KS8" s="30">
        <f>(AJ8&gt;0)*(MAX($KR8:KR8)+(MONTH(KS$3)=$J8)*MAX($KR8:KR8)*$I8)</f>
        <v>0.92416666666666669</v>
      </c>
      <c r="KT8" s="30">
        <f>(AK8&gt;0)*(MAX($KR8:KS8)+(MONTH(KT$3)=$J8)*MAX($KR8:KS8)*$I8)</f>
        <v>0.92416666666666669</v>
      </c>
      <c r="KU8" s="30">
        <f>(AL8&gt;0)*(MAX($KR8:KT8)+(MONTH(KU$3)=$J8)*MAX($KR8:KT8)*$I8)</f>
        <v>0.92416666666666669</v>
      </c>
      <c r="KV8" s="30">
        <f>(AM8&gt;0)*(MAX($KR8:KU8)+(MONTH(KV$3)=$J8)*MAX($KR8:KU8)*$I8)</f>
        <v>0.92416666666666669</v>
      </c>
      <c r="KW8" s="30">
        <f>(AN8&gt;0)*(MAX($KR8:KV8)+(MONTH(KW$3)=$J8)*MAX($KR8:KV8)*$I8)</f>
        <v>0.92416666666666669</v>
      </c>
      <c r="KX8" s="30">
        <f>(AO8&gt;0)*(MAX($KR8:KW8)+(MONTH(KX$3)=$J8)*MAX($KR8:KW8)*$I8)</f>
        <v>0.92416666666666669</v>
      </c>
      <c r="KY8" s="30">
        <f>(AP8&gt;0)*(MAX($KR8:KX8)+(MONTH(KY$3)=$J8)*MAX($KR8:KX8)*$I8)</f>
        <v>0.92416666666666669</v>
      </c>
      <c r="KZ8" s="30">
        <f>(AQ8&gt;0)*(MAX($KR8:KY8)+(MONTH(KZ$3)=$J8)*MAX($KR8:KY8)*$I8)</f>
        <v>0.92416666666666669</v>
      </c>
      <c r="LA8" s="30">
        <f>(AR8&gt;0)*(MAX($KR8:KZ8)+(MONTH(LA$3)=$J8)*MAX($KR8:KZ8)*$I8)</f>
        <v>0.92416666666666669</v>
      </c>
      <c r="LB8" s="30">
        <f>(AS8&gt;0)*(MAX($KR8:LA8)+(MONTH(LB$3)=$J8)*MAX($KR8:LA8)*$I8)</f>
        <v>0.92416666666666669</v>
      </c>
      <c r="LC8" s="30">
        <f>(AT8&gt;0)*(MAX($KR8:LB8)+(MONTH(LC$3)=$J8)*MAX($KR8:LB8)*$I8)</f>
        <v>0.92416666666666669</v>
      </c>
      <c r="LD8" s="30">
        <f>(AU8&gt;0)*(MAX($KR8:LC8)+(MONTH(LD$3)=$J8)*MAX($KR8:LC8)*$I8)</f>
        <v>0.92416666666666669</v>
      </c>
      <c r="LE8" s="30">
        <f>(AV8&gt;0)*(MAX($KR8:LD8)+(MONTH(LE$3)=$J8)*MAX($KR8:LD8)*$I8)</f>
        <v>0.94264999999999999</v>
      </c>
      <c r="LF8" s="30">
        <f>(AW8&gt;0)*(MAX($KR8:LE8)+(MONTH(LF$3)=$J8)*MAX($KR8:LE8)*$I8)</f>
        <v>0.94264999999999999</v>
      </c>
      <c r="LG8" s="30">
        <f>(AX8&gt;0)*(MAX($KR8:LF8)+(MONTH(LG$3)=$J8)*MAX($KR8:LF8)*$I8)</f>
        <v>0.94264999999999999</v>
      </c>
      <c r="LH8" s="30">
        <f>(AY8&gt;0)*(MAX($KR8:LG8)+(MONTH(LH$3)=$J8)*MAX($KR8:LG8)*$I8)</f>
        <v>0.94264999999999999</v>
      </c>
      <c r="LI8" s="30">
        <f>(AZ8&gt;0)*(MAX($KR8:LH8)+(MONTH(LI$3)=$J8)*MAX($KR8:LH8)*$I8)</f>
        <v>0.94264999999999999</v>
      </c>
      <c r="LJ8" s="30">
        <f>(BA8&gt;0)*(MAX($KR8:LI8)+(MONTH(LJ$3)=$J8)*MAX($KR8:LI8)*$I8)</f>
        <v>0.94264999999999999</v>
      </c>
      <c r="LK8" s="30">
        <f>(BB8&gt;0)*(MAX($KR8:LJ8)+(MONTH(LK$3)=$J8)*MAX($KR8:LJ8)*$I8)</f>
        <v>0.94264999999999999</v>
      </c>
      <c r="LL8" s="30">
        <f>(BC8&gt;0)*(MAX($KR8:LK8)+(MONTH(LL$3)=$J8)*MAX($KR8:LK8)*$I8)</f>
        <v>0.94264999999999999</v>
      </c>
      <c r="LM8" s="30">
        <f>(BD8&gt;0)*(MAX($KR8:LL8)+(MONTH(LM$3)=$J8)*MAX($KR8:LL8)*$I8)</f>
        <v>0.94264999999999999</v>
      </c>
      <c r="LN8" s="30">
        <f>(BE8&gt;0)*(MAX($KR8:LM8)+(MONTH(LN$3)=$J8)*MAX($KR8:LM8)*$I8)</f>
        <v>0.94264999999999999</v>
      </c>
      <c r="LO8" s="30">
        <f>(BF8&gt;0)*(MAX($KR8:LN8)+(MONTH(LO$3)=$J8)*MAX($KR8:LN8)*$I8)</f>
        <v>0.94264999999999999</v>
      </c>
      <c r="LP8" s="30">
        <f>(BG8&gt;0)*(MAX($KR8:LO8)+(MONTH(LP$3)=$J8)*MAX($KR8:LO8)*$I8)</f>
        <v>0.94264999999999999</v>
      </c>
      <c r="LQ8" s="30">
        <f>(BH8&gt;0)*(MAX($KR8:LP8)+(MONTH(LQ$3)=$J8)*MAX($KR8:LP8)*$I8)</f>
        <v>0.961503</v>
      </c>
      <c r="LR8" s="30">
        <f>(BI8&gt;0)*(MAX($KR8:LQ8)+(MONTH(LR$3)=$J8)*MAX($KR8:LQ8)*$I8)</f>
        <v>0.961503</v>
      </c>
      <c r="LS8" s="30">
        <f>(BJ8&gt;0)*(MAX($KR8:LR8)+(MONTH(LS$3)=$J8)*MAX($KR8:LR8)*$I8)</f>
        <v>0.961503</v>
      </c>
      <c r="LT8" s="30">
        <f>(BK8&gt;0)*(MAX($KR8:LS8)+(MONTH(LT$3)=$J8)*MAX($KR8:LS8)*$I8)</f>
        <v>0.961503</v>
      </c>
      <c r="LU8" s="30">
        <f>(BL8&gt;0)*(MAX($KR8:LT8)+(MONTH(LU$3)=$J8)*MAX($KR8:LT8)*$I8)</f>
        <v>0.961503</v>
      </c>
      <c r="LV8" s="30">
        <f>(BM8&gt;0)*(MAX($KR8:LU8)+(MONTH(LV$3)=$J8)*MAX($KR8:LU8)*$I8)</f>
        <v>0.961503</v>
      </c>
      <c r="LW8" s="30">
        <f>(BN8&gt;0)*(MAX($KR8:LV8)+(MONTH(LW$3)=$J8)*MAX($KR8:LV8)*$I8)</f>
        <v>0.961503</v>
      </c>
      <c r="LX8" s="30">
        <f>(BO8&gt;0)*(MAX($KR8:LW8)+(MONTH(LX$3)=$J8)*MAX($KR8:LW8)*$I8)</f>
        <v>0.961503</v>
      </c>
      <c r="LY8" s="30">
        <f>(BP8&gt;0)*(MAX($KR8:LX8)+(MONTH(LY$3)=$J8)*MAX($KR8:LX8)*$I8)</f>
        <v>0.961503</v>
      </c>
      <c r="LZ8" s="30">
        <f>(BQ8&gt;0)*(MAX($KR8:LY8)+(MONTH(LZ$3)=$J8)*MAX($KR8:LY8)*$I8)</f>
        <v>0.961503</v>
      </c>
      <c r="MA8" s="30">
        <f>(BR8&gt;0)*(MAX($KR8:LZ8)+(MONTH(MA$3)=$J8)*MAX($KR8:LZ8)*$I8)</f>
        <v>0.961503</v>
      </c>
      <c r="MB8" s="30">
        <f>(BS8&gt;0)*(MAX($KR8:MA8)+(MONTH(MB$3)=$J8)*MAX($KR8:MA8)*$I8)</f>
        <v>0.961503</v>
      </c>
      <c r="MC8" s="30">
        <f>(BT8&gt;0)*(MAX($KR8:MB8)+(MONTH(MC$3)=$J8)*MAX($KR8:MB8)*$I8)</f>
        <v>0</v>
      </c>
      <c r="MD8" s="30">
        <f>(BU8&gt;0)*(MAX($KR8:MC8)+(MONTH(MD$3)=$J8)*MAX($KR8:MC8)*$I8)</f>
        <v>0</v>
      </c>
      <c r="ME8" s="30">
        <f>(BV8&gt;0)*(MAX($KR8:MD8)+(MONTH(ME$3)=$J8)*MAX($KR8:MD8)*$I8)</f>
        <v>0</v>
      </c>
      <c r="MF8" s="30">
        <f>(BW8&gt;0)*(MAX($KR8:ME8)+(MONTH(MF$3)=$J8)*MAX($KR8:ME8)*$I8)</f>
        <v>0</v>
      </c>
      <c r="MG8" s="30">
        <f>(BX8&gt;0)*(MAX($KR8:MF8)+(MONTH(MG$3)=$J8)*MAX($KR8:MF8)*$I8)</f>
        <v>0</v>
      </c>
      <c r="MH8" s="30">
        <f>(BY8&gt;0)*(MAX($KR8:MG8)+(MONTH(MH$3)=$J8)*MAX($KR8:MG8)*$I8)</f>
        <v>0</v>
      </c>
      <c r="MI8" s="30">
        <f>(BZ8&gt;0)*(MAX($KR8:MH8)+(MONTH(MI$3)=$J8)*MAX($KR8:MH8)*$I8)</f>
        <v>0</v>
      </c>
      <c r="MJ8" s="30">
        <f>(CA8&gt;0)*(MAX($KR8:MI8)+(MONTH(MJ$3)=$J8)*MAX($KR8:MI8)*$I8)</f>
        <v>0</v>
      </c>
      <c r="MK8" s="30">
        <f>(CB8&gt;0)*(MAX($KR8:MJ8)+(MONTH(MK$3)=$J8)*MAX($KR8:MJ8)*$I8)</f>
        <v>0</v>
      </c>
      <c r="ML8" s="30">
        <f>(CC8&gt;0)*(MAX($KR8:MK8)+(MONTH(ML$3)=$J8)*MAX($KR8:MK8)*$I8)</f>
        <v>0</v>
      </c>
      <c r="MM8" s="30">
        <f>(CD8&gt;0)*(MAX($KR8:ML8)+(MONTH(MM$3)=$J8)*MAX($KR8:ML8)*$I8)</f>
        <v>0</v>
      </c>
      <c r="MN8" s="30">
        <f>(CE8&gt;0)*(MAX($KR8:MM8)+(MONTH(MN$3)=$J8)*MAX($KR8:MM8)*$I8)</f>
        <v>0</v>
      </c>
      <c r="MO8" s="30">
        <f>(CF8&gt;0)*(MAX($KR8:MN8)+(MONTH(MO$3)=$J8)*MAX($KR8:MN8)*$I8)</f>
        <v>0</v>
      </c>
      <c r="MP8" s="30">
        <f>(CG8&gt;0)*(MAX($KR8:MO8)+(MONTH(MP$3)=$J8)*MAX($KR8:MO8)*$I8)</f>
        <v>0</v>
      </c>
      <c r="MQ8" s="30">
        <f>(CH8&gt;0)*(MAX($KR8:MP8)+(MONTH(MQ$3)=$J8)*MAX($KR8:MP8)*$I8)</f>
        <v>0</v>
      </c>
      <c r="MR8" s="30">
        <f>(CI8&gt;0)*(MAX($KR8:MQ8)+(MONTH(MR$3)=$J8)*MAX($KR8:MQ8)*$I8)</f>
        <v>0</v>
      </c>
      <c r="MS8" s="30">
        <f>(CJ8&gt;0)*(MAX($KR8:MR8)+(MONTH(MS$3)=$J8)*MAX($KR8:MR8)*$I8)</f>
        <v>0</v>
      </c>
      <c r="MT8" s="30">
        <f>(CK8&gt;0)*(MAX($KR8:MS8)+(MONTH(MT$3)=$J8)*MAX($KR8:MS8)*$I8)</f>
        <v>0</v>
      </c>
      <c r="MU8" s="30">
        <f>(CL8&gt;0)*(MAX($KR8:MT8)+(MONTH(MU$3)=$J8)*MAX($KR8:MT8)*$I8)</f>
        <v>0</v>
      </c>
      <c r="MV8" s="30">
        <f>(CM8&gt;0)*(MAX($KR8:MU8)+(MONTH(MV$3)=$J8)*MAX($KR8:MU8)*$I8)</f>
        <v>0</v>
      </c>
      <c r="MW8" s="30">
        <f>(CN8&gt;0)*(MAX($KR8:MV8)+(MONTH(MW$3)=$J8)*MAX($KR8:MV8)*$I8)</f>
        <v>0</v>
      </c>
      <c r="MX8" s="30">
        <f>(CO8&gt;0)*(MAX($KR8:MW8)+(MONTH(MX$3)=$J8)*MAX($KR8:MW8)*$I8)</f>
        <v>0</v>
      </c>
      <c r="MY8" s="30">
        <f>(CP8&gt;0)*(MAX($KR8:MX8)+(MONTH(MY$3)=$J8)*MAX($KR8:MX8)*$I8)</f>
        <v>0</v>
      </c>
      <c r="MZ8" s="30">
        <f>(CQ8&gt;0)*(MAX($KR8:MY8)+(MONTH(MZ$3)=$J8)*MAX($KR8:MY8)*$I8)</f>
        <v>0</v>
      </c>
      <c r="NA8" s="30">
        <f>(CR8&gt;0)*(MAX($KR8:MZ8)+(MONTH(NA$3)=$J8)*MAX($KR8:MZ8)*$I8)</f>
        <v>0</v>
      </c>
      <c r="NB8" s="30">
        <f>(CS8&gt;0)*(MAX($KR8:NA8)+(MONTH(NB$3)=$J8)*MAX($KR8:NA8)*$I8)</f>
        <v>0</v>
      </c>
      <c r="NC8" s="30">
        <f>(CT8&gt;0)*(MAX($KR8:NB8)+(MONTH(NC$3)=$J8)*MAX($KR8:NB8)*$I8)</f>
        <v>0</v>
      </c>
      <c r="ND8" s="30">
        <f>(CU8&gt;0)*(MAX($KR8:NC8)+(MONTH(ND$3)=$J8)*MAX($KR8:NC8)*$I8)</f>
        <v>0</v>
      </c>
      <c r="NE8" s="30">
        <f>(CV8&gt;0)*(MAX($KR8:ND8)+(MONTH(NE$3)=$J8)*MAX($KR8:ND8)*$I8)</f>
        <v>0</v>
      </c>
      <c r="NF8" s="30">
        <f>(CW8&gt;0)*(MAX($KR8:NE8)+(MONTH(NF$3)=$J8)*MAX($KR8:NE8)*$I8)</f>
        <v>0</v>
      </c>
      <c r="NG8" s="30">
        <f>(CX8&gt;0)*(MAX($KR8:NF8)+(MONTH(NG$3)=$J8)*MAX($KR8:NF8)*$I8)</f>
        <v>0</v>
      </c>
      <c r="NH8" s="30">
        <f>(CY8&gt;0)*(MAX($KR8:NG8)+(MONTH(NH$3)=$J8)*MAX($KR8:NG8)*$I8)</f>
        <v>0</v>
      </c>
      <c r="NI8" s="30">
        <f>(CZ8&gt;0)*(MAX($KR8:NH8)+(MONTH(NI$3)=$J8)*MAX($KR8:NH8)*$I8)</f>
        <v>0</v>
      </c>
      <c r="NJ8" s="30">
        <f>(DA8&gt;0)*(MAX($KR8:NI8)+(MONTH(NJ$3)=$J8)*MAX($KR8:NI8)*$I8)</f>
        <v>0</v>
      </c>
      <c r="NK8" s="30">
        <f>(DB8&gt;0)*(MAX($KR8:NJ8)+(MONTH(NK$3)=$J8)*MAX($KR8:NJ8)*$I8)</f>
        <v>0</v>
      </c>
      <c r="NL8" s="30">
        <f>(DC8&gt;0)*(MAX($KR8:NK8)+(MONTH(NL$3)=$J8)*MAX($KR8:NK8)*$I8)</f>
        <v>0</v>
      </c>
      <c r="NM8" s="30">
        <f>(DD8&gt;0)*(MAX($KR8:NL8)+(MONTH(NM$3)=$J8)*MAX($KR8:NL8)*$I8)</f>
        <v>0</v>
      </c>
      <c r="NN8" s="30">
        <f>(DE8&gt;0)*(MAX($KR8:NM8)+(MONTH(NN$3)=$J8)*MAX($KR8:NM8)*$I8)</f>
        <v>0</v>
      </c>
      <c r="NO8" s="30">
        <f>(DF8&gt;0)*(MAX($KR8:NN8)+(MONTH(NO$3)=$J8)*MAX($KR8:NN8)*$I8)</f>
        <v>0</v>
      </c>
      <c r="NP8" s="30">
        <f>(DG8&gt;0)*(MAX($KR8:NO8)+(MONTH(NP$3)=$J8)*MAX($KR8:NO8)*$I8)</f>
        <v>0</v>
      </c>
      <c r="NQ8" s="30">
        <f>(DH8&gt;0)*(MAX($KR8:NP8)+(MONTH(NQ$3)=$J8)*MAX($KR8:NP8)*$I8)</f>
        <v>0</v>
      </c>
      <c r="NR8" s="30">
        <f>(DI8&gt;0)*(MAX($KR8:NQ8)+(MONTH(NR$3)=$J8)*MAX($KR8:NQ8)*$I8)</f>
        <v>0</v>
      </c>
      <c r="NS8" s="30">
        <f>(DJ8&gt;0)*(MAX($KR8:NR8)+(MONTH(NS$3)=$J8)*MAX($KR8:NR8)*$I8)</f>
        <v>0</v>
      </c>
      <c r="NT8" s="30">
        <f>(DK8&gt;0)*(MAX($KR8:NS8)+(MONTH(NT$3)=$J8)*MAX($KR8:NS8)*$I8)</f>
        <v>0</v>
      </c>
      <c r="NU8" s="30">
        <f>(DL8&gt;0)*(MAX($KR8:NT8)+(MONTH(NU$3)=$J8)*MAX($KR8:NT8)*$I8)</f>
        <v>0</v>
      </c>
      <c r="NV8" s="30">
        <f>(DM8&gt;0)*(MAX($KR8:NU8)+(MONTH(NV$3)=$J8)*MAX($KR8:NU8)*$I8)</f>
        <v>0</v>
      </c>
      <c r="NW8" s="30">
        <f>(DN8&gt;0)*(MAX($KR8:NV8)+(MONTH(NW$3)=$J8)*MAX($KR8:NV8)*$I8)</f>
        <v>0</v>
      </c>
      <c r="NX8" s="30">
        <f>(DO8&gt;0)*(MAX($KR8:NW8)+(MONTH(NX$3)=$J8)*MAX($KR8:NW8)*$I8)</f>
        <v>0</v>
      </c>
      <c r="NY8" s="30">
        <f>(DP8&gt;0)*(MAX($KR8:NX8)+(MONTH(NY$3)=$J8)*MAX($KR8:NX8)*$I8)</f>
        <v>0</v>
      </c>
      <c r="NZ8" s="30">
        <f>(DQ8&gt;0)*(MAX($KR8:NY8)+(MONTH(NZ$3)=$J8)*MAX($KR8:NY8)*$I8)</f>
        <v>0</v>
      </c>
      <c r="OA8" s="30">
        <f>(DR8&gt;0)*(MAX($KR8:NZ8)+(MONTH(OA$3)=$J8)*MAX($KR8:NZ8)*$I8)</f>
        <v>0</v>
      </c>
      <c r="OB8" s="30">
        <f>(DS8&gt;0)*(MAX($KR8:OA8)+(MONTH(OB$3)=$J8)*MAX($KR8:OA8)*$I8)</f>
        <v>0</v>
      </c>
      <c r="OC8" s="30">
        <f>(DT8&gt;0)*(MAX($KR8:OB8)+(MONTH(OC$3)=$J8)*MAX($KR8:OB8)*$I8)</f>
        <v>0</v>
      </c>
      <c r="OD8" s="30">
        <f>(DU8&gt;0)*(MAX($KR8:OC8)+(MONTH(OD$3)=$J8)*MAX($KR8:OC8)*$I8)</f>
        <v>0</v>
      </c>
      <c r="OE8" s="30">
        <f>(DV8&gt;0)*(MAX($KR8:OD8)+(MONTH(OE$3)=$J8)*MAX($KR8:OD8)*$I8)</f>
        <v>0</v>
      </c>
      <c r="OF8" s="30">
        <f>(DW8&gt;0)*(MAX($KR8:OE8)+(MONTH(OF$3)=$J8)*MAX($KR8:OE8)*$I8)</f>
        <v>0</v>
      </c>
      <c r="OG8" s="30">
        <f>(DX8&gt;0)*(MAX($KR8:OF8)+(MONTH(OG$3)=$J8)*MAX($KR8:OF8)*$I8)</f>
        <v>0</v>
      </c>
      <c r="OH8" s="30">
        <f>(DY8&gt;0)*(MAX($KR8:OG8)+(MONTH(OH$3)=$J8)*MAX($KR8:OG8)*$I8)</f>
        <v>0</v>
      </c>
      <c r="OI8" s="30">
        <f>(DZ8&gt;0)*(MAX($KR8:OH8)+(MONTH(OI$3)=$J8)*MAX($KR8:OH8)*$I8)</f>
        <v>0</v>
      </c>
      <c r="OJ8" s="30">
        <f>(EA8&gt;0)*(MAX($KR8:OI8)+(MONTH(OJ$3)=$J8)*MAX($KR8:OI8)*$I8)</f>
        <v>0</v>
      </c>
      <c r="OK8" s="30">
        <f>(EB8&gt;0)*(MAX($KR8:OJ8)+(MONTH(OK$3)=$J8)*MAX($KR8:OJ8)*$I8)</f>
        <v>0</v>
      </c>
      <c r="OL8" s="30">
        <f>(EC8&gt;0)*(MAX($KR8:OK8)+(MONTH(OL$3)=$J8)*MAX($KR8:OK8)*$I8)</f>
        <v>0</v>
      </c>
      <c r="OM8" s="30">
        <f>(ED8&gt;0)*(MAX($KR8:OL8)+(MONTH(OM$3)=$J8)*MAX($KR8:OL8)*$I8)</f>
        <v>0</v>
      </c>
      <c r="ON8" s="30">
        <f>(EE8&gt;0)*(MAX($KR8:OM8)+(MONTH(ON$3)=$J8)*MAX($KR8:OM8)*$I8)</f>
        <v>0</v>
      </c>
      <c r="OO8" s="30">
        <f>(EF8&gt;0)*(MAX($KR8:ON8)+(MONTH(OO$3)=$J8)*MAX($KR8:ON8)*$I8)</f>
        <v>0</v>
      </c>
      <c r="OP8" s="30">
        <f>(EG8&gt;0)*(MAX($KR8:OO8)+(MONTH(OP$3)=$J8)*MAX($KR8:OO8)*$I8)</f>
        <v>0</v>
      </c>
      <c r="OQ8" s="30">
        <f>(EH8&gt;0)*(MAX($KR8:OP8)+(MONTH(OQ$3)=$J8)*MAX($KR8:OP8)*$I8)</f>
        <v>0</v>
      </c>
      <c r="OR8" s="30">
        <f>(EI8&gt;0)*(MAX($KR8:OQ8)+(MONTH(OR$3)=$J8)*MAX($KR8:OQ8)*$I8)</f>
        <v>0</v>
      </c>
      <c r="OS8" s="30">
        <f>(EJ8&gt;0)*(MAX($KR8:OR8)+(MONTH(OS$3)=$J8)*MAX($KR8:OR8)*$I8)</f>
        <v>0</v>
      </c>
      <c r="OT8" s="30">
        <f>(EK8&gt;0)*(MAX($KR8:OS8)+(MONTH(OT$3)=$J8)*MAX($KR8:OS8)*$I8)</f>
        <v>0</v>
      </c>
      <c r="OU8" s="30">
        <f>(EL8&gt;0)*(MAX($KR8:OT8)+(MONTH(OU$3)=$J8)*MAX($KR8:OT8)*$I8)</f>
        <v>0</v>
      </c>
      <c r="OV8" s="30">
        <f>(EM8&gt;0)*(MAX($KR8:OU8)+(MONTH(OV$3)=$J8)*MAX($KR8:OU8)*$I8)</f>
        <v>0</v>
      </c>
      <c r="OW8" s="30">
        <f>(EN8&gt;0)*(MAX($KR8:OV8)+(MONTH(OW$3)=$J8)*MAX($KR8:OV8)*$I8)</f>
        <v>0</v>
      </c>
      <c r="OX8" s="30">
        <f>(EO8&gt;0)*(MAX($KR8:OW8)+(MONTH(OX$3)=$J8)*MAX($KR8:OW8)*$I8)</f>
        <v>0</v>
      </c>
      <c r="OY8" s="30">
        <f>(EP8&gt;0)*(MAX($KR8:OX8)+(MONTH(OY$3)=$J8)*MAX($KR8:OX8)*$I8)</f>
        <v>0</v>
      </c>
      <c r="OZ8" s="30">
        <f>(EQ8&gt;0)*(MAX($KR8:OY8)+(MONTH(OZ$3)=$J8)*MAX($KR8:OY8)*$I8)</f>
        <v>0</v>
      </c>
      <c r="PA8" s="30">
        <f>(ER8&gt;0)*(MAX($KR8:OZ8)+(MONTH(PA$3)=$J8)*MAX($KR8:OZ8)*$I8)</f>
        <v>0</v>
      </c>
      <c r="PB8" s="30">
        <f>(ES8&gt;0)*(MAX($KR8:PA8)+(MONTH(PB$3)=$J8)*MAX($KR8:PA8)*$I8)</f>
        <v>0</v>
      </c>
      <c r="PC8" s="30">
        <f>(ET8&gt;0)*(MAX($KR8:PB8)+(MONTH(PC$3)=$J8)*MAX($KR8:PB8)*$I8)</f>
        <v>0</v>
      </c>
      <c r="PD8" s="30">
        <f>(EU8&gt;0)*(MAX($KR8:PC8)+(MONTH(PD$3)=$J8)*MAX($KR8:PC8)*$I8)</f>
        <v>0</v>
      </c>
      <c r="PE8" s="30">
        <f>(EV8&gt;0)*(MAX($KR8:PD8)+(MONTH(PE$3)=$J8)*MAX($KR8:PD8)*$I8)</f>
        <v>0</v>
      </c>
      <c r="PF8" s="30">
        <f>(EW8&gt;0)*(MAX($KR8:PE8)+(MONTH(PF$3)=$J8)*MAX($KR8:PE8)*$I8)</f>
        <v>0</v>
      </c>
      <c r="PG8" s="30">
        <f>(EX8&gt;0)*(MAX($KR8:PF8)+(MONTH(PG$3)=$J8)*MAX($KR8:PF8)*$I8)</f>
        <v>0</v>
      </c>
      <c r="PH8" s="30">
        <f>(EY8&gt;0)*(MAX($KR8:PG8)+(MONTH(PH$3)=$J8)*MAX($KR8:PG8)*$I8)</f>
        <v>0</v>
      </c>
      <c r="PI8" s="30">
        <f>(EZ8&gt;0)*(MAX($KR8:PH8)+(MONTH(PI$3)=$J8)*MAX($KR8:PH8)*$I8)</f>
        <v>0</v>
      </c>
      <c r="PJ8" s="30">
        <f>(FA8&gt;0)*(MAX($KR8:PI8)+(MONTH(PJ$3)=$J8)*MAX($KR8:PI8)*$I8)</f>
        <v>0</v>
      </c>
      <c r="PK8" s="30">
        <f>(FB8&gt;0)*(MAX($KR8:PJ8)+(MONTH(PK$3)=$J8)*MAX($KR8:PJ8)*$I8)</f>
        <v>0</v>
      </c>
      <c r="PL8" s="30">
        <f>(FC8&gt;0)*(MAX($KR8:PK8)+(MONTH(PL$3)=$J8)*MAX($KR8:PK8)*$I8)</f>
        <v>0</v>
      </c>
      <c r="PM8" s="30">
        <f>(FD8&gt;0)*(MAX($KR8:PL8)+(MONTH(PM$3)=$J8)*MAX($KR8:PL8)*$I8)</f>
        <v>0</v>
      </c>
      <c r="PN8" s="30">
        <f>(FE8&gt;0)*(MAX($KR8:PM8)+(MONTH(PN$3)=$J8)*MAX($KR8:PM8)*$I8)</f>
        <v>0</v>
      </c>
      <c r="PO8" s="30">
        <f>(FF8&gt;0)*(MAX($KR8:PN8)+(MONTH(PO$3)=$J8)*MAX($KR8:PN8)*$I8)</f>
        <v>0</v>
      </c>
      <c r="PP8" s="30">
        <f>(FG8&gt;0)*(MAX($KR8:PO8)+(MONTH(PP$3)=$J8)*MAX($KR8:PO8)*$I8)</f>
        <v>0</v>
      </c>
      <c r="PQ8" s="30">
        <f>(FH8&gt;0)*(MAX($KR8:PP8)+(MONTH(PQ$3)=$J8)*MAX($KR8:PP8)*$I8)</f>
        <v>0</v>
      </c>
      <c r="PR8" s="30">
        <f>(FI8&gt;0)*(MAX($KR8:PQ8)+(MONTH(PR$3)=$J8)*MAX($KR8:PQ8)*$I8)</f>
        <v>0</v>
      </c>
      <c r="PS8" s="30">
        <f>(FJ8&gt;0)*(MAX($KR8:PR8)+(MONTH(PS$3)=$J8)*MAX($KR8:PR8)*$I8)</f>
        <v>0</v>
      </c>
      <c r="PT8" s="30">
        <f>(FK8&gt;0)*(MAX($KR8:PS8)+(MONTH(PT$3)=$J8)*MAX($KR8:PS8)*$I8)</f>
        <v>0</v>
      </c>
      <c r="PU8" s="30"/>
      <c r="PV8" s="30"/>
      <c r="PW8" s="46">
        <f t="shared" ref="PW8:PW13" si="1304">T8/12/(1+U8)</f>
        <v>1.25715</v>
      </c>
      <c r="PX8" s="30">
        <f>(FN8&gt;0)*(MAX($PW8:PW8)+(MONTH(PX$3)=$V8)*MAX($PW8:PW8)*$U8)</f>
        <v>0</v>
      </c>
      <c r="PY8" s="30">
        <f>(FO8&gt;0)*(MAX($PW8:PX8)+(MONTH(PY$3)=$V8)*MAX($PW8:PX8)*$U8)</f>
        <v>0</v>
      </c>
      <c r="PZ8" s="30">
        <f>(FP8&gt;0)*(MAX($PW8:PY8)+(MONTH(PZ$3)=$V8)*MAX($PW8:PY8)*$U8)</f>
        <v>0</v>
      </c>
      <c r="QA8" s="30">
        <f>(FQ8&gt;0)*(MAX($PW8:PZ8)+(MONTH(QA$3)=$V8)*MAX($PW8:PZ8)*$U8)</f>
        <v>0</v>
      </c>
      <c r="QB8" s="30">
        <f>(FR8&gt;0)*(MAX($PW8:QA8)+(MONTH(QB$3)=$V8)*MAX($PW8:QA8)*$U8)</f>
        <v>0</v>
      </c>
      <c r="QC8" s="30">
        <f>(FS8&gt;0)*(MAX($PW8:QB8)+(MONTH(QC$3)=$V8)*MAX($PW8:QB8)*$U8)</f>
        <v>0</v>
      </c>
      <c r="QD8" s="30">
        <f>(FT8&gt;0)*(MAX($PW8:QC8)+(MONTH(QD$3)=$V8)*MAX($PW8:QC8)*$U8)</f>
        <v>0</v>
      </c>
      <c r="QE8" s="30">
        <f>(FU8&gt;0)*(MAX($PW8:QD8)+(MONTH(QE$3)=$V8)*MAX($PW8:QD8)*$U8)</f>
        <v>0</v>
      </c>
      <c r="QF8" s="30">
        <f>(FV8&gt;0)*(MAX($PW8:QE8)+(MONTH(QF$3)=$V8)*MAX($PW8:QE8)*$U8)</f>
        <v>0</v>
      </c>
      <c r="QG8" s="30">
        <f>(FW8&gt;0)*(MAX($PW8:QF8)+(MONTH(QG$3)=$V8)*MAX($PW8:QF8)*$U8)</f>
        <v>0</v>
      </c>
      <c r="QH8" s="30">
        <f>(FX8&gt;0)*(MAX($PW8:QG8)+(MONTH(QH$3)=$V8)*MAX($PW8:QG8)*$U8)</f>
        <v>0</v>
      </c>
      <c r="QI8" s="30">
        <f>(FY8&gt;0)*(MAX($PW8:QH8)+(MONTH(QI$3)=$V8)*MAX($PW8:QH8)*$U8)</f>
        <v>0</v>
      </c>
      <c r="QJ8" s="30">
        <f>(FZ8&gt;0)*(MAX($PW8:QI8)+(MONTH(QJ$3)=$V8)*MAX($PW8:QI8)*$U8)</f>
        <v>0</v>
      </c>
      <c r="QK8" s="30">
        <f>(GA8&gt;0)*(MAX($PW8:QJ8)+(MONTH(QK$3)=$V8)*MAX($PW8:QJ8)*$U8)</f>
        <v>0</v>
      </c>
      <c r="QL8" s="30">
        <f>(GB8&gt;0)*(MAX($PW8:QK8)+(MONTH(QL$3)=$V8)*MAX($PW8:QK8)*$U8)</f>
        <v>0</v>
      </c>
      <c r="QM8" s="30">
        <f>(GC8&gt;0)*(MAX($PW8:QL8)+(MONTH(QM$3)=$V8)*MAX($PW8:QL8)*$U8)</f>
        <v>0</v>
      </c>
      <c r="QN8" s="30">
        <f>(GD8&gt;0)*(MAX($PW8:QM8)+(MONTH(QN$3)=$V8)*MAX($PW8:QM8)*$U8)</f>
        <v>0</v>
      </c>
      <c r="QO8" s="30">
        <f>(GE8&gt;0)*(MAX($PW8:QN8)+(MONTH(QO$3)=$V8)*MAX($PW8:QN8)*$U8)</f>
        <v>0</v>
      </c>
      <c r="QP8" s="30">
        <f>(GF8&gt;0)*(MAX($PW8:QO8)+(MONTH(QP$3)=$V8)*MAX($PW8:QO8)*$U8)</f>
        <v>0</v>
      </c>
      <c r="QQ8" s="30">
        <f>(GG8&gt;0)*(MAX($PW8:QP8)+(MONTH(QQ$3)=$V8)*MAX($PW8:QP8)*$U8)</f>
        <v>0</v>
      </c>
      <c r="QR8" s="30">
        <f>(GH8&gt;0)*(MAX($PW8:QQ8)+(MONTH(QR$3)=$V8)*MAX($PW8:QQ8)*$U8)</f>
        <v>0</v>
      </c>
      <c r="QS8" s="30">
        <f>(GI8&gt;0)*(MAX($PW8:QR8)+(MONTH(QS$3)=$V8)*MAX($PW8:QR8)*$U8)</f>
        <v>0</v>
      </c>
      <c r="QT8" s="30">
        <f>(GJ8&gt;0)*(MAX($PW8:QS8)+(MONTH(QT$3)=$V8)*MAX($PW8:QS8)*$U8)</f>
        <v>0</v>
      </c>
      <c r="QU8" s="30">
        <f>(GK8&gt;0)*(MAX($PW8:QT8)+(MONTH(QU$3)=$V8)*MAX($PW8:QT8)*$U8)</f>
        <v>0</v>
      </c>
      <c r="QV8" s="30">
        <f>(GL8&gt;0)*(MAX($PW8:QU8)+(MONTH(QV$3)=$V8)*MAX($PW8:QU8)*$U8)</f>
        <v>0</v>
      </c>
      <c r="QW8" s="30">
        <f>(GM8&gt;0)*(MAX($PW8:QV8)+(MONTH(QW$3)=$V8)*MAX($PW8:QV8)*$U8)</f>
        <v>0</v>
      </c>
      <c r="QX8" s="30">
        <f>(GN8&gt;0)*(MAX($PW8:QW8)+(MONTH(QX$3)=$V8)*MAX($PW8:QW8)*$U8)</f>
        <v>0</v>
      </c>
      <c r="QY8" s="30">
        <f>(GO8&gt;0)*(MAX($PW8:QX8)+(MONTH(QY$3)=$V8)*MAX($PW8:QX8)*$U8)</f>
        <v>0</v>
      </c>
      <c r="QZ8" s="30">
        <f>(GP8&gt;0)*(MAX($PW8:QY8)+(MONTH(QZ$3)=$V8)*MAX($PW8:QY8)*$U8)</f>
        <v>0</v>
      </c>
      <c r="RA8" s="30">
        <f>(GQ8&gt;0)*(MAX($PW8:QZ8)+(MONTH(RA$3)=$V8)*MAX($PW8:QZ8)*$U8)</f>
        <v>0</v>
      </c>
      <c r="RB8" s="30">
        <f>(GR8&gt;0)*(MAX($PW8:RA8)+(MONTH(RB$3)=$V8)*MAX($PW8:RA8)*$U8)</f>
        <v>0</v>
      </c>
      <c r="RC8" s="30">
        <f>(GS8&gt;0)*(MAX($PW8:RB8)+(MONTH(RC$3)=$V8)*MAX($PW8:RB8)*$U8)</f>
        <v>0</v>
      </c>
      <c r="RD8" s="30">
        <f>(GT8&gt;0)*(MAX($PW8:RC8)+(MONTH(RD$3)=$V8)*MAX($PW8:RC8)*$U8)</f>
        <v>0</v>
      </c>
      <c r="RE8" s="30">
        <f>(GU8&gt;0)*(MAX($PW8:RD8)+(MONTH(RE$3)=$V8)*MAX($PW8:RD8)*$U8)</f>
        <v>0</v>
      </c>
      <c r="RF8" s="30">
        <f>(GV8&gt;0)*(MAX($PW8:RE8)+(MONTH(RF$3)=$V8)*MAX($PW8:RE8)*$U8)</f>
        <v>0</v>
      </c>
      <c r="RG8" s="30">
        <f>(GW8&gt;0)*(MAX($PW8:RF8)+(MONTH(RG$3)=$V8)*MAX($PW8:RF8)*$U8)</f>
        <v>0</v>
      </c>
      <c r="RH8" s="30">
        <f>(GX8&gt;0)*(MAX($PW8:RG8)+(MONTH(RH$3)=$V8)*MAX($PW8:RG8)*$U8)</f>
        <v>0</v>
      </c>
      <c r="RI8" s="30">
        <f>(GY8&gt;0)*(MAX($PW8:RH8)+(MONTH(RI$3)=$V8)*MAX($PW8:RH8)*$U8)</f>
        <v>0</v>
      </c>
      <c r="RJ8" s="30">
        <f>(GZ8&gt;0)*(MAX($PW8:RI8)+(MONTH(RJ$3)=$V8)*MAX($PW8:RI8)*$U8)</f>
        <v>0</v>
      </c>
      <c r="RK8" s="30">
        <f>(HA8&gt;0)*(MAX($PW8:RJ8)+(MONTH(RK$3)=$V8)*MAX($PW8:RJ8)*$U8)</f>
        <v>1.2822929999999999</v>
      </c>
      <c r="RL8" s="30">
        <f>(HB8&gt;0)*(MAX($PW8:RK8)+(MONTH(RL$3)=$V8)*MAX($PW8:RK8)*$U8)</f>
        <v>1.2822929999999999</v>
      </c>
      <c r="RM8" s="30">
        <f>(HC8&gt;0)*(MAX($PW8:RL8)+(MONTH(RM$3)=$V8)*MAX($PW8:RL8)*$U8)</f>
        <v>1.2822929999999999</v>
      </c>
      <c r="RN8" s="30">
        <f>(HD8&gt;0)*(MAX($PW8:RM8)+(MONTH(RN$3)=$V8)*MAX($PW8:RM8)*$U8)</f>
        <v>1.2822929999999999</v>
      </c>
      <c r="RO8" s="30">
        <f>(HE8&gt;0)*(MAX($PW8:RN8)+(MONTH(RO$3)=$V8)*MAX($PW8:RN8)*$U8)</f>
        <v>1.2822929999999999</v>
      </c>
      <c r="RP8" s="30">
        <f>(HF8&gt;0)*(MAX($PW8:RO8)+(MONTH(RP$3)=$V8)*MAX($PW8:RO8)*$U8)</f>
        <v>1.2822929999999999</v>
      </c>
      <c r="RQ8" s="30">
        <f>(HG8&gt;0)*(MAX($PW8:RP8)+(MONTH(RQ$3)=$V8)*MAX($PW8:RP8)*$U8)</f>
        <v>1.2822929999999999</v>
      </c>
      <c r="RR8" s="30">
        <f>(HH8&gt;0)*(MAX($PW8:RQ8)+(MONTH(RR$3)=$V8)*MAX($PW8:RQ8)*$U8)</f>
        <v>1.2822929999999999</v>
      </c>
      <c r="RS8" s="30">
        <f>(HI8&gt;0)*(MAX($PW8:RR8)+(MONTH(RS$3)=$V8)*MAX($PW8:RR8)*$U8)</f>
        <v>1.2822929999999999</v>
      </c>
      <c r="RT8" s="30">
        <f>(HJ8&gt;0)*(MAX($PW8:RS8)+(MONTH(RT$3)=$V8)*MAX($PW8:RS8)*$U8)</f>
        <v>1.2822929999999999</v>
      </c>
      <c r="RU8" s="30">
        <f>(HK8&gt;0)*(MAX($PW8:RT8)+(MONTH(RU$3)=$V8)*MAX($PW8:RT8)*$U8)</f>
        <v>1.2822929999999999</v>
      </c>
      <c r="RV8" s="30">
        <f>(HL8&gt;0)*(MAX($PW8:RU8)+(MONTH(RV$3)=$V8)*MAX($PW8:RU8)*$U8)</f>
        <v>1.2822929999999999</v>
      </c>
      <c r="RW8" s="30">
        <f>(HM8&gt;0)*(MAX($PW8:RV8)+(MONTH(RW$3)=$V8)*MAX($PW8:RV8)*$U8)</f>
        <v>1.3079388599999999</v>
      </c>
      <c r="RX8" s="30">
        <f>(HN8&gt;0)*(MAX($PW8:RW8)+(MONTH(RX$3)=$V8)*MAX($PW8:RW8)*$U8)</f>
        <v>1.3079388599999999</v>
      </c>
      <c r="RY8" s="30">
        <f>(HO8&gt;0)*(MAX($PW8:RX8)+(MONTH(RY$3)=$V8)*MAX($PW8:RX8)*$U8)</f>
        <v>1.3079388599999999</v>
      </c>
      <c r="RZ8" s="30">
        <f>(HP8&gt;0)*(MAX($PW8:RY8)+(MONTH(RZ$3)=$V8)*MAX($PW8:RY8)*$U8)</f>
        <v>1.3079388599999999</v>
      </c>
      <c r="SA8" s="30">
        <f>(HQ8&gt;0)*(MAX($PW8:RZ8)+(MONTH(SA$3)=$V8)*MAX($PW8:RZ8)*$U8)</f>
        <v>1.3079388599999999</v>
      </c>
      <c r="SB8" s="30">
        <f>(HR8&gt;0)*(MAX($PW8:SA8)+(MONTH(SB$3)=$V8)*MAX($PW8:SA8)*$U8)</f>
        <v>1.3079388599999999</v>
      </c>
      <c r="SC8" s="30">
        <f>(HS8&gt;0)*(MAX($PW8:SB8)+(MONTH(SC$3)=$V8)*MAX($PW8:SB8)*$U8)</f>
        <v>1.3079388599999999</v>
      </c>
      <c r="SD8" s="30">
        <f>(HT8&gt;0)*(MAX($PW8:SC8)+(MONTH(SD$3)=$V8)*MAX($PW8:SC8)*$U8)</f>
        <v>1.3079388599999999</v>
      </c>
      <c r="SE8" s="30">
        <f>(HU8&gt;0)*(MAX($PW8:SD8)+(MONTH(SE$3)=$V8)*MAX($PW8:SD8)*$U8)</f>
        <v>1.3079388599999999</v>
      </c>
      <c r="SF8" s="30">
        <f>(HV8&gt;0)*(MAX($PW8:SE8)+(MONTH(SF$3)=$V8)*MAX($PW8:SE8)*$U8)</f>
        <v>1.3079388599999999</v>
      </c>
      <c r="SG8" s="30">
        <f>(HW8&gt;0)*(MAX($PW8:SF8)+(MONTH(SG$3)=$V8)*MAX($PW8:SF8)*$U8)</f>
        <v>1.3079388599999999</v>
      </c>
      <c r="SH8" s="30">
        <f>(HX8&gt;0)*(MAX($PW8:SG8)+(MONTH(SH$3)=$V8)*MAX($PW8:SG8)*$U8)</f>
        <v>1.3079388599999999</v>
      </c>
      <c r="SI8" s="30">
        <f>(HY8&gt;0)*(MAX($PW8:SH8)+(MONTH(SI$3)=$V8)*MAX($PW8:SH8)*$U8)</f>
        <v>1.3340976372</v>
      </c>
      <c r="SJ8" s="30">
        <f>(HZ8&gt;0)*(MAX($PW8:SI8)+(MONTH(SJ$3)=$V8)*MAX($PW8:SI8)*$U8)</f>
        <v>1.3340976372</v>
      </c>
      <c r="SK8" s="30">
        <f>(IA8&gt;0)*(MAX($PW8:SJ8)+(MONTH(SK$3)=$V8)*MAX($PW8:SJ8)*$U8)</f>
        <v>1.3340976372</v>
      </c>
      <c r="SL8" s="30">
        <f>(IB8&gt;0)*(MAX($PW8:SK8)+(MONTH(SL$3)=$V8)*MAX($PW8:SK8)*$U8)</f>
        <v>1.3340976372</v>
      </c>
      <c r="SM8" s="30">
        <f>(IC8&gt;0)*(MAX($PW8:SL8)+(MONTH(SM$3)=$V8)*MAX($PW8:SL8)*$U8)</f>
        <v>1.3340976372</v>
      </c>
      <c r="SN8" s="30">
        <f>(ID8&gt;0)*(MAX($PW8:SM8)+(MONTH(SN$3)=$V8)*MAX($PW8:SM8)*$U8)</f>
        <v>1.3340976372</v>
      </c>
      <c r="SO8" s="30">
        <f>(IE8&gt;0)*(MAX($PW8:SN8)+(MONTH(SO$3)=$V8)*MAX($PW8:SN8)*$U8)</f>
        <v>1.3340976372</v>
      </c>
      <c r="SP8" s="30">
        <f>(IF8&gt;0)*(MAX($PW8:SO8)+(MONTH(SP$3)=$V8)*MAX($PW8:SO8)*$U8)</f>
        <v>1.3340976372</v>
      </c>
      <c r="SQ8" s="30">
        <f>(IG8&gt;0)*(MAX($PW8:SP8)+(MONTH(SQ$3)=$V8)*MAX($PW8:SP8)*$U8)</f>
        <v>1.3340976372</v>
      </c>
      <c r="SR8" s="30">
        <f>(IH8&gt;0)*(MAX($PW8:SQ8)+(MONTH(SR$3)=$V8)*MAX($PW8:SQ8)*$U8)</f>
        <v>1.3340976372</v>
      </c>
      <c r="SS8" s="30">
        <f>(II8&gt;0)*(MAX($PW8:SR8)+(MONTH(SS$3)=$V8)*MAX($PW8:SR8)*$U8)</f>
        <v>1.3340976372</v>
      </c>
      <c r="ST8" s="30">
        <f>(IJ8&gt;0)*(MAX($PW8:SS8)+(MONTH(ST$3)=$V8)*MAX($PW8:SS8)*$U8)</f>
        <v>1.3340976372</v>
      </c>
      <c r="SU8" s="30">
        <f>(IK8&gt;0)*(MAX($PW8:ST8)+(MONTH(SU$3)=$V8)*MAX($PW8:ST8)*$U8)</f>
        <v>1.3607795899440001</v>
      </c>
      <c r="SV8" s="30">
        <f>(IL8&gt;0)*(MAX($PW8:SU8)+(MONTH(SV$3)=$V8)*MAX($PW8:SU8)*$U8)</f>
        <v>1.3607795899440001</v>
      </c>
      <c r="SW8" s="30">
        <f>(IM8&gt;0)*(MAX($PW8:SV8)+(MONTH(SW$3)=$V8)*MAX($PW8:SV8)*$U8)</f>
        <v>1.3607795899440001</v>
      </c>
      <c r="SX8" s="30">
        <f>(IN8&gt;0)*(MAX($PW8:SW8)+(MONTH(SX$3)=$V8)*MAX($PW8:SW8)*$U8)</f>
        <v>1.3607795899440001</v>
      </c>
      <c r="SY8" s="30">
        <f>(IO8&gt;0)*(MAX($PW8:SX8)+(MONTH(SY$3)=$V8)*MAX($PW8:SX8)*$U8)</f>
        <v>1.3607795899440001</v>
      </c>
      <c r="SZ8" s="30">
        <f>(IP8&gt;0)*(MAX($PW8:SY8)+(MONTH(SZ$3)=$V8)*MAX($PW8:SY8)*$U8)</f>
        <v>1.3607795899440001</v>
      </c>
      <c r="TA8" s="30">
        <f>(IQ8&gt;0)*(MAX($PW8:SZ8)+(MONTH(TA$3)=$V8)*MAX($PW8:SZ8)*$U8)</f>
        <v>1.3607795899440001</v>
      </c>
      <c r="TB8" s="30">
        <f>(IR8&gt;0)*(MAX($PW8:TA8)+(MONTH(TB$3)=$V8)*MAX($PW8:TA8)*$U8)</f>
        <v>1.3607795899440001</v>
      </c>
      <c r="TC8" s="30">
        <f>(IS8&gt;0)*(MAX($PW8:TB8)+(MONTH(TC$3)=$V8)*MAX($PW8:TB8)*$U8)</f>
        <v>1.3607795899440001</v>
      </c>
      <c r="TD8" s="30">
        <f>(IT8&gt;0)*(MAX($PW8:TC8)+(MONTH(TD$3)=$V8)*MAX($PW8:TC8)*$U8)</f>
        <v>1.3607795899440001</v>
      </c>
      <c r="TE8" s="30">
        <f>(IU8&gt;0)*(MAX($PW8:TD8)+(MONTH(TE$3)=$V8)*MAX($PW8:TD8)*$U8)</f>
        <v>1.3607795899440001</v>
      </c>
      <c r="TF8" s="30">
        <f>(IV8&gt;0)*(MAX($PW8:TE8)+(MONTH(TF$3)=$V8)*MAX($PW8:TE8)*$U8)</f>
        <v>1.3607795899440001</v>
      </c>
      <c r="TG8" s="30">
        <f>(IW8&gt;0)*(MAX($PW8:TF8)+(MONTH(TG$3)=$V8)*MAX($PW8:TF8)*$U8)</f>
        <v>1.3879951817428799</v>
      </c>
      <c r="TH8" s="30">
        <f>(IX8&gt;0)*(MAX($PW8:TG8)+(MONTH(TH$3)=$V8)*MAX($PW8:TG8)*$U8)</f>
        <v>1.3879951817428799</v>
      </c>
      <c r="TI8" s="30">
        <f>(IY8&gt;0)*(MAX($PW8:TH8)+(MONTH(TI$3)=$V8)*MAX($PW8:TH8)*$U8)</f>
        <v>1.3879951817428799</v>
      </c>
      <c r="TJ8" s="30">
        <f>(IZ8&gt;0)*(MAX($PW8:TI8)+(MONTH(TJ$3)=$V8)*MAX($PW8:TI8)*$U8)</f>
        <v>1.3879951817428799</v>
      </c>
      <c r="TK8" s="30">
        <f>(JA8&gt;0)*(MAX($PW8:TJ8)+(MONTH(TK$3)=$V8)*MAX($PW8:TJ8)*$U8)</f>
        <v>1.3879951817428799</v>
      </c>
      <c r="TL8" s="30">
        <f>(JB8&gt;0)*(MAX($PW8:TK8)+(MONTH(TL$3)=$V8)*MAX($PW8:TK8)*$U8)</f>
        <v>1.3879951817428799</v>
      </c>
      <c r="TM8" s="30">
        <f>(JC8&gt;0)*(MAX($PW8:TL8)+(MONTH(TM$3)=$V8)*MAX($PW8:TL8)*$U8)</f>
        <v>1.3879951817428799</v>
      </c>
      <c r="TN8" s="30">
        <f>(JD8&gt;0)*(MAX($PW8:TM8)+(MONTH(TN$3)=$V8)*MAX($PW8:TM8)*$U8)</f>
        <v>1.3879951817428799</v>
      </c>
      <c r="TO8" s="30">
        <f>(JE8&gt;0)*(MAX($PW8:TN8)+(MONTH(TO$3)=$V8)*MAX($PW8:TN8)*$U8)</f>
        <v>1.3879951817428799</v>
      </c>
      <c r="TP8" s="30">
        <f>(JF8&gt;0)*(MAX($PW8:TO8)+(MONTH(TP$3)=$V8)*MAX($PW8:TO8)*$U8)</f>
        <v>1.3879951817428799</v>
      </c>
      <c r="TQ8" s="30">
        <f>(JG8&gt;0)*(MAX($PW8:TP8)+(MONTH(TQ$3)=$V8)*MAX($PW8:TP8)*$U8)</f>
        <v>1.3879951817428799</v>
      </c>
      <c r="TR8" s="30">
        <f>(JH8&gt;0)*(MAX($PW8:TQ8)+(MONTH(TR$3)=$V8)*MAX($PW8:TQ8)*$U8)</f>
        <v>1.3879951817428799</v>
      </c>
      <c r="TS8" s="30">
        <f>(JI8&gt;0)*(MAX($PW8:TR8)+(MONTH(TS$3)=$V8)*MAX($PW8:TR8)*$U8)</f>
        <v>1.4157550853777376</v>
      </c>
      <c r="TT8" s="30">
        <f>(JJ8&gt;0)*(MAX($PW8:TS8)+(MONTH(TT$3)=$V8)*MAX($PW8:TS8)*$U8)</f>
        <v>1.4157550853777376</v>
      </c>
      <c r="TU8" s="30">
        <f>(JK8&gt;0)*(MAX($PW8:TT8)+(MONTH(TU$3)=$V8)*MAX($PW8:TT8)*$U8)</f>
        <v>1.4157550853777376</v>
      </c>
      <c r="TV8" s="30">
        <f>(JL8&gt;0)*(MAX($PW8:TU8)+(MONTH(TV$3)=$V8)*MAX($PW8:TU8)*$U8)</f>
        <v>1.4157550853777376</v>
      </c>
      <c r="TW8" s="30">
        <f>(JM8&gt;0)*(MAX($PW8:TV8)+(MONTH(TW$3)=$V8)*MAX($PW8:TV8)*$U8)</f>
        <v>1.4157550853777376</v>
      </c>
      <c r="TX8" s="30">
        <f>(JN8&gt;0)*(MAX($PW8:TW8)+(MONTH(TX$3)=$V8)*MAX($PW8:TW8)*$U8)</f>
        <v>1.4157550853777376</v>
      </c>
      <c r="TY8" s="30">
        <f>(JO8&gt;0)*(MAX($PW8:TX8)+(MONTH(TY$3)=$V8)*MAX($PW8:TX8)*$U8)</f>
        <v>1.4157550853777376</v>
      </c>
      <c r="TZ8" s="30">
        <f>(JP8&gt;0)*(MAX($PW8:TY8)+(MONTH(TZ$3)=$V8)*MAX($PW8:TY8)*$U8)</f>
        <v>1.4157550853777376</v>
      </c>
      <c r="UA8" s="30">
        <f>(JQ8&gt;0)*(MAX($PW8:TZ8)+(MONTH(UA$3)=$V8)*MAX($PW8:TZ8)*$U8)</f>
        <v>1.4157550853777376</v>
      </c>
      <c r="UB8" s="30">
        <f>(JR8&gt;0)*(MAX($PW8:UA8)+(MONTH(UB$3)=$V8)*MAX($PW8:UA8)*$U8)</f>
        <v>1.4157550853777376</v>
      </c>
      <c r="UC8" s="30">
        <f>(JS8&gt;0)*(MAX($PW8:UB8)+(MONTH(UC$3)=$V8)*MAX($PW8:UB8)*$U8)</f>
        <v>1.4157550853777376</v>
      </c>
      <c r="UD8" s="30">
        <f>(JT8&gt;0)*(MAX($PW8:UC8)+(MONTH(UD$3)=$V8)*MAX($PW8:UC8)*$U8)</f>
        <v>1.4157550853777376</v>
      </c>
      <c r="UE8" s="30">
        <f>(JU8&gt;0)*(MAX($PW8:UD8)+(MONTH(UE$3)=$V8)*MAX($PW8:UD8)*$U8)</f>
        <v>1.4440701870852923</v>
      </c>
      <c r="UF8" s="30">
        <f>(JV8&gt;0)*(MAX($PW8:UE8)+(MONTH(UF$3)=$V8)*MAX($PW8:UE8)*$U8)</f>
        <v>1.4440701870852923</v>
      </c>
      <c r="UG8" s="30">
        <f>(JW8&gt;0)*(MAX($PW8:UF8)+(MONTH(UG$3)=$V8)*MAX($PW8:UF8)*$U8)</f>
        <v>1.4440701870852923</v>
      </c>
      <c r="UH8" s="30">
        <f>(JX8&gt;0)*(MAX($PW8:UG8)+(MONTH(UH$3)=$V8)*MAX($PW8:UG8)*$U8)</f>
        <v>1.4440701870852923</v>
      </c>
      <c r="UI8" s="30">
        <f>(JY8&gt;0)*(MAX($PW8:UH8)+(MONTH(UI$3)=$V8)*MAX($PW8:UH8)*$U8)</f>
        <v>1.4440701870852923</v>
      </c>
      <c r="UJ8" s="30">
        <f>(JZ8&gt;0)*(MAX($PW8:UI8)+(MONTH(UJ$3)=$V8)*MAX($PW8:UI8)*$U8)</f>
        <v>1.4440701870852923</v>
      </c>
      <c r="UK8" s="30">
        <f>(KA8&gt;0)*(MAX($PW8:UJ8)+(MONTH(UK$3)=$V8)*MAX($PW8:UJ8)*$U8)</f>
        <v>1.4440701870852923</v>
      </c>
      <c r="UL8" s="30">
        <f>(KB8&gt;0)*(MAX($PW8:UK8)+(MONTH(UL$3)=$V8)*MAX($PW8:UK8)*$U8)</f>
        <v>1.4440701870852923</v>
      </c>
      <c r="UM8" s="30">
        <f>(KC8&gt;0)*(MAX($PW8:UL8)+(MONTH(UM$3)=$V8)*MAX($PW8:UL8)*$U8)</f>
        <v>1.4440701870852923</v>
      </c>
      <c r="UN8" s="30">
        <f>(KD8&gt;0)*(MAX($PW8:UM8)+(MONTH(UN$3)=$V8)*MAX($PW8:UM8)*$U8)</f>
        <v>1.4440701870852923</v>
      </c>
      <c r="UO8" s="30">
        <f>(KE8&gt;0)*(MAX($PW8:UN8)+(MONTH(UO$3)=$V8)*MAX($PW8:UN8)*$U8)</f>
        <v>1.4440701870852923</v>
      </c>
      <c r="UP8" s="30">
        <f>(KF8&gt;0)*(MAX($PW8:UO8)+(MONTH(UP$3)=$V8)*MAX($PW8:UO8)*$U8)</f>
        <v>1.4440701870852923</v>
      </c>
      <c r="UQ8" s="30">
        <f>(KG8&gt;0)*(MAX($PW8:UP8)+(MONTH(UQ$3)=$V8)*MAX($PW8:UP8)*$U8)</f>
        <v>1.4729515908269981</v>
      </c>
      <c r="UR8" s="30">
        <f>(KH8&gt;0)*(MAX($PW8:UQ8)+(MONTH(UR$3)=$V8)*MAX($PW8:UQ8)*$U8)</f>
        <v>1.4729515908269981</v>
      </c>
      <c r="US8" s="30">
        <f>(KI8&gt;0)*(MAX($PW8:UR8)+(MONTH(US$3)=$V8)*MAX($PW8:UR8)*$U8)</f>
        <v>1.4729515908269981</v>
      </c>
      <c r="UT8" s="30">
        <f>(KJ8&gt;0)*(MAX($PW8:US8)+(MONTH(UT$3)=$V8)*MAX($PW8:US8)*$U8)</f>
        <v>1.4729515908269981</v>
      </c>
      <c r="UU8" s="30">
        <f>(KK8&gt;0)*(MAX($PW8:UT8)+(MONTH(UU$3)=$V8)*MAX($PW8:UT8)*$U8)</f>
        <v>1.4729515908269981</v>
      </c>
      <c r="UV8" s="30">
        <f>(KL8&gt;0)*(MAX($PW8:UU8)+(MONTH(UV$3)=$V8)*MAX($PW8:UU8)*$U8)</f>
        <v>1.4729515908269981</v>
      </c>
      <c r="UW8" s="30">
        <f>(KM8&gt;0)*(MAX($PW8:UV8)+(MONTH(UW$3)=$V8)*MAX($PW8:UV8)*$U8)</f>
        <v>1.4729515908269981</v>
      </c>
      <c r="UX8" s="30">
        <f>(KN8&gt;0)*(MAX($PW8:UW8)+(MONTH(UX$3)=$V8)*MAX($PW8:UW8)*$U8)</f>
        <v>1.4729515908269981</v>
      </c>
      <c r="UY8" s="30">
        <f>(KO8&gt;0)*(MAX($PW8:UX8)+(MONTH(UY$3)=$V8)*MAX($PW8:UX8)*$U8)</f>
        <v>1.4729515908269981</v>
      </c>
      <c r="UZ8" s="17"/>
      <c r="VA8" s="17"/>
      <c r="VB8" s="17">
        <f t="shared" ref="VB8:VB13" si="1305">AJ8*KS8+FN8*PX8</f>
        <v>16496.375</v>
      </c>
      <c r="VC8" s="17">
        <f t="shared" si="1138"/>
        <v>16496.375</v>
      </c>
      <c r="VD8" s="17">
        <f t="shared" si="1139"/>
        <v>16496.375</v>
      </c>
      <c r="VE8" s="17">
        <f t="shared" si="1140"/>
        <v>16496.375</v>
      </c>
      <c r="VF8" s="17">
        <f t="shared" si="1141"/>
        <v>16496.375</v>
      </c>
      <c r="VG8" s="17">
        <f t="shared" si="1142"/>
        <v>16496.375</v>
      </c>
      <c r="VH8" s="17">
        <f t="shared" si="1143"/>
        <v>16496.375</v>
      </c>
      <c r="VI8" s="17">
        <f t="shared" si="1144"/>
        <v>16496.375</v>
      </c>
      <c r="VJ8" s="17">
        <f t="shared" si="1145"/>
        <v>16496.375</v>
      </c>
      <c r="VK8" s="17">
        <f t="shared" si="1146"/>
        <v>16496.375</v>
      </c>
      <c r="VL8" s="17">
        <f t="shared" si="1147"/>
        <v>16496.375</v>
      </c>
      <c r="VM8" s="17">
        <f t="shared" si="1148"/>
        <v>16496.375</v>
      </c>
      <c r="VN8" s="17">
        <f t="shared" si="1149"/>
        <v>16826.302500000002</v>
      </c>
      <c r="VO8" s="17">
        <f t="shared" si="1150"/>
        <v>16826.302500000002</v>
      </c>
      <c r="VP8" s="17">
        <f t="shared" si="1151"/>
        <v>16826.302500000002</v>
      </c>
      <c r="VQ8" s="17">
        <f t="shared" si="1152"/>
        <v>16826.302500000002</v>
      </c>
      <c r="VR8" s="17">
        <f t="shared" si="1153"/>
        <v>16826.302500000002</v>
      </c>
      <c r="VS8" s="17">
        <f t="shared" si="1154"/>
        <v>16826.302500000002</v>
      </c>
      <c r="VT8" s="17">
        <f t="shared" si="1155"/>
        <v>16826.302500000002</v>
      </c>
      <c r="VU8" s="17">
        <f t="shared" si="1156"/>
        <v>16826.302500000002</v>
      </c>
      <c r="VV8" s="17">
        <f t="shared" si="1157"/>
        <v>16826.302500000002</v>
      </c>
      <c r="VW8" s="17">
        <f t="shared" si="1158"/>
        <v>16826.302500000002</v>
      </c>
      <c r="VX8" s="17">
        <f t="shared" si="1159"/>
        <v>16826.302500000002</v>
      </c>
      <c r="VY8" s="17">
        <f t="shared" si="1160"/>
        <v>16826.302500000002</v>
      </c>
      <c r="VZ8" s="17">
        <f t="shared" si="1161"/>
        <v>17162.828549999998</v>
      </c>
      <c r="WA8" s="17">
        <f t="shared" si="1162"/>
        <v>17162.828549999998</v>
      </c>
      <c r="WB8" s="17">
        <f t="shared" si="1163"/>
        <v>17162.828549999998</v>
      </c>
      <c r="WC8" s="17">
        <f t="shared" si="1164"/>
        <v>17162.828549999998</v>
      </c>
      <c r="WD8" s="17">
        <f t="shared" si="1165"/>
        <v>17162.828549999998</v>
      </c>
      <c r="WE8" s="17">
        <f t="shared" si="1166"/>
        <v>17162.828549999998</v>
      </c>
      <c r="WF8" s="17">
        <f t="shared" si="1167"/>
        <v>17162.828549999998</v>
      </c>
      <c r="WG8" s="17">
        <f t="shared" si="1168"/>
        <v>17162.828549999998</v>
      </c>
      <c r="WH8" s="17">
        <f t="shared" si="1169"/>
        <v>17162.828549999998</v>
      </c>
      <c r="WI8" s="17">
        <f t="shared" si="1170"/>
        <v>17162.828549999998</v>
      </c>
      <c r="WJ8" s="17">
        <f t="shared" si="1171"/>
        <v>17162.828549999998</v>
      </c>
      <c r="WK8" s="17">
        <f t="shared" si="1172"/>
        <v>17162.828549999998</v>
      </c>
      <c r="WL8" s="17">
        <f t="shared" si="1173"/>
        <v>0</v>
      </c>
      <c r="WM8" s="17">
        <f t="shared" si="1174"/>
        <v>0</v>
      </c>
      <c r="WN8" s="17">
        <f t="shared" si="1175"/>
        <v>0</v>
      </c>
      <c r="WO8" s="17">
        <f t="shared" si="1176"/>
        <v>22888.930049999999</v>
      </c>
      <c r="WP8" s="17">
        <f t="shared" si="1177"/>
        <v>22888.930049999999</v>
      </c>
      <c r="WQ8" s="17">
        <f t="shared" si="1178"/>
        <v>22888.930049999999</v>
      </c>
      <c r="WR8" s="17">
        <f t="shared" si="1179"/>
        <v>22888.930049999999</v>
      </c>
      <c r="WS8" s="17">
        <f t="shared" si="1180"/>
        <v>22888.930049999999</v>
      </c>
      <c r="WT8" s="17">
        <f t="shared" si="1181"/>
        <v>22888.930049999999</v>
      </c>
      <c r="WU8" s="17">
        <f t="shared" si="1182"/>
        <v>22888.930049999999</v>
      </c>
      <c r="WV8" s="17">
        <f t="shared" si="1183"/>
        <v>22888.930049999999</v>
      </c>
      <c r="WW8" s="17">
        <f t="shared" si="1184"/>
        <v>22888.930049999999</v>
      </c>
      <c r="WX8" s="17">
        <f t="shared" si="1185"/>
        <v>22888.930049999999</v>
      </c>
      <c r="WY8" s="17">
        <f t="shared" si="1186"/>
        <v>22888.930049999999</v>
      </c>
      <c r="WZ8" s="17">
        <f t="shared" si="1187"/>
        <v>22888.930049999999</v>
      </c>
      <c r="XA8" s="17">
        <f t="shared" si="1188"/>
        <v>23346.708650999997</v>
      </c>
      <c r="XB8" s="17">
        <f t="shared" si="1189"/>
        <v>23346.708650999997</v>
      </c>
      <c r="XC8" s="17">
        <f t="shared" si="1190"/>
        <v>23346.708650999997</v>
      </c>
      <c r="XD8" s="17">
        <f t="shared" si="1191"/>
        <v>23346.708650999997</v>
      </c>
      <c r="XE8" s="17">
        <f t="shared" si="1192"/>
        <v>23346.708650999997</v>
      </c>
      <c r="XF8" s="17">
        <f t="shared" si="1193"/>
        <v>23346.708650999997</v>
      </c>
      <c r="XG8" s="17">
        <f t="shared" si="1194"/>
        <v>23346.708650999997</v>
      </c>
      <c r="XH8" s="17">
        <f t="shared" si="1195"/>
        <v>23346.708650999997</v>
      </c>
      <c r="XI8" s="17">
        <f t="shared" si="1196"/>
        <v>23346.708650999997</v>
      </c>
      <c r="XJ8" s="17">
        <f t="shared" si="1197"/>
        <v>23346.708650999997</v>
      </c>
      <c r="XK8" s="17">
        <f t="shared" si="1198"/>
        <v>23346.708650999997</v>
      </c>
      <c r="XL8" s="17">
        <f t="shared" si="1199"/>
        <v>23346.708650999997</v>
      </c>
      <c r="XM8" s="17">
        <f t="shared" si="1200"/>
        <v>23813.64282402</v>
      </c>
      <c r="XN8" s="17">
        <f t="shared" si="1201"/>
        <v>23813.64282402</v>
      </c>
      <c r="XO8" s="17">
        <f t="shared" si="1202"/>
        <v>23813.64282402</v>
      </c>
      <c r="XP8" s="17">
        <f t="shared" si="1203"/>
        <v>23813.64282402</v>
      </c>
      <c r="XQ8" s="17">
        <f t="shared" si="1204"/>
        <v>23813.64282402</v>
      </c>
      <c r="XR8" s="17">
        <f t="shared" si="1205"/>
        <v>23813.64282402</v>
      </c>
      <c r="XS8" s="17">
        <f t="shared" si="1206"/>
        <v>23813.64282402</v>
      </c>
      <c r="XT8" s="17">
        <f t="shared" si="1207"/>
        <v>23813.64282402</v>
      </c>
      <c r="XU8" s="17">
        <f t="shared" si="1208"/>
        <v>23813.64282402</v>
      </c>
      <c r="XV8" s="17">
        <f t="shared" si="1209"/>
        <v>23813.64282402</v>
      </c>
      <c r="XW8" s="17">
        <f t="shared" si="1210"/>
        <v>23813.64282402</v>
      </c>
      <c r="XX8" s="17">
        <f t="shared" si="1211"/>
        <v>23813.64282402</v>
      </c>
      <c r="XY8" s="17">
        <f t="shared" si="1212"/>
        <v>24289.915680500402</v>
      </c>
      <c r="XZ8" s="17">
        <f t="shared" si="1213"/>
        <v>24289.915680500402</v>
      </c>
      <c r="YA8" s="17">
        <f t="shared" si="1214"/>
        <v>24289.915680500402</v>
      </c>
      <c r="YB8" s="17">
        <f t="shared" si="1215"/>
        <v>24289.915680500402</v>
      </c>
      <c r="YC8" s="17">
        <f t="shared" si="1216"/>
        <v>24289.915680500402</v>
      </c>
      <c r="YD8" s="17">
        <f t="shared" si="1217"/>
        <v>24289.915680500402</v>
      </c>
      <c r="YE8" s="17">
        <f t="shared" si="1218"/>
        <v>24289.915680500402</v>
      </c>
      <c r="YF8" s="17">
        <f t="shared" si="1219"/>
        <v>24289.915680500402</v>
      </c>
      <c r="YG8" s="17">
        <f t="shared" si="1220"/>
        <v>24289.915680500402</v>
      </c>
      <c r="YH8" s="17">
        <f t="shared" si="1221"/>
        <v>24289.915680500402</v>
      </c>
      <c r="YI8" s="17">
        <f t="shared" si="1222"/>
        <v>24289.915680500402</v>
      </c>
      <c r="YJ8" s="17">
        <f t="shared" si="1223"/>
        <v>24289.915680500402</v>
      </c>
      <c r="YK8" s="17">
        <f t="shared" si="1224"/>
        <v>24775.713994110407</v>
      </c>
      <c r="YL8" s="17">
        <f t="shared" si="1225"/>
        <v>24775.713994110407</v>
      </c>
      <c r="YM8" s="17">
        <f t="shared" si="1226"/>
        <v>24775.713994110407</v>
      </c>
      <c r="YN8" s="17">
        <f t="shared" si="1227"/>
        <v>24775.713994110407</v>
      </c>
      <c r="YO8" s="17">
        <f t="shared" si="1228"/>
        <v>24775.713994110407</v>
      </c>
      <c r="YP8" s="17">
        <f t="shared" si="1229"/>
        <v>24775.713994110407</v>
      </c>
      <c r="YQ8" s="17">
        <f t="shared" si="1230"/>
        <v>24775.713994110407</v>
      </c>
      <c r="YR8" s="17">
        <f t="shared" si="1231"/>
        <v>24775.713994110407</v>
      </c>
      <c r="YS8" s="17">
        <f t="shared" si="1232"/>
        <v>24775.713994110407</v>
      </c>
      <c r="YT8" s="17">
        <f t="shared" si="1233"/>
        <v>24775.713994110407</v>
      </c>
      <c r="YU8" s="17">
        <f t="shared" si="1234"/>
        <v>24775.713994110407</v>
      </c>
      <c r="YV8" s="17">
        <f t="shared" si="1235"/>
        <v>24775.713994110407</v>
      </c>
      <c r="YW8" s="17">
        <f t="shared" si="1236"/>
        <v>25271.228273992616</v>
      </c>
      <c r="YX8" s="17">
        <f t="shared" si="1237"/>
        <v>25271.228273992616</v>
      </c>
      <c r="YY8" s="17">
        <f t="shared" si="1238"/>
        <v>25271.228273992616</v>
      </c>
      <c r="YZ8" s="17">
        <f t="shared" si="1239"/>
        <v>25271.228273992616</v>
      </c>
      <c r="ZA8" s="17">
        <f t="shared" si="1240"/>
        <v>25271.228273992616</v>
      </c>
      <c r="ZB8" s="17">
        <f t="shared" si="1241"/>
        <v>25271.228273992616</v>
      </c>
      <c r="ZC8" s="17">
        <f t="shared" si="1242"/>
        <v>25271.228273992616</v>
      </c>
      <c r="ZD8" s="17">
        <f t="shared" si="1243"/>
        <v>25271.228273992616</v>
      </c>
      <c r="ZE8" s="17">
        <f t="shared" si="1244"/>
        <v>25271.228273992616</v>
      </c>
      <c r="ZF8" s="17">
        <f t="shared" si="1245"/>
        <v>25271.228273992616</v>
      </c>
      <c r="ZG8" s="17">
        <f t="shared" si="1246"/>
        <v>25271.228273992616</v>
      </c>
      <c r="ZH8" s="17">
        <f t="shared" si="1247"/>
        <v>25271.228273992616</v>
      </c>
      <c r="ZI8" s="17">
        <f t="shared" si="1248"/>
        <v>25776.652839472466</v>
      </c>
      <c r="ZJ8" s="17">
        <f t="shared" si="1249"/>
        <v>25776.652839472466</v>
      </c>
      <c r="ZK8" s="17">
        <f t="shared" si="1250"/>
        <v>25776.652839472466</v>
      </c>
      <c r="ZL8" s="17">
        <f t="shared" si="1251"/>
        <v>25776.652839472466</v>
      </c>
      <c r="ZM8" s="17">
        <f t="shared" si="1252"/>
        <v>25776.652839472466</v>
      </c>
      <c r="ZN8" s="17">
        <f t="shared" si="1253"/>
        <v>25776.652839472466</v>
      </c>
      <c r="ZO8" s="17">
        <f t="shared" si="1254"/>
        <v>25776.652839472466</v>
      </c>
      <c r="ZP8" s="17">
        <f t="shared" si="1255"/>
        <v>25776.652839472466</v>
      </c>
      <c r="ZQ8" s="17">
        <f t="shared" si="1256"/>
        <v>25776.652839472466</v>
      </c>
      <c r="ZR8" s="17">
        <f t="shared" si="1257"/>
        <v>25776.652839472466</v>
      </c>
      <c r="ZS8" s="17">
        <f t="shared" si="1258"/>
        <v>25776.652839472466</v>
      </c>
      <c r="ZT8" s="17">
        <f t="shared" si="1259"/>
        <v>25776.652839472466</v>
      </c>
      <c r="ZU8" s="17">
        <f t="shared" si="1260"/>
        <v>26292.185896261915</v>
      </c>
      <c r="ZV8" s="17">
        <f t="shared" si="1261"/>
        <v>26292.185896261915</v>
      </c>
      <c r="ZW8" s="17">
        <f t="shared" si="1262"/>
        <v>26292.185896261915</v>
      </c>
      <c r="ZX8" s="17">
        <f t="shared" si="1263"/>
        <v>26292.185896261915</v>
      </c>
      <c r="ZY8" s="17">
        <f t="shared" si="1264"/>
        <v>26292.185896261915</v>
      </c>
      <c r="ZZ8" s="17">
        <f t="shared" si="1265"/>
        <v>26292.185896261915</v>
      </c>
      <c r="AAA8" s="17">
        <f t="shared" si="1266"/>
        <v>26292.185896261915</v>
      </c>
      <c r="AAB8" s="17">
        <f t="shared" si="1267"/>
        <v>26292.185896261915</v>
      </c>
      <c r="AAC8" s="17">
        <f t="shared" si="1268"/>
        <v>26292.185896261915</v>
      </c>
      <c r="AAD8" s="17"/>
      <c r="AAE8" s="17"/>
      <c r="AAF8" s="17">
        <f t="shared" ref="AAF8:AAF13" si="1306">(AAF$5=$R8)*$AA8*$D8</f>
        <v>0</v>
      </c>
      <c r="AAG8" s="17">
        <f t="shared" si="1269"/>
        <v>0</v>
      </c>
      <c r="AAH8" s="17">
        <f t="shared" si="1269"/>
        <v>0</v>
      </c>
      <c r="AAI8" s="17">
        <f t="shared" si="1269"/>
        <v>0</v>
      </c>
      <c r="AAJ8" s="17">
        <f t="shared" si="1269"/>
        <v>0</v>
      </c>
      <c r="AAK8" s="17">
        <f t="shared" si="1269"/>
        <v>0</v>
      </c>
      <c r="AAL8" s="17">
        <f t="shared" si="1269"/>
        <v>0</v>
      </c>
      <c r="AAM8" s="17">
        <f t="shared" si="1269"/>
        <v>0</v>
      </c>
      <c r="AAN8" s="17">
        <f t="shared" si="1269"/>
        <v>0</v>
      </c>
      <c r="AAO8" s="17">
        <f t="shared" si="1269"/>
        <v>0</v>
      </c>
      <c r="AAP8" s="17">
        <f t="shared" si="1269"/>
        <v>0</v>
      </c>
      <c r="AAQ8" s="17">
        <f t="shared" si="1269"/>
        <v>0</v>
      </c>
      <c r="AAR8" s="17">
        <f t="shared" si="1269"/>
        <v>0</v>
      </c>
      <c r="AAS8" s="17">
        <f t="shared" si="1269"/>
        <v>0</v>
      </c>
      <c r="AAT8" s="17">
        <f t="shared" si="1269"/>
        <v>0</v>
      </c>
      <c r="AAU8" s="17">
        <f t="shared" si="1269"/>
        <v>0</v>
      </c>
      <c r="AAV8" s="17">
        <f t="shared" si="1269"/>
        <v>0</v>
      </c>
      <c r="AAW8" s="17">
        <f t="shared" si="1270"/>
        <v>0</v>
      </c>
      <c r="AAX8" s="17">
        <f t="shared" si="1270"/>
        <v>0</v>
      </c>
      <c r="AAY8" s="17">
        <f t="shared" si="1270"/>
        <v>0</v>
      </c>
      <c r="AAZ8" s="17">
        <f t="shared" si="1270"/>
        <v>0</v>
      </c>
      <c r="ABA8" s="17">
        <f t="shared" si="1270"/>
        <v>0</v>
      </c>
      <c r="ABB8" s="17">
        <f t="shared" si="1270"/>
        <v>0</v>
      </c>
      <c r="ABC8" s="17">
        <f t="shared" si="1270"/>
        <v>0</v>
      </c>
      <c r="ABD8" s="17">
        <f t="shared" si="1270"/>
        <v>0</v>
      </c>
      <c r="ABE8" s="17">
        <f t="shared" si="1270"/>
        <v>0</v>
      </c>
      <c r="ABF8" s="17">
        <f t="shared" si="1270"/>
        <v>0</v>
      </c>
      <c r="ABG8" s="17">
        <f t="shared" si="1270"/>
        <v>0</v>
      </c>
      <c r="ABH8" s="17">
        <f t="shared" si="1270"/>
        <v>0</v>
      </c>
      <c r="ABI8" s="17">
        <f t="shared" si="1270"/>
        <v>0</v>
      </c>
      <c r="ABJ8" s="17">
        <f t="shared" si="1270"/>
        <v>0</v>
      </c>
      <c r="ABK8" s="17">
        <f t="shared" si="1270"/>
        <v>0</v>
      </c>
      <c r="ABL8" s="17">
        <f t="shared" si="1270"/>
        <v>0</v>
      </c>
      <c r="ABM8" s="17">
        <f t="shared" si="1271"/>
        <v>0</v>
      </c>
      <c r="ABN8" s="17">
        <f t="shared" si="1271"/>
        <v>0</v>
      </c>
      <c r="ABO8" s="17">
        <f t="shared" si="1271"/>
        <v>0</v>
      </c>
      <c r="ABP8" s="17">
        <f t="shared" si="1271"/>
        <v>0</v>
      </c>
      <c r="ABQ8" s="17">
        <f t="shared" si="1271"/>
        <v>0</v>
      </c>
      <c r="ABR8" s="17">
        <f t="shared" si="1271"/>
        <v>0</v>
      </c>
      <c r="ABS8" s="17">
        <f t="shared" si="1271"/>
        <v>114444.65024999999</v>
      </c>
      <c r="ABT8" s="17">
        <f t="shared" si="1271"/>
        <v>0</v>
      </c>
      <c r="ABU8" s="17">
        <f t="shared" si="1271"/>
        <v>0</v>
      </c>
      <c r="ABV8" s="17">
        <f t="shared" si="1271"/>
        <v>0</v>
      </c>
      <c r="ABW8" s="17">
        <f t="shared" si="1271"/>
        <v>0</v>
      </c>
      <c r="ABX8" s="17">
        <f t="shared" si="1271"/>
        <v>0</v>
      </c>
      <c r="ABY8" s="17">
        <f t="shared" si="1271"/>
        <v>0</v>
      </c>
      <c r="ABZ8" s="17">
        <f t="shared" si="1271"/>
        <v>0</v>
      </c>
      <c r="ACA8" s="17">
        <f t="shared" si="1271"/>
        <v>0</v>
      </c>
      <c r="ACB8" s="17">
        <f t="shared" si="1271"/>
        <v>0</v>
      </c>
      <c r="ACC8" s="17">
        <f t="shared" si="1272"/>
        <v>0</v>
      </c>
      <c r="ACD8" s="17">
        <f t="shared" si="1272"/>
        <v>0</v>
      </c>
      <c r="ACE8" s="17">
        <f t="shared" si="1272"/>
        <v>0</v>
      </c>
      <c r="ACF8" s="17">
        <f t="shared" si="1272"/>
        <v>0</v>
      </c>
      <c r="ACG8" s="17">
        <f t="shared" si="1272"/>
        <v>0</v>
      </c>
      <c r="ACH8" s="17">
        <f t="shared" si="1272"/>
        <v>0</v>
      </c>
      <c r="ACI8" s="17">
        <f t="shared" si="1272"/>
        <v>0</v>
      </c>
      <c r="ACJ8" s="17">
        <f t="shared" si="1272"/>
        <v>0</v>
      </c>
      <c r="ACK8" s="17">
        <f t="shared" si="1272"/>
        <v>0</v>
      </c>
      <c r="ACL8" s="17">
        <f t="shared" si="1272"/>
        <v>0</v>
      </c>
      <c r="ACM8" s="17">
        <f t="shared" si="1272"/>
        <v>0</v>
      </c>
      <c r="ACN8" s="17">
        <f t="shared" si="1272"/>
        <v>0</v>
      </c>
      <c r="ACO8" s="17">
        <f t="shared" si="1272"/>
        <v>0</v>
      </c>
      <c r="ACP8" s="17">
        <f t="shared" si="1272"/>
        <v>0</v>
      </c>
      <c r="ACQ8" s="17">
        <f t="shared" si="1272"/>
        <v>0</v>
      </c>
      <c r="ACR8" s="17">
        <f t="shared" si="1272"/>
        <v>0</v>
      </c>
      <c r="ACS8" s="17">
        <f t="shared" si="1273"/>
        <v>0</v>
      </c>
      <c r="ACT8" s="17">
        <f t="shared" si="1273"/>
        <v>0</v>
      </c>
      <c r="ACU8" s="17">
        <f t="shared" si="1273"/>
        <v>0</v>
      </c>
      <c r="ACV8" s="17">
        <f t="shared" si="1273"/>
        <v>0</v>
      </c>
      <c r="ACW8" s="17">
        <f t="shared" si="1273"/>
        <v>0</v>
      </c>
      <c r="ACX8" s="17">
        <f t="shared" si="1273"/>
        <v>0</v>
      </c>
      <c r="ACY8" s="17">
        <f t="shared" si="1273"/>
        <v>0</v>
      </c>
      <c r="ACZ8" s="17">
        <f t="shared" si="1273"/>
        <v>0</v>
      </c>
      <c r="ADA8" s="17">
        <f t="shared" si="1273"/>
        <v>0</v>
      </c>
      <c r="ADB8" s="17">
        <f t="shared" si="1273"/>
        <v>0</v>
      </c>
      <c r="ADC8" s="17">
        <f t="shared" si="1273"/>
        <v>0</v>
      </c>
      <c r="ADD8" s="17">
        <f t="shared" si="1273"/>
        <v>0</v>
      </c>
      <c r="ADE8" s="17">
        <f t="shared" si="1273"/>
        <v>0</v>
      </c>
      <c r="ADF8" s="17">
        <f t="shared" si="1273"/>
        <v>0</v>
      </c>
      <c r="ADG8" s="17">
        <f t="shared" si="1273"/>
        <v>0</v>
      </c>
      <c r="ADH8" s="17">
        <f t="shared" si="1273"/>
        <v>0</v>
      </c>
      <c r="ADI8" s="17">
        <f t="shared" si="1274"/>
        <v>0</v>
      </c>
      <c r="ADJ8" s="17">
        <f t="shared" si="1274"/>
        <v>0</v>
      </c>
      <c r="ADK8" s="17">
        <f t="shared" si="1274"/>
        <v>0</v>
      </c>
      <c r="ADL8" s="17">
        <f t="shared" si="1274"/>
        <v>0</v>
      </c>
      <c r="ADM8" s="17">
        <f t="shared" si="1274"/>
        <v>0</v>
      </c>
      <c r="ADN8" s="17">
        <f t="shared" si="1274"/>
        <v>0</v>
      </c>
      <c r="ADO8" s="17">
        <f t="shared" si="1274"/>
        <v>0</v>
      </c>
      <c r="ADP8" s="17">
        <f t="shared" si="1274"/>
        <v>0</v>
      </c>
      <c r="ADQ8" s="17">
        <f t="shared" si="1274"/>
        <v>0</v>
      </c>
      <c r="ADR8" s="17">
        <f t="shared" si="1274"/>
        <v>0</v>
      </c>
      <c r="ADS8" s="17">
        <f t="shared" si="1274"/>
        <v>0</v>
      </c>
      <c r="ADT8" s="17">
        <f t="shared" si="1274"/>
        <v>0</v>
      </c>
      <c r="ADU8" s="17">
        <f t="shared" si="1274"/>
        <v>0</v>
      </c>
      <c r="ADV8" s="17">
        <f t="shared" si="1274"/>
        <v>0</v>
      </c>
      <c r="ADW8" s="17">
        <f t="shared" si="1274"/>
        <v>0</v>
      </c>
      <c r="ADX8" s="17">
        <f t="shared" si="1274"/>
        <v>0</v>
      </c>
      <c r="ADY8" s="17">
        <f t="shared" si="1275"/>
        <v>0</v>
      </c>
      <c r="ADZ8" s="17">
        <f t="shared" si="1275"/>
        <v>0</v>
      </c>
      <c r="AEA8" s="17">
        <f t="shared" si="1275"/>
        <v>0</v>
      </c>
      <c r="AEB8" s="17">
        <f t="shared" si="1275"/>
        <v>0</v>
      </c>
      <c r="AEC8" s="17">
        <f t="shared" si="1275"/>
        <v>0</v>
      </c>
      <c r="AED8" s="17">
        <f t="shared" si="1275"/>
        <v>0</v>
      </c>
      <c r="AEE8" s="17">
        <f t="shared" si="1275"/>
        <v>0</v>
      </c>
      <c r="AEF8" s="17">
        <f t="shared" si="1275"/>
        <v>0</v>
      </c>
      <c r="AEG8" s="17">
        <f t="shared" si="1275"/>
        <v>0</v>
      </c>
      <c r="AEH8" s="17">
        <f t="shared" si="1275"/>
        <v>0</v>
      </c>
      <c r="AEI8" s="17">
        <f t="shared" si="1275"/>
        <v>0</v>
      </c>
      <c r="AEJ8" s="17">
        <f t="shared" si="1275"/>
        <v>0</v>
      </c>
      <c r="AEK8" s="17">
        <f t="shared" si="1275"/>
        <v>0</v>
      </c>
      <c r="AEL8" s="17">
        <f t="shared" si="1275"/>
        <v>0</v>
      </c>
      <c r="AEM8" s="17">
        <f t="shared" si="1275"/>
        <v>0</v>
      </c>
      <c r="AEN8" s="17">
        <f t="shared" si="1275"/>
        <v>0</v>
      </c>
      <c r="AEO8" s="17">
        <f t="shared" si="1276"/>
        <v>0</v>
      </c>
      <c r="AEP8" s="17">
        <f t="shared" si="1276"/>
        <v>0</v>
      </c>
      <c r="AEQ8" s="17">
        <f t="shared" si="1276"/>
        <v>0</v>
      </c>
      <c r="AER8" s="17">
        <f t="shared" si="1276"/>
        <v>0</v>
      </c>
      <c r="AES8" s="17">
        <f t="shared" si="1276"/>
        <v>0</v>
      </c>
      <c r="AET8" s="17">
        <f t="shared" si="1276"/>
        <v>0</v>
      </c>
      <c r="AEU8" s="17">
        <f t="shared" si="1276"/>
        <v>0</v>
      </c>
      <c r="AEV8" s="17">
        <f t="shared" si="1276"/>
        <v>0</v>
      </c>
      <c r="AEW8" s="17">
        <f t="shared" si="1276"/>
        <v>0</v>
      </c>
      <c r="AEX8" s="17">
        <f t="shared" si="1276"/>
        <v>0</v>
      </c>
      <c r="AEY8" s="17">
        <f t="shared" si="1276"/>
        <v>0</v>
      </c>
      <c r="AEZ8" s="17">
        <f t="shared" si="1276"/>
        <v>0</v>
      </c>
      <c r="AFA8" s="17">
        <f t="shared" si="1276"/>
        <v>0</v>
      </c>
      <c r="AFB8" s="17">
        <f t="shared" si="1276"/>
        <v>0</v>
      </c>
      <c r="AFC8" s="17">
        <f t="shared" si="1276"/>
        <v>0</v>
      </c>
      <c r="AFD8" s="17">
        <f t="shared" si="1276"/>
        <v>0</v>
      </c>
      <c r="AFE8" s="17">
        <f t="shared" si="1277"/>
        <v>0</v>
      </c>
      <c r="AFF8" s="17">
        <f t="shared" si="1277"/>
        <v>0</v>
      </c>
      <c r="AFG8" s="17">
        <f t="shared" si="1277"/>
        <v>0</v>
      </c>
      <c r="AFH8" s="17"/>
      <c r="AFI8" s="17"/>
      <c r="AFJ8" s="17">
        <f>(AJ8&gt;0)*'Long-Term Leases'!K$17*$L8*$K8</f>
        <v>8345.2366112228101</v>
      </c>
      <c r="AFK8" s="17">
        <f>(AK8&gt;0)*'Long-Term Leases'!L$17*$L8*$K8</f>
        <v>8345.2366112228101</v>
      </c>
      <c r="AFL8" s="17">
        <f>(AL8&gt;0)*'Long-Term Leases'!M$17*$L8*$K8</f>
        <v>8345.2366112228101</v>
      </c>
      <c r="AFM8" s="17">
        <f>(AM8&gt;0)*'Long-Term Leases'!N$17*$L8*$K8</f>
        <v>8345.2366112228101</v>
      </c>
      <c r="AFN8" s="17">
        <f>(AN8&gt;0)*'Long-Term Leases'!O$17*$L8*$K8</f>
        <v>8345.2366112228101</v>
      </c>
      <c r="AFO8" s="17">
        <f>(AO8&gt;0)*'Long-Term Leases'!P$17*$L8*$K8</f>
        <v>8345.2366112228101</v>
      </c>
      <c r="AFP8" s="17">
        <f>(AP8&gt;0)*'Long-Term Leases'!Q$17*$L8*$K8</f>
        <v>8345.2366112228101</v>
      </c>
      <c r="AFQ8" s="17">
        <f>(AQ8&gt;0)*'Long-Term Leases'!R$17*$L8*$K8</f>
        <v>8345.2366112228101</v>
      </c>
      <c r="AFR8" s="17">
        <f>(AR8&gt;0)*'Long-Term Leases'!S$17*$L8*$K8</f>
        <v>8345.2366112228101</v>
      </c>
      <c r="AFS8" s="17">
        <f>(AS8&gt;0)*'Long-Term Leases'!T$17*$L8*$K8</f>
        <v>8345.2366112228101</v>
      </c>
      <c r="AFT8" s="17">
        <f>(AT8&gt;0)*'Long-Term Leases'!U$17*$L8*$K8</f>
        <v>8345.2366112228101</v>
      </c>
      <c r="AFU8" s="17">
        <f>(AU8&gt;0)*'Long-Term Leases'!V$17*$L8*$K8</f>
        <v>8345.2366112228101</v>
      </c>
      <c r="AFV8" s="17">
        <f>(AV8&gt;0)*'Long-Term Leases'!W$17*$L8*$K8</f>
        <v>8512.141343447267</v>
      </c>
      <c r="AFW8" s="17">
        <f>(AW8&gt;0)*'Long-Term Leases'!X$17*$L8*$K8</f>
        <v>8512.141343447267</v>
      </c>
      <c r="AFX8" s="17">
        <f>(AX8&gt;0)*'Long-Term Leases'!Y$17*$L8*$K8</f>
        <v>8512.141343447267</v>
      </c>
      <c r="AFY8" s="17">
        <f>(AY8&gt;0)*'Long-Term Leases'!Z$17*$L8*$K8</f>
        <v>8512.141343447267</v>
      </c>
      <c r="AFZ8" s="17">
        <f>(AZ8&gt;0)*'Long-Term Leases'!AA$17*$L8*$K8</f>
        <v>8512.141343447267</v>
      </c>
      <c r="AGA8" s="17">
        <f>(BA8&gt;0)*'Long-Term Leases'!AB$17*$L8*$K8</f>
        <v>8512.141343447267</v>
      </c>
      <c r="AGB8" s="17">
        <f>(BB8&gt;0)*'Long-Term Leases'!AC$17*$L8*$K8</f>
        <v>8512.141343447267</v>
      </c>
      <c r="AGC8" s="17">
        <f>(BC8&gt;0)*'Long-Term Leases'!AD$17*$L8*$K8</f>
        <v>8512.141343447267</v>
      </c>
      <c r="AGD8" s="17">
        <f>(BD8&gt;0)*'Long-Term Leases'!AE$17*$L8*$K8</f>
        <v>8512.141343447267</v>
      </c>
      <c r="AGE8" s="17">
        <f>(BE8&gt;0)*'Long-Term Leases'!AF$17*$L8*$K8</f>
        <v>8512.141343447267</v>
      </c>
      <c r="AGF8" s="17">
        <f>(BF8&gt;0)*'Long-Term Leases'!AG$17*$L8*$K8</f>
        <v>8512.141343447267</v>
      </c>
      <c r="AGG8" s="17">
        <f>(BG8&gt;0)*'Long-Term Leases'!AH$17*$L8*$K8</f>
        <v>8512.141343447267</v>
      </c>
      <c r="AGH8" s="17">
        <f>(BH8&gt;0)*'Long-Term Leases'!AI$17*$L8*$K8</f>
        <v>8682.3841703162125</v>
      </c>
      <c r="AGI8" s="17">
        <f>(BI8&gt;0)*'Long-Term Leases'!AJ$17*$L8*$K8</f>
        <v>8682.3841703162125</v>
      </c>
      <c r="AGJ8" s="17">
        <f>(BJ8&gt;0)*'Long-Term Leases'!AK$17*$L8*$K8</f>
        <v>8682.3841703162125</v>
      </c>
      <c r="AGK8" s="17">
        <f>(BK8&gt;0)*'Long-Term Leases'!AL$17*$L8*$K8</f>
        <v>8682.3841703162125</v>
      </c>
      <c r="AGL8" s="17">
        <f>(BL8&gt;0)*'Long-Term Leases'!AM$17*$L8*$K8</f>
        <v>8682.3841703162125</v>
      </c>
      <c r="AGM8" s="17">
        <f>(BM8&gt;0)*'Long-Term Leases'!AN$17*$L8*$K8</f>
        <v>8682.3841703162125</v>
      </c>
      <c r="AGN8" s="17">
        <f>(BN8&gt;0)*'Long-Term Leases'!AO$17*$L8*$K8</f>
        <v>8682.3841703162125</v>
      </c>
      <c r="AGO8" s="17">
        <f>(BO8&gt;0)*'Long-Term Leases'!AP$17*$L8*$K8</f>
        <v>8682.3841703162125</v>
      </c>
      <c r="AGP8" s="17">
        <f>(BP8&gt;0)*'Long-Term Leases'!AQ$17*$L8*$K8</f>
        <v>8682.3841703162125</v>
      </c>
      <c r="AGQ8" s="17">
        <f>(BQ8&gt;0)*'Long-Term Leases'!AR$17*$L8*$K8</f>
        <v>8682.3841703162125</v>
      </c>
      <c r="AGR8" s="17">
        <f>(BR8&gt;0)*'Long-Term Leases'!AS$17*$L8*$K8</f>
        <v>8682.3841703162125</v>
      </c>
      <c r="AGS8" s="17">
        <f>(BS8&gt;0)*'Long-Term Leases'!AT$17*$L8*$K8</f>
        <v>8682.3841703162125</v>
      </c>
      <c r="AGT8" s="17">
        <f>(BT8&gt;0)*'Long-Term Leases'!AU$17*$L8*$K8</f>
        <v>0</v>
      </c>
      <c r="AGU8" s="17">
        <f>(BU8&gt;0)*'Long-Term Leases'!AV$17*$L8*$K8</f>
        <v>0</v>
      </c>
      <c r="AGV8" s="17">
        <f>(BV8&gt;0)*'Long-Term Leases'!AW$17*$L8*$K8</f>
        <v>0</v>
      </c>
      <c r="AGW8" s="17">
        <f>(BW8&gt;0)*'Long-Term Leases'!AX$17*$L8*$K8</f>
        <v>0</v>
      </c>
      <c r="AGX8" s="17">
        <f>(BX8&gt;0)*'Long-Term Leases'!AY$17*$L8*$K8</f>
        <v>0</v>
      </c>
      <c r="AGY8" s="17">
        <f>(BY8&gt;0)*'Long-Term Leases'!AZ$17*$L8*$K8</f>
        <v>0</v>
      </c>
      <c r="AGZ8" s="17">
        <f>(BZ8&gt;0)*'Long-Term Leases'!BA$17*$L8*$K8</f>
        <v>0</v>
      </c>
      <c r="AHA8" s="17">
        <f>(CA8&gt;0)*'Long-Term Leases'!BB$17*$L8*$K8</f>
        <v>0</v>
      </c>
      <c r="AHB8" s="17">
        <f>(CB8&gt;0)*'Long-Term Leases'!BC$17*$L8*$K8</f>
        <v>0</v>
      </c>
      <c r="AHC8" s="17">
        <f>(CC8&gt;0)*'Long-Term Leases'!BD$17*$L8*$K8</f>
        <v>0</v>
      </c>
      <c r="AHD8" s="17">
        <f>(CD8&gt;0)*'Long-Term Leases'!BE$17*$L8*$K8</f>
        <v>0</v>
      </c>
      <c r="AHE8" s="17">
        <f>(CE8&gt;0)*'Long-Term Leases'!BF$17*$L8*$K8</f>
        <v>0</v>
      </c>
      <c r="AHF8" s="17">
        <f>(CF8&gt;0)*'Long-Term Leases'!BG$17*$L8*$K8</f>
        <v>0</v>
      </c>
      <c r="AHG8" s="17">
        <f>(CG8&gt;0)*'Long-Term Leases'!BH$17*$L8*$K8</f>
        <v>0</v>
      </c>
      <c r="AHH8" s="17">
        <f>(CH8&gt;0)*'Long-Term Leases'!BI$17*$L8*$K8</f>
        <v>0</v>
      </c>
      <c r="AHI8" s="17">
        <f>(CI8&gt;0)*'Long-Term Leases'!BJ$17*$L8*$K8</f>
        <v>0</v>
      </c>
      <c r="AHJ8" s="17">
        <f>(CJ8&gt;0)*'Long-Term Leases'!BK$17*$L8*$K8</f>
        <v>0</v>
      </c>
      <c r="AHK8" s="17">
        <f>(CK8&gt;0)*'Long-Term Leases'!BL$17*$L8*$K8</f>
        <v>0</v>
      </c>
      <c r="AHL8" s="17">
        <f>(CL8&gt;0)*'Long-Term Leases'!BM$17*$L8*$K8</f>
        <v>0</v>
      </c>
      <c r="AHM8" s="17">
        <f>(CM8&gt;0)*'Long-Term Leases'!BN$17*$L8*$K8</f>
        <v>0</v>
      </c>
      <c r="AHN8" s="17">
        <f>(CN8&gt;0)*'Long-Term Leases'!BO$17*$L8*$K8</f>
        <v>0</v>
      </c>
      <c r="AHO8" s="17">
        <f>(CO8&gt;0)*'Long-Term Leases'!BP$17*$L8*$K8</f>
        <v>0</v>
      </c>
      <c r="AHP8" s="17">
        <f>(CP8&gt;0)*'Long-Term Leases'!BQ$17*$L8*$K8</f>
        <v>0</v>
      </c>
      <c r="AHQ8" s="17">
        <f>(CQ8&gt;0)*'Long-Term Leases'!BR$17*$L8*$K8</f>
        <v>0</v>
      </c>
      <c r="AHR8" s="17">
        <f>(CR8&gt;0)*'Long-Term Leases'!BS$17*$L8*$K8</f>
        <v>0</v>
      </c>
      <c r="AHS8" s="17">
        <f>(CS8&gt;0)*'Long-Term Leases'!BT$17*$L8*$K8</f>
        <v>0</v>
      </c>
      <c r="AHT8" s="17">
        <f>(CT8&gt;0)*'Long-Term Leases'!BU$17*$L8*$K8</f>
        <v>0</v>
      </c>
      <c r="AHU8" s="17">
        <f>(CU8&gt;0)*'Long-Term Leases'!BV$17*$L8*$K8</f>
        <v>0</v>
      </c>
      <c r="AHV8" s="17">
        <f>(CV8&gt;0)*'Long-Term Leases'!BW$17*$L8*$K8</f>
        <v>0</v>
      </c>
      <c r="AHW8" s="17">
        <f>(CW8&gt;0)*'Long-Term Leases'!BX$17*$L8*$K8</f>
        <v>0</v>
      </c>
      <c r="AHX8" s="17">
        <f>(CX8&gt;0)*'Long-Term Leases'!BY$17*$L8*$K8</f>
        <v>0</v>
      </c>
      <c r="AHY8" s="17">
        <f>(CY8&gt;0)*'Long-Term Leases'!BZ$17*$L8*$K8</f>
        <v>0</v>
      </c>
      <c r="AHZ8" s="17">
        <f>(CZ8&gt;0)*'Long-Term Leases'!CA$17*$L8*$K8</f>
        <v>0</v>
      </c>
      <c r="AIA8" s="17">
        <f>(DA8&gt;0)*'Long-Term Leases'!CB$17*$L8*$K8</f>
        <v>0</v>
      </c>
      <c r="AIB8" s="17">
        <f>(DB8&gt;0)*'Long-Term Leases'!CC$17*$L8*$K8</f>
        <v>0</v>
      </c>
      <c r="AIC8" s="17">
        <f>(DC8&gt;0)*'Long-Term Leases'!CD$17*$L8*$K8</f>
        <v>0</v>
      </c>
      <c r="AID8" s="17">
        <f>(DD8&gt;0)*'Long-Term Leases'!CE$17*$L8*$K8</f>
        <v>0</v>
      </c>
      <c r="AIE8" s="17">
        <f>(DE8&gt;0)*'Long-Term Leases'!CF$17*$L8*$K8</f>
        <v>0</v>
      </c>
      <c r="AIF8" s="17">
        <f>(DF8&gt;0)*'Long-Term Leases'!CG$17*$L8*$K8</f>
        <v>0</v>
      </c>
      <c r="AIG8" s="17">
        <f>(DG8&gt;0)*'Long-Term Leases'!CH$17*$L8*$K8</f>
        <v>0</v>
      </c>
      <c r="AIH8" s="17">
        <f>(DH8&gt;0)*'Long-Term Leases'!CI$17*$L8*$K8</f>
        <v>0</v>
      </c>
      <c r="AII8" s="17">
        <f>(DI8&gt;0)*'Long-Term Leases'!CJ$17*$L8*$K8</f>
        <v>0</v>
      </c>
      <c r="AIJ8" s="17">
        <f>(DJ8&gt;0)*'Long-Term Leases'!CK$17*$L8*$K8</f>
        <v>0</v>
      </c>
      <c r="AIK8" s="17">
        <f>(DK8&gt;0)*'Long-Term Leases'!CL$17*$L8*$K8</f>
        <v>0</v>
      </c>
      <c r="AIL8" s="17">
        <f>(DL8&gt;0)*'Long-Term Leases'!CM$17*$L8*$K8</f>
        <v>0</v>
      </c>
      <c r="AIM8" s="17">
        <f>(DM8&gt;0)*'Long-Term Leases'!CN$17*$L8*$K8</f>
        <v>0</v>
      </c>
      <c r="AIN8" s="17">
        <f>(DN8&gt;0)*'Long-Term Leases'!CO$17*$L8*$K8</f>
        <v>0</v>
      </c>
      <c r="AIO8" s="17">
        <f>(DO8&gt;0)*'Long-Term Leases'!CP$17*$L8*$K8</f>
        <v>0</v>
      </c>
      <c r="AIP8" s="17">
        <f>(DP8&gt;0)*'Long-Term Leases'!CQ$17*$L8*$K8</f>
        <v>0</v>
      </c>
      <c r="AIQ8" s="17">
        <f>(DQ8&gt;0)*'Long-Term Leases'!CR$17*$L8*$K8</f>
        <v>0</v>
      </c>
      <c r="AIR8" s="17">
        <f>(DR8&gt;0)*'Long-Term Leases'!CS$17*$L8*$K8</f>
        <v>0</v>
      </c>
      <c r="AIS8" s="17">
        <f>(DS8&gt;0)*'Long-Term Leases'!CT$17*$L8*$K8</f>
        <v>0</v>
      </c>
      <c r="AIT8" s="17">
        <f>(DT8&gt;0)*'Long-Term Leases'!CU$17*$L8*$K8</f>
        <v>0</v>
      </c>
      <c r="AIU8" s="17">
        <f>(DU8&gt;0)*'Long-Term Leases'!CV$17*$L8*$K8</f>
        <v>0</v>
      </c>
      <c r="AIV8" s="17">
        <f>(DV8&gt;0)*'Long-Term Leases'!CW$17*$L8*$K8</f>
        <v>0</v>
      </c>
      <c r="AIW8" s="17">
        <f>(DW8&gt;0)*'Long-Term Leases'!CX$17*$L8*$K8</f>
        <v>0</v>
      </c>
      <c r="AIX8" s="17">
        <f>(DX8&gt;0)*'Long-Term Leases'!CY$17*$L8*$K8</f>
        <v>0</v>
      </c>
      <c r="AIY8" s="17">
        <f>(DY8&gt;0)*'Long-Term Leases'!CZ$17*$L8*$K8</f>
        <v>0</v>
      </c>
      <c r="AIZ8" s="17">
        <f>(DZ8&gt;0)*'Long-Term Leases'!DA$17*$L8*$K8</f>
        <v>0</v>
      </c>
      <c r="AJA8" s="17">
        <f>(EA8&gt;0)*'Long-Term Leases'!DB$17*$L8*$K8</f>
        <v>0</v>
      </c>
      <c r="AJB8" s="17">
        <f>(EB8&gt;0)*'Long-Term Leases'!DC$17*$L8*$K8</f>
        <v>0</v>
      </c>
      <c r="AJC8" s="17">
        <f>(EC8&gt;0)*'Long-Term Leases'!DD$17*$L8*$K8</f>
        <v>0</v>
      </c>
      <c r="AJD8" s="17">
        <f>(ED8&gt;0)*'Long-Term Leases'!DE$17*$L8*$K8</f>
        <v>0</v>
      </c>
      <c r="AJE8" s="17">
        <f>(EE8&gt;0)*'Long-Term Leases'!DF$17*$L8*$K8</f>
        <v>0</v>
      </c>
      <c r="AJF8" s="17">
        <f>(EF8&gt;0)*'Long-Term Leases'!DG$17*$L8*$K8</f>
        <v>0</v>
      </c>
      <c r="AJG8" s="17">
        <f>(EG8&gt;0)*'Long-Term Leases'!DH$17*$L8*$K8</f>
        <v>0</v>
      </c>
      <c r="AJH8" s="17">
        <f>(EH8&gt;0)*'Long-Term Leases'!DI$17*$L8*$K8</f>
        <v>0</v>
      </c>
      <c r="AJI8" s="17">
        <f>(EI8&gt;0)*'Long-Term Leases'!DJ$17*$L8*$K8</f>
        <v>0</v>
      </c>
      <c r="AJJ8" s="17">
        <f>(EJ8&gt;0)*'Long-Term Leases'!DK$17*$L8*$K8</f>
        <v>0</v>
      </c>
      <c r="AJK8" s="17">
        <f>(EK8&gt;0)*'Long-Term Leases'!DL$17*$L8*$K8</f>
        <v>0</v>
      </c>
      <c r="AJL8" s="17">
        <f>(EL8&gt;0)*'Long-Term Leases'!DM$17*$L8*$K8</f>
        <v>0</v>
      </c>
      <c r="AJM8" s="17">
        <f>(EM8&gt;0)*'Long-Term Leases'!DN$17*$L8*$K8</f>
        <v>0</v>
      </c>
      <c r="AJN8" s="17">
        <f>(EN8&gt;0)*'Long-Term Leases'!DO$17*$L8*$K8</f>
        <v>0</v>
      </c>
      <c r="AJO8" s="17">
        <f>(EO8&gt;0)*'Long-Term Leases'!DP$17*$L8*$K8</f>
        <v>0</v>
      </c>
      <c r="AJP8" s="17">
        <f>(EP8&gt;0)*'Long-Term Leases'!DQ$17*$L8*$K8</f>
        <v>0</v>
      </c>
      <c r="AJQ8" s="17">
        <f>(EQ8&gt;0)*'Long-Term Leases'!DR$17*$L8*$K8</f>
        <v>0</v>
      </c>
      <c r="AJR8" s="17">
        <f>(ER8&gt;0)*'Long-Term Leases'!DS$17*$L8*$K8</f>
        <v>0</v>
      </c>
      <c r="AJS8" s="17">
        <f>(ES8&gt;0)*'Long-Term Leases'!DT$17*$L8*$K8</f>
        <v>0</v>
      </c>
      <c r="AJT8" s="17">
        <f>(ET8&gt;0)*'Long-Term Leases'!DU$17*$L8*$K8</f>
        <v>0</v>
      </c>
      <c r="AJU8" s="17">
        <f>(EU8&gt;0)*'Long-Term Leases'!DV$17*$L8*$K8</f>
        <v>0</v>
      </c>
      <c r="AJV8" s="17">
        <f>(EV8&gt;0)*'Long-Term Leases'!DW$17*$L8*$K8</f>
        <v>0</v>
      </c>
      <c r="AJW8" s="17">
        <f>(EW8&gt;0)*'Long-Term Leases'!DX$17*$L8*$K8</f>
        <v>0</v>
      </c>
      <c r="AJX8" s="17">
        <f>(EX8&gt;0)*'Long-Term Leases'!DY$17*$L8*$K8</f>
        <v>0</v>
      </c>
      <c r="AJY8" s="17">
        <f>(EY8&gt;0)*'Long-Term Leases'!DZ$17*$L8*$K8</f>
        <v>0</v>
      </c>
      <c r="AJZ8" s="17">
        <f>(EZ8&gt;0)*'Long-Term Leases'!EA$17*$L8*$K8</f>
        <v>0</v>
      </c>
      <c r="AKA8" s="17">
        <f>(FA8&gt;0)*'Long-Term Leases'!EB$17*$L8*$K8</f>
        <v>0</v>
      </c>
      <c r="AKB8" s="17">
        <f>(FB8&gt;0)*'Long-Term Leases'!EC$17*$L8*$K8</f>
        <v>0</v>
      </c>
      <c r="AKC8" s="17">
        <f>(FC8&gt;0)*'Long-Term Leases'!ED$17*$L8*$K8</f>
        <v>0</v>
      </c>
      <c r="AKD8" s="17">
        <f>(FD8&gt;0)*'Long-Term Leases'!EE$17*$L8*$K8</f>
        <v>0</v>
      </c>
      <c r="AKE8" s="17">
        <f>(FE8&gt;0)*'Long-Term Leases'!EF$17*$L8*$K8</f>
        <v>0</v>
      </c>
      <c r="AKF8" s="17">
        <f>(FF8&gt;0)*'Long-Term Leases'!EG$17*$L8*$K8</f>
        <v>0</v>
      </c>
      <c r="AKG8" s="17">
        <f>(FG8&gt;0)*'Long-Term Leases'!EH$17*$L8*$K8</f>
        <v>0</v>
      </c>
      <c r="AKH8" s="17">
        <f>(FH8&gt;0)*'Long-Term Leases'!EI$17*$L8*$K8</f>
        <v>0</v>
      </c>
      <c r="AKI8" s="17">
        <f>(FI8&gt;0)*'Long-Term Leases'!EJ$17*$L8*$K8</f>
        <v>0</v>
      </c>
      <c r="AKJ8" s="17">
        <f>(FJ8&gt;0)*'Long-Term Leases'!EK$17*$L8*$K8</f>
        <v>0</v>
      </c>
      <c r="AKK8" s="17">
        <f>(FK8&gt;0)*'Long-Term Leases'!EL$17*$L8*$K8</f>
        <v>0</v>
      </c>
      <c r="AKL8" s="17"/>
      <c r="AKM8" s="17"/>
      <c r="AKN8" s="17">
        <f>(FN8&gt;0)*'Long-Term Leases'!K$17*$X8*$W8</f>
        <v>0</v>
      </c>
      <c r="AKO8" s="17">
        <f>(FO8&gt;0)*'Long-Term Leases'!L$17*$X8*$W8</f>
        <v>0</v>
      </c>
      <c r="AKP8" s="17">
        <f>(FP8&gt;0)*'Long-Term Leases'!M$17*$X8*$W8</f>
        <v>0</v>
      </c>
      <c r="AKQ8" s="17">
        <f>(FQ8&gt;0)*'Long-Term Leases'!N$17*$X8*$W8</f>
        <v>0</v>
      </c>
      <c r="AKR8" s="17">
        <f>(FR8&gt;0)*'Long-Term Leases'!O$17*$X8*$W8</f>
        <v>0</v>
      </c>
      <c r="AKS8" s="17">
        <f>(FS8&gt;0)*'Long-Term Leases'!P$17*$X8*$W8</f>
        <v>0</v>
      </c>
      <c r="AKT8" s="17">
        <f>(FT8&gt;0)*'Long-Term Leases'!Q$17*$X8*$W8</f>
        <v>0</v>
      </c>
      <c r="AKU8" s="17">
        <f>(FU8&gt;0)*'Long-Term Leases'!R$17*$X8*$W8</f>
        <v>0</v>
      </c>
      <c r="AKV8" s="17">
        <f>(FV8&gt;0)*'Long-Term Leases'!S$17*$X8*$W8</f>
        <v>0</v>
      </c>
      <c r="AKW8" s="17">
        <f>(FW8&gt;0)*'Long-Term Leases'!T$17*$X8*$W8</f>
        <v>0</v>
      </c>
      <c r="AKX8" s="17">
        <f>(FX8&gt;0)*'Long-Term Leases'!U$17*$X8*$W8</f>
        <v>0</v>
      </c>
      <c r="AKY8" s="17">
        <f>(FY8&gt;0)*'Long-Term Leases'!V$17*$X8*$W8</f>
        <v>0</v>
      </c>
      <c r="AKZ8" s="17">
        <f>(FZ8&gt;0)*'Long-Term Leases'!W$17*$X8*$W8</f>
        <v>0</v>
      </c>
      <c r="ALA8" s="17">
        <f>(GA8&gt;0)*'Long-Term Leases'!X$17*$X8*$W8</f>
        <v>0</v>
      </c>
      <c r="ALB8" s="17">
        <f>(GB8&gt;0)*'Long-Term Leases'!Y$17*$X8*$W8</f>
        <v>0</v>
      </c>
      <c r="ALC8" s="17">
        <f>(GC8&gt;0)*'Long-Term Leases'!Z$17*$X8*$W8</f>
        <v>0</v>
      </c>
      <c r="ALD8" s="17">
        <f>(GD8&gt;0)*'Long-Term Leases'!AA$17*$X8*$W8</f>
        <v>0</v>
      </c>
      <c r="ALE8" s="17">
        <f>(GE8&gt;0)*'Long-Term Leases'!AB$17*$X8*$W8</f>
        <v>0</v>
      </c>
      <c r="ALF8" s="17">
        <f>(GF8&gt;0)*'Long-Term Leases'!AC$17*$X8*$W8</f>
        <v>0</v>
      </c>
      <c r="ALG8" s="17">
        <f>(GG8&gt;0)*'Long-Term Leases'!AD$17*$X8*$W8</f>
        <v>0</v>
      </c>
      <c r="ALH8" s="17">
        <f>(GH8&gt;0)*'Long-Term Leases'!AE$17*$X8*$W8</f>
        <v>0</v>
      </c>
      <c r="ALI8" s="17">
        <f>(GI8&gt;0)*'Long-Term Leases'!AF$17*$X8*$W8</f>
        <v>0</v>
      </c>
      <c r="ALJ8" s="17">
        <f>(GJ8&gt;0)*'Long-Term Leases'!AG$17*$X8*$W8</f>
        <v>0</v>
      </c>
      <c r="ALK8" s="17">
        <f>(GK8&gt;0)*'Long-Term Leases'!AH$17*$X8*$W8</f>
        <v>0</v>
      </c>
      <c r="ALL8" s="17">
        <f>(GL8&gt;0)*'Long-Term Leases'!AI$17*$X8*$W8</f>
        <v>0</v>
      </c>
      <c r="ALM8" s="17">
        <f>(GM8&gt;0)*'Long-Term Leases'!AJ$17*$X8*$W8</f>
        <v>0</v>
      </c>
      <c r="ALN8" s="17">
        <f>(GN8&gt;0)*'Long-Term Leases'!AK$17*$X8*$W8</f>
        <v>0</v>
      </c>
      <c r="ALO8" s="17">
        <f>(GO8&gt;0)*'Long-Term Leases'!AL$17*$X8*$W8</f>
        <v>0</v>
      </c>
      <c r="ALP8" s="17">
        <f>(GP8&gt;0)*'Long-Term Leases'!AM$17*$X8*$W8</f>
        <v>0</v>
      </c>
      <c r="ALQ8" s="17">
        <f>(GQ8&gt;0)*'Long-Term Leases'!AN$17*$X8*$W8</f>
        <v>0</v>
      </c>
      <c r="ALR8" s="17">
        <f>(GR8&gt;0)*'Long-Term Leases'!AO$17*$X8*$W8</f>
        <v>0</v>
      </c>
      <c r="ALS8" s="17">
        <f>(GS8&gt;0)*'Long-Term Leases'!AP$17*$X8*$W8</f>
        <v>0</v>
      </c>
      <c r="ALT8" s="17">
        <f>(GT8&gt;0)*'Long-Term Leases'!AQ$17*$X8*$W8</f>
        <v>0</v>
      </c>
      <c r="ALU8" s="17">
        <f>(GU8&gt;0)*'Long-Term Leases'!AR$17*$X8*$W8</f>
        <v>0</v>
      </c>
      <c r="ALV8" s="17">
        <f>(GV8&gt;0)*'Long-Term Leases'!AS$17*$X8*$W8</f>
        <v>0</v>
      </c>
      <c r="ALW8" s="17">
        <f>(GW8&gt;0)*'Long-Term Leases'!AT$17*$X8*$W8</f>
        <v>0</v>
      </c>
      <c r="ALX8" s="17">
        <f>(GX8&gt;0)*'Long-Term Leases'!AU$17*$X8*$W8</f>
        <v>0</v>
      </c>
      <c r="ALY8" s="17">
        <f>(GY8&gt;0)*'Long-Term Leases'!AV$17*$X8*$W8</f>
        <v>0</v>
      </c>
      <c r="ALZ8" s="17">
        <f>(GZ8&gt;0)*'Long-Term Leases'!AW$17*$X8*$W8</f>
        <v>0</v>
      </c>
      <c r="AMA8" s="17">
        <f>(HA8&gt;0)*'Long-Term Leases'!AX$17*$X8*$W8</f>
        <v>8856.0318537225357</v>
      </c>
      <c r="AMB8" s="17">
        <f>(HB8&gt;0)*'Long-Term Leases'!AY$17*$X8*$W8</f>
        <v>8856.0318537225357</v>
      </c>
      <c r="AMC8" s="17">
        <f>(HC8&gt;0)*'Long-Term Leases'!AZ$17*$X8*$W8</f>
        <v>8856.0318537225357</v>
      </c>
      <c r="AMD8" s="17">
        <f>(HD8&gt;0)*'Long-Term Leases'!BA$17*$X8*$W8</f>
        <v>8856.0318537225357</v>
      </c>
      <c r="AME8" s="17">
        <f>(HE8&gt;0)*'Long-Term Leases'!BB$17*$X8*$W8</f>
        <v>8856.0318537225357</v>
      </c>
      <c r="AMF8" s="17">
        <f>(HF8&gt;0)*'Long-Term Leases'!BC$17*$X8*$W8</f>
        <v>8856.0318537225357</v>
      </c>
      <c r="AMG8" s="17">
        <f>(HG8&gt;0)*'Long-Term Leases'!BD$17*$X8*$W8</f>
        <v>8856.0318537225357</v>
      </c>
      <c r="AMH8" s="17">
        <f>(HH8&gt;0)*'Long-Term Leases'!BE$17*$X8*$W8</f>
        <v>8856.0318537225357</v>
      </c>
      <c r="AMI8" s="17">
        <f>(HI8&gt;0)*'Long-Term Leases'!BF$17*$X8*$W8</f>
        <v>8856.0318537225357</v>
      </c>
      <c r="AMJ8" s="17">
        <f>(HJ8&gt;0)*'Long-Term Leases'!BG$17*$X8*$W8</f>
        <v>9033.1524907969888</v>
      </c>
      <c r="AMK8" s="17">
        <f>(HK8&gt;0)*'Long-Term Leases'!BH$17*$X8*$W8</f>
        <v>9033.1524907969888</v>
      </c>
      <c r="AML8" s="17">
        <f>(HL8&gt;0)*'Long-Term Leases'!BI$17*$X8*$W8</f>
        <v>9033.1524907969888</v>
      </c>
      <c r="AMM8" s="17">
        <f>(HM8&gt;0)*'Long-Term Leases'!BJ$17*$X8*$W8</f>
        <v>9033.1524907969888</v>
      </c>
      <c r="AMN8" s="17">
        <f>(HN8&gt;0)*'Long-Term Leases'!BK$17*$X8*$W8</f>
        <v>9033.1524907969888</v>
      </c>
      <c r="AMO8" s="17">
        <f>(HO8&gt;0)*'Long-Term Leases'!BL$17*$X8*$W8</f>
        <v>9033.1524907969888</v>
      </c>
      <c r="AMP8" s="17">
        <f>(HP8&gt;0)*'Long-Term Leases'!BM$17*$X8*$W8</f>
        <v>9033.1524907969888</v>
      </c>
      <c r="AMQ8" s="17">
        <f>(HQ8&gt;0)*'Long-Term Leases'!BN$17*$X8*$W8</f>
        <v>9033.1524907969888</v>
      </c>
      <c r="AMR8" s="17">
        <f>(HR8&gt;0)*'Long-Term Leases'!BO$17*$X8*$W8</f>
        <v>9033.1524907969888</v>
      </c>
      <c r="AMS8" s="17">
        <f>(HS8&gt;0)*'Long-Term Leases'!BP$17*$X8*$W8</f>
        <v>9033.1524907969888</v>
      </c>
      <c r="AMT8" s="17">
        <f>(HT8&gt;0)*'Long-Term Leases'!BQ$17*$X8*$W8</f>
        <v>9033.1524907969888</v>
      </c>
      <c r="AMU8" s="17">
        <f>(HU8&gt;0)*'Long-Term Leases'!BR$17*$X8*$W8</f>
        <v>9033.1524907969888</v>
      </c>
      <c r="AMV8" s="17">
        <f>(HV8&gt;0)*'Long-Term Leases'!BS$17*$X8*$W8</f>
        <v>9213.8155406129263</v>
      </c>
      <c r="AMW8" s="17">
        <f>(HW8&gt;0)*'Long-Term Leases'!BT$17*$X8*$W8</f>
        <v>9213.8155406129263</v>
      </c>
      <c r="AMX8" s="17">
        <f>(HX8&gt;0)*'Long-Term Leases'!BU$17*$X8*$W8</f>
        <v>9213.8155406129263</v>
      </c>
      <c r="AMY8" s="17">
        <f>(HY8&gt;0)*'Long-Term Leases'!BV$17*$X8*$W8</f>
        <v>9213.8155406129263</v>
      </c>
      <c r="AMZ8" s="17">
        <f>(HZ8&gt;0)*'Long-Term Leases'!BW$17*$X8*$W8</f>
        <v>9213.8155406129263</v>
      </c>
      <c r="ANA8" s="17">
        <f>(IA8&gt;0)*'Long-Term Leases'!BX$17*$X8*$W8</f>
        <v>9213.8155406129263</v>
      </c>
      <c r="ANB8" s="17">
        <f>(IB8&gt;0)*'Long-Term Leases'!BY$17*$X8*$W8</f>
        <v>9213.8155406129263</v>
      </c>
      <c r="ANC8" s="17">
        <f>(IC8&gt;0)*'Long-Term Leases'!BZ$17*$X8*$W8</f>
        <v>9213.8155406129263</v>
      </c>
      <c r="AND8" s="17">
        <f>(ID8&gt;0)*'Long-Term Leases'!CA$17*$X8*$W8</f>
        <v>9213.8155406129263</v>
      </c>
      <c r="ANE8" s="17">
        <f>(IE8&gt;0)*'Long-Term Leases'!CB$17*$X8*$W8</f>
        <v>9213.8155406129263</v>
      </c>
      <c r="ANF8" s="17">
        <f>(IF8&gt;0)*'Long-Term Leases'!CC$17*$X8*$W8</f>
        <v>9213.8155406129263</v>
      </c>
      <c r="ANG8" s="17">
        <f>(IG8&gt;0)*'Long-Term Leases'!CD$17*$X8*$W8</f>
        <v>9213.8155406129263</v>
      </c>
      <c r="ANH8" s="17">
        <f>(IH8&gt;0)*'Long-Term Leases'!CE$17*$X8*$W8</f>
        <v>9398.0918514251862</v>
      </c>
      <c r="ANI8" s="17">
        <f>(II8&gt;0)*'Long-Term Leases'!CF$17*$X8*$W8</f>
        <v>9398.0918514251862</v>
      </c>
      <c r="ANJ8" s="17">
        <f>(IJ8&gt;0)*'Long-Term Leases'!CG$17*$X8*$W8</f>
        <v>9398.0918514251862</v>
      </c>
      <c r="ANK8" s="17">
        <f>(IK8&gt;0)*'Long-Term Leases'!CH$17*$X8*$W8</f>
        <v>9398.0918514251862</v>
      </c>
      <c r="ANL8" s="17">
        <f>(IL8&gt;0)*'Long-Term Leases'!CI$17*$X8*$W8</f>
        <v>9398.0918514251862</v>
      </c>
      <c r="ANM8" s="17">
        <f>(IM8&gt;0)*'Long-Term Leases'!CJ$17*$X8*$W8</f>
        <v>9398.0918514251862</v>
      </c>
      <c r="ANN8" s="17">
        <f>(IN8&gt;0)*'Long-Term Leases'!CK$17*$X8*$W8</f>
        <v>9398.0918514251862</v>
      </c>
      <c r="ANO8" s="17">
        <f>(IO8&gt;0)*'Long-Term Leases'!CL$17*$X8*$W8</f>
        <v>9398.0918514251862</v>
      </c>
      <c r="ANP8" s="17">
        <f>(IP8&gt;0)*'Long-Term Leases'!CM$17*$X8*$W8</f>
        <v>9398.0918514251862</v>
      </c>
      <c r="ANQ8" s="17">
        <f>(IQ8&gt;0)*'Long-Term Leases'!CN$17*$X8*$W8</f>
        <v>9398.0918514251862</v>
      </c>
      <c r="ANR8" s="17">
        <f>(IR8&gt;0)*'Long-Term Leases'!CO$17*$X8*$W8</f>
        <v>9398.0918514251862</v>
      </c>
      <c r="ANS8" s="17">
        <f>(IS8&gt;0)*'Long-Term Leases'!CP$17*$X8*$W8</f>
        <v>9398.0918514251862</v>
      </c>
      <c r="ANT8" s="17">
        <f>(IT8&gt;0)*'Long-Term Leases'!CQ$17*$X8*$W8</f>
        <v>9586.0536884536887</v>
      </c>
      <c r="ANU8" s="17">
        <f>(IU8&gt;0)*'Long-Term Leases'!CR$17*$X8*$W8</f>
        <v>9586.0536884536887</v>
      </c>
      <c r="ANV8" s="17">
        <f>(IV8&gt;0)*'Long-Term Leases'!CS$17*$X8*$W8</f>
        <v>9586.0536884536887</v>
      </c>
      <c r="ANW8" s="17">
        <f>(IW8&gt;0)*'Long-Term Leases'!CT$17*$X8*$W8</f>
        <v>9586.0536884536887</v>
      </c>
      <c r="ANX8" s="17">
        <f>(IX8&gt;0)*'Long-Term Leases'!CU$17*$X8*$W8</f>
        <v>9586.0536884536887</v>
      </c>
      <c r="ANY8" s="17">
        <f>(IY8&gt;0)*'Long-Term Leases'!CV$17*$X8*$W8</f>
        <v>9586.0536884536887</v>
      </c>
      <c r="ANZ8" s="17">
        <f>(IZ8&gt;0)*'Long-Term Leases'!CW$17*$X8*$W8</f>
        <v>9586.0536884536887</v>
      </c>
      <c r="AOA8" s="17">
        <f>(JA8&gt;0)*'Long-Term Leases'!CX$17*$X8*$W8</f>
        <v>9586.0536884536887</v>
      </c>
      <c r="AOB8" s="17">
        <f>(JB8&gt;0)*'Long-Term Leases'!CY$17*$X8*$W8</f>
        <v>9586.0536884536887</v>
      </c>
      <c r="AOC8" s="17">
        <f>(JC8&gt;0)*'Long-Term Leases'!CZ$17*$X8*$W8</f>
        <v>9586.0536884536887</v>
      </c>
      <c r="AOD8" s="17">
        <f>(JD8&gt;0)*'Long-Term Leases'!DA$17*$X8*$W8</f>
        <v>9586.0536884536887</v>
      </c>
      <c r="AOE8" s="17">
        <f>(JE8&gt;0)*'Long-Term Leases'!DB$17*$X8*$W8</f>
        <v>9586.0536884536887</v>
      </c>
      <c r="AOF8" s="17">
        <f>(JF8&gt;0)*'Long-Term Leases'!DC$17*$X8*$W8</f>
        <v>9777.7747622227635</v>
      </c>
      <c r="AOG8" s="17">
        <f>(JG8&gt;0)*'Long-Term Leases'!DD$17*$X8*$W8</f>
        <v>9777.7747622227635</v>
      </c>
      <c r="AOH8" s="17">
        <f>(JH8&gt;0)*'Long-Term Leases'!DE$17*$X8*$W8</f>
        <v>9777.7747622227635</v>
      </c>
      <c r="AOI8" s="17">
        <f>(JI8&gt;0)*'Long-Term Leases'!DF$17*$X8*$W8</f>
        <v>9777.7747622227635</v>
      </c>
      <c r="AOJ8" s="17">
        <f>(JJ8&gt;0)*'Long-Term Leases'!DG$17*$X8*$W8</f>
        <v>9777.7747622227635</v>
      </c>
      <c r="AOK8" s="17">
        <f>(JK8&gt;0)*'Long-Term Leases'!DH$17*$X8*$W8</f>
        <v>9777.7747622227635</v>
      </c>
      <c r="AOL8" s="17">
        <f>(JL8&gt;0)*'Long-Term Leases'!DI$17*$X8*$W8</f>
        <v>9777.7747622227635</v>
      </c>
      <c r="AOM8" s="17">
        <f>(JM8&gt;0)*'Long-Term Leases'!DJ$17*$X8*$W8</f>
        <v>9777.7747622227635</v>
      </c>
      <c r="AON8" s="17">
        <f>(JN8&gt;0)*'Long-Term Leases'!DK$17*$X8*$W8</f>
        <v>9777.7747622227635</v>
      </c>
      <c r="AOO8" s="17">
        <f>(JO8&gt;0)*'Long-Term Leases'!DL$17*$X8*$W8</f>
        <v>9777.7747622227635</v>
      </c>
      <c r="AOP8" s="17">
        <f>(JP8&gt;0)*'Long-Term Leases'!DM$17*$X8*$W8</f>
        <v>9777.7747622227635</v>
      </c>
      <c r="AOQ8" s="17">
        <f>(JQ8&gt;0)*'Long-Term Leases'!DN$17*$X8*$W8</f>
        <v>9777.7747622227635</v>
      </c>
      <c r="AOR8" s="17">
        <f>(JR8&gt;0)*'Long-Term Leases'!DO$17*$X8*$W8</f>
        <v>9973.330257467218</v>
      </c>
      <c r="AOS8" s="17">
        <f>(JS8&gt;0)*'Long-Term Leases'!DP$17*$X8*$W8</f>
        <v>9973.330257467218</v>
      </c>
      <c r="AOT8" s="17">
        <f>(JT8&gt;0)*'Long-Term Leases'!DQ$17*$X8*$W8</f>
        <v>9973.330257467218</v>
      </c>
      <c r="AOU8" s="17">
        <f>(JU8&gt;0)*'Long-Term Leases'!DR$17*$X8*$W8</f>
        <v>9973.330257467218</v>
      </c>
      <c r="AOV8" s="17">
        <f>(JV8&gt;0)*'Long-Term Leases'!DS$17*$X8*$W8</f>
        <v>9973.330257467218</v>
      </c>
      <c r="AOW8" s="17">
        <f>(JW8&gt;0)*'Long-Term Leases'!DT$17*$X8*$W8</f>
        <v>9973.330257467218</v>
      </c>
      <c r="AOX8" s="17">
        <f>(JX8&gt;0)*'Long-Term Leases'!DU$17*$X8*$W8</f>
        <v>9973.330257467218</v>
      </c>
      <c r="AOY8" s="17">
        <f>(JY8&gt;0)*'Long-Term Leases'!DV$17*$X8*$W8</f>
        <v>9973.330257467218</v>
      </c>
      <c r="AOZ8" s="17">
        <f>(JZ8&gt;0)*'Long-Term Leases'!DW$17*$X8*$W8</f>
        <v>9973.330257467218</v>
      </c>
      <c r="APA8" s="17">
        <f>(KA8&gt;0)*'Long-Term Leases'!DX$17*$X8*$W8</f>
        <v>9973.330257467218</v>
      </c>
      <c r="APB8" s="17">
        <f>(KB8&gt;0)*'Long-Term Leases'!DY$17*$X8*$W8</f>
        <v>9973.330257467218</v>
      </c>
      <c r="APC8" s="17">
        <f>(KC8&gt;0)*'Long-Term Leases'!DZ$17*$X8*$W8</f>
        <v>9973.330257467218</v>
      </c>
      <c r="APD8" s="17">
        <f>(KD8&gt;0)*'Long-Term Leases'!EA$17*$X8*$W8</f>
        <v>10172.796862616562</v>
      </c>
      <c r="APE8" s="17">
        <f>(KE8&gt;0)*'Long-Term Leases'!EB$17*$X8*$W8</f>
        <v>10172.796862616562</v>
      </c>
      <c r="APF8" s="17">
        <f>(KF8&gt;0)*'Long-Term Leases'!EC$17*$X8*$W8</f>
        <v>10172.796862616562</v>
      </c>
      <c r="APG8" s="17">
        <f>(KG8&gt;0)*'Long-Term Leases'!ED$17*$X8*$W8</f>
        <v>10172.796862616562</v>
      </c>
      <c r="APH8" s="17">
        <f>(KH8&gt;0)*'Long-Term Leases'!EE$17*$X8*$W8</f>
        <v>10172.796862616562</v>
      </c>
      <c r="API8" s="17">
        <f>(KI8&gt;0)*'Long-Term Leases'!EF$17*$X8*$W8</f>
        <v>10172.796862616562</v>
      </c>
      <c r="APJ8" s="17">
        <f>(KJ8&gt;0)*'Long-Term Leases'!EG$17*$X8*$W8</f>
        <v>10172.796862616562</v>
      </c>
      <c r="APK8" s="17">
        <f>(KK8&gt;0)*'Long-Term Leases'!EH$17*$X8*$W8</f>
        <v>10172.796862616562</v>
      </c>
      <c r="APL8" s="17">
        <f>(KL8&gt;0)*'Long-Term Leases'!EI$17*$X8*$W8</f>
        <v>10172.796862616562</v>
      </c>
      <c r="APM8" s="17">
        <f>(KM8&gt;0)*'Long-Term Leases'!EJ$17*$X8*$W8</f>
        <v>10172.796862616562</v>
      </c>
      <c r="APN8" s="17">
        <f>(KN8&gt;0)*'Long-Term Leases'!EK$17*$X8*$W8</f>
        <v>10172.796862616562</v>
      </c>
      <c r="APO8" s="17">
        <f>(KO8&gt;0)*'Long-Term Leases'!EL$17*$X8*$W8</f>
        <v>10172.796862616562</v>
      </c>
      <c r="APP8" s="17"/>
      <c r="APQ8" s="17"/>
      <c r="APR8" s="17">
        <f t="shared" ref="APR8:APR13" si="1307">(APR$5=$R8)*$AH8*$D8</f>
        <v>0</v>
      </c>
      <c r="APS8" s="17">
        <f t="shared" si="1278"/>
        <v>0</v>
      </c>
      <c r="APT8" s="17">
        <f t="shared" si="1278"/>
        <v>0</v>
      </c>
      <c r="APU8" s="17">
        <f t="shared" si="1278"/>
        <v>0</v>
      </c>
      <c r="APV8" s="17">
        <f t="shared" si="1278"/>
        <v>0</v>
      </c>
      <c r="APW8" s="17">
        <f t="shared" si="1278"/>
        <v>0</v>
      </c>
      <c r="APX8" s="17">
        <f t="shared" si="1278"/>
        <v>0</v>
      </c>
      <c r="APY8" s="17">
        <f t="shared" si="1278"/>
        <v>0</v>
      </c>
      <c r="APZ8" s="17">
        <f t="shared" si="1278"/>
        <v>0</v>
      </c>
      <c r="AQA8" s="17">
        <f t="shared" si="1278"/>
        <v>0</v>
      </c>
      <c r="AQB8" s="17">
        <f t="shared" si="1278"/>
        <v>0</v>
      </c>
      <c r="AQC8" s="17">
        <f t="shared" si="1278"/>
        <v>0</v>
      </c>
      <c r="AQD8" s="17">
        <f t="shared" si="1278"/>
        <v>0</v>
      </c>
      <c r="AQE8" s="17">
        <f t="shared" si="1278"/>
        <v>0</v>
      </c>
      <c r="AQF8" s="17">
        <f t="shared" si="1278"/>
        <v>0</v>
      </c>
      <c r="AQG8" s="17">
        <f t="shared" si="1278"/>
        <v>0</v>
      </c>
      <c r="AQH8" s="17">
        <f t="shared" si="1278"/>
        <v>0</v>
      </c>
      <c r="AQI8" s="17">
        <f t="shared" si="1279"/>
        <v>0</v>
      </c>
      <c r="AQJ8" s="17">
        <f t="shared" si="1279"/>
        <v>0</v>
      </c>
      <c r="AQK8" s="17">
        <f t="shared" si="1279"/>
        <v>0</v>
      </c>
      <c r="AQL8" s="17">
        <f t="shared" si="1279"/>
        <v>0</v>
      </c>
      <c r="AQM8" s="17">
        <f t="shared" si="1279"/>
        <v>0</v>
      </c>
      <c r="AQN8" s="17">
        <f t="shared" si="1279"/>
        <v>0</v>
      </c>
      <c r="AQO8" s="17">
        <f t="shared" si="1279"/>
        <v>0</v>
      </c>
      <c r="AQP8" s="17">
        <f t="shared" si="1279"/>
        <v>0</v>
      </c>
      <c r="AQQ8" s="17">
        <f t="shared" si="1279"/>
        <v>0</v>
      </c>
      <c r="AQR8" s="17">
        <f t="shared" si="1279"/>
        <v>0</v>
      </c>
      <c r="AQS8" s="17">
        <f t="shared" si="1279"/>
        <v>0</v>
      </c>
      <c r="AQT8" s="17">
        <f t="shared" si="1279"/>
        <v>0</v>
      </c>
      <c r="AQU8" s="17">
        <f t="shared" si="1279"/>
        <v>0</v>
      </c>
      <c r="AQV8" s="17">
        <f t="shared" si="1279"/>
        <v>0</v>
      </c>
      <c r="AQW8" s="17">
        <f t="shared" si="1279"/>
        <v>0</v>
      </c>
      <c r="AQX8" s="17">
        <f t="shared" si="1279"/>
        <v>0</v>
      </c>
      <c r="AQY8" s="17">
        <f t="shared" si="1280"/>
        <v>0</v>
      </c>
      <c r="AQZ8" s="17">
        <f t="shared" si="1280"/>
        <v>0</v>
      </c>
      <c r="ARA8" s="17">
        <f t="shared" si="1280"/>
        <v>0</v>
      </c>
      <c r="ARB8" s="17">
        <f t="shared" si="1280"/>
        <v>0</v>
      </c>
      <c r="ARC8" s="17">
        <f t="shared" si="1280"/>
        <v>0</v>
      </c>
      <c r="ARD8" s="17">
        <f t="shared" si="1280"/>
        <v>0</v>
      </c>
      <c r="ARE8" s="17">
        <f t="shared" si="1280"/>
        <v>330930.17781600001</v>
      </c>
      <c r="ARF8" s="17">
        <f t="shared" si="1280"/>
        <v>0</v>
      </c>
      <c r="ARG8" s="17">
        <f t="shared" si="1280"/>
        <v>0</v>
      </c>
      <c r="ARH8" s="17">
        <f t="shared" si="1280"/>
        <v>0</v>
      </c>
      <c r="ARI8" s="17">
        <f t="shared" si="1280"/>
        <v>0</v>
      </c>
      <c r="ARJ8" s="17">
        <f t="shared" si="1280"/>
        <v>0</v>
      </c>
      <c r="ARK8" s="17">
        <f t="shared" si="1280"/>
        <v>0</v>
      </c>
      <c r="ARL8" s="17">
        <f t="shared" si="1280"/>
        <v>0</v>
      </c>
      <c r="ARM8" s="17">
        <f t="shared" si="1280"/>
        <v>0</v>
      </c>
      <c r="ARN8" s="17">
        <f t="shared" si="1280"/>
        <v>0</v>
      </c>
      <c r="ARO8" s="17">
        <f t="shared" si="1281"/>
        <v>0</v>
      </c>
      <c r="ARP8" s="17">
        <f t="shared" si="1281"/>
        <v>0</v>
      </c>
      <c r="ARQ8" s="17">
        <f t="shared" si="1281"/>
        <v>0</v>
      </c>
      <c r="ARR8" s="17">
        <f t="shared" si="1281"/>
        <v>0</v>
      </c>
      <c r="ARS8" s="17">
        <f t="shared" si="1281"/>
        <v>0</v>
      </c>
      <c r="ART8" s="17">
        <f t="shared" si="1281"/>
        <v>0</v>
      </c>
      <c r="ARU8" s="17">
        <f t="shared" si="1281"/>
        <v>0</v>
      </c>
      <c r="ARV8" s="17">
        <f t="shared" si="1281"/>
        <v>0</v>
      </c>
      <c r="ARW8" s="17">
        <f t="shared" si="1281"/>
        <v>0</v>
      </c>
      <c r="ARX8" s="17">
        <f t="shared" si="1281"/>
        <v>0</v>
      </c>
      <c r="ARY8" s="17">
        <f t="shared" si="1281"/>
        <v>0</v>
      </c>
      <c r="ARZ8" s="17">
        <f t="shared" si="1281"/>
        <v>0</v>
      </c>
      <c r="ASA8" s="17">
        <f t="shared" si="1281"/>
        <v>0</v>
      </c>
      <c r="ASB8" s="17">
        <f t="shared" si="1281"/>
        <v>0</v>
      </c>
      <c r="ASC8" s="17">
        <f t="shared" si="1281"/>
        <v>0</v>
      </c>
      <c r="ASD8" s="17">
        <f t="shared" si="1281"/>
        <v>0</v>
      </c>
      <c r="ASE8" s="17">
        <f t="shared" si="1282"/>
        <v>0</v>
      </c>
      <c r="ASF8" s="17">
        <f t="shared" si="1282"/>
        <v>0</v>
      </c>
      <c r="ASG8" s="17">
        <f t="shared" si="1282"/>
        <v>0</v>
      </c>
      <c r="ASH8" s="17">
        <f t="shared" si="1282"/>
        <v>0</v>
      </c>
      <c r="ASI8" s="17">
        <f t="shared" si="1282"/>
        <v>0</v>
      </c>
      <c r="ASJ8" s="17">
        <f t="shared" si="1282"/>
        <v>0</v>
      </c>
      <c r="ASK8" s="17">
        <f t="shared" si="1282"/>
        <v>0</v>
      </c>
      <c r="ASL8" s="17">
        <f t="shared" si="1282"/>
        <v>0</v>
      </c>
      <c r="ASM8" s="17">
        <f t="shared" si="1282"/>
        <v>0</v>
      </c>
      <c r="ASN8" s="17">
        <f t="shared" si="1282"/>
        <v>0</v>
      </c>
      <c r="ASO8" s="17">
        <f t="shared" si="1282"/>
        <v>0</v>
      </c>
      <c r="ASP8" s="17">
        <f t="shared" si="1282"/>
        <v>0</v>
      </c>
      <c r="ASQ8" s="17">
        <f t="shared" si="1282"/>
        <v>0</v>
      </c>
      <c r="ASR8" s="17">
        <f t="shared" si="1282"/>
        <v>0</v>
      </c>
      <c r="ASS8" s="17">
        <f t="shared" si="1282"/>
        <v>0</v>
      </c>
      <c r="AST8" s="17">
        <f t="shared" si="1282"/>
        <v>0</v>
      </c>
      <c r="ASU8" s="17">
        <f t="shared" si="1283"/>
        <v>0</v>
      </c>
      <c r="ASV8" s="17">
        <f t="shared" si="1283"/>
        <v>0</v>
      </c>
      <c r="ASW8" s="17">
        <f t="shared" si="1283"/>
        <v>0</v>
      </c>
      <c r="ASX8" s="17">
        <f t="shared" si="1283"/>
        <v>0</v>
      </c>
      <c r="ASY8" s="17">
        <f t="shared" si="1283"/>
        <v>0</v>
      </c>
      <c r="ASZ8" s="17">
        <f t="shared" si="1283"/>
        <v>0</v>
      </c>
      <c r="ATA8" s="17">
        <f t="shared" si="1283"/>
        <v>0</v>
      </c>
      <c r="ATB8" s="17">
        <f t="shared" si="1283"/>
        <v>0</v>
      </c>
      <c r="ATC8" s="17">
        <f t="shared" si="1283"/>
        <v>0</v>
      </c>
      <c r="ATD8" s="17">
        <f t="shared" si="1283"/>
        <v>0</v>
      </c>
      <c r="ATE8" s="17">
        <f t="shared" si="1283"/>
        <v>0</v>
      </c>
      <c r="ATF8" s="17">
        <f t="shared" si="1283"/>
        <v>0</v>
      </c>
      <c r="ATG8" s="17">
        <f t="shared" si="1283"/>
        <v>0</v>
      </c>
      <c r="ATH8" s="17">
        <f t="shared" si="1283"/>
        <v>0</v>
      </c>
      <c r="ATI8" s="17">
        <f t="shared" si="1283"/>
        <v>0</v>
      </c>
      <c r="ATJ8" s="17">
        <f t="shared" si="1283"/>
        <v>0</v>
      </c>
      <c r="ATK8" s="17">
        <f t="shared" si="1284"/>
        <v>0</v>
      </c>
      <c r="ATL8" s="17">
        <f t="shared" si="1284"/>
        <v>0</v>
      </c>
      <c r="ATM8" s="17">
        <f t="shared" si="1284"/>
        <v>0</v>
      </c>
      <c r="ATN8" s="17">
        <f t="shared" si="1284"/>
        <v>0</v>
      </c>
      <c r="ATO8" s="17">
        <f t="shared" si="1284"/>
        <v>0</v>
      </c>
      <c r="ATP8" s="17">
        <f t="shared" si="1284"/>
        <v>0</v>
      </c>
      <c r="ATQ8" s="17">
        <f t="shared" si="1284"/>
        <v>0</v>
      </c>
      <c r="ATR8" s="17">
        <f t="shared" si="1284"/>
        <v>0</v>
      </c>
      <c r="ATS8" s="17">
        <f t="shared" si="1284"/>
        <v>0</v>
      </c>
      <c r="ATT8" s="17">
        <f t="shared" si="1284"/>
        <v>0</v>
      </c>
      <c r="ATU8" s="17">
        <f t="shared" si="1284"/>
        <v>0</v>
      </c>
      <c r="ATV8" s="17">
        <f t="shared" si="1284"/>
        <v>0</v>
      </c>
      <c r="ATW8" s="17">
        <f t="shared" si="1284"/>
        <v>0</v>
      </c>
      <c r="ATX8" s="17">
        <f t="shared" si="1284"/>
        <v>0</v>
      </c>
      <c r="ATY8" s="17">
        <f t="shared" si="1284"/>
        <v>0</v>
      </c>
      <c r="ATZ8" s="17">
        <f t="shared" si="1284"/>
        <v>0</v>
      </c>
      <c r="AUA8" s="17">
        <f t="shared" si="1285"/>
        <v>0</v>
      </c>
      <c r="AUB8" s="17">
        <f t="shared" si="1285"/>
        <v>0</v>
      </c>
      <c r="AUC8" s="17">
        <f t="shared" si="1285"/>
        <v>0</v>
      </c>
      <c r="AUD8" s="17">
        <f t="shared" si="1285"/>
        <v>0</v>
      </c>
      <c r="AUE8" s="17">
        <f t="shared" si="1285"/>
        <v>0</v>
      </c>
      <c r="AUF8" s="17">
        <f t="shared" si="1285"/>
        <v>0</v>
      </c>
      <c r="AUG8" s="17">
        <f t="shared" si="1285"/>
        <v>0</v>
      </c>
      <c r="AUH8" s="17">
        <f t="shared" si="1285"/>
        <v>0</v>
      </c>
      <c r="AUI8" s="17">
        <f t="shared" si="1285"/>
        <v>0</v>
      </c>
      <c r="AUJ8" s="17">
        <f t="shared" si="1285"/>
        <v>0</v>
      </c>
      <c r="AUK8" s="17">
        <f t="shared" si="1285"/>
        <v>0</v>
      </c>
      <c r="AUL8" s="17">
        <f t="shared" si="1285"/>
        <v>0</v>
      </c>
      <c r="AUM8" s="17">
        <f t="shared" si="1285"/>
        <v>0</v>
      </c>
      <c r="AUN8" s="17">
        <f t="shared" si="1285"/>
        <v>0</v>
      </c>
      <c r="AUO8" s="17">
        <f t="shared" si="1285"/>
        <v>0</v>
      </c>
      <c r="AUP8" s="17">
        <f t="shared" si="1285"/>
        <v>0</v>
      </c>
      <c r="AUQ8" s="17">
        <f t="shared" si="1286"/>
        <v>0</v>
      </c>
      <c r="AUR8" s="17">
        <f t="shared" si="1286"/>
        <v>0</v>
      </c>
      <c r="AUS8" s="17">
        <f t="shared" si="1286"/>
        <v>0</v>
      </c>
      <c r="AUT8" s="17"/>
      <c r="AUU8" s="17"/>
    </row>
    <row r="9" spans="1:1243" x14ac:dyDescent="0.3">
      <c r="B9" s="43">
        <v>300</v>
      </c>
      <c r="C9" s="44" t="s">
        <v>82</v>
      </c>
      <c r="D9" s="47">
        <v>10400</v>
      </c>
      <c r="E9" s="54">
        <v>1</v>
      </c>
      <c r="F9" s="54">
        <v>48</v>
      </c>
      <c r="G9" s="45">
        <v>18</v>
      </c>
      <c r="H9" s="48">
        <f t="shared" si="1287"/>
        <v>187200</v>
      </c>
      <c r="I9" s="53">
        <f t="shared" si="1288"/>
        <v>0.02</v>
      </c>
      <c r="J9" s="54">
        <v>1</v>
      </c>
      <c r="K9" s="56">
        <v>1</v>
      </c>
      <c r="L9" s="16">
        <f t="shared" si="1289"/>
        <v>7.6037287515993424E-2</v>
      </c>
      <c r="M9" s="57">
        <v>14.5</v>
      </c>
      <c r="N9" s="26">
        <v>0.02</v>
      </c>
      <c r="O9" s="26">
        <v>0.8</v>
      </c>
      <c r="P9" s="58">
        <v>12</v>
      </c>
      <c r="Q9" s="58">
        <v>120</v>
      </c>
      <c r="R9" s="55">
        <f t="shared" si="1290"/>
        <v>52</v>
      </c>
      <c r="S9" s="55">
        <f t="shared" si="1291"/>
        <v>171</v>
      </c>
      <c r="T9" s="4">
        <f t="shared" si="1292"/>
        <v>15.69526632</v>
      </c>
      <c r="U9" s="53">
        <f t="shared" si="1293"/>
        <v>0.02</v>
      </c>
      <c r="V9" s="55">
        <f t="shared" si="1294"/>
        <v>4</v>
      </c>
      <c r="W9" s="56">
        <f t="shared" si="1295"/>
        <v>1</v>
      </c>
      <c r="X9" s="16">
        <f t="shared" si="1296"/>
        <v>7.6037287515993424E-2</v>
      </c>
      <c r="Y9" s="58">
        <v>9</v>
      </c>
      <c r="Z9" s="58">
        <v>3</v>
      </c>
      <c r="AA9" s="4">
        <f t="shared" si="1297"/>
        <v>6.5396942999999998</v>
      </c>
      <c r="AB9" s="45">
        <v>25</v>
      </c>
      <c r="AC9" s="45">
        <v>10</v>
      </c>
      <c r="AD9" s="26">
        <v>0.06</v>
      </c>
      <c r="AE9" s="26">
        <v>0.03</v>
      </c>
      <c r="AF9" s="4">
        <f t="shared" si="1298"/>
        <v>13</v>
      </c>
      <c r="AG9" s="4">
        <f t="shared" si="1299"/>
        <v>5.6502958752000003</v>
      </c>
      <c r="AH9" s="4">
        <f t="shared" si="1300"/>
        <v>18.650295875200001</v>
      </c>
      <c r="AJ9" s="17">
        <f t="shared" si="1301"/>
        <v>10400</v>
      </c>
      <c r="AK9" s="17">
        <f t="shared" si="1120"/>
        <v>10400</v>
      </c>
      <c r="AL9" s="17">
        <f t="shared" si="1120"/>
        <v>10400</v>
      </c>
      <c r="AM9" s="17">
        <f t="shared" si="1120"/>
        <v>10400</v>
      </c>
      <c r="AN9" s="17">
        <f t="shared" si="1120"/>
        <v>10400</v>
      </c>
      <c r="AO9" s="17">
        <f t="shared" si="1120"/>
        <v>10400</v>
      </c>
      <c r="AP9" s="17">
        <f t="shared" si="1120"/>
        <v>10400</v>
      </c>
      <c r="AQ9" s="17">
        <f t="shared" si="1120"/>
        <v>10400</v>
      </c>
      <c r="AR9" s="17">
        <f t="shared" si="1120"/>
        <v>10400</v>
      </c>
      <c r="AS9" s="17">
        <f t="shared" si="1120"/>
        <v>10400</v>
      </c>
      <c r="AT9" s="17">
        <f t="shared" si="1120"/>
        <v>10400</v>
      </c>
      <c r="AU9" s="17">
        <f t="shared" si="1120"/>
        <v>10400</v>
      </c>
      <c r="AV9" s="17">
        <f t="shared" si="1120"/>
        <v>10400</v>
      </c>
      <c r="AW9" s="17">
        <f t="shared" si="1120"/>
        <v>10400</v>
      </c>
      <c r="AX9" s="17">
        <f t="shared" si="1120"/>
        <v>10400</v>
      </c>
      <c r="AY9" s="17">
        <f t="shared" si="1120"/>
        <v>10400</v>
      </c>
      <c r="AZ9" s="17">
        <f t="shared" si="1120"/>
        <v>10400</v>
      </c>
      <c r="BA9" s="17">
        <f t="shared" si="1121"/>
        <v>10400</v>
      </c>
      <c r="BB9" s="17">
        <f t="shared" si="1121"/>
        <v>10400</v>
      </c>
      <c r="BC9" s="17">
        <f t="shared" si="1121"/>
        <v>10400</v>
      </c>
      <c r="BD9" s="17">
        <f t="shared" si="1121"/>
        <v>10400</v>
      </c>
      <c r="BE9" s="17">
        <f t="shared" si="1121"/>
        <v>10400</v>
      </c>
      <c r="BF9" s="17">
        <f t="shared" si="1121"/>
        <v>10400</v>
      </c>
      <c r="BG9" s="17">
        <f t="shared" si="1121"/>
        <v>10400</v>
      </c>
      <c r="BH9" s="17">
        <f t="shared" si="1121"/>
        <v>10400</v>
      </c>
      <c r="BI9" s="17">
        <f t="shared" si="1121"/>
        <v>10400</v>
      </c>
      <c r="BJ9" s="17">
        <f t="shared" si="1121"/>
        <v>10400</v>
      </c>
      <c r="BK9" s="17">
        <f t="shared" si="1121"/>
        <v>10400</v>
      </c>
      <c r="BL9" s="17">
        <f t="shared" si="1121"/>
        <v>10400</v>
      </c>
      <c r="BM9" s="17">
        <f t="shared" si="1121"/>
        <v>10400</v>
      </c>
      <c r="BN9" s="17">
        <f t="shared" si="1121"/>
        <v>10400</v>
      </c>
      <c r="BO9" s="17">
        <f t="shared" si="1121"/>
        <v>10400</v>
      </c>
      <c r="BP9" s="17">
        <f t="shared" si="1121"/>
        <v>10400</v>
      </c>
      <c r="BQ9" s="17">
        <f t="shared" si="1122"/>
        <v>10400</v>
      </c>
      <c r="BR9" s="17">
        <f t="shared" si="1122"/>
        <v>10400</v>
      </c>
      <c r="BS9" s="17">
        <f t="shared" si="1122"/>
        <v>10400</v>
      </c>
      <c r="BT9" s="17">
        <f t="shared" si="1122"/>
        <v>10400</v>
      </c>
      <c r="BU9" s="17">
        <f t="shared" si="1122"/>
        <v>10400</v>
      </c>
      <c r="BV9" s="17">
        <f t="shared" si="1122"/>
        <v>10400</v>
      </c>
      <c r="BW9" s="17">
        <f t="shared" si="1122"/>
        <v>10400</v>
      </c>
      <c r="BX9" s="17">
        <f t="shared" si="1122"/>
        <v>10400</v>
      </c>
      <c r="BY9" s="17">
        <f t="shared" si="1122"/>
        <v>10400</v>
      </c>
      <c r="BZ9" s="17">
        <f t="shared" si="1122"/>
        <v>10400</v>
      </c>
      <c r="CA9" s="17">
        <f t="shared" si="1122"/>
        <v>10400</v>
      </c>
      <c r="CB9" s="17">
        <f t="shared" si="1122"/>
        <v>10400</v>
      </c>
      <c r="CC9" s="17">
        <f t="shared" si="1122"/>
        <v>10400</v>
      </c>
      <c r="CD9" s="17">
        <f t="shared" si="1122"/>
        <v>10400</v>
      </c>
      <c r="CE9" s="17">
        <f t="shared" si="1122"/>
        <v>10400</v>
      </c>
      <c r="CF9" s="17">
        <f t="shared" si="1122"/>
        <v>0</v>
      </c>
      <c r="CG9" s="17">
        <f t="shared" si="1123"/>
        <v>0</v>
      </c>
      <c r="CH9" s="17">
        <f t="shared" si="1123"/>
        <v>0</v>
      </c>
      <c r="CI9" s="17">
        <f t="shared" si="1123"/>
        <v>0</v>
      </c>
      <c r="CJ9" s="17">
        <f t="shared" si="1123"/>
        <v>0</v>
      </c>
      <c r="CK9" s="17">
        <f t="shared" si="1123"/>
        <v>0</v>
      </c>
      <c r="CL9" s="17">
        <f t="shared" si="1123"/>
        <v>0</v>
      </c>
      <c r="CM9" s="17">
        <f t="shared" si="1123"/>
        <v>0</v>
      </c>
      <c r="CN9" s="17">
        <f t="shared" si="1123"/>
        <v>0</v>
      </c>
      <c r="CO9" s="17">
        <f t="shared" si="1123"/>
        <v>0</v>
      </c>
      <c r="CP9" s="17">
        <f t="shared" si="1123"/>
        <v>0</v>
      </c>
      <c r="CQ9" s="17">
        <f t="shared" si="1123"/>
        <v>0</v>
      </c>
      <c r="CR9" s="17">
        <f t="shared" si="1123"/>
        <v>0</v>
      </c>
      <c r="CS9" s="17">
        <f t="shared" si="1123"/>
        <v>0</v>
      </c>
      <c r="CT9" s="17">
        <f t="shared" si="1123"/>
        <v>0</v>
      </c>
      <c r="CU9" s="17">
        <f t="shared" si="1123"/>
        <v>0</v>
      </c>
      <c r="CV9" s="17">
        <f t="shared" si="1123"/>
        <v>0</v>
      </c>
      <c r="CW9" s="17">
        <f t="shared" si="1124"/>
        <v>0</v>
      </c>
      <c r="CX9" s="17">
        <f t="shared" si="1124"/>
        <v>0</v>
      </c>
      <c r="CY9" s="17">
        <f t="shared" si="1124"/>
        <v>0</v>
      </c>
      <c r="CZ9" s="17">
        <f t="shared" si="1124"/>
        <v>0</v>
      </c>
      <c r="DA9" s="17">
        <f t="shared" si="1124"/>
        <v>0</v>
      </c>
      <c r="DB9" s="17">
        <f t="shared" si="1124"/>
        <v>0</v>
      </c>
      <c r="DC9" s="17">
        <f t="shared" si="1124"/>
        <v>0</v>
      </c>
      <c r="DD9" s="17">
        <f t="shared" si="1124"/>
        <v>0</v>
      </c>
      <c r="DE9" s="17">
        <f t="shared" si="1124"/>
        <v>0</v>
      </c>
      <c r="DF9" s="17">
        <f t="shared" si="1124"/>
        <v>0</v>
      </c>
      <c r="DG9" s="17">
        <f t="shared" si="1124"/>
        <v>0</v>
      </c>
      <c r="DH9" s="17">
        <f t="shared" si="1124"/>
        <v>0</v>
      </c>
      <c r="DI9" s="17">
        <f t="shared" si="1124"/>
        <v>0</v>
      </c>
      <c r="DJ9" s="17">
        <f t="shared" si="1124"/>
        <v>0</v>
      </c>
      <c r="DK9" s="17">
        <f t="shared" si="1124"/>
        <v>0</v>
      </c>
      <c r="DL9" s="17">
        <f t="shared" si="1124"/>
        <v>0</v>
      </c>
      <c r="DM9" s="17">
        <f t="shared" si="1125"/>
        <v>0</v>
      </c>
      <c r="DN9" s="17">
        <f t="shared" si="1125"/>
        <v>0</v>
      </c>
      <c r="DO9" s="17">
        <f t="shared" si="1125"/>
        <v>0</v>
      </c>
      <c r="DP9" s="17">
        <f t="shared" si="1125"/>
        <v>0</v>
      </c>
      <c r="DQ9" s="17">
        <f t="shared" si="1125"/>
        <v>0</v>
      </c>
      <c r="DR9" s="17">
        <f t="shared" si="1125"/>
        <v>0</v>
      </c>
      <c r="DS9" s="17">
        <f t="shared" si="1125"/>
        <v>0</v>
      </c>
      <c r="DT9" s="17">
        <f t="shared" si="1125"/>
        <v>0</v>
      </c>
      <c r="DU9" s="17">
        <f t="shared" si="1125"/>
        <v>0</v>
      </c>
      <c r="DV9" s="17">
        <f t="shared" si="1125"/>
        <v>0</v>
      </c>
      <c r="DW9" s="17">
        <f t="shared" si="1125"/>
        <v>0</v>
      </c>
      <c r="DX9" s="17">
        <f t="shared" si="1125"/>
        <v>0</v>
      </c>
      <c r="DY9" s="17">
        <f t="shared" si="1125"/>
        <v>0</v>
      </c>
      <c r="DZ9" s="17">
        <f t="shared" si="1125"/>
        <v>0</v>
      </c>
      <c r="EA9" s="17">
        <f t="shared" si="1125"/>
        <v>0</v>
      </c>
      <c r="EB9" s="17">
        <f t="shared" si="1125"/>
        <v>0</v>
      </c>
      <c r="EC9" s="17">
        <f t="shared" si="1126"/>
        <v>0</v>
      </c>
      <c r="ED9" s="17">
        <f t="shared" si="1126"/>
        <v>0</v>
      </c>
      <c r="EE9" s="17">
        <f t="shared" si="1126"/>
        <v>0</v>
      </c>
      <c r="EF9" s="17">
        <f t="shared" si="1126"/>
        <v>0</v>
      </c>
      <c r="EG9" s="17">
        <f t="shared" si="1126"/>
        <v>0</v>
      </c>
      <c r="EH9" s="17">
        <f t="shared" si="1126"/>
        <v>0</v>
      </c>
      <c r="EI9" s="17">
        <f t="shared" si="1126"/>
        <v>0</v>
      </c>
      <c r="EJ9" s="17">
        <f t="shared" si="1126"/>
        <v>0</v>
      </c>
      <c r="EK9" s="17">
        <f t="shared" si="1126"/>
        <v>0</v>
      </c>
      <c r="EL9" s="17">
        <f t="shared" si="1126"/>
        <v>0</v>
      </c>
      <c r="EM9" s="17">
        <f t="shared" si="1126"/>
        <v>0</v>
      </c>
      <c r="EN9" s="17">
        <f t="shared" si="1126"/>
        <v>0</v>
      </c>
      <c r="EO9" s="17">
        <f t="shared" si="1126"/>
        <v>0</v>
      </c>
      <c r="EP9" s="17">
        <f t="shared" si="1126"/>
        <v>0</v>
      </c>
      <c r="EQ9" s="17">
        <f t="shared" si="1126"/>
        <v>0</v>
      </c>
      <c r="ER9" s="17">
        <f t="shared" si="1126"/>
        <v>0</v>
      </c>
      <c r="ES9" s="17">
        <f t="shared" si="1127"/>
        <v>0</v>
      </c>
      <c r="ET9" s="17">
        <f t="shared" si="1127"/>
        <v>0</v>
      </c>
      <c r="EU9" s="17">
        <f t="shared" si="1127"/>
        <v>0</v>
      </c>
      <c r="EV9" s="17">
        <f t="shared" si="1127"/>
        <v>0</v>
      </c>
      <c r="EW9" s="17">
        <f t="shared" si="1127"/>
        <v>0</v>
      </c>
      <c r="EX9" s="17">
        <f t="shared" si="1127"/>
        <v>0</v>
      </c>
      <c r="EY9" s="17">
        <f t="shared" si="1127"/>
        <v>0</v>
      </c>
      <c r="EZ9" s="17">
        <f t="shared" si="1127"/>
        <v>0</v>
      </c>
      <c r="FA9" s="17">
        <f t="shared" si="1127"/>
        <v>0</v>
      </c>
      <c r="FB9" s="17">
        <f t="shared" si="1127"/>
        <v>0</v>
      </c>
      <c r="FC9" s="17">
        <f t="shared" si="1127"/>
        <v>0</v>
      </c>
      <c r="FD9" s="17">
        <f t="shared" si="1127"/>
        <v>0</v>
      </c>
      <c r="FE9" s="17">
        <f t="shared" si="1127"/>
        <v>0</v>
      </c>
      <c r="FF9" s="17">
        <f t="shared" si="1127"/>
        <v>0</v>
      </c>
      <c r="FG9" s="17">
        <f t="shared" si="1127"/>
        <v>0</v>
      </c>
      <c r="FH9" s="17">
        <f t="shared" si="1127"/>
        <v>0</v>
      </c>
      <c r="FI9" s="17">
        <f t="shared" si="1128"/>
        <v>0</v>
      </c>
      <c r="FJ9" s="17">
        <f t="shared" si="1128"/>
        <v>0</v>
      </c>
      <c r="FK9" s="17">
        <f t="shared" si="1128"/>
        <v>0</v>
      </c>
      <c r="FL9" s="17"/>
      <c r="FM9" s="17"/>
      <c r="FN9" s="17">
        <f t="shared" si="1302"/>
        <v>0</v>
      </c>
      <c r="FO9" s="17">
        <f t="shared" si="1129"/>
        <v>0</v>
      </c>
      <c r="FP9" s="17">
        <f t="shared" si="1129"/>
        <v>0</v>
      </c>
      <c r="FQ9" s="17">
        <f t="shared" si="1129"/>
        <v>0</v>
      </c>
      <c r="FR9" s="17">
        <f t="shared" si="1129"/>
        <v>0</v>
      </c>
      <c r="FS9" s="17">
        <f t="shared" si="1129"/>
        <v>0</v>
      </c>
      <c r="FT9" s="17">
        <f t="shared" si="1129"/>
        <v>0</v>
      </c>
      <c r="FU9" s="17">
        <f t="shared" si="1129"/>
        <v>0</v>
      </c>
      <c r="FV9" s="17">
        <f t="shared" si="1129"/>
        <v>0</v>
      </c>
      <c r="FW9" s="17">
        <f t="shared" si="1129"/>
        <v>0</v>
      </c>
      <c r="FX9" s="17">
        <f t="shared" si="1129"/>
        <v>0</v>
      </c>
      <c r="FY9" s="17">
        <f t="shared" si="1129"/>
        <v>0</v>
      </c>
      <c r="FZ9" s="17">
        <f t="shared" si="1129"/>
        <v>0</v>
      </c>
      <c r="GA9" s="17">
        <f t="shared" si="1129"/>
        <v>0</v>
      </c>
      <c r="GB9" s="17">
        <f t="shared" si="1129"/>
        <v>0</v>
      </c>
      <c r="GC9" s="17">
        <f t="shared" si="1129"/>
        <v>0</v>
      </c>
      <c r="GD9" s="17">
        <f t="shared" si="1129"/>
        <v>0</v>
      </c>
      <c r="GE9" s="17">
        <f t="shared" si="1130"/>
        <v>0</v>
      </c>
      <c r="GF9" s="17">
        <f t="shared" si="1130"/>
        <v>0</v>
      </c>
      <c r="GG9" s="17">
        <f t="shared" si="1130"/>
        <v>0</v>
      </c>
      <c r="GH9" s="17">
        <f t="shared" si="1130"/>
        <v>0</v>
      </c>
      <c r="GI9" s="17">
        <f t="shared" si="1130"/>
        <v>0</v>
      </c>
      <c r="GJ9" s="17">
        <f t="shared" si="1130"/>
        <v>0</v>
      </c>
      <c r="GK9" s="17">
        <f t="shared" si="1130"/>
        <v>0</v>
      </c>
      <c r="GL9" s="17">
        <f t="shared" si="1130"/>
        <v>0</v>
      </c>
      <c r="GM9" s="17">
        <f t="shared" si="1130"/>
        <v>0</v>
      </c>
      <c r="GN9" s="17">
        <f t="shared" si="1130"/>
        <v>0</v>
      </c>
      <c r="GO9" s="17">
        <f t="shared" si="1130"/>
        <v>0</v>
      </c>
      <c r="GP9" s="17">
        <f t="shared" si="1130"/>
        <v>0</v>
      </c>
      <c r="GQ9" s="17">
        <f t="shared" si="1130"/>
        <v>0</v>
      </c>
      <c r="GR9" s="17">
        <f t="shared" si="1130"/>
        <v>0</v>
      </c>
      <c r="GS9" s="17">
        <f t="shared" si="1130"/>
        <v>0</v>
      </c>
      <c r="GT9" s="17">
        <f t="shared" si="1130"/>
        <v>0</v>
      </c>
      <c r="GU9" s="17">
        <f t="shared" si="1131"/>
        <v>0</v>
      </c>
      <c r="GV9" s="17">
        <f t="shared" si="1131"/>
        <v>0</v>
      </c>
      <c r="GW9" s="17">
        <f t="shared" si="1131"/>
        <v>0</v>
      </c>
      <c r="GX9" s="17">
        <f t="shared" si="1131"/>
        <v>0</v>
      </c>
      <c r="GY9" s="17">
        <f t="shared" si="1131"/>
        <v>0</v>
      </c>
      <c r="GZ9" s="17">
        <f t="shared" si="1131"/>
        <v>0</v>
      </c>
      <c r="HA9" s="17">
        <f t="shared" si="1131"/>
        <v>0</v>
      </c>
      <c r="HB9" s="17">
        <f t="shared" si="1131"/>
        <v>0</v>
      </c>
      <c r="HC9" s="17">
        <f t="shared" si="1131"/>
        <v>0</v>
      </c>
      <c r="HD9" s="17">
        <f t="shared" si="1131"/>
        <v>0</v>
      </c>
      <c r="HE9" s="17">
        <f t="shared" si="1131"/>
        <v>0</v>
      </c>
      <c r="HF9" s="17">
        <f t="shared" si="1131"/>
        <v>0</v>
      </c>
      <c r="HG9" s="17">
        <f t="shared" si="1131"/>
        <v>0</v>
      </c>
      <c r="HH9" s="17">
        <f t="shared" si="1131"/>
        <v>0</v>
      </c>
      <c r="HI9" s="17">
        <f t="shared" si="1131"/>
        <v>0</v>
      </c>
      <c r="HJ9" s="17">
        <f t="shared" si="1131"/>
        <v>0</v>
      </c>
      <c r="HK9" s="17">
        <f t="shared" si="1132"/>
        <v>0</v>
      </c>
      <c r="HL9" s="17">
        <f t="shared" si="1132"/>
        <v>0</v>
      </c>
      <c r="HM9" s="17">
        <f t="shared" si="1132"/>
        <v>10400</v>
      </c>
      <c r="HN9" s="17">
        <f t="shared" si="1132"/>
        <v>10400</v>
      </c>
      <c r="HO9" s="17">
        <f t="shared" si="1132"/>
        <v>10400</v>
      </c>
      <c r="HP9" s="17">
        <f t="shared" si="1132"/>
        <v>10400</v>
      </c>
      <c r="HQ9" s="17">
        <f t="shared" si="1132"/>
        <v>10400</v>
      </c>
      <c r="HR9" s="17">
        <f t="shared" si="1132"/>
        <v>10400</v>
      </c>
      <c r="HS9" s="17">
        <f t="shared" si="1132"/>
        <v>10400</v>
      </c>
      <c r="HT9" s="17">
        <f t="shared" si="1132"/>
        <v>10400</v>
      </c>
      <c r="HU9" s="17">
        <f t="shared" si="1132"/>
        <v>10400</v>
      </c>
      <c r="HV9" s="17">
        <f t="shared" si="1132"/>
        <v>10400</v>
      </c>
      <c r="HW9" s="17">
        <f t="shared" si="1132"/>
        <v>10400</v>
      </c>
      <c r="HX9" s="17">
        <f t="shared" si="1132"/>
        <v>10400</v>
      </c>
      <c r="HY9" s="17">
        <f t="shared" si="1132"/>
        <v>10400</v>
      </c>
      <c r="HZ9" s="17">
        <f t="shared" si="1132"/>
        <v>10400</v>
      </c>
      <c r="IA9" s="17">
        <f t="shared" si="1133"/>
        <v>10400</v>
      </c>
      <c r="IB9" s="17">
        <f t="shared" si="1133"/>
        <v>10400</v>
      </c>
      <c r="IC9" s="17">
        <f t="shared" si="1133"/>
        <v>10400</v>
      </c>
      <c r="ID9" s="17">
        <f t="shared" si="1133"/>
        <v>10400</v>
      </c>
      <c r="IE9" s="17">
        <f t="shared" si="1133"/>
        <v>10400</v>
      </c>
      <c r="IF9" s="17">
        <f t="shared" si="1133"/>
        <v>10400</v>
      </c>
      <c r="IG9" s="17">
        <f t="shared" si="1133"/>
        <v>10400</v>
      </c>
      <c r="IH9" s="17">
        <f t="shared" si="1133"/>
        <v>10400</v>
      </c>
      <c r="II9" s="17">
        <f t="shared" si="1133"/>
        <v>10400</v>
      </c>
      <c r="IJ9" s="17">
        <f t="shared" si="1133"/>
        <v>10400</v>
      </c>
      <c r="IK9" s="17">
        <f t="shared" si="1133"/>
        <v>10400</v>
      </c>
      <c r="IL9" s="17">
        <f t="shared" si="1133"/>
        <v>10400</v>
      </c>
      <c r="IM9" s="17">
        <f t="shared" si="1133"/>
        <v>10400</v>
      </c>
      <c r="IN9" s="17">
        <f t="shared" si="1133"/>
        <v>10400</v>
      </c>
      <c r="IO9" s="17">
        <f t="shared" si="1133"/>
        <v>10400</v>
      </c>
      <c r="IP9" s="17">
        <f t="shared" si="1133"/>
        <v>10400</v>
      </c>
      <c r="IQ9" s="17">
        <f t="shared" si="1134"/>
        <v>10400</v>
      </c>
      <c r="IR9" s="17">
        <f t="shared" si="1134"/>
        <v>10400</v>
      </c>
      <c r="IS9" s="17">
        <f t="shared" si="1134"/>
        <v>10400</v>
      </c>
      <c r="IT9" s="17">
        <f t="shared" si="1134"/>
        <v>10400</v>
      </c>
      <c r="IU9" s="17">
        <f t="shared" si="1134"/>
        <v>10400</v>
      </c>
      <c r="IV9" s="17">
        <f t="shared" si="1134"/>
        <v>10400</v>
      </c>
      <c r="IW9" s="17">
        <f t="shared" si="1134"/>
        <v>10400</v>
      </c>
      <c r="IX9" s="17">
        <f t="shared" si="1134"/>
        <v>10400</v>
      </c>
      <c r="IY9" s="17">
        <f t="shared" si="1134"/>
        <v>10400</v>
      </c>
      <c r="IZ9" s="17">
        <f t="shared" si="1134"/>
        <v>10400</v>
      </c>
      <c r="JA9" s="17">
        <f t="shared" si="1134"/>
        <v>10400</v>
      </c>
      <c r="JB9" s="17">
        <f t="shared" si="1134"/>
        <v>10400</v>
      </c>
      <c r="JC9" s="17">
        <f t="shared" si="1134"/>
        <v>10400</v>
      </c>
      <c r="JD9" s="17">
        <f t="shared" si="1134"/>
        <v>10400</v>
      </c>
      <c r="JE9" s="17">
        <f t="shared" si="1134"/>
        <v>10400</v>
      </c>
      <c r="JF9" s="17">
        <f t="shared" si="1134"/>
        <v>10400</v>
      </c>
      <c r="JG9" s="17">
        <f t="shared" si="1135"/>
        <v>10400</v>
      </c>
      <c r="JH9" s="17">
        <f t="shared" si="1135"/>
        <v>10400</v>
      </c>
      <c r="JI9" s="17">
        <f t="shared" si="1135"/>
        <v>10400</v>
      </c>
      <c r="JJ9" s="17">
        <f t="shared" si="1135"/>
        <v>10400</v>
      </c>
      <c r="JK9" s="17">
        <f t="shared" si="1135"/>
        <v>10400</v>
      </c>
      <c r="JL9" s="17">
        <f t="shared" si="1135"/>
        <v>10400</v>
      </c>
      <c r="JM9" s="17">
        <f t="shared" si="1135"/>
        <v>10400</v>
      </c>
      <c r="JN9" s="17">
        <f t="shared" si="1135"/>
        <v>10400</v>
      </c>
      <c r="JO9" s="17">
        <f t="shared" si="1135"/>
        <v>10400</v>
      </c>
      <c r="JP9" s="17">
        <f t="shared" si="1135"/>
        <v>10400</v>
      </c>
      <c r="JQ9" s="17">
        <f t="shared" si="1135"/>
        <v>10400</v>
      </c>
      <c r="JR9" s="17">
        <f t="shared" si="1135"/>
        <v>10400</v>
      </c>
      <c r="JS9" s="17">
        <f t="shared" si="1135"/>
        <v>10400</v>
      </c>
      <c r="JT9" s="17">
        <f t="shared" si="1135"/>
        <v>10400</v>
      </c>
      <c r="JU9" s="17">
        <f t="shared" si="1135"/>
        <v>10400</v>
      </c>
      <c r="JV9" s="17">
        <f t="shared" si="1135"/>
        <v>10400</v>
      </c>
      <c r="JW9" s="17">
        <f t="shared" si="1136"/>
        <v>10400</v>
      </c>
      <c r="JX9" s="17">
        <f t="shared" si="1136"/>
        <v>10400</v>
      </c>
      <c r="JY9" s="17">
        <f t="shared" si="1136"/>
        <v>10400</v>
      </c>
      <c r="JZ9" s="17">
        <f t="shared" si="1136"/>
        <v>10400</v>
      </c>
      <c r="KA9" s="17">
        <f t="shared" si="1136"/>
        <v>10400</v>
      </c>
      <c r="KB9" s="17">
        <f t="shared" si="1136"/>
        <v>10400</v>
      </c>
      <c r="KC9" s="17">
        <f t="shared" si="1136"/>
        <v>10400</v>
      </c>
      <c r="KD9" s="17">
        <f t="shared" si="1136"/>
        <v>10400</v>
      </c>
      <c r="KE9" s="17">
        <f t="shared" si="1136"/>
        <v>10400</v>
      </c>
      <c r="KF9" s="17">
        <f t="shared" si="1136"/>
        <v>10400</v>
      </c>
      <c r="KG9" s="17">
        <f t="shared" si="1136"/>
        <v>10400</v>
      </c>
      <c r="KH9" s="17">
        <f t="shared" si="1136"/>
        <v>10400</v>
      </c>
      <c r="KI9" s="17">
        <f t="shared" si="1136"/>
        <v>10400</v>
      </c>
      <c r="KJ9" s="17">
        <f t="shared" si="1136"/>
        <v>10400</v>
      </c>
      <c r="KK9" s="17">
        <f t="shared" si="1136"/>
        <v>10400</v>
      </c>
      <c r="KL9" s="17">
        <f t="shared" si="1136"/>
        <v>10400</v>
      </c>
      <c r="KM9" s="17">
        <f t="shared" si="1137"/>
        <v>10400</v>
      </c>
      <c r="KN9" s="17">
        <f t="shared" si="1137"/>
        <v>10400</v>
      </c>
      <c r="KO9" s="17">
        <f t="shared" si="1137"/>
        <v>10400</v>
      </c>
      <c r="KP9" s="17"/>
      <c r="KQ9" s="17"/>
      <c r="KR9" s="46">
        <f t="shared" si="1303"/>
        <v>1.4705882352941175</v>
      </c>
      <c r="KS9" s="30">
        <f>(AJ9&gt;0)*(MAX($KR9:KR9)+(MONTH(KS$3)=$J9)*MAX($KR9:KR9)*$I9)</f>
        <v>1.4999999999999998</v>
      </c>
      <c r="KT9" s="30">
        <f>(AK9&gt;0)*(MAX($KR9:KS9)+(MONTH(KT$3)=$J9)*MAX($KR9:KS9)*$I9)</f>
        <v>1.4999999999999998</v>
      </c>
      <c r="KU9" s="30">
        <f>(AL9&gt;0)*(MAX($KR9:KT9)+(MONTH(KU$3)=$J9)*MAX($KR9:KT9)*$I9)</f>
        <v>1.4999999999999998</v>
      </c>
      <c r="KV9" s="30">
        <f>(AM9&gt;0)*(MAX($KR9:KU9)+(MONTH(KV$3)=$J9)*MAX($KR9:KU9)*$I9)</f>
        <v>1.4999999999999998</v>
      </c>
      <c r="KW9" s="30">
        <f>(AN9&gt;0)*(MAX($KR9:KV9)+(MONTH(KW$3)=$J9)*MAX($KR9:KV9)*$I9)</f>
        <v>1.4999999999999998</v>
      </c>
      <c r="KX9" s="30">
        <f>(AO9&gt;0)*(MAX($KR9:KW9)+(MONTH(KX$3)=$J9)*MAX($KR9:KW9)*$I9)</f>
        <v>1.4999999999999998</v>
      </c>
      <c r="KY9" s="30">
        <f>(AP9&gt;0)*(MAX($KR9:KX9)+(MONTH(KY$3)=$J9)*MAX($KR9:KX9)*$I9)</f>
        <v>1.4999999999999998</v>
      </c>
      <c r="KZ9" s="30">
        <f>(AQ9&gt;0)*(MAX($KR9:KY9)+(MONTH(KZ$3)=$J9)*MAX($KR9:KY9)*$I9)</f>
        <v>1.4999999999999998</v>
      </c>
      <c r="LA9" s="30">
        <f>(AR9&gt;0)*(MAX($KR9:KZ9)+(MONTH(LA$3)=$J9)*MAX($KR9:KZ9)*$I9)</f>
        <v>1.4999999999999998</v>
      </c>
      <c r="LB9" s="30">
        <f>(AS9&gt;0)*(MAX($KR9:LA9)+(MONTH(LB$3)=$J9)*MAX($KR9:LA9)*$I9)</f>
        <v>1.4999999999999998</v>
      </c>
      <c r="LC9" s="30">
        <f>(AT9&gt;0)*(MAX($KR9:LB9)+(MONTH(LC$3)=$J9)*MAX($KR9:LB9)*$I9)</f>
        <v>1.4999999999999998</v>
      </c>
      <c r="LD9" s="30">
        <f>(AU9&gt;0)*(MAX($KR9:LC9)+(MONTH(LD$3)=$J9)*MAX($KR9:LC9)*$I9)</f>
        <v>1.4999999999999998</v>
      </c>
      <c r="LE9" s="30">
        <f>(AV9&gt;0)*(MAX($KR9:LD9)+(MONTH(LE$3)=$J9)*MAX($KR9:LD9)*$I9)</f>
        <v>1.5299999999999998</v>
      </c>
      <c r="LF9" s="30">
        <f>(AW9&gt;0)*(MAX($KR9:LE9)+(MONTH(LF$3)=$J9)*MAX($KR9:LE9)*$I9)</f>
        <v>1.5299999999999998</v>
      </c>
      <c r="LG9" s="30">
        <f>(AX9&gt;0)*(MAX($KR9:LF9)+(MONTH(LG$3)=$J9)*MAX($KR9:LF9)*$I9)</f>
        <v>1.5299999999999998</v>
      </c>
      <c r="LH9" s="30">
        <f>(AY9&gt;0)*(MAX($KR9:LG9)+(MONTH(LH$3)=$J9)*MAX($KR9:LG9)*$I9)</f>
        <v>1.5299999999999998</v>
      </c>
      <c r="LI9" s="30">
        <f>(AZ9&gt;0)*(MAX($KR9:LH9)+(MONTH(LI$3)=$J9)*MAX($KR9:LH9)*$I9)</f>
        <v>1.5299999999999998</v>
      </c>
      <c r="LJ9" s="30">
        <f>(BA9&gt;0)*(MAX($KR9:LI9)+(MONTH(LJ$3)=$J9)*MAX($KR9:LI9)*$I9)</f>
        <v>1.5299999999999998</v>
      </c>
      <c r="LK9" s="30">
        <f>(BB9&gt;0)*(MAX($KR9:LJ9)+(MONTH(LK$3)=$J9)*MAX($KR9:LJ9)*$I9)</f>
        <v>1.5299999999999998</v>
      </c>
      <c r="LL9" s="30">
        <f>(BC9&gt;0)*(MAX($KR9:LK9)+(MONTH(LL$3)=$J9)*MAX($KR9:LK9)*$I9)</f>
        <v>1.5299999999999998</v>
      </c>
      <c r="LM9" s="30">
        <f>(BD9&gt;0)*(MAX($KR9:LL9)+(MONTH(LM$3)=$J9)*MAX($KR9:LL9)*$I9)</f>
        <v>1.5299999999999998</v>
      </c>
      <c r="LN9" s="30">
        <f>(BE9&gt;0)*(MAX($KR9:LM9)+(MONTH(LN$3)=$J9)*MAX($KR9:LM9)*$I9)</f>
        <v>1.5299999999999998</v>
      </c>
      <c r="LO9" s="30">
        <f>(BF9&gt;0)*(MAX($KR9:LN9)+(MONTH(LO$3)=$J9)*MAX($KR9:LN9)*$I9)</f>
        <v>1.5299999999999998</v>
      </c>
      <c r="LP9" s="30">
        <f>(BG9&gt;0)*(MAX($KR9:LO9)+(MONTH(LP$3)=$J9)*MAX($KR9:LO9)*$I9)</f>
        <v>1.5299999999999998</v>
      </c>
      <c r="LQ9" s="30">
        <f>(BH9&gt;0)*(MAX($KR9:LP9)+(MONTH(LQ$3)=$J9)*MAX($KR9:LP9)*$I9)</f>
        <v>1.5605999999999998</v>
      </c>
      <c r="LR9" s="30">
        <f>(BI9&gt;0)*(MAX($KR9:LQ9)+(MONTH(LR$3)=$J9)*MAX($KR9:LQ9)*$I9)</f>
        <v>1.5605999999999998</v>
      </c>
      <c r="LS9" s="30">
        <f>(BJ9&gt;0)*(MAX($KR9:LR9)+(MONTH(LS$3)=$J9)*MAX($KR9:LR9)*$I9)</f>
        <v>1.5605999999999998</v>
      </c>
      <c r="LT9" s="30">
        <f>(BK9&gt;0)*(MAX($KR9:LS9)+(MONTH(LT$3)=$J9)*MAX($KR9:LS9)*$I9)</f>
        <v>1.5605999999999998</v>
      </c>
      <c r="LU9" s="30">
        <f>(BL9&gt;0)*(MAX($KR9:LT9)+(MONTH(LU$3)=$J9)*MAX($KR9:LT9)*$I9)</f>
        <v>1.5605999999999998</v>
      </c>
      <c r="LV9" s="30">
        <f>(BM9&gt;0)*(MAX($KR9:LU9)+(MONTH(LV$3)=$J9)*MAX($KR9:LU9)*$I9)</f>
        <v>1.5605999999999998</v>
      </c>
      <c r="LW9" s="30">
        <f>(BN9&gt;0)*(MAX($KR9:LV9)+(MONTH(LW$3)=$J9)*MAX($KR9:LV9)*$I9)</f>
        <v>1.5605999999999998</v>
      </c>
      <c r="LX9" s="30">
        <f>(BO9&gt;0)*(MAX($KR9:LW9)+(MONTH(LX$3)=$J9)*MAX($KR9:LW9)*$I9)</f>
        <v>1.5605999999999998</v>
      </c>
      <c r="LY9" s="30">
        <f>(BP9&gt;0)*(MAX($KR9:LX9)+(MONTH(LY$3)=$J9)*MAX($KR9:LX9)*$I9)</f>
        <v>1.5605999999999998</v>
      </c>
      <c r="LZ9" s="30">
        <f>(BQ9&gt;0)*(MAX($KR9:LY9)+(MONTH(LZ$3)=$J9)*MAX($KR9:LY9)*$I9)</f>
        <v>1.5605999999999998</v>
      </c>
      <c r="MA9" s="30">
        <f>(BR9&gt;0)*(MAX($KR9:LZ9)+(MONTH(MA$3)=$J9)*MAX($KR9:LZ9)*$I9)</f>
        <v>1.5605999999999998</v>
      </c>
      <c r="MB9" s="30">
        <f>(BS9&gt;0)*(MAX($KR9:MA9)+(MONTH(MB$3)=$J9)*MAX($KR9:MA9)*$I9)</f>
        <v>1.5605999999999998</v>
      </c>
      <c r="MC9" s="30">
        <f>(BT9&gt;0)*(MAX($KR9:MB9)+(MONTH(MC$3)=$J9)*MAX($KR9:MB9)*$I9)</f>
        <v>1.5918119999999998</v>
      </c>
      <c r="MD9" s="30">
        <f>(BU9&gt;0)*(MAX($KR9:MC9)+(MONTH(MD$3)=$J9)*MAX($KR9:MC9)*$I9)</f>
        <v>1.5918119999999998</v>
      </c>
      <c r="ME9" s="30">
        <f>(BV9&gt;0)*(MAX($KR9:MD9)+(MONTH(ME$3)=$J9)*MAX($KR9:MD9)*$I9)</f>
        <v>1.5918119999999998</v>
      </c>
      <c r="MF9" s="30">
        <f>(BW9&gt;0)*(MAX($KR9:ME9)+(MONTH(MF$3)=$J9)*MAX($KR9:ME9)*$I9)</f>
        <v>1.5918119999999998</v>
      </c>
      <c r="MG9" s="30">
        <f>(BX9&gt;0)*(MAX($KR9:MF9)+(MONTH(MG$3)=$J9)*MAX($KR9:MF9)*$I9)</f>
        <v>1.5918119999999998</v>
      </c>
      <c r="MH9" s="30">
        <f>(BY9&gt;0)*(MAX($KR9:MG9)+(MONTH(MH$3)=$J9)*MAX($KR9:MG9)*$I9)</f>
        <v>1.5918119999999998</v>
      </c>
      <c r="MI9" s="30">
        <f>(BZ9&gt;0)*(MAX($KR9:MH9)+(MONTH(MI$3)=$J9)*MAX($KR9:MH9)*$I9)</f>
        <v>1.5918119999999998</v>
      </c>
      <c r="MJ9" s="30">
        <f>(CA9&gt;0)*(MAX($KR9:MI9)+(MONTH(MJ$3)=$J9)*MAX($KR9:MI9)*$I9)</f>
        <v>1.5918119999999998</v>
      </c>
      <c r="MK9" s="30">
        <f>(CB9&gt;0)*(MAX($KR9:MJ9)+(MONTH(MK$3)=$J9)*MAX($KR9:MJ9)*$I9)</f>
        <v>1.5918119999999998</v>
      </c>
      <c r="ML9" s="30">
        <f>(CC9&gt;0)*(MAX($KR9:MK9)+(MONTH(ML$3)=$J9)*MAX($KR9:MK9)*$I9)</f>
        <v>1.5918119999999998</v>
      </c>
      <c r="MM9" s="30">
        <f>(CD9&gt;0)*(MAX($KR9:ML9)+(MONTH(MM$3)=$J9)*MAX($KR9:ML9)*$I9)</f>
        <v>1.5918119999999998</v>
      </c>
      <c r="MN9" s="30">
        <f>(CE9&gt;0)*(MAX($KR9:MM9)+(MONTH(MN$3)=$J9)*MAX($KR9:MM9)*$I9)</f>
        <v>1.5918119999999998</v>
      </c>
      <c r="MO9" s="30">
        <f>(CF9&gt;0)*(MAX($KR9:MN9)+(MONTH(MO$3)=$J9)*MAX($KR9:MN9)*$I9)</f>
        <v>0</v>
      </c>
      <c r="MP9" s="30">
        <f>(CG9&gt;0)*(MAX($KR9:MO9)+(MONTH(MP$3)=$J9)*MAX($KR9:MO9)*$I9)</f>
        <v>0</v>
      </c>
      <c r="MQ9" s="30">
        <f>(CH9&gt;0)*(MAX($KR9:MP9)+(MONTH(MQ$3)=$J9)*MAX($KR9:MP9)*$I9)</f>
        <v>0</v>
      </c>
      <c r="MR9" s="30">
        <f>(CI9&gt;0)*(MAX($KR9:MQ9)+(MONTH(MR$3)=$J9)*MAX($KR9:MQ9)*$I9)</f>
        <v>0</v>
      </c>
      <c r="MS9" s="30">
        <f>(CJ9&gt;0)*(MAX($KR9:MR9)+(MONTH(MS$3)=$J9)*MAX($KR9:MR9)*$I9)</f>
        <v>0</v>
      </c>
      <c r="MT9" s="30">
        <f>(CK9&gt;0)*(MAX($KR9:MS9)+(MONTH(MT$3)=$J9)*MAX($KR9:MS9)*$I9)</f>
        <v>0</v>
      </c>
      <c r="MU9" s="30">
        <f>(CL9&gt;0)*(MAX($KR9:MT9)+(MONTH(MU$3)=$J9)*MAX($KR9:MT9)*$I9)</f>
        <v>0</v>
      </c>
      <c r="MV9" s="30">
        <f>(CM9&gt;0)*(MAX($KR9:MU9)+(MONTH(MV$3)=$J9)*MAX($KR9:MU9)*$I9)</f>
        <v>0</v>
      </c>
      <c r="MW9" s="30">
        <f>(CN9&gt;0)*(MAX($KR9:MV9)+(MONTH(MW$3)=$J9)*MAX($KR9:MV9)*$I9)</f>
        <v>0</v>
      </c>
      <c r="MX9" s="30">
        <f>(CO9&gt;0)*(MAX($KR9:MW9)+(MONTH(MX$3)=$J9)*MAX($KR9:MW9)*$I9)</f>
        <v>0</v>
      </c>
      <c r="MY9" s="30">
        <f>(CP9&gt;0)*(MAX($KR9:MX9)+(MONTH(MY$3)=$J9)*MAX($KR9:MX9)*$I9)</f>
        <v>0</v>
      </c>
      <c r="MZ9" s="30">
        <f>(CQ9&gt;0)*(MAX($KR9:MY9)+(MONTH(MZ$3)=$J9)*MAX($KR9:MY9)*$I9)</f>
        <v>0</v>
      </c>
      <c r="NA9" s="30">
        <f>(CR9&gt;0)*(MAX($KR9:MZ9)+(MONTH(NA$3)=$J9)*MAX($KR9:MZ9)*$I9)</f>
        <v>0</v>
      </c>
      <c r="NB9" s="30">
        <f>(CS9&gt;0)*(MAX($KR9:NA9)+(MONTH(NB$3)=$J9)*MAX($KR9:NA9)*$I9)</f>
        <v>0</v>
      </c>
      <c r="NC9" s="30">
        <f>(CT9&gt;0)*(MAX($KR9:NB9)+(MONTH(NC$3)=$J9)*MAX($KR9:NB9)*$I9)</f>
        <v>0</v>
      </c>
      <c r="ND9" s="30">
        <f>(CU9&gt;0)*(MAX($KR9:NC9)+(MONTH(ND$3)=$J9)*MAX($KR9:NC9)*$I9)</f>
        <v>0</v>
      </c>
      <c r="NE9" s="30">
        <f>(CV9&gt;0)*(MAX($KR9:ND9)+(MONTH(NE$3)=$J9)*MAX($KR9:ND9)*$I9)</f>
        <v>0</v>
      </c>
      <c r="NF9" s="30">
        <f>(CW9&gt;0)*(MAX($KR9:NE9)+(MONTH(NF$3)=$J9)*MAX($KR9:NE9)*$I9)</f>
        <v>0</v>
      </c>
      <c r="NG9" s="30">
        <f>(CX9&gt;0)*(MAX($KR9:NF9)+(MONTH(NG$3)=$J9)*MAX($KR9:NF9)*$I9)</f>
        <v>0</v>
      </c>
      <c r="NH9" s="30">
        <f>(CY9&gt;0)*(MAX($KR9:NG9)+(MONTH(NH$3)=$J9)*MAX($KR9:NG9)*$I9)</f>
        <v>0</v>
      </c>
      <c r="NI9" s="30">
        <f>(CZ9&gt;0)*(MAX($KR9:NH9)+(MONTH(NI$3)=$J9)*MAX($KR9:NH9)*$I9)</f>
        <v>0</v>
      </c>
      <c r="NJ9" s="30">
        <f>(DA9&gt;0)*(MAX($KR9:NI9)+(MONTH(NJ$3)=$J9)*MAX($KR9:NI9)*$I9)</f>
        <v>0</v>
      </c>
      <c r="NK9" s="30">
        <f>(DB9&gt;0)*(MAX($KR9:NJ9)+(MONTH(NK$3)=$J9)*MAX($KR9:NJ9)*$I9)</f>
        <v>0</v>
      </c>
      <c r="NL9" s="30">
        <f>(DC9&gt;0)*(MAX($KR9:NK9)+(MONTH(NL$3)=$J9)*MAX($KR9:NK9)*$I9)</f>
        <v>0</v>
      </c>
      <c r="NM9" s="30">
        <f>(DD9&gt;0)*(MAX($KR9:NL9)+(MONTH(NM$3)=$J9)*MAX($KR9:NL9)*$I9)</f>
        <v>0</v>
      </c>
      <c r="NN9" s="30">
        <f>(DE9&gt;0)*(MAX($KR9:NM9)+(MONTH(NN$3)=$J9)*MAX($KR9:NM9)*$I9)</f>
        <v>0</v>
      </c>
      <c r="NO9" s="30">
        <f>(DF9&gt;0)*(MAX($KR9:NN9)+(MONTH(NO$3)=$J9)*MAX($KR9:NN9)*$I9)</f>
        <v>0</v>
      </c>
      <c r="NP9" s="30">
        <f>(DG9&gt;0)*(MAX($KR9:NO9)+(MONTH(NP$3)=$J9)*MAX($KR9:NO9)*$I9)</f>
        <v>0</v>
      </c>
      <c r="NQ9" s="30">
        <f>(DH9&gt;0)*(MAX($KR9:NP9)+(MONTH(NQ$3)=$J9)*MAX($KR9:NP9)*$I9)</f>
        <v>0</v>
      </c>
      <c r="NR9" s="30">
        <f>(DI9&gt;0)*(MAX($KR9:NQ9)+(MONTH(NR$3)=$J9)*MAX($KR9:NQ9)*$I9)</f>
        <v>0</v>
      </c>
      <c r="NS9" s="30">
        <f>(DJ9&gt;0)*(MAX($KR9:NR9)+(MONTH(NS$3)=$J9)*MAX($KR9:NR9)*$I9)</f>
        <v>0</v>
      </c>
      <c r="NT9" s="30">
        <f>(DK9&gt;0)*(MAX($KR9:NS9)+(MONTH(NT$3)=$J9)*MAX($KR9:NS9)*$I9)</f>
        <v>0</v>
      </c>
      <c r="NU9" s="30">
        <f>(DL9&gt;0)*(MAX($KR9:NT9)+(MONTH(NU$3)=$J9)*MAX($KR9:NT9)*$I9)</f>
        <v>0</v>
      </c>
      <c r="NV9" s="30">
        <f>(DM9&gt;0)*(MAX($KR9:NU9)+(MONTH(NV$3)=$J9)*MAX($KR9:NU9)*$I9)</f>
        <v>0</v>
      </c>
      <c r="NW9" s="30">
        <f>(DN9&gt;0)*(MAX($KR9:NV9)+(MONTH(NW$3)=$J9)*MAX($KR9:NV9)*$I9)</f>
        <v>0</v>
      </c>
      <c r="NX9" s="30">
        <f>(DO9&gt;0)*(MAX($KR9:NW9)+(MONTH(NX$3)=$J9)*MAX($KR9:NW9)*$I9)</f>
        <v>0</v>
      </c>
      <c r="NY9" s="30">
        <f>(DP9&gt;0)*(MAX($KR9:NX9)+(MONTH(NY$3)=$J9)*MAX($KR9:NX9)*$I9)</f>
        <v>0</v>
      </c>
      <c r="NZ9" s="30">
        <f>(DQ9&gt;0)*(MAX($KR9:NY9)+(MONTH(NZ$3)=$J9)*MAX($KR9:NY9)*$I9)</f>
        <v>0</v>
      </c>
      <c r="OA9" s="30">
        <f>(DR9&gt;0)*(MAX($KR9:NZ9)+(MONTH(OA$3)=$J9)*MAX($KR9:NZ9)*$I9)</f>
        <v>0</v>
      </c>
      <c r="OB9" s="30">
        <f>(DS9&gt;0)*(MAX($KR9:OA9)+(MONTH(OB$3)=$J9)*MAX($KR9:OA9)*$I9)</f>
        <v>0</v>
      </c>
      <c r="OC9" s="30">
        <f>(DT9&gt;0)*(MAX($KR9:OB9)+(MONTH(OC$3)=$J9)*MAX($KR9:OB9)*$I9)</f>
        <v>0</v>
      </c>
      <c r="OD9" s="30">
        <f>(DU9&gt;0)*(MAX($KR9:OC9)+(MONTH(OD$3)=$J9)*MAX($KR9:OC9)*$I9)</f>
        <v>0</v>
      </c>
      <c r="OE9" s="30">
        <f>(DV9&gt;0)*(MAX($KR9:OD9)+(MONTH(OE$3)=$J9)*MAX($KR9:OD9)*$I9)</f>
        <v>0</v>
      </c>
      <c r="OF9" s="30">
        <f>(DW9&gt;0)*(MAX($KR9:OE9)+(MONTH(OF$3)=$J9)*MAX($KR9:OE9)*$I9)</f>
        <v>0</v>
      </c>
      <c r="OG9" s="30">
        <f>(DX9&gt;0)*(MAX($KR9:OF9)+(MONTH(OG$3)=$J9)*MAX($KR9:OF9)*$I9)</f>
        <v>0</v>
      </c>
      <c r="OH9" s="30">
        <f>(DY9&gt;0)*(MAX($KR9:OG9)+(MONTH(OH$3)=$J9)*MAX($KR9:OG9)*$I9)</f>
        <v>0</v>
      </c>
      <c r="OI9" s="30">
        <f>(DZ9&gt;0)*(MAX($KR9:OH9)+(MONTH(OI$3)=$J9)*MAX($KR9:OH9)*$I9)</f>
        <v>0</v>
      </c>
      <c r="OJ9" s="30">
        <f>(EA9&gt;0)*(MAX($KR9:OI9)+(MONTH(OJ$3)=$J9)*MAX($KR9:OI9)*$I9)</f>
        <v>0</v>
      </c>
      <c r="OK9" s="30">
        <f>(EB9&gt;0)*(MAX($KR9:OJ9)+(MONTH(OK$3)=$J9)*MAX($KR9:OJ9)*$I9)</f>
        <v>0</v>
      </c>
      <c r="OL9" s="30">
        <f>(EC9&gt;0)*(MAX($KR9:OK9)+(MONTH(OL$3)=$J9)*MAX($KR9:OK9)*$I9)</f>
        <v>0</v>
      </c>
      <c r="OM9" s="30">
        <f>(ED9&gt;0)*(MAX($KR9:OL9)+(MONTH(OM$3)=$J9)*MAX($KR9:OL9)*$I9)</f>
        <v>0</v>
      </c>
      <c r="ON9" s="30">
        <f>(EE9&gt;0)*(MAX($KR9:OM9)+(MONTH(ON$3)=$J9)*MAX($KR9:OM9)*$I9)</f>
        <v>0</v>
      </c>
      <c r="OO9" s="30">
        <f>(EF9&gt;0)*(MAX($KR9:ON9)+(MONTH(OO$3)=$J9)*MAX($KR9:ON9)*$I9)</f>
        <v>0</v>
      </c>
      <c r="OP9" s="30">
        <f>(EG9&gt;0)*(MAX($KR9:OO9)+(MONTH(OP$3)=$J9)*MAX($KR9:OO9)*$I9)</f>
        <v>0</v>
      </c>
      <c r="OQ9" s="30">
        <f>(EH9&gt;0)*(MAX($KR9:OP9)+(MONTH(OQ$3)=$J9)*MAX($KR9:OP9)*$I9)</f>
        <v>0</v>
      </c>
      <c r="OR9" s="30">
        <f>(EI9&gt;0)*(MAX($KR9:OQ9)+(MONTH(OR$3)=$J9)*MAX($KR9:OQ9)*$I9)</f>
        <v>0</v>
      </c>
      <c r="OS9" s="30">
        <f>(EJ9&gt;0)*(MAX($KR9:OR9)+(MONTH(OS$3)=$J9)*MAX($KR9:OR9)*$I9)</f>
        <v>0</v>
      </c>
      <c r="OT9" s="30">
        <f>(EK9&gt;0)*(MAX($KR9:OS9)+(MONTH(OT$3)=$J9)*MAX($KR9:OS9)*$I9)</f>
        <v>0</v>
      </c>
      <c r="OU9" s="30">
        <f>(EL9&gt;0)*(MAX($KR9:OT9)+(MONTH(OU$3)=$J9)*MAX($KR9:OT9)*$I9)</f>
        <v>0</v>
      </c>
      <c r="OV9" s="30">
        <f>(EM9&gt;0)*(MAX($KR9:OU9)+(MONTH(OV$3)=$J9)*MAX($KR9:OU9)*$I9)</f>
        <v>0</v>
      </c>
      <c r="OW9" s="30">
        <f>(EN9&gt;0)*(MAX($KR9:OV9)+(MONTH(OW$3)=$J9)*MAX($KR9:OV9)*$I9)</f>
        <v>0</v>
      </c>
      <c r="OX9" s="30">
        <f>(EO9&gt;0)*(MAX($KR9:OW9)+(MONTH(OX$3)=$J9)*MAX($KR9:OW9)*$I9)</f>
        <v>0</v>
      </c>
      <c r="OY9" s="30">
        <f>(EP9&gt;0)*(MAX($KR9:OX9)+(MONTH(OY$3)=$J9)*MAX($KR9:OX9)*$I9)</f>
        <v>0</v>
      </c>
      <c r="OZ9" s="30">
        <f>(EQ9&gt;0)*(MAX($KR9:OY9)+(MONTH(OZ$3)=$J9)*MAX($KR9:OY9)*$I9)</f>
        <v>0</v>
      </c>
      <c r="PA9" s="30">
        <f>(ER9&gt;0)*(MAX($KR9:OZ9)+(MONTH(PA$3)=$J9)*MAX($KR9:OZ9)*$I9)</f>
        <v>0</v>
      </c>
      <c r="PB9" s="30">
        <f>(ES9&gt;0)*(MAX($KR9:PA9)+(MONTH(PB$3)=$J9)*MAX($KR9:PA9)*$I9)</f>
        <v>0</v>
      </c>
      <c r="PC9" s="30">
        <f>(ET9&gt;0)*(MAX($KR9:PB9)+(MONTH(PC$3)=$J9)*MAX($KR9:PB9)*$I9)</f>
        <v>0</v>
      </c>
      <c r="PD9" s="30">
        <f>(EU9&gt;0)*(MAX($KR9:PC9)+(MONTH(PD$3)=$J9)*MAX($KR9:PC9)*$I9)</f>
        <v>0</v>
      </c>
      <c r="PE9" s="30">
        <f>(EV9&gt;0)*(MAX($KR9:PD9)+(MONTH(PE$3)=$J9)*MAX($KR9:PD9)*$I9)</f>
        <v>0</v>
      </c>
      <c r="PF9" s="30">
        <f>(EW9&gt;0)*(MAX($KR9:PE9)+(MONTH(PF$3)=$J9)*MAX($KR9:PE9)*$I9)</f>
        <v>0</v>
      </c>
      <c r="PG9" s="30">
        <f>(EX9&gt;0)*(MAX($KR9:PF9)+(MONTH(PG$3)=$J9)*MAX($KR9:PF9)*$I9)</f>
        <v>0</v>
      </c>
      <c r="PH9" s="30">
        <f>(EY9&gt;0)*(MAX($KR9:PG9)+(MONTH(PH$3)=$J9)*MAX($KR9:PG9)*$I9)</f>
        <v>0</v>
      </c>
      <c r="PI9" s="30">
        <f>(EZ9&gt;0)*(MAX($KR9:PH9)+(MONTH(PI$3)=$J9)*MAX($KR9:PH9)*$I9)</f>
        <v>0</v>
      </c>
      <c r="PJ9" s="30">
        <f>(FA9&gt;0)*(MAX($KR9:PI9)+(MONTH(PJ$3)=$J9)*MAX($KR9:PI9)*$I9)</f>
        <v>0</v>
      </c>
      <c r="PK9" s="30">
        <f>(FB9&gt;0)*(MAX($KR9:PJ9)+(MONTH(PK$3)=$J9)*MAX($KR9:PJ9)*$I9)</f>
        <v>0</v>
      </c>
      <c r="PL9" s="30">
        <f>(FC9&gt;0)*(MAX($KR9:PK9)+(MONTH(PL$3)=$J9)*MAX($KR9:PK9)*$I9)</f>
        <v>0</v>
      </c>
      <c r="PM9" s="30">
        <f>(FD9&gt;0)*(MAX($KR9:PL9)+(MONTH(PM$3)=$J9)*MAX($KR9:PL9)*$I9)</f>
        <v>0</v>
      </c>
      <c r="PN9" s="30">
        <f>(FE9&gt;0)*(MAX($KR9:PM9)+(MONTH(PN$3)=$J9)*MAX($KR9:PM9)*$I9)</f>
        <v>0</v>
      </c>
      <c r="PO9" s="30">
        <f>(FF9&gt;0)*(MAX($KR9:PN9)+(MONTH(PO$3)=$J9)*MAX($KR9:PN9)*$I9)</f>
        <v>0</v>
      </c>
      <c r="PP9" s="30">
        <f>(FG9&gt;0)*(MAX($KR9:PO9)+(MONTH(PP$3)=$J9)*MAX($KR9:PO9)*$I9)</f>
        <v>0</v>
      </c>
      <c r="PQ9" s="30">
        <f>(FH9&gt;0)*(MAX($KR9:PP9)+(MONTH(PQ$3)=$J9)*MAX($KR9:PP9)*$I9)</f>
        <v>0</v>
      </c>
      <c r="PR9" s="30">
        <f>(FI9&gt;0)*(MAX($KR9:PQ9)+(MONTH(PR$3)=$J9)*MAX($KR9:PQ9)*$I9)</f>
        <v>0</v>
      </c>
      <c r="PS9" s="30">
        <f>(FJ9&gt;0)*(MAX($KR9:PR9)+(MONTH(PS$3)=$J9)*MAX($KR9:PR9)*$I9)</f>
        <v>0</v>
      </c>
      <c r="PT9" s="30">
        <f>(FK9&gt;0)*(MAX($KR9:PS9)+(MONTH(PT$3)=$J9)*MAX($KR9:PS9)*$I9)</f>
        <v>0</v>
      </c>
      <c r="PU9" s="30"/>
      <c r="PV9" s="30"/>
      <c r="PW9" s="46">
        <f t="shared" si="1304"/>
        <v>1.2822929999999999</v>
      </c>
      <c r="PX9" s="30">
        <f>(FN9&gt;0)*(MAX($PW9:PW9)+(MONTH(PX$3)=$V9)*MAX($PW9:PW9)*$U9)</f>
        <v>0</v>
      </c>
      <c r="PY9" s="30">
        <f>(FO9&gt;0)*(MAX($PW9:PX9)+(MONTH(PY$3)=$V9)*MAX($PW9:PX9)*$U9)</f>
        <v>0</v>
      </c>
      <c r="PZ9" s="30">
        <f>(FP9&gt;0)*(MAX($PW9:PY9)+(MONTH(PZ$3)=$V9)*MAX($PW9:PY9)*$U9)</f>
        <v>0</v>
      </c>
      <c r="QA9" s="30">
        <f>(FQ9&gt;0)*(MAX($PW9:PZ9)+(MONTH(QA$3)=$V9)*MAX($PW9:PZ9)*$U9)</f>
        <v>0</v>
      </c>
      <c r="QB9" s="30">
        <f>(FR9&gt;0)*(MAX($PW9:QA9)+(MONTH(QB$3)=$V9)*MAX($PW9:QA9)*$U9)</f>
        <v>0</v>
      </c>
      <c r="QC9" s="30">
        <f>(FS9&gt;0)*(MAX($PW9:QB9)+(MONTH(QC$3)=$V9)*MAX($PW9:QB9)*$U9)</f>
        <v>0</v>
      </c>
      <c r="QD9" s="30">
        <f>(FT9&gt;0)*(MAX($PW9:QC9)+(MONTH(QD$3)=$V9)*MAX($PW9:QC9)*$U9)</f>
        <v>0</v>
      </c>
      <c r="QE9" s="30">
        <f>(FU9&gt;0)*(MAX($PW9:QD9)+(MONTH(QE$3)=$V9)*MAX($PW9:QD9)*$U9)</f>
        <v>0</v>
      </c>
      <c r="QF9" s="30">
        <f>(FV9&gt;0)*(MAX($PW9:QE9)+(MONTH(QF$3)=$V9)*MAX($PW9:QE9)*$U9)</f>
        <v>0</v>
      </c>
      <c r="QG9" s="30">
        <f>(FW9&gt;0)*(MAX($PW9:QF9)+(MONTH(QG$3)=$V9)*MAX($PW9:QF9)*$U9)</f>
        <v>0</v>
      </c>
      <c r="QH9" s="30">
        <f>(FX9&gt;0)*(MAX($PW9:QG9)+(MONTH(QH$3)=$V9)*MAX($PW9:QG9)*$U9)</f>
        <v>0</v>
      </c>
      <c r="QI9" s="30">
        <f>(FY9&gt;0)*(MAX($PW9:QH9)+(MONTH(QI$3)=$V9)*MAX($PW9:QH9)*$U9)</f>
        <v>0</v>
      </c>
      <c r="QJ9" s="30">
        <f>(FZ9&gt;0)*(MAX($PW9:QI9)+(MONTH(QJ$3)=$V9)*MAX($PW9:QI9)*$U9)</f>
        <v>0</v>
      </c>
      <c r="QK9" s="30">
        <f>(GA9&gt;0)*(MAX($PW9:QJ9)+(MONTH(QK$3)=$V9)*MAX($PW9:QJ9)*$U9)</f>
        <v>0</v>
      </c>
      <c r="QL9" s="30">
        <f>(GB9&gt;0)*(MAX($PW9:QK9)+(MONTH(QL$3)=$V9)*MAX($PW9:QK9)*$U9)</f>
        <v>0</v>
      </c>
      <c r="QM9" s="30">
        <f>(GC9&gt;0)*(MAX($PW9:QL9)+(MONTH(QM$3)=$V9)*MAX($PW9:QL9)*$U9)</f>
        <v>0</v>
      </c>
      <c r="QN9" s="30">
        <f>(GD9&gt;0)*(MAX($PW9:QM9)+(MONTH(QN$3)=$V9)*MAX($PW9:QM9)*$U9)</f>
        <v>0</v>
      </c>
      <c r="QO9" s="30">
        <f>(GE9&gt;0)*(MAX($PW9:QN9)+(MONTH(QO$3)=$V9)*MAX($PW9:QN9)*$U9)</f>
        <v>0</v>
      </c>
      <c r="QP9" s="30">
        <f>(GF9&gt;0)*(MAX($PW9:QO9)+(MONTH(QP$3)=$V9)*MAX($PW9:QO9)*$U9)</f>
        <v>0</v>
      </c>
      <c r="QQ9" s="30">
        <f>(GG9&gt;0)*(MAX($PW9:QP9)+(MONTH(QQ$3)=$V9)*MAX($PW9:QP9)*$U9)</f>
        <v>0</v>
      </c>
      <c r="QR9" s="30">
        <f>(GH9&gt;0)*(MAX($PW9:QQ9)+(MONTH(QR$3)=$V9)*MAX($PW9:QQ9)*$U9)</f>
        <v>0</v>
      </c>
      <c r="QS9" s="30">
        <f>(GI9&gt;0)*(MAX($PW9:QR9)+(MONTH(QS$3)=$V9)*MAX($PW9:QR9)*$U9)</f>
        <v>0</v>
      </c>
      <c r="QT9" s="30">
        <f>(GJ9&gt;0)*(MAX($PW9:QS9)+(MONTH(QT$3)=$V9)*MAX($PW9:QS9)*$U9)</f>
        <v>0</v>
      </c>
      <c r="QU9" s="30">
        <f>(GK9&gt;0)*(MAX($PW9:QT9)+(MONTH(QU$3)=$V9)*MAX($PW9:QT9)*$U9)</f>
        <v>0</v>
      </c>
      <c r="QV9" s="30">
        <f>(GL9&gt;0)*(MAX($PW9:QU9)+(MONTH(QV$3)=$V9)*MAX($PW9:QU9)*$U9)</f>
        <v>0</v>
      </c>
      <c r="QW9" s="30">
        <f>(GM9&gt;0)*(MAX($PW9:QV9)+(MONTH(QW$3)=$V9)*MAX($PW9:QV9)*$U9)</f>
        <v>0</v>
      </c>
      <c r="QX9" s="30">
        <f>(GN9&gt;0)*(MAX($PW9:QW9)+(MONTH(QX$3)=$V9)*MAX($PW9:QW9)*$U9)</f>
        <v>0</v>
      </c>
      <c r="QY9" s="30">
        <f>(GO9&gt;0)*(MAX($PW9:QX9)+(MONTH(QY$3)=$V9)*MAX($PW9:QX9)*$U9)</f>
        <v>0</v>
      </c>
      <c r="QZ9" s="30">
        <f>(GP9&gt;0)*(MAX($PW9:QY9)+(MONTH(QZ$3)=$V9)*MAX($PW9:QY9)*$U9)</f>
        <v>0</v>
      </c>
      <c r="RA9" s="30">
        <f>(GQ9&gt;0)*(MAX($PW9:QZ9)+(MONTH(RA$3)=$V9)*MAX($PW9:QZ9)*$U9)</f>
        <v>0</v>
      </c>
      <c r="RB9" s="30">
        <f>(GR9&gt;0)*(MAX($PW9:RA9)+(MONTH(RB$3)=$V9)*MAX($PW9:RA9)*$U9)</f>
        <v>0</v>
      </c>
      <c r="RC9" s="30">
        <f>(GS9&gt;0)*(MAX($PW9:RB9)+(MONTH(RC$3)=$V9)*MAX($PW9:RB9)*$U9)</f>
        <v>0</v>
      </c>
      <c r="RD9" s="30">
        <f>(GT9&gt;0)*(MAX($PW9:RC9)+(MONTH(RD$3)=$V9)*MAX($PW9:RC9)*$U9)</f>
        <v>0</v>
      </c>
      <c r="RE9" s="30">
        <f>(GU9&gt;0)*(MAX($PW9:RD9)+(MONTH(RE$3)=$V9)*MAX($PW9:RD9)*$U9)</f>
        <v>0</v>
      </c>
      <c r="RF9" s="30">
        <f>(GV9&gt;0)*(MAX($PW9:RE9)+(MONTH(RF$3)=$V9)*MAX($PW9:RE9)*$U9)</f>
        <v>0</v>
      </c>
      <c r="RG9" s="30">
        <f>(GW9&gt;0)*(MAX($PW9:RF9)+(MONTH(RG$3)=$V9)*MAX($PW9:RF9)*$U9)</f>
        <v>0</v>
      </c>
      <c r="RH9" s="30">
        <f>(GX9&gt;0)*(MAX($PW9:RG9)+(MONTH(RH$3)=$V9)*MAX($PW9:RG9)*$U9)</f>
        <v>0</v>
      </c>
      <c r="RI9" s="30">
        <f>(GY9&gt;0)*(MAX($PW9:RH9)+(MONTH(RI$3)=$V9)*MAX($PW9:RH9)*$U9)</f>
        <v>0</v>
      </c>
      <c r="RJ9" s="30">
        <f>(GZ9&gt;0)*(MAX($PW9:RI9)+(MONTH(RJ$3)=$V9)*MAX($PW9:RI9)*$U9)</f>
        <v>0</v>
      </c>
      <c r="RK9" s="30">
        <f>(HA9&gt;0)*(MAX($PW9:RJ9)+(MONTH(RK$3)=$V9)*MAX($PW9:RJ9)*$U9)</f>
        <v>0</v>
      </c>
      <c r="RL9" s="30">
        <f>(HB9&gt;0)*(MAX($PW9:RK9)+(MONTH(RL$3)=$V9)*MAX($PW9:RK9)*$U9)</f>
        <v>0</v>
      </c>
      <c r="RM9" s="30">
        <f>(HC9&gt;0)*(MAX($PW9:RL9)+(MONTH(RM$3)=$V9)*MAX($PW9:RL9)*$U9)</f>
        <v>0</v>
      </c>
      <c r="RN9" s="30">
        <f>(HD9&gt;0)*(MAX($PW9:RM9)+(MONTH(RN$3)=$V9)*MAX($PW9:RM9)*$U9)</f>
        <v>0</v>
      </c>
      <c r="RO9" s="30">
        <f>(HE9&gt;0)*(MAX($PW9:RN9)+(MONTH(RO$3)=$V9)*MAX($PW9:RN9)*$U9)</f>
        <v>0</v>
      </c>
      <c r="RP9" s="30">
        <f>(HF9&gt;0)*(MAX($PW9:RO9)+(MONTH(RP$3)=$V9)*MAX($PW9:RO9)*$U9)</f>
        <v>0</v>
      </c>
      <c r="RQ9" s="30">
        <f>(HG9&gt;0)*(MAX($PW9:RP9)+(MONTH(RQ$3)=$V9)*MAX($PW9:RP9)*$U9)</f>
        <v>0</v>
      </c>
      <c r="RR9" s="30">
        <f>(HH9&gt;0)*(MAX($PW9:RQ9)+(MONTH(RR$3)=$V9)*MAX($PW9:RQ9)*$U9)</f>
        <v>0</v>
      </c>
      <c r="RS9" s="30">
        <f>(HI9&gt;0)*(MAX($PW9:RR9)+(MONTH(RS$3)=$V9)*MAX($PW9:RR9)*$U9)</f>
        <v>0</v>
      </c>
      <c r="RT9" s="30">
        <f>(HJ9&gt;0)*(MAX($PW9:RS9)+(MONTH(RT$3)=$V9)*MAX($PW9:RS9)*$U9)</f>
        <v>0</v>
      </c>
      <c r="RU9" s="30">
        <f>(HK9&gt;0)*(MAX($PW9:RT9)+(MONTH(RU$3)=$V9)*MAX($PW9:RT9)*$U9)</f>
        <v>0</v>
      </c>
      <c r="RV9" s="30">
        <f>(HL9&gt;0)*(MAX($PW9:RU9)+(MONTH(RV$3)=$V9)*MAX($PW9:RU9)*$U9)</f>
        <v>0</v>
      </c>
      <c r="RW9" s="30">
        <f>(HM9&gt;0)*(MAX($PW9:RV9)+(MONTH(RW$3)=$V9)*MAX($PW9:RV9)*$U9)</f>
        <v>1.3079388599999999</v>
      </c>
      <c r="RX9" s="30">
        <f>(HN9&gt;0)*(MAX($PW9:RW9)+(MONTH(RX$3)=$V9)*MAX($PW9:RW9)*$U9)</f>
        <v>1.3079388599999999</v>
      </c>
      <c r="RY9" s="30">
        <f>(HO9&gt;0)*(MAX($PW9:RX9)+(MONTH(RY$3)=$V9)*MAX($PW9:RX9)*$U9)</f>
        <v>1.3079388599999999</v>
      </c>
      <c r="RZ9" s="30">
        <f>(HP9&gt;0)*(MAX($PW9:RY9)+(MONTH(RZ$3)=$V9)*MAX($PW9:RY9)*$U9)</f>
        <v>1.3079388599999999</v>
      </c>
      <c r="SA9" s="30">
        <f>(HQ9&gt;0)*(MAX($PW9:RZ9)+(MONTH(SA$3)=$V9)*MAX($PW9:RZ9)*$U9)</f>
        <v>1.3079388599999999</v>
      </c>
      <c r="SB9" s="30">
        <f>(HR9&gt;0)*(MAX($PW9:SA9)+(MONTH(SB$3)=$V9)*MAX($PW9:SA9)*$U9)</f>
        <v>1.3079388599999999</v>
      </c>
      <c r="SC9" s="30">
        <f>(HS9&gt;0)*(MAX($PW9:SB9)+(MONTH(SC$3)=$V9)*MAX($PW9:SB9)*$U9)</f>
        <v>1.3079388599999999</v>
      </c>
      <c r="SD9" s="30">
        <f>(HT9&gt;0)*(MAX($PW9:SC9)+(MONTH(SD$3)=$V9)*MAX($PW9:SC9)*$U9)</f>
        <v>1.3079388599999999</v>
      </c>
      <c r="SE9" s="30">
        <f>(HU9&gt;0)*(MAX($PW9:SD9)+(MONTH(SE$3)=$V9)*MAX($PW9:SD9)*$U9)</f>
        <v>1.3079388599999999</v>
      </c>
      <c r="SF9" s="30">
        <f>(HV9&gt;0)*(MAX($PW9:SE9)+(MONTH(SF$3)=$V9)*MAX($PW9:SE9)*$U9)</f>
        <v>1.3079388599999999</v>
      </c>
      <c r="SG9" s="30">
        <f>(HW9&gt;0)*(MAX($PW9:SF9)+(MONTH(SG$3)=$V9)*MAX($PW9:SF9)*$U9)</f>
        <v>1.3079388599999999</v>
      </c>
      <c r="SH9" s="30">
        <f>(HX9&gt;0)*(MAX($PW9:SG9)+(MONTH(SH$3)=$V9)*MAX($PW9:SG9)*$U9)</f>
        <v>1.3079388599999999</v>
      </c>
      <c r="SI9" s="30">
        <f>(HY9&gt;0)*(MAX($PW9:SH9)+(MONTH(SI$3)=$V9)*MAX($PW9:SH9)*$U9)</f>
        <v>1.3340976372</v>
      </c>
      <c r="SJ9" s="30">
        <f>(HZ9&gt;0)*(MAX($PW9:SI9)+(MONTH(SJ$3)=$V9)*MAX($PW9:SI9)*$U9)</f>
        <v>1.3340976372</v>
      </c>
      <c r="SK9" s="30">
        <f>(IA9&gt;0)*(MAX($PW9:SJ9)+(MONTH(SK$3)=$V9)*MAX($PW9:SJ9)*$U9)</f>
        <v>1.3340976372</v>
      </c>
      <c r="SL9" s="30">
        <f>(IB9&gt;0)*(MAX($PW9:SK9)+(MONTH(SL$3)=$V9)*MAX($PW9:SK9)*$U9)</f>
        <v>1.3340976372</v>
      </c>
      <c r="SM9" s="30">
        <f>(IC9&gt;0)*(MAX($PW9:SL9)+(MONTH(SM$3)=$V9)*MAX($PW9:SL9)*$U9)</f>
        <v>1.3340976372</v>
      </c>
      <c r="SN9" s="30">
        <f>(ID9&gt;0)*(MAX($PW9:SM9)+(MONTH(SN$3)=$V9)*MAX($PW9:SM9)*$U9)</f>
        <v>1.3340976372</v>
      </c>
      <c r="SO9" s="30">
        <f>(IE9&gt;0)*(MAX($PW9:SN9)+(MONTH(SO$3)=$V9)*MAX($PW9:SN9)*$U9)</f>
        <v>1.3340976372</v>
      </c>
      <c r="SP9" s="30">
        <f>(IF9&gt;0)*(MAX($PW9:SO9)+(MONTH(SP$3)=$V9)*MAX($PW9:SO9)*$U9)</f>
        <v>1.3340976372</v>
      </c>
      <c r="SQ9" s="30">
        <f>(IG9&gt;0)*(MAX($PW9:SP9)+(MONTH(SQ$3)=$V9)*MAX($PW9:SP9)*$U9)</f>
        <v>1.3340976372</v>
      </c>
      <c r="SR9" s="30">
        <f>(IH9&gt;0)*(MAX($PW9:SQ9)+(MONTH(SR$3)=$V9)*MAX($PW9:SQ9)*$U9)</f>
        <v>1.3340976372</v>
      </c>
      <c r="SS9" s="30">
        <f>(II9&gt;0)*(MAX($PW9:SR9)+(MONTH(SS$3)=$V9)*MAX($PW9:SR9)*$U9)</f>
        <v>1.3340976372</v>
      </c>
      <c r="ST9" s="30">
        <f>(IJ9&gt;0)*(MAX($PW9:SS9)+(MONTH(ST$3)=$V9)*MAX($PW9:SS9)*$U9)</f>
        <v>1.3340976372</v>
      </c>
      <c r="SU9" s="30">
        <f>(IK9&gt;0)*(MAX($PW9:ST9)+(MONTH(SU$3)=$V9)*MAX($PW9:ST9)*$U9)</f>
        <v>1.3607795899440001</v>
      </c>
      <c r="SV9" s="30">
        <f>(IL9&gt;0)*(MAX($PW9:SU9)+(MONTH(SV$3)=$V9)*MAX($PW9:SU9)*$U9)</f>
        <v>1.3607795899440001</v>
      </c>
      <c r="SW9" s="30">
        <f>(IM9&gt;0)*(MAX($PW9:SV9)+(MONTH(SW$3)=$V9)*MAX($PW9:SV9)*$U9)</f>
        <v>1.3607795899440001</v>
      </c>
      <c r="SX9" s="30">
        <f>(IN9&gt;0)*(MAX($PW9:SW9)+(MONTH(SX$3)=$V9)*MAX($PW9:SW9)*$U9)</f>
        <v>1.3607795899440001</v>
      </c>
      <c r="SY9" s="30">
        <f>(IO9&gt;0)*(MAX($PW9:SX9)+(MONTH(SY$3)=$V9)*MAX($PW9:SX9)*$U9)</f>
        <v>1.3607795899440001</v>
      </c>
      <c r="SZ9" s="30">
        <f>(IP9&gt;0)*(MAX($PW9:SY9)+(MONTH(SZ$3)=$V9)*MAX($PW9:SY9)*$U9)</f>
        <v>1.3607795899440001</v>
      </c>
      <c r="TA9" s="30">
        <f>(IQ9&gt;0)*(MAX($PW9:SZ9)+(MONTH(TA$3)=$V9)*MAX($PW9:SZ9)*$U9)</f>
        <v>1.3607795899440001</v>
      </c>
      <c r="TB9" s="30">
        <f>(IR9&gt;0)*(MAX($PW9:TA9)+(MONTH(TB$3)=$V9)*MAX($PW9:TA9)*$U9)</f>
        <v>1.3607795899440001</v>
      </c>
      <c r="TC9" s="30">
        <f>(IS9&gt;0)*(MAX($PW9:TB9)+(MONTH(TC$3)=$V9)*MAX($PW9:TB9)*$U9)</f>
        <v>1.3607795899440001</v>
      </c>
      <c r="TD9" s="30">
        <f>(IT9&gt;0)*(MAX($PW9:TC9)+(MONTH(TD$3)=$V9)*MAX($PW9:TC9)*$U9)</f>
        <v>1.3607795899440001</v>
      </c>
      <c r="TE9" s="30">
        <f>(IU9&gt;0)*(MAX($PW9:TD9)+(MONTH(TE$3)=$V9)*MAX($PW9:TD9)*$U9)</f>
        <v>1.3607795899440001</v>
      </c>
      <c r="TF9" s="30">
        <f>(IV9&gt;0)*(MAX($PW9:TE9)+(MONTH(TF$3)=$V9)*MAX($PW9:TE9)*$U9)</f>
        <v>1.3607795899440001</v>
      </c>
      <c r="TG9" s="30">
        <f>(IW9&gt;0)*(MAX($PW9:TF9)+(MONTH(TG$3)=$V9)*MAX($PW9:TF9)*$U9)</f>
        <v>1.3879951817428799</v>
      </c>
      <c r="TH9" s="30">
        <f>(IX9&gt;0)*(MAX($PW9:TG9)+(MONTH(TH$3)=$V9)*MAX($PW9:TG9)*$U9)</f>
        <v>1.3879951817428799</v>
      </c>
      <c r="TI9" s="30">
        <f>(IY9&gt;0)*(MAX($PW9:TH9)+(MONTH(TI$3)=$V9)*MAX($PW9:TH9)*$U9)</f>
        <v>1.3879951817428799</v>
      </c>
      <c r="TJ9" s="30">
        <f>(IZ9&gt;0)*(MAX($PW9:TI9)+(MONTH(TJ$3)=$V9)*MAX($PW9:TI9)*$U9)</f>
        <v>1.3879951817428799</v>
      </c>
      <c r="TK9" s="30">
        <f>(JA9&gt;0)*(MAX($PW9:TJ9)+(MONTH(TK$3)=$V9)*MAX($PW9:TJ9)*$U9)</f>
        <v>1.3879951817428799</v>
      </c>
      <c r="TL9" s="30">
        <f>(JB9&gt;0)*(MAX($PW9:TK9)+(MONTH(TL$3)=$V9)*MAX($PW9:TK9)*$U9)</f>
        <v>1.3879951817428799</v>
      </c>
      <c r="TM9" s="30">
        <f>(JC9&gt;0)*(MAX($PW9:TL9)+(MONTH(TM$3)=$V9)*MAX($PW9:TL9)*$U9)</f>
        <v>1.3879951817428799</v>
      </c>
      <c r="TN9" s="30">
        <f>(JD9&gt;0)*(MAX($PW9:TM9)+(MONTH(TN$3)=$V9)*MAX($PW9:TM9)*$U9)</f>
        <v>1.3879951817428799</v>
      </c>
      <c r="TO9" s="30">
        <f>(JE9&gt;0)*(MAX($PW9:TN9)+(MONTH(TO$3)=$V9)*MAX($PW9:TN9)*$U9)</f>
        <v>1.3879951817428799</v>
      </c>
      <c r="TP9" s="30">
        <f>(JF9&gt;0)*(MAX($PW9:TO9)+(MONTH(TP$3)=$V9)*MAX($PW9:TO9)*$U9)</f>
        <v>1.3879951817428799</v>
      </c>
      <c r="TQ9" s="30">
        <f>(JG9&gt;0)*(MAX($PW9:TP9)+(MONTH(TQ$3)=$V9)*MAX($PW9:TP9)*$U9)</f>
        <v>1.3879951817428799</v>
      </c>
      <c r="TR9" s="30">
        <f>(JH9&gt;0)*(MAX($PW9:TQ9)+(MONTH(TR$3)=$V9)*MAX($PW9:TQ9)*$U9)</f>
        <v>1.3879951817428799</v>
      </c>
      <c r="TS9" s="30">
        <f>(JI9&gt;0)*(MAX($PW9:TR9)+(MONTH(TS$3)=$V9)*MAX($PW9:TR9)*$U9)</f>
        <v>1.4157550853777376</v>
      </c>
      <c r="TT9" s="30">
        <f>(JJ9&gt;0)*(MAX($PW9:TS9)+(MONTH(TT$3)=$V9)*MAX($PW9:TS9)*$U9)</f>
        <v>1.4157550853777376</v>
      </c>
      <c r="TU9" s="30">
        <f>(JK9&gt;0)*(MAX($PW9:TT9)+(MONTH(TU$3)=$V9)*MAX($PW9:TT9)*$U9)</f>
        <v>1.4157550853777376</v>
      </c>
      <c r="TV9" s="30">
        <f>(JL9&gt;0)*(MAX($PW9:TU9)+(MONTH(TV$3)=$V9)*MAX($PW9:TU9)*$U9)</f>
        <v>1.4157550853777376</v>
      </c>
      <c r="TW9" s="30">
        <f>(JM9&gt;0)*(MAX($PW9:TV9)+(MONTH(TW$3)=$V9)*MAX($PW9:TV9)*$U9)</f>
        <v>1.4157550853777376</v>
      </c>
      <c r="TX9" s="30">
        <f>(JN9&gt;0)*(MAX($PW9:TW9)+(MONTH(TX$3)=$V9)*MAX($PW9:TW9)*$U9)</f>
        <v>1.4157550853777376</v>
      </c>
      <c r="TY9" s="30">
        <f>(JO9&gt;0)*(MAX($PW9:TX9)+(MONTH(TY$3)=$V9)*MAX($PW9:TX9)*$U9)</f>
        <v>1.4157550853777376</v>
      </c>
      <c r="TZ9" s="30">
        <f>(JP9&gt;0)*(MAX($PW9:TY9)+(MONTH(TZ$3)=$V9)*MAX($PW9:TY9)*$U9)</f>
        <v>1.4157550853777376</v>
      </c>
      <c r="UA9" s="30">
        <f>(JQ9&gt;0)*(MAX($PW9:TZ9)+(MONTH(UA$3)=$V9)*MAX($PW9:TZ9)*$U9)</f>
        <v>1.4157550853777376</v>
      </c>
      <c r="UB9" s="30">
        <f>(JR9&gt;0)*(MAX($PW9:UA9)+(MONTH(UB$3)=$V9)*MAX($PW9:UA9)*$U9)</f>
        <v>1.4157550853777376</v>
      </c>
      <c r="UC9" s="30">
        <f>(JS9&gt;0)*(MAX($PW9:UB9)+(MONTH(UC$3)=$V9)*MAX($PW9:UB9)*$U9)</f>
        <v>1.4157550853777376</v>
      </c>
      <c r="UD9" s="30">
        <f>(JT9&gt;0)*(MAX($PW9:UC9)+(MONTH(UD$3)=$V9)*MAX($PW9:UC9)*$U9)</f>
        <v>1.4157550853777376</v>
      </c>
      <c r="UE9" s="30">
        <f>(JU9&gt;0)*(MAX($PW9:UD9)+(MONTH(UE$3)=$V9)*MAX($PW9:UD9)*$U9)</f>
        <v>1.4440701870852923</v>
      </c>
      <c r="UF9" s="30">
        <f>(JV9&gt;0)*(MAX($PW9:UE9)+(MONTH(UF$3)=$V9)*MAX($PW9:UE9)*$U9)</f>
        <v>1.4440701870852923</v>
      </c>
      <c r="UG9" s="30">
        <f>(JW9&gt;0)*(MAX($PW9:UF9)+(MONTH(UG$3)=$V9)*MAX($PW9:UF9)*$U9)</f>
        <v>1.4440701870852923</v>
      </c>
      <c r="UH9" s="30">
        <f>(JX9&gt;0)*(MAX($PW9:UG9)+(MONTH(UH$3)=$V9)*MAX($PW9:UG9)*$U9)</f>
        <v>1.4440701870852923</v>
      </c>
      <c r="UI9" s="30">
        <f>(JY9&gt;0)*(MAX($PW9:UH9)+(MONTH(UI$3)=$V9)*MAX($PW9:UH9)*$U9)</f>
        <v>1.4440701870852923</v>
      </c>
      <c r="UJ9" s="30">
        <f>(JZ9&gt;0)*(MAX($PW9:UI9)+(MONTH(UJ$3)=$V9)*MAX($PW9:UI9)*$U9)</f>
        <v>1.4440701870852923</v>
      </c>
      <c r="UK9" s="30">
        <f>(KA9&gt;0)*(MAX($PW9:UJ9)+(MONTH(UK$3)=$V9)*MAX($PW9:UJ9)*$U9)</f>
        <v>1.4440701870852923</v>
      </c>
      <c r="UL9" s="30">
        <f>(KB9&gt;0)*(MAX($PW9:UK9)+(MONTH(UL$3)=$V9)*MAX($PW9:UK9)*$U9)</f>
        <v>1.4440701870852923</v>
      </c>
      <c r="UM9" s="30">
        <f>(KC9&gt;0)*(MAX($PW9:UL9)+(MONTH(UM$3)=$V9)*MAX($PW9:UL9)*$U9)</f>
        <v>1.4440701870852923</v>
      </c>
      <c r="UN9" s="30">
        <f>(KD9&gt;0)*(MAX($PW9:UM9)+(MONTH(UN$3)=$V9)*MAX($PW9:UM9)*$U9)</f>
        <v>1.4440701870852923</v>
      </c>
      <c r="UO9" s="30">
        <f>(KE9&gt;0)*(MAX($PW9:UN9)+(MONTH(UO$3)=$V9)*MAX($PW9:UN9)*$U9)</f>
        <v>1.4440701870852923</v>
      </c>
      <c r="UP9" s="30">
        <f>(KF9&gt;0)*(MAX($PW9:UO9)+(MONTH(UP$3)=$V9)*MAX($PW9:UO9)*$U9)</f>
        <v>1.4440701870852923</v>
      </c>
      <c r="UQ9" s="30">
        <f>(KG9&gt;0)*(MAX($PW9:UP9)+(MONTH(UQ$3)=$V9)*MAX($PW9:UP9)*$U9)</f>
        <v>1.4729515908269981</v>
      </c>
      <c r="UR9" s="30">
        <f>(KH9&gt;0)*(MAX($PW9:UQ9)+(MONTH(UR$3)=$V9)*MAX($PW9:UQ9)*$U9)</f>
        <v>1.4729515908269981</v>
      </c>
      <c r="US9" s="30">
        <f>(KI9&gt;0)*(MAX($PW9:UR9)+(MONTH(US$3)=$V9)*MAX($PW9:UR9)*$U9)</f>
        <v>1.4729515908269981</v>
      </c>
      <c r="UT9" s="30">
        <f>(KJ9&gt;0)*(MAX($PW9:US9)+(MONTH(UT$3)=$V9)*MAX($PW9:US9)*$U9)</f>
        <v>1.4729515908269981</v>
      </c>
      <c r="UU9" s="30">
        <f>(KK9&gt;0)*(MAX($PW9:UT9)+(MONTH(UU$3)=$V9)*MAX($PW9:UT9)*$U9)</f>
        <v>1.4729515908269981</v>
      </c>
      <c r="UV9" s="30">
        <f>(KL9&gt;0)*(MAX($PW9:UU9)+(MONTH(UV$3)=$V9)*MAX($PW9:UU9)*$U9)</f>
        <v>1.4729515908269981</v>
      </c>
      <c r="UW9" s="30">
        <f>(KM9&gt;0)*(MAX($PW9:UV9)+(MONTH(UW$3)=$V9)*MAX($PW9:UV9)*$U9)</f>
        <v>1.4729515908269981</v>
      </c>
      <c r="UX9" s="30">
        <f>(KN9&gt;0)*(MAX($PW9:UW9)+(MONTH(UX$3)=$V9)*MAX($PW9:UW9)*$U9)</f>
        <v>1.4729515908269981</v>
      </c>
      <c r="UY9" s="30">
        <f>(KO9&gt;0)*(MAX($PW9:UX9)+(MONTH(UY$3)=$V9)*MAX($PW9:UX9)*$U9)</f>
        <v>1.4729515908269981</v>
      </c>
      <c r="UZ9" s="17"/>
      <c r="VA9" s="17"/>
      <c r="VB9" s="17">
        <f t="shared" si="1305"/>
        <v>15599.999999999998</v>
      </c>
      <c r="VC9" s="17">
        <f t="shared" si="1138"/>
        <v>15599.999999999998</v>
      </c>
      <c r="VD9" s="17">
        <f t="shared" si="1139"/>
        <v>15599.999999999998</v>
      </c>
      <c r="VE9" s="17">
        <f t="shared" si="1140"/>
        <v>15599.999999999998</v>
      </c>
      <c r="VF9" s="17">
        <f t="shared" si="1141"/>
        <v>15599.999999999998</v>
      </c>
      <c r="VG9" s="17">
        <f t="shared" si="1142"/>
        <v>15599.999999999998</v>
      </c>
      <c r="VH9" s="17">
        <f t="shared" si="1143"/>
        <v>15599.999999999998</v>
      </c>
      <c r="VI9" s="17">
        <f t="shared" si="1144"/>
        <v>15599.999999999998</v>
      </c>
      <c r="VJ9" s="17">
        <f t="shared" si="1145"/>
        <v>15599.999999999998</v>
      </c>
      <c r="VK9" s="17">
        <f t="shared" si="1146"/>
        <v>15599.999999999998</v>
      </c>
      <c r="VL9" s="17">
        <f t="shared" si="1147"/>
        <v>15599.999999999998</v>
      </c>
      <c r="VM9" s="17">
        <f t="shared" si="1148"/>
        <v>15599.999999999998</v>
      </c>
      <c r="VN9" s="17">
        <f t="shared" si="1149"/>
        <v>15911.999999999998</v>
      </c>
      <c r="VO9" s="17">
        <f t="shared" si="1150"/>
        <v>15911.999999999998</v>
      </c>
      <c r="VP9" s="17">
        <f t="shared" si="1151"/>
        <v>15911.999999999998</v>
      </c>
      <c r="VQ9" s="17">
        <f t="shared" si="1152"/>
        <v>15911.999999999998</v>
      </c>
      <c r="VR9" s="17">
        <f t="shared" si="1153"/>
        <v>15911.999999999998</v>
      </c>
      <c r="VS9" s="17">
        <f t="shared" si="1154"/>
        <v>15911.999999999998</v>
      </c>
      <c r="VT9" s="17">
        <f t="shared" si="1155"/>
        <v>15911.999999999998</v>
      </c>
      <c r="VU9" s="17">
        <f t="shared" si="1156"/>
        <v>15911.999999999998</v>
      </c>
      <c r="VV9" s="17">
        <f t="shared" si="1157"/>
        <v>15911.999999999998</v>
      </c>
      <c r="VW9" s="17">
        <f t="shared" si="1158"/>
        <v>15911.999999999998</v>
      </c>
      <c r="VX9" s="17">
        <f t="shared" si="1159"/>
        <v>15911.999999999998</v>
      </c>
      <c r="VY9" s="17">
        <f t="shared" si="1160"/>
        <v>15911.999999999998</v>
      </c>
      <c r="VZ9" s="17">
        <f t="shared" si="1161"/>
        <v>16230.239999999998</v>
      </c>
      <c r="WA9" s="17">
        <f t="shared" si="1162"/>
        <v>16230.239999999998</v>
      </c>
      <c r="WB9" s="17">
        <f t="shared" si="1163"/>
        <v>16230.239999999998</v>
      </c>
      <c r="WC9" s="17">
        <f t="shared" si="1164"/>
        <v>16230.239999999998</v>
      </c>
      <c r="WD9" s="17">
        <f t="shared" si="1165"/>
        <v>16230.239999999998</v>
      </c>
      <c r="WE9" s="17">
        <f t="shared" si="1166"/>
        <v>16230.239999999998</v>
      </c>
      <c r="WF9" s="17">
        <f t="shared" si="1167"/>
        <v>16230.239999999998</v>
      </c>
      <c r="WG9" s="17">
        <f t="shared" si="1168"/>
        <v>16230.239999999998</v>
      </c>
      <c r="WH9" s="17">
        <f t="shared" si="1169"/>
        <v>16230.239999999998</v>
      </c>
      <c r="WI9" s="17">
        <f t="shared" si="1170"/>
        <v>16230.239999999998</v>
      </c>
      <c r="WJ9" s="17">
        <f t="shared" si="1171"/>
        <v>16230.239999999998</v>
      </c>
      <c r="WK9" s="17">
        <f t="shared" si="1172"/>
        <v>16230.239999999998</v>
      </c>
      <c r="WL9" s="17">
        <f t="shared" si="1173"/>
        <v>16554.844799999999</v>
      </c>
      <c r="WM9" s="17">
        <f t="shared" si="1174"/>
        <v>16554.844799999999</v>
      </c>
      <c r="WN9" s="17">
        <f t="shared" si="1175"/>
        <v>16554.844799999999</v>
      </c>
      <c r="WO9" s="17">
        <f t="shared" si="1176"/>
        <v>16554.844799999999</v>
      </c>
      <c r="WP9" s="17">
        <f t="shared" si="1177"/>
        <v>16554.844799999999</v>
      </c>
      <c r="WQ9" s="17">
        <f t="shared" si="1178"/>
        <v>16554.844799999999</v>
      </c>
      <c r="WR9" s="17">
        <f t="shared" si="1179"/>
        <v>16554.844799999999</v>
      </c>
      <c r="WS9" s="17">
        <f t="shared" si="1180"/>
        <v>16554.844799999999</v>
      </c>
      <c r="WT9" s="17">
        <f t="shared" si="1181"/>
        <v>16554.844799999999</v>
      </c>
      <c r="WU9" s="17">
        <f t="shared" si="1182"/>
        <v>16554.844799999999</v>
      </c>
      <c r="WV9" s="17">
        <f t="shared" si="1183"/>
        <v>16554.844799999999</v>
      </c>
      <c r="WW9" s="17">
        <f t="shared" si="1184"/>
        <v>16554.844799999999</v>
      </c>
      <c r="WX9" s="17">
        <f t="shared" si="1185"/>
        <v>0</v>
      </c>
      <c r="WY9" s="17">
        <f t="shared" si="1186"/>
        <v>0</v>
      </c>
      <c r="WZ9" s="17">
        <f t="shared" si="1187"/>
        <v>0</v>
      </c>
      <c r="XA9" s="17">
        <f t="shared" si="1188"/>
        <v>13602.564144</v>
      </c>
      <c r="XB9" s="17">
        <f t="shared" si="1189"/>
        <v>13602.564144</v>
      </c>
      <c r="XC9" s="17">
        <f t="shared" si="1190"/>
        <v>13602.564144</v>
      </c>
      <c r="XD9" s="17">
        <f t="shared" si="1191"/>
        <v>13602.564144</v>
      </c>
      <c r="XE9" s="17">
        <f t="shared" si="1192"/>
        <v>13602.564144</v>
      </c>
      <c r="XF9" s="17">
        <f t="shared" si="1193"/>
        <v>13602.564144</v>
      </c>
      <c r="XG9" s="17">
        <f t="shared" si="1194"/>
        <v>13602.564144</v>
      </c>
      <c r="XH9" s="17">
        <f t="shared" si="1195"/>
        <v>13602.564144</v>
      </c>
      <c r="XI9" s="17">
        <f t="shared" si="1196"/>
        <v>13602.564144</v>
      </c>
      <c r="XJ9" s="17">
        <f t="shared" si="1197"/>
        <v>13602.564144</v>
      </c>
      <c r="XK9" s="17">
        <f t="shared" si="1198"/>
        <v>13602.564144</v>
      </c>
      <c r="XL9" s="17">
        <f t="shared" si="1199"/>
        <v>13602.564144</v>
      </c>
      <c r="XM9" s="17">
        <f t="shared" si="1200"/>
        <v>13874.61542688</v>
      </c>
      <c r="XN9" s="17">
        <f t="shared" si="1201"/>
        <v>13874.61542688</v>
      </c>
      <c r="XO9" s="17">
        <f t="shared" si="1202"/>
        <v>13874.61542688</v>
      </c>
      <c r="XP9" s="17">
        <f t="shared" si="1203"/>
        <v>13874.61542688</v>
      </c>
      <c r="XQ9" s="17">
        <f t="shared" si="1204"/>
        <v>13874.61542688</v>
      </c>
      <c r="XR9" s="17">
        <f t="shared" si="1205"/>
        <v>13874.61542688</v>
      </c>
      <c r="XS9" s="17">
        <f t="shared" si="1206"/>
        <v>13874.61542688</v>
      </c>
      <c r="XT9" s="17">
        <f t="shared" si="1207"/>
        <v>13874.61542688</v>
      </c>
      <c r="XU9" s="17">
        <f t="shared" si="1208"/>
        <v>13874.61542688</v>
      </c>
      <c r="XV9" s="17">
        <f t="shared" si="1209"/>
        <v>13874.61542688</v>
      </c>
      <c r="XW9" s="17">
        <f t="shared" si="1210"/>
        <v>13874.61542688</v>
      </c>
      <c r="XX9" s="17">
        <f t="shared" si="1211"/>
        <v>13874.61542688</v>
      </c>
      <c r="XY9" s="17">
        <f t="shared" si="1212"/>
        <v>14152.107735417601</v>
      </c>
      <c r="XZ9" s="17">
        <f t="shared" si="1213"/>
        <v>14152.107735417601</v>
      </c>
      <c r="YA9" s="17">
        <f t="shared" si="1214"/>
        <v>14152.107735417601</v>
      </c>
      <c r="YB9" s="17">
        <f t="shared" si="1215"/>
        <v>14152.107735417601</v>
      </c>
      <c r="YC9" s="17">
        <f t="shared" si="1216"/>
        <v>14152.107735417601</v>
      </c>
      <c r="YD9" s="17">
        <f t="shared" si="1217"/>
        <v>14152.107735417601</v>
      </c>
      <c r="YE9" s="17">
        <f t="shared" si="1218"/>
        <v>14152.107735417601</v>
      </c>
      <c r="YF9" s="17">
        <f t="shared" si="1219"/>
        <v>14152.107735417601</v>
      </c>
      <c r="YG9" s="17">
        <f t="shared" si="1220"/>
        <v>14152.107735417601</v>
      </c>
      <c r="YH9" s="17">
        <f t="shared" si="1221"/>
        <v>14152.107735417601</v>
      </c>
      <c r="YI9" s="17">
        <f t="shared" si="1222"/>
        <v>14152.107735417601</v>
      </c>
      <c r="YJ9" s="17">
        <f t="shared" si="1223"/>
        <v>14152.107735417601</v>
      </c>
      <c r="YK9" s="17">
        <f t="shared" si="1224"/>
        <v>14435.149890125951</v>
      </c>
      <c r="YL9" s="17">
        <f t="shared" si="1225"/>
        <v>14435.149890125951</v>
      </c>
      <c r="YM9" s="17">
        <f t="shared" si="1226"/>
        <v>14435.149890125951</v>
      </c>
      <c r="YN9" s="17">
        <f t="shared" si="1227"/>
        <v>14435.149890125951</v>
      </c>
      <c r="YO9" s="17">
        <f t="shared" si="1228"/>
        <v>14435.149890125951</v>
      </c>
      <c r="YP9" s="17">
        <f t="shared" si="1229"/>
        <v>14435.149890125951</v>
      </c>
      <c r="YQ9" s="17">
        <f t="shared" si="1230"/>
        <v>14435.149890125951</v>
      </c>
      <c r="YR9" s="17">
        <f t="shared" si="1231"/>
        <v>14435.149890125951</v>
      </c>
      <c r="YS9" s="17">
        <f t="shared" si="1232"/>
        <v>14435.149890125951</v>
      </c>
      <c r="YT9" s="17">
        <f t="shared" si="1233"/>
        <v>14435.149890125951</v>
      </c>
      <c r="YU9" s="17">
        <f t="shared" si="1234"/>
        <v>14435.149890125951</v>
      </c>
      <c r="YV9" s="17">
        <f t="shared" si="1235"/>
        <v>14435.149890125951</v>
      </c>
      <c r="YW9" s="17">
        <f t="shared" si="1236"/>
        <v>14723.852887928471</v>
      </c>
      <c r="YX9" s="17">
        <f t="shared" si="1237"/>
        <v>14723.852887928471</v>
      </c>
      <c r="YY9" s="17">
        <f t="shared" si="1238"/>
        <v>14723.852887928471</v>
      </c>
      <c r="YZ9" s="17">
        <f t="shared" si="1239"/>
        <v>14723.852887928471</v>
      </c>
      <c r="ZA9" s="17">
        <f t="shared" si="1240"/>
        <v>14723.852887928471</v>
      </c>
      <c r="ZB9" s="17">
        <f t="shared" si="1241"/>
        <v>14723.852887928471</v>
      </c>
      <c r="ZC9" s="17">
        <f t="shared" si="1242"/>
        <v>14723.852887928471</v>
      </c>
      <c r="ZD9" s="17">
        <f t="shared" si="1243"/>
        <v>14723.852887928471</v>
      </c>
      <c r="ZE9" s="17">
        <f t="shared" si="1244"/>
        <v>14723.852887928471</v>
      </c>
      <c r="ZF9" s="17">
        <f t="shared" si="1245"/>
        <v>14723.852887928471</v>
      </c>
      <c r="ZG9" s="17">
        <f t="shared" si="1246"/>
        <v>14723.852887928471</v>
      </c>
      <c r="ZH9" s="17">
        <f t="shared" si="1247"/>
        <v>14723.852887928471</v>
      </c>
      <c r="ZI9" s="17">
        <f t="shared" si="1248"/>
        <v>15018.329945687041</v>
      </c>
      <c r="ZJ9" s="17">
        <f t="shared" si="1249"/>
        <v>15018.329945687041</v>
      </c>
      <c r="ZK9" s="17">
        <f t="shared" si="1250"/>
        <v>15018.329945687041</v>
      </c>
      <c r="ZL9" s="17">
        <f t="shared" si="1251"/>
        <v>15018.329945687041</v>
      </c>
      <c r="ZM9" s="17">
        <f t="shared" si="1252"/>
        <v>15018.329945687041</v>
      </c>
      <c r="ZN9" s="17">
        <f t="shared" si="1253"/>
        <v>15018.329945687041</v>
      </c>
      <c r="ZO9" s="17">
        <f t="shared" si="1254"/>
        <v>15018.329945687041</v>
      </c>
      <c r="ZP9" s="17">
        <f t="shared" si="1255"/>
        <v>15018.329945687041</v>
      </c>
      <c r="ZQ9" s="17">
        <f t="shared" si="1256"/>
        <v>15018.329945687041</v>
      </c>
      <c r="ZR9" s="17">
        <f t="shared" si="1257"/>
        <v>15018.329945687041</v>
      </c>
      <c r="ZS9" s="17">
        <f t="shared" si="1258"/>
        <v>15018.329945687041</v>
      </c>
      <c r="ZT9" s="17">
        <f t="shared" si="1259"/>
        <v>15018.329945687041</v>
      </c>
      <c r="ZU9" s="17">
        <f t="shared" si="1260"/>
        <v>15318.69654460078</v>
      </c>
      <c r="ZV9" s="17">
        <f t="shared" si="1261"/>
        <v>15318.69654460078</v>
      </c>
      <c r="ZW9" s="17">
        <f t="shared" si="1262"/>
        <v>15318.69654460078</v>
      </c>
      <c r="ZX9" s="17">
        <f t="shared" si="1263"/>
        <v>15318.69654460078</v>
      </c>
      <c r="ZY9" s="17">
        <f t="shared" si="1264"/>
        <v>15318.69654460078</v>
      </c>
      <c r="ZZ9" s="17">
        <f t="shared" si="1265"/>
        <v>15318.69654460078</v>
      </c>
      <c r="AAA9" s="17">
        <f t="shared" si="1266"/>
        <v>15318.69654460078</v>
      </c>
      <c r="AAB9" s="17">
        <f t="shared" si="1267"/>
        <v>15318.69654460078</v>
      </c>
      <c r="AAC9" s="17">
        <f t="shared" si="1268"/>
        <v>15318.69654460078</v>
      </c>
      <c r="AAD9" s="17"/>
      <c r="AAE9" s="17"/>
      <c r="AAF9" s="17">
        <f t="shared" si="1306"/>
        <v>0</v>
      </c>
      <c r="AAG9" s="17">
        <f t="shared" si="1269"/>
        <v>0</v>
      </c>
      <c r="AAH9" s="17">
        <f t="shared" si="1269"/>
        <v>0</v>
      </c>
      <c r="AAI9" s="17">
        <f t="shared" si="1269"/>
        <v>0</v>
      </c>
      <c r="AAJ9" s="17">
        <f t="shared" si="1269"/>
        <v>0</v>
      </c>
      <c r="AAK9" s="17">
        <f t="shared" si="1269"/>
        <v>0</v>
      </c>
      <c r="AAL9" s="17">
        <f t="shared" si="1269"/>
        <v>0</v>
      </c>
      <c r="AAM9" s="17">
        <f t="shared" si="1269"/>
        <v>0</v>
      </c>
      <c r="AAN9" s="17">
        <f t="shared" si="1269"/>
        <v>0</v>
      </c>
      <c r="AAO9" s="17">
        <f t="shared" si="1269"/>
        <v>0</v>
      </c>
      <c r="AAP9" s="17">
        <f t="shared" si="1269"/>
        <v>0</v>
      </c>
      <c r="AAQ9" s="17">
        <f t="shared" si="1269"/>
        <v>0</v>
      </c>
      <c r="AAR9" s="17">
        <f t="shared" si="1269"/>
        <v>0</v>
      </c>
      <c r="AAS9" s="17">
        <f t="shared" si="1269"/>
        <v>0</v>
      </c>
      <c r="AAT9" s="17">
        <f t="shared" si="1269"/>
        <v>0</v>
      </c>
      <c r="AAU9" s="17">
        <f t="shared" si="1269"/>
        <v>0</v>
      </c>
      <c r="AAV9" s="17">
        <f t="shared" si="1269"/>
        <v>0</v>
      </c>
      <c r="AAW9" s="17">
        <f t="shared" si="1270"/>
        <v>0</v>
      </c>
      <c r="AAX9" s="17">
        <f t="shared" si="1270"/>
        <v>0</v>
      </c>
      <c r="AAY9" s="17">
        <f t="shared" si="1270"/>
        <v>0</v>
      </c>
      <c r="AAZ9" s="17">
        <f t="shared" si="1270"/>
        <v>0</v>
      </c>
      <c r="ABA9" s="17">
        <f t="shared" si="1270"/>
        <v>0</v>
      </c>
      <c r="ABB9" s="17">
        <f t="shared" si="1270"/>
        <v>0</v>
      </c>
      <c r="ABC9" s="17">
        <f t="shared" si="1270"/>
        <v>0</v>
      </c>
      <c r="ABD9" s="17">
        <f t="shared" si="1270"/>
        <v>0</v>
      </c>
      <c r="ABE9" s="17">
        <f t="shared" si="1270"/>
        <v>0</v>
      </c>
      <c r="ABF9" s="17">
        <f t="shared" si="1270"/>
        <v>0</v>
      </c>
      <c r="ABG9" s="17">
        <f t="shared" si="1270"/>
        <v>0</v>
      </c>
      <c r="ABH9" s="17">
        <f t="shared" si="1270"/>
        <v>0</v>
      </c>
      <c r="ABI9" s="17">
        <f t="shared" si="1270"/>
        <v>0</v>
      </c>
      <c r="ABJ9" s="17">
        <f t="shared" si="1270"/>
        <v>0</v>
      </c>
      <c r="ABK9" s="17">
        <f t="shared" si="1270"/>
        <v>0</v>
      </c>
      <c r="ABL9" s="17">
        <f t="shared" si="1270"/>
        <v>0</v>
      </c>
      <c r="ABM9" s="17">
        <f t="shared" si="1271"/>
        <v>0</v>
      </c>
      <c r="ABN9" s="17">
        <f t="shared" si="1271"/>
        <v>0</v>
      </c>
      <c r="ABO9" s="17">
        <f t="shared" si="1271"/>
        <v>0</v>
      </c>
      <c r="ABP9" s="17">
        <f t="shared" si="1271"/>
        <v>0</v>
      </c>
      <c r="ABQ9" s="17">
        <f t="shared" si="1271"/>
        <v>0</v>
      </c>
      <c r="ABR9" s="17">
        <f t="shared" si="1271"/>
        <v>0</v>
      </c>
      <c r="ABS9" s="17">
        <f t="shared" si="1271"/>
        <v>0</v>
      </c>
      <c r="ABT9" s="17">
        <f t="shared" si="1271"/>
        <v>0</v>
      </c>
      <c r="ABU9" s="17">
        <f t="shared" si="1271"/>
        <v>0</v>
      </c>
      <c r="ABV9" s="17">
        <f t="shared" si="1271"/>
        <v>0</v>
      </c>
      <c r="ABW9" s="17">
        <f t="shared" si="1271"/>
        <v>0</v>
      </c>
      <c r="ABX9" s="17">
        <f t="shared" si="1271"/>
        <v>0</v>
      </c>
      <c r="ABY9" s="17">
        <f t="shared" si="1271"/>
        <v>0</v>
      </c>
      <c r="ABZ9" s="17">
        <f t="shared" si="1271"/>
        <v>0</v>
      </c>
      <c r="ACA9" s="17">
        <f t="shared" si="1271"/>
        <v>0</v>
      </c>
      <c r="ACB9" s="17">
        <f t="shared" si="1271"/>
        <v>0</v>
      </c>
      <c r="ACC9" s="17">
        <f t="shared" si="1272"/>
        <v>0</v>
      </c>
      <c r="ACD9" s="17">
        <f t="shared" si="1272"/>
        <v>0</v>
      </c>
      <c r="ACE9" s="17">
        <f t="shared" si="1272"/>
        <v>68012.820720000003</v>
      </c>
      <c r="ACF9" s="17">
        <f t="shared" si="1272"/>
        <v>0</v>
      </c>
      <c r="ACG9" s="17">
        <f t="shared" si="1272"/>
        <v>0</v>
      </c>
      <c r="ACH9" s="17">
        <f t="shared" si="1272"/>
        <v>0</v>
      </c>
      <c r="ACI9" s="17">
        <f t="shared" si="1272"/>
        <v>0</v>
      </c>
      <c r="ACJ9" s="17">
        <f t="shared" si="1272"/>
        <v>0</v>
      </c>
      <c r="ACK9" s="17">
        <f t="shared" si="1272"/>
        <v>0</v>
      </c>
      <c r="ACL9" s="17">
        <f t="shared" si="1272"/>
        <v>0</v>
      </c>
      <c r="ACM9" s="17">
        <f t="shared" si="1272"/>
        <v>0</v>
      </c>
      <c r="ACN9" s="17">
        <f t="shared" si="1272"/>
        <v>0</v>
      </c>
      <c r="ACO9" s="17">
        <f t="shared" si="1272"/>
        <v>0</v>
      </c>
      <c r="ACP9" s="17">
        <f t="shared" si="1272"/>
        <v>0</v>
      </c>
      <c r="ACQ9" s="17">
        <f t="shared" si="1272"/>
        <v>0</v>
      </c>
      <c r="ACR9" s="17">
        <f t="shared" si="1272"/>
        <v>0</v>
      </c>
      <c r="ACS9" s="17">
        <f t="shared" si="1273"/>
        <v>0</v>
      </c>
      <c r="ACT9" s="17">
        <f t="shared" si="1273"/>
        <v>0</v>
      </c>
      <c r="ACU9" s="17">
        <f t="shared" si="1273"/>
        <v>0</v>
      </c>
      <c r="ACV9" s="17">
        <f t="shared" si="1273"/>
        <v>0</v>
      </c>
      <c r="ACW9" s="17">
        <f t="shared" si="1273"/>
        <v>0</v>
      </c>
      <c r="ACX9" s="17">
        <f t="shared" si="1273"/>
        <v>0</v>
      </c>
      <c r="ACY9" s="17">
        <f t="shared" si="1273"/>
        <v>0</v>
      </c>
      <c r="ACZ9" s="17">
        <f t="shared" si="1273"/>
        <v>0</v>
      </c>
      <c r="ADA9" s="17">
        <f t="shared" si="1273"/>
        <v>0</v>
      </c>
      <c r="ADB9" s="17">
        <f t="shared" si="1273"/>
        <v>0</v>
      </c>
      <c r="ADC9" s="17">
        <f t="shared" si="1273"/>
        <v>0</v>
      </c>
      <c r="ADD9" s="17">
        <f t="shared" si="1273"/>
        <v>0</v>
      </c>
      <c r="ADE9" s="17">
        <f t="shared" si="1273"/>
        <v>0</v>
      </c>
      <c r="ADF9" s="17">
        <f t="shared" si="1273"/>
        <v>0</v>
      </c>
      <c r="ADG9" s="17">
        <f t="shared" si="1273"/>
        <v>0</v>
      </c>
      <c r="ADH9" s="17">
        <f t="shared" si="1273"/>
        <v>0</v>
      </c>
      <c r="ADI9" s="17">
        <f t="shared" si="1274"/>
        <v>0</v>
      </c>
      <c r="ADJ9" s="17">
        <f t="shared" si="1274"/>
        <v>0</v>
      </c>
      <c r="ADK9" s="17">
        <f t="shared" si="1274"/>
        <v>0</v>
      </c>
      <c r="ADL9" s="17">
        <f t="shared" si="1274"/>
        <v>0</v>
      </c>
      <c r="ADM9" s="17">
        <f t="shared" si="1274"/>
        <v>0</v>
      </c>
      <c r="ADN9" s="17">
        <f t="shared" si="1274"/>
        <v>0</v>
      </c>
      <c r="ADO9" s="17">
        <f t="shared" si="1274"/>
        <v>0</v>
      </c>
      <c r="ADP9" s="17">
        <f t="shared" si="1274"/>
        <v>0</v>
      </c>
      <c r="ADQ9" s="17">
        <f t="shared" si="1274"/>
        <v>0</v>
      </c>
      <c r="ADR9" s="17">
        <f t="shared" si="1274"/>
        <v>0</v>
      </c>
      <c r="ADS9" s="17">
        <f t="shared" si="1274"/>
        <v>0</v>
      </c>
      <c r="ADT9" s="17">
        <f t="shared" si="1274"/>
        <v>0</v>
      </c>
      <c r="ADU9" s="17">
        <f t="shared" si="1274"/>
        <v>0</v>
      </c>
      <c r="ADV9" s="17">
        <f t="shared" si="1274"/>
        <v>0</v>
      </c>
      <c r="ADW9" s="17">
        <f t="shared" si="1274"/>
        <v>0</v>
      </c>
      <c r="ADX9" s="17">
        <f t="shared" si="1274"/>
        <v>0</v>
      </c>
      <c r="ADY9" s="17">
        <f t="shared" si="1275"/>
        <v>0</v>
      </c>
      <c r="ADZ9" s="17">
        <f t="shared" si="1275"/>
        <v>0</v>
      </c>
      <c r="AEA9" s="17">
        <f t="shared" si="1275"/>
        <v>0</v>
      </c>
      <c r="AEB9" s="17">
        <f t="shared" si="1275"/>
        <v>0</v>
      </c>
      <c r="AEC9" s="17">
        <f t="shared" si="1275"/>
        <v>0</v>
      </c>
      <c r="AED9" s="17">
        <f t="shared" si="1275"/>
        <v>0</v>
      </c>
      <c r="AEE9" s="17">
        <f t="shared" si="1275"/>
        <v>0</v>
      </c>
      <c r="AEF9" s="17">
        <f t="shared" si="1275"/>
        <v>0</v>
      </c>
      <c r="AEG9" s="17">
        <f t="shared" si="1275"/>
        <v>0</v>
      </c>
      <c r="AEH9" s="17">
        <f t="shared" si="1275"/>
        <v>0</v>
      </c>
      <c r="AEI9" s="17">
        <f t="shared" si="1275"/>
        <v>0</v>
      </c>
      <c r="AEJ9" s="17">
        <f t="shared" si="1275"/>
        <v>0</v>
      </c>
      <c r="AEK9" s="17">
        <f t="shared" si="1275"/>
        <v>0</v>
      </c>
      <c r="AEL9" s="17">
        <f t="shared" si="1275"/>
        <v>0</v>
      </c>
      <c r="AEM9" s="17">
        <f t="shared" si="1275"/>
        <v>0</v>
      </c>
      <c r="AEN9" s="17">
        <f t="shared" si="1275"/>
        <v>0</v>
      </c>
      <c r="AEO9" s="17">
        <f t="shared" si="1276"/>
        <v>0</v>
      </c>
      <c r="AEP9" s="17">
        <f t="shared" si="1276"/>
        <v>0</v>
      </c>
      <c r="AEQ9" s="17">
        <f t="shared" si="1276"/>
        <v>0</v>
      </c>
      <c r="AER9" s="17">
        <f t="shared" si="1276"/>
        <v>0</v>
      </c>
      <c r="AES9" s="17">
        <f t="shared" si="1276"/>
        <v>0</v>
      </c>
      <c r="AET9" s="17">
        <f t="shared" si="1276"/>
        <v>0</v>
      </c>
      <c r="AEU9" s="17">
        <f t="shared" si="1276"/>
        <v>0</v>
      </c>
      <c r="AEV9" s="17">
        <f t="shared" si="1276"/>
        <v>0</v>
      </c>
      <c r="AEW9" s="17">
        <f t="shared" si="1276"/>
        <v>0</v>
      </c>
      <c r="AEX9" s="17">
        <f t="shared" si="1276"/>
        <v>0</v>
      </c>
      <c r="AEY9" s="17">
        <f t="shared" si="1276"/>
        <v>0</v>
      </c>
      <c r="AEZ9" s="17">
        <f t="shared" si="1276"/>
        <v>0</v>
      </c>
      <c r="AFA9" s="17">
        <f t="shared" si="1276"/>
        <v>0</v>
      </c>
      <c r="AFB9" s="17">
        <f t="shared" si="1276"/>
        <v>0</v>
      </c>
      <c r="AFC9" s="17">
        <f t="shared" si="1276"/>
        <v>0</v>
      </c>
      <c r="AFD9" s="17">
        <f t="shared" si="1276"/>
        <v>0</v>
      </c>
      <c r="AFE9" s="17">
        <f t="shared" si="1277"/>
        <v>0</v>
      </c>
      <c r="AFF9" s="17">
        <f t="shared" si="1277"/>
        <v>0</v>
      </c>
      <c r="AFG9" s="17">
        <f t="shared" si="1277"/>
        <v>0</v>
      </c>
      <c r="AFH9" s="17"/>
      <c r="AFI9" s="17"/>
      <c r="AFJ9" s="17">
        <f>(AJ9&gt;0)*'Long-Term Leases'!K$17*$L9*$K9</f>
        <v>4862.2106866508257</v>
      </c>
      <c r="AFK9" s="17">
        <f>(AK9&gt;0)*'Long-Term Leases'!L$17*$L9*$K9</f>
        <v>4862.2106866508257</v>
      </c>
      <c r="AFL9" s="17">
        <f>(AL9&gt;0)*'Long-Term Leases'!M$17*$L9*$K9</f>
        <v>4862.2106866508257</v>
      </c>
      <c r="AFM9" s="17">
        <f>(AM9&gt;0)*'Long-Term Leases'!N$17*$L9*$K9</f>
        <v>4862.2106866508257</v>
      </c>
      <c r="AFN9" s="17">
        <f>(AN9&gt;0)*'Long-Term Leases'!O$17*$L9*$K9</f>
        <v>4862.2106866508257</v>
      </c>
      <c r="AFO9" s="17">
        <f>(AO9&gt;0)*'Long-Term Leases'!P$17*$L9*$K9</f>
        <v>4862.2106866508257</v>
      </c>
      <c r="AFP9" s="17">
        <f>(AP9&gt;0)*'Long-Term Leases'!Q$17*$L9*$K9</f>
        <v>4862.2106866508257</v>
      </c>
      <c r="AFQ9" s="17">
        <f>(AQ9&gt;0)*'Long-Term Leases'!R$17*$L9*$K9</f>
        <v>4862.2106866508257</v>
      </c>
      <c r="AFR9" s="17">
        <f>(AR9&gt;0)*'Long-Term Leases'!S$17*$L9*$K9</f>
        <v>4862.2106866508257</v>
      </c>
      <c r="AFS9" s="17">
        <f>(AS9&gt;0)*'Long-Term Leases'!T$17*$L9*$K9</f>
        <v>4862.2106866508257</v>
      </c>
      <c r="AFT9" s="17">
        <f>(AT9&gt;0)*'Long-Term Leases'!U$17*$L9*$K9</f>
        <v>4862.2106866508257</v>
      </c>
      <c r="AFU9" s="17">
        <f>(AU9&gt;0)*'Long-Term Leases'!V$17*$L9*$K9</f>
        <v>4862.2106866508257</v>
      </c>
      <c r="AFV9" s="17">
        <f>(AV9&gt;0)*'Long-Term Leases'!W$17*$L9*$K9</f>
        <v>4959.454900383842</v>
      </c>
      <c r="AFW9" s="17">
        <f>(AW9&gt;0)*'Long-Term Leases'!X$17*$L9*$K9</f>
        <v>4959.454900383842</v>
      </c>
      <c r="AFX9" s="17">
        <f>(AX9&gt;0)*'Long-Term Leases'!Y$17*$L9*$K9</f>
        <v>4959.454900383842</v>
      </c>
      <c r="AFY9" s="17">
        <f>(AY9&gt;0)*'Long-Term Leases'!Z$17*$L9*$K9</f>
        <v>4959.454900383842</v>
      </c>
      <c r="AFZ9" s="17">
        <f>(AZ9&gt;0)*'Long-Term Leases'!AA$17*$L9*$K9</f>
        <v>4959.454900383842</v>
      </c>
      <c r="AGA9" s="17">
        <f>(BA9&gt;0)*'Long-Term Leases'!AB$17*$L9*$K9</f>
        <v>4959.454900383842</v>
      </c>
      <c r="AGB9" s="17">
        <f>(BB9&gt;0)*'Long-Term Leases'!AC$17*$L9*$K9</f>
        <v>4959.454900383842</v>
      </c>
      <c r="AGC9" s="17">
        <f>(BC9&gt;0)*'Long-Term Leases'!AD$17*$L9*$K9</f>
        <v>4959.454900383842</v>
      </c>
      <c r="AGD9" s="17">
        <f>(BD9&gt;0)*'Long-Term Leases'!AE$17*$L9*$K9</f>
        <v>4959.454900383842</v>
      </c>
      <c r="AGE9" s="17">
        <f>(BE9&gt;0)*'Long-Term Leases'!AF$17*$L9*$K9</f>
        <v>4959.454900383842</v>
      </c>
      <c r="AGF9" s="17">
        <f>(BF9&gt;0)*'Long-Term Leases'!AG$17*$L9*$K9</f>
        <v>4959.454900383842</v>
      </c>
      <c r="AGG9" s="17">
        <f>(BG9&gt;0)*'Long-Term Leases'!AH$17*$L9*$K9</f>
        <v>4959.454900383842</v>
      </c>
      <c r="AGH9" s="17">
        <f>(BH9&gt;0)*'Long-Term Leases'!AI$17*$L9*$K9</f>
        <v>5058.6439983915188</v>
      </c>
      <c r="AGI9" s="17">
        <f>(BI9&gt;0)*'Long-Term Leases'!AJ$17*$L9*$K9</f>
        <v>5058.6439983915188</v>
      </c>
      <c r="AGJ9" s="17">
        <f>(BJ9&gt;0)*'Long-Term Leases'!AK$17*$L9*$K9</f>
        <v>5058.6439983915188</v>
      </c>
      <c r="AGK9" s="17">
        <f>(BK9&gt;0)*'Long-Term Leases'!AL$17*$L9*$K9</f>
        <v>5058.6439983915188</v>
      </c>
      <c r="AGL9" s="17">
        <f>(BL9&gt;0)*'Long-Term Leases'!AM$17*$L9*$K9</f>
        <v>5058.6439983915188</v>
      </c>
      <c r="AGM9" s="17">
        <f>(BM9&gt;0)*'Long-Term Leases'!AN$17*$L9*$K9</f>
        <v>5058.6439983915188</v>
      </c>
      <c r="AGN9" s="17">
        <f>(BN9&gt;0)*'Long-Term Leases'!AO$17*$L9*$K9</f>
        <v>5058.6439983915188</v>
      </c>
      <c r="AGO9" s="17">
        <f>(BO9&gt;0)*'Long-Term Leases'!AP$17*$L9*$K9</f>
        <v>5058.6439983915188</v>
      </c>
      <c r="AGP9" s="17">
        <f>(BP9&gt;0)*'Long-Term Leases'!AQ$17*$L9*$K9</f>
        <v>5058.6439983915188</v>
      </c>
      <c r="AGQ9" s="17">
        <f>(BQ9&gt;0)*'Long-Term Leases'!AR$17*$L9*$K9</f>
        <v>5058.6439983915188</v>
      </c>
      <c r="AGR9" s="17">
        <f>(BR9&gt;0)*'Long-Term Leases'!AS$17*$L9*$K9</f>
        <v>5058.6439983915188</v>
      </c>
      <c r="AGS9" s="17">
        <f>(BS9&gt;0)*'Long-Term Leases'!AT$17*$L9*$K9</f>
        <v>5058.6439983915188</v>
      </c>
      <c r="AGT9" s="17">
        <f>(BT9&gt;0)*'Long-Term Leases'!AU$17*$L9*$K9</f>
        <v>5159.8168783593492</v>
      </c>
      <c r="AGU9" s="17">
        <f>(BU9&gt;0)*'Long-Term Leases'!AV$17*$L9*$K9</f>
        <v>5159.8168783593492</v>
      </c>
      <c r="AGV9" s="17">
        <f>(BV9&gt;0)*'Long-Term Leases'!AW$17*$L9*$K9</f>
        <v>5159.8168783593492</v>
      </c>
      <c r="AGW9" s="17">
        <f>(BW9&gt;0)*'Long-Term Leases'!AX$17*$L9*$K9</f>
        <v>5159.8168783593492</v>
      </c>
      <c r="AGX9" s="17">
        <f>(BX9&gt;0)*'Long-Term Leases'!AY$17*$L9*$K9</f>
        <v>5159.8168783593492</v>
      </c>
      <c r="AGY9" s="17">
        <f>(BY9&gt;0)*'Long-Term Leases'!AZ$17*$L9*$K9</f>
        <v>5159.8168783593492</v>
      </c>
      <c r="AGZ9" s="17">
        <f>(BZ9&gt;0)*'Long-Term Leases'!BA$17*$L9*$K9</f>
        <v>5159.8168783593492</v>
      </c>
      <c r="AHA9" s="17">
        <f>(CA9&gt;0)*'Long-Term Leases'!BB$17*$L9*$K9</f>
        <v>5159.8168783593492</v>
      </c>
      <c r="AHB9" s="17">
        <f>(CB9&gt;0)*'Long-Term Leases'!BC$17*$L9*$K9</f>
        <v>5159.8168783593492</v>
      </c>
      <c r="AHC9" s="17">
        <f>(CC9&gt;0)*'Long-Term Leases'!BD$17*$L9*$K9</f>
        <v>5159.8168783593492</v>
      </c>
      <c r="AHD9" s="17">
        <f>(CD9&gt;0)*'Long-Term Leases'!BE$17*$L9*$K9</f>
        <v>5159.8168783593492</v>
      </c>
      <c r="AHE9" s="17">
        <f>(CE9&gt;0)*'Long-Term Leases'!BF$17*$L9*$K9</f>
        <v>5159.8168783593492</v>
      </c>
      <c r="AHF9" s="17">
        <f>(CF9&gt;0)*'Long-Term Leases'!BG$17*$L9*$K9</f>
        <v>0</v>
      </c>
      <c r="AHG9" s="17">
        <f>(CG9&gt;0)*'Long-Term Leases'!BH$17*$L9*$K9</f>
        <v>0</v>
      </c>
      <c r="AHH9" s="17">
        <f>(CH9&gt;0)*'Long-Term Leases'!BI$17*$L9*$K9</f>
        <v>0</v>
      </c>
      <c r="AHI9" s="17">
        <f>(CI9&gt;0)*'Long-Term Leases'!BJ$17*$L9*$K9</f>
        <v>0</v>
      </c>
      <c r="AHJ9" s="17">
        <f>(CJ9&gt;0)*'Long-Term Leases'!BK$17*$L9*$K9</f>
        <v>0</v>
      </c>
      <c r="AHK9" s="17">
        <f>(CK9&gt;0)*'Long-Term Leases'!BL$17*$L9*$K9</f>
        <v>0</v>
      </c>
      <c r="AHL9" s="17">
        <f>(CL9&gt;0)*'Long-Term Leases'!BM$17*$L9*$K9</f>
        <v>0</v>
      </c>
      <c r="AHM9" s="17">
        <f>(CM9&gt;0)*'Long-Term Leases'!BN$17*$L9*$K9</f>
        <v>0</v>
      </c>
      <c r="AHN9" s="17">
        <f>(CN9&gt;0)*'Long-Term Leases'!BO$17*$L9*$K9</f>
        <v>0</v>
      </c>
      <c r="AHO9" s="17">
        <f>(CO9&gt;0)*'Long-Term Leases'!BP$17*$L9*$K9</f>
        <v>0</v>
      </c>
      <c r="AHP9" s="17">
        <f>(CP9&gt;0)*'Long-Term Leases'!BQ$17*$L9*$K9</f>
        <v>0</v>
      </c>
      <c r="AHQ9" s="17">
        <f>(CQ9&gt;0)*'Long-Term Leases'!BR$17*$L9*$K9</f>
        <v>0</v>
      </c>
      <c r="AHR9" s="17">
        <f>(CR9&gt;0)*'Long-Term Leases'!BS$17*$L9*$K9</f>
        <v>0</v>
      </c>
      <c r="AHS9" s="17">
        <f>(CS9&gt;0)*'Long-Term Leases'!BT$17*$L9*$K9</f>
        <v>0</v>
      </c>
      <c r="AHT9" s="17">
        <f>(CT9&gt;0)*'Long-Term Leases'!BU$17*$L9*$K9</f>
        <v>0</v>
      </c>
      <c r="AHU9" s="17">
        <f>(CU9&gt;0)*'Long-Term Leases'!BV$17*$L9*$K9</f>
        <v>0</v>
      </c>
      <c r="AHV9" s="17">
        <f>(CV9&gt;0)*'Long-Term Leases'!BW$17*$L9*$K9</f>
        <v>0</v>
      </c>
      <c r="AHW9" s="17">
        <f>(CW9&gt;0)*'Long-Term Leases'!BX$17*$L9*$K9</f>
        <v>0</v>
      </c>
      <c r="AHX9" s="17">
        <f>(CX9&gt;0)*'Long-Term Leases'!BY$17*$L9*$K9</f>
        <v>0</v>
      </c>
      <c r="AHY9" s="17">
        <f>(CY9&gt;0)*'Long-Term Leases'!BZ$17*$L9*$K9</f>
        <v>0</v>
      </c>
      <c r="AHZ9" s="17">
        <f>(CZ9&gt;0)*'Long-Term Leases'!CA$17*$L9*$K9</f>
        <v>0</v>
      </c>
      <c r="AIA9" s="17">
        <f>(DA9&gt;0)*'Long-Term Leases'!CB$17*$L9*$K9</f>
        <v>0</v>
      </c>
      <c r="AIB9" s="17">
        <f>(DB9&gt;0)*'Long-Term Leases'!CC$17*$L9*$K9</f>
        <v>0</v>
      </c>
      <c r="AIC9" s="17">
        <f>(DC9&gt;0)*'Long-Term Leases'!CD$17*$L9*$K9</f>
        <v>0</v>
      </c>
      <c r="AID9" s="17">
        <f>(DD9&gt;0)*'Long-Term Leases'!CE$17*$L9*$K9</f>
        <v>0</v>
      </c>
      <c r="AIE9" s="17">
        <f>(DE9&gt;0)*'Long-Term Leases'!CF$17*$L9*$K9</f>
        <v>0</v>
      </c>
      <c r="AIF9" s="17">
        <f>(DF9&gt;0)*'Long-Term Leases'!CG$17*$L9*$K9</f>
        <v>0</v>
      </c>
      <c r="AIG9" s="17">
        <f>(DG9&gt;0)*'Long-Term Leases'!CH$17*$L9*$K9</f>
        <v>0</v>
      </c>
      <c r="AIH9" s="17">
        <f>(DH9&gt;0)*'Long-Term Leases'!CI$17*$L9*$K9</f>
        <v>0</v>
      </c>
      <c r="AII9" s="17">
        <f>(DI9&gt;0)*'Long-Term Leases'!CJ$17*$L9*$K9</f>
        <v>0</v>
      </c>
      <c r="AIJ9" s="17">
        <f>(DJ9&gt;0)*'Long-Term Leases'!CK$17*$L9*$K9</f>
        <v>0</v>
      </c>
      <c r="AIK9" s="17">
        <f>(DK9&gt;0)*'Long-Term Leases'!CL$17*$L9*$K9</f>
        <v>0</v>
      </c>
      <c r="AIL9" s="17">
        <f>(DL9&gt;0)*'Long-Term Leases'!CM$17*$L9*$K9</f>
        <v>0</v>
      </c>
      <c r="AIM9" s="17">
        <f>(DM9&gt;0)*'Long-Term Leases'!CN$17*$L9*$K9</f>
        <v>0</v>
      </c>
      <c r="AIN9" s="17">
        <f>(DN9&gt;0)*'Long-Term Leases'!CO$17*$L9*$K9</f>
        <v>0</v>
      </c>
      <c r="AIO9" s="17">
        <f>(DO9&gt;0)*'Long-Term Leases'!CP$17*$L9*$K9</f>
        <v>0</v>
      </c>
      <c r="AIP9" s="17">
        <f>(DP9&gt;0)*'Long-Term Leases'!CQ$17*$L9*$K9</f>
        <v>0</v>
      </c>
      <c r="AIQ9" s="17">
        <f>(DQ9&gt;0)*'Long-Term Leases'!CR$17*$L9*$K9</f>
        <v>0</v>
      </c>
      <c r="AIR9" s="17">
        <f>(DR9&gt;0)*'Long-Term Leases'!CS$17*$L9*$K9</f>
        <v>0</v>
      </c>
      <c r="AIS9" s="17">
        <f>(DS9&gt;0)*'Long-Term Leases'!CT$17*$L9*$K9</f>
        <v>0</v>
      </c>
      <c r="AIT9" s="17">
        <f>(DT9&gt;0)*'Long-Term Leases'!CU$17*$L9*$K9</f>
        <v>0</v>
      </c>
      <c r="AIU9" s="17">
        <f>(DU9&gt;0)*'Long-Term Leases'!CV$17*$L9*$K9</f>
        <v>0</v>
      </c>
      <c r="AIV9" s="17">
        <f>(DV9&gt;0)*'Long-Term Leases'!CW$17*$L9*$K9</f>
        <v>0</v>
      </c>
      <c r="AIW9" s="17">
        <f>(DW9&gt;0)*'Long-Term Leases'!CX$17*$L9*$K9</f>
        <v>0</v>
      </c>
      <c r="AIX9" s="17">
        <f>(DX9&gt;0)*'Long-Term Leases'!CY$17*$L9*$K9</f>
        <v>0</v>
      </c>
      <c r="AIY9" s="17">
        <f>(DY9&gt;0)*'Long-Term Leases'!CZ$17*$L9*$K9</f>
        <v>0</v>
      </c>
      <c r="AIZ9" s="17">
        <f>(DZ9&gt;0)*'Long-Term Leases'!DA$17*$L9*$K9</f>
        <v>0</v>
      </c>
      <c r="AJA9" s="17">
        <f>(EA9&gt;0)*'Long-Term Leases'!DB$17*$L9*$K9</f>
        <v>0</v>
      </c>
      <c r="AJB9" s="17">
        <f>(EB9&gt;0)*'Long-Term Leases'!DC$17*$L9*$K9</f>
        <v>0</v>
      </c>
      <c r="AJC9" s="17">
        <f>(EC9&gt;0)*'Long-Term Leases'!DD$17*$L9*$K9</f>
        <v>0</v>
      </c>
      <c r="AJD9" s="17">
        <f>(ED9&gt;0)*'Long-Term Leases'!DE$17*$L9*$K9</f>
        <v>0</v>
      </c>
      <c r="AJE9" s="17">
        <f>(EE9&gt;0)*'Long-Term Leases'!DF$17*$L9*$K9</f>
        <v>0</v>
      </c>
      <c r="AJF9" s="17">
        <f>(EF9&gt;0)*'Long-Term Leases'!DG$17*$L9*$K9</f>
        <v>0</v>
      </c>
      <c r="AJG9" s="17">
        <f>(EG9&gt;0)*'Long-Term Leases'!DH$17*$L9*$K9</f>
        <v>0</v>
      </c>
      <c r="AJH9" s="17">
        <f>(EH9&gt;0)*'Long-Term Leases'!DI$17*$L9*$K9</f>
        <v>0</v>
      </c>
      <c r="AJI9" s="17">
        <f>(EI9&gt;0)*'Long-Term Leases'!DJ$17*$L9*$K9</f>
        <v>0</v>
      </c>
      <c r="AJJ9" s="17">
        <f>(EJ9&gt;0)*'Long-Term Leases'!DK$17*$L9*$K9</f>
        <v>0</v>
      </c>
      <c r="AJK9" s="17">
        <f>(EK9&gt;0)*'Long-Term Leases'!DL$17*$L9*$K9</f>
        <v>0</v>
      </c>
      <c r="AJL9" s="17">
        <f>(EL9&gt;0)*'Long-Term Leases'!DM$17*$L9*$K9</f>
        <v>0</v>
      </c>
      <c r="AJM9" s="17">
        <f>(EM9&gt;0)*'Long-Term Leases'!DN$17*$L9*$K9</f>
        <v>0</v>
      </c>
      <c r="AJN9" s="17">
        <f>(EN9&gt;0)*'Long-Term Leases'!DO$17*$L9*$K9</f>
        <v>0</v>
      </c>
      <c r="AJO9" s="17">
        <f>(EO9&gt;0)*'Long-Term Leases'!DP$17*$L9*$K9</f>
        <v>0</v>
      </c>
      <c r="AJP9" s="17">
        <f>(EP9&gt;0)*'Long-Term Leases'!DQ$17*$L9*$K9</f>
        <v>0</v>
      </c>
      <c r="AJQ9" s="17">
        <f>(EQ9&gt;0)*'Long-Term Leases'!DR$17*$L9*$K9</f>
        <v>0</v>
      </c>
      <c r="AJR9" s="17">
        <f>(ER9&gt;0)*'Long-Term Leases'!DS$17*$L9*$K9</f>
        <v>0</v>
      </c>
      <c r="AJS9" s="17">
        <f>(ES9&gt;0)*'Long-Term Leases'!DT$17*$L9*$K9</f>
        <v>0</v>
      </c>
      <c r="AJT9" s="17">
        <f>(ET9&gt;0)*'Long-Term Leases'!DU$17*$L9*$K9</f>
        <v>0</v>
      </c>
      <c r="AJU9" s="17">
        <f>(EU9&gt;0)*'Long-Term Leases'!DV$17*$L9*$K9</f>
        <v>0</v>
      </c>
      <c r="AJV9" s="17">
        <f>(EV9&gt;0)*'Long-Term Leases'!DW$17*$L9*$K9</f>
        <v>0</v>
      </c>
      <c r="AJW9" s="17">
        <f>(EW9&gt;0)*'Long-Term Leases'!DX$17*$L9*$K9</f>
        <v>0</v>
      </c>
      <c r="AJX9" s="17">
        <f>(EX9&gt;0)*'Long-Term Leases'!DY$17*$L9*$K9</f>
        <v>0</v>
      </c>
      <c r="AJY9" s="17">
        <f>(EY9&gt;0)*'Long-Term Leases'!DZ$17*$L9*$K9</f>
        <v>0</v>
      </c>
      <c r="AJZ9" s="17">
        <f>(EZ9&gt;0)*'Long-Term Leases'!EA$17*$L9*$K9</f>
        <v>0</v>
      </c>
      <c r="AKA9" s="17">
        <f>(FA9&gt;0)*'Long-Term Leases'!EB$17*$L9*$K9</f>
        <v>0</v>
      </c>
      <c r="AKB9" s="17">
        <f>(FB9&gt;0)*'Long-Term Leases'!EC$17*$L9*$K9</f>
        <v>0</v>
      </c>
      <c r="AKC9" s="17">
        <f>(FC9&gt;0)*'Long-Term Leases'!ED$17*$L9*$K9</f>
        <v>0</v>
      </c>
      <c r="AKD9" s="17">
        <f>(FD9&gt;0)*'Long-Term Leases'!EE$17*$L9*$K9</f>
        <v>0</v>
      </c>
      <c r="AKE9" s="17">
        <f>(FE9&gt;0)*'Long-Term Leases'!EF$17*$L9*$K9</f>
        <v>0</v>
      </c>
      <c r="AKF9" s="17">
        <f>(FF9&gt;0)*'Long-Term Leases'!EG$17*$L9*$K9</f>
        <v>0</v>
      </c>
      <c r="AKG9" s="17">
        <f>(FG9&gt;0)*'Long-Term Leases'!EH$17*$L9*$K9</f>
        <v>0</v>
      </c>
      <c r="AKH9" s="17">
        <f>(FH9&gt;0)*'Long-Term Leases'!EI$17*$L9*$K9</f>
        <v>0</v>
      </c>
      <c r="AKI9" s="17">
        <f>(FI9&gt;0)*'Long-Term Leases'!EJ$17*$L9*$K9</f>
        <v>0</v>
      </c>
      <c r="AKJ9" s="17">
        <f>(FJ9&gt;0)*'Long-Term Leases'!EK$17*$L9*$K9</f>
        <v>0</v>
      </c>
      <c r="AKK9" s="17">
        <f>(FK9&gt;0)*'Long-Term Leases'!EL$17*$L9*$K9</f>
        <v>0</v>
      </c>
      <c r="AKL9" s="17"/>
      <c r="AKM9" s="17"/>
      <c r="AKN9" s="17">
        <f>(FN9&gt;0)*'Long-Term Leases'!K$17*$X9*$W9</f>
        <v>0</v>
      </c>
      <c r="AKO9" s="17">
        <f>(FO9&gt;0)*'Long-Term Leases'!L$17*$X9*$W9</f>
        <v>0</v>
      </c>
      <c r="AKP9" s="17">
        <f>(FP9&gt;0)*'Long-Term Leases'!M$17*$X9*$W9</f>
        <v>0</v>
      </c>
      <c r="AKQ9" s="17">
        <f>(FQ9&gt;0)*'Long-Term Leases'!N$17*$X9*$W9</f>
        <v>0</v>
      </c>
      <c r="AKR9" s="17">
        <f>(FR9&gt;0)*'Long-Term Leases'!O$17*$X9*$W9</f>
        <v>0</v>
      </c>
      <c r="AKS9" s="17">
        <f>(FS9&gt;0)*'Long-Term Leases'!P$17*$X9*$W9</f>
        <v>0</v>
      </c>
      <c r="AKT9" s="17">
        <f>(FT9&gt;0)*'Long-Term Leases'!Q$17*$X9*$W9</f>
        <v>0</v>
      </c>
      <c r="AKU9" s="17">
        <f>(FU9&gt;0)*'Long-Term Leases'!R$17*$X9*$W9</f>
        <v>0</v>
      </c>
      <c r="AKV9" s="17">
        <f>(FV9&gt;0)*'Long-Term Leases'!S$17*$X9*$W9</f>
        <v>0</v>
      </c>
      <c r="AKW9" s="17">
        <f>(FW9&gt;0)*'Long-Term Leases'!T$17*$X9*$W9</f>
        <v>0</v>
      </c>
      <c r="AKX9" s="17">
        <f>(FX9&gt;0)*'Long-Term Leases'!U$17*$X9*$W9</f>
        <v>0</v>
      </c>
      <c r="AKY9" s="17">
        <f>(FY9&gt;0)*'Long-Term Leases'!V$17*$X9*$W9</f>
        <v>0</v>
      </c>
      <c r="AKZ9" s="17">
        <f>(FZ9&gt;0)*'Long-Term Leases'!W$17*$X9*$W9</f>
        <v>0</v>
      </c>
      <c r="ALA9" s="17">
        <f>(GA9&gt;0)*'Long-Term Leases'!X$17*$X9*$W9</f>
        <v>0</v>
      </c>
      <c r="ALB9" s="17">
        <f>(GB9&gt;0)*'Long-Term Leases'!Y$17*$X9*$W9</f>
        <v>0</v>
      </c>
      <c r="ALC9" s="17">
        <f>(GC9&gt;0)*'Long-Term Leases'!Z$17*$X9*$W9</f>
        <v>0</v>
      </c>
      <c r="ALD9" s="17">
        <f>(GD9&gt;0)*'Long-Term Leases'!AA$17*$X9*$W9</f>
        <v>0</v>
      </c>
      <c r="ALE9" s="17">
        <f>(GE9&gt;0)*'Long-Term Leases'!AB$17*$X9*$W9</f>
        <v>0</v>
      </c>
      <c r="ALF9" s="17">
        <f>(GF9&gt;0)*'Long-Term Leases'!AC$17*$X9*$W9</f>
        <v>0</v>
      </c>
      <c r="ALG9" s="17">
        <f>(GG9&gt;0)*'Long-Term Leases'!AD$17*$X9*$W9</f>
        <v>0</v>
      </c>
      <c r="ALH9" s="17">
        <f>(GH9&gt;0)*'Long-Term Leases'!AE$17*$X9*$W9</f>
        <v>0</v>
      </c>
      <c r="ALI9" s="17">
        <f>(GI9&gt;0)*'Long-Term Leases'!AF$17*$X9*$W9</f>
        <v>0</v>
      </c>
      <c r="ALJ9" s="17">
        <f>(GJ9&gt;0)*'Long-Term Leases'!AG$17*$X9*$W9</f>
        <v>0</v>
      </c>
      <c r="ALK9" s="17">
        <f>(GK9&gt;0)*'Long-Term Leases'!AH$17*$X9*$W9</f>
        <v>0</v>
      </c>
      <c r="ALL9" s="17">
        <f>(GL9&gt;0)*'Long-Term Leases'!AI$17*$X9*$W9</f>
        <v>0</v>
      </c>
      <c r="ALM9" s="17">
        <f>(GM9&gt;0)*'Long-Term Leases'!AJ$17*$X9*$W9</f>
        <v>0</v>
      </c>
      <c r="ALN9" s="17">
        <f>(GN9&gt;0)*'Long-Term Leases'!AK$17*$X9*$W9</f>
        <v>0</v>
      </c>
      <c r="ALO9" s="17">
        <f>(GO9&gt;0)*'Long-Term Leases'!AL$17*$X9*$W9</f>
        <v>0</v>
      </c>
      <c r="ALP9" s="17">
        <f>(GP9&gt;0)*'Long-Term Leases'!AM$17*$X9*$W9</f>
        <v>0</v>
      </c>
      <c r="ALQ9" s="17">
        <f>(GQ9&gt;0)*'Long-Term Leases'!AN$17*$X9*$W9</f>
        <v>0</v>
      </c>
      <c r="ALR9" s="17">
        <f>(GR9&gt;0)*'Long-Term Leases'!AO$17*$X9*$W9</f>
        <v>0</v>
      </c>
      <c r="ALS9" s="17">
        <f>(GS9&gt;0)*'Long-Term Leases'!AP$17*$X9*$W9</f>
        <v>0</v>
      </c>
      <c r="ALT9" s="17">
        <f>(GT9&gt;0)*'Long-Term Leases'!AQ$17*$X9*$W9</f>
        <v>0</v>
      </c>
      <c r="ALU9" s="17">
        <f>(GU9&gt;0)*'Long-Term Leases'!AR$17*$X9*$W9</f>
        <v>0</v>
      </c>
      <c r="ALV9" s="17">
        <f>(GV9&gt;0)*'Long-Term Leases'!AS$17*$X9*$W9</f>
        <v>0</v>
      </c>
      <c r="ALW9" s="17">
        <f>(GW9&gt;0)*'Long-Term Leases'!AT$17*$X9*$W9</f>
        <v>0</v>
      </c>
      <c r="ALX9" s="17">
        <f>(GX9&gt;0)*'Long-Term Leases'!AU$17*$X9*$W9</f>
        <v>0</v>
      </c>
      <c r="ALY9" s="17">
        <f>(GY9&gt;0)*'Long-Term Leases'!AV$17*$X9*$W9</f>
        <v>0</v>
      </c>
      <c r="ALZ9" s="17">
        <f>(GZ9&gt;0)*'Long-Term Leases'!AW$17*$X9*$W9</f>
        <v>0</v>
      </c>
      <c r="AMA9" s="17">
        <f>(HA9&gt;0)*'Long-Term Leases'!AX$17*$X9*$W9</f>
        <v>0</v>
      </c>
      <c r="AMB9" s="17">
        <f>(HB9&gt;0)*'Long-Term Leases'!AY$17*$X9*$W9</f>
        <v>0</v>
      </c>
      <c r="AMC9" s="17">
        <f>(HC9&gt;0)*'Long-Term Leases'!AZ$17*$X9*$W9</f>
        <v>0</v>
      </c>
      <c r="AMD9" s="17">
        <f>(HD9&gt;0)*'Long-Term Leases'!BA$17*$X9*$W9</f>
        <v>0</v>
      </c>
      <c r="AME9" s="17">
        <f>(HE9&gt;0)*'Long-Term Leases'!BB$17*$X9*$W9</f>
        <v>0</v>
      </c>
      <c r="AMF9" s="17">
        <f>(HF9&gt;0)*'Long-Term Leases'!BC$17*$X9*$W9</f>
        <v>0</v>
      </c>
      <c r="AMG9" s="17">
        <f>(HG9&gt;0)*'Long-Term Leases'!BD$17*$X9*$W9</f>
        <v>0</v>
      </c>
      <c r="AMH9" s="17">
        <f>(HH9&gt;0)*'Long-Term Leases'!BE$17*$X9*$W9</f>
        <v>0</v>
      </c>
      <c r="AMI9" s="17">
        <f>(HI9&gt;0)*'Long-Term Leases'!BF$17*$X9*$W9</f>
        <v>0</v>
      </c>
      <c r="AMJ9" s="17">
        <f>(HJ9&gt;0)*'Long-Term Leases'!BG$17*$X9*$W9</f>
        <v>0</v>
      </c>
      <c r="AMK9" s="17">
        <f>(HK9&gt;0)*'Long-Term Leases'!BH$17*$X9*$W9</f>
        <v>0</v>
      </c>
      <c r="AML9" s="17">
        <f>(HL9&gt;0)*'Long-Term Leases'!BI$17*$X9*$W9</f>
        <v>0</v>
      </c>
      <c r="AMM9" s="17">
        <f>(HM9&gt;0)*'Long-Term Leases'!BJ$17*$X9*$W9</f>
        <v>5263.0132159265368</v>
      </c>
      <c r="AMN9" s="17">
        <f>(HN9&gt;0)*'Long-Term Leases'!BK$17*$X9*$W9</f>
        <v>5263.0132159265368</v>
      </c>
      <c r="AMO9" s="17">
        <f>(HO9&gt;0)*'Long-Term Leases'!BL$17*$X9*$W9</f>
        <v>5263.0132159265368</v>
      </c>
      <c r="AMP9" s="17">
        <f>(HP9&gt;0)*'Long-Term Leases'!BM$17*$X9*$W9</f>
        <v>5263.0132159265368</v>
      </c>
      <c r="AMQ9" s="17">
        <f>(HQ9&gt;0)*'Long-Term Leases'!BN$17*$X9*$W9</f>
        <v>5263.0132159265368</v>
      </c>
      <c r="AMR9" s="17">
        <f>(HR9&gt;0)*'Long-Term Leases'!BO$17*$X9*$W9</f>
        <v>5263.0132159265368</v>
      </c>
      <c r="AMS9" s="17">
        <f>(HS9&gt;0)*'Long-Term Leases'!BP$17*$X9*$W9</f>
        <v>5263.0132159265368</v>
      </c>
      <c r="AMT9" s="17">
        <f>(HT9&gt;0)*'Long-Term Leases'!BQ$17*$X9*$W9</f>
        <v>5263.0132159265368</v>
      </c>
      <c r="AMU9" s="17">
        <f>(HU9&gt;0)*'Long-Term Leases'!BR$17*$X9*$W9</f>
        <v>5263.0132159265368</v>
      </c>
      <c r="AMV9" s="17">
        <f>(HV9&gt;0)*'Long-Term Leases'!BS$17*$X9*$W9</f>
        <v>5368.2734802450668</v>
      </c>
      <c r="AMW9" s="17">
        <f>(HW9&gt;0)*'Long-Term Leases'!BT$17*$X9*$W9</f>
        <v>5368.2734802450668</v>
      </c>
      <c r="AMX9" s="17">
        <f>(HX9&gt;0)*'Long-Term Leases'!BU$17*$X9*$W9</f>
        <v>5368.2734802450668</v>
      </c>
      <c r="AMY9" s="17">
        <f>(HY9&gt;0)*'Long-Term Leases'!BV$17*$X9*$W9</f>
        <v>5368.2734802450668</v>
      </c>
      <c r="AMZ9" s="17">
        <f>(HZ9&gt;0)*'Long-Term Leases'!BW$17*$X9*$W9</f>
        <v>5368.2734802450668</v>
      </c>
      <c r="ANA9" s="17">
        <f>(IA9&gt;0)*'Long-Term Leases'!BX$17*$X9*$W9</f>
        <v>5368.2734802450668</v>
      </c>
      <c r="ANB9" s="17">
        <f>(IB9&gt;0)*'Long-Term Leases'!BY$17*$X9*$W9</f>
        <v>5368.2734802450668</v>
      </c>
      <c r="ANC9" s="17">
        <f>(IC9&gt;0)*'Long-Term Leases'!BZ$17*$X9*$W9</f>
        <v>5368.2734802450668</v>
      </c>
      <c r="AND9" s="17">
        <f>(ID9&gt;0)*'Long-Term Leases'!CA$17*$X9*$W9</f>
        <v>5368.2734802450668</v>
      </c>
      <c r="ANE9" s="17">
        <f>(IE9&gt;0)*'Long-Term Leases'!CB$17*$X9*$W9</f>
        <v>5368.2734802450668</v>
      </c>
      <c r="ANF9" s="17">
        <f>(IF9&gt;0)*'Long-Term Leases'!CC$17*$X9*$W9</f>
        <v>5368.2734802450668</v>
      </c>
      <c r="ANG9" s="17">
        <f>(IG9&gt;0)*'Long-Term Leases'!CD$17*$X9*$W9</f>
        <v>5368.2734802450668</v>
      </c>
      <c r="ANH9" s="17">
        <f>(IH9&gt;0)*'Long-Term Leases'!CE$17*$X9*$W9</f>
        <v>5475.6389498499684</v>
      </c>
      <c r="ANI9" s="17">
        <f>(II9&gt;0)*'Long-Term Leases'!CF$17*$X9*$W9</f>
        <v>5475.6389498499684</v>
      </c>
      <c r="ANJ9" s="17">
        <f>(IJ9&gt;0)*'Long-Term Leases'!CG$17*$X9*$W9</f>
        <v>5475.6389498499684</v>
      </c>
      <c r="ANK9" s="17">
        <f>(IK9&gt;0)*'Long-Term Leases'!CH$17*$X9*$W9</f>
        <v>5475.6389498499684</v>
      </c>
      <c r="ANL9" s="17">
        <f>(IL9&gt;0)*'Long-Term Leases'!CI$17*$X9*$W9</f>
        <v>5475.6389498499684</v>
      </c>
      <c r="ANM9" s="17">
        <f>(IM9&gt;0)*'Long-Term Leases'!CJ$17*$X9*$W9</f>
        <v>5475.6389498499684</v>
      </c>
      <c r="ANN9" s="17">
        <f>(IN9&gt;0)*'Long-Term Leases'!CK$17*$X9*$W9</f>
        <v>5475.6389498499684</v>
      </c>
      <c r="ANO9" s="17">
        <f>(IO9&gt;0)*'Long-Term Leases'!CL$17*$X9*$W9</f>
        <v>5475.6389498499684</v>
      </c>
      <c r="ANP9" s="17">
        <f>(IP9&gt;0)*'Long-Term Leases'!CM$17*$X9*$W9</f>
        <v>5475.6389498499684</v>
      </c>
      <c r="ANQ9" s="17">
        <f>(IQ9&gt;0)*'Long-Term Leases'!CN$17*$X9*$W9</f>
        <v>5475.6389498499684</v>
      </c>
      <c r="ANR9" s="17">
        <f>(IR9&gt;0)*'Long-Term Leases'!CO$17*$X9*$W9</f>
        <v>5475.6389498499684</v>
      </c>
      <c r="ANS9" s="17">
        <f>(IS9&gt;0)*'Long-Term Leases'!CP$17*$X9*$W9</f>
        <v>5475.6389498499684</v>
      </c>
      <c r="ANT9" s="17">
        <f>(IT9&gt;0)*'Long-Term Leases'!CQ$17*$X9*$W9</f>
        <v>5585.1517288469677</v>
      </c>
      <c r="ANU9" s="17">
        <f>(IU9&gt;0)*'Long-Term Leases'!CR$17*$X9*$W9</f>
        <v>5585.1517288469677</v>
      </c>
      <c r="ANV9" s="17">
        <f>(IV9&gt;0)*'Long-Term Leases'!CS$17*$X9*$W9</f>
        <v>5585.1517288469677</v>
      </c>
      <c r="ANW9" s="17">
        <f>(IW9&gt;0)*'Long-Term Leases'!CT$17*$X9*$W9</f>
        <v>5585.1517288469677</v>
      </c>
      <c r="ANX9" s="17">
        <f>(IX9&gt;0)*'Long-Term Leases'!CU$17*$X9*$W9</f>
        <v>5585.1517288469677</v>
      </c>
      <c r="ANY9" s="17">
        <f>(IY9&gt;0)*'Long-Term Leases'!CV$17*$X9*$W9</f>
        <v>5585.1517288469677</v>
      </c>
      <c r="ANZ9" s="17">
        <f>(IZ9&gt;0)*'Long-Term Leases'!CW$17*$X9*$W9</f>
        <v>5585.1517288469677</v>
      </c>
      <c r="AOA9" s="17">
        <f>(JA9&gt;0)*'Long-Term Leases'!CX$17*$X9*$W9</f>
        <v>5585.1517288469677</v>
      </c>
      <c r="AOB9" s="17">
        <f>(JB9&gt;0)*'Long-Term Leases'!CY$17*$X9*$W9</f>
        <v>5585.1517288469677</v>
      </c>
      <c r="AOC9" s="17">
        <f>(JC9&gt;0)*'Long-Term Leases'!CZ$17*$X9*$W9</f>
        <v>5585.1517288469677</v>
      </c>
      <c r="AOD9" s="17">
        <f>(JD9&gt;0)*'Long-Term Leases'!DA$17*$X9*$W9</f>
        <v>5585.1517288469677</v>
      </c>
      <c r="AOE9" s="17">
        <f>(JE9&gt;0)*'Long-Term Leases'!DB$17*$X9*$W9</f>
        <v>5585.1517288469677</v>
      </c>
      <c r="AOF9" s="17">
        <f>(JF9&gt;0)*'Long-Term Leases'!DC$17*$X9*$W9</f>
        <v>5696.8547634239076</v>
      </c>
      <c r="AOG9" s="17">
        <f>(JG9&gt;0)*'Long-Term Leases'!DD$17*$X9*$W9</f>
        <v>5696.8547634239076</v>
      </c>
      <c r="AOH9" s="17">
        <f>(JH9&gt;0)*'Long-Term Leases'!DE$17*$X9*$W9</f>
        <v>5696.8547634239076</v>
      </c>
      <c r="AOI9" s="17">
        <f>(JI9&gt;0)*'Long-Term Leases'!DF$17*$X9*$W9</f>
        <v>5696.8547634239076</v>
      </c>
      <c r="AOJ9" s="17">
        <f>(JJ9&gt;0)*'Long-Term Leases'!DG$17*$X9*$W9</f>
        <v>5696.8547634239076</v>
      </c>
      <c r="AOK9" s="17">
        <f>(JK9&gt;0)*'Long-Term Leases'!DH$17*$X9*$W9</f>
        <v>5696.8547634239076</v>
      </c>
      <c r="AOL9" s="17">
        <f>(JL9&gt;0)*'Long-Term Leases'!DI$17*$X9*$W9</f>
        <v>5696.8547634239076</v>
      </c>
      <c r="AOM9" s="17">
        <f>(JM9&gt;0)*'Long-Term Leases'!DJ$17*$X9*$W9</f>
        <v>5696.8547634239076</v>
      </c>
      <c r="AON9" s="17">
        <f>(JN9&gt;0)*'Long-Term Leases'!DK$17*$X9*$W9</f>
        <v>5696.8547634239076</v>
      </c>
      <c r="AOO9" s="17">
        <f>(JO9&gt;0)*'Long-Term Leases'!DL$17*$X9*$W9</f>
        <v>5696.8547634239076</v>
      </c>
      <c r="AOP9" s="17">
        <f>(JP9&gt;0)*'Long-Term Leases'!DM$17*$X9*$W9</f>
        <v>5696.8547634239076</v>
      </c>
      <c r="AOQ9" s="17">
        <f>(JQ9&gt;0)*'Long-Term Leases'!DN$17*$X9*$W9</f>
        <v>5696.8547634239076</v>
      </c>
      <c r="AOR9" s="17">
        <f>(JR9&gt;0)*'Long-Term Leases'!DO$17*$X9*$W9</f>
        <v>5810.7918586923861</v>
      </c>
      <c r="AOS9" s="17">
        <f>(JS9&gt;0)*'Long-Term Leases'!DP$17*$X9*$W9</f>
        <v>5810.7918586923861</v>
      </c>
      <c r="AOT9" s="17">
        <f>(JT9&gt;0)*'Long-Term Leases'!DQ$17*$X9*$W9</f>
        <v>5810.7918586923861</v>
      </c>
      <c r="AOU9" s="17">
        <f>(JU9&gt;0)*'Long-Term Leases'!DR$17*$X9*$W9</f>
        <v>5810.7918586923861</v>
      </c>
      <c r="AOV9" s="17">
        <f>(JV9&gt;0)*'Long-Term Leases'!DS$17*$X9*$W9</f>
        <v>5810.7918586923861</v>
      </c>
      <c r="AOW9" s="17">
        <f>(JW9&gt;0)*'Long-Term Leases'!DT$17*$X9*$W9</f>
        <v>5810.7918586923861</v>
      </c>
      <c r="AOX9" s="17">
        <f>(JX9&gt;0)*'Long-Term Leases'!DU$17*$X9*$W9</f>
        <v>5810.7918586923861</v>
      </c>
      <c r="AOY9" s="17">
        <f>(JY9&gt;0)*'Long-Term Leases'!DV$17*$X9*$W9</f>
        <v>5810.7918586923861</v>
      </c>
      <c r="AOZ9" s="17">
        <f>(JZ9&gt;0)*'Long-Term Leases'!DW$17*$X9*$W9</f>
        <v>5810.7918586923861</v>
      </c>
      <c r="APA9" s="17">
        <f>(KA9&gt;0)*'Long-Term Leases'!DX$17*$X9*$W9</f>
        <v>5810.7918586923861</v>
      </c>
      <c r="APB9" s="17">
        <f>(KB9&gt;0)*'Long-Term Leases'!DY$17*$X9*$W9</f>
        <v>5810.7918586923861</v>
      </c>
      <c r="APC9" s="17">
        <f>(KC9&gt;0)*'Long-Term Leases'!DZ$17*$X9*$W9</f>
        <v>5810.7918586923861</v>
      </c>
      <c r="APD9" s="17">
        <f>(KD9&gt;0)*'Long-Term Leases'!EA$17*$X9*$W9</f>
        <v>5927.007695866233</v>
      </c>
      <c r="APE9" s="17">
        <f>(KE9&gt;0)*'Long-Term Leases'!EB$17*$X9*$W9</f>
        <v>5927.007695866233</v>
      </c>
      <c r="APF9" s="17">
        <f>(KF9&gt;0)*'Long-Term Leases'!EC$17*$X9*$W9</f>
        <v>5927.007695866233</v>
      </c>
      <c r="APG9" s="17">
        <f>(KG9&gt;0)*'Long-Term Leases'!ED$17*$X9*$W9</f>
        <v>5927.007695866233</v>
      </c>
      <c r="APH9" s="17">
        <f>(KH9&gt;0)*'Long-Term Leases'!EE$17*$X9*$W9</f>
        <v>5927.007695866233</v>
      </c>
      <c r="API9" s="17">
        <f>(KI9&gt;0)*'Long-Term Leases'!EF$17*$X9*$W9</f>
        <v>5927.007695866233</v>
      </c>
      <c r="APJ9" s="17">
        <f>(KJ9&gt;0)*'Long-Term Leases'!EG$17*$X9*$W9</f>
        <v>5927.007695866233</v>
      </c>
      <c r="APK9" s="17">
        <f>(KK9&gt;0)*'Long-Term Leases'!EH$17*$X9*$W9</f>
        <v>5927.007695866233</v>
      </c>
      <c r="APL9" s="17">
        <f>(KL9&gt;0)*'Long-Term Leases'!EI$17*$X9*$W9</f>
        <v>5927.007695866233</v>
      </c>
      <c r="APM9" s="17">
        <f>(KM9&gt;0)*'Long-Term Leases'!EJ$17*$X9*$W9</f>
        <v>5927.007695866233</v>
      </c>
      <c r="APN9" s="17">
        <f>(KN9&gt;0)*'Long-Term Leases'!EK$17*$X9*$W9</f>
        <v>5927.007695866233</v>
      </c>
      <c r="APO9" s="17">
        <f>(KO9&gt;0)*'Long-Term Leases'!EL$17*$X9*$W9</f>
        <v>5927.007695866233</v>
      </c>
      <c r="APP9" s="17"/>
      <c r="APQ9" s="17"/>
      <c r="APR9" s="17">
        <f t="shared" si="1307"/>
        <v>0</v>
      </c>
      <c r="APS9" s="17">
        <f t="shared" si="1278"/>
        <v>0</v>
      </c>
      <c r="APT9" s="17">
        <f t="shared" si="1278"/>
        <v>0</v>
      </c>
      <c r="APU9" s="17">
        <f t="shared" si="1278"/>
        <v>0</v>
      </c>
      <c r="APV9" s="17">
        <f t="shared" si="1278"/>
        <v>0</v>
      </c>
      <c r="APW9" s="17">
        <f t="shared" si="1278"/>
        <v>0</v>
      </c>
      <c r="APX9" s="17">
        <f t="shared" si="1278"/>
        <v>0</v>
      </c>
      <c r="APY9" s="17">
        <f t="shared" si="1278"/>
        <v>0</v>
      </c>
      <c r="APZ9" s="17">
        <f t="shared" si="1278"/>
        <v>0</v>
      </c>
      <c r="AQA9" s="17">
        <f t="shared" si="1278"/>
        <v>0</v>
      </c>
      <c r="AQB9" s="17">
        <f t="shared" si="1278"/>
        <v>0</v>
      </c>
      <c r="AQC9" s="17">
        <f t="shared" si="1278"/>
        <v>0</v>
      </c>
      <c r="AQD9" s="17">
        <f t="shared" si="1278"/>
        <v>0</v>
      </c>
      <c r="AQE9" s="17">
        <f t="shared" si="1278"/>
        <v>0</v>
      </c>
      <c r="AQF9" s="17">
        <f t="shared" si="1278"/>
        <v>0</v>
      </c>
      <c r="AQG9" s="17">
        <f t="shared" si="1278"/>
        <v>0</v>
      </c>
      <c r="AQH9" s="17">
        <f t="shared" si="1278"/>
        <v>0</v>
      </c>
      <c r="AQI9" s="17">
        <f t="shared" si="1279"/>
        <v>0</v>
      </c>
      <c r="AQJ9" s="17">
        <f t="shared" si="1279"/>
        <v>0</v>
      </c>
      <c r="AQK9" s="17">
        <f t="shared" si="1279"/>
        <v>0</v>
      </c>
      <c r="AQL9" s="17">
        <f t="shared" si="1279"/>
        <v>0</v>
      </c>
      <c r="AQM9" s="17">
        <f t="shared" si="1279"/>
        <v>0</v>
      </c>
      <c r="AQN9" s="17">
        <f t="shared" si="1279"/>
        <v>0</v>
      </c>
      <c r="AQO9" s="17">
        <f t="shared" si="1279"/>
        <v>0</v>
      </c>
      <c r="AQP9" s="17">
        <f t="shared" si="1279"/>
        <v>0</v>
      </c>
      <c r="AQQ9" s="17">
        <f t="shared" si="1279"/>
        <v>0</v>
      </c>
      <c r="AQR9" s="17">
        <f t="shared" si="1279"/>
        <v>0</v>
      </c>
      <c r="AQS9" s="17">
        <f t="shared" si="1279"/>
        <v>0</v>
      </c>
      <c r="AQT9" s="17">
        <f t="shared" si="1279"/>
        <v>0</v>
      </c>
      <c r="AQU9" s="17">
        <f t="shared" si="1279"/>
        <v>0</v>
      </c>
      <c r="AQV9" s="17">
        <f t="shared" si="1279"/>
        <v>0</v>
      </c>
      <c r="AQW9" s="17">
        <f t="shared" si="1279"/>
        <v>0</v>
      </c>
      <c r="AQX9" s="17">
        <f t="shared" si="1279"/>
        <v>0</v>
      </c>
      <c r="AQY9" s="17">
        <f t="shared" si="1280"/>
        <v>0</v>
      </c>
      <c r="AQZ9" s="17">
        <f t="shared" si="1280"/>
        <v>0</v>
      </c>
      <c r="ARA9" s="17">
        <f t="shared" si="1280"/>
        <v>0</v>
      </c>
      <c r="ARB9" s="17">
        <f t="shared" si="1280"/>
        <v>0</v>
      </c>
      <c r="ARC9" s="17">
        <f t="shared" si="1280"/>
        <v>0</v>
      </c>
      <c r="ARD9" s="17">
        <f t="shared" si="1280"/>
        <v>0</v>
      </c>
      <c r="ARE9" s="17">
        <f t="shared" si="1280"/>
        <v>0</v>
      </c>
      <c r="ARF9" s="17">
        <f t="shared" si="1280"/>
        <v>0</v>
      </c>
      <c r="ARG9" s="17">
        <f t="shared" si="1280"/>
        <v>0</v>
      </c>
      <c r="ARH9" s="17">
        <f t="shared" si="1280"/>
        <v>0</v>
      </c>
      <c r="ARI9" s="17">
        <f t="shared" si="1280"/>
        <v>0</v>
      </c>
      <c r="ARJ9" s="17">
        <f t="shared" si="1280"/>
        <v>0</v>
      </c>
      <c r="ARK9" s="17">
        <f t="shared" si="1280"/>
        <v>0</v>
      </c>
      <c r="ARL9" s="17">
        <f t="shared" si="1280"/>
        <v>0</v>
      </c>
      <c r="ARM9" s="17">
        <f t="shared" si="1280"/>
        <v>0</v>
      </c>
      <c r="ARN9" s="17">
        <f t="shared" si="1280"/>
        <v>0</v>
      </c>
      <c r="ARO9" s="17">
        <f t="shared" si="1281"/>
        <v>0</v>
      </c>
      <c r="ARP9" s="17">
        <f t="shared" si="1281"/>
        <v>0</v>
      </c>
      <c r="ARQ9" s="17">
        <f t="shared" si="1281"/>
        <v>193963.07710208002</v>
      </c>
      <c r="ARR9" s="17">
        <f t="shared" si="1281"/>
        <v>0</v>
      </c>
      <c r="ARS9" s="17">
        <f t="shared" si="1281"/>
        <v>0</v>
      </c>
      <c r="ART9" s="17">
        <f t="shared" si="1281"/>
        <v>0</v>
      </c>
      <c r="ARU9" s="17">
        <f t="shared" si="1281"/>
        <v>0</v>
      </c>
      <c r="ARV9" s="17">
        <f t="shared" si="1281"/>
        <v>0</v>
      </c>
      <c r="ARW9" s="17">
        <f t="shared" si="1281"/>
        <v>0</v>
      </c>
      <c r="ARX9" s="17">
        <f t="shared" si="1281"/>
        <v>0</v>
      </c>
      <c r="ARY9" s="17">
        <f t="shared" si="1281"/>
        <v>0</v>
      </c>
      <c r="ARZ9" s="17">
        <f t="shared" si="1281"/>
        <v>0</v>
      </c>
      <c r="ASA9" s="17">
        <f t="shared" si="1281"/>
        <v>0</v>
      </c>
      <c r="ASB9" s="17">
        <f t="shared" si="1281"/>
        <v>0</v>
      </c>
      <c r="ASC9" s="17">
        <f t="shared" si="1281"/>
        <v>0</v>
      </c>
      <c r="ASD9" s="17">
        <f t="shared" si="1281"/>
        <v>0</v>
      </c>
      <c r="ASE9" s="17">
        <f t="shared" si="1282"/>
        <v>0</v>
      </c>
      <c r="ASF9" s="17">
        <f t="shared" si="1282"/>
        <v>0</v>
      </c>
      <c r="ASG9" s="17">
        <f t="shared" si="1282"/>
        <v>0</v>
      </c>
      <c r="ASH9" s="17">
        <f t="shared" si="1282"/>
        <v>0</v>
      </c>
      <c r="ASI9" s="17">
        <f t="shared" si="1282"/>
        <v>0</v>
      </c>
      <c r="ASJ9" s="17">
        <f t="shared" si="1282"/>
        <v>0</v>
      </c>
      <c r="ASK9" s="17">
        <f t="shared" si="1282"/>
        <v>0</v>
      </c>
      <c r="ASL9" s="17">
        <f t="shared" si="1282"/>
        <v>0</v>
      </c>
      <c r="ASM9" s="17">
        <f t="shared" si="1282"/>
        <v>0</v>
      </c>
      <c r="ASN9" s="17">
        <f t="shared" si="1282"/>
        <v>0</v>
      </c>
      <c r="ASO9" s="17">
        <f t="shared" si="1282"/>
        <v>0</v>
      </c>
      <c r="ASP9" s="17">
        <f t="shared" si="1282"/>
        <v>0</v>
      </c>
      <c r="ASQ9" s="17">
        <f t="shared" si="1282"/>
        <v>0</v>
      </c>
      <c r="ASR9" s="17">
        <f t="shared" si="1282"/>
        <v>0</v>
      </c>
      <c r="ASS9" s="17">
        <f t="shared" si="1282"/>
        <v>0</v>
      </c>
      <c r="AST9" s="17">
        <f t="shared" si="1282"/>
        <v>0</v>
      </c>
      <c r="ASU9" s="17">
        <f t="shared" si="1283"/>
        <v>0</v>
      </c>
      <c r="ASV9" s="17">
        <f t="shared" si="1283"/>
        <v>0</v>
      </c>
      <c r="ASW9" s="17">
        <f t="shared" si="1283"/>
        <v>0</v>
      </c>
      <c r="ASX9" s="17">
        <f t="shared" si="1283"/>
        <v>0</v>
      </c>
      <c r="ASY9" s="17">
        <f t="shared" si="1283"/>
        <v>0</v>
      </c>
      <c r="ASZ9" s="17">
        <f t="shared" si="1283"/>
        <v>0</v>
      </c>
      <c r="ATA9" s="17">
        <f t="shared" si="1283"/>
        <v>0</v>
      </c>
      <c r="ATB9" s="17">
        <f t="shared" si="1283"/>
        <v>0</v>
      </c>
      <c r="ATC9" s="17">
        <f t="shared" si="1283"/>
        <v>0</v>
      </c>
      <c r="ATD9" s="17">
        <f t="shared" si="1283"/>
        <v>0</v>
      </c>
      <c r="ATE9" s="17">
        <f t="shared" si="1283"/>
        <v>0</v>
      </c>
      <c r="ATF9" s="17">
        <f t="shared" si="1283"/>
        <v>0</v>
      </c>
      <c r="ATG9" s="17">
        <f t="shared" si="1283"/>
        <v>0</v>
      </c>
      <c r="ATH9" s="17">
        <f t="shared" si="1283"/>
        <v>0</v>
      </c>
      <c r="ATI9" s="17">
        <f t="shared" si="1283"/>
        <v>0</v>
      </c>
      <c r="ATJ9" s="17">
        <f t="shared" si="1283"/>
        <v>0</v>
      </c>
      <c r="ATK9" s="17">
        <f t="shared" si="1284"/>
        <v>0</v>
      </c>
      <c r="ATL9" s="17">
        <f t="shared" si="1284"/>
        <v>0</v>
      </c>
      <c r="ATM9" s="17">
        <f t="shared" si="1284"/>
        <v>0</v>
      </c>
      <c r="ATN9" s="17">
        <f t="shared" si="1284"/>
        <v>0</v>
      </c>
      <c r="ATO9" s="17">
        <f t="shared" si="1284"/>
        <v>0</v>
      </c>
      <c r="ATP9" s="17">
        <f t="shared" si="1284"/>
        <v>0</v>
      </c>
      <c r="ATQ9" s="17">
        <f t="shared" si="1284"/>
        <v>0</v>
      </c>
      <c r="ATR9" s="17">
        <f t="shared" si="1284"/>
        <v>0</v>
      </c>
      <c r="ATS9" s="17">
        <f t="shared" si="1284"/>
        <v>0</v>
      </c>
      <c r="ATT9" s="17">
        <f t="shared" si="1284"/>
        <v>0</v>
      </c>
      <c r="ATU9" s="17">
        <f t="shared" si="1284"/>
        <v>0</v>
      </c>
      <c r="ATV9" s="17">
        <f t="shared" si="1284"/>
        <v>0</v>
      </c>
      <c r="ATW9" s="17">
        <f t="shared" si="1284"/>
        <v>0</v>
      </c>
      <c r="ATX9" s="17">
        <f t="shared" si="1284"/>
        <v>0</v>
      </c>
      <c r="ATY9" s="17">
        <f t="shared" si="1284"/>
        <v>0</v>
      </c>
      <c r="ATZ9" s="17">
        <f t="shared" si="1284"/>
        <v>0</v>
      </c>
      <c r="AUA9" s="17">
        <f t="shared" si="1285"/>
        <v>0</v>
      </c>
      <c r="AUB9" s="17">
        <f t="shared" si="1285"/>
        <v>0</v>
      </c>
      <c r="AUC9" s="17">
        <f t="shared" si="1285"/>
        <v>0</v>
      </c>
      <c r="AUD9" s="17">
        <f t="shared" si="1285"/>
        <v>0</v>
      </c>
      <c r="AUE9" s="17">
        <f t="shared" si="1285"/>
        <v>0</v>
      </c>
      <c r="AUF9" s="17">
        <f t="shared" si="1285"/>
        <v>0</v>
      </c>
      <c r="AUG9" s="17">
        <f t="shared" si="1285"/>
        <v>0</v>
      </c>
      <c r="AUH9" s="17">
        <f t="shared" si="1285"/>
        <v>0</v>
      </c>
      <c r="AUI9" s="17">
        <f t="shared" si="1285"/>
        <v>0</v>
      </c>
      <c r="AUJ9" s="17">
        <f t="shared" si="1285"/>
        <v>0</v>
      </c>
      <c r="AUK9" s="17">
        <f t="shared" si="1285"/>
        <v>0</v>
      </c>
      <c r="AUL9" s="17">
        <f t="shared" si="1285"/>
        <v>0</v>
      </c>
      <c r="AUM9" s="17">
        <f t="shared" si="1285"/>
        <v>0</v>
      </c>
      <c r="AUN9" s="17">
        <f t="shared" si="1285"/>
        <v>0</v>
      </c>
      <c r="AUO9" s="17">
        <f t="shared" si="1285"/>
        <v>0</v>
      </c>
      <c r="AUP9" s="17">
        <f t="shared" si="1285"/>
        <v>0</v>
      </c>
      <c r="AUQ9" s="17">
        <f t="shared" si="1286"/>
        <v>0</v>
      </c>
      <c r="AUR9" s="17">
        <f t="shared" si="1286"/>
        <v>0</v>
      </c>
      <c r="AUS9" s="17">
        <f t="shared" si="1286"/>
        <v>0</v>
      </c>
      <c r="AUT9" s="17"/>
      <c r="AUU9" s="17"/>
    </row>
    <row r="10" spans="1:1243" x14ac:dyDescent="0.3">
      <c r="A10" s="44"/>
      <c r="B10" s="43">
        <v>400</v>
      </c>
      <c r="C10" s="44" t="s">
        <v>83</v>
      </c>
      <c r="D10" s="47">
        <v>45830</v>
      </c>
      <c r="E10" s="54">
        <v>1</v>
      </c>
      <c r="F10" s="54">
        <v>113</v>
      </c>
      <c r="G10" s="45">
        <v>16.39</v>
      </c>
      <c r="H10" s="48">
        <f t="shared" si="1287"/>
        <v>751153.70000000007</v>
      </c>
      <c r="I10" s="53">
        <f t="shared" si="1288"/>
        <v>0.02</v>
      </c>
      <c r="J10" s="54">
        <v>6</v>
      </c>
      <c r="K10" s="56">
        <v>1</v>
      </c>
      <c r="L10" s="16">
        <f t="shared" si="1289"/>
        <v>0.33507585450557487</v>
      </c>
      <c r="M10" s="57">
        <v>13</v>
      </c>
      <c r="N10" s="26">
        <v>0.02</v>
      </c>
      <c r="O10" s="26">
        <v>0.9</v>
      </c>
      <c r="P10" s="58">
        <v>18</v>
      </c>
      <c r="Q10" s="58">
        <v>180</v>
      </c>
      <c r="R10" s="55">
        <f t="shared" si="1290"/>
        <v>116</v>
      </c>
      <c r="S10" s="55">
        <f t="shared" si="1291"/>
        <v>295</v>
      </c>
      <c r="T10" s="4">
        <f t="shared" si="1292"/>
        <v>15.536203392090041</v>
      </c>
      <c r="U10" s="53">
        <f t="shared" si="1293"/>
        <v>0.02</v>
      </c>
      <c r="V10" s="55">
        <f t="shared" si="1294"/>
        <v>8</v>
      </c>
      <c r="W10" s="56">
        <f t="shared" si="1295"/>
        <v>1</v>
      </c>
      <c r="X10" s="16">
        <f t="shared" si="1296"/>
        <v>0.33507585450557487</v>
      </c>
      <c r="Y10" s="58">
        <v>12</v>
      </c>
      <c r="Z10" s="58">
        <v>6</v>
      </c>
      <c r="AA10" s="4">
        <f t="shared" si="1297"/>
        <v>9.0627853120525241</v>
      </c>
      <c r="AB10" s="45">
        <v>20</v>
      </c>
      <c r="AC10" s="45">
        <v>7.5</v>
      </c>
      <c r="AD10" s="26">
        <v>0.06</v>
      </c>
      <c r="AE10" s="26">
        <v>0.03</v>
      </c>
      <c r="AF10" s="4">
        <f t="shared" si="1298"/>
        <v>8.75</v>
      </c>
      <c r="AG10" s="4">
        <f t="shared" si="1299"/>
        <v>7.6904206790845713</v>
      </c>
      <c r="AH10" s="4">
        <f t="shared" si="1300"/>
        <v>16.440420679084571</v>
      </c>
      <c r="AJ10" s="17">
        <f t="shared" si="1301"/>
        <v>45830</v>
      </c>
      <c r="AK10" s="17">
        <f t="shared" si="1120"/>
        <v>45830</v>
      </c>
      <c r="AL10" s="17">
        <f t="shared" si="1120"/>
        <v>45830</v>
      </c>
      <c r="AM10" s="17">
        <f t="shared" si="1120"/>
        <v>45830</v>
      </c>
      <c r="AN10" s="17">
        <f t="shared" si="1120"/>
        <v>45830</v>
      </c>
      <c r="AO10" s="17">
        <f t="shared" si="1120"/>
        <v>45830</v>
      </c>
      <c r="AP10" s="17">
        <f t="shared" si="1120"/>
        <v>45830</v>
      </c>
      <c r="AQ10" s="17">
        <f t="shared" si="1120"/>
        <v>45830</v>
      </c>
      <c r="AR10" s="17">
        <f t="shared" si="1120"/>
        <v>45830</v>
      </c>
      <c r="AS10" s="17">
        <f t="shared" si="1120"/>
        <v>45830</v>
      </c>
      <c r="AT10" s="17">
        <f t="shared" si="1120"/>
        <v>45830</v>
      </c>
      <c r="AU10" s="17">
        <f t="shared" si="1120"/>
        <v>45830</v>
      </c>
      <c r="AV10" s="17">
        <f t="shared" si="1120"/>
        <v>45830</v>
      </c>
      <c r="AW10" s="17">
        <f t="shared" si="1120"/>
        <v>45830</v>
      </c>
      <c r="AX10" s="17">
        <f t="shared" si="1120"/>
        <v>45830</v>
      </c>
      <c r="AY10" s="17">
        <f t="shared" si="1120"/>
        <v>45830</v>
      </c>
      <c r="AZ10" s="17">
        <f t="shared" si="1120"/>
        <v>45830</v>
      </c>
      <c r="BA10" s="17">
        <f t="shared" si="1121"/>
        <v>45830</v>
      </c>
      <c r="BB10" s="17">
        <f t="shared" si="1121"/>
        <v>45830</v>
      </c>
      <c r="BC10" s="17">
        <f t="shared" si="1121"/>
        <v>45830</v>
      </c>
      <c r="BD10" s="17">
        <f t="shared" si="1121"/>
        <v>45830</v>
      </c>
      <c r="BE10" s="17">
        <f t="shared" si="1121"/>
        <v>45830</v>
      </c>
      <c r="BF10" s="17">
        <f t="shared" si="1121"/>
        <v>45830</v>
      </c>
      <c r="BG10" s="17">
        <f t="shared" si="1121"/>
        <v>45830</v>
      </c>
      <c r="BH10" s="17">
        <f t="shared" si="1121"/>
        <v>45830</v>
      </c>
      <c r="BI10" s="17">
        <f t="shared" si="1121"/>
        <v>45830</v>
      </c>
      <c r="BJ10" s="17">
        <f t="shared" si="1121"/>
        <v>45830</v>
      </c>
      <c r="BK10" s="17">
        <f t="shared" si="1121"/>
        <v>45830</v>
      </c>
      <c r="BL10" s="17">
        <f t="shared" si="1121"/>
        <v>45830</v>
      </c>
      <c r="BM10" s="17">
        <f t="shared" si="1121"/>
        <v>45830</v>
      </c>
      <c r="BN10" s="17">
        <f t="shared" si="1121"/>
        <v>45830</v>
      </c>
      <c r="BO10" s="17">
        <f t="shared" si="1121"/>
        <v>45830</v>
      </c>
      <c r="BP10" s="17">
        <f t="shared" si="1121"/>
        <v>45830</v>
      </c>
      <c r="BQ10" s="17">
        <f t="shared" si="1122"/>
        <v>45830</v>
      </c>
      <c r="BR10" s="17">
        <f t="shared" si="1122"/>
        <v>45830</v>
      </c>
      <c r="BS10" s="17">
        <f t="shared" si="1122"/>
        <v>45830</v>
      </c>
      <c r="BT10" s="17">
        <f t="shared" si="1122"/>
        <v>45830</v>
      </c>
      <c r="BU10" s="17">
        <f t="shared" si="1122"/>
        <v>45830</v>
      </c>
      <c r="BV10" s="17">
        <f t="shared" si="1122"/>
        <v>45830</v>
      </c>
      <c r="BW10" s="17">
        <f t="shared" si="1122"/>
        <v>45830</v>
      </c>
      <c r="BX10" s="17">
        <f t="shared" si="1122"/>
        <v>45830</v>
      </c>
      <c r="BY10" s="17">
        <f t="shared" si="1122"/>
        <v>45830</v>
      </c>
      <c r="BZ10" s="17">
        <f t="shared" si="1122"/>
        <v>45830</v>
      </c>
      <c r="CA10" s="17">
        <f t="shared" si="1122"/>
        <v>45830</v>
      </c>
      <c r="CB10" s="17">
        <f t="shared" si="1122"/>
        <v>45830</v>
      </c>
      <c r="CC10" s="17">
        <f t="shared" si="1122"/>
        <v>45830</v>
      </c>
      <c r="CD10" s="17">
        <f t="shared" si="1122"/>
        <v>45830</v>
      </c>
      <c r="CE10" s="17">
        <f t="shared" si="1122"/>
        <v>45830</v>
      </c>
      <c r="CF10" s="17">
        <f t="shared" si="1122"/>
        <v>45830</v>
      </c>
      <c r="CG10" s="17">
        <f t="shared" si="1123"/>
        <v>45830</v>
      </c>
      <c r="CH10" s="17">
        <f t="shared" si="1123"/>
        <v>45830</v>
      </c>
      <c r="CI10" s="17">
        <f t="shared" si="1123"/>
        <v>45830</v>
      </c>
      <c r="CJ10" s="17">
        <f t="shared" si="1123"/>
        <v>45830</v>
      </c>
      <c r="CK10" s="17">
        <f t="shared" si="1123"/>
        <v>45830</v>
      </c>
      <c r="CL10" s="17">
        <f t="shared" si="1123"/>
        <v>45830</v>
      </c>
      <c r="CM10" s="17">
        <f t="shared" si="1123"/>
        <v>45830</v>
      </c>
      <c r="CN10" s="17">
        <f t="shared" si="1123"/>
        <v>45830</v>
      </c>
      <c r="CO10" s="17">
        <f t="shared" si="1123"/>
        <v>45830</v>
      </c>
      <c r="CP10" s="17">
        <f t="shared" si="1123"/>
        <v>45830</v>
      </c>
      <c r="CQ10" s="17">
        <f t="shared" si="1123"/>
        <v>45830</v>
      </c>
      <c r="CR10" s="17">
        <f t="shared" si="1123"/>
        <v>45830</v>
      </c>
      <c r="CS10" s="17">
        <f t="shared" si="1123"/>
        <v>45830</v>
      </c>
      <c r="CT10" s="17">
        <f t="shared" si="1123"/>
        <v>45830</v>
      </c>
      <c r="CU10" s="17">
        <f t="shared" si="1123"/>
        <v>45830</v>
      </c>
      <c r="CV10" s="17">
        <f t="shared" si="1123"/>
        <v>45830</v>
      </c>
      <c r="CW10" s="17">
        <f t="shared" si="1124"/>
        <v>45830</v>
      </c>
      <c r="CX10" s="17">
        <f t="shared" si="1124"/>
        <v>45830</v>
      </c>
      <c r="CY10" s="17">
        <f t="shared" si="1124"/>
        <v>45830</v>
      </c>
      <c r="CZ10" s="17">
        <f t="shared" si="1124"/>
        <v>45830</v>
      </c>
      <c r="DA10" s="17">
        <f t="shared" si="1124"/>
        <v>45830</v>
      </c>
      <c r="DB10" s="17">
        <f t="shared" si="1124"/>
        <v>45830</v>
      </c>
      <c r="DC10" s="17">
        <f t="shared" si="1124"/>
        <v>45830</v>
      </c>
      <c r="DD10" s="17">
        <f t="shared" si="1124"/>
        <v>45830</v>
      </c>
      <c r="DE10" s="17">
        <f t="shared" si="1124"/>
        <v>45830</v>
      </c>
      <c r="DF10" s="17">
        <f t="shared" si="1124"/>
        <v>45830</v>
      </c>
      <c r="DG10" s="17">
        <f t="shared" si="1124"/>
        <v>45830</v>
      </c>
      <c r="DH10" s="17">
        <f t="shared" si="1124"/>
        <v>45830</v>
      </c>
      <c r="DI10" s="17">
        <f t="shared" si="1124"/>
        <v>45830</v>
      </c>
      <c r="DJ10" s="17">
        <f t="shared" si="1124"/>
        <v>45830</v>
      </c>
      <c r="DK10" s="17">
        <f t="shared" si="1124"/>
        <v>45830</v>
      </c>
      <c r="DL10" s="17">
        <f t="shared" si="1124"/>
        <v>45830</v>
      </c>
      <c r="DM10" s="17">
        <f t="shared" si="1125"/>
        <v>45830</v>
      </c>
      <c r="DN10" s="17">
        <f t="shared" si="1125"/>
        <v>45830</v>
      </c>
      <c r="DO10" s="17">
        <f t="shared" si="1125"/>
        <v>45830</v>
      </c>
      <c r="DP10" s="17">
        <f t="shared" si="1125"/>
        <v>45830</v>
      </c>
      <c r="DQ10" s="17">
        <f t="shared" si="1125"/>
        <v>45830</v>
      </c>
      <c r="DR10" s="17">
        <f t="shared" si="1125"/>
        <v>45830</v>
      </c>
      <c r="DS10" s="17">
        <f t="shared" si="1125"/>
        <v>45830</v>
      </c>
      <c r="DT10" s="17">
        <f t="shared" si="1125"/>
        <v>45830</v>
      </c>
      <c r="DU10" s="17">
        <f t="shared" si="1125"/>
        <v>45830</v>
      </c>
      <c r="DV10" s="17">
        <f t="shared" si="1125"/>
        <v>45830</v>
      </c>
      <c r="DW10" s="17">
        <f t="shared" si="1125"/>
        <v>45830</v>
      </c>
      <c r="DX10" s="17">
        <f t="shared" si="1125"/>
        <v>45830</v>
      </c>
      <c r="DY10" s="17">
        <f t="shared" si="1125"/>
        <v>45830</v>
      </c>
      <c r="DZ10" s="17">
        <f t="shared" si="1125"/>
        <v>45830</v>
      </c>
      <c r="EA10" s="17">
        <f t="shared" si="1125"/>
        <v>45830</v>
      </c>
      <c r="EB10" s="17">
        <f t="shared" si="1125"/>
        <v>45830</v>
      </c>
      <c r="EC10" s="17">
        <f t="shared" si="1126"/>
        <v>45830</v>
      </c>
      <c r="ED10" s="17">
        <f t="shared" si="1126"/>
        <v>45830</v>
      </c>
      <c r="EE10" s="17">
        <f t="shared" si="1126"/>
        <v>45830</v>
      </c>
      <c r="EF10" s="17">
        <f t="shared" si="1126"/>
        <v>45830</v>
      </c>
      <c r="EG10" s="17">
        <f t="shared" si="1126"/>
        <v>45830</v>
      </c>
      <c r="EH10" s="17">
        <f t="shared" si="1126"/>
        <v>45830</v>
      </c>
      <c r="EI10" s="17">
        <f t="shared" si="1126"/>
        <v>45830</v>
      </c>
      <c r="EJ10" s="17">
        <f t="shared" si="1126"/>
        <v>45830</v>
      </c>
      <c r="EK10" s="17">
        <f t="shared" si="1126"/>
        <v>45830</v>
      </c>
      <c r="EL10" s="17">
        <f t="shared" si="1126"/>
        <v>45830</v>
      </c>
      <c r="EM10" s="17">
        <f t="shared" si="1126"/>
        <v>45830</v>
      </c>
      <c r="EN10" s="17">
        <f t="shared" si="1126"/>
        <v>45830</v>
      </c>
      <c r="EO10" s="17">
        <f t="shared" si="1126"/>
        <v>45830</v>
      </c>
      <c r="EP10" s="17">
        <f t="shared" si="1126"/>
        <v>45830</v>
      </c>
      <c r="EQ10" s="17">
        <f t="shared" si="1126"/>
        <v>45830</v>
      </c>
      <c r="ER10" s="17">
        <f t="shared" si="1126"/>
        <v>45830</v>
      </c>
      <c r="ES10" s="17">
        <f t="shared" si="1127"/>
        <v>0</v>
      </c>
      <c r="ET10" s="17">
        <f t="shared" si="1127"/>
        <v>0</v>
      </c>
      <c r="EU10" s="17">
        <f t="shared" si="1127"/>
        <v>0</v>
      </c>
      <c r="EV10" s="17">
        <f t="shared" si="1127"/>
        <v>0</v>
      </c>
      <c r="EW10" s="17">
        <f t="shared" si="1127"/>
        <v>0</v>
      </c>
      <c r="EX10" s="17">
        <f t="shared" si="1127"/>
        <v>0</v>
      </c>
      <c r="EY10" s="17">
        <f t="shared" si="1127"/>
        <v>0</v>
      </c>
      <c r="EZ10" s="17">
        <f t="shared" si="1127"/>
        <v>0</v>
      </c>
      <c r="FA10" s="17">
        <f t="shared" si="1127"/>
        <v>0</v>
      </c>
      <c r="FB10" s="17">
        <f t="shared" si="1127"/>
        <v>0</v>
      </c>
      <c r="FC10" s="17">
        <f t="shared" si="1127"/>
        <v>0</v>
      </c>
      <c r="FD10" s="17">
        <f t="shared" si="1127"/>
        <v>0</v>
      </c>
      <c r="FE10" s="17">
        <f t="shared" si="1127"/>
        <v>0</v>
      </c>
      <c r="FF10" s="17">
        <f t="shared" si="1127"/>
        <v>0</v>
      </c>
      <c r="FG10" s="17">
        <f t="shared" si="1127"/>
        <v>0</v>
      </c>
      <c r="FH10" s="17">
        <f t="shared" si="1127"/>
        <v>0</v>
      </c>
      <c r="FI10" s="17">
        <f t="shared" si="1128"/>
        <v>0</v>
      </c>
      <c r="FJ10" s="17">
        <f t="shared" si="1128"/>
        <v>0</v>
      </c>
      <c r="FK10" s="17">
        <f t="shared" si="1128"/>
        <v>0</v>
      </c>
      <c r="FL10" s="17"/>
      <c r="FM10" s="17"/>
      <c r="FN10" s="17">
        <f t="shared" si="1302"/>
        <v>0</v>
      </c>
      <c r="FO10" s="17">
        <f t="shared" si="1129"/>
        <v>0</v>
      </c>
      <c r="FP10" s="17">
        <f t="shared" si="1129"/>
        <v>0</v>
      </c>
      <c r="FQ10" s="17">
        <f t="shared" si="1129"/>
        <v>0</v>
      </c>
      <c r="FR10" s="17">
        <f t="shared" si="1129"/>
        <v>0</v>
      </c>
      <c r="FS10" s="17">
        <f t="shared" si="1129"/>
        <v>0</v>
      </c>
      <c r="FT10" s="17">
        <f t="shared" si="1129"/>
        <v>0</v>
      </c>
      <c r="FU10" s="17">
        <f t="shared" si="1129"/>
        <v>0</v>
      </c>
      <c r="FV10" s="17">
        <f t="shared" si="1129"/>
        <v>0</v>
      </c>
      <c r="FW10" s="17">
        <f t="shared" si="1129"/>
        <v>0</v>
      </c>
      <c r="FX10" s="17">
        <f t="shared" si="1129"/>
        <v>0</v>
      </c>
      <c r="FY10" s="17">
        <f t="shared" si="1129"/>
        <v>0</v>
      </c>
      <c r="FZ10" s="17">
        <f t="shared" si="1129"/>
        <v>0</v>
      </c>
      <c r="GA10" s="17">
        <f t="shared" si="1129"/>
        <v>0</v>
      </c>
      <c r="GB10" s="17">
        <f t="shared" si="1129"/>
        <v>0</v>
      </c>
      <c r="GC10" s="17">
        <f t="shared" si="1129"/>
        <v>0</v>
      </c>
      <c r="GD10" s="17">
        <f t="shared" si="1129"/>
        <v>0</v>
      </c>
      <c r="GE10" s="17">
        <f t="shared" si="1130"/>
        <v>0</v>
      </c>
      <c r="GF10" s="17">
        <f t="shared" si="1130"/>
        <v>0</v>
      </c>
      <c r="GG10" s="17">
        <f t="shared" si="1130"/>
        <v>0</v>
      </c>
      <c r="GH10" s="17">
        <f t="shared" si="1130"/>
        <v>0</v>
      </c>
      <c r="GI10" s="17">
        <f t="shared" si="1130"/>
        <v>0</v>
      </c>
      <c r="GJ10" s="17">
        <f t="shared" si="1130"/>
        <v>0</v>
      </c>
      <c r="GK10" s="17">
        <f t="shared" si="1130"/>
        <v>0</v>
      </c>
      <c r="GL10" s="17">
        <f t="shared" si="1130"/>
        <v>0</v>
      </c>
      <c r="GM10" s="17">
        <f t="shared" si="1130"/>
        <v>0</v>
      </c>
      <c r="GN10" s="17">
        <f t="shared" si="1130"/>
        <v>0</v>
      </c>
      <c r="GO10" s="17">
        <f t="shared" si="1130"/>
        <v>0</v>
      </c>
      <c r="GP10" s="17">
        <f t="shared" si="1130"/>
        <v>0</v>
      </c>
      <c r="GQ10" s="17">
        <f t="shared" si="1130"/>
        <v>0</v>
      </c>
      <c r="GR10" s="17">
        <f t="shared" si="1130"/>
        <v>0</v>
      </c>
      <c r="GS10" s="17">
        <f t="shared" si="1130"/>
        <v>0</v>
      </c>
      <c r="GT10" s="17">
        <f t="shared" si="1130"/>
        <v>0</v>
      </c>
      <c r="GU10" s="17">
        <f t="shared" si="1131"/>
        <v>0</v>
      </c>
      <c r="GV10" s="17">
        <f t="shared" si="1131"/>
        <v>0</v>
      </c>
      <c r="GW10" s="17">
        <f t="shared" si="1131"/>
        <v>0</v>
      </c>
      <c r="GX10" s="17">
        <f t="shared" si="1131"/>
        <v>0</v>
      </c>
      <c r="GY10" s="17">
        <f t="shared" si="1131"/>
        <v>0</v>
      </c>
      <c r="GZ10" s="17">
        <f t="shared" si="1131"/>
        <v>0</v>
      </c>
      <c r="HA10" s="17">
        <f t="shared" si="1131"/>
        <v>0</v>
      </c>
      <c r="HB10" s="17">
        <f t="shared" si="1131"/>
        <v>0</v>
      </c>
      <c r="HC10" s="17">
        <f t="shared" si="1131"/>
        <v>0</v>
      </c>
      <c r="HD10" s="17">
        <f t="shared" si="1131"/>
        <v>0</v>
      </c>
      <c r="HE10" s="17">
        <f t="shared" si="1131"/>
        <v>0</v>
      </c>
      <c r="HF10" s="17">
        <f t="shared" si="1131"/>
        <v>0</v>
      </c>
      <c r="HG10" s="17">
        <f t="shared" si="1131"/>
        <v>0</v>
      </c>
      <c r="HH10" s="17">
        <f t="shared" si="1131"/>
        <v>0</v>
      </c>
      <c r="HI10" s="17">
        <f t="shared" si="1131"/>
        <v>0</v>
      </c>
      <c r="HJ10" s="17">
        <f t="shared" si="1131"/>
        <v>0</v>
      </c>
      <c r="HK10" s="17">
        <f t="shared" si="1132"/>
        <v>0</v>
      </c>
      <c r="HL10" s="17">
        <f t="shared" si="1132"/>
        <v>0</v>
      </c>
      <c r="HM10" s="17">
        <f t="shared" si="1132"/>
        <v>0</v>
      </c>
      <c r="HN10" s="17">
        <f t="shared" si="1132"/>
        <v>0</v>
      </c>
      <c r="HO10" s="17">
        <f t="shared" si="1132"/>
        <v>0</v>
      </c>
      <c r="HP10" s="17">
        <f t="shared" si="1132"/>
        <v>0</v>
      </c>
      <c r="HQ10" s="17">
        <f t="shared" si="1132"/>
        <v>0</v>
      </c>
      <c r="HR10" s="17">
        <f t="shared" si="1132"/>
        <v>0</v>
      </c>
      <c r="HS10" s="17">
        <f t="shared" si="1132"/>
        <v>0</v>
      </c>
      <c r="HT10" s="17">
        <f t="shared" si="1132"/>
        <v>0</v>
      </c>
      <c r="HU10" s="17">
        <f t="shared" si="1132"/>
        <v>0</v>
      </c>
      <c r="HV10" s="17">
        <f t="shared" si="1132"/>
        <v>0</v>
      </c>
      <c r="HW10" s="17">
        <f t="shared" si="1132"/>
        <v>0</v>
      </c>
      <c r="HX10" s="17">
        <f t="shared" si="1132"/>
        <v>0</v>
      </c>
      <c r="HY10" s="17">
        <f t="shared" si="1132"/>
        <v>0</v>
      </c>
      <c r="HZ10" s="17">
        <f t="shared" si="1132"/>
        <v>0</v>
      </c>
      <c r="IA10" s="17">
        <f t="shared" si="1133"/>
        <v>0</v>
      </c>
      <c r="IB10" s="17">
        <f t="shared" si="1133"/>
        <v>0</v>
      </c>
      <c r="IC10" s="17">
        <f t="shared" si="1133"/>
        <v>0</v>
      </c>
      <c r="ID10" s="17">
        <f t="shared" si="1133"/>
        <v>0</v>
      </c>
      <c r="IE10" s="17">
        <f t="shared" si="1133"/>
        <v>0</v>
      </c>
      <c r="IF10" s="17">
        <f t="shared" si="1133"/>
        <v>0</v>
      </c>
      <c r="IG10" s="17">
        <f t="shared" si="1133"/>
        <v>0</v>
      </c>
      <c r="IH10" s="17">
        <f t="shared" si="1133"/>
        <v>0</v>
      </c>
      <c r="II10" s="17">
        <f t="shared" si="1133"/>
        <v>0</v>
      </c>
      <c r="IJ10" s="17">
        <f t="shared" si="1133"/>
        <v>0</v>
      </c>
      <c r="IK10" s="17">
        <f t="shared" si="1133"/>
        <v>0</v>
      </c>
      <c r="IL10" s="17">
        <f t="shared" si="1133"/>
        <v>0</v>
      </c>
      <c r="IM10" s="17">
        <f t="shared" si="1133"/>
        <v>0</v>
      </c>
      <c r="IN10" s="17">
        <f t="shared" si="1133"/>
        <v>0</v>
      </c>
      <c r="IO10" s="17">
        <f t="shared" si="1133"/>
        <v>0</v>
      </c>
      <c r="IP10" s="17">
        <f t="shared" si="1133"/>
        <v>0</v>
      </c>
      <c r="IQ10" s="17">
        <f t="shared" si="1134"/>
        <v>0</v>
      </c>
      <c r="IR10" s="17">
        <f t="shared" si="1134"/>
        <v>0</v>
      </c>
      <c r="IS10" s="17">
        <f t="shared" si="1134"/>
        <v>0</v>
      </c>
      <c r="IT10" s="17">
        <f t="shared" si="1134"/>
        <v>0</v>
      </c>
      <c r="IU10" s="17">
        <f t="shared" si="1134"/>
        <v>0</v>
      </c>
      <c r="IV10" s="17">
        <f t="shared" si="1134"/>
        <v>0</v>
      </c>
      <c r="IW10" s="17">
        <f t="shared" si="1134"/>
        <v>0</v>
      </c>
      <c r="IX10" s="17">
        <f t="shared" si="1134"/>
        <v>0</v>
      </c>
      <c r="IY10" s="17">
        <f t="shared" si="1134"/>
        <v>0</v>
      </c>
      <c r="IZ10" s="17">
        <f t="shared" si="1134"/>
        <v>0</v>
      </c>
      <c r="JA10" s="17">
        <f t="shared" si="1134"/>
        <v>0</v>
      </c>
      <c r="JB10" s="17">
        <f t="shared" si="1134"/>
        <v>0</v>
      </c>
      <c r="JC10" s="17">
        <f t="shared" si="1134"/>
        <v>0</v>
      </c>
      <c r="JD10" s="17">
        <f t="shared" si="1134"/>
        <v>0</v>
      </c>
      <c r="JE10" s="17">
        <f t="shared" si="1134"/>
        <v>0</v>
      </c>
      <c r="JF10" s="17">
        <f t="shared" si="1134"/>
        <v>0</v>
      </c>
      <c r="JG10" s="17">
        <f t="shared" si="1135"/>
        <v>0</v>
      </c>
      <c r="JH10" s="17">
        <f t="shared" si="1135"/>
        <v>0</v>
      </c>
      <c r="JI10" s="17">
        <f t="shared" si="1135"/>
        <v>0</v>
      </c>
      <c r="JJ10" s="17">
        <f t="shared" si="1135"/>
        <v>0</v>
      </c>
      <c r="JK10" s="17">
        <f t="shared" si="1135"/>
        <v>0</v>
      </c>
      <c r="JL10" s="17">
        <f t="shared" si="1135"/>
        <v>0</v>
      </c>
      <c r="JM10" s="17">
        <f t="shared" si="1135"/>
        <v>0</v>
      </c>
      <c r="JN10" s="17">
        <f t="shared" si="1135"/>
        <v>0</v>
      </c>
      <c r="JO10" s="17">
        <f t="shared" si="1135"/>
        <v>0</v>
      </c>
      <c r="JP10" s="17">
        <f t="shared" si="1135"/>
        <v>0</v>
      </c>
      <c r="JQ10" s="17">
        <f t="shared" si="1135"/>
        <v>0</v>
      </c>
      <c r="JR10" s="17">
        <f t="shared" si="1135"/>
        <v>0</v>
      </c>
      <c r="JS10" s="17">
        <f t="shared" si="1135"/>
        <v>0</v>
      </c>
      <c r="JT10" s="17">
        <f t="shared" si="1135"/>
        <v>0</v>
      </c>
      <c r="JU10" s="17">
        <f t="shared" si="1135"/>
        <v>0</v>
      </c>
      <c r="JV10" s="17">
        <f t="shared" si="1135"/>
        <v>0</v>
      </c>
      <c r="JW10" s="17">
        <f t="shared" si="1136"/>
        <v>0</v>
      </c>
      <c r="JX10" s="17">
        <f t="shared" si="1136"/>
        <v>0</v>
      </c>
      <c r="JY10" s="17">
        <f t="shared" si="1136"/>
        <v>45830</v>
      </c>
      <c r="JZ10" s="17">
        <f t="shared" si="1136"/>
        <v>45830</v>
      </c>
      <c r="KA10" s="17">
        <f t="shared" si="1136"/>
        <v>45830</v>
      </c>
      <c r="KB10" s="17">
        <f t="shared" si="1136"/>
        <v>45830</v>
      </c>
      <c r="KC10" s="17">
        <f t="shared" si="1136"/>
        <v>45830</v>
      </c>
      <c r="KD10" s="17">
        <f t="shared" si="1136"/>
        <v>45830</v>
      </c>
      <c r="KE10" s="17">
        <f t="shared" si="1136"/>
        <v>45830</v>
      </c>
      <c r="KF10" s="17">
        <f t="shared" si="1136"/>
        <v>45830</v>
      </c>
      <c r="KG10" s="17">
        <f t="shared" si="1136"/>
        <v>45830</v>
      </c>
      <c r="KH10" s="17">
        <f t="shared" si="1136"/>
        <v>45830</v>
      </c>
      <c r="KI10" s="17">
        <f t="shared" si="1136"/>
        <v>45830</v>
      </c>
      <c r="KJ10" s="17">
        <f t="shared" si="1136"/>
        <v>45830</v>
      </c>
      <c r="KK10" s="17">
        <f t="shared" si="1136"/>
        <v>45830</v>
      </c>
      <c r="KL10" s="17">
        <f t="shared" si="1136"/>
        <v>45830</v>
      </c>
      <c r="KM10" s="17">
        <f t="shared" si="1137"/>
        <v>45830</v>
      </c>
      <c r="KN10" s="17">
        <f t="shared" si="1137"/>
        <v>45830</v>
      </c>
      <c r="KO10" s="17">
        <f t="shared" si="1137"/>
        <v>45830</v>
      </c>
      <c r="KP10" s="17"/>
      <c r="KQ10" s="17"/>
      <c r="KR10" s="46">
        <f t="shared" si="1303"/>
        <v>1.3658333333333335</v>
      </c>
      <c r="KS10" s="30">
        <f>(AJ10&gt;0)*(MAX($KR10:KR10)+(MONTH(KS$3)=$J10)*MAX($KR10:KR10)*$I10)</f>
        <v>1.3658333333333335</v>
      </c>
      <c r="KT10" s="30">
        <f>(AK10&gt;0)*(MAX($KR10:KS10)+(MONTH(KT$3)=$J10)*MAX($KR10:KS10)*$I10)</f>
        <v>1.3658333333333335</v>
      </c>
      <c r="KU10" s="30">
        <f>(AL10&gt;0)*(MAX($KR10:KT10)+(MONTH(KU$3)=$J10)*MAX($KR10:KT10)*$I10)</f>
        <v>1.3658333333333335</v>
      </c>
      <c r="KV10" s="30">
        <f>(AM10&gt;0)*(MAX($KR10:KU10)+(MONTH(KV$3)=$J10)*MAX($KR10:KU10)*$I10)</f>
        <v>1.3658333333333335</v>
      </c>
      <c r="KW10" s="30">
        <f>(AN10&gt;0)*(MAX($KR10:KV10)+(MONTH(KW$3)=$J10)*MAX($KR10:KV10)*$I10)</f>
        <v>1.3658333333333335</v>
      </c>
      <c r="KX10" s="30">
        <f>(AO10&gt;0)*(MAX($KR10:KW10)+(MONTH(KX$3)=$J10)*MAX($KR10:KW10)*$I10)</f>
        <v>1.3931500000000001</v>
      </c>
      <c r="KY10" s="30">
        <f>(AP10&gt;0)*(MAX($KR10:KX10)+(MONTH(KY$3)=$J10)*MAX($KR10:KX10)*$I10)</f>
        <v>1.3931500000000001</v>
      </c>
      <c r="KZ10" s="30">
        <f>(AQ10&gt;0)*(MAX($KR10:KY10)+(MONTH(KZ$3)=$J10)*MAX($KR10:KY10)*$I10)</f>
        <v>1.3931500000000001</v>
      </c>
      <c r="LA10" s="30">
        <f>(AR10&gt;0)*(MAX($KR10:KZ10)+(MONTH(LA$3)=$J10)*MAX($KR10:KZ10)*$I10)</f>
        <v>1.3931500000000001</v>
      </c>
      <c r="LB10" s="30">
        <f>(AS10&gt;0)*(MAX($KR10:LA10)+(MONTH(LB$3)=$J10)*MAX($KR10:LA10)*$I10)</f>
        <v>1.3931500000000001</v>
      </c>
      <c r="LC10" s="30">
        <f>(AT10&gt;0)*(MAX($KR10:LB10)+(MONTH(LC$3)=$J10)*MAX($KR10:LB10)*$I10)</f>
        <v>1.3931500000000001</v>
      </c>
      <c r="LD10" s="30">
        <f>(AU10&gt;0)*(MAX($KR10:LC10)+(MONTH(LD$3)=$J10)*MAX($KR10:LC10)*$I10)</f>
        <v>1.3931500000000001</v>
      </c>
      <c r="LE10" s="30">
        <f>(AV10&gt;0)*(MAX($KR10:LD10)+(MONTH(LE$3)=$J10)*MAX($KR10:LD10)*$I10)</f>
        <v>1.3931500000000001</v>
      </c>
      <c r="LF10" s="30">
        <f>(AW10&gt;0)*(MAX($KR10:LE10)+(MONTH(LF$3)=$J10)*MAX($KR10:LE10)*$I10)</f>
        <v>1.3931500000000001</v>
      </c>
      <c r="LG10" s="30">
        <f>(AX10&gt;0)*(MAX($KR10:LF10)+(MONTH(LG$3)=$J10)*MAX($KR10:LF10)*$I10)</f>
        <v>1.3931500000000001</v>
      </c>
      <c r="LH10" s="30">
        <f>(AY10&gt;0)*(MAX($KR10:LG10)+(MONTH(LH$3)=$J10)*MAX($KR10:LG10)*$I10)</f>
        <v>1.3931500000000001</v>
      </c>
      <c r="LI10" s="30">
        <f>(AZ10&gt;0)*(MAX($KR10:LH10)+(MONTH(LI$3)=$J10)*MAX($KR10:LH10)*$I10)</f>
        <v>1.3931500000000001</v>
      </c>
      <c r="LJ10" s="30">
        <f>(BA10&gt;0)*(MAX($KR10:LI10)+(MONTH(LJ$3)=$J10)*MAX($KR10:LI10)*$I10)</f>
        <v>1.4210130000000001</v>
      </c>
      <c r="LK10" s="30">
        <f>(BB10&gt;0)*(MAX($KR10:LJ10)+(MONTH(LK$3)=$J10)*MAX($KR10:LJ10)*$I10)</f>
        <v>1.4210130000000001</v>
      </c>
      <c r="LL10" s="30">
        <f>(BC10&gt;0)*(MAX($KR10:LK10)+(MONTH(LL$3)=$J10)*MAX($KR10:LK10)*$I10)</f>
        <v>1.4210130000000001</v>
      </c>
      <c r="LM10" s="30">
        <f>(BD10&gt;0)*(MAX($KR10:LL10)+(MONTH(LM$3)=$J10)*MAX($KR10:LL10)*$I10)</f>
        <v>1.4210130000000001</v>
      </c>
      <c r="LN10" s="30">
        <f>(BE10&gt;0)*(MAX($KR10:LM10)+(MONTH(LN$3)=$J10)*MAX($KR10:LM10)*$I10)</f>
        <v>1.4210130000000001</v>
      </c>
      <c r="LO10" s="30">
        <f>(BF10&gt;0)*(MAX($KR10:LN10)+(MONTH(LO$3)=$J10)*MAX($KR10:LN10)*$I10)</f>
        <v>1.4210130000000001</v>
      </c>
      <c r="LP10" s="30">
        <f>(BG10&gt;0)*(MAX($KR10:LO10)+(MONTH(LP$3)=$J10)*MAX($KR10:LO10)*$I10)</f>
        <v>1.4210130000000001</v>
      </c>
      <c r="LQ10" s="30">
        <f>(BH10&gt;0)*(MAX($KR10:LP10)+(MONTH(LQ$3)=$J10)*MAX($KR10:LP10)*$I10)</f>
        <v>1.4210130000000001</v>
      </c>
      <c r="LR10" s="30">
        <f>(BI10&gt;0)*(MAX($KR10:LQ10)+(MONTH(LR$3)=$J10)*MAX($KR10:LQ10)*$I10)</f>
        <v>1.4210130000000001</v>
      </c>
      <c r="LS10" s="30">
        <f>(BJ10&gt;0)*(MAX($KR10:LR10)+(MONTH(LS$3)=$J10)*MAX($KR10:LR10)*$I10)</f>
        <v>1.4210130000000001</v>
      </c>
      <c r="LT10" s="30">
        <f>(BK10&gt;0)*(MAX($KR10:LS10)+(MONTH(LT$3)=$J10)*MAX($KR10:LS10)*$I10)</f>
        <v>1.4210130000000001</v>
      </c>
      <c r="LU10" s="30">
        <f>(BL10&gt;0)*(MAX($KR10:LT10)+(MONTH(LU$3)=$J10)*MAX($KR10:LT10)*$I10)</f>
        <v>1.4210130000000001</v>
      </c>
      <c r="LV10" s="30">
        <f>(BM10&gt;0)*(MAX($KR10:LU10)+(MONTH(LV$3)=$J10)*MAX($KR10:LU10)*$I10)</f>
        <v>1.4494332600000002</v>
      </c>
      <c r="LW10" s="30">
        <f>(BN10&gt;0)*(MAX($KR10:LV10)+(MONTH(LW$3)=$J10)*MAX($KR10:LV10)*$I10)</f>
        <v>1.4494332600000002</v>
      </c>
      <c r="LX10" s="30">
        <f>(BO10&gt;0)*(MAX($KR10:LW10)+(MONTH(LX$3)=$J10)*MAX($KR10:LW10)*$I10)</f>
        <v>1.4494332600000002</v>
      </c>
      <c r="LY10" s="30">
        <f>(BP10&gt;0)*(MAX($KR10:LX10)+(MONTH(LY$3)=$J10)*MAX($KR10:LX10)*$I10)</f>
        <v>1.4494332600000002</v>
      </c>
      <c r="LZ10" s="30">
        <f>(BQ10&gt;0)*(MAX($KR10:LY10)+(MONTH(LZ$3)=$J10)*MAX($KR10:LY10)*$I10)</f>
        <v>1.4494332600000002</v>
      </c>
      <c r="MA10" s="30">
        <f>(BR10&gt;0)*(MAX($KR10:LZ10)+(MONTH(MA$3)=$J10)*MAX($KR10:LZ10)*$I10)</f>
        <v>1.4494332600000002</v>
      </c>
      <c r="MB10" s="30">
        <f>(BS10&gt;0)*(MAX($KR10:MA10)+(MONTH(MB$3)=$J10)*MAX($KR10:MA10)*$I10)</f>
        <v>1.4494332600000002</v>
      </c>
      <c r="MC10" s="30">
        <f>(BT10&gt;0)*(MAX($KR10:MB10)+(MONTH(MC$3)=$J10)*MAX($KR10:MB10)*$I10)</f>
        <v>1.4494332600000002</v>
      </c>
      <c r="MD10" s="30">
        <f>(BU10&gt;0)*(MAX($KR10:MC10)+(MONTH(MD$3)=$J10)*MAX($KR10:MC10)*$I10)</f>
        <v>1.4494332600000002</v>
      </c>
      <c r="ME10" s="30">
        <f>(BV10&gt;0)*(MAX($KR10:MD10)+(MONTH(ME$3)=$J10)*MAX($KR10:MD10)*$I10)</f>
        <v>1.4494332600000002</v>
      </c>
      <c r="MF10" s="30">
        <f>(BW10&gt;0)*(MAX($KR10:ME10)+(MONTH(MF$3)=$J10)*MAX($KR10:ME10)*$I10)</f>
        <v>1.4494332600000002</v>
      </c>
      <c r="MG10" s="30">
        <f>(BX10&gt;0)*(MAX($KR10:MF10)+(MONTH(MG$3)=$J10)*MAX($KR10:MF10)*$I10)</f>
        <v>1.4494332600000002</v>
      </c>
      <c r="MH10" s="30">
        <f>(BY10&gt;0)*(MAX($KR10:MG10)+(MONTH(MH$3)=$J10)*MAX($KR10:MG10)*$I10)</f>
        <v>1.4784219252000002</v>
      </c>
      <c r="MI10" s="30">
        <f>(BZ10&gt;0)*(MAX($KR10:MH10)+(MONTH(MI$3)=$J10)*MAX($KR10:MH10)*$I10)</f>
        <v>1.4784219252000002</v>
      </c>
      <c r="MJ10" s="30">
        <f>(CA10&gt;0)*(MAX($KR10:MI10)+(MONTH(MJ$3)=$J10)*MAX($KR10:MI10)*$I10)</f>
        <v>1.4784219252000002</v>
      </c>
      <c r="MK10" s="30">
        <f>(CB10&gt;0)*(MAX($KR10:MJ10)+(MONTH(MK$3)=$J10)*MAX($KR10:MJ10)*$I10)</f>
        <v>1.4784219252000002</v>
      </c>
      <c r="ML10" s="30">
        <f>(CC10&gt;0)*(MAX($KR10:MK10)+(MONTH(ML$3)=$J10)*MAX($KR10:MK10)*$I10)</f>
        <v>1.4784219252000002</v>
      </c>
      <c r="MM10" s="30">
        <f>(CD10&gt;0)*(MAX($KR10:ML10)+(MONTH(MM$3)=$J10)*MAX($KR10:ML10)*$I10)</f>
        <v>1.4784219252000002</v>
      </c>
      <c r="MN10" s="30">
        <f>(CE10&gt;0)*(MAX($KR10:MM10)+(MONTH(MN$3)=$J10)*MAX($KR10:MM10)*$I10)</f>
        <v>1.4784219252000002</v>
      </c>
      <c r="MO10" s="30">
        <f>(CF10&gt;0)*(MAX($KR10:MN10)+(MONTH(MO$3)=$J10)*MAX($KR10:MN10)*$I10)</f>
        <v>1.4784219252000002</v>
      </c>
      <c r="MP10" s="30">
        <f>(CG10&gt;0)*(MAX($KR10:MO10)+(MONTH(MP$3)=$J10)*MAX($KR10:MO10)*$I10)</f>
        <v>1.4784219252000002</v>
      </c>
      <c r="MQ10" s="30">
        <f>(CH10&gt;0)*(MAX($KR10:MP10)+(MONTH(MQ$3)=$J10)*MAX($KR10:MP10)*$I10)</f>
        <v>1.4784219252000002</v>
      </c>
      <c r="MR10" s="30">
        <f>(CI10&gt;0)*(MAX($KR10:MQ10)+(MONTH(MR$3)=$J10)*MAX($KR10:MQ10)*$I10)</f>
        <v>1.4784219252000002</v>
      </c>
      <c r="MS10" s="30">
        <f>(CJ10&gt;0)*(MAX($KR10:MR10)+(MONTH(MS$3)=$J10)*MAX($KR10:MR10)*$I10)</f>
        <v>1.4784219252000002</v>
      </c>
      <c r="MT10" s="30">
        <f>(CK10&gt;0)*(MAX($KR10:MS10)+(MONTH(MT$3)=$J10)*MAX($KR10:MS10)*$I10)</f>
        <v>1.5079903637040002</v>
      </c>
      <c r="MU10" s="30">
        <f>(CL10&gt;0)*(MAX($KR10:MT10)+(MONTH(MU$3)=$J10)*MAX($KR10:MT10)*$I10)</f>
        <v>1.5079903637040002</v>
      </c>
      <c r="MV10" s="30">
        <f>(CM10&gt;0)*(MAX($KR10:MU10)+(MONTH(MV$3)=$J10)*MAX($KR10:MU10)*$I10)</f>
        <v>1.5079903637040002</v>
      </c>
      <c r="MW10" s="30">
        <f>(CN10&gt;0)*(MAX($KR10:MV10)+(MONTH(MW$3)=$J10)*MAX($KR10:MV10)*$I10)</f>
        <v>1.5079903637040002</v>
      </c>
      <c r="MX10" s="30">
        <f>(CO10&gt;0)*(MAX($KR10:MW10)+(MONTH(MX$3)=$J10)*MAX($KR10:MW10)*$I10)</f>
        <v>1.5079903637040002</v>
      </c>
      <c r="MY10" s="30">
        <f>(CP10&gt;0)*(MAX($KR10:MX10)+(MONTH(MY$3)=$J10)*MAX($KR10:MX10)*$I10)</f>
        <v>1.5079903637040002</v>
      </c>
      <c r="MZ10" s="30">
        <f>(CQ10&gt;0)*(MAX($KR10:MY10)+(MONTH(MZ$3)=$J10)*MAX($KR10:MY10)*$I10)</f>
        <v>1.5079903637040002</v>
      </c>
      <c r="NA10" s="30">
        <f>(CR10&gt;0)*(MAX($KR10:MZ10)+(MONTH(NA$3)=$J10)*MAX($KR10:MZ10)*$I10)</f>
        <v>1.5079903637040002</v>
      </c>
      <c r="NB10" s="30">
        <f>(CS10&gt;0)*(MAX($KR10:NA10)+(MONTH(NB$3)=$J10)*MAX($KR10:NA10)*$I10)</f>
        <v>1.5079903637040002</v>
      </c>
      <c r="NC10" s="30">
        <f>(CT10&gt;0)*(MAX($KR10:NB10)+(MONTH(NC$3)=$J10)*MAX($KR10:NB10)*$I10)</f>
        <v>1.5079903637040002</v>
      </c>
      <c r="ND10" s="30">
        <f>(CU10&gt;0)*(MAX($KR10:NC10)+(MONTH(ND$3)=$J10)*MAX($KR10:NC10)*$I10)</f>
        <v>1.5079903637040002</v>
      </c>
      <c r="NE10" s="30">
        <f>(CV10&gt;0)*(MAX($KR10:ND10)+(MONTH(NE$3)=$J10)*MAX($KR10:ND10)*$I10)</f>
        <v>1.5079903637040002</v>
      </c>
      <c r="NF10" s="30">
        <f>(CW10&gt;0)*(MAX($KR10:NE10)+(MONTH(NF$3)=$J10)*MAX($KR10:NE10)*$I10)</f>
        <v>1.5381501709780803</v>
      </c>
      <c r="NG10" s="30">
        <f>(CX10&gt;0)*(MAX($KR10:NF10)+(MONTH(NG$3)=$J10)*MAX($KR10:NF10)*$I10)</f>
        <v>1.5381501709780803</v>
      </c>
      <c r="NH10" s="30">
        <f>(CY10&gt;0)*(MAX($KR10:NG10)+(MONTH(NH$3)=$J10)*MAX($KR10:NG10)*$I10)</f>
        <v>1.5381501709780803</v>
      </c>
      <c r="NI10" s="30">
        <f>(CZ10&gt;0)*(MAX($KR10:NH10)+(MONTH(NI$3)=$J10)*MAX($KR10:NH10)*$I10)</f>
        <v>1.5381501709780803</v>
      </c>
      <c r="NJ10" s="30">
        <f>(DA10&gt;0)*(MAX($KR10:NI10)+(MONTH(NJ$3)=$J10)*MAX($KR10:NI10)*$I10)</f>
        <v>1.5381501709780803</v>
      </c>
      <c r="NK10" s="30">
        <f>(DB10&gt;0)*(MAX($KR10:NJ10)+(MONTH(NK$3)=$J10)*MAX($KR10:NJ10)*$I10)</f>
        <v>1.5381501709780803</v>
      </c>
      <c r="NL10" s="30">
        <f>(DC10&gt;0)*(MAX($KR10:NK10)+(MONTH(NL$3)=$J10)*MAX($KR10:NK10)*$I10)</f>
        <v>1.5381501709780803</v>
      </c>
      <c r="NM10" s="30">
        <f>(DD10&gt;0)*(MAX($KR10:NL10)+(MONTH(NM$3)=$J10)*MAX($KR10:NL10)*$I10)</f>
        <v>1.5381501709780803</v>
      </c>
      <c r="NN10" s="30">
        <f>(DE10&gt;0)*(MAX($KR10:NM10)+(MONTH(NN$3)=$J10)*MAX($KR10:NM10)*$I10)</f>
        <v>1.5381501709780803</v>
      </c>
      <c r="NO10" s="30">
        <f>(DF10&gt;0)*(MAX($KR10:NN10)+(MONTH(NO$3)=$J10)*MAX($KR10:NN10)*$I10)</f>
        <v>1.5381501709780803</v>
      </c>
      <c r="NP10" s="30">
        <f>(DG10&gt;0)*(MAX($KR10:NO10)+(MONTH(NP$3)=$J10)*MAX($KR10:NO10)*$I10)</f>
        <v>1.5381501709780803</v>
      </c>
      <c r="NQ10" s="30">
        <f>(DH10&gt;0)*(MAX($KR10:NP10)+(MONTH(NQ$3)=$J10)*MAX($KR10:NP10)*$I10)</f>
        <v>1.5381501709780803</v>
      </c>
      <c r="NR10" s="30">
        <f>(DI10&gt;0)*(MAX($KR10:NQ10)+(MONTH(NR$3)=$J10)*MAX($KR10:NQ10)*$I10)</f>
        <v>1.5689131743976419</v>
      </c>
      <c r="NS10" s="30">
        <f>(DJ10&gt;0)*(MAX($KR10:NR10)+(MONTH(NS$3)=$J10)*MAX($KR10:NR10)*$I10)</f>
        <v>1.5689131743976419</v>
      </c>
      <c r="NT10" s="30">
        <f>(DK10&gt;0)*(MAX($KR10:NS10)+(MONTH(NT$3)=$J10)*MAX($KR10:NS10)*$I10)</f>
        <v>1.5689131743976419</v>
      </c>
      <c r="NU10" s="30">
        <f>(DL10&gt;0)*(MAX($KR10:NT10)+(MONTH(NU$3)=$J10)*MAX($KR10:NT10)*$I10)</f>
        <v>1.5689131743976419</v>
      </c>
      <c r="NV10" s="30">
        <f>(DM10&gt;0)*(MAX($KR10:NU10)+(MONTH(NV$3)=$J10)*MAX($KR10:NU10)*$I10)</f>
        <v>1.5689131743976419</v>
      </c>
      <c r="NW10" s="30">
        <f>(DN10&gt;0)*(MAX($KR10:NV10)+(MONTH(NW$3)=$J10)*MAX($KR10:NV10)*$I10)</f>
        <v>1.5689131743976419</v>
      </c>
      <c r="NX10" s="30">
        <f>(DO10&gt;0)*(MAX($KR10:NW10)+(MONTH(NX$3)=$J10)*MAX($KR10:NW10)*$I10)</f>
        <v>1.5689131743976419</v>
      </c>
      <c r="NY10" s="30">
        <f>(DP10&gt;0)*(MAX($KR10:NX10)+(MONTH(NY$3)=$J10)*MAX($KR10:NX10)*$I10)</f>
        <v>1.5689131743976419</v>
      </c>
      <c r="NZ10" s="30">
        <f>(DQ10&gt;0)*(MAX($KR10:NY10)+(MONTH(NZ$3)=$J10)*MAX($KR10:NY10)*$I10)</f>
        <v>1.5689131743976419</v>
      </c>
      <c r="OA10" s="30">
        <f>(DR10&gt;0)*(MAX($KR10:NZ10)+(MONTH(OA$3)=$J10)*MAX($KR10:NZ10)*$I10)</f>
        <v>1.5689131743976419</v>
      </c>
      <c r="OB10" s="30">
        <f>(DS10&gt;0)*(MAX($KR10:OA10)+(MONTH(OB$3)=$J10)*MAX($KR10:OA10)*$I10)</f>
        <v>1.5689131743976419</v>
      </c>
      <c r="OC10" s="30">
        <f>(DT10&gt;0)*(MAX($KR10:OB10)+(MONTH(OC$3)=$J10)*MAX($KR10:OB10)*$I10)</f>
        <v>1.5689131743976419</v>
      </c>
      <c r="OD10" s="30">
        <f>(DU10&gt;0)*(MAX($KR10:OC10)+(MONTH(OD$3)=$J10)*MAX($KR10:OC10)*$I10)</f>
        <v>1.6002914378855948</v>
      </c>
      <c r="OE10" s="30">
        <f>(DV10&gt;0)*(MAX($KR10:OD10)+(MONTH(OE$3)=$J10)*MAX($KR10:OD10)*$I10)</f>
        <v>1.6002914378855948</v>
      </c>
      <c r="OF10" s="30">
        <f>(DW10&gt;0)*(MAX($KR10:OE10)+(MONTH(OF$3)=$J10)*MAX($KR10:OE10)*$I10)</f>
        <v>1.6002914378855948</v>
      </c>
      <c r="OG10" s="30">
        <f>(DX10&gt;0)*(MAX($KR10:OF10)+(MONTH(OG$3)=$J10)*MAX($KR10:OF10)*$I10)</f>
        <v>1.6002914378855948</v>
      </c>
      <c r="OH10" s="30">
        <f>(DY10&gt;0)*(MAX($KR10:OG10)+(MONTH(OH$3)=$J10)*MAX($KR10:OG10)*$I10)</f>
        <v>1.6002914378855948</v>
      </c>
      <c r="OI10" s="30">
        <f>(DZ10&gt;0)*(MAX($KR10:OH10)+(MONTH(OI$3)=$J10)*MAX($KR10:OH10)*$I10)</f>
        <v>1.6002914378855948</v>
      </c>
      <c r="OJ10" s="30">
        <f>(EA10&gt;0)*(MAX($KR10:OI10)+(MONTH(OJ$3)=$J10)*MAX($KR10:OI10)*$I10)</f>
        <v>1.6002914378855948</v>
      </c>
      <c r="OK10" s="30">
        <f>(EB10&gt;0)*(MAX($KR10:OJ10)+(MONTH(OK$3)=$J10)*MAX($KR10:OJ10)*$I10)</f>
        <v>1.6002914378855948</v>
      </c>
      <c r="OL10" s="30">
        <f>(EC10&gt;0)*(MAX($KR10:OK10)+(MONTH(OL$3)=$J10)*MAX($KR10:OK10)*$I10)</f>
        <v>1.6002914378855948</v>
      </c>
      <c r="OM10" s="30">
        <f>(ED10&gt;0)*(MAX($KR10:OL10)+(MONTH(OM$3)=$J10)*MAX($KR10:OL10)*$I10)</f>
        <v>1.6002914378855948</v>
      </c>
      <c r="ON10" s="30">
        <f>(EE10&gt;0)*(MAX($KR10:OM10)+(MONTH(ON$3)=$J10)*MAX($KR10:OM10)*$I10)</f>
        <v>1.6002914378855948</v>
      </c>
      <c r="OO10" s="30">
        <f>(EF10&gt;0)*(MAX($KR10:ON10)+(MONTH(OO$3)=$J10)*MAX($KR10:ON10)*$I10)</f>
        <v>1.6002914378855948</v>
      </c>
      <c r="OP10" s="30">
        <f>(EG10&gt;0)*(MAX($KR10:OO10)+(MONTH(OP$3)=$J10)*MAX($KR10:OO10)*$I10)</f>
        <v>1.6322972666433067</v>
      </c>
      <c r="OQ10" s="30">
        <f>(EH10&gt;0)*(MAX($KR10:OP10)+(MONTH(OQ$3)=$J10)*MAX($KR10:OP10)*$I10)</f>
        <v>1.6322972666433067</v>
      </c>
      <c r="OR10" s="30">
        <f>(EI10&gt;0)*(MAX($KR10:OQ10)+(MONTH(OR$3)=$J10)*MAX($KR10:OQ10)*$I10)</f>
        <v>1.6322972666433067</v>
      </c>
      <c r="OS10" s="30">
        <f>(EJ10&gt;0)*(MAX($KR10:OR10)+(MONTH(OS$3)=$J10)*MAX($KR10:OR10)*$I10)</f>
        <v>1.6322972666433067</v>
      </c>
      <c r="OT10" s="30">
        <f>(EK10&gt;0)*(MAX($KR10:OS10)+(MONTH(OT$3)=$J10)*MAX($KR10:OS10)*$I10)</f>
        <v>1.6322972666433067</v>
      </c>
      <c r="OU10" s="30">
        <f>(EL10&gt;0)*(MAX($KR10:OT10)+(MONTH(OU$3)=$J10)*MAX($KR10:OT10)*$I10)</f>
        <v>1.6322972666433067</v>
      </c>
      <c r="OV10" s="30">
        <f>(EM10&gt;0)*(MAX($KR10:OU10)+(MONTH(OV$3)=$J10)*MAX($KR10:OU10)*$I10)</f>
        <v>1.6322972666433067</v>
      </c>
      <c r="OW10" s="30">
        <f>(EN10&gt;0)*(MAX($KR10:OV10)+(MONTH(OW$3)=$J10)*MAX($KR10:OV10)*$I10)</f>
        <v>1.6322972666433067</v>
      </c>
      <c r="OX10" s="30">
        <f>(EO10&gt;0)*(MAX($KR10:OW10)+(MONTH(OX$3)=$J10)*MAX($KR10:OW10)*$I10)</f>
        <v>1.6322972666433067</v>
      </c>
      <c r="OY10" s="30">
        <f>(EP10&gt;0)*(MAX($KR10:OX10)+(MONTH(OY$3)=$J10)*MAX($KR10:OX10)*$I10)</f>
        <v>1.6322972666433067</v>
      </c>
      <c r="OZ10" s="30">
        <f>(EQ10&gt;0)*(MAX($KR10:OY10)+(MONTH(OZ$3)=$J10)*MAX($KR10:OY10)*$I10)</f>
        <v>1.6322972666433067</v>
      </c>
      <c r="PA10" s="30">
        <f>(ER10&gt;0)*(MAX($KR10:OZ10)+(MONTH(PA$3)=$J10)*MAX($KR10:OZ10)*$I10)</f>
        <v>1.6322972666433067</v>
      </c>
      <c r="PB10" s="30">
        <f>(ES10&gt;0)*(MAX($KR10:PA10)+(MONTH(PB$3)=$J10)*MAX($KR10:PA10)*$I10)</f>
        <v>0</v>
      </c>
      <c r="PC10" s="30">
        <f>(ET10&gt;0)*(MAX($KR10:PB10)+(MONTH(PC$3)=$J10)*MAX($KR10:PB10)*$I10)</f>
        <v>0</v>
      </c>
      <c r="PD10" s="30">
        <f>(EU10&gt;0)*(MAX($KR10:PC10)+(MONTH(PD$3)=$J10)*MAX($KR10:PC10)*$I10)</f>
        <v>0</v>
      </c>
      <c r="PE10" s="30">
        <f>(EV10&gt;0)*(MAX($KR10:PD10)+(MONTH(PE$3)=$J10)*MAX($KR10:PD10)*$I10)</f>
        <v>0</v>
      </c>
      <c r="PF10" s="30">
        <f>(EW10&gt;0)*(MAX($KR10:PE10)+(MONTH(PF$3)=$J10)*MAX($KR10:PE10)*$I10)</f>
        <v>0</v>
      </c>
      <c r="PG10" s="30">
        <f>(EX10&gt;0)*(MAX($KR10:PF10)+(MONTH(PG$3)=$J10)*MAX($KR10:PF10)*$I10)</f>
        <v>0</v>
      </c>
      <c r="PH10" s="30">
        <f>(EY10&gt;0)*(MAX($KR10:PG10)+(MONTH(PH$3)=$J10)*MAX($KR10:PG10)*$I10)</f>
        <v>0</v>
      </c>
      <c r="PI10" s="30">
        <f>(EZ10&gt;0)*(MAX($KR10:PH10)+(MONTH(PI$3)=$J10)*MAX($KR10:PH10)*$I10)</f>
        <v>0</v>
      </c>
      <c r="PJ10" s="30">
        <f>(FA10&gt;0)*(MAX($KR10:PI10)+(MONTH(PJ$3)=$J10)*MAX($KR10:PI10)*$I10)</f>
        <v>0</v>
      </c>
      <c r="PK10" s="30">
        <f>(FB10&gt;0)*(MAX($KR10:PJ10)+(MONTH(PK$3)=$J10)*MAX($KR10:PJ10)*$I10)</f>
        <v>0</v>
      </c>
      <c r="PL10" s="30">
        <f>(FC10&gt;0)*(MAX($KR10:PK10)+(MONTH(PL$3)=$J10)*MAX($KR10:PK10)*$I10)</f>
        <v>0</v>
      </c>
      <c r="PM10" s="30">
        <f>(FD10&gt;0)*(MAX($KR10:PL10)+(MONTH(PM$3)=$J10)*MAX($KR10:PL10)*$I10)</f>
        <v>0</v>
      </c>
      <c r="PN10" s="30">
        <f>(FE10&gt;0)*(MAX($KR10:PM10)+(MONTH(PN$3)=$J10)*MAX($KR10:PM10)*$I10)</f>
        <v>0</v>
      </c>
      <c r="PO10" s="30">
        <f>(FF10&gt;0)*(MAX($KR10:PN10)+(MONTH(PO$3)=$J10)*MAX($KR10:PN10)*$I10)</f>
        <v>0</v>
      </c>
      <c r="PP10" s="30">
        <f>(FG10&gt;0)*(MAX($KR10:PO10)+(MONTH(PP$3)=$J10)*MAX($KR10:PO10)*$I10)</f>
        <v>0</v>
      </c>
      <c r="PQ10" s="30">
        <f>(FH10&gt;0)*(MAX($KR10:PP10)+(MONTH(PQ$3)=$J10)*MAX($KR10:PP10)*$I10)</f>
        <v>0</v>
      </c>
      <c r="PR10" s="30">
        <f>(FI10&gt;0)*(MAX($KR10:PQ10)+(MONTH(PR$3)=$J10)*MAX($KR10:PQ10)*$I10)</f>
        <v>0</v>
      </c>
      <c r="PS10" s="30">
        <f>(FJ10&gt;0)*(MAX($KR10:PR10)+(MONTH(PS$3)=$J10)*MAX($KR10:PR10)*$I10)</f>
        <v>0</v>
      </c>
      <c r="PT10" s="30">
        <f>(FK10&gt;0)*(MAX($KR10:PS10)+(MONTH(PT$3)=$J10)*MAX($KR10:PS10)*$I10)</f>
        <v>0</v>
      </c>
      <c r="PU10" s="30"/>
      <c r="PV10" s="30"/>
      <c r="PW10" s="46">
        <f t="shared" si="1304"/>
        <v>1.2692976627524544</v>
      </c>
      <c r="PX10" s="30">
        <f>(FN10&gt;0)*(MAX($PW10:PW10)+(MONTH(PX$3)=$V10)*MAX($PW10:PW10)*$U10)</f>
        <v>0</v>
      </c>
      <c r="PY10" s="30">
        <f>(FO10&gt;0)*(MAX($PW10:PX10)+(MONTH(PY$3)=$V10)*MAX($PW10:PX10)*$U10)</f>
        <v>0</v>
      </c>
      <c r="PZ10" s="30">
        <f>(FP10&gt;0)*(MAX($PW10:PY10)+(MONTH(PZ$3)=$V10)*MAX($PW10:PY10)*$U10)</f>
        <v>0</v>
      </c>
      <c r="QA10" s="30">
        <f>(FQ10&gt;0)*(MAX($PW10:PZ10)+(MONTH(QA$3)=$V10)*MAX($PW10:PZ10)*$U10)</f>
        <v>0</v>
      </c>
      <c r="QB10" s="30">
        <f>(FR10&gt;0)*(MAX($PW10:QA10)+(MONTH(QB$3)=$V10)*MAX($PW10:QA10)*$U10)</f>
        <v>0</v>
      </c>
      <c r="QC10" s="30">
        <f>(FS10&gt;0)*(MAX($PW10:QB10)+(MONTH(QC$3)=$V10)*MAX($PW10:QB10)*$U10)</f>
        <v>0</v>
      </c>
      <c r="QD10" s="30">
        <f>(FT10&gt;0)*(MAX($PW10:QC10)+(MONTH(QD$3)=$V10)*MAX($PW10:QC10)*$U10)</f>
        <v>0</v>
      </c>
      <c r="QE10" s="30">
        <f>(FU10&gt;0)*(MAX($PW10:QD10)+(MONTH(QE$3)=$V10)*MAX($PW10:QD10)*$U10)</f>
        <v>0</v>
      </c>
      <c r="QF10" s="30">
        <f>(FV10&gt;0)*(MAX($PW10:QE10)+(MONTH(QF$3)=$V10)*MAX($PW10:QE10)*$U10)</f>
        <v>0</v>
      </c>
      <c r="QG10" s="30">
        <f>(FW10&gt;0)*(MAX($PW10:QF10)+(MONTH(QG$3)=$V10)*MAX($PW10:QF10)*$U10)</f>
        <v>0</v>
      </c>
      <c r="QH10" s="30">
        <f>(FX10&gt;0)*(MAX($PW10:QG10)+(MONTH(QH$3)=$V10)*MAX($PW10:QG10)*$U10)</f>
        <v>0</v>
      </c>
      <c r="QI10" s="30">
        <f>(FY10&gt;0)*(MAX($PW10:QH10)+(MONTH(QI$3)=$V10)*MAX($PW10:QH10)*$U10)</f>
        <v>0</v>
      </c>
      <c r="QJ10" s="30">
        <f>(FZ10&gt;0)*(MAX($PW10:QI10)+(MONTH(QJ$3)=$V10)*MAX($PW10:QI10)*$U10)</f>
        <v>0</v>
      </c>
      <c r="QK10" s="30">
        <f>(GA10&gt;0)*(MAX($PW10:QJ10)+(MONTH(QK$3)=$V10)*MAX($PW10:QJ10)*$U10)</f>
        <v>0</v>
      </c>
      <c r="QL10" s="30">
        <f>(GB10&gt;0)*(MAX($PW10:QK10)+(MONTH(QL$3)=$V10)*MAX($PW10:QK10)*$U10)</f>
        <v>0</v>
      </c>
      <c r="QM10" s="30">
        <f>(GC10&gt;0)*(MAX($PW10:QL10)+(MONTH(QM$3)=$V10)*MAX($PW10:QL10)*$U10)</f>
        <v>0</v>
      </c>
      <c r="QN10" s="30">
        <f>(GD10&gt;0)*(MAX($PW10:QM10)+(MONTH(QN$3)=$V10)*MAX($PW10:QM10)*$U10)</f>
        <v>0</v>
      </c>
      <c r="QO10" s="30">
        <f>(GE10&gt;0)*(MAX($PW10:QN10)+(MONTH(QO$3)=$V10)*MAX($PW10:QN10)*$U10)</f>
        <v>0</v>
      </c>
      <c r="QP10" s="30">
        <f>(GF10&gt;0)*(MAX($PW10:QO10)+(MONTH(QP$3)=$V10)*MAX($PW10:QO10)*$U10)</f>
        <v>0</v>
      </c>
      <c r="QQ10" s="30">
        <f>(GG10&gt;0)*(MAX($PW10:QP10)+(MONTH(QQ$3)=$V10)*MAX($PW10:QP10)*$U10)</f>
        <v>0</v>
      </c>
      <c r="QR10" s="30">
        <f>(GH10&gt;0)*(MAX($PW10:QQ10)+(MONTH(QR$3)=$V10)*MAX($PW10:QQ10)*$U10)</f>
        <v>0</v>
      </c>
      <c r="QS10" s="30">
        <f>(GI10&gt;0)*(MAX($PW10:QR10)+(MONTH(QS$3)=$V10)*MAX($PW10:QR10)*$U10)</f>
        <v>0</v>
      </c>
      <c r="QT10" s="30">
        <f>(GJ10&gt;0)*(MAX($PW10:QS10)+(MONTH(QT$3)=$V10)*MAX($PW10:QS10)*$U10)</f>
        <v>0</v>
      </c>
      <c r="QU10" s="30">
        <f>(GK10&gt;0)*(MAX($PW10:QT10)+(MONTH(QU$3)=$V10)*MAX($PW10:QT10)*$U10)</f>
        <v>0</v>
      </c>
      <c r="QV10" s="30">
        <f>(GL10&gt;0)*(MAX($PW10:QU10)+(MONTH(QV$3)=$V10)*MAX($PW10:QU10)*$U10)</f>
        <v>0</v>
      </c>
      <c r="QW10" s="30">
        <f>(GM10&gt;0)*(MAX($PW10:QV10)+(MONTH(QW$3)=$V10)*MAX($PW10:QV10)*$U10)</f>
        <v>0</v>
      </c>
      <c r="QX10" s="30">
        <f>(GN10&gt;0)*(MAX($PW10:QW10)+(MONTH(QX$3)=$V10)*MAX($PW10:QW10)*$U10)</f>
        <v>0</v>
      </c>
      <c r="QY10" s="30">
        <f>(GO10&gt;0)*(MAX($PW10:QX10)+(MONTH(QY$3)=$V10)*MAX($PW10:QX10)*$U10)</f>
        <v>0</v>
      </c>
      <c r="QZ10" s="30">
        <f>(GP10&gt;0)*(MAX($PW10:QY10)+(MONTH(QZ$3)=$V10)*MAX($PW10:QY10)*$U10)</f>
        <v>0</v>
      </c>
      <c r="RA10" s="30">
        <f>(GQ10&gt;0)*(MAX($PW10:QZ10)+(MONTH(RA$3)=$V10)*MAX($PW10:QZ10)*$U10)</f>
        <v>0</v>
      </c>
      <c r="RB10" s="30">
        <f>(GR10&gt;0)*(MAX($PW10:RA10)+(MONTH(RB$3)=$V10)*MAX($PW10:RA10)*$U10)</f>
        <v>0</v>
      </c>
      <c r="RC10" s="30">
        <f>(GS10&gt;0)*(MAX($PW10:RB10)+(MONTH(RC$3)=$V10)*MAX($PW10:RB10)*$U10)</f>
        <v>0</v>
      </c>
      <c r="RD10" s="30">
        <f>(GT10&gt;0)*(MAX($PW10:RC10)+(MONTH(RD$3)=$V10)*MAX($PW10:RC10)*$U10)</f>
        <v>0</v>
      </c>
      <c r="RE10" s="30">
        <f>(GU10&gt;0)*(MAX($PW10:RD10)+(MONTH(RE$3)=$V10)*MAX($PW10:RD10)*$U10)</f>
        <v>0</v>
      </c>
      <c r="RF10" s="30">
        <f>(GV10&gt;0)*(MAX($PW10:RE10)+(MONTH(RF$3)=$V10)*MAX($PW10:RE10)*$U10)</f>
        <v>0</v>
      </c>
      <c r="RG10" s="30">
        <f>(GW10&gt;0)*(MAX($PW10:RF10)+(MONTH(RG$3)=$V10)*MAX($PW10:RF10)*$U10)</f>
        <v>0</v>
      </c>
      <c r="RH10" s="30">
        <f>(GX10&gt;0)*(MAX($PW10:RG10)+(MONTH(RH$3)=$V10)*MAX($PW10:RG10)*$U10)</f>
        <v>0</v>
      </c>
      <c r="RI10" s="30">
        <f>(GY10&gt;0)*(MAX($PW10:RH10)+(MONTH(RI$3)=$V10)*MAX($PW10:RH10)*$U10)</f>
        <v>0</v>
      </c>
      <c r="RJ10" s="30">
        <f>(GZ10&gt;0)*(MAX($PW10:RI10)+(MONTH(RJ$3)=$V10)*MAX($PW10:RI10)*$U10)</f>
        <v>0</v>
      </c>
      <c r="RK10" s="30">
        <f>(HA10&gt;0)*(MAX($PW10:RJ10)+(MONTH(RK$3)=$V10)*MAX($PW10:RJ10)*$U10)</f>
        <v>0</v>
      </c>
      <c r="RL10" s="30">
        <f>(HB10&gt;0)*(MAX($PW10:RK10)+(MONTH(RL$3)=$V10)*MAX($PW10:RK10)*$U10)</f>
        <v>0</v>
      </c>
      <c r="RM10" s="30">
        <f>(HC10&gt;0)*(MAX($PW10:RL10)+(MONTH(RM$3)=$V10)*MAX($PW10:RL10)*$U10)</f>
        <v>0</v>
      </c>
      <c r="RN10" s="30">
        <f>(HD10&gt;0)*(MAX($PW10:RM10)+(MONTH(RN$3)=$V10)*MAX($PW10:RM10)*$U10)</f>
        <v>0</v>
      </c>
      <c r="RO10" s="30">
        <f>(HE10&gt;0)*(MAX($PW10:RN10)+(MONTH(RO$3)=$V10)*MAX($PW10:RN10)*$U10)</f>
        <v>0</v>
      </c>
      <c r="RP10" s="30">
        <f>(HF10&gt;0)*(MAX($PW10:RO10)+(MONTH(RP$3)=$V10)*MAX($PW10:RO10)*$U10)</f>
        <v>0</v>
      </c>
      <c r="RQ10" s="30">
        <f>(HG10&gt;0)*(MAX($PW10:RP10)+(MONTH(RQ$3)=$V10)*MAX($PW10:RP10)*$U10)</f>
        <v>0</v>
      </c>
      <c r="RR10" s="30">
        <f>(HH10&gt;0)*(MAX($PW10:RQ10)+(MONTH(RR$3)=$V10)*MAX($PW10:RQ10)*$U10)</f>
        <v>0</v>
      </c>
      <c r="RS10" s="30">
        <f>(HI10&gt;0)*(MAX($PW10:RR10)+(MONTH(RS$3)=$V10)*MAX($PW10:RR10)*$U10)</f>
        <v>0</v>
      </c>
      <c r="RT10" s="30">
        <f>(HJ10&gt;0)*(MAX($PW10:RS10)+(MONTH(RT$3)=$V10)*MAX($PW10:RS10)*$U10)</f>
        <v>0</v>
      </c>
      <c r="RU10" s="30">
        <f>(HK10&gt;0)*(MAX($PW10:RT10)+(MONTH(RU$3)=$V10)*MAX($PW10:RT10)*$U10)</f>
        <v>0</v>
      </c>
      <c r="RV10" s="30">
        <f>(HL10&gt;0)*(MAX($PW10:RU10)+(MONTH(RV$3)=$V10)*MAX($PW10:RU10)*$U10)</f>
        <v>0</v>
      </c>
      <c r="RW10" s="30">
        <f>(HM10&gt;0)*(MAX($PW10:RV10)+(MONTH(RW$3)=$V10)*MAX($PW10:RV10)*$U10)</f>
        <v>0</v>
      </c>
      <c r="RX10" s="30">
        <f>(HN10&gt;0)*(MAX($PW10:RW10)+(MONTH(RX$3)=$V10)*MAX($PW10:RW10)*$U10)</f>
        <v>0</v>
      </c>
      <c r="RY10" s="30">
        <f>(HO10&gt;0)*(MAX($PW10:RX10)+(MONTH(RY$3)=$V10)*MAX($PW10:RX10)*$U10)</f>
        <v>0</v>
      </c>
      <c r="RZ10" s="30">
        <f>(HP10&gt;0)*(MAX($PW10:RY10)+(MONTH(RZ$3)=$V10)*MAX($PW10:RY10)*$U10)</f>
        <v>0</v>
      </c>
      <c r="SA10" s="30">
        <f>(HQ10&gt;0)*(MAX($PW10:RZ10)+(MONTH(SA$3)=$V10)*MAX($PW10:RZ10)*$U10)</f>
        <v>0</v>
      </c>
      <c r="SB10" s="30">
        <f>(HR10&gt;0)*(MAX($PW10:SA10)+(MONTH(SB$3)=$V10)*MAX($PW10:SA10)*$U10)</f>
        <v>0</v>
      </c>
      <c r="SC10" s="30">
        <f>(HS10&gt;0)*(MAX($PW10:SB10)+(MONTH(SC$3)=$V10)*MAX($PW10:SB10)*$U10)</f>
        <v>0</v>
      </c>
      <c r="SD10" s="30">
        <f>(HT10&gt;0)*(MAX($PW10:SC10)+(MONTH(SD$3)=$V10)*MAX($PW10:SC10)*$U10)</f>
        <v>0</v>
      </c>
      <c r="SE10" s="30">
        <f>(HU10&gt;0)*(MAX($PW10:SD10)+(MONTH(SE$3)=$V10)*MAX($PW10:SD10)*$U10)</f>
        <v>0</v>
      </c>
      <c r="SF10" s="30">
        <f>(HV10&gt;0)*(MAX($PW10:SE10)+(MONTH(SF$3)=$V10)*MAX($PW10:SE10)*$U10)</f>
        <v>0</v>
      </c>
      <c r="SG10" s="30">
        <f>(HW10&gt;0)*(MAX($PW10:SF10)+(MONTH(SG$3)=$V10)*MAX($PW10:SF10)*$U10)</f>
        <v>0</v>
      </c>
      <c r="SH10" s="30">
        <f>(HX10&gt;0)*(MAX($PW10:SG10)+(MONTH(SH$3)=$V10)*MAX($PW10:SG10)*$U10)</f>
        <v>0</v>
      </c>
      <c r="SI10" s="30">
        <f>(HY10&gt;0)*(MAX($PW10:SH10)+(MONTH(SI$3)=$V10)*MAX($PW10:SH10)*$U10)</f>
        <v>0</v>
      </c>
      <c r="SJ10" s="30">
        <f>(HZ10&gt;0)*(MAX($PW10:SI10)+(MONTH(SJ$3)=$V10)*MAX($PW10:SI10)*$U10)</f>
        <v>0</v>
      </c>
      <c r="SK10" s="30">
        <f>(IA10&gt;0)*(MAX($PW10:SJ10)+(MONTH(SK$3)=$V10)*MAX($PW10:SJ10)*$U10)</f>
        <v>0</v>
      </c>
      <c r="SL10" s="30">
        <f>(IB10&gt;0)*(MAX($PW10:SK10)+(MONTH(SL$3)=$V10)*MAX($PW10:SK10)*$U10)</f>
        <v>0</v>
      </c>
      <c r="SM10" s="30">
        <f>(IC10&gt;0)*(MAX($PW10:SL10)+(MONTH(SM$3)=$V10)*MAX($PW10:SL10)*$U10)</f>
        <v>0</v>
      </c>
      <c r="SN10" s="30">
        <f>(ID10&gt;0)*(MAX($PW10:SM10)+(MONTH(SN$3)=$V10)*MAX($PW10:SM10)*$U10)</f>
        <v>0</v>
      </c>
      <c r="SO10" s="30">
        <f>(IE10&gt;0)*(MAX($PW10:SN10)+(MONTH(SO$3)=$V10)*MAX($PW10:SN10)*$U10)</f>
        <v>0</v>
      </c>
      <c r="SP10" s="30">
        <f>(IF10&gt;0)*(MAX($PW10:SO10)+(MONTH(SP$3)=$V10)*MAX($PW10:SO10)*$U10)</f>
        <v>0</v>
      </c>
      <c r="SQ10" s="30">
        <f>(IG10&gt;0)*(MAX($PW10:SP10)+(MONTH(SQ$3)=$V10)*MAX($PW10:SP10)*$U10)</f>
        <v>0</v>
      </c>
      <c r="SR10" s="30">
        <f>(IH10&gt;0)*(MAX($PW10:SQ10)+(MONTH(SR$3)=$V10)*MAX($PW10:SQ10)*$U10)</f>
        <v>0</v>
      </c>
      <c r="SS10" s="30">
        <f>(II10&gt;0)*(MAX($PW10:SR10)+(MONTH(SS$3)=$V10)*MAX($PW10:SR10)*$U10)</f>
        <v>0</v>
      </c>
      <c r="ST10" s="30">
        <f>(IJ10&gt;0)*(MAX($PW10:SS10)+(MONTH(ST$3)=$V10)*MAX($PW10:SS10)*$U10)</f>
        <v>0</v>
      </c>
      <c r="SU10" s="30">
        <f>(IK10&gt;0)*(MAX($PW10:ST10)+(MONTH(SU$3)=$V10)*MAX($PW10:ST10)*$U10)</f>
        <v>0</v>
      </c>
      <c r="SV10" s="30">
        <f>(IL10&gt;0)*(MAX($PW10:SU10)+(MONTH(SV$3)=$V10)*MAX($PW10:SU10)*$U10)</f>
        <v>0</v>
      </c>
      <c r="SW10" s="30">
        <f>(IM10&gt;0)*(MAX($PW10:SV10)+(MONTH(SW$3)=$V10)*MAX($PW10:SV10)*$U10)</f>
        <v>0</v>
      </c>
      <c r="SX10" s="30">
        <f>(IN10&gt;0)*(MAX($PW10:SW10)+(MONTH(SX$3)=$V10)*MAX($PW10:SW10)*$U10)</f>
        <v>0</v>
      </c>
      <c r="SY10" s="30">
        <f>(IO10&gt;0)*(MAX($PW10:SX10)+(MONTH(SY$3)=$V10)*MAX($PW10:SX10)*$U10)</f>
        <v>0</v>
      </c>
      <c r="SZ10" s="30">
        <f>(IP10&gt;0)*(MAX($PW10:SY10)+(MONTH(SZ$3)=$V10)*MAX($PW10:SY10)*$U10)</f>
        <v>0</v>
      </c>
      <c r="TA10" s="30">
        <f>(IQ10&gt;0)*(MAX($PW10:SZ10)+(MONTH(TA$3)=$V10)*MAX($PW10:SZ10)*$U10)</f>
        <v>0</v>
      </c>
      <c r="TB10" s="30">
        <f>(IR10&gt;0)*(MAX($PW10:TA10)+(MONTH(TB$3)=$V10)*MAX($PW10:TA10)*$U10)</f>
        <v>0</v>
      </c>
      <c r="TC10" s="30">
        <f>(IS10&gt;0)*(MAX($PW10:TB10)+(MONTH(TC$3)=$V10)*MAX($PW10:TB10)*$U10)</f>
        <v>0</v>
      </c>
      <c r="TD10" s="30">
        <f>(IT10&gt;0)*(MAX($PW10:TC10)+(MONTH(TD$3)=$V10)*MAX($PW10:TC10)*$U10)</f>
        <v>0</v>
      </c>
      <c r="TE10" s="30">
        <f>(IU10&gt;0)*(MAX($PW10:TD10)+(MONTH(TE$3)=$V10)*MAX($PW10:TD10)*$U10)</f>
        <v>0</v>
      </c>
      <c r="TF10" s="30">
        <f>(IV10&gt;0)*(MAX($PW10:TE10)+(MONTH(TF$3)=$V10)*MAX($PW10:TE10)*$U10)</f>
        <v>0</v>
      </c>
      <c r="TG10" s="30">
        <f>(IW10&gt;0)*(MAX($PW10:TF10)+(MONTH(TG$3)=$V10)*MAX($PW10:TF10)*$U10)</f>
        <v>0</v>
      </c>
      <c r="TH10" s="30">
        <f>(IX10&gt;0)*(MAX($PW10:TG10)+(MONTH(TH$3)=$V10)*MAX($PW10:TG10)*$U10)</f>
        <v>0</v>
      </c>
      <c r="TI10" s="30">
        <f>(IY10&gt;0)*(MAX($PW10:TH10)+(MONTH(TI$3)=$V10)*MAX($PW10:TH10)*$U10)</f>
        <v>0</v>
      </c>
      <c r="TJ10" s="30">
        <f>(IZ10&gt;0)*(MAX($PW10:TI10)+(MONTH(TJ$3)=$V10)*MAX($PW10:TI10)*$U10)</f>
        <v>0</v>
      </c>
      <c r="TK10" s="30">
        <f>(JA10&gt;0)*(MAX($PW10:TJ10)+(MONTH(TK$3)=$V10)*MAX($PW10:TJ10)*$U10)</f>
        <v>0</v>
      </c>
      <c r="TL10" s="30">
        <f>(JB10&gt;0)*(MAX($PW10:TK10)+(MONTH(TL$3)=$V10)*MAX($PW10:TK10)*$U10)</f>
        <v>0</v>
      </c>
      <c r="TM10" s="30">
        <f>(JC10&gt;0)*(MAX($PW10:TL10)+(MONTH(TM$3)=$V10)*MAX($PW10:TL10)*$U10)</f>
        <v>0</v>
      </c>
      <c r="TN10" s="30">
        <f>(JD10&gt;0)*(MAX($PW10:TM10)+(MONTH(TN$3)=$V10)*MAX($PW10:TM10)*$U10)</f>
        <v>0</v>
      </c>
      <c r="TO10" s="30">
        <f>(JE10&gt;0)*(MAX($PW10:TN10)+(MONTH(TO$3)=$V10)*MAX($PW10:TN10)*$U10)</f>
        <v>0</v>
      </c>
      <c r="TP10" s="30">
        <f>(JF10&gt;0)*(MAX($PW10:TO10)+(MONTH(TP$3)=$V10)*MAX($PW10:TO10)*$U10)</f>
        <v>0</v>
      </c>
      <c r="TQ10" s="30">
        <f>(JG10&gt;0)*(MAX($PW10:TP10)+(MONTH(TQ$3)=$V10)*MAX($PW10:TP10)*$U10)</f>
        <v>0</v>
      </c>
      <c r="TR10" s="30">
        <f>(JH10&gt;0)*(MAX($PW10:TQ10)+(MONTH(TR$3)=$V10)*MAX($PW10:TQ10)*$U10)</f>
        <v>0</v>
      </c>
      <c r="TS10" s="30">
        <f>(JI10&gt;0)*(MAX($PW10:TR10)+(MONTH(TS$3)=$V10)*MAX($PW10:TR10)*$U10)</f>
        <v>0</v>
      </c>
      <c r="TT10" s="30">
        <f>(JJ10&gt;0)*(MAX($PW10:TS10)+(MONTH(TT$3)=$V10)*MAX($PW10:TS10)*$U10)</f>
        <v>0</v>
      </c>
      <c r="TU10" s="30">
        <f>(JK10&gt;0)*(MAX($PW10:TT10)+(MONTH(TU$3)=$V10)*MAX($PW10:TT10)*$U10)</f>
        <v>0</v>
      </c>
      <c r="TV10" s="30">
        <f>(JL10&gt;0)*(MAX($PW10:TU10)+(MONTH(TV$3)=$V10)*MAX($PW10:TU10)*$U10)</f>
        <v>0</v>
      </c>
      <c r="TW10" s="30">
        <f>(JM10&gt;0)*(MAX($PW10:TV10)+(MONTH(TW$3)=$V10)*MAX($PW10:TV10)*$U10)</f>
        <v>0</v>
      </c>
      <c r="TX10" s="30">
        <f>(JN10&gt;0)*(MAX($PW10:TW10)+(MONTH(TX$3)=$V10)*MAX($PW10:TW10)*$U10)</f>
        <v>0</v>
      </c>
      <c r="TY10" s="30">
        <f>(JO10&gt;0)*(MAX($PW10:TX10)+(MONTH(TY$3)=$V10)*MAX($PW10:TX10)*$U10)</f>
        <v>0</v>
      </c>
      <c r="TZ10" s="30">
        <f>(JP10&gt;0)*(MAX($PW10:TY10)+(MONTH(TZ$3)=$V10)*MAX($PW10:TY10)*$U10)</f>
        <v>0</v>
      </c>
      <c r="UA10" s="30">
        <f>(JQ10&gt;0)*(MAX($PW10:TZ10)+(MONTH(UA$3)=$V10)*MAX($PW10:TZ10)*$U10)</f>
        <v>0</v>
      </c>
      <c r="UB10" s="30">
        <f>(JR10&gt;0)*(MAX($PW10:UA10)+(MONTH(UB$3)=$V10)*MAX($PW10:UA10)*$U10)</f>
        <v>0</v>
      </c>
      <c r="UC10" s="30">
        <f>(JS10&gt;0)*(MAX($PW10:UB10)+(MONTH(UC$3)=$V10)*MAX($PW10:UB10)*$U10)</f>
        <v>0</v>
      </c>
      <c r="UD10" s="30">
        <f>(JT10&gt;0)*(MAX($PW10:UC10)+(MONTH(UD$3)=$V10)*MAX($PW10:UC10)*$U10)</f>
        <v>0</v>
      </c>
      <c r="UE10" s="30">
        <f>(JU10&gt;0)*(MAX($PW10:UD10)+(MONTH(UE$3)=$V10)*MAX($PW10:UD10)*$U10)</f>
        <v>0</v>
      </c>
      <c r="UF10" s="30">
        <f>(JV10&gt;0)*(MAX($PW10:UE10)+(MONTH(UF$3)=$V10)*MAX($PW10:UE10)*$U10)</f>
        <v>0</v>
      </c>
      <c r="UG10" s="30">
        <f>(JW10&gt;0)*(MAX($PW10:UF10)+(MONTH(UG$3)=$V10)*MAX($PW10:UF10)*$U10)</f>
        <v>0</v>
      </c>
      <c r="UH10" s="30">
        <f>(JX10&gt;0)*(MAX($PW10:UG10)+(MONTH(UH$3)=$V10)*MAX($PW10:UG10)*$U10)</f>
        <v>0</v>
      </c>
      <c r="UI10" s="30">
        <f>(JY10&gt;0)*(MAX($PW10:UH10)+(MONTH(UI$3)=$V10)*MAX($PW10:UH10)*$U10)</f>
        <v>1.2946836160075035</v>
      </c>
      <c r="UJ10" s="30">
        <f>(JZ10&gt;0)*(MAX($PW10:UI10)+(MONTH(UJ$3)=$V10)*MAX($PW10:UI10)*$U10)</f>
        <v>1.2946836160075035</v>
      </c>
      <c r="UK10" s="30">
        <f>(KA10&gt;0)*(MAX($PW10:UJ10)+(MONTH(UK$3)=$V10)*MAX($PW10:UJ10)*$U10)</f>
        <v>1.2946836160075035</v>
      </c>
      <c r="UL10" s="30">
        <f>(KB10&gt;0)*(MAX($PW10:UK10)+(MONTH(UL$3)=$V10)*MAX($PW10:UK10)*$U10)</f>
        <v>1.2946836160075035</v>
      </c>
      <c r="UM10" s="30">
        <f>(KC10&gt;0)*(MAX($PW10:UL10)+(MONTH(UM$3)=$V10)*MAX($PW10:UL10)*$U10)</f>
        <v>1.2946836160075035</v>
      </c>
      <c r="UN10" s="30">
        <f>(KD10&gt;0)*(MAX($PW10:UM10)+(MONTH(UN$3)=$V10)*MAX($PW10:UM10)*$U10)</f>
        <v>1.2946836160075035</v>
      </c>
      <c r="UO10" s="30">
        <f>(KE10&gt;0)*(MAX($PW10:UN10)+(MONTH(UO$3)=$V10)*MAX($PW10:UN10)*$U10)</f>
        <v>1.2946836160075035</v>
      </c>
      <c r="UP10" s="30">
        <f>(KF10&gt;0)*(MAX($PW10:UO10)+(MONTH(UP$3)=$V10)*MAX($PW10:UO10)*$U10)</f>
        <v>1.2946836160075035</v>
      </c>
      <c r="UQ10" s="30">
        <f>(KG10&gt;0)*(MAX($PW10:UP10)+(MONTH(UQ$3)=$V10)*MAX($PW10:UP10)*$U10)</f>
        <v>1.2946836160075035</v>
      </c>
      <c r="UR10" s="30">
        <f>(KH10&gt;0)*(MAX($PW10:UQ10)+(MONTH(UR$3)=$V10)*MAX($PW10:UQ10)*$U10)</f>
        <v>1.2946836160075035</v>
      </c>
      <c r="US10" s="30">
        <f>(KI10&gt;0)*(MAX($PW10:UR10)+(MONTH(US$3)=$V10)*MAX($PW10:UR10)*$U10)</f>
        <v>1.2946836160075035</v>
      </c>
      <c r="UT10" s="30">
        <f>(KJ10&gt;0)*(MAX($PW10:US10)+(MONTH(UT$3)=$V10)*MAX($PW10:US10)*$U10)</f>
        <v>1.2946836160075035</v>
      </c>
      <c r="UU10" s="30">
        <f>(KK10&gt;0)*(MAX($PW10:UT10)+(MONTH(UU$3)=$V10)*MAX($PW10:UT10)*$U10)</f>
        <v>1.3205772883276536</v>
      </c>
      <c r="UV10" s="30">
        <f>(KL10&gt;0)*(MAX($PW10:UU10)+(MONTH(UV$3)=$V10)*MAX($PW10:UU10)*$U10)</f>
        <v>1.3205772883276536</v>
      </c>
      <c r="UW10" s="30">
        <f>(KM10&gt;0)*(MAX($PW10:UV10)+(MONTH(UW$3)=$V10)*MAX($PW10:UV10)*$U10)</f>
        <v>1.3205772883276536</v>
      </c>
      <c r="UX10" s="30">
        <f>(KN10&gt;0)*(MAX($PW10:UW10)+(MONTH(UX$3)=$V10)*MAX($PW10:UW10)*$U10)</f>
        <v>1.3205772883276536</v>
      </c>
      <c r="UY10" s="30">
        <f>(KO10&gt;0)*(MAX($PW10:UX10)+(MONTH(UY$3)=$V10)*MAX($PW10:UX10)*$U10)</f>
        <v>1.3205772883276536</v>
      </c>
      <c r="UZ10" s="17"/>
      <c r="VA10" s="17"/>
      <c r="VB10" s="17">
        <f t="shared" si="1305"/>
        <v>62596.14166666667</v>
      </c>
      <c r="VC10" s="17">
        <f t="shared" si="1138"/>
        <v>62596.14166666667</v>
      </c>
      <c r="VD10" s="17">
        <f t="shared" si="1139"/>
        <v>62596.14166666667</v>
      </c>
      <c r="VE10" s="17">
        <f t="shared" si="1140"/>
        <v>62596.14166666667</v>
      </c>
      <c r="VF10" s="17">
        <f t="shared" si="1141"/>
        <v>62596.14166666667</v>
      </c>
      <c r="VG10" s="17">
        <f t="shared" si="1142"/>
        <v>63848.064500000008</v>
      </c>
      <c r="VH10" s="17">
        <f t="shared" si="1143"/>
        <v>63848.064500000008</v>
      </c>
      <c r="VI10" s="17">
        <f t="shared" si="1144"/>
        <v>63848.064500000008</v>
      </c>
      <c r="VJ10" s="17">
        <f t="shared" si="1145"/>
        <v>63848.064500000008</v>
      </c>
      <c r="VK10" s="17">
        <f t="shared" si="1146"/>
        <v>63848.064500000008</v>
      </c>
      <c r="VL10" s="17">
        <f t="shared" si="1147"/>
        <v>63848.064500000008</v>
      </c>
      <c r="VM10" s="17">
        <f t="shared" si="1148"/>
        <v>63848.064500000008</v>
      </c>
      <c r="VN10" s="17">
        <f t="shared" si="1149"/>
        <v>63848.064500000008</v>
      </c>
      <c r="VO10" s="17">
        <f t="shared" si="1150"/>
        <v>63848.064500000008</v>
      </c>
      <c r="VP10" s="17">
        <f t="shared" si="1151"/>
        <v>63848.064500000008</v>
      </c>
      <c r="VQ10" s="17">
        <f t="shared" si="1152"/>
        <v>63848.064500000008</v>
      </c>
      <c r="VR10" s="17">
        <f t="shared" si="1153"/>
        <v>63848.064500000008</v>
      </c>
      <c r="VS10" s="17">
        <f t="shared" si="1154"/>
        <v>65125.025790000007</v>
      </c>
      <c r="VT10" s="17">
        <f t="shared" si="1155"/>
        <v>65125.025790000007</v>
      </c>
      <c r="VU10" s="17">
        <f t="shared" si="1156"/>
        <v>65125.025790000007</v>
      </c>
      <c r="VV10" s="17">
        <f t="shared" si="1157"/>
        <v>65125.025790000007</v>
      </c>
      <c r="VW10" s="17">
        <f t="shared" si="1158"/>
        <v>65125.025790000007</v>
      </c>
      <c r="VX10" s="17">
        <f t="shared" si="1159"/>
        <v>65125.025790000007</v>
      </c>
      <c r="VY10" s="17">
        <f t="shared" si="1160"/>
        <v>65125.025790000007</v>
      </c>
      <c r="VZ10" s="17">
        <f t="shared" si="1161"/>
        <v>65125.025790000007</v>
      </c>
      <c r="WA10" s="17">
        <f t="shared" si="1162"/>
        <v>65125.025790000007</v>
      </c>
      <c r="WB10" s="17">
        <f t="shared" si="1163"/>
        <v>65125.025790000007</v>
      </c>
      <c r="WC10" s="17">
        <f t="shared" si="1164"/>
        <v>65125.025790000007</v>
      </c>
      <c r="WD10" s="17">
        <f t="shared" si="1165"/>
        <v>65125.025790000007</v>
      </c>
      <c r="WE10" s="17">
        <f t="shared" si="1166"/>
        <v>66427.526305800013</v>
      </c>
      <c r="WF10" s="17">
        <f t="shared" si="1167"/>
        <v>66427.526305800013</v>
      </c>
      <c r="WG10" s="17">
        <f t="shared" si="1168"/>
        <v>66427.526305800013</v>
      </c>
      <c r="WH10" s="17">
        <f t="shared" si="1169"/>
        <v>66427.526305800013</v>
      </c>
      <c r="WI10" s="17">
        <f t="shared" si="1170"/>
        <v>66427.526305800013</v>
      </c>
      <c r="WJ10" s="17">
        <f t="shared" si="1171"/>
        <v>66427.526305800013</v>
      </c>
      <c r="WK10" s="17">
        <f t="shared" si="1172"/>
        <v>66427.526305800013</v>
      </c>
      <c r="WL10" s="17">
        <f t="shared" si="1173"/>
        <v>66427.526305800013</v>
      </c>
      <c r="WM10" s="17">
        <f t="shared" si="1174"/>
        <v>66427.526305800013</v>
      </c>
      <c r="WN10" s="17">
        <f t="shared" si="1175"/>
        <v>66427.526305800013</v>
      </c>
      <c r="WO10" s="17">
        <f t="shared" si="1176"/>
        <v>66427.526305800013</v>
      </c>
      <c r="WP10" s="17">
        <f t="shared" si="1177"/>
        <v>66427.526305800013</v>
      </c>
      <c r="WQ10" s="17">
        <f t="shared" si="1178"/>
        <v>67756.076831916012</v>
      </c>
      <c r="WR10" s="17">
        <f t="shared" si="1179"/>
        <v>67756.076831916012</v>
      </c>
      <c r="WS10" s="17">
        <f t="shared" si="1180"/>
        <v>67756.076831916012</v>
      </c>
      <c r="WT10" s="17">
        <f t="shared" si="1181"/>
        <v>67756.076831916012</v>
      </c>
      <c r="WU10" s="17">
        <f t="shared" si="1182"/>
        <v>67756.076831916012</v>
      </c>
      <c r="WV10" s="17">
        <f t="shared" si="1183"/>
        <v>67756.076831916012</v>
      </c>
      <c r="WW10" s="17">
        <f t="shared" si="1184"/>
        <v>67756.076831916012</v>
      </c>
      <c r="WX10" s="17">
        <f t="shared" si="1185"/>
        <v>67756.076831916012</v>
      </c>
      <c r="WY10" s="17">
        <f t="shared" si="1186"/>
        <v>67756.076831916012</v>
      </c>
      <c r="WZ10" s="17">
        <f t="shared" si="1187"/>
        <v>67756.076831916012</v>
      </c>
      <c r="XA10" s="17">
        <f t="shared" si="1188"/>
        <v>67756.076831916012</v>
      </c>
      <c r="XB10" s="17">
        <f t="shared" si="1189"/>
        <v>67756.076831916012</v>
      </c>
      <c r="XC10" s="17">
        <f t="shared" si="1190"/>
        <v>69111.198368554324</v>
      </c>
      <c r="XD10" s="17">
        <f t="shared" si="1191"/>
        <v>69111.198368554324</v>
      </c>
      <c r="XE10" s="17">
        <f t="shared" si="1192"/>
        <v>69111.198368554324</v>
      </c>
      <c r="XF10" s="17">
        <f t="shared" si="1193"/>
        <v>69111.198368554324</v>
      </c>
      <c r="XG10" s="17">
        <f t="shared" si="1194"/>
        <v>69111.198368554324</v>
      </c>
      <c r="XH10" s="17">
        <f t="shared" si="1195"/>
        <v>69111.198368554324</v>
      </c>
      <c r="XI10" s="17">
        <f t="shared" si="1196"/>
        <v>69111.198368554324</v>
      </c>
      <c r="XJ10" s="17">
        <f t="shared" si="1197"/>
        <v>69111.198368554324</v>
      </c>
      <c r="XK10" s="17">
        <f t="shared" si="1198"/>
        <v>69111.198368554324</v>
      </c>
      <c r="XL10" s="17">
        <f t="shared" si="1199"/>
        <v>69111.198368554324</v>
      </c>
      <c r="XM10" s="17">
        <f t="shared" si="1200"/>
        <v>69111.198368554324</v>
      </c>
      <c r="XN10" s="17">
        <f t="shared" si="1201"/>
        <v>69111.198368554324</v>
      </c>
      <c r="XO10" s="17">
        <f t="shared" si="1202"/>
        <v>70493.422335925425</v>
      </c>
      <c r="XP10" s="17">
        <f t="shared" si="1203"/>
        <v>70493.422335925425</v>
      </c>
      <c r="XQ10" s="17">
        <f t="shared" si="1204"/>
        <v>70493.422335925425</v>
      </c>
      <c r="XR10" s="17">
        <f t="shared" si="1205"/>
        <v>70493.422335925425</v>
      </c>
      <c r="XS10" s="17">
        <f t="shared" si="1206"/>
        <v>70493.422335925425</v>
      </c>
      <c r="XT10" s="17">
        <f t="shared" si="1207"/>
        <v>70493.422335925425</v>
      </c>
      <c r="XU10" s="17">
        <f t="shared" si="1208"/>
        <v>70493.422335925425</v>
      </c>
      <c r="XV10" s="17">
        <f t="shared" si="1209"/>
        <v>70493.422335925425</v>
      </c>
      <c r="XW10" s="17">
        <f t="shared" si="1210"/>
        <v>70493.422335925425</v>
      </c>
      <c r="XX10" s="17">
        <f t="shared" si="1211"/>
        <v>70493.422335925425</v>
      </c>
      <c r="XY10" s="17">
        <f t="shared" si="1212"/>
        <v>70493.422335925425</v>
      </c>
      <c r="XZ10" s="17">
        <f t="shared" si="1213"/>
        <v>70493.422335925425</v>
      </c>
      <c r="YA10" s="17">
        <f t="shared" si="1214"/>
        <v>71903.290782643933</v>
      </c>
      <c r="YB10" s="17">
        <f t="shared" si="1215"/>
        <v>71903.290782643933</v>
      </c>
      <c r="YC10" s="17">
        <f t="shared" si="1216"/>
        <v>71903.290782643933</v>
      </c>
      <c r="YD10" s="17">
        <f t="shared" si="1217"/>
        <v>71903.290782643933</v>
      </c>
      <c r="YE10" s="17">
        <f t="shared" si="1218"/>
        <v>71903.290782643933</v>
      </c>
      <c r="YF10" s="17">
        <f t="shared" si="1219"/>
        <v>71903.290782643933</v>
      </c>
      <c r="YG10" s="17">
        <f t="shared" si="1220"/>
        <v>71903.290782643933</v>
      </c>
      <c r="YH10" s="17">
        <f t="shared" si="1221"/>
        <v>71903.290782643933</v>
      </c>
      <c r="YI10" s="17">
        <f t="shared" si="1222"/>
        <v>71903.290782643933</v>
      </c>
      <c r="YJ10" s="17">
        <f t="shared" si="1223"/>
        <v>71903.290782643933</v>
      </c>
      <c r="YK10" s="17">
        <f t="shared" si="1224"/>
        <v>71903.290782643933</v>
      </c>
      <c r="YL10" s="17">
        <f t="shared" si="1225"/>
        <v>71903.290782643933</v>
      </c>
      <c r="YM10" s="17">
        <f t="shared" si="1226"/>
        <v>73341.356598296814</v>
      </c>
      <c r="YN10" s="17">
        <f t="shared" si="1227"/>
        <v>73341.356598296814</v>
      </c>
      <c r="YO10" s="17">
        <f t="shared" si="1228"/>
        <v>73341.356598296814</v>
      </c>
      <c r="YP10" s="17">
        <f t="shared" si="1229"/>
        <v>73341.356598296814</v>
      </c>
      <c r="YQ10" s="17">
        <f t="shared" si="1230"/>
        <v>73341.356598296814</v>
      </c>
      <c r="YR10" s="17">
        <f t="shared" si="1231"/>
        <v>73341.356598296814</v>
      </c>
      <c r="YS10" s="17">
        <f t="shared" si="1232"/>
        <v>73341.356598296814</v>
      </c>
      <c r="YT10" s="17">
        <f t="shared" si="1233"/>
        <v>73341.356598296814</v>
      </c>
      <c r="YU10" s="17">
        <f t="shared" si="1234"/>
        <v>73341.356598296814</v>
      </c>
      <c r="YV10" s="17">
        <f t="shared" si="1235"/>
        <v>73341.356598296814</v>
      </c>
      <c r="YW10" s="17">
        <f t="shared" si="1236"/>
        <v>73341.356598296814</v>
      </c>
      <c r="YX10" s="17">
        <f t="shared" si="1237"/>
        <v>73341.356598296814</v>
      </c>
      <c r="YY10" s="17">
        <f t="shared" si="1238"/>
        <v>74808.183730262739</v>
      </c>
      <c r="YZ10" s="17">
        <f t="shared" si="1239"/>
        <v>74808.183730262739</v>
      </c>
      <c r="ZA10" s="17">
        <f t="shared" si="1240"/>
        <v>74808.183730262739</v>
      </c>
      <c r="ZB10" s="17">
        <f t="shared" si="1241"/>
        <v>74808.183730262739</v>
      </c>
      <c r="ZC10" s="17">
        <f t="shared" si="1242"/>
        <v>74808.183730262739</v>
      </c>
      <c r="ZD10" s="17">
        <f t="shared" si="1243"/>
        <v>74808.183730262739</v>
      </c>
      <c r="ZE10" s="17">
        <f t="shared" si="1244"/>
        <v>74808.183730262739</v>
      </c>
      <c r="ZF10" s="17">
        <f t="shared" si="1245"/>
        <v>74808.183730262739</v>
      </c>
      <c r="ZG10" s="17">
        <f t="shared" si="1246"/>
        <v>74808.183730262739</v>
      </c>
      <c r="ZH10" s="17">
        <f t="shared" si="1247"/>
        <v>74808.183730262739</v>
      </c>
      <c r="ZI10" s="17">
        <f t="shared" si="1248"/>
        <v>74808.183730262739</v>
      </c>
      <c r="ZJ10" s="17">
        <f t="shared" si="1249"/>
        <v>74808.183730262739</v>
      </c>
      <c r="ZK10" s="17">
        <f t="shared" si="1250"/>
        <v>0</v>
      </c>
      <c r="ZL10" s="17">
        <f t="shared" si="1251"/>
        <v>0</v>
      </c>
      <c r="ZM10" s="17">
        <f t="shared" si="1252"/>
        <v>59335.350121623887</v>
      </c>
      <c r="ZN10" s="17">
        <f t="shared" si="1253"/>
        <v>59335.350121623887</v>
      </c>
      <c r="ZO10" s="17">
        <f t="shared" si="1254"/>
        <v>59335.350121623887</v>
      </c>
      <c r="ZP10" s="17">
        <f t="shared" si="1255"/>
        <v>59335.350121623887</v>
      </c>
      <c r="ZQ10" s="17">
        <f t="shared" si="1256"/>
        <v>59335.350121623887</v>
      </c>
      <c r="ZR10" s="17">
        <f t="shared" si="1257"/>
        <v>59335.350121623887</v>
      </c>
      <c r="ZS10" s="17">
        <f t="shared" si="1258"/>
        <v>59335.350121623887</v>
      </c>
      <c r="ZT10" s="17">
        <f t="shared" si="1259"/>
        <v>59335.350121623887</v>
      </c>
      <c r="ZU10" s="17">
        <f t="shared" si="1260"/>
        <v>59335.350121623887</v>
      </c>
      <c r="ZV10" s="17">
        <f t="shared" si="1261"/>
        <v>59335.350121623887</v>
      </c>
      <c r="ZW10" s="17">
        <f t="shared" si="1262"/>
        <v>59335.350121623887</v>
      </c>
      <c r="ZX10" s="17">
        <f t="shared" si="1263"/>
        <v>59335.350121623887</v>
      </c>
      <c r="ZY10" s="17">
        <f t="shared" si="1264"/>
        <v>60522.057124056366</v>
      </c>
      <c r="ZZ10" s="17">
        <f t="shared" si="1265"/>
        <v>60522.057124056366</v>
      </c>
      <c r="AAA10" s="17">
        <f t="shared" si="1266"/>
        <v>60522.057124056366</v>
      </c>
      <c r="AAB10" s="17">
        <f t="shared" si="1267"/>
        <v>60522.057124056366</v>
      </c>
      <c r="AAC10" s="17">
        <f t="shared" si="1268"/>
        <v>60522.057124056366</v>
      </c>
      <c r="AAD10" s="17"/>
      <c r="AAE10" s="17"/>
      <c r="AAF10" s="17">
        <f t="shared" si="1306"/>
        <v>0</v>
      </c>
      <c r="AAG10" s="17">
        <f t="shared" si="1269"/>
        <v>0</v>
      </c>
      <c r="AAH10" s="17">
        <f t="shared" si="1269"/>
        <v>0</v>
      </c>
      <c r="AAI10" s="17">
        <f t="shared" si="1269"/>
        <v>0</v>
      </c>
      <c r="AAJ10" s="17">
        <f t="shared" si="1269"/>
        <v>0</v>
      </c>
      <c r="AAK10" s="17">
        <f t="shared" si="1269"/>
        <v>0</v>
      </c>
      <c r="AAL10" s="17">
        <f t="shared" si="1269"/>
        <v>0</v>
      </c>
      <c r="AAM10" s="17">
        <f t="shared" si="1269"/>
        <v>0</v>
      </c>
      <c r="AAN10" s="17">
        <f t="shared" si="1269"/>
        <v>0</v>
      </c>
      <c r="AAO10" s="17">
        <f t="shared" si="1269"/>
        <v>0</v>
      </c>
      <c r="AAP10" s="17">
        <f t="shared" si="1269"/>
        <v>0</v>
      </c>
      <c r="AAQ10" s="17">
        <f t="shared" si="1269"/>
        <v>0</v>
      </c>
      <c r="AAR10" s="17">
        <f t="shared" si="1269"/>
        <v>0</v>
      </c>
      <c r="AAS10" s="17">
        <f t="shared" si="1269"/>
        <v>0</v>
      </c>
      <c r="AAT10" s="17">
        <f t="shared" si="1269"/>
        <v>0</v>
      </c>
      <c r="AAU10" s="17">
        <f t="shared" si="1269"/>
        <v>0</v>
      </c>
      <c r="AAV10" s="17">
        <f t="shared" si="1269"/>
        <v>0</v>
      </c>
      <c r="AAW10" s="17">
        <f t="shared" si="1270"/>
        <v>0</v>
      </c>
      <c r="AAX10" s="17">
        <f t="shared" si="1270"/>
        <v>0</v>
      </c>
      <c r="AAY10" s="17">
        <f t="shared" si="1270"/>
        <v>0</v>
      </c>
      <c r="AAZ10" s="17">
        <f t="shared" si="1270"/>
        <v>0</v>
      </c>
      <c r="ABA10" s="17">
        <f t="shared" si="1270"/>
        <v>0</v>
      </c>
      <c r="ABB10" s="17">
        <f t="shared" si="1270"/>
        <v>0</v>
      </c>
      <c r="ABC10" s="17">
        <f t="shared" si="1270"/>
        <v>0</v>
      </c>
      <c r="ABD10" s="17">
        <f t="shared" si="1270"/>
        <v>0</v>
      </c>
      <c r="ABE10" s="17">
        <f t="shared" si="1270"/>
        <v>0</v>
      </c>
      <c r="ABF10" s="17">
        <f t="shared" si="1270"/>
        <v>0</v>
      </c>
      <c r="ABG10" s="17">
        <f t="shared" si="1270"/>
        <v>0</v>
      </c>
      <c r="ABH10" s="17">
        <f t="shared" si="1270"/>
        <v>0</v>
      </c>
      <c r="ABI10" s="17">
        <f t="shared" si="1270"/>
        <v>0</v>
      </c>
      <c r="ABJ10" s="17">
        <f t="shared" si="1270"/>
        <v>0</v>
      </c>
      <c r="ABK10" s="17">
        <f t="shared" si="1270"/>
        <v>0</v>
      </c>
      <c r="ABL10" s="17">
        <f t="shared" si="1270"/>
        <v>0</v>
      </c>
      <c r="ABM10" s="17">
        <f t="shared" si="1271"/>
        <v>0</v>
      </c>
      <c r="ABN10" s="17">
        <f t="shared" si="1271"/>
        <v>0</v>
      </c>
      <c r="ABO10" s="17">
        <f t="shared" si="1271"/>
        <v>0</v>
      </c>
      <c r="ABP10" s="17">
        <f t="shared" si="1271"/>
        <v>0</v>
      </c>
      <c r="ABQ10" s="17">
        <f t="shared" si="1271"/>
        <v>0</v>
      </c>
      <c r="ABR10" s="17">
        <f t="shared" si="1271"/>
        <v>0</v>
      </c>
      <c r="ABS10" s="17">
        <f t="shared" si="1271"/>
        <v>0</v>
      </c>
      <c r="ABT10" s="17">
        <f t="shared" si="1271"/>
        <v>0</v>
      </c>
      <c r="ABU10" s="17">
        <f t="shared" si="1271"/>
        <v>0</v>
      </c>
      <c r="ABV10" s="17">
        <f t="shared" si="1271"/>
        <v>0</v>
      </c>
      <c r="ABW10" s="17">
        <f t="shared" si="1271"/>
        <v>0</v>
      </c>
      <c r="ABX10" s="17">
        <f t="shared" si="1271"/>
        <v>0</v>
      </c>
      <c r="ABY10" s="17">
        <f t="shared" si="1271"/>
        <v>0</v>
      </c>
      <c r="ABZ10" s="17">
        <f t="shared" si="1271"/>
        <v>0</v>
      </c>
      <c r="ACA10" s="17">
        <f t="shared" si="1271"/>
        <v>0</v>
      </c>
      <c r="ACB10" s="17">
        <f t="shared" si="1271"/>
        <v>0</v>
      </c>
      <c r="ACC10" s="17">
        <f t="shared" si="1272"/>
        <v>0</v>
      </c>
      <c r="ACD10" s="17">
        <f t="shared" si="1272"/>
        <v>0</v>
      </c>
      <c r="ACE10" s="17">
        <f t="shared" si="1272"/>
        <v>0</v>
      </c>
      <c r="ACF10" s="17">
        <f t="shared" si="1272"/>
        <v>0</v>
      </c>
      <c r="ACG10" s="17">
        <f t="shared" si="1272"/>
        <v>0</v>
      </c>
      <c r="ACH10" s="17">
        <f t="shared" si="1272"/>
        <v>0</v>
      </c>
      <c r="ACI10" s="17">
        <f t="shared" si="1272"/>
        <v>0</v>
      </c>
      <c r="ACJ10" s="17">
        <f t="shared" si="1272"/>
        <v>0</v>
      </c>
      <c r="ACK10" s="17">
        <f t="shared" si="1272"/>
        <v>0</v>
      </c>
      <c r="ACL10" s="17">
        <f t="shared" si="1272"/>
        <v>0</v>
      </c>
      <c r="ACM10" s="17">
        <f t="shared" si="1272"/>
        <v>0</v>
      </c>
      <c r="ACN10" s="17">
        <f t="shared" si="1272"/>
        <v>0</v>
      </c>
      <c r="ACO10" s="17">
        <f t="shared" si="1272"/>
        <v>0</v>
      </c>
      <c r="ACP10" s="17">
        <f t="shared" si="1272"/>
        <v>0</v>
      </c>
      <c r="ACQ10" s="17">
        <f t="shared" si="1272"/>
        <v>0</v>
      </c>
      <c r="ACR10" s="17">
        <f t="shared" si="1272"/>
        <v>0</v>
      </c>
      <c r="ACS10" s="17">
        <f t="shared" si="1273"/>
        <v>0</v>
      </c>
      <c r="ACT10" s="17">
        <f t="shared" si="1273"/>
        <v>0</v>
      </c>
      <c r="ACU10" s="17">
        <f t="shared" si="1273"/>
        <v>0</v>
      </c>
      <c r="ACV10" s="17">
        <f t="shared" si="1273"/>
        <v>0</v>
      </c>
      <c r="ACW10" s="17">
        <f t="shared" si="1273"/>
        <v>0</v>
      </c>
      <c r="ACX10" s="17">
        <f t="shared" si="1273"/>
        <v>0</v>
      </c>
      <c r="ACY10" s="17">
        <f t="shared" si="1273"/>
        <v>0</v>
      </c>
      <c r="ACZ10" s="17">
        <f t="shared" si="1273"/>
        <v>0</v>
      </c>
      <c r="ADA10" s="17">
        <f t="shared" si="1273"/>
        <v>0</v>
      </c>
      <c r="ADB10" s="17">
        <f t="shared" si="1273"/>
        <v>0</v>
      </c>
      <c r="ADC10" s="17">
        <f t="shared" si="1273"/>
        <v>0</v>
      </c>
      <c r="ADD10" s="17">
        <f t="shared" si="1273"/>
        <v>0</v>
      </c>
      <c r="ADE10" s="17">
        <f t="shared" si="1273"/>
        <v>0</v>
      </c>
      <c r="ADF10" s="17">
        <f t="shared" si="1273"/>
        <v>0</v>
      </c>
      <c r="ADG10" s="17">
        <f t="shared" si="1273"/>
        <v>0</v>
      </c>
      <c r="ADH10" s="17">
        <f t="shared" si="1273"/>
        <v>0</v>
      </c>
      <c r="ADI10" s="17">
        <f t="shared" si="1274"/>
        <v>0</v>
      </c>
      <c r="ADJ10" s="17">
        <f t="shared" si="1274"/>
        <v>0</v>
      </c>
      <c r="ADK10" s="17">
        <f t="shared" si="1274"/>
        <v>0</v>
      </c>
      <c r="ADL10" s="17">
        <f t="shared" si="1274"/>
        <v>0</v>
      </c>
      <c r="ADM10" s="17">
        <f t="shared" si="1274"/>
        <v>0</v>
      </c>
      <c r="ADN10" s="17">
        <f t="shared" si="1274"/>
        <v>0</v>
      </c>
      <c r="ADO10" s="17">
        <f t="shared" si="1274"/>
        <v>0</v>
      </c>
      <c r="ADP10" s="17">
        <f t="shared" si="1274"/>
        <v>0</v>
      </c>
      <c r="ADQ10" s="17">
        <f t="shared" si="1274"/>
        <v>0</v>
      </c>
      <c r="ADR10" s="17">
        <f t="shared" si="1274"/>
        <v>0</v>
      </c>
      <c r="ADS10" s="17">
        <f t="shared" si="1274"/>
        <v>0</v>
      </c>
      <c r="ADT10" s="17">
        <f t="shared" si="1274"/>
        <v>0</v>
      </c>
      <c r="ADU10" s="17">
        <f t="shared" si="1274"/>
        <v>0</v>
      </c>
      <c r="ADV10" s="17">
        <f t="shared" si="1274"/>
        <v>0</v>
      </c>
      <c r="ADW10" s="17">
        <f t="shared" si="1274"/>
        <v>0</v>
      </c>
      <c r="ADX10" s="17">
        <f t="shared" si="1274"/>
        <v>0</v>
      </c>
      <c r="ADY10" s="17">
        <f t="shared" si="1275"/>
        <v>0</v>
      </c>
      <c r="ADZ10" s="17">
        <f t="shared" si="1275"/>
        <v>0</v>
      </c>
      <c r="AEA10" s="17">
        <f t="shared" si="1275"/>
        <v>0</v>
      </c>
      <c r="AEB10" s="17">
        <f t="shared" si="1275"/>
        <v>0</v>
      </c>
      <c r="AEC10" s="17">
        <f t="shared" si="1275"/>
        <v>0</v>
      </c>
      <c r="AED10" s="17">
        <f t="shared" si="1275"/>
        <v>0</v>
      </c>
      <c r="AEE10" s="17">
        <f t="shared" si="1275"/>
        <v>0</v>
      </c>
      <c r="AEF10" s="17">
        <f t="shared" si="1275"/>
        <v>0</v>
      </c>
      <c r="AEG10" s="17">
        <f t="shared" si="1275"/>
        <v>0</v>
      </c>
      <c r="AEH10" s="17">
        <f t="shared" si="1275"/>
        <v>0</v>
      </c>
      <c r="AEI10" s="17">
        <f t="shared" si="1275"/>
        <v>0</v>
      </c>
      <c r="AEJ10" s="17">
        <f t="shared" si="1275"/>
        <v>0</v>
      </c>
      <c r="AEK10" s="17">
        <f t="shared" si="1275"/>
        <v>0</v>
      </c>
      <c r="AEL10" s="17">
        <f t="shared" si="1275"/>
        <v>0</v>
      </c>
      <c r="AEM10" s="17">
        <f t="shared" si="1275"/>
        <v>0</v>
      </c>
      <c r="AEN10" s="17">
        <f t="shared" si="1275"/>
        <v>0</v>
      </c>
      <c r="AEO10" s="17">
        <f t="shared" si="1276"/>
        <v>0</v>
      </c>
      <c r="AEP10" s="17">
        <f t="shared" si="1276"/>
        <v>0</v>
      </c>
      <c r="AEQ10" s="17">
        <f t="shared" si="1276"/>
        <v>415347.4508513672</v>
      </c>
      <c r="AER10" s="17">
        <f t="shared" si="1276"/>
        <v>0</v>
      </c>
      <c r="AES10" s="17">
        <f t="shared" si="1276"/>
        <v>0</v>
      </c>
      <c r="AET10" s="17">
        <f t="shared" si="1276"/>
        <v>0</v>
      </c>
      <c r="AEU10" s="17">
        <f t="shared" si="1276"/>
        <v>0</v>
      </c>
      <c r="AEV10" s="17">
        <f t="shared" si="1276"/>
        <v>0</v>
      </c>
      <c r="AEW10" s="17">
        <f t="shared" si="1276"/>
        <v>0</v>
      </c>
      <c r="AEX10" s="17">
        <f t="shared" si="1276"/>
        <v>0</v>
      </c>
      <c r="AEY10" s="17">
        <f t="shared" si="1276"/>
        <v>0</v>
      </c>
      <c r="AEZ10" s="17">
        <f t="shared" si="1276"/>
        <v>0</v>
      </c>
      <c r="AFA10" s="17">
        <f t="shared" si="1276"/>
        <v>0</v>
      </c>
      <c r="AFB10" s="17">
        <f t="shared" si="1276"/>
        <v>0</v>
      </c>
      <c r="AFC10" s="17">
        <f t="shared" si="1276"/>
        <v>0</v>
      </c>
      <c r="AFD10" s="17">
        <f t="shared" si="1276"/>
        <v>0</v>
      </c>
      <c r="AFE10" s="17">
        <f t="shared" si="1277"/>
        <v>0</v>
      </c>
      <c r="AFF10" s="17">
        <f t="shared" si="1277"/>
        <v>0</v>
      </c>
      <c r="AFG10" s="17">
        <f t="shared" si="1277"/>
        <v>0</v>
      </c>
      <c r="AFH10" s="17"/>
      <c r="AFI10" s="17"/>
      <c r="AFJ10" s="17">
        <f>(AJ10&gt;0)*'Long-Term Leases'!K$17*$L10*$K10</f>
        <v>21426.45343934686</v>
      </c>
      <c r="AFK10" s="17">
        <f>(AK10&gt;0)*'Long-Term Leases'!L$17*$L10*$K10</f>
        <v>21426.45343934686</v>
      </c>
      <c r="AFL10" s="17">
        <f>(AL10&gt;0)*'Long-Term Leases'!M$17*$L10*$K10</f>
        <v>21426.45343934686</v>
      </c>
      <c r="AFM10" s="17">
        <f>(AM10&gt;0)*'Long-Term Leases'!N$17*$L10*$K10</f>
        <v>21426.45343934686</v>
      </c>
      <c r="AFN10" s="17">
        <f>(AN10&gt;0)*'Long-Term Leases'!O$17*$L10*$K10</f>
        <v>21426.45343934686</v>
      </c>
      <c r="AFO10" s="17">
        <f>(AO10&gt;0)*'Long-Term Leases'!P$17*$L10*$K10</f>
        <v>21426.45343934686</v>
      </c>
      <c r="AFP10" s="17">
        <f>(AP10&gt;0)*'Long-Term Leases'!Q$17*$L10*$K10</f>
        <v>21426.45343934686</v>
      </c>
      <c r="AFQ10" s="17">
        <f>(AQ10&gt;0)*'Long-Term Leases'!R$17*$L10*$K10</f>
        <v>21426.45343934686</v>
      </c>
      <c r="AFR10" s="17">
        <f>(AR10&gt;0)*'Long-Term Leases'!S$17*$L10*$K10</f>
        <v>21426.45343934686</v>
      </c>
      <c r="AFS10" s="17">
        <f>(AS10&gt;0)*'Long-Term Leases'!T$17*$L10*$K10</f>
        <v>21426.45343934686</v>
      </c>
      <c r="AFT10" s="17">
        <f>(AT10&gt;0)*'Long-Term Leases'!U$17*$L10*$K10</f>
        <v>21426.45343934686</v>
      </c>
      <c r="AFU10" s="17">
        <f>(AU10&gt;0)*'Long-Term Leases'!V$17*$L10*$K10</f>
        <v>21426.45343934686</v>
      </c>
      <c r="AFV10" s="17">
        <f>(AV10&gt;0)*'Long-Term Leases'!W$17*$L10*$K10</f>
        <v>21854.982508133799</v>
      </c>
      <c r="AFW10" s="17">
        <f>(AW10&gt;0)*'Long-Term Leases'!X$17*$L10*$K10</f>
        <v>21854.982508133799</v>
      </c>
      <c r="AFX10" s="17">
        <f>(AX10&gt;0)*'Long-Term Leases'!Y$17*$L10*$K10</f>
        <v>21854.982508133799</v>
      </c>
      <c r="AFY10" s="17">
        <f>(AY10&gt;0)*'Long-Term Leases'!Z$17*$L10*$K10</f>
        <v>21854.982508133799</v>
      </c>
      <c r="AFZ10" s="17">
        <f>(AZ10&gt;0)*'Long-Term Leases'!AA$17*$L10*$K10</f>
        <v>21854.982508133799</v>
      </c>
      <c r="AGA10" s="17">
        <f>(BA10&gt;0)*'Long-Term Leases'!AB$17*$L10*$K10</f>
        <v>21854.982508133799</v>
      </c>
      <c r="AGB10" s="17">
        <f>(BB10&gt;0)*'Long-Term Leases'!AC$17*$L10*$K10</f>
        <v>21854.982508133799</v>
      </c>
      <c r="AGC10" s="17">
        <f>(BC10&gt;0)*'Long-Term Leases'!AD$17*$L10*$K10</f>
        <v>21854.982508133799</v>
      </c>
      <c r="AGD10" s="17">
        <f>(BD10&gt;0)*'Long-Term Leases'!AE$17*$L10*$K10</f>
        <v>21854.982508133799</v>
      </c>
      <c r="AGE10" s="17">
        <f>(BE10&gt;0)*'Long-Term Leases'!AF$17*$L10*$K10</f>
        <v>21854.982508133799</v>
      </c>
      <c r="AGF10" s="17">
        <f>(BF10&gt;0)*'Long-Term Leases'!AG$17*$L10*$K10</f>
        <v>21854.982508133799</v>
      </c>
      <c r="AGG10" s="17">
        <f>(BG10&gt;0)*'Long-Term Leases'!AH$17*$L10*$K10</f>
        <v>21854.982508133799</v>
      </c>
      <c r="AGH10" s="17">
        <f>(BH10&gt;0)*'Long-Term Leases'!AI$17*$L10*$K10</f>
        <v>22292.082158296471</v>
      </c>
      <c r="AGI10" s="17">
        <f>(BI10&gt;0)*'Long-Term Leases'!AJ$17*$L10*$K10</f>
        <v>22292.082158296471</v>
      </c>
      <c r="AGJ10" s="17">
        <f>(BJ10&gt;0)*'Long-Term Leases'!AK$17*$L10*$K10</f>
        <v>22292.082158296471</v>
      </c>
      <c r="AGK10" s="17">
        <f>(BK10&gt;0)*'Long-Term Leases'!AL$17*$L10*$K10</f>
        <v>22292.082158296471</v>
      </c>
      <c r="AGL10" s="17">
        <f>(BL10&gt;0)*'Long-Term Leases'!AM$17*$L10*$K10</f>
        <v>22292.082158296471</v>
      </c>
      <c r="AGM10" s="17">
        <f>(BM10&gt;0)*'Long-Term Leases'!AN$17*$L10*$K10</f>
        <v>22292.082158296471</v>
      </c>
      <c r="AGN10" s="17">
        <f>(BN10&gt;0)*'Long-Term Leases'!AO$17*$L10*$K10</f>
        <v>22292.082158296471</v>
      </c>
      <c r="AGO10" s="17">
        <f>(BO10&gt;0)*'Long-Term Leases'!AP$17*$L10*$K10</f>
        <v>22292.082158296471</v>
      </c>
      <c r="AGP10" s="17">
        <f>(BP10&gt;0)*'Long-Term Leases'!AQ$17*$L10*$K10</f>
        <v>22292.082158296471</v>
      </c>
      <c r="AGQ10" s="17">
        <f>(BQ10&gt;0)*'Long-Term Leases'!AR$17*$L10*$K10</f>
        <v>22292.082158296471</v>
      </c>
      <c r="AGR10" s="17">
        <f>(BR10&gt;0)*'Long-Term Leases'!AS$17*$L10*$K10</f>
        <v>22292.082158296471</v>
      </c>
      <c r="AGS10" s="17">
        <f>(BS10&gt;0)*'Long-Term Leases'!AT$17*$L10*$K10</f>
        <v>22292.082158296471</v>
      </c>
      <c r="AGT10" s="17">
        <f>(BT10&gt;0)*'Long-Term Leases'!AU$17*$L10*$K10</f>
        <v>22737.923801462402</v>
      </c>
      <c r="AGU10" s="17">
        <f>(BU10&gt;0)*'Long-Term Leases'!AV$17*$L10*$K10</f>
        <v>22737.923801462402</v>
      </c>
      <c r="AGV10" s="17">
        <f>(BV10&gt;0)*'Long-Term Leases'!AW$17*$L10*$K10</f>
        <v>22737.923801462402</v>
      </c>
      <c r="AGW10" s="17">
        <f>(BW10&gt;0)*'Long-Term Leases'!AX$17*$L10*$K10</f>
        <v>22737.923801462402</v>
      </c>
      <c r="AGX10" s="17">
        <f>(BX10&gt;0)*'Long-Term Leases'!AY$17*$L10*$K10</f>
        <v>22737.923801462402</v>
      </c>
      <c r="AGY10" s="17">
        <f>(BY10&gt;0)*'Long-Term Leases'!AZ$17*$L10*$K10</f>
        <v>22737.923801462402</v>
      </c>
      <c r="AGZ10" s="17">
        <f>(BZ10&gt;0)*'Long-Term Leases'!BA$17*$L10*$K10</f>
        <v>22737.923801462402</v>
      </c>
      <c r="AHA10" s="17">
        <f>(CA10&gt;0)*'Long-Term Leases'!BB$17*$L10*$K10</f>
        <v>22737.923801462402</v>
      </c>
      <c r="AHB10" s="17">
        <f>(CB10&gt;0)*'Long-Term Leases'!BC$17*$L10*$K10</f>
        <v>22737.923801462402</v>
      </c>
      <c r="AHC10" s="17">
        <f>(CC10&gt;0)*'Long-Term Leases'!BD$17*$L10*$K10</f>
        <v>22737.923801462402</v>
      </c>
      <c r="AHD10" s="17">
        <f>(CD10&gt;0)*'Long-Term Leases'!BE$17*$L10*$K10</f>
        <v>22737.923801462402</v>
      </c>
      <c r="AHE10" s="17">
        <f>(CE10&gt;0)*'Long-Term Leases'!BF$17*$L10*$K10</f>
        <v>22737.923801462402</v>
      </c>
      <c r="AHF10" s="17">
        <f>(CF10&gt;0)*'Long-Term Leases'!BG$17*$L10*$K10</f>
        <v>23192.682277491655</v>
      </c>
      <c r="AHG10" s="17">
        <f>(CG10&gt;0)*'Long-Term Leases'!BH$17*$L10*$K10</f>
        <v>23192.682277491655</v>
      </c>
      <c r="AHH10" s="17">
        <f>(CH10&gt;0)*'Long-Term Leases'!BI$17*$L10*$K10</f>
        <v>23192.682277491655</v>
      </c>
      <c r="AHI10" s="17">
        <f>(CI10&gt;0)*'Long-Term Leases'!BJ$17*$L10*$K10</f>
        <v>23192.682277491655</v>
      </c>
      <c r="AHJ10" s="17">
        <f>(CJ10&gt;0)*'Long-Term Leases'!BK$17*$L10*$K10</f>
        <v>23192.682277491655</v>
      </c>
      <c r="AHK10" s="17">
        <f>(CK10&gt;0)*'Long-Term Leases'!BL$17*$L10*$K10</f>
        <v>23192.682277491655</v>
      </c>
      <c r="AHL10" s="17">
        <f>(CL10&gt;0)*'Long-Term Leases'!BM$17*$L10*$K10</f>
        <v>23192.682277491655</v>
      </c>
      <c r="AHM10" s="17">
        <f>(CM10&gt;0)*'Long-Term Leases'!BN$17*$L10*$K10</f>
        <v>23192.682277491655</v>
      </c>
      <c r="AHN10" s="17">
        <f>(CN10&gt;0)*'Long-Term Leases'!BO$17*$L10*$K10</f>
        <v>23192.682277491655</v>
      </c>
      <c r="AHO10" s="17">
        <f>(CO10&gt;0)*'Long-Term Leases'!BP$17*$L10*$K10</f>
        <v>23192.682277491655</v>
      </c>
      <c r="AHP10" s="17">
        <f>(CP10&gt;0)*'Long-Term Leases'!BQ$17*$L10*$K10</f>
        <v>23192.682277491655</v>
      </c>
      <c r="AHQ10" s="17">
        <f>(CQ10&gt;0)*'Long-Term Leases'!BR$17*$L10*$K10</f>
        <v>23192.682277491655</v>
      </c>
      <c r="AHR10" s="17">
        <f>(CR10&gt;0)*'Long-Term Leases'!BS$17*$L10*$K10</f>
        <v>23656.535923041483</v>
      </c>
      <c r="AHS10" s="17">
        <f>(CS10&gt;0)*'Long-Term Leases'!BT$17*$L10*$K10</f>
        <v>23656.535923041483</v>
      </c>
      <c r="AHT10" s="17">
        <f>(CT10&gt;0)*'Long-Term Leases'!BU$17*$L10*$K10</f>
        <v>23656.535923041483</v>
      </c>
      <c r="AHU10" s="17">
        <f>(CU10&gt;0)*'Long-Term Leases'!BV$17*$L10*$K10</f>
        <v>23656.535923041483</v>
      </c>
      <c r="AHV10" s="17">
        <f>(CV10&gt;0)*'Long-Term Leases'!BW$17*$L10*$K10</f>
        <v>23656.535923041483</v>
      </c>
      <c r="AHW10" s="17">
        <f>(CW10&gt;0)*'Long-Term Leases'!BX$17*$L10*$K10</f>
        <v>23656.535923041483</v>
      </c>
      <c r="AHX10" s="17">
        <f>(CX10&gt;0)*'Long-Term Leases'!BY$17*$L10*$K10</f>
        <v>23656.535923041483</v>
      </c>
      <c r="AHY10" s="17">
        <f>(CY10&gt;0)*'Long-Term Leases'!BZ$17*$L10*$K10</f>
        <v>23656.535923041483</v>
      </c>
      <c r="AHZ10" s="17">
        <f>(CZ10&gt;0)*'Long-Term Leases'!CA$17*$L10*$K10</f>
        <v>23656.535923041483</v>
      </c>
      <c r="AIA10" s="17">
        <f>(DA10&gt;0)*'Long-Term Leases'!CB$17*$L10*$K10</f>
        <v>23656.535923041483</v>
      </c>
      <c r="AIB10" s="17">
        <f>(DB10&gt;0)*'Long-Term Leases'!CC$17*$L10*$K10</f>
        <v>23656.535923041483</v>
      </c>
      <c r="AIC10" s="17">
        <f>(DC10&gt;0)*'Long-Term Leases'!CD$17*$L10*$K10</f>
        <v>23656.535923041483</v>
      </c>
      <c r="AID10" s="17">
        <f>(DD10&gt;0)*'Long-Term Leases'!CE$17*$L10*$K10</f>
        <v>24129.666641502314</v>
      </c>
      <c r="AIE10" s="17">
        <f>(DE10&gt;0)*'Long-Term Leases'!CF$17*$L10*$K10</f>
        <v>24129.666641502314</v>
      </c>
      <c r="AIF10" s="17">
        <f>(DF10&gt;0)*'Long-Term Leases'!CG$17*$L10*$K10</f>
        <v>24129.666641502314</v>
      </c>
      <c r="AIG10" s="17">
        <f>(DG10&gt;0)*'Long-Term Leases'!CH$17*$L10*$K10</f>
        <v>24129.666641502314</v>
      </c>
      <c r="AIH10" s="17">
        <f>(DH10&gt;0)*'Long-Term Leases'!CI$17*$L10*$K10</f>
        <v>24129.666641502314</v>
      </c>
      <c r="AII10" s="17">
        <f>(DI10&gt;0)*'Long-Term Leases'!CJ$17*$L10*$K10</f>
        <v>24129.666641502314</v>
      </c>
      <c r="AIJ10" s="17">
        <f>(DJ10&gt;0)*'Long-Term Leases'!CK$17*$L10*$K10</f>
        <v>24129.666641502314</v>
      </c>
      <c r="AIK10" s="17">
        <f>(DK10&gt;0)*'Long-Term Leases'!CL$17*$L10*$K10</f>
        <v>24129.666641502314</v>
      </c>
      <c r="AIL10" s="17">
        <f>(DL10&gt;0)*'Long-Term Leases'!CM$17*$L10*$K10</f>
        <v>24129.666641502314</v>
      </c>
      <c r="AIM10" s="17">
        <f>(DM10&gt;0)*'Long-Term Leases'!CN$17*$L10*$K10</f>
        <v>24129.666641502314</v>
      </c>
      <c r="AIN10" s="17">
        <f>(DN10&gt;0)*'Long-Term Leases'!CO$17*$L10*$K10</f>
        <v>24129.666641502314</v>
      </c>
      <c r="AIO10" s="17">
        <f>(DO10&gt;0)*'Long-Term Leases'!CP$17*$L10*$K10</f>
        <v>24129.666641502314</v>
      </c>
      <c r="AIP10" s="17">
        <f>(DP10&gt;0)*'Long-Term Leases'!CQ$17*$L10*$K10</f>
        <v>24612.259974332359</v>
      </c>
      <c r="AIQ10" s="17">
        <f>(DQ10&gt;0)*'Long-Term Leases'!CR$17*$L10*$K10</f>
        <v>24612.259974332359</v>
      </c>
      <c r="AIR10" s="17">
        <f>(DR10&gt;0)*'Long-Term Leases'!CS$17*$L10*$K10</f>
        <v>24612.259974332359</v>
      </c>
      <c r="AIS10" s="17">
        <f>(DS10&gt;0)*'Long-Term Leases'!CT$17*$L10*$K10</f>
        <v>24612.259974332359</v>
      </c>
      <c r="AIT10" s="17">
        <f>(DT10&gt;0)*'Long-Term Leases'!CU$17*$L10*$K10</f>
        <v>24612.259974332359</v>
      </c>
      <c r="AIU10" s="17">
        <f>(DU10&gt;0)*'Long-Term Leases'!CV$17*$L10*$K10</f>
        <v>24612.259974332359</v>
      </c>
      <c r="AIV10" s="17">
        <f>(DV10&gt;0)*'Long-Term Leases'!CW$17*$L10*$K10</f>
        <v>24612.259974332359</v>
      </c>
      <c r="AIW10" s="17">
        <f>(DW10&gt;0)*'Long-Term Leases'!CX$17*$L10*$K10</f>
        <v>24612.259974332359</v>
      </c>
      <c r="AIX10" s="17">
        <f>(DX10&gt;0)*'Long-Term Leases'!CY$17*$L10*$K10</f>
        <v>24612.259974332359</v>
      </c>
      <c r="AIY10" s="17">
        <f>(DY10&gt;0)*'Long-Term Leases'!CZ$17*$L10*$K10</f>
        <v>24612.259974332359</v>
      </c>
      <c r="AIZ10" s="17">
        <f>(DZ10&gt;0)*'Long-Term Leases'!DA$17*$L10*$K10</f>
        <v>24612.259974332359</v>
      </c>
      <c r="AJA10" s="17">
        <f>(EA10&gt;0)*'Long-Term Leases'!DB$17*$L10*$K10</f>
        <v>24612.259974332359</v>
      </c>
      <c r="AJB10" s="17">
        <f>(EB10&gt;0)*'Long-Term Leases'!DC$17*$L10*$K10</f>
        <v>25104.505173819005</v>
      </c>
      <c r="AJC10" s="17">
        <f>(EC10&gt;0)*'Long-Term Leases'!DD$17*$L10*$K10</f>
        <v>25104.505173819005</v>
      </c>
      <c r="AJD10" s="17">
        <f>(ED10&gt;0)*'Long-Term Leases'!DE$17*$L10*$K10</f>
        <v>25104.505173819005</v>
      </c>
      <c r="AJE10" s="17">
        <f>(EE10&gt;0)*'Long-Term Leases'!DF$17*$L10*$K10</f>
        <v>25104.505173819005</v>
      </c>
      <c r="AJF10" s="17">
        <f>(EF10&gt;0)*'Long-Term Leases'!DG$17*$L10*$K10</f>
        <v>25104.505173819005</v>
      </c>
      <c r="AJG10" s="17">
        <f>(EG10&gt;0)*'Long-Term Leases'!DH$17*$L10*$K10</f>
        <v>25104.505173819005</v>
      </c>
      <c r="AJH10" s="17">
        <f>(EH10&gt;0)*'Long-Term Leases'!DI$17*$L10*$K10</f>
        <v>25104.505173819005</v>
      </c>
      <c r="AJI10" s="17">
        <f>(EI10&gt;0)*'Long-Term Leases'!DJ$17*$L10*$K10</f>
        <v>25104.505173819005</v>
      </c>
      <c r="AJJ10" s="17">
        <f>(EJ10&gt;0)*'Long-Term Leases'!DK$17*$L10*$K10</f>
        <v>25104.505173819005</v>
      </c>
      <c r="AJK10" s="17">
        <f>(EK10&gt;0)*'Long-Term Leases'!DL$17*$L10*$K10</f>
        <v>25104.505173819005</v>
      </c>
      <c r="AJL10" s="17">
        <f>(EL10&gt;0)*'Long-Term Leases'!DM$17*$L10*$K10</f>
        <v>25104.505173819005</v>
      </c>
      <c r="AJM10" s="17">
        <f>(EM10&gt;0)*'Long-Term Leases'!DN$17*$L10*$K10</f>
        <v>25104.505173819005</v>
      </c>
      <c r="AJN10" s="17">
        <f>(EN10&gt;0)*'Long-Term Leases'!DO$17*$L10*$K10</f>
        <v>25606.59527729539</v>
      </c>
      <c r="AJO10" s="17">
        <f>(EO10&gt;0)*'Long-Term Leases'!DP$17*$L10*$K10</f>
        <v>25606.59527729539</v>
      </c>
      <c r="AJP10" s="17">
        <f>(EP10&gt;0)*'Long-Term Leases'!DQ$17*$L10*$K10</f>
        <v>25606.59527729539</v>
      </c>
      <c r="AJQ10" s="17">
        <f>(EQ10&gt;0)*'Long-Term Leases'!DR$17*$L10*$K10</f>
        <v>25606.59527729539</v>
      </c>
      <c r="AJR10" s="17">
        <f>(ER10&gt;0)*'Long-Term Leases'!DS$17*$L10*$K10</f>
        <v>25606.59527729539</v>
      </c>
      <c r="AJS10" s="17">
        <f>(ES10&gt;0)*'Long-Term Leases'!DT$17*$L10*$K10</f>
        <v>0</v>
      </c>
      <c r="AJT10" s="17">
        <f>(ET10&gt;0)*'Long-Term Leases'!DU$17*$L10*$K10</f>
        <v>0</v>
      </c>
      <c r="AJU10" s="17">
        <f>(EU10&gt;0)*'Long-Term Leases'!DV$17*$L10*$K10</f>
        <v>0</v>
      </c>
      <c r="AJV10" s="17">
        <f>(EV10&gt;0)*'Long-Term Leases'!DW$17*$L10*$K10</f>
        <v>0</v>
      </c>
      <c r="AJW10" s="17">
        <f>(EW10&gt;0)*'Long-Term Leases'!DX$17*$L10*$K10</f>
        <v>0</v>
      </c>
      <c r="AJX10" s="17">
        <f>(EX10&gt;0)*'Long-Term Leases'!DY$17*$L10*$K10</f>
        <v>0</v>
      </c>
      <c r="AJY10" s="17">
        <f>(EY10&gt;0)*'Long-Term Leases'!DZ$17*$L10*$K10</f>
        <v>0</v>
      </c>
      <c r="AJZ10" s="17">
        <f>(EZ10&gt;0)*'Long-Term Leases'!EA$17*$L10*$K10</f>
        <v>0</v>
      </c>
      <c r="AKA10" s="17">
        <f>(FA10&gt;0)*'Long-Term Leases'!EB$17*$L10*$K10</f>
        <v>0</v>
      </c>
      <c r="AKB10" s="17">
        <f>(FB10&gt;0)*'Long-Term Leases'!EC$17*$L10*$K10</f>
        <v>0</v>
      </c>
      <c r="AKC10" s="17">
        <f>(FC10&gt;0)*'Long-Term Leases'!ED$17*$L10*$K10</f>
        <v>0</v>
      </c>
      <c r="AKD10" s="17">
        <f>(FD10&gt;0)*'Long-Term Leases'!EE$17*$L10*$K10</f>
        <v>0</v>
      </c>
      <c r="AKE10" s="17">
        <f>(FE10&gt;0)*'Long-Term Leases'!EF$17*$L10*$K10</f>
        <v>0</v>
      </c>
      <c r="AKF10" s="17">
        <f>(FF10&gt;0)*'Long-Term Leases'!EG$17*$L10*$K10</f>
        <v>0</v>
      </c>
      <c r="AKG10" s="17">
        <f>(FG10&gt;0)*'Long-Term Leases'!EH$17*$L10*$K10</f>
        <v>0</v>
      </c>
      <c r="AKH10" s="17">
        <f>(FH10&gt;0)*'Long-Term Leases'!EI$17*$L10*$K10</f>
        <v>0</v>
      </c>
      <c r="AKI10" s="17">
        <f>(FI10&gt;0)*'Long-Term Leases'!EJ$17*$L10*$K10</f>
        <v>0</v>
      </c>
      <c r="AKJ10" s="17">
        <f>(FJ10&gt;0)*'Long-Term Leases'!EK$17*$L10*$K10</f>
        <v>0</v>
      </c>
      <c r="AKK10" s="17">
        <f>(FK10&gt;0)*'Long-Term Leases'!EL$17*$L10*$K10</f>
        <v>0</v>
      </c>
      <c r="AKL10" s="17"/>
      <c r="AKM10" s="17"/>
      <c r="AKN10" s="17">
        <f>(FN10&gt;0)*'Long-Term Leases'!K$17*$X10*$W10</f>
        <v>0</v>
      </c>
      <c r="AKO10" s="17">
        <f>(FO10&gt;0)*'Long-Term Leases'!L$17*$X10*$W10</f>
        <v>0</v>
      </c>
      <c r="AKP10" s="17">
        <f>(FP10&gt;0)*'Long-Term Leases'!M$17*$X10*$W10</f>
        <v>0</v>
      </c>
      <c r="AKQ10" s="17">
        <f>(FQ10&gt;0)*'Long-Term Leases'!N$17*$X10*$W10</f>
        <v>0</v>
      </c>
      <c r="AKR10" s="17">
        <f>(FR10&gt;0)*'Long-Term Leases'!O$17*$X10*$W10</f>
        <v>0</v>
      </c>
      <c r="AKS10" s="17">
        <f>(FS10&gt;0)*'Long-Term Leases'!P$17*$X10*$W10</f>
        <v>0</v>
      </c>
      <c r="AKT10" s="17">
        <f>(FT10&gt;0)*'Long-Term Leases'!Q$17*$X10*$W10</f>
        <v>0</v>
      </c>
      <c r="AKU10" s="17">
        <f>(FU10&gt;0)*'Long-Term Leases'!R$17*$X10*$W10</f>
        <v>0</v>
      </c>
      <c r="AKV10" s="17">
        <f>(FV10&gt;0)*'Long-Term Leases'!S$17*$X10*$W10</f>
        <v>0</v>
      </c>
      <c r="AKW10" s="17">
        <f>(FW10&gt;0)*'Long-Term Leases'!T$17*$X10*$W10</f>
        <v>0</v>
      </c>
      <c r="AKX10" s="17">
        <f>(FX10&gt;0)*'Long-Term Leases'!U$17*$X10*$W10</f>
        <v>0</v>
      </c>
      <c r="AKY10" s="17">
        <f>(FY10&gt;0)*'Long-Term Leases'!V$17*$X10*$W10</f>
        <v>0</v>
      </c>
      <c r="AKZ10" s="17">
        <f>(FZ10&gt;0)*'Long-Term Leases'!W$17*$X10*$W10</f>
        <v>0</v>
      </c>
      <c r="ALA10" s="17">
        <f>(GA10&gt;0)*'Long-Term Leases'!X$17*$X10*$W10</f>
        <v>0</v>
      </c>
      <c r="ALB10" s="17">
        <f>(GB10&gt;0)*'Long-Term Leases'!Y$17*$X10*$W10</f>
        <v>0</v>
      </c>
      <c r="ALC10" s="17">
        <f>(GC10&gt;0)*'Long-Term Leases'!Z$17*$X10*$W10</f>
        <v>0</v>
      </c>
      <c r="ALD10" s="17">
        <f>(GD10&gt;0)*'Long-Term Leases'!AA$17*$X10*$W10</f>
        <v>0</v>
      </c>
      <c r="ALE10" s="17">
        <f>(GE10&gt;0)*'Long-Term Leases'!AB$17*$X10*$W10</f>
        <v>0</v>
      </c>
      <c r="ALF10" s="17">
        <f>(GF10&gt;0)*'Long-Term Leases'!AC$17*$X10*$W10</f>
        <v>0</v>
      </c>
      <c r="ALG10" s="17">
        <f>(GG10&gt;0)*'Long-Term Leases'!AD$17*$X10*$W10</f>
        <v>0</v>
      </c>
      <c r="ALH10" s="17">
        <f>(GH10&gt;0)*'Long-Term Leases'!AE$17*$X10*$W10</f>
        <v>0</v>
      </c>
      <c r="ALI10" s="17">
        <f>(GI10&gt;0)*'Long-Term Leases'!AF$17*$X10*$W10</f>
        <v>0</v>
      </c>
      <c r="ALJ10" s="17">
        <f>(GJ10&gt;0)*'Long-Term Leases'!AG$17*$X10*$W10</f>
        <v>0</v>
      </c>
      <c r="ALK10" s="17">
        <f>(GK10&gt;0)*'Long-Term Leases'!AH$17*$X10*$W10</f>
        <v>0</v>
      </c>
      <c r="ALL10" s="17">
        <f>(GL10&gt;0)*'Long-Term Leases'!AI$17*$X10*$W10</f>
        <v>0</v>
      </c>
      <c r="ALM10" s="17">
        <f>(GM10&gt;0)*'Long-Term Leases'!AJ$17*$X10*$W10</f>
        <v>0</v>
      </c>
      <c r="ALN10" s="17">
        <f>(GN10&gt;0)*'Long-Term Leases'!AK$17*$X10*$W10</f>
        <v>0</v>
      </c>
      <c r="ALO10" s="17">
        <f>(GO10&gt;0)*'Long-Term Leases'!AL$17*$X10*$W10</f>
        <v>0</v>
      </c>
      <c r="ALP10" s="17">
        <f>(GP10&gt;0)*'Long-Term Leases'!AM$17*$X10*$W10</f>
        <v>0</v>
      </c>
      <c r="ALQ10" s="17">
        <f>(GQ10&gt;0)*'Long-Term Leases'!AN$17*$X10*$W10</f>
        <v>0</v>
      </c>
      <c r="ALR10" s="17">
        <f>(GR10&gt;0)*'Long-Term Leases'!AO$17*$X10*$W10</f>
        <v>0</v>
      </c>
      <c r="ALS10" s="17">
        <f>(GS10&gt;0)*'Long-Term Leases'!AP$17*$X10*$W10</f>
        <v>0</v>
      </c>
      <c r="ALT10" s="17">
        <f>(GT10&gt;0)*'Long-Term Leases'!AQ$17*$X10*$W10</f>
        <v>0</v>
      </c>
      <c r="ALU10" s="17">
        <f>(GU10&gt;0)*'Long-Term Leases'!AR$17*$X10*$W10</f>
        <v>0</v>
      </c>
      <c r="ALV10" s="17">
        <f>(GV10&gt;0)*'Long-Term Leases'!AS$17*$X10*$W10</f>
        <v>0</v>
      </c>
      <c r="ALW10" s="17">
        <f>(GW10&gt;0)*'Long-Term Leases'!AT$17*$X10*$W10</f>
        <v>0</v>
      </c>
      <c r="ALX10" s="17">
        <f>(GX10&gt;0)*'Long-Term Leases'!AU$17*$X10*$W10</f>
        <v>0</v>
      </c>
      <c r="ALY10" s="17">
        <f>(GY10&gt;0)*'Long-Term Leases'!AV$17*$X10*$W10</f>
        <v>0</v>
      </c>
      <c r="ALZ10" s="17">
        <f>(GZ10&gt;0)*'Long-Term Leases'!AW$17*$X10*$W10</f>
        <v>0</v>
      </c>
      <c r="AMA10" s="17">
        <f>(HA10&gt;0)*'Long-Term Leases'!AX$17*$X10*$W10</f>
        <v>0</v>
      </c>
      <c r="AMB10" s="17">
        <f>(HB10&gt;0)*'Long-Term Leases'!AY$17*$X10*$W10</f>
        <v>0</v>
      </c>
      <c r="AMC10" s="17">
        <f>(HC10&gt;0)*'Long-Term Leases'!AZ$17*$X10*$W10</f>
        <v>0</v>
      </c>
      <c r="AMD10" s="17">
        <f>(HD10&gt;0)*'Long-Term Leases'!BA$17*$X10*$W10</f>
        <v>0</v>
      </c>
      <c r="AME10" s="17">
        <f>(HE10&gt;0)*'Long-Term Leases'!BB$17*$X10*$W10</f>
        <v>0</v>
      </c>
      <c r="AMF10" s="17">
        <f>(HF10&gt;0)*'Long-Term Leases'!BC$17*$X10*$W10</f>
        <v>0</v>
      </c>
      <c r="AMG10" s="17">
        <f>(HG10&gt;0)*'Long-Term Leases'!BD$17*$X10*$W10</f>
        <v>0</v>
      </c>
      <c r="AMH10" s="17">
        <f>(HH10&gt;0)*'Long-Term Leases'!BE$17*$X10*$W10</f>
        <v>0</v>
      </c>
      <c r="AMI10" s="17">
        <f>(HI10&gt;0)*'Long-Term Leases'!BF$17*$X10*$W10</f>
        <v>0</v>
      </c>
      <c r="AMJ10" s="17">
        <f>(HJ10&gt;0)*'Long-Term Leases'!BG$17*$X10*$W10</f>
        <v>0</v>
      </c>
      <c r="AMK10" s="17">
        <f>(HK10&gt;0)*'Long-Term Leases'!BH$17*$X10*$W10</f>
        <v>0</v>
      </c>
      <c r="AML10" s="17">
        <f>(HL10&gt;0)*'Long-Term Leases'!BI$17*$X10*$W10</f>
        <v>0</v>
      </c>
      <c r="AMM10" s="17">
        <f>(HM10&gt;0)*'Long-Term Leases'!BJ$17*$X10*$W10</f>
        <v>0</v>
      </c>
      <c r="AMN10" s="17">
        <f>(HN10&gt;0)*'Long-Term Leases'!BK$17*$X10*$W10</f>
        <v>0</v>
      </c>
      <c r="AMO10" s="17">
        <f>(HO10&gt;0)*'Long-Term Leases'!BL$17*$X10*$W10</f>
        <v>0</v>
      </c>
      <c r="AMP10" s="17">
        <f>(HP10&gt;0)*'Long-Term Leases'!BM$17*$X10*$W10</f>
        <v>0</v>
      </c>
      <c r="AMQ10" s="17">
        <f>(HQ10&gt;0)*'Long-Term Leases'!BN$17*$X10*$W10</f>
        <v>0</v>
      </c>
      <c r="AMR10" s="17">
        <f>(HR10&gt;0)*'Long-Term Leases'!BO$17*$X10*$W10</f>
        <v>0</v>
      </c>
      <c r="AMS10" s="17">
        <f>(HS10&gt;0)*'Long-Term Leases'!BP$17*$X10*$W10</f>
        <v>0</v>
      </c>
      <c r="AMT10" s="17">
        <f>(HT10&gt;0)*'Long-Term Leases'!BQ$17*$X10*$W10</f>
        <v>0</v>
      </c>
      <c r="AMU10" s="17">
        <f>(HU10&gt;0)*'Long-Term Leases'!BR$17*$X10*$W10</f>
        <v>0</v>
      </c>
      <c r="AMV10" s="17">
        <f>(HV10&gt;0)*'Long-Term Leases'!BS$17*$X10*$W10</f>
        <v>0</v>
      </c>
      <c r="AMW10" s="17">
        <f>(HW10&gt;0)*'Long-Term Leases'!BT$17*$X10*$W10</f>
        <v>0</v>
      </c>
      <c r="AMX10" s="17">
        <f>(HX10&gt;0)*'Long-Term Leases'!BU$17*$X10*$W10</f>
        <v>0</v>
      </c>
      <c r="AMY10" s="17">
        <f>(HY10&gt;0)*'Long-Term Leases'!BV$17*$X10*$W10</f>
        <v>0</v>
      </c>
      <c r="AMZ10" s="17">
        <f>(HZ10&gt;0)*'Long-Term Leases'!BW$17*$X10*$W10</f>
        <v>0</v>
      </c>
      <c r="ANA10" s="17">
        <f>(IA10&gt;0)*'Long-Term Leases'!BX$17*$X10*$W10</f>
        <v>0</v>
      </c>
      <c r="ANB10" s="17">
        <f>(IB10&gt;0)*'Long-Term Leases'!BY$17*$X10*$W10</f>
        <v>0</v>
      </c>
      <c r="ANC10" s="17">
        <f>(IC10&gt;0)*'Long-Term Leases'!BZ$17*$X10*$W10</f>
        <v>0</v>
      </c>
      <c r="AND10" s="17">
        <f>(ID10&gt;0)*'Long-Term Leases'!CA$17*$X10*$W10</f>
        <v>0</v>
      </c>
      <c r="ANE10" s="17">
        <f>(IE10&gt;0)*'Long-Term Leases'!CB$17*$X10*$W10</f>
        <v>0</v>
      </c>
      <c r="ANF10" s="17">
        <f>(IF10&gt;0)*'Long-Term Leases'!CC$17*$X10*$W10</f>
        <v>0</v>
      </c>
      <c r="ANG10" s="17">
        <f>(IG10&gt;0)*'Long-Term Leases'!CD$17*$X10*$W10</f>
        <v>0</v>
      </c>
      <c r="ANH10" s="17">
        <f>(IH10&gt;0)*'Long-Term Leases'!CE$17*$X10*$W10</f>
        <v>0</v>
      </c>
      <c r="ANI10" s="17">
        <f>(II10&gt;0)*'Long-Term Leases'!CF$17*$X10*$W10</f>
        <v>0</v>
      </c>
      <c r="ANJ10" s="17">
        <f>(IJ10&gt;0)*'Long-Term Leases'!CG$17*$X10*$W10</f>
        <v>0</v>
      </c>
      <c r="ANK10" s="17">
        <f>(IK10&gt;0)*'Long-Term Leases'!CH$17*$X10*$W10</f>
        <v>0</v>
      </c>
      <c r="ANL10" s="17">
        <f>(IL10&gt;0)*'Long-Term Leases'!CI$17*$X10*$W10</f>
        <v>0</v>
      </c>
      <c r="ANM10" s="17">
        <f>(IM10&gt;0)*'Long-Term Leases'!CJ$17*$X10*$W10</f>
        <v>0</v>
      </c>
      <c r="ANN10" s="17">
        <f>(IN10&gt;0)*'Long-Term Leases'!CK$17*$X10*$W10</f>
        <v>0</v>
      </c>
      <c r="ANO10" s="17">
        <f>(IO10&gt;0)*'Long-Term Leases'!CL$17*$X10*$W10</f>
        <v>0</v>
      </c>
      <c r="ANP10" s="17">
        <f>(IP10&gt;0)*'Long-Term Leases'!CM$17*$X10*$W10</f>
        <v>0</v>
      </c>
      <c r="ANQ10" s="17">
        <f>(IQ10&gt;0)*'Long-Term Leases'!CN$17*$X10*$W10</f>
        <v>0</v>
      </c>
      <c r="ANR10" s="17">
        <f>(IR10&gt;0)*'Long-Term Leases'!CO$17*$X10*$W10</f>
        <v>0</v>
      </c>
      <c r="ANS10" s="17">
        <f>(IS10&gt;0)*'Long-Term Leases'!CP$17*$X10*$W10</f>
        <v>0</v>
      </c>
      <c r="ANT10" s="17">
        <f>(IT10&gt;0)*'Long-Term Leases'!CQ$17*$X10*$W10</f>
        <v>0</v>
      </c>
      <c r="ANU10" s="17">
        <f>(IU10&gt;0)*'Long-Term Leases'!CR$17*$X10*$W10</f>
        <v>0</v>
      </c>
      <c r="ANV10" s="17">
        <f>(IV10&gt;0)*'Long-Term Leases'!CS$17*$X10*$W10</f>
        <v>0</v>
      </c>
      <c r="ANW10" s="17">
        <f>(IW10&gt;0)*'Long-Term Leases'!CT$17*$X10*$W10</f>
        <v>0</v>
      </c>
      <c r="ANX10" s="17">
        <f>(IX10&gt;0)*'Long-Term Leases'!CU$17*$X10*$W10</f>
        <v>0</v>
      </c>
      <c r="ANY10" s="17">
        <f>(IY10&gt;0)*'Long-Term Leases'!CV$17*$X10*$W10</f>
        <v>0</v>
      </c>
      <c r="ANZ10" s="17">
        <f>(IZ10&gt;0)*'Long-Term Leases'!CW$17*$X10*$W10</f>
        <v>0</v>
      </c>
      <c r="AOA10" s="17">
        <f>(JA10&gt;0)*'Long-Term Leases'!CX$17*$X10*$W10</f>
        <v>0</v>
      </c>
      <c r="AOB10" s="17">
        <f>(JB10&gt;0)*'Long-Term Leases'!CY$17*$X10*$W10</f>
        <v>0</v>
      </c>
      <c r="AOC10" s="17">
        <f>(JC10&gt;0)*'Long-Term Leases'!CZ$17*$X10*$W10</f>
        <v>0</v>
      </c>
      <c r="AOD10" s="17">
        <f>(JD10&gt;0)*'Long-Term Leases'!DA$17*$X10*$W10</f>
        <v>0</v>
      </c>
      <c r="AOE10" s="17">
        <f>(JE10&gt;0)*'Long-Term Leases'!DB$17*$X10*$W10</f>
        <v>0</v>
      </c>
      <c r="AOF10" s="17">
        <f>(JF10&gt;0)*'Long-Term Leases'!DC$17*$X10*$W10</f>
        <v>0</v>
      </c>
      <c r="AOG10" s="17">
        <f>(JG10&gt;0)*'Long-Term Leases'!DD$17*$X10*$W10</f>
        <v>0</v>
      </c>
      <c r="AOH10" s="17">
        <f>(JH10&gt;0)*'Long-Term Leases'!DE$17*$X10*$W10</f>
        <v>0</v>
      </c>
      <c r="AOI10" s="17">
        <f>(JI10&gt;0)*'Long-Term Leases'!DF$17*$X10*$W10</f>
        <v>0</v>
      </c>
      <c r="AOJ10" s="17">
        <f>(JJ10&gt;0)*'Long-Term Leases'!DG$17*$X10*$W10</f>
        <v>0</v>
      </c>
      <c r="AOK10" s="17">
        <f>(JK10&gt;0)*'Long-Term Leases'!DH$17*$X10*$W10</f>
        <v>0</v>
      </c>
      <c r="AOL10" s="17">
        <f>(JL10&gt;0)*'Long-Term Leases'!DI$17*$X10*$W10</f>
        <v>0</v>
      </c>
      <c r="AOM10" s="17">
        <f>(JM10&gt;0)*'Long-Term Leases'!DJ$17*$X10*$W10</f>
        <v>0</v>
      </c>
      <c r="AON10" s="17">
        <f>(JN10&gt;0)*'Long-Term Leases'!DK$17*$X10*$W10</f>
        <v>0</v>
      </c>
      <c r="AOO10" s="17">
        <f>(JO10&gt;0)*'Long-Term Leases'!DL$17*$X10*$W10</f>
        <v>0</v>
      </c>
      <c r="AOP10" s="17">
        <f>(JP10&gt;0)*'Long-Term Leases'!DM$17*$X10*$W10</f>
        <v>0</v>
      </c>
      <c r="AOQ10" s="17">
        <f>(JQ10&gt;0)*'Long-Term Leases'!DN$17*$X10*$W10</f>
        <v>0</v>
      </c>
      <c r="AOR10" s="17">
        <f>(JR10&gt;0)*'Long-Term Leases'!DO$17*$X10*$W10</f>
        <v>0</v>
      </c>
      <c r="AOS10" s="17">
        <f>(JS10&gt;0)*'Long-Term Leases'!DP$17*$X10*$W10</f>
        <v>0</v>
      </c>
      <c r="AOT10" s="17">
        <f>(JT10&gt;0)*'Long-Term Leases'!DQ$17*$X10*$W10</f>
        <v>0</v>
      </c>
      <c r="AOU10" s="17">
        <f>(JU10&gt;0)*'Long-Term Leases'!DR$17*$X10*$W10</f>
        <v>0</v>
      </c>
      <c r="AOV10" s="17">
        <f>(JV10&gt;0)*'Long-Term Leases'!DS$17*$X10*$W10</f>
        <v>0</v>
      </c>
      <c r="AOW10" s="17">
        <f>(JW10&gt;0)*'Long-Term Leases'!DT$17*$X10*$W10</f>
        <v>0</v>
      </c>
      <c r="AOX10" s="17">
        <f>(JX10&gt;0)*'Long-Term Leases'!DU$17*$X10*$W10</f>
        <v>0</v>
      </c>
      <c r="AOY10" s="17">
        <f>(JY10&gt;0)*'Long-Term Leases'!DV$17*$X10*$W10</f>
        <v>25606.59527729539</v>
      </c>
      <c r="AOZ10" s="17">
        <f>(JZ10&gt;0)*'Long-Term Leases'!DW$17*$X10*$W10</f>
        <v>25606.59527729539</v>
      </c>
      <c r="APA10" s="17">
        <f>(KA10&gt;0)*'Long-Term Leases'!DX$17*$X10*$W10</f>
        <v>25606.59527729539</v>
      </c>
      <c r="APB10" s="17">
        <f>(KB10&gt;0)*'Long-Term Leases'!DY$17*$X10*$W10</f>
        <v>25606.59527729539</v>
      </c>
      <c r="APC10" s="17">
        <f>(KC10&gt;0)*'Long-Term Leases'!DZ$17*$X10*$W10</f>
        <v>25606.59527729539</v>
      </c>
      <c r="APD10" s="17">
        <f>(KD10&gt;0)*'Long-Term Leases'!EA$17*$X10*$W10</f>
        <v>26118.727182841296</v>
      </c>
      <c r="APE10" s="17">
        <f>(KE10&gt;0)*'Long-Term Leases'!EB$17*$X10*$W10</f>
        <v>26118.727182841296</v>
      </c>
      <c r="APF10" s="17">
        <f>(KF10&gt;0)*'Long-Term Leases'!EC$17*$X10*$W10</f>
        <v>26118.727182841296</v>
      </c>
      <c r="APG10" s="17">
        <f>(KG10&gt;0)*'Long-Term Leases'!ED$17*$X10*$W10</f>
        <v>26118.727182841296</v>
      </c>
      <c r="APH10" s="17">
        <f>(KH10&gt;0)*'Long-Term Leases'!EE$17*$X10*$W10</f>
        <v>26118.727182841296</v>
      </c>
      <c r="API10" s="17">
        <f>(KI10&gt;0)*'Long-Term Leases'!EF$17*$X10*$W10</f>
        <v>26118.727182841296</v>
      </c>
      <c r="APJ10" s="17">
        <f>(KJ10&gt;0)*'Long-Term Leases'!EG$17*$X10*$W10</f>
        <v>26118.727182841296</v>
      </c>
      <c r="APK10" s="17">
        <f>(KK10&gt;0)*'Long-Term Leases'!EH$17*$X10*$W10</f>
        <v>26118.727182841296</v>
      </c>
      <c r="APL10" s="17">
        <f>(KL10&gt;0)*'Long-Term Leases'!EI$17*$X10*$W10</f>
        <v>26118.727182841296</v>
      </c>
      <c r="APM10" s="17">
        <f>(KM10&gt;0)*'Long-Term Leases'!EJ$17*$X10*$W10</f>
        <v>26118.727182841296</v>
      </c>
      <c r="APN10" s="17">
        <f>(KN10&gt;0)*'Long-Term Leases'!EK$17*$X10*$W10</f>
        <v>26118.727182841296</v>
      </c>
      <c r="APO10" s="17">
        <f>(KO10&gt;0)*'Long-Term Leases'!EL$17*$X10*$W10</f>
        <v>26118.727182841296</v>
      </c>
      <c r="APP10" s="17"/>
      <c r="APQ10" s="17"/>
      <c r="APR10" s="17">
        <f t="shared" si="1307"/>
        <v>0</v>
      </c>
      <c r="APS10" s="17">
        <f t="shared" si="1278"/>
        <v>0</v>
      </c>
      <c r="APT10" s="17">
        <f t="shared" si="1278"/>
        <v>0</v>
      </c>
      <c r="APU10" s="17">
        <f t="shared" si="1278"/>
        <v>0</v>
      </c>
      <c r="APV10" s="17">
        <f t="shared" si="1278"/>
        <v>0</v>
      </c>
      <c r="APW10" s="17">
        <f t="shared" si="1278"/>
        <v>0</v>
      </c>
      <c r="APX10" s="17">
        <f t="shared" si="1278"/>
        <v>0</v>
      </c>
      <c r="APY10" s="17">
        <f t="shared" si="1278"/>
        <v>0</v>
      </c>
      <c r="APZ10" s="17">
        <f t="shared" si="1278"/>
        <v>0</v>
      </c>
      <c r="AQA10" s="17">
        <f t="shared" si="1278"/>
        <v>0</v>
      </c>
      <c r="AQB10" s="17">
        <f t="shared" si="1278"/>
        <v>0</v>
      </c>
      <c r="AQC10" s="17">
        <f t="shared" si="1278"/>
        <v>0</v>
      </c>
      <c r="AQD10" s="17">
        <f t="shared" si="1278"/>
        <v>0</v>
      </c>
      <c r="AQE10" s="17">
        <f t="shared" si="1278"/>
        <v>0</v>
      </c>
      <c r="AQF10" s="17">
        <f t="shared" si="1278"/>
        <v>0</v>
      </c>
      <c r="AQG10" s="17">
        <f t="shared" si="1278"/>
        <v>0</v>
      </c>
      <c r="AQH10" s="17">
        <f t="shared" si="1278"/>
        <v>0</v>
      </c>
      <c r="AQI10" s="17">
        <f t="shared" si="1279"/>
        <v>0</v>
      </c>
      <c r="AQJ10" s="17">
        <f t="shared" si="1279"/>
        <v>0</v>
      </c>
      <c r="AQK10" s="17">
        <f t="shared" si="1279"/>
        <v>0</v>
      </c>
      <c r="AQL10" s="17">
        <f t="shared" si="1279"/>
        <v>0</v>
      </c>
      <c r="AQM10" s="17">
        <f t="shared" si="1279"/>
        <v>0</v>
      </c>
      <c r="AQN10" s="17">
        <f t="shared" si="1279"/>
        <v>0</v>
      </c>
      <c r="AQO10" s="17">
        <f t="shared" si="1279"/>
        <v>0</v>
      </c>
      <c r="AQP10" s="17">
        <f t="shared" si="1279"/>
        <v>0</v>
      </c>
      <c r="AQQ10" s="17">
        <f t="shared" si="1279"/>
        <v>0</v>
      </c>
      <c r="AQR10" s="17">
        <f t="shared" si="1279"/>
        <v>0</v>
      </c>
      <c r="AQS10" s="17">
        <f t="shared" si="1279"/>
        <v>0</v>
      </c>
      <c r="AQT10" s="17">
        <f t="shared" si="1279"/>
        <v>0</v>
      </c>
      <c r="AQU10" s="17">
        <f t="shared" si="1279"/>
        <v>0</v>
      </c>
      <c r="AQV10" s="17">
        <f t="shared" si="1279"/>
        <v>0</v>
      </c>
      <c r="AQW10" s="17">
        <f t="shared" si="1279"/>
        <v>0</v>
      </c>
      <c r="AQX10" s="17">
        <f t="shared" si="1279"/>
        <v>0</v>
      </c>
      <c r="AQY10" s="17">
        <f t="shared" si="1280"/>
        <v>0</v>
      </c>
      <c r="AQZ10" s="17">
        <f t="shared" si="1280"/>
        <v>0</v>
      </c>
      <c r="ARA10" s="17">
        <f t="shared" si="1280"/>
        <v>0</v>
      </c>
      <c r="ARB10" s="17">
        <f t="shared" si="1280"/>
        <v>0</v>
      </c>
      <c r="ARC10" s="17">
        <f t="shared" si="1280"/>
        <v>0</v>
      </c>
      <c r="ARD10" s="17">
        <f t="shared" si="1280"/>
        <v>0</v>
      </c>
      <c r="ARE10" s="17">
        <f t="shared" si="1280"/>
        <v>0</v>
      </c>
      <c r="ARF10" s="17">
        <f t="shared" si="1280"/>
        <v>0</v>
      </c>
      <c r="ARG10" s="17">
        <f t="shared" si="1280"/>
        <v>0</v>
      </c>
      <c r="ARH10" s="17">
        <f t="shared" si="1280"/>
        <v>0</v>
      </c>
      <c r="ARI10" s="17">
        <f t="shared" si="1280"/>
        <v>0</v>
      </c>
      <c r="ARJ10" s="17">
        <f t="shared" si="1280"/>
        <v>0</v>
      </c>
      <c r="ARK10" s="17">
        <f t="shared" si="1280"/>
        <v>0</v>
      </c>
      <c r="ARL10" s="17">
        <f t="shared" si="1280"/>
        <v>0</v>
      </c>
      <c r="ARM10" s="17">
        <f t="shared" si="1280"/>
        <v>0</v>
      </c>
      <c r="ARN10" s="17">
        <f t="shared" si="1280"/>
        <v>0</v>
      </c>
      <c r="ARO10" s="17">
        <f t="shared" si="1281"/>
        <v>0</v>
      </c>
      <c r="ARP10" s="17">
        <f t="shared" si="1281"/>
        <v>0</v>
      </c>
      <c r="ARQ10" s="17">
        <f t="shared" si="1281"/>
        <v>0</v>
      </c>
      <c r="ARR10" s="17">
        <f t="shared" si="1281"/>
        <v>0</v>
      </c>
      <c r="ARS10" s="17">
        <f t="shared" si="1281"/>
        <v>0</v>
      </c>
      <c r="ART10" s="17">
        <f t="shared" si="1281"/>
        <v>0</v>
      </c>
      <c r="ARU10" s="17">
        <f t="shared" si="1281"/>
        <v>0</v>
      </c>
      <c r="ARV10" s="17">
        <f t="shared" si="1281"/>
        <v>0</v>
      </c>
      <c r="ARW10" s="17">
        <f t="shared" si="1281"/>
        <v>0</v>
      </c>
      <c r="ARX10" s="17">
        <f t="shared" si="1281"/>
        <v>0</v>
      </c>
      <c r="ARY10" s="17">
        <f t="shared" si="1281"/>
        <v>0</v>
      </c>
      <c r="ARZ10" s="17">
        <f t="shared" si="1281"/>
        <v>0</v>
      </c>
      <c r="ASA10" s="17">
        <f t="shared" si="1281"/>
        <v>0</v>
      </c>
      <c r="ASB10" s="17">
        <f t="shared" si="1281"/>
        <v>0</v>
      </c>
      <c r="ASC10" s="17">
        <f t="shared" si="1281"/>
        <v>0</v>
      </c>
      <c r="ASD10" s="17">
        <f t="shared" si="1281"/>
        <v>0</v>
      </c>
      <c r="ASE10" s="17">
        <f t="shared" si="1282"/>
        <v>0</v>
      </c>
      <c r="ASF10" s="17">
        <f t="shared" si="1282"/>
        <v>0</v>
      </c>
      <c r="ASG10" s="17">
        <f t="shared" si="1282"/>
        <v>0</v>
      </c>
      <c r="ASH10" s="17">
        <f t="shared" si="1282"/>
        <v>0</v>
      </c>
      <c r="ASI10" s="17">
        <f t="shared" si="1282"/>
        <v>0</v>
      </c>
      <c r="ASJ10" s="17">
        <f t="shared" si="1282"/>
        <v>0</v>
      </c>
      <c r="ASK10" s="17">
        <f t="shared" si="1282"/>
        <v>0</v>
      </c>
      <c r="ASL10" s="17">
        <f t="shared" si="1282"/>
        <v>0</v>
      </c>
      <c r="ASM10" s="17">
        <f t="shared" si="1282"/>
        <v>0</v>
      </c>
      <c r="ASN10" s="17">
        <f t="shared" si="1282"/>
        <v>0</v>
      </c>
      <c r="ASO10" s="17">
        <f t="shared" si="1282"/>
        <v>0</v>
      </c>
      <c r="ASP10" s="17">
        <f t="shared" si="1282"/>
        <v>0</v>
      </c>
      <c r="ASQ10" s="17">
        <f t="shared" si="1282"/>
        <v>0</v>
      </c>
      <c r="ASR10" s="17">
        <f t="shared" si="1282"/>
        <v>0</v>
      </c>
      <c r="ASS10" s="17">
        <f t="shared" si="1282"/>
        <v>0</v>
      </c>
      <c r="AST10" s="17">
        <f t="shared" si="1282"/>
        <v>0</v>
      </c>
      <c r="ASU10" s="17">
        <f t="shared" si="1283"/>
        <v>0</v>
      </c>
      <c r="ASV10" s="17">
        <f t="shared" si="1283"/>
        <v>0</v>
      </c>
      <c r="ASW10" s="17">
        <f t="shared" si="1283"/>
        <v>0</v>
      </c>
      <c r="ASX10" s="17">
        <f t="shared" si="1283"/>
        <v>0</v>
      </c>
      <c r="ASY10" s="17">
        <f t="shared" si="1283"/>
        <v>0</v>
      </c>
      <c r="ASZ10" s="17">
        <f t="shared" si="1283"/>
        <v>0</v>
      </c>
      <c r="ATA10" s="17">
        <f t="shared" si="1283"/>
        <v>0</v>
      </c>
      <c r="ATB10" s="17">
        <f t="shared" si="1283"/>
        <v>0</v>
      </c>
      <c r="ATC10" s="17">
        <f t="shared" si="1283"/>
        <v>0</v>
      </c>
      <c r="ATD10" s="17">
        <f t="shared" si="1283"/>
        <v>0</v>
      </c>
      <c r="ATE10" s="17">
        <f t="shared" si="1283"/>
        <v>0</v>
      </c>
      <c r="ATF10" s="17">
        <f t="shared" si="1283"/>
        <v>0</v>
      </c>
      <c r="ATG10" s="17">
        <f t="shared" si="1283"/>
        <v>0</v>
      </c>
      <c r="ATH10" s="17">
        <f t="shared" si="1283"/>
        <v>0</v>
      </c>
      <c r="ATI10" s="17">
        <f t="shared" si="1283"/>
        <v>0</v>
      </c>
      <c r="ATJ10" s="17">
        <f t="shared" si="1283"/>
        <v>0</v>
      </c>
      <c r="ATK10" s="17">
        <f t="shared" si="1284"/>
        <v>0</v>
      </c>
      <c r="ATL10" s="17">
        <f t="shared" si="1284"/>
        <v>0</v>
      </c>
      <c r="ATM10" s="17">
        <f t="shared" si="1284"/>
        <v>0</v>
      </c>
      <c r="ATN10" s="17">
        <f t="shared" si="1284"/>
        <v>0</v>
      </c>
      <c r="ATO10" s="17">
        <f t="shared" si="1284"/>
        <v>0</v>
      </c>
      <c r="ATP10" s="17">
        <f t="shared" si="1284"/>
        <v>0</v>
      </c>
      <c r="ATQ10" s="17">
        <f t="shared" si="1284"/>
        <v>0</v>
      </c>
      <c r="ATR10" s="17">
        <f t="shared" si="1284"/>
        <v>0</v>
      </c>
      <c r="ATS10" s="17">
        <f t="shared" si="1284"/>
        <v>0</v>
      </c>
      <c r="ATT10" s="17">
        <f t="shared" si="1284"/>
        <v>0</v>
      </c>
      <c r="ATU10" s="17">
        <f t="shared" si="1284"/>
        <v>0</v>
      </c>
      <c r="ATV10" s="17">
        <f t="shared" si="1284"/>
        <v>0</v>
      </c>
      <c r="ATW10" s="17">
        <f t="shared" si="1284"/>
        <v>0</v>
      </c>
      <c r="ATX10" s="17">
        <f t="shared" si="1284"/>
        <v>0</v>
      </c>
      <c r="ATY10" s="17">
        <f t="shared" si="1284"/>
        <v>0</v>
      </c>
      <c r="ATZ10" s="17">
        <f t="shared" si="1284"/>
        <v>0</v>
      </c>
      <c r="AUA10" s="17">
        <f t="shared" si="1285"/>
        <v>0</v>
      </c>
      <c r="AUB10" s="17">
        <f t="shared" si="1285"/>
        <v>0</v>
      </c>
      <c r="AUC10" s="17">
        <f t="shared" si="1285"/>
        <v>753464.47972244595</v>
      </c>
      <c r="AUD10" s="17">
        <f t="shared" si="1285"/>
        <v>0</v>
      </c>
      <c r="AUE10" s="17">
        <f t="shared" si="1285"/>
        <v>0</v>
      </c>
      <c r="AUF10" s="17">
        <f t="shared" si="1285"/>
        <v>0</v>
      </c>
      <c r="AUG10" s="17">
        <f t="shared" si="1285"/>
        <v>0</v>
      </c>
      <c r="AUH10" s="17">
        <f t="shared" si="1285"/>
        <v>0</v>
      </c>
      <c r="AUI10" s="17">
        <f t="shared" si="1285"/>
        <v>0</v>
      </c>
      <c r="AUJ10" s="17">
        <f t="shared" si="1285"/>
        <v>0</v>
      </c>
      <c r="AUK10" s="17">
        <f t="shared" si="1285"/>
        <v>0</v>
      </c>
      <c r="AUL10" s="17">
        <f t="shared" si="1285"/>
        <v>0</v>
      </c>
      <c r="AUM10" s="17">
        <f t="shared" si="1285"/>
        <v>0</v>
      </c>
      <c r="AUN10" s="17">
        <f t="shared" si="1285"/>
        <v>0</v>
      </c>
      <c r="AUO10" s="17">
        <f t="shared" si="1285"/>
        <v>0</v>
      </c>
      <c r="AUP10" s="17">
        <f t="shared" si="1285"/>
        <v>0</v>
      </c>
      <c r="AUQ10" s="17">
        <f t="shared" si="1286"/>
        <v>0</v>
      </c>
      <c r="AUR10" s="17">
        <f t="shared" si="1286"/>
        <v>0</v>
      </c>
      <c r="AUS10" s="17">
        <f t="shared" si="1286"/>
        <v>0</v>
      </c>
      <c r="AUT10" s="17"/>
      <c r="AUU10" s="17"/>
    </row>
    <row r="11" spans="1:1243" x14ac:dyDescent="0.3">
      <c r="A11" s="44"/>
      <c r="B11" s="43">
        <v>500</v>
      </c>
      <c r="C11" s="44" t="s">
        <v>84</v>
      </c>
      <c r="D11" s="47">
        <v>8832</v>
      </c>
      <c r="E11" s="54">
        <v>1</v>
      </c>
      <c r="F11" s="54">
        <v>15</v>
      </c>
      <c r="G11" s="45">
        <v>16.39</v>
      </c>
      <c r="H11" s="48">
        <f t="shared" si="1287"/>
        <v>144756.48000000001</v>
      </c>
      <c r="I11" s="53">
        <f t="shared" si="1288"/>
        <v>0.02</v>
      </c>
      <c r="J11" s="54">
        <v>4</v>
      </c>
      <c r="K11" s="56">
        <v>1</v>
      </c>
      <c r="L11" s="16">
        <f t="shared" si="1289"/>
        <v>6.4573204167428261E-2</v>
      </c>
      <c r="M11" s="57">
        <v>16</v>
      </c>
      <c r="N11" s="26">
        <v>2.5000000000000001E-2</v>
      </c>
      <c r="O11" s="26">
        <v>0.7</v>
      </c>
      <c r="P11" s="58">
        <v>9</v>
      </c>
      <c r="Q11" s="58">
        <v>120</v>
      </c>
      <c r="R11" s="55">
        <f t="shared" si="1290"/>
        <v>19</v>
      </c>
      <c r="S11" s="55">
        <f t="shared" si="1291"/>
        <v>138</v>
      </c>
      <c r="T11" s="4">
        <f t="shared" si="1292"/>
        <v>16.399999999999999</v>
      </c>
      <c r="U11" s="53">
        <f t="shared" si="1293"/>
        <v>0.02</v>
      </c>
      <c r="V11" s="55">
        <f t="shared" si="1294"/>
        <v>7</v>
      </c>
      <c r="W11" s="56">
        <f t="shared" si="1295"/>
        <v>1</v>
      </c>
      <c r="X11" s="16">
        <f t="shared" si="1296"/>
        <v>6.4573204167428261E-2</v>
      </c>
      <c r="Y11" s="58">
        <v>6</v>
      </c>
      <c r="Z11" s="58">
        <v>0</v>
      </c>
      <c r="AA11" s="4">
        <f t="shared" si="1297"/>
        <v>2.7333333333333329</v>
      </c>
      <c r="AB11" s="45">
        <v>30</v>
      </c>
      <c r="AC11" s="45">
        <v>10</v>
      </c>
      <c r="AD11" s="26">
        <v>0.06</v>
      </c>
      <c r="AE11" s="26">
        <v>0.03</v>
      </c>
      <c r="AF11" s="4">
        <f t="shared" si="1298"/>
        <v>16</v>
      </c>
      <c r="AG11" s="4">
        <f t="shared" si="1299"/>
        <v>6.3959999999999999</v>
      </c>
      <c r="AH11" s="4">
        <f t="shared" si="1300"/>
        <v>22.396000000000001</v>
      </c>
      <c r="AJ11" s="17">
        <f t="shared" si="1301"/>
        <v>8832</v>
      </c>
      <c r="AK11" s="17">
        <f t="shared" si="1120"/>
        <v>8832</v>
      </c>
      <c r="AL11" s="17">
        <f t="shared" si="1120"/>
        <v>8832</v>
      </c>
      <c r="AM11" s="17">
        <f t="shared" si="1120"/>
        <v>8832</v>
      </c>
      <c r="AN11" s="17">
        <f t="shared" si="1120"/>
        <v>8832</v>
      </c>
      <c r="AO11" s="17">
        <f t="shared" si="1120"/>
        <v>8832</v>
      </c>
      <c r="AP11" s="17">
        <f t="shared" si="1120"/>
        <v>8832</v>
      </c>
      <c r="AQ11" s="17">
        <f t="shared" si="1120"/>
        <v>8832</v>
      </c>
      <c r="AR11" s="17">
        <f t="shared" si="1120"/>
        <v>8832</v>
      </c>
      <c r="AS11" s="17">
        <f t="shared" si="1120"/>
        <v>8832</v>
      </c>
      <c r="AT11" s="17">
        <f t="shared" si="1120"/>
        <v>8832</v>
      </c>
      <c r="AU11" s="17">
        <f t="shared" si="1120"/>
        <v>8832</v>
      </c>
      <c r="AV11" s="17">
        <f t="shared" si="1120"/>
        <v>8832</v>
      </c>
      <c r="AW11" s="17">
        <f t="shared" si="1120"/>
        <v>8832</v>
      </c>
      <c r="AX11" s="17">
        <f t="shared" si="1120"/>
        <v>8832</v>
      </c>
      <c r="AY11" s="17">
        <f t="shared" si="1120"/>
        <v>0</v>
      </c>
      <c r="AZ11" s="17">
        <f t="shared" si="1120"/>
        <v>0</v>
      </c>
      <c r="BA11" s="17">
        <f t="shared" si="1121"/>
        <v>0</v>
      </c>
      <c r="BB11" s="17">
        <f t="shared" si="1121"/>
        <v>0</v>
      </c>
      <c r="BC11" s="17">
        <f t="shared" si="1121"/>
        <v>0</v>
      </c>
      <c r="BD11" s="17">
        <f t="shared" si="1121"/>
        <v>0</v>
      </c>
      <c r="BE11" s="17">
        <f t="shared" si="1121"/>
        <v>0</v>
      </c>
      <c r="BF11" s="17">
        <f t="shared" si="1121"/>
        <v>0</v>
      </c>
      <c r="BG11" s="17">
        <f t="shared" si="1121"/>
        <v>0</v>
      </c>
      <c r="BH11" s="17">
        <f t="shared" si="1121"/>
        <v>0</v>
      </c>
      <c r="BI11" s="17">
        <f t="shared" si="1121"/>
        <v>0</v>
      </c>
      <c r="BJ11" s="17">
        <f t="shared" si="1121"/>
        <v>0</v>
      </c>
      <c r="BK11" s="17">
        <f t="shared" si="1121"/>
        <v>0</v>
      </c>
      <c r="BL11" s="17">
        <f t="shared" si="1121"/>
        <v>0</v>
      </c>
      <c r="BM11" s="17">
        <f t="shared" si="1121"/>
        <v>0</v>
      </c>
      <c r="BN11" s="17">
        <f t="shared" si="1121"/>
        <v>0</v>
      </c>
      <c r="BO11" s="17">
        <f t="shared" si="1121"/>
        <v>0</v>
      </c>
      <c r="BP11" s="17">
        <f t="shared" si="1121"/>
        <v>0</v>
      </c>
      <c r="BQ11" s="17">
        <f t="shared" si="1122"/>
        <v>0</v>
      </c>
      <c r="BR11" s="17">
        <f t="shared" si="1122"/>
        <v>0</v>
      </c>
      <c r="BS11" s="17">
        <f t="shared" si="1122"/>
        <v>0</v>
      </c>
      <c r="BT11" s="17">
        <f t="shared" si="1122"/>
        <v>0</v>
      </c>
      <c r="BU11" s="17">
        <f t="shared" si="1122"/>
        <v>0</v>
      </c>
      <c r="BV11" s="17">
        <f t="shared" si="1122"/>
        <v>0</v>
      </c>
      <c r="BW11" s="17">
        <f t="shared" si="1122"/>
        <v>0</v>
      </c>
      <c r="BX11" s="17">
        <f t="shared" si="1122"/>
        <v>0</v>
      </c>
      <c r="BY11" s="17">
        <f t="shared" si="1122"/>
        <v>0</v>
      </c>
      <c r="BZ11" s="17">
        <f t="shared" si="1122"/>
        <v>0</v>
      </c>
      <c r="CA11" s="17">
        <f t="shared" si="1122"/>
        <v>0</v>
      </c>
      <c r="CB11" s="17">
        <f t="shared" si="1122"/>
        <v>0</v>
      </c>
      <c r="CC11" s="17">
        <f t="shared" si="1122"/>
        <v>0</v>
      </c>
      <c r="CD11" s="17">
        <f t="shared" si="1122"/>
        <v>0</v>
      </c>
      <c r="CE11" s="17">
        <f t="shared" si="1122"/>
        <v>0</v>
      </c>
      <c r="CF11" s="17">
        <f t="shared" si="1122"/>
        <v>0</v>
      </c>
      <c r="CG11" s="17">
        <f t="shared" si="1123"/>
        <v>0</v>
      </c>
      <c r="CH11" s="17">
        <f t="shared" si="1123"/>
        <v>0</v>
      </c>
      <c r="CI11" s="17">
        <f t="shared" si="1123"/>
        <v>0</v>
      </c>
      <c r="CJ11" s="17">
        <f t="shared" si="1123"/>
        <v>0</v>
      </c>
      <c r="CK11" s="17">
        <f t="shared" si="1123"/>
        <v>0</v>
      </c>
      <c r="CL11" s="17">
        <f t="shared" si="1123"/>
        <v>0</v>
      </c>
      <c r="CM11" s="17">
        <f t="shared" si="1123"/>
        <v>0</v>
      </c>
      <c r="CN11" s="17">
        <f t="shared" si="1123"/>
        <v>0</v>
      </c>
      <c r="CO11" s="17">
        <f t="shared" si="1123"/>
        <v>0</v>
      </c>
      <c r="CP11" s="17">
        <f t="shared" si="1123"/>
        <v>0</v>
      </c>
      <c r="CQ11" s="17">
        <f t="shared" si="1123"/>
        <v>0</v>
      </c>
      <c r="CR11" s="17">
        <f t="shared" si="1123"/>
        <v>0</v>
      </c>
      <c r="CS11" s="17">
        <f t="shared" si="1123"/>
        <v>0</v>
      </c>
      <c r="CT11" s="17">
        <f t="shared" si="1123"/>
        <v>0</v>
      </c>
      <c r="CU11" s="17">
        <f t="shared" si="1123"/>
        <v>0</v>
      </c>
      <c r="CV11" s="17">
        <f t="shared" si="1123"/>
        <v>0</v>
      </c>
      <c r="CW11" s="17">
        <f t="shared" si="1124"/>
        <v>0</v>
      </c>
      <c r="CX11" s="17">
        <f t="shared" si="1124"/>
        <v>0</v>
      </c>
      <c r="CY11" s="17">
        <f t="shared" si="1124"/>
        <v>0</v>
      </c>
      <c r="CZ11" s="17">
        <f t="shared" si="1124"/>
        <v>0</v>
      </c>
      <c r="DA11" s="17">
        <f t="shared" si="1124"/>
        <v>0</v>
      </c>
      <c r="DB11" s="17">
        <f t="shared" si="1124"/>
        <v>0</v>
      </c>
      <c r="DC11" s="17">
        <f t="shared" si="1124"/>
        <v>0</v>
      </c>
      <c r="DD11" s="17">
        <f t="shared" si="1124"/>
        <v>0</v>
      </c>
      <c r="DE11" s="17">
        <f t="shared" si="1124"/>
        <v>0</v>
      </c>
      <c r="DF11" s="17">
        <f t="shared" si="1124"/>
        <v>0</v>
      </c>
      <c r="DG11" s="17">
        <f t="shared" si="1124"/>
        <v>0</v>
      </c>
      <c r="DH11" s="17">
        <f t="shared" si="1124"/>
        <v>0</v>
      </c>
      <c r="DI11" s="17">
        <f t="shared" si="1124"/>
        <v>0</v>
      </c>
      <c r="DJ11" s="17">
        <f t="shared" si="1124"/>
        <v>0</v>
      </c>
      <c r="DK11" s="17">
        <f t="shared" si="1124"/>
        <v>0</v>
      </c>
      <c r="DL11" s="17">
        <f t="shared" si="1124"/>
        <v>0</v>
      </c>
      <c r="DM11" s="17">
        <f t="shared" si="1125"/>
        <v>0</v>
      </c>
      <c r="DN11" s="17">
        <f t="shared" si="1125"/>
        <v>0</v>
      </c>
      <c r="DO11" s="17">
        <f t="shared" si="1125"/>
        <v>0</v>
      </c>
      <c r="DP11" s="17">
        <f t="shared" si="1125"/>
        <v>0</v>
      </c>
      <c r="DQ11" s="17">
        <f t="shared" si="1125"/>
        <v>0</v>
      </c>
      <c r="DR11" s="17">
        <f t="shared" si="1125"/>
        <v>0</v>
      </c>
      <c r="DS11" s="17">
        <f t="shared" si="1125"/>
        <v>0</v>
      </c>
      <c r="DT11" s="17">
        <f t="shared" si="1125"/>
        <v>0</v>
      </c>
      <c r="DU11" s="17">
        <f t="shared" si="1125"/>
        <v>0</v>
      </c>
      <c r="DV11" s="17">
        <f t="shared" si="1125"/>
        <v>0</v>
      </c>
      <c r="DW11" s="17">
        <f t="shared" si="1125"/>
        <v>0</v>
      </c>
      <c r="DX11" s="17">
        <f t="shared" si="1125"/>
        <v>0</v>
      </c>
      <c r="DY11" s="17">
        <f t="shared" si="1125"/>
        <v>0</v>
      </c>
      <c r="DZ11" s="17">
        <f t="shared" si="1125"/>
        <v>0</v>
      </c>
      <c r="EA11" s="17">
        <f t="shared" si="1125"/>
        <v>0</v>
      </c>
      <c r="EB11" s="17">
        <f t="shared" si="1125"/>
        <v>0</v>
      </c>
      <c r="EC11" s="17">
        <f t="shared" si="1126"/>
        <v>0</v>
      </c>
      <c r="ED11" s="17">
        <f t="shared" si="1126"/>
        <v>0</v>
      </c>
      <c r="EE11" s="17">
        <f t="shared" si="1126"/>
        <v>0</v>
      </c>
      <c r="EF11" s="17">
        <f t="shared" si="1126"/>
        <v>0</v>
      </c>
      <c r="EG11" s="17">
        <f t="shared" si="1126"/>
        <v>0</v>
      </c>
      <c r="EH11" s="17">
        <f t="shared" si="1126"/>
        <v>0</v>
      </c>
      <c r="EI11" s="17">
        <f t="shared" si="1126"/>
        <v>0</v>
      </c>
      <c r="EJ11" s="17">
        <f t="shared" si="1126"/>
        <v>0</v>
      </c>
      <c r="EK11" s="17">
        <f t="shared" si="1126"/>
        <v>0</v>
      </c>
      <c r="EL11" s="17">
        <f t="shared" si="1126"/>
        <v>0</v>
      </c>
      <c r="EM11" s="17">
        <f t="shared" si="1126"/>
        <v>0</v>
      </c>
      <c r="EN11" s="17">
        <f t="shared" si="1126"/>
        <v>0</v>
      </c>
      <c r="EO11" s="17">
        <f t="shared" si="1126"/>
        <v>0</v>
      </c>
      <c r="EP11" s="17">
        <f t="shared" si="1126"/>
        <v>0</v>
      </c>
      <c r="EQ11" s="17">
        <f t="shared" si="1126"/>
        <v>0</v>
      </c>
      <c r="ER11" s="17">
        <f t="shared" si="1126"/>
        <v>0</v>
      </c>
      <c r="ES11" s="17">
        <f t="shared" si="1127"/>
        <v>0</v>
      </c>
      <c r="ET11" s="17">
        <f t="shared" si="1127"/>
        <v>0</v>
      </c>
      <c r="EU11" s="17">
        <f t="shared" si="1127"/>
        <v>0</v>
      </c>
      <c r="EV11" s="17">
        <f t="shared" si="1127"/>
        <v>0</v>
      </c>
      <c r="EW11" s="17">
        <f t="shared" si="1127"/>
        <v>0</v>
      </c>
      <c r="EX11" s="17">
        <f t="shared" si="1127"/>
        <v>0</v>
      </c>
      <c r="EY11" s="17">
        <f t="shared" si="1127"/>
        <v>0</v>
      </c>
      <c r="EZ11" s="17">
        <f t="shared" si="1127"/>
        <v>0</v>
      </c>
      <c r="FA11" s="17">
        <f t="shared" si="1127"/>
        <v>0</v>
      </c>
      <c r="FB11" s="17">
        <f t="shared" si="1127"/>
        <v>0</v>
      </c>
      <c r="FC11" s="17">
        <f t="shared" si="1127"/>
        <v>0</v>
      </c>
      <c r="FD11" s="17">
        <f t="shared" si="1127"/>
        <v>0</v>
      </c>
      <c r="FE11" s="17">
        <f t="shared" si="1127"/>
        <v>0</v>
      </c>
      <c r="FF11" s="17">
        <f t="shared" si="1127"/>
        <v>0</v>
      </c>
      <c r="FG11" s="17">
        <f t="shared" si="1127"/>
        <v>0</v>
      </c>
      <c r="FH11" s="17">
        <f t="shared" si="1127"/>
        <v>0</v>
      </c>
      <c r="FI11" s="17">
        <f t="shared" si="1128"/>
        <v>0</v>
      </c>
      <c r="FJ11" s="17">
        <f t="shared" si="1128"/>
        <v>0</v>
      </c>
      <c r="FK11" s="17">
        <f t="shared" si="1128"/>
        <v>0</v>
      </c>
      <c r="FL11" s="17"/>
      <c r="FM11" s="17"/>
      <c r="FN11" s="17">
        <f t="shared" si="1302"/>
        <v>0</v>
      </c>
      <c r="FO11" s="17">
        <f t="shared" si="1129"/>
        <v>0</v>
      </c>
      <c r="FP11" s="17">
        <f t="shared" si="1129"/>
        <v>0</v>
      </c>
      <c r="FQ11" s="17">
        <f t="shared" si="1129"/>
        <v>0</v>
      </c>
      <c r="FR11" s="17">
        <f t="shared" si="1129"/>
        <v>0</v>
      </c>
      <c r="FS11" s="17">
        <f t="shared" si="1129"/>
        <v>0</v>
      </c>
      <c r="FT11" s="17">
        <f t="shared" si="1129"/>
        <v>0</v>
      </c>
      <c r="FU11" s="17">
        <f t="shared" si="1129"/>
        <v>0</v>
      </c>
      <c r="FV11" s="17">
        <f t="shared" si="1129"/>
        <v>0</v>
      </c>
      <c r="FW11" s="17">
        <f t="shared" si="1129"/>
        <v>0</v>
      </c>
      <c r="FX11" s="17">
        <f t="shared" si="1129"/>
        <v>0</v>
      </c>
      <c r="FY11" s="17">
        <f t="shared" si="1129"/>
        <v>0</v>
      </c>
      <c r="FZ11" s="17">
        <f t="shared" si="1129"/>
        <v>0</v>
      </c>
      <c r="GA11" s="17">
        <f t="shared" si="1129"/>
        <v>0</v>
      </c>
      <c r="GB11" s="17">
        <f t="shared" si="1129"/>
        <v>0</v>
      </c>
      <c r="GC11" s="17">
        <f t="shared" si="1129"/>
        <v>0</v>
      </c>
      <c r="GD11" s="17">
        <f t="shared" si="1129"/>
        <v>0</v>
      </c>
      <c r="GE11" s="17">
        <f t="shared" si="1130"/>
        <v>0</v>
      </c>
      <c r="GF11" s="17">
        <f t="shared" si="1130"/>
        <v>8832</v>
      </c>
      <c r="GG11" s="17">
        <f t="shared" si="1130"/>
        <v>8832</v>
      </c>
      <c r="GH11" s="17">
        <f t="shared" si="1130"/>
        <v>8832</v>
      </c>
      <c r="GI11" s="17">
        <f t="shared" si="1130"/>
        <v>8832</v>
      </c>
      <c r="GJ11" s="17">
        <f t="shared" si="1130"/>
        <v>8832</v>
      </c>
      <c r="GK11" s="17">
        <f t="shared" si="1130"/>
        <v>8832</v>
      </c>
      <c r="GL11" s="17">
        <f t="shared" si="1130"/>
        <v>8832</v>
      </c>
      <c r="GM11" s="17">
        <f t="shared" si="1130"/>
        <v>8832</v>
      </c>
      <c r="GN11" s="17">
        <f t="shared" si="1130"/>
        <v>8832</v>
      </c>
      <c r="GO11" s="17">
        <f t="shared" si="1130"/>
        <v>8832</v>
      </c>
      <c r="GP11" s="17">
        <f t="shared" si="1130"/>
        <v>8832</v>
      </c>
      <c r="GQ11" s="17">
        <f t="shared" si="1130"/>
        <v>8832</v>
      </c>
      <c r="GR11" s="17">
        <f t="shared" si="1130"/>
        <v>8832</v>
      </c>
      <c r="GS11" s="17">
        <f t="shared" si="1130"/>
        <v>8832</v>
      </c>
      <c r="GT11" s="17">
        <f t="shared" si="1130"/>
        <v>8832</v>
      </c>
      <c r="GU11" s="17">
        <f t="shared" si="1131"/>
        <v>8832</v>
      </c>
      <c r="GV11" s="17">
        <f t="shared" si="1131"/>
        <v>8832</v>
      </c>
      <c r="GW11" s="17">
        <f t="shared" si="1131"/>
        <v>8832</v>
      </c>
      <c r="GX11" s="17">
        <f t="shared" si="1131"/>
        <v>8832</v>
      </c>
      <c r="GY11" s="17">
        <f t="shared" si="1131"/>
        <v>8832</v>
      </c>
      <c r="GZ11" s="17">
        <f t="shared" si="1131"/>
        <v>8832</v>
      </c>
      <c r="HA11" s="17">
        <f t="shared" si="1131"/>
        <v>8832</v>
      </c>
      <c r="HB11" s="17">
        <f t="shared" si="1131"/>
        <v>8832</v>
      </c>
      <c r="HC11" s="17">
        <f t="shared" si="1131"/>
        <v>8832</v>
      </c>
      <c r="HD11" s="17">
        <f t="shared" si="1131"/>
        <v>8832</v>
      </c>
      <c r="HE11" s="17">
        <f t="shared" si="1131"/>
        <v>8832</v>
      </c>
      <c r="HF11" s="17">
        <f t="shared" si="1131"/>
        <v>8832</v>
      </c>
      <c r="HG11" s="17">
        <f t="shared" si="1131"/>
        <v>8832</v>
      </c>
      <c r="HH11" s="17">
        <f t="shared" si="1131"/>
        <v>8832</v>
      </c>
      <c r="HI11" s="17">
        <f t="shared" si="1131"/>
        <v>8832</v>
      </c>
      <c r="HJ11" s="17">
        <f t="shared" si="1131"/>
        <v>8832</v>
      </c>
      <c r="HK11" s="17">
        <f t="shared" si="1132"/>
        <v>8832</v>
      </c>
      <c r="HL11" s="17">
        <f t="shared" si="1132"/>
        <v>8832</v>
      </c>
      <c r="HM11" s="17">
        <f t="shared" si="1132"/>
        <v>8832</v>
      </c>
      <c r="HN11" s="17">
        <f t="shared" si="1132"/>
        <v>8832</v>
      </c>
      <c r="HO11" s="17">
        <f t="shared" si="1132"/>
        <v>8832</v>
      </c>
      <c r="HP11" s="17">
        <f t="shared" si="1132"/>
        <v>8832</v>
      </c>
      <c r="HQ11" s="17">
        <f t="shared" si="1132"/>
        <v>8832</v>
      </c>
      <c r="HR11" s="17">
        <f t="shared" si="1132"/>
        <v>8832</v>
      </c>
      <c r="HS11" s="17">
        <f t="shared" si="1132"/>
        <v>8832</v>
      </c>
      <c r="HT11" s="17">
        <f t="shared" si="1132"/>
        <v>8832</v>
      </c>
      <c r="HU11" s="17">
        <f t="shared" si="1132"/>
        <v>8832</v>
      </c>
      <c r="HV11" s="17">
        <f t="shared" si="1132"/>
        <v>8832</v>
      </c>
      <c r="HW11" s="17">
        <f t="shared" si="1132"/>
        <v>8832</v>
      </c>
      <c r="HX11" s="17">
        <f t="shared" si="1132"/>
        <v>8832</v>
      </c>
      <c r="HY11" s="17">
        <f t="shared" si="1132"/>
        <v>8832</v>
      </c>
      <c r="HZ11" s="17">
        <f t="shared" si="1132"/>
        <v>8832</v>
      </c>
      <c r="IA11" s="17">
        <f t="shared" si="1133"/>
        <v>8832</v>
      </c>
      <c r="IB11" s="17">
        <f t="shared" si="1133"/>
        <v>8832</v>
      </c>
      <c r="IC11" s="17">
        <f t="shared" si="1133"/>
        <v>8832</v>
      </c>
      <c r="ID11" s="17">
        <f t="shared" si="1133"/>
        <v>8832</v>
      </c>
      <c r="IE11" s="17">
        <f t="shared" si="1133"/>
        <v>8832</v>
      </c>
      <c r="IF11" s="17">
        <f t="shared" si="1133"/>
        <v>8832</v>
      </c>
      <c r="IG11" s="17">
        <f t="shared" si="1133"/>
        <v>8832</v>
      </c>
      <c r="IH11" s="17">
        <f t="shared" si="1133"/>
        <v>8832</v>
      </c>
      <c r="II11" s="17">
        <f t="shared" si="1133"/>
        <v>8832</v>
      </c>
      <c r="IJ11" s="17">
        <f t="shared" si="1133"/>
        <v>8832</v>
      </c>
      <c r="IK11" s="17">
        <f t="shared" si="1133"/>
        <v>8832</v>
      </c>
      <c r="IL11" s="17">
        <f t="shared" si="1133"/>
        <v>8832</v>
      </c>
      <c r="IM11" s="17">
        <f t="shared" si="1133"/>
        <v>8832</v>
      </c>
      <c r="IN11" s="17">
        <f t="shared" si="1133"/>
        <v>8832</v>
      </c>
      <c r="IO11" s="17">
        <f t="shared" si="1133"/>
        <v>8832</v>
      </c>
      <c r="IP11" s="17">
        <f t="shared" si="1133"/>
        <v>8832</v>
      </c>
      <c r="IQ11" s="17">
        <f t="shared" si="1134"/>
        <v>8832</v>
      </c>
      <c r="IR11" s="17">
        <f t="shared" si="1134"/>
        <v>8832</v>
      </c>
      <c r="IS11" s="17">
        <f t="shared" si="1134"/>
        <v>8832</v>
      </c>
      <c r="IT11" s="17">
        <f t="shared" si="1134"/>
        <v>8832</v>
      </c>
      <c r="IU11" s="17">
        <f t="shared" si="1134"/>
        <v>8832</v>
      </c>
      <c r="IV11" s="17">
        <f t="shared" si="1134"/>
        <v>8832</v>
      </c>
      <c r="IW11" s="17">
        <f t="shared" si="1134"/>
        <v>8832</v>
      </c>
      <c r="IX11" s="17">
        <f t="shared" si="1134"/>
        <v>8832</v>
      </c>
      <c r="IY11" s="17">
        <f t="shared" si="1134"/>
        <v>8832</v>
      </c>
      <c r="IZ11" s="17">
        <f t="shared" si="1134"/>
        <v>8832</v>
      </c>
      <c r="JA11" s="17">
        <f t="shared" si="1134"/>
        <v>8832</v>
      </c>
      <c r="JB11" s="17">
        <f t="shared" si="1134"/>
        <v>8832</v>
      </c>
      <c r="JC11" s="17">
        <f t="shared" si="1134"/>
        <v>8832</v>
      </c>
      <c r="JD11" s="17">
        <f t="shared" si="1134"/>
        <v>8832</v>
      </c>
      <c r="JE11" s="17">
        <f t="shared" si="1134"/>
        <v>8832</v>
      </c>
      <c r="JF11" s="17">
        <f t="shared" si="1134"/>
        <v>8832</v>
      </c>
      <c r="JG11" s="17">
        <f t="shared" si="1135"/>
        <v>8832</v>
      </c>
      <c r="JH11" s="17">
        <f t="shared" si="1135"/>
        <v>8832</v>
      </c>
      <c r="JI11" s="17">
        <f t="shared" si="1135"/>
        <v>8832</v>
      </c>
      <c r="JJ11" s="17">
        <f t="shared" si="1135"/>
        <v>8832</v>
      </c>
      <c r="JK11" s="17">
        <f t="shared" si="1135"/>
        <v>8832</v>
      </c>
      <c r="JL11" s="17">
        <f t="shared" si="1135"/>
        <v>8832</v>
      </c>
      <c r="JM11" s="17">
        <f t="shared" si="1135"/>
        <v>8832</v>
      </c>
      <c r="JN11" s="17">
        <f t="shared" si="1135"/>
        <v>8832</v>
      </c>
      <c r="JO11" s="17">
        <f t="shared" si="1135"/>
        <v>8832</v>
      </c>
      <c r="JP11" s="17">
        <f t="shared" si="1135"/>
        <v>8832</v>
      </c>
      <c r="JQ11" s="17">
        <f t="shared" si="1135"/>
        <v>8832</v>
      </c>
      <c r="JR11" s="17">
        <f t="shared" si="1135"/>
        <v>8832</v>
      </c>
      <c r="JS11" s="17">
        <f t="shared" si="1135"/>
        <v>8832</v>
      </c>
      <c r="JT11" s="17">
        <f t="shared" si="1135"/>
        <v>8832</v>
      </c>
      <c r="JU11" s="17">
        <f t="shared" si="1135"/>
        <v>8832</v>
      </c>
      <c r="JV11" s="17">
        <f t="shared" si="1135"/>
        <v>8832</v>
      </c>
      <c r="JW11" s="17">
        <f t="shared" si="1136"/>
        <v>8832</v>
      </c>
      <c r="JX11" s="17">
        <f t="shared" si="1136"/>
        <v>8832</v>
      </c>
      <c r="JY11" s="17">
        <f t="shared" si="1136"/>
        <v>8832</v>
      </c>
      <c r="JZ11" s="17">
        <f t="shared" si="1136"/>
        <v>8832</v>
      </c>
      <c r="KA11" s="17">
        <f t="shared" si="1136"/>
        <v>8832</v>
      </c>
      <c r="KB11" s="17">
        <f t="shared" si="1136"/>
        <v>8832</v>
      </c>
      <c r="KC11" s="17">
        <f t="shared" si="1136"/>
        <v>8832</v>
      </c>
      <c r="KD11" s="17">
        <f t="shared" si="1136"/>
        <v>8832</v>
      </c>
      <c r="KE11" s="17">
        <f t="shared" si="1136"/>
        <v>8832</v>
      </c>
      <c r="KF11" s="17">
        <f t="shared" si="1136"/>
        <v>8832</v>
      </c>
      <c r="KG11" s="17">
        <f t="shared" si="1136"/>
        <v>8832</v>
      </c>
      <c r="KH11" s="17">
        <f t="shared" si="1136"/>
        <v>8832</v>
      </c>
      <c r="KI11" s="17">
        <f t="shared" si="1136"/>
        <v>8832</v>
      </c>
      <c r="KJ11" s="17">
        <f t="shared" si="1136"/>
        <v>8832</v>
      </c>
      <c r="KK11" s="17">
        <f t="shared" si="1136"/>
        <v>8832</v>
      </c>
      <c r="KL11" s="17">
        <f t="shared" si="1136"/>
        <v>8832</v>
      </c>
      <c r="KM11" s="17">
        <f t="shared" si="1137"/>
        <v>8832</v>
      </c>
      <c r="KN11" s="17">
        <f t="shared" si="1137"/>
        <v>8832</v>
      </c>
      <c r="KO11" s="17">
        <f t="shared" si="1137"/>
        <v>8832</v>
      </c>
      <c r="KP11" s="17"/>
      <c r="KQ11" s="17"/>
      <c r="KR11" s="46">
        <f t="shared" si="1303"/>
        <v>1.3658333333333335</v>
      </c>
      <c r="KS11" s="30">
        <f>(AJ11&gt;0)*(MAX($KR11:KR11)+(MONTH(KS$3)=$J11)*MAX($KR11:KR11)*$I11)</f>
        <v>1.3658333333333335</v>
      </c>
      <c r="KT11" s="30">
        <f>(AK11&gt;0)*(MAX($KR11:KS11)+(MONTH(KT$3)=$J11)*MAX($KR11:KS11)*$I11)</f>
        <v>1.3658333333333335</v>
      </c>
      <c r="KU11" s="30">
        <f>(AL11&gt;0)*(MAX($KR11:KT11)+(MONTH(KU$3)=$J11)*MAX($KR11:KT11)*$I11)</f>
        <v>1.3658333333333335</v>
      </c>
      <c r="KV11" s="30">
        <f>(AM11&gt;0)*(MAX($KR11:KU11)+(MONTH(KV$3)=$J11)*MAX($KR11:KU11)*$I11)</f>
        <v>1.3931500000000001</v>
      </c>
      <c r="KW11" s="30">
        <f>(AN11&gt;0)*(MAX($KR11:KV11)+(MONTH(KW$3)=$J11)*MAX($KR11:KV11)*$I11)</f>
        <v>1.3931500000000001</v>
      </c>
      <c r="KX11" s="30">
        <f>(AO11&gt;0)*(MAX($KR11:KW11)+(MONTH(KX$3)=$J11)*MAX($KR11:KW11)*$I11)</f>
        <v>1.3931500000000001</v>
      </c>
      <c r="KY11" s="30">
        <f>(AP11&gt;0)*(MAX($KR11:KX11)+(MONTH(KY$3)=$J11)*MAX($KR11:KX11)*$I11)</f>
        <v>1.3931500000000001</v>
      </c>
      <c r="KZ11" s="30">
        <f>(AQ11&gt;0)*(MAX($KR11:KY11)+(MONTH(KZ$3)=$J11)*MAX($KR11:KY11)*$I11)</f>
        <v>1.3931500000000001</v>
      </c>
      <c r="LA11" s="30">
        <f>(AR11&gt;0)*(MAX($KR11:KZ11)+(MONTH(LA$3)=$J11)*MAX($KR11:KZ11)*$I11)</f>
        <v>1.3931500000000001</v>
      </c>
      <c r="LB11" s="30">
        <f>(AS11&gt;0)*(MAX($KR11:LA11)+(MONTH(LB$3)=$J11)*MAX($KR11:LA11)*$I11)</f>
        <v>1.3931500000000001</v>
      </c>
      <c r="LC11" s="30">
        <f>(AT11&gt;0)*(MAX($KR11:LB11)+(MONTH(LC$3)=$J11)*MAX($KR11:LB11)*$I11)</f>
        <v>1.3931500000000001</v>
      </c>
      <c r="LD11" s="30">
        <f>(AU11&gt;0)*(MAX($KR11:LC11)+(MONTH(LD$3)=$J11)*MAX($KR11:LC11)*$I11)</f>
        <v>1.3931500000000001</v>
      </c>
      <c r="LE11" s="30">
        <f>(AV11&gt;0)*(MAX($KR11:LD11)+(MONTH(LE$3)=$J11)*MAX($KR11:LD11)*$I11)</f>
        <v>1.3931500000000001</v>
      </c>
      <c r="LF11" s="30">
        <f>(AW11&gt;0)*(MAX($KR11:LE11)+(MONTH(LF$3)=$J11)*MAX($KR11:LE11)*$I11)</f>
        <v>1.3931500000000001</v>
      </c>
      <c r="LG11" s="30">
        <f>(AX11&gt;0)*(MAX($KR11:LF11)+(MONTH(LG$3)=$J11)*MAX($KR11:LF11)*$I11)</f>
        <v>1.3931500000000001</v>
      </c>
      <c r="LH11" s="30">
        <f>(AY11&gt;0)*(MAX($KR11:LG11)+(MONTH(LH$3)=$J11)*MAX($KR11:LG11)*$I11)</f>
        <v>0</v>
      </c>
      <c r="LI11" s="30">
        <f>(AZ11&gt;0)*(MAX($KR11:LH11)+(MONTH(LI$3)=$J11)*MAX($KR11:LH11)*$I11)</f>
        <v>0</v>
      </c>
      <c r="LJ11" s="30">
        <f>(BA11&gt;0)*(MAX($KR11:LI11)+(MONTH(LJ$3)=$J11)*MAX($KR11:LI11)*$I11)</f>
        <v>0</v>
      </c>
      <c r="LK11" s="30">
        <f>(BB11&gt;0)*(MAX($KR11:LJ11)+(MONTH(LK$3)=$J11)*MAX($KR11:LJ11)*$I11)</f>
        <v>0</v>
      </c>
      <c r="LL11" s="30">
        <f>(BC11&gt;0)*(MAX($KR11:LK11)+(MONTH(LL$3)=$J11)*MAX($KR11:LK11)*$I11)</f>
        <v>0</v>
      </c>
      <c r="LM11" s="30">
        <f>(BD11&gt;0)*(MAX($KR11:LL11)+(MONTH(LM$3)=$J11)*MAX($KR11:LL11)*$I11)</f>
        <v>0</v>
      </c>
      <c r="LN11" s="30">
        <f>(BE11&gt;0)*(MAX($KR11:LM11)+(MONTH(LN$3)=$J11)*MAX($KR11:LM11)*$I11)</f>
        <v>0</v>
      </c>
      <c r="LO11" s="30">
        <f>(BF11&gt;0)*(MAX($KR11:LN11)+(MONTH(LO$3)=$J11)*MAX($KR11:LN11)*$I11)</f>
        <v>0</v>
      </c>
      <c r="LP11" s="30">
        <f>(BG11&gt;0)*(MAX($KR11:LO11)+(MONTH(LP$3)=$J11)*MAX($KR11:LO11)*$I11)</f>
        <v>0</v>
      </c>
      <c r="LQ11" s="30">
        <f>(BH11&gt;0)*(MAX($KR11:LP11)+(MONTH(LQ$3)=$J11)*MAX($KR11:LP11)*$I11)</f>
        <v>0</v>
      </c>
      <c r="LR11" s="30">
        <f>(BI11&gt;0)*(MAX($KR11:LQ11)+(MONTH(LR$3)=$J11)*MAX($KR11:LQ11)*$I11)</f>
        <v>0</v>
      </c>
      <c r="LS11" s="30">
        <f>(BJ11&gt;0)*(MAX($KR11:LR11)+(MONTH(LS$3)=$J11)*MAX($KR11:LR11)*$I11)</f>
        <v>0</v>
      </c>
      <c r="LT11" s="30">
        <f>(BK11&gt;0)*(MAX($KR11:LS11)+(MONTH(LT$3)=$J11)*MAX($KR11:LS11)*$I11)</f>
        <v>0</v>
      </c>
      <c r="LU11" s="30">
        <f>(BL11&gt;0)*(MAX($KR11:LT11)+(MONTH(LU$3)=$J11)*MAX($KR11:LT11)*$I11)</f>
        <v>0</v>
      </c>
      <c r="LV11" s="30">
        <f>(BM11&gt;0)*(MAX($KR11:LU11)+(MONTH(LV$3)=$J11)*MAX($KR11:LU11)*$I11)</f>
        <v>0</v>
      </c>
      <c r="LW11" s="30">
        <f>(BN11&gt;0)*(MAX($KR11:LV11)+(MONTH(LW$3)=$J11)*MAX($KR11:LV11)*$I11)</f>
        <v>0</v>
      </c>
      <c r="LX11" s="30">
        <f>(BO11&gt;0)*(MAX($KR11:LW11)+(MONTH(LX$3)=$J11)*MAX($KR11:LW11)*$I11)</f>
        <v>0</v>
      </c>
      <c r="LY11" s="30">
        <f>(BP11&gt;0)*(MAX($KR11:LX11)+(MONTH(LY$3)=$J11)*MAX($KR11:LX11)*$I11)</f>
        <v>0</v>
      </c>
      <c r="LZ11" s="30">
        <f>(BQ11&gt;0)*(MAX($KR11:LY11)+(MONTH(LZ$3)=$J11)*MAX($KR11:LY11)*$I11)</f>
        <v>0</v>
      </c>
      <c r="MA11" s="30">
        <f>(BR11&gt;0)*(MAX($KR11:LZ11)+(MONTH(MA$3)=$J11)*MAX($KR11:LZ11)*$I11)</f>
        <v>0</v>
      </c>
      <c r="MB11" s="30">
        <f>(BS11&gt;0)*(MAX($KR11:MA11)+(MONTH(MB$3)=$J11)*MAX($KR11:MA11)*$I11)</f>
        <v>0</v>
      </c>
      <c r="MC11" s="30">
        <f>(BT11&gt;0)*(MAX($KR11:MB11)+(MONTH(MC$3)=$J11)*MAX($KR11:MB11)*$I11)</f>
        <v>0</v>
      </c>
      <c r="MD11" s="30">
        <f>(BU11&gt;0)*(MAX($KR11:MC11)+(MONTH(MD$3)=$J11)*MAX($KR11:MC11)*$I11)</f>
        <v>0</v>
      </c>
      <c r="ME11" s="30">
        <f>(BV11&gt;0)*(MAX($KR11:MD11)+(MONTH(ME$3)=$J11)*MAX($KR11:MD11)*$I11)</f>
        <v>0</v>
      </c>
      <c r="MF11" s="30">
        <f>(BW11&gt;0)*(MAX($KR11:ME11)+(MONTH(MF$3)=$J11)*MAX($KR11:ME11)*$I11)</f>
        <v>0</v>
      </c>
      <c r="MG11" s="30">
        <f>(BX11&gt;0)*(MAX($KR11:MF11)+(MONTH(MG$3)=$J11)*MAX($KR11:MF11)*$I11)</f>
        <v>0</v>
      </c>
      <c r="MH11" s="30">
        <f>(BY11&gt;0)*(MAX($KR11:MG11)+(MONTH(MH$3)=$J11)*MAX($KR11:MG11)*$I11)</f>
        <v>0</v>
      </c>
      <c r="MI11" s="30">
        <f>(BZ11&gt;0)*(MAX($KR11:MH11)+(MONTH(MI$3)=$J11)*MAX($KR11:MH11)*$I11)</f>
        <v>0</v>
      </c>
      <c r="MJ11" s="30">
        <f>(CA11&gt;0)*(MAX($KR11:MI11)+(MONTH(MJ$3)=$J11)*MAX($KR11:MI11)*$I11)</f>
        <v>0</v>
      </c>
      <c r="MK11" s="30">
        <f>(CB11&gt;0)*(MAX($KR11:MJ11)+(MONTH(MK$3)=$J11)*MAX($KR11:MJ11)*$I11)</f>
        <v>0</v>
      </c>
      <c r="ML11" s="30">
        <f>(CC11&gt;0)*(MAX($KR11:MK11)+(MONTH(ML$3)=$J11)*MAX($KR11:MK11)*$I11)</f>
        <v>0</v>
      </c>
      <c r="MM11" s="30">
        <f>(CD11&gt;0)*(MAX($KR11:ML11)+(MONTH(MM$3)=$J11)*MAX($KR11:ML11)*$I11)</f>
        <v>0</v>
      </c>
      <c r="MN11" s="30">
        <f>(CE11&gt;0)*(MAX($KR11:MM11)+(MONTH(MN$3)=$J11)*MAX($KR11:MM11)*$I11)</f>
        <v>0</v>
      </c>
      <c r="MO11" s="30">
        <f>(CF11&gt;0)*(MAX($KR11:MN11)+(MONTH(MO$3)=$J11)*MAX($KR11:MN11)*$I11)</f>
        <v>0</v>
      </c>
      <c r="MP11" s="30">
        <f>(CG11&gt;0)*(MAX($KR11:MO11)+(MONTH(MP$3)=$J11)*MAX($KR11:MO11)*$I11)</f>
        <v>0</v>
      </c>
      <c r="MQ11" s="30">
        <f>(CH11&gt;0)*(MAX($KR11:MP11)+(MONTH(MQ$3)=$J11)*MAX($KR11:MP11)*$I11)</f>
        <v>0</v>
      </c>
      <c r="MR11" s="30">
        <f>(CI11&gt;0)*(MAX($KR11:MQ11)+(MONTH(MR$3)=$J11)*MAX($KR11:MQ11)*$I11)</f>
        <v>0</v>
      </c>
      <c r="MS11" s="30">
        <f>(CJ11&gt;0)*(MAX($KR11:MR11)+(MONTH(MS$3)=$J11)*MAX($KR11:MR11)*$I11)</f>
        <v>0</v>
      </c>
      <c r="MT11" s="30">
        <f>(CK11&gt;0)*(MAX($KR11:MS11)+(MONTH(MT$3)=$J11)*MAX($KR11:MS11)*$I11)</f>
        <v>0</v>
      </c>
      <c r="MU11" s="30">
        <f>(CL11&gt;0)*(MAX($KR11:MT11)+(MONTH(MU$3)=$J11)*MAX($KR11:MT11)*$I11)</f>
        <v>0</v>
      </c>
      <c r="MV11" s="30">
        <f>(CM11&gt;0)*(MAX($KR11:MU11)+(MONTH(MV$3)=$J11)*MAX($KR11:MU11)*$I11)</f>
        <v>0</v>
      </c>
      <c r="MW11" s="30">
        <f>(CN11&gt;0)*(MAX($KR11:MV11)+(MONTH(MW$3)=$J11)*MAX($KR11:MV11)*$I11)</f>
        <v>0</v>
      </c>
      <c r="MX11" s="30">
        <f>(CO11&gt;0)*(MAX($KR11:MW11)+(MONTH(MX$3)=$J11)*MAX($KR11:MW11)*$I11)</f>
        <v>0</v>
      </c>
      <c r="MY11" s="30">
        <f>(CP11&gt;0)*(MAX($KR11:MX11)+(MONTH(MY$3)=$J11)*MAX($KR11:MX11)*$I11)</f>
        <v>0</v>
      </c>
      <c r="MZ11" s="30">
        <f>(CQ11&gt;0)*(MAX($KR11:MY11)+(MONTH(MZ$3)=$J11)*MAX($KR11:MY11)*$I11)</f>
        <v>0</v>
      </c>
      <c r="NA11" s="30">
        <f>(CR11&gt;0)*(MAX($KR11:MZ11)+(MONTH(NA$3)=$J11)*MAX($KR11:MZ11)*$I11)</f>
        <v>0</v>
      </c>
      <c r="NB11" s="30">
        <f>(CS11&gt;0)*(MAX($KR11:NA11)+(MONTH(NB$3)=$J11)*MAX($KR11:NA11)*$I11)</f>
        <v>0</v>
      </c>
      <c r="NC11" s="30">
        <f>(CT11&gt;0)*(MAX($KR11:NB11)+(MONTH(NC$3)=$J11)*MAX($KR11:NB11)*$I11)</f>
        <v>0</v>
      </c>
      <c r="ND11" s="30">
        <f>(CU11&gt;0)*(MAX($KR11:NC11)+(MONTH(ND$3)=$J11)*MAX($KR11:NC11)*$I11)</f>
        <v>0</v>
      </c>
      <c r="NE11" s="30">
        <f>(CV11&gt;0)*(MAX($KR11:ND11)+(MONTH(NE$3)=$J11)*MAX($KR11:ND11)*$I11)</f>
        <v>0</v>
      </c>
      <c r="NF11" s="30">
        <f>(CW11&gt;0)*(MAX($KR11:NE11)+(MONTH(NF$3)=$J11)*MAX($KR11:NE11)*$I11)</f>
        <v>0</v>
      </c>
      <c r="NG11" s="30">
        <f>(CX11&gt;0)*(MAX($KR11:NF11)+(MONTH(NG$3)=$J11)*MAX($KR11:NF11)*$I11)</f>
        <v>0</v>
      </c>
      <c r="NH11" s="30">
        <f>(CY11&gt;0)*(MAX($KR11:NG11)+(MONTH(NH$3)=$J11)*MAX($KR11:NG11)*$I11)</f>
        <v>0</v>
      </c>
      <c r="NI11" s="30">
        <f>(CZ11&gt;0)*(MAX($KR11:NH11)+(MONTH(NI$3)=$J11)*MAX($KR11:NH11)*$I11)</f>
        <v>0</v>
      </c>
      <c r="NJ11" s="30">
        <f>(DA11&gt;0)*(MAX($KR11:NI11)+(MONTH(NJ$3)=$J11)*MAX($KR11:NI11)*$I11)</f>
        <v>0</v>
      </c>
      <c r="NK11" s="30">
        <f>(DB11&gt;0)*(MAX($KR11:NJ11)+(MONTH(NK$3)=$J11)*MAX($KR11:NJ11)*$I11)</f>
        <v>0</v>
      </c>
      <c r="NL11" s="30">
        <f>(DC11&gt;0)*(MAX($KR11:NK11)+(MONTH(NL$3)=$J11)*MAX($KR11:NK11)*$I11)</f>
        <v>0</v>
      </c>
      <c r="NM11" s="30">
        <f>(DD11&gt;0)*(MAX($KR11:NL11)+(MONTH(NM$3)=$J11)*MAX($KR11:NL11)*$I11)</f>
        <v>0</v>
      </c>
      <c r="NN11" s="30">
        <f>(DE11&gt;0)*(MAX($KR11:NM11)+(MONTH(NN$3)=$J11)*MAX($KR11:NM11)*$I11)</f>
        <v>0</v>
      </c>
      <c r="NO11" s="30">
        <f>(DF11&gt;0)*(MAX($KR11:NN11)+(MONTH(NO$3)=$J11)*MAX($KR11:NN11)*$I11)</f>
        <v>0</v>
      </c>
      <c r="NP11" s="30">
        <f>(DG11&gt;0)*(MAX($KR11:NO11)+(MONTH(NP$3)=$J11)*MAX($KR11:NO11)*$I11)</f>
        <v>0</v>
      </c>
      <c r="NQ11" s="30">
        <f>(DH11&gt;0)*(MAX($KR11:NP11)+(MONTH(NQ$3)=$J11)*MAX($KR11:NP11)*$I11)</f>
        <v>0</v>
      </c>
      <c r="NR11" s="30">
        <f>(DI11&gt;0)*(MAX($KR11:NQ11)+(MONTH(NR$3)=$J11)*MAX($KR11:NQ11)*$I11)</f>
        <v>0</v>
      </c>
      <c r="NS11" s="30">
        <f>(DJ11&gt;0)*(MAX($KR11:NR11)+(MONTH(NS$3)=$J11)*MAX($KR11:NR11)*$I11)</f>
        <v>0</v>
      </c>
      <c r="NT11" s="30">
        <f>(DK11&gt;0)*(MAX($KR11:NS11)+(MONTH(NT$3)=$J11)*MAX($KR11:NS11)*$I11)</f>
        <v>0</v>
      </c>
      <c r="NU11" s="30">
        <f>(DL11&gt;0)*(MAX($KR11:NT11)+(MONTH(NU$3)=$J11)*MAX($KR11:NT11)*$I11)</f>
        <v>0</v>
      </c>
      <c r="NV11" s="30">
        <f>(DM11&gt;0)*(MAX($KR11:NU11)+(MONTH(NV$3)=$J11)*MAX($KR11:NU11)*$I11)</f>
        <v>0</v>
      </c>
      <c r="NW11" s="30">
        <f>(DN11&gt;0)*(MAX($KR11:NV11)+(MONTH(NW$3)=$J11)*MAX($KR11:NV11)*$I11)</f>
        <v>0</v>
      </c>
      <c r="NX11" s="30">
        <f>(DO11&gt;0)*(MAX($KR11:NW11)+(MONTH(NX$3)=$J11)*MAX($KR11:NW11)*$I11)</f>
        <v>0</v>
      </c>
      <c r="NY11" s="30">
        <f>(DP11&gt;0)*(MAX($KR11:NX11)+(MONTH(NY$3)=$J11)*MAX($KR11:NX11)*$I11)</f>
        <v>0</v>
      </c>
      <c r="NZ11" s="30">
        <f>(DQ11&gt;0)*(MAX($KR11:NY11)+(MONTH(NZ$3)=$J11)*MAX($KR11:NY11)*$I11)</f>
        <v>0</v>
      </c>
      <c r="OA11" s="30">
        <f>(DR11&gt;0)*(MAX($KR11:NZ11)+(MONTH(OA$3)=$J11)*MAX($KR11:NZ11)*$I11)</f>
        <v>0</v>
      </c>
      <c r="OB11" s="30">
        <f>(DS11&gt;0)*(MAX($KR11:OA11)+(MONTH(OB$3)=$J11)*MAX($KR11:OA11)*$I11)</f>
        <v>0</v>
      </c>
      <c r="OC11" s="30">
        <f>(DT11&gt;0)*(MAX($KR11:OB11)+(MONTH(OC$3)=$J11)*MAX($KR11:OB11)*$I11)</f>
        <v>0</v>
      </c>
      <c r="OD11" s="30">
        <f>(DU11&gt;0)*(MAX($KR11:OC11)+(MONTH(OD$3)=$J11)*MAX($KR11:OC11)*$I11)</f>
        <v>0</v>
      </c>
      <c r="OE11" s="30">
        <f>(DV11&gt;0)*(MAX($KR11:OD11)+(MONTH(OE$3)=$J11)*MAX($KR11:OD11)*$I11)</f>
        <v>0</v>
      </c>
      <c r="OF11" s="30">
        <f>(DW11&gt;0)*(MAX($KR11:OE11)+(MONTH(OF$3)=$J11)*MAX($KR11:OE11)*$I11)</f>
        <v>0</v>
      </c>
      <c r="OG11" s="30">
        <f>(DX11&gt;0)*(MAX($KR11:OF11)+(MONTH(OG$3)=$J11)*MAX($KR11:OF11)*$I11)</f>
        <v>0</v>
      </c>
      <c r="OH11" s="30">
        <f>(DY11&gt;0)*(MAX($KR11:OG11)+(MONTH(OH$3)=$J11)*MAX($KR11:OG11)*$I11)</f>
        <v>0</v>
      </c>
      <c r="OI11" s="30">
        <f>(DZ11&gt;0)*(MAX($KR11:OH11)+(MONTH(OI$3)=$J11)*MAX($KR11:OH11)*$I11)</f>
        <v>0</v>
      </c>
      <c r="OJ11" s="30">
        <f>(EA11&gt;0)*(MAX($KR11:OI11)+(MONTH(OJ$3)=$J11)*MAX($KR11:OI11)*$I11)</f>
        <v>0</v>
      </c>
      <c r="OK11" s="30">
        <f>(EB11&gt;0)*(MAX($KR11:OJ11)+(MONTH(OK$3)=$J11)*MAX($KR11:OJ11)*$I11)</f>
        <v>0</v>
      </c>
      <c r="OL11" s="30">
        <f>(EC11&gt;0)*(MAX($KR11:OK11)+(MONTH(OL$3)=$J11)*MAX($KR11:OK11)*$I11)</f>
        <v>0</v>
      </c>
      <c r="OM11" s="30">
        <f>(ED11&gt;0)*(MAX($KR11:OL11)+(MONTH(OM$3)=$J11)*MAX($KR11:OL11)*$I11)</f>
        <v>0</v>
      </c>
      <c r="ON11" s="30">
        <f>(EE11&gt;0)*(MAX($KR11:OM11)+(MONTH(ON$3)=$J11)*MAX($KR11:OM11)*$I11)</f>
        <v>0</v>
      </c>
      <c r="OO11" s="30">
        <f>(EF11&gt;0)*(MAX($KR11:ON11)+(MONTH(OO$3)=$J11)*MAX($KR11:ON11)*$I11)</f>
        <v>0</v>
      </c>
      <c r="OP11" s="30">
        <f>(EG11&gt;0)*(MAX($KR11:OO11)+(MONTH(OP$3)=$J11)*MAX($KR11:OO11)*$I11)</f>
        <v>0</v>
      </c>
      <c r="OQ11" s="30">
        <f>(EH11&gt;0)*(MAX($KR11:OP11)+(MONTH(OQ$3)=$J11)*MAX($KR11:OP11)*$I11)</f>
        <v>0</v>
      </c>
      <c r="OR11" s="30">
        <f>(EI11&gt;0)*(MAX($KR11:OQ11)+(MONTH(OR$3)=$J11)*MAX($KR11:OQ11)*$I11)</f>
        <v>0</v>
      </c>
      <c r="OS11" s="30">
        <f>(EJ11&gt;0)*(MAX($KR11:OR11)+(MONTH(OS$3)=$J11)*MAX($KR11:OR11)*$I11)</f>
        <v>0</v>
      </c>
      <c r="OT11" s="30">
        <f>(EK11&gt;0)*(MAX($KR11:OS11)+(MONTH(OT$3)=$J11)*MAX($KR11:OS11)*$I11)</f>
        <v>0</v>
      </c>
      <c r="OU11" s="30">
        <f>(EL11&gt;0)*(MAX($KR11:OT11)+(MONTH(OU$3)=$J11)*MAX($KR11:OT11)*$I11)</f>
        <v>0</v>
      </c>
      <c r="OV11" s="30">
        <f>(EM11&gt;0)*(MAX($KR11:OU11)+(MONTH(OV$3)=$J11)*MAX($KR11:OU11)*$I11)</f>
        <v>0</v>
      </c>
      <c r="OW11" s="30">
        <f>(EN11&gt;0)*(MAX($KR11:OV11)+(MONTH(OW$3)=$J11)*MAX($KR11:OV11)*$I11)</f>
        <v>0</v>
      </c>
      <c r="OX11" s="30">
        <f>(EO11&gt;0)*(MAX($KR11:OW11)+(MONTH(OX$3)=$J11)*MAX($KR11:OW11)*$I11)</f>
        <v>0</v>
      </c>
      <c r="OY11" s="30">
        <f>(EP11&gt;0)*(MAX($KR11:OX11)+(MONTH(OY$3)=$J11)*MAX($KR11:OX11)*$I11)</f>
        <v>0</v>
      </c>
      <c r="OZ11" s="30">
        <f>(EQ11&gt;0)*(MAX($KR11:OY11)+(MONTH(OZ$3)=$J11)*MAX($KR11:OY11)*$I11)</f>
        <v>0</v>
      </c>
      <c r="PA11" s="30">
        <f>(ER11&gt;0)*(MAX($KR11:OZ11)+(MONTH(PA$3)=$J11)*MAX($KR11:OZ11)*$I11)</f>
        <v>0</v>
      </c>
      <c r="PB11" s="30">
        <f>(ES11&gt;0)*(MAX($KR11:PA11)+(MONTH(PB$3)=$J11)*MAX($KR11:PA11)*$I11)</f>
        <v>0</v>
      </c>
      <c r="PC11" s="30">
        <f>(ET11&gt;0)*(MAX($KR11:PB11)+(MONTH(PC$3)=$J11)*MAX($KR11:PB11)*$I11)</f>
        <v>0</v>
      </c>
      <c r="PD11" s="30">
        <f>(EU11&gt;0)*(MAX($KR11:PC11)+(MONTH(PD$3)=$J11)*MAX($KR11:PC11)*$I11)</f>
        <v>0</v>
      </c>
      <c r="PE11" s="30">
        <f>(EV11&gt;0)*(MAX($KR11:PD11)+(MONTH(PE$3)=$J11)*MAX($KR11:PD11)*$I11)</f>
        <v>0</v>
      </c>
      <c r="PF11" s="30">
        <f>(EW11&gt;0)*(MAX($KR11:PE11)+(MONTH(PF$3)=$J11)*MAX($KR11:PE11)*$I11)</f>
        <v>0</v>
      </c>
      <c r="PG11" s="30">
        <f>(EX11&gt;0)*(MAX($KR11:PF11)+(MONTH(PG$3)=$J11)*MAX($KR11:PF11)*$I11)</f>
        <v>0</v>
      </c>
      <c r="PH11" s="30">
        <f>(EY11&gt;0)*(MAX($KR11:PG11)+(MONTH(PH$3)=$J11)*MAX($KR11:PG11)*$I11)</f>
        <v>0</v>
      </c>
      <c r="PI11" s="30">
        <f>(EZ11&gt;0)*(MAX($KR11:PH11)+(MONTH(PI$3)=$J11)*MAX($KR11:PH11)*$I11)</f>
        <v>0</v>
      </c>
      <c r="PJ11" s="30">
        <f>(FA11&gt;0)*(MAX($KR11:PI11)+(MONTH(PJ$3)=$J11)*MAX($KR11:PI11)*$I11)</f>
        <v>0</v>
      </c>
      <c r="PK11" s="30">
        <f>(FB11&gt;0)*(MAX($KR11:PJ11)+(MONTH(PK$3)=$J11)*MAX($KR11:PJ11)*$I11)</f>
        <v>0</v>
      </c>
      <c r="PL11" s="30">
        <f>(FC11&gt;0)*(MAX($KR11:PK11)+(MONTH(PL$3)=$J11)*MAX($KR11:PK11)*$I11)</f>
        <v>0</v>
      </c>
      <c r="PM11" s="30">
        <f>(FD11&gt;0)*(MAX($KR11:PL11)+(MONTH(PM$3)=$J11)*MAX($KR11:PL11)*$I11)</f>
        <v>0</v>
      </c>
      <c r="PN11" s="30">
        <f>(FE11&gt;0)*(MAX($KR11:PM11)+(MONTH(PN$3)=$J11)*MAX($KR11:PM11)*$I11)</f>
        <v>0</v>
      </c>
      <c r="PO11" s="30">
        <f>(FF11&gt;0)*(MAX($KR11:PN11)+(MONTH(PO$3)=$J11)*MAX($KR11:PN11)*$I11)</f>
        <v>0</v>
      </c>
      <c r="PP11" s="30">
        <f>(FG11&gt;0)*(MAX($KR11:PO11)+(MONTH(PP$3)=$J11)*MAX($KR11:PO11)*$I11)</f>
        <v>0</v>
      </c>
      <c r="PQ11" s="30">
        <f>(FH11&gt;0)*(MAX($KR11:PP11)+(MONTH(PQ$3)=$J11)*MAX($KR11:PP11)*$I11)</f>
        <v>0</v>
      </c>
      <c r="PR11" s="30">
        <f>(FI11&gt;0)*(MAX($KR11:PQ11)+(MONTH(PR$3)=$J11)*MAX($KR11:PQ11)*$I11)</f>
        <v>0</v>
      </c>
      <c r="PS11" s="30">
        <f>(FJ11&gt;0)*(MAX($KR11:PR11)+(MONTH(PS$3)=$J11)*MAX($KR11:PR11)*$I11)</f>
        <v>0</v>
      </c>
      <c r="PT11" s="30">
        <f>(FK11&gt;0)*(MAX($KR11:PS11)+(MONTH(PT$3)=$J11)*MAX($KR11:PS11)*$I11)</f>
        <v>0</v>
      </c>
      <c r="PU11" s="30"/>
      <c r="PV11" s="30"/>
      <c r="PW11" s="46">
        <f t="shared" si="1304"/>
        <v>1.3398692810457513</v>
      </c>
      <c r="PX11" s="30">
        <f>(FN11&gt;0)*(MAX($PW11:PW11)+(MONTH(PX$3)=$V11)*MAX($PW11:PW11)*$U11)</f>
        <v>0</v>
      </c>
      <c r="PY11" s="30">
        <f>(FO11&gt;0)*(MAX($PW11:PX11)+(MONTH(PY$3)=$V11)*MAX($PW11:PX11)*$U11)</f>
        <v>0</v>
      </c>
      <c r="PZ11" s="30">
        <f>(FP11&gt;0)*(MAX($PW11:PY11)+(MONTH(PZ$3)=$V11)*MAX($PW11:PY11)*$U11)</f>
        <v>0</v>
      </c>
      <c r="QA11" s="30">
        <f>(FQ11&gt;0)*(MAX($PW11:PZ11)+(MONTH(QA$3)=$V11)*MAX($PW11:PZ11)*$U11)</f>
        <v>0</v>
      </c>
      <c r="QB11" s="30">
        <f>(FR11&gt;0)*(MAX($PW11:QA11)+(MONTH(QB$3)=$V11)*MAX($PW11:QA11)*$U11)</f>
        <v>0</v>
      </c>
      <c r="QC11" s="30">
        <f>(FS11&gt;0)*(MAX($PW11:QB11)+(MONTH(QC$3)=$V11)*MAX($PW11:QB11)*$U11)</f>
        <v>0</v>
      </c>
      <c r="QD11" s="30">
        <f>(FT11&gt;0)*(MAX($PW11:QC11)+(MONTH(QD$3)=$V11)*MAX($PW11:QC11)*$U11)</f>
        <v>0</v>
      </c>
      <c r="QE11" s="30">
        <f>(FU11&gt;0)*(MAX($PW11:QD11)+(MONTH(QE$3)=$V11)*MAX($PW11:QD11)*$U11)</f>
        <v>0</v>
      </c>
      <c r="QF11" s="30">
        <f>(FV11&gt;0)*(MAX($PW11:QE11)+(MONTH(QF$3)=$V11)*MAX($PW11:QE11)*$U11)</f>
        <v>0</v>
      </c>
      <c r="QG11" s="30">
        <f>(FW11&gt;0)*(MAX($PW11:QF11)+(MONTH(QG$3)=$V11)*MAX($PW11:QF11)*$U11)</f>
        <v>0</v>
      </c>
      <c r="QH11" s="30">
        <f>(FX11&gt;0)*(MAX($PW11:QG11)+(MONTH(QH$3)=$V11)*MAX($PW11:QG11)*$U11)</f>
        <v>0</v>
      </c>
      <c r="QI11" s="30">
        <f>(FY11&gt;0)*(MAX($PW11:QH11)+(MONTH(QI$3)=$V11)*MAX($PW11:QH11)*$U11)</f>
        <v>0</v>
      </c>
      <c r="QJ11" s="30">
        <f>(FZ11&gt;0)*(MAX($PW11:QI11)+(MONTH(QJ$3)=$V11)*MAX($PW11:QI11)*$U11)</f>
        <v>0</v>
      </c>
      <c r="QK11" s="30">
        <f>(GA11&gt;0)*(MAX($PW11:QJ11)+(MONTH(QK$3)=$V11)*MAX($PW11:QJ11)*$U11)</f>
        <v>0</v>
      </c>
      <c r="QL11" s="30">
        <f>(GB11&gt;0)*(MAX($PW11:QK11)+(MONTH(QL$3)=$V11)*MAX($PW11:QK11)*$U11)</f>
        <v>0</v>
      </c>
      <c r="QM11" s="30">
        <f>(GC11&gt;0)*(MAX($PW11:QL11)+(MONTH(QM$3)=$V11)*MAX($PW11:QL11)*$U11)</f>
        <v>0</v>
      </c>
      <c r="QN11" s="30">
        <f>(GD11&gt;0)*(MAX($PW11:QM11)+(MONTH(QN$3)=$V11)*MAX($PW11:QM11)*$U11)</f>
        <v>0</v>
      </c>
      <c r="QO11" s="30">
        <f>(GE11&gt;0)*(MAX($PW11:QN11)+(MONTH(QO$3)=$V11)*MAX($PW11:QN11)*$U11)</f>
        <v>0</v>
      </c>
      <c r="QP11" s="30">
        <f>(GF11&gt;0)*(MAX($PW11:QO11)+(MONTH(QP$3)=$V11)*MAX($PW11:QO11)*$U11)</f>
        <v>1.3666666666666663</v>
      </c>
      <c r="QQ11" s="30">
        <f>(GG11&gt;0)*(MAX($PW11:QP11)+(MONTH(QQ$3)=$V11)*MAX($PW11:QP11)*$U11)</f>
        <v>1.3666666666666663</v>
      </c>
      <c r="QR11" s="30">
        <f>(GH11&gt;0)*(MAX($PW11:QQ11)+(MONTH(QR$3)=$V11)*MAX($PW11:QQ11)*$U11)</f>
        <v>1.3666666666666663</v>
      </c>
      <c r="QS11" s="30">
        <f>(GI11&gt;0)*(MAX($PW11:QR11)+(MONTH(QS$3)=$V11)*MAX($PW11:QR11)*$U11)</f>
        <v>1.3666666666666663</v>
      </c>
      <c r="QT11" s="30">
        <f>(GJ11&gt;0)*(MAX($PW11:QS11)+(MONTH(QT$3)=$V11)*MAX($PW11:QS11)*$U11)</f>
        <v>1.3666666666666663</v>
      </c>
      <c r="QU11" s="30">
        <f>(GK11&gt;0)*(MAX($PW11:QT11)+(MONTH(QU$3)=$V11)*MAX($PW11:QT11)*$U11)</f>
        <v>1.3666666666666663</v>
      </c>
      <c r="QV11" s="30">
        <f>(GL11&gt;0)*(MAX($PW11:QU11)+(MONTH(QV$3)=$V11)*MAX($PW11:QU11)*$U11)</f>
        <v>1.3666666666666663</v>
      </c>
      <c r="QW11" s="30">
        <f>(GM11&gt;0)*(MAX($PW11:QV11)+(MONTH(QW$3)=$V11)*MAX($PW11:QV11)*$U11)</f>
        <v>1.3666666666666663</v>
      </c>
      <c r="QX11" s="30">
        <f>(GN11&gt;0)*(MAX($PW11:QW11)+(MONTH(QX$3)=$V11)*MAX($PW11:QW11)*$U11)</f>
        <v>1.3666666666666663</v>
      </c>
      <c r="QY11" s="30">
        <f>(GO11&gt;0)*(MAX($PW11:QX11)+(MONTH(QY$3)=$V11)*MAX($PW11:QX11)*$U11)</f>
        <v>1.3666666666666663</v>
      </c>
      <c r="QZ11" s="30">
        <f>(GP11&gt;0)*(MAX($PW11:QY11)+(MONTH(QZ$3)=$V11)*MAX($PW11:QY11)*$U11)</f>
        <v>1.3666666666666663</v>
      </c>
      <c r="RA11" s="30">
        <f>(GQ11&gt;0)*(MAX($PW11:QZ11)+(MONTH(RA$3)=$V11)*MAX($PW11:QZ11)*$U11)</f>
        <v>1.3666666666666663</v>
      </c>
      <c r="RB11" s="30">
        <f>(GR11&gt;0)*(MAX($PW11:RA11)+(MONTH(RB$3)=$V11)*MAX($PW11:RA11)*$U11)</f>
        <v>1.3939999999999997</v>
      </c>
      <c r="RC11" s="30">
        <f>(GS11&gt;0)*(MAX($PW11:RB11)+(MONTH(RC$3)=$V11)*MAX($PW11:RB11)*$U11)</f>
        <v>1.3939999999999997</v>
      </c>
      <c r="RD11" s="30">
        <f>(GT11&gt;0)*(MAX($PW11:RC11)+(MONTH(RD$3)=$V11)*MAX($PW11:RC11)*$U11)</f>
        <v>1.3939999999999997</v>
      </c>
      <c r="RE11" s="30">
        <f>(GU11&gt;0)*(MAX($PW11:RD11)+(MONTH(RE$3)=$V11)*MAX($PW11:RD11)*$U11)</f>
        <v>1.3939999999999997</v>
      </c>
      <c r="RF11" s="30">
        <f>(GV11&gt;0)*(MAX($PW11:RE11)+(MONTH(RF$3)=$V11)*MAX($PW11:RE11)*$U11)</f>
        <v>1.3939999999999997</v>
      </c>
      <c r="RG11" s="30">
        <f>(GW11&gt;0)*(MAX($PW11:RF11)+(MONTH(RG$3)=$V11)*MAX($PW11:RF11)*$U11)</f>
        <v>1.3939999999999997</v>
      </c>
      <c r="RH11" s="30">
        <f>(GX11&gt;0)*(MAX($PW11:RG11)+(MONTH(RH$3)=$V11)*MAX($PW11:RG11)*$U11)</f>
        <v>1.3939999999999997</v>
      </c>
      <c r="RI11" s="30">
        <f>(GY11&gt;0)*(MAX($PW11:RH11)+(MONTH(RI$3)=$V11)*MAX($PW11:RH11)*$U11)</f>
        <v>1.3939999999999997</v>
      </c>
      <c r="RJ11" s="30">
        <f>(GZ11&gt;0)*(MAX($PW11:RI11)+(MONTH(RJ$3)=$V11)*MAX($PW11:RI11)*$U11)</f>
        <v>1.3939999999999997</v>
      </c>
      <c r="RK11" s="30">
        <f>(HA11&gt;0)*(MAX($PW11:RJ11)+(MONTH(RK$3)=$V11)*MAX($PW11:RJ11)*$U11)</f>
        <v>1.3939999999999997</v>
      </c>
      <c r="RL11" s="30">
        <f>(HB11&gt;0)*(MAX($PW11:RK11)+(MONTH(RL$3)=$V11)*MAX($PW11:RK11)*$U11)</f>
        <v>1.3939999999999997</v>
      </c>
      <c r="RM11" s="30">
        <f>(HC11&gt;0)*(MAX($PW11:RL11)+(MONTH(RM$3)=$V11)*MAX($PW11:RL11)*$U11)</f>
        <v>1.3939999999999997</v>
      </c>
      <c r="RN11" s="30">
        <f>(HD11&gt;0)*(MAX($PW11:RM11)+(MONTH(RN$3)=$V11)*MAX($PW11:RM11)*$U11)</f>
        <v>1.4218799999999996</v>
      </c>
      <c r="RO11" s="30">
        <f>(HE11&gt;0)*(MAX($PW11:RN11)+(MONTH(RO$3)=$V11)*MAX($PW11:RN11)*$U11)</f>
        <v>1.4218799999999996</v>
      </c>
      <c r="RP11" s="30">
        <f>(HF11&gt;0)*(MAX($PW11:RO11)+(MONTH(RP$3)=$V11)*MAX($PW11:RO11)*$U11)</f>
        <v>1.4218799999999996</v>
      </c>
      <c r="RQ11" s="30">
        <f>(HG11&gt;0)*(MAX($PW11:RP11)+(MONTH(RQ$3)=$V11)*MAX($PW11:RP11)*$U11)</f>
        <v>1.4218799999999996</v>
      </c>
      <c r="RR11" s="30">
        <f>(HH11&gt;0)*(MAX($PW11:RQ11)+(MONTH(RR$3)=$V11)*MAX($PW11:RQ11)*$U11)</f>
        <v>1.4218799999999996</v>
      </c>
      <c r="RS11" s="30">
        <f>(HI11&gt;0)*(MAX($PW11:RR11)+(MONTH(RS$3)=$V11)*MAX($PW11:RR11)*$U11)</f>
        <v>1.4218799999999996</v>
      </c>
      <c r="RT11" s="30">
        <f>(HJ11&gt;0)*(MAX($PW11:RS11)+(MONTH(RT$3)=$V11)*MAX($PW11:RS11)*$U11)</f>
        <v>1.4218799999999996</v>
      </c>
      <c r="RU11" s="30">
        <f>(HK11&gt;0)*(MAX($PW11:RT11)+(MONTH(RU$3)=$V11)*MAX($PW11:RT11)*$U11)</f>
        <v>1.4218799999999996</v>
      </c>
      <c r="RV11" s="30">
        <f>(HL11&gt;0)*(MAX($PW11:RU11)+(MONTH(RV$3)=$V11)*MAX($PW11:RU11)*$U11)</f>
        <v>1.4218799999999996</v>
      </c>
      <c r="RW11" s="30">
        <f>(HM11&gt;0)*(MAX($PW11:RV11)+(MONTH(RW$3)=$V11)*MAX($PW11:RV11)*$U11)</f>
        <v>1.4218799999999996</v>
      </c>
      <c r="RX11" s="30">
        <f>(HN11&gt;0)*(MAX($PW11:RW11)+(MONTH(RX$3)=$V11)*MAX($PW11:RW11)*$U11)</f>
        <v>1.4218799999999996</v>
      </c>
      <c r="RY11" s="30">
        <f>(HO11&gt;0)*(MAX($PW11:RX11)+(MONTH(RY$3)=$V11)*MAX($PW11:RX11)*$U11)</f>
        <v>1.4218799999999996</v>
      </c>
      <c r="RZ11" s="30">
        <f>(HP11&gt;0)*(MAX($PW11:RY11)+(MONTH(RZ$3)=$V11)*MAX($PW11:RY11)*$U11)</f>
        <v>1.4503175999999995</v>
      </c>
      <c r="SA11" s="30">
        <f>(HQ11&gt;0)*(MAX($PW11:RZ11)+(MONTH(SA$3)=$V11)*MAX($PW11:RZ11)*$U11)</f>
        <v>1.4503175999999995</v>
      </c>
      <c r="SB11" s="30">
        <f>(HR11&gt;0)*(MAX($PW11:SA11)+(MONTH(SB$3)=$V11)*MAX($PW11:SA11)*$U11)</f>
        <v>1.4503175999999995</v>
      </c>
      <c r="SC11" s="30">
        <f>(HS11&gt;0)*(MAX($PW11:SB11)+(MONTH(SC$3)=$V11)*MAX($PW11:SB11)*$U11)</f>
        <v>1.4503175999999995</v>
      </c>
      <c r="SD11" s="30">
        <f>(HT11&gt;0)*(MAX($PW11:SC11)+(MONTH(SD$3)=$V11)*MAX($PW11:SC11)*$U11)</f>
        <v>1.4503175999999995</v>
      </c>
      <c r="SE11" s="30">
        <f>(HU11&gt;0)*(MAX($PW11:SD11)+(MONTH(SE$3)=$V11)*MAX($PW11:SD11)*$U11)</f>
        <v>1.4503175999999995</v>
      </c>
      <c r="SF11" s="30">
        <f>(HV11&gt;0)*(MAX($PW11:SE11)+(MONTH(SF$3)=$V11)*MAX($PW11:SE11)*$U11)</f>
        <v>1.4503175999999995</v>
      </c>
      <c r="SG11" s="30">
        <f>(HW11&gt;0)*(MAX($PW11:SF11)+(MONTH(SG$3)=$V11)*MAX($PW11:SF11)*$U11)</f>
        <v>1.4503175999999995</v>
      </c>
      <c r="SH11" s="30">
        <f>(HX11&gt;0)*(MAX($PW11:SG11)+(MONTH(SH$3)=$V11)*MAX($PW11:SG11)*$U11)</f>
        <v>1.4503175999999995</v>
      </c>
      <c r="SI11" s="30">
        <f>(HY11&gt;0)*(MAX($PW11:SH11)+(MONTH(SI$3)=$V11)*MAX($PW11:SH11)*$U11)</f>
        <v>1.4503175999999995</v>
      </c>
      <c r="SJ11" s="30">
        <f>(HZ11&gt;0)*(MAX($PW11:SI11)+(MONTH(SJ$3)=$V11)*MAX($PW11:SI11)*$U11)</f>
        <v>1.4503175999999995</v>
      </c>
      <c r="SK11" s="30">
        <f>(IA11&gt;0)*(MAX($PW11:SJ11)+(MONTH(SK$3)=$V11)*MAX($PW11:SJ11)*$U11)</f>
        <v>1.4503175999999995</v>
      </c>
      <c r="SL11" s="30">
        <f>(IB11&gt;0)*(MAX($PW11:SK11)+(MONTH(SL$3)=$V11)*MAX($PW11:SK11)*$U11)</f>
        <v>1.4793239519999994</v>
      </c>
      <c r="SM11" s="30">
        <f>(IC11&gt;0)*(MAX($PW11:SL11)+(MONTH(SM$3)=$V11)*MAX($PW11:SL11)*$U11)</f>
        <v>1.4793239519999994</v>
      </c>
      <c r="SN11" s="30">
        <f>(ID11&gt;0)*(MAX($PW11:SM11)+(MONTH(SN$3)=$V11)*MAX($PW11:SM11)*$U11)</f>
        <v>1.4793239519999994</v>
      </c>
      <c r="SO11" s="30">
        <f>(IE11&gt;0)*(MAX($PW11:SN11)+(MONTH(SO$3)=$V11)*MAX($PW11:SN11)*$U11)</f>
        <v>1.4793239519999994</v>
      </c>
      <c r="SP11" s="30">
        <f>(IF11&gt;0)*(MAX($PW11:SO11)+(MONTH(SP$3)=$V11)*MAX($PW11:SO11)*$U11)</f>
        <v>1.4793239519999994</v>
      </c>
      <c r="SQ11" s="30">
        <f>(IG11&gt;0)*(MAX($PW11:SP11)+(MONTH(SQ$3)=$V11)*MAX($PW11:SP11)*$U11)</f>
        <v>1.4793239519999994</v>
      </c>
      <c r="SR11" s="30">
        <f>(IH11&gt;0)*(MAX($PW11:SQ11)+(MONTH(SR$3)=$V11)*MAX($PW11:SQ11)*$U11)</f>
        <v>1.4793239519999994</v>
      </c>
      <c r="SS11" s="30">
        <f>(II11&gt;0)*(MAX($PW11:SR11)+(MONTH(SS$3)=$V11)*MAX($PW11:SR11)*$U11)</f>
        <v>1.4793239519999994</v>
      </c>
      <c r="ST11" s="30">
        <f>(IJ11&gt;0)*(MAX($PW11:SS11)+(MONTH(ST$3)=$V11)*MAX($PW11:SS11)*$U11)</f>
        <v>1.4793239519999994</v>
      </c>
      <c r="SU11" s="30">
        <f>(IK11&gt;0)*(MAX($PW11:ST11)+(MONTH(SU$3)=$V11)*MAX($PW11:ST11)*$U11)</f>
        <v>1.4793239519999994</v>
      </c>
      <c r="SV11" s="30">
        <f>(IL11&gt;0)*(MAX($PW11:SU11)+(MONTH(SV$3)=$V11)*MAX($PW11:SU11)*$U11)</f>
        <v>1.4793239519999994</v>
      </c>
      <c r="SW11" s="30">
        <f>(IM11&gt;0)*(MAX($PW11:SV11)+(MONTH(SW$3)=$V11)*MAX($PW11:SV11)*$U11)</f>
        <v>1.4793239519999994</v>
      </c>
      <c r="SX11" s="30">
        <f>(IN11&gt;0)*(MAX($PW11:SW11)+(MONTH(SX$3)=$V11)*MAX($PW11:SW11)*$U11)</f>
        <v>1.5089104310399994</v>
      </c>
      <c r="SY11" s="30">
        <f>(IO11&gt;0)*(MAX($PW11:SX11)+(MONTH(SY$3)=$V11)*MAX($PW11:SX11)*$U11)</f>
        <v>1.5089104310399994</v>
      </c>
      <c r="SZ11" s="30">
        <f>(IP11&gt;0)*(MAX($PW11:SY11)+(MONTH(SZ$3)=$V11)*MAX($PW11:SY11)*$U11)</f>
        <v>1.5089104310399994</v>
      </c>
      <c r="TA11" s="30">
        <f>(IQ11&gt;0)*(MAX($PW11:SZ11)+(MONTH(TA$3)=$V11)*MAX($PW11:SZ11)*$U11)</f>
        <v>1.5089104310399994</v>
      </c>
      <c r="TB11" s="30">
        <f>(IR11&gt;0)*(MAX($PW11:TA11)+(MONTH(TB$3)=$V11)*MAX($PW11:TA11)*$U11)</f>
        <v>1.5089104310399994</v>
      </c>
      <c r="TC11" s="30">
        <f>(IS11&gt;0)*(MAX($PW11:TB11)+(MONTH(TC$3)=$V11)*MAX($PW11:TB11)*$U11)</f>
        <v>1.5089104310399994</v>
      </c>
      <c r="TD11" s="30">
        <f>(IT11&gt;0)*(MAX($PW11:TC11)+(MONTH(TD$3)=$V11)*MAX($PW11:TC11)*$U11)</f>
        <v>1.5089104310399994</v>
      </c>
      <c r="TE11" s="30">
        <f>(IU11&gt;0)*(MAX($PW11:TD11)+(MONTH(TE$3)=$V11)*MAX($PW11:TD11)*$U11)</f>
        <v>1.5089104310399994</v>
      </c>
      <c r="TF11" s="30">
        <f>(IV11&gt;0)*(MAX($PW11:TE11)+(MONTH(TF$3)=$V11)*MAX($PW11:TE11)*$U11)</f>
        <v>1.5089104310399994</v>
      </c>
      <c r="TG11" s="30">
        <f>(IW11&gt;0)*(MAX($PW11:TF11)+(MONTH(TG$3)=$V11)*MAX($PW11:TF11)*$U11)</f>
        <v>1.5089104310399994</v>
      </c>
      <c r="TH11" s="30">
        <f>(IX11&gt;0)*(MAX($PW11:TG11)+(MONTH(TH$3)=$V11)*MAX($PW11:TG11)*$U11)</f>
        <v>1.5089104310399994</v>
      </c>
      <c r="TI11" s="30">
        <f>(IY11&gt;0)*(MAX($PW11:TH11)+(MONTH(TI$3)=$V11)*MAX($PW11:TH11)*$U11)</f>
        <v>1.5089104310399994</v>
      </c>
      <c r="TJ11" s="30">
        <f>(IZ11&gt;0)*(MAX($PW11:TI11)+(MONTH(TJ$3)=$V11)*MAX($PW11:TI11)*$U11)</f>
        <v>1.5390886396607995</v>
      </c>
      <c r="TK11" s="30">
        <f>(JA11&gt;0)*(MAX($PW11:TJ11)+(MONTH(TK$3)=$V11)*MAX($PW11:TJ11)*$U11)</f>
        <v>1.5390886396607995</v>
      </c>
      <c r="TL11" s="30">
        <f>(JB11&gt;0)*(MAX($PW11:TK11)+(MONTH(TL$3)=$V11)*MAX($PW11:TK11)*$U11)</f>
        <v>1.5390886396607995</v>
      </c>
      <c r="TM11" s="30">
        <f>(JC11&gt;0)*(MAX($PW11:TL11)+(MONTH(TM$3)=$V11)*MAX($PW11:TL11)*$U11)</f>
        <v>1.5390886396607995</v>
      </c>
      <c r="TN11" s="30">
        <f>(JD11&gt;0)*(MAX($PW11:TM11)+(MONTH(TN$3)=$V11)*MAX($PW11:TM11)*$U11)</f>
        <v>1.5390886396607995</v>
      </c>
      <c r="TO11" s="30">
        <f>(JE11&gt;0)*(MAX($PW11:TN11)+(MONTH(TO$3)=$V11)*MAX($PW11:TN11)*$U11)</f>
        <v>1.5390886396607995</v>
      </c>
      <c r="TP11" s="30">
        <f>(JF11&gt;0)*(MAX($PW11:TO11)+(MONTH(TP$3)=$V11)*MAX($PW11:TO11)*$U11)</f>
        <v>1.5390886396607995</v>
      </c>
      <c r="TQ11" s="30">
        <f>(JG11&gt;0)*(MAX($PW11:TP11)+(MONTH(TQ$3)=$V11)*MAX($PW11:TP11)*$U11)</f>
        <v>1.5390886396607995</v>
      </c>
      <c r="TR11" s="30">
        <f>(JH11&gt;0)*(MAX($PW11:TQ11)+(MONTH(TR$3)=$V11)*MAX($PW11:TQ11)*$U11)</f>
        <v>1.5390886396607995</v>
      </c>
      <c r="TS11" s="30">
        <f>(JI11&gt;0)*(MAX($PW11:TR11)+(MONTH(TS$3)=$V11)*MAX($PW11:TR11)*$U11)</f>
        <v>1.5390886396607995</v>
      </c>
      <c r="TT11" s="30">
        <f>(JJ11&gt;0)*(MAX($PW11:TS11)+(MONTH(TT$3)=$V11)*MAX($PW11:TS11)*$U11)</f>
        <v>1.5390886396607995</v>
      </c>
      <c r="TU11" s="30">
        <f>(JK11&gt;0)*(MAX($PW11:TT11)+(MONTH(TU$3)=$V11)*MAX($PW11:TT11)*$U11)</f>
        <v>1.5390886396607995</v>
      </c>
      <c r="TV11" s="30">
        <f>(JL11&gt;0)*(MAX($PW11:TU11)+(MONTH(TV$3)=$V11)*MAX($PW11:TU11)*$U11)</f>
        <v>1.5698704124540155</v>
      </c>
      <c r="TW11" s="30">
        <f>(JM11&gt;0)*(MAX($PW11:TV11)+(MONTH(TW$3)=$V11)*MAX($PW11:TV11)*$U11)</f>
        <v>1.5698704124540155</v>
      </c>
      <c r="TX11" s="30">
        <f>(JN11&gt;0)*(MAX($PW11:TW11)+(MONTH(TX$3)=$V11)*MAX($PW11:TW11)*$U11)</f>
        <v>1.5698704124540155</v>
      </c>
      <c r="TY11" s="30">
        <f>(JO11&gt;0)*(MAX($PW11:TX11)+(MONTH(TY$3)=$V11)*MAX($PW11:TX11)*$U11)</f>
        <v>1.5698704124540155</v>
      </c>
      <c r="TZ11" s="30">
        <f>(JP11&gt;0)*(MAX($PW11:TY11)+(MONTH(TZ$3)=$V11)*MAX($PW11:TY11)*$U11)</f>
        <v>1.5698704124540155</v>
      </c>
      <c r="UA11" s="30">
        <f>(JQ11&gt;0)*(MAX($PW11:TZ11)+(MONTH(UA$3)=$V11)*MAX($PW11:TZ11)*$U11)</f>
        <v>1.5698704124540155</v>
      </c>
      <c r="UB11" s="30">
        <f>(JR11&gt;0)*(MAX($PW11:UA11)+(MONTH(UB$3)=$V11)*MAX($PW11:UA11)*$U11)</f>
        <v>1.5698704124540155</v>
      </c>
      <c r="UC11" s="30">
        <f>(JS11&gt;0)*(MAX($PW11:UB11)+(MONTH(UC$3)=$V11)*MAX($PW11:UB11)*$U11)</f>
        <v>1.5698704124540155</v>
      </c>
      <c r="UD11" s="30">
        <f>(JT11&gt;0)*(MAX($PW11:UC11)+(MONTH(UD$3)=$V11)*MAX($PW11:UC11)*$U11)</f>
        <v>1.5698704124540155</v>
      </c>
      <c r="UE11" s="30">
        <f>(JU11&gt;0)*(MAX($PW11:UD11)+(MONTH(UE$3)=$V11)*MAX($PW11:UD11)*$U11)</f>
        <v>1.5698704124540155</v>
      </c>
      <c r="UF11" s="30">
        <f>(JV11&gt;0)*(MAX($PW11:UE11)+(MONTH(UF$3)=$V11)*MAX($PW11:UE11)*$U11)</f>
        <v>1.5698704124540155</v>
      </c>
      <c r="UG11" s="30">
        <f>(JW11&gt;0)*(MAX($PW11:UF11)+(MONTH(UG$3)=$V11)*MAX($PW11:UF11)*$U11)</f>
        <v>1.5698704124540155</v>
      </c>
      <c r="UH11" s="30">
        <f>(JX11&gt;0)*(MAX($PW11:UG11)+(MONTH(UH$3)=$V11)*MAX($PW11:UG11)*$U11)</f>
        <v>1.6012678207030957</v>
      </c>
      <c r="UI11" s="30">
        <f>(JY11&gt;0)*(MAX($PW11:UH11)+(MONTH(UI$3)=$V11)*MAX($PW11:UH11)*$U11)</f>
        <v>1.6012678207030957</v>
      </c>
      <c r="UJ11" s="30">
        <f>(JZ11&gt;0)*(MAX($PW11:UI11)+(MONTH(UJ$3)=$V11)*MAX($PW11:UI11)*$U11)</f>
        <v>1.6012678207030957</v>
      </c>
      <c r="UK11" s="30">
        <f>(KA11&gt;0)*(MAX($PW11:UJ11)+(MONTH(UK$3)=$V11)*MAX($PW11:UJ11)*$U11)</f>
        <v>1.6012678207030957</v>
      </c>
      <c r="UL11" s="30">
        <f>(KB11&gt;0)*(MAX($PW11:UK11)+(MONTH(UL$3)=$V11)*MAX($PW11:UK11)*$U11)</f>
        <v>1.6012678207030957</v>
      </c>
      <c r="UM11" s="30">
        <f>(KC11&gt;0)*(MAX($PW11:UL11)+(MONTH(UM$3)=$V11)*MAX($PW11:UL11)*$U11)</f>
        <v>1.6012678207030957</v>
      </c>
      <c r="UN11" s="30">
        <f>(KD11&gt;0)*(MAX($PW11:UM11)+(MONTH(UN$3)=$V11)*MAX($PW11:UM11)*$U11)</f>
        <v>1.6012678207030957</v>
      </c>
      <c r="UO11" s="30">
        <f>(KE11&gt;0)*(MAX($PW11:UN11)+(MONTH(UO$3)=$V11)*MAX($PW11:UN11)*$U11)</f>
        <v>1.6012678207030957</v>
      </c>
      <c r="UP11" s="30">
        <f>(KF11&gt;0)*(MAX($PW11:UO11)+(MONTH(UP$3)=$V11)*MAX($PW11:UO11)*$U11)</f>
        <v>1.6012678207030957</v>
      </c>
      <c r="UQ11" s="30">
        <f>(KG11&gt;0)*(MAX($PW11:UP11)+(MONTH(UQ$3)=$V11)*MAX($PW11:UP11)*$U11)</f>
        <v>1.6012678207030957</v>
      </c>
      <c r="UR11" s="30">
        <f>(KH11&gt;0)*(MAX($PW11:UQ11)+(MONTH(UR$3)=$V11)*MAX($PW11:UQ11)*$U11)</f>
        <v>1.6012678207030957</v>
      </c>
      <c r="US11" s="30">
        <f>(KI11&gt;0)*(MAX($PW11:UR11)+(MONTH(US$3)=$V11)*MAX($PW11:UR11)*$U11)</f>
        <v>1.6012678207030957</v>
      </c>
      <c r="UT11" s="30">
        <f>(KJ11&gt;0)*(MAX($PW11:US11)+(MONTH(UT$3)=$V11)*MAX($PW11:US11)*$U11)</f>
        <v>1.6332931771171577</v>
      </c>
      <c r="UU11" s="30">
        <f>(KK11&gt;0)*(MAX($PW11:UT11)+(MONTH(UU$3)=$V11)*MAX($PW11:UT11)*$U11)</f>
        <v>1.6332931771171577</v>
      </c>
      <c r="UV11" s="30">
        <f>(KL11&gt;0)*(MAX($PW11:UU11)+(MONTH(UV$3)=$V11)*MAX($PW11:UU11)*$U11)</f>
        <v>1.6332931771171577</v>
      </c>
      <c r="UW11" s="30">
        <f>(KM11&gt;0)*(MAX($PW11:UV11)+(MONTH(UW$3)=$V11)*MAX($PW11:UV11)*$U11)</f>
        <v>1.6332931771171577</v>
      </c>
      <c r="UX11" s="30">
        <f>(KN11&gt;0)*(MAX($PW11:UW11)+(MONTH(UX$3)=$V11)*MAX($PW11:UW11)*$U11)</f>
        <v>1.6332931771171577</v>
      </c>
      <c r="UY11" s="30">
        <f>(KO11&gt;0)*(MAX($PW11:UX11)+(MONTH(UY$3)=$V11)*MAX($PW11:UX11)*$U11)</f>
        <v>1.6332931771171577</v>
      </c>
      <c r="UZ11" s="17"/>
      <c r="VA11" s="17"/>
      <c r="VB11" s="17">
        <f t="shared" si="1305"/>
        <v>12063.04</v>
      </c>
      <c r="VC11" s="17">
        <f t="shared" si="1138"/>
        <v>12063.04</v>
      </c>
      <c r="VD11" s="17">
        <f t="shared" si="1139"/>
        <v>12063.04</v>
      </c>
      <c r="VE11" s="17">
        <f t="shared" si="1140"/>
        <v>12304.300800000001</v>
      </c>
      <c r="VF11" s="17">
        <f t="shared" si="1141"/>
        <v>12304.300800000001</v>
      </c>
      <c r="VG11" s="17">
        <f t="shared" si="1142"/>
        <v>12304.300800000001</v>
      </c>
      <c r="VH11" s="17">
        <f t="shared" si="1143"/>
        <v>12304.300800000001</v>
      </c>
      <c r="VI11" s="17">
        <f t="shared" si="1144"/>
        <v>12304.300800000001</v>
      </c>
      <c r="VJ11" s="17">
        <f t="shared" si="1145"/>
        <v>12304.300800000001</v>
      </c>
      <c r="VK11" s="17">
        <f t="shared" si="1146"/>
        <v>12304.300800000001</v>
      </c>
      <c r="VL11" s="17">
        <f t="shared" si="1147"/>
        <v>12304.300800000001</v>
      </c>
      <c r="VM11" s="17">
        <f t="shared" si="1148"/>
        <v>12304.300800000001</v>
      </c>
      <c r="VN11" s="17">
        <f t="shared" si="1149"/>
        <v>12304.300800000001</v>
      </c>
      <c r="VO11" s="17">
        <f t="shared" si="1150"/>
        <v>12304.300800000001</v>
      </c>
      <c r="VP11" s="17">
        <f t="shared" si="1151"/>
        <v>12304.300800000001</v>
      </c>
      <c r="VQ11" s="17">
        <f t="shared" si="1152"/>
        <v>0</v>
      </c>
      <c r="VR11" s="17">
        <f t="shared" si="1153"/>
        <v>0</v>
      </c>
      <c r="VS11" s="17">
        <f t="shared" si="1154"/>
        <v>0</v>
      </c>
      <c r="VT11" s="17">
        <f t="shared" si="1155"/>
        <v>12070.399999999996</v>
      </c>
      <c r="VU11" s="17">
        <f t="shared" si="1156"/>
        <v>12070.399999999996</v>
      </c>
      <c r="VV11" s="17">
        <f t="shared" si="1157"/>
        <v>12070.399999999996</v>
      </c>
      <c r="VW11" s="17">
        <f t="shared" si="1158"/>
        <v>12070.399999999996</v>
      </c>
      <c r="VX11" s="17">
        <f t="shared" si="1159"/>
        <v>12070.399999999996</v>
      </c>
      <c r="VY11" s="17">
        <f t="shared" si="1160"/>
        <v>12070.399999999996</v>
      </c>
      <c r="VZ11" s="17">
        <f t="shared" si="1161"/>
        <v>12070.399999999996</v>
      </c>
      <c r="WA11" s="17">
        <f t="shared" si="1162"/>
        <v>12070.399999999996</v>
      </c>
      <c r="WB11" s="17">
        <f t="shared" si="1163"/>
        <v>12070.399999999996</v>
      </c>
      <c r="WC11" s="17">
        <f t="shared" si="1164"/>
        <v>12070.399999999996</v>
      </c>
      <c r="WD11" s="17">
        <f t="shared" si="1165"/>
        <v>12070.399999999996</v>
      </c>
      <c r="WE11" s="17">
        <f t="shared" si="1166"/>
        <v>12070.399999999996</v>
      </c>
      <c r="WF11" s="17">
        <f t="shared" si="1167"/>
        <v>12311.807999999997</v>
      </c>
      <c r="WG11" s="17">
        <f t="shared" si="1168"/>
        <v>12311.807999999997</v>
      </c>
      <c r="WH11" s="17">
        <f t="shared" si="1169"/>
        <v>12311.807999999997</v>
      </c>
      <c r="WI11" s="17">
        <f t="shared" si="1170"/>
        <v>12311.807999999997</v>
      </c>
      <c r="WJ11" s="17">
        <f t="shared" si="1171"/>
        <v>12311.807999999997</v>
      </c>
      <c r="WK11" s="17">
        <f t="shared" si="1172"/>
        <v>12311.807999999997</v>
      </c>
      <c r="WL11" s="17">
        <f t="shared" si="1173"/>
        <v>12311.807999999997</v>
      </c>
      <c r="WM11" s="17">
        <f t="shared" si="1174"/>
        <v>12311.807999999997</v>
      </c>
      <c r="WN11" s="17">
        <f t="shared" si="1175"/>
        <v>12311.807999999997</v>
      </c>
      <c r="WO11" s="17">
        <f t="shared" si="1176"/>
        <v>12311.807999999997</v>
      </c>
      <c r="WP11" s="17">
        <f t="shared" si="1177"/>
        <v>12311.807999999997</v>
      </c>
      <c r="WQ11" s="17">
        <f t="shared" si="1178"/>
        <v>12311.807999999997</v>
      </c>
      <c r="WR11" s="17">
        <f t="shared" si="1179"/>
        <v>12558.044159999996</v>
      </c>
      <c r="WS11" s="17">
        <f t="shared" si="1180"/>
        <v>12558.044159999996</v>
      </c>
      <c r="WT11" s="17">
        <f t="shared" si="1181"/>
        <v>12558.044159999996</v>
      </c>
      <c r="WU11" s="17">
        <f t="shared" si="1182"/>
        <v>12558.044159999996</v>
      </c>
      <c r="WV11" s="17">
        <f t="shared" si="1183"/>
        <v>12558.044159999996</v>
      </c>
      <c r="WW11" s="17">
        <f t="shared" si="1184"/>
        <v>12558.044159999996</v>
      </c>
      <c r="WX11" s="17">
        <f t="shared" si="1185"/>
        <v>12558.044159999996</v>
      </c>
      <c r="WY11" s="17">
        <f t="shared" si="1186"/>
        <v>12558.044159999996</v>
      </c>
      <c r="WZ11" s="17">
        <f t="shared" si="1187"/>
        <v>12558.044159999996</v>
      </c>
      <c r="XA11" s="17">
        <f t="shared" si="1188"/>
        <v>12558.044159999996</v>
      </c>
      <c r="XB11" s="17">
        <f t="shared" si="1189"/>
        <v>12558.044159999996</v>
      </c>
      <c r="XC11" s="17">
        <f t="shared" si="1190"/>
        <v>12558.044159999996</v>
      </c>
      <c r="XD11" s="17">
        <f t="shared" si="1191"/>
        <v>12809.205043199996</v>
      </c>
      <c r="XE11" s="17">
        <f t="shared" si="1192"/>
        <v>12809.205043199996</v>
      </c>
      <c r="XF11" s="17">
        <f t="shared" si="1193"/>
        <v>12809.205043199996</v>
      </c>
      <c r="XG11" s="17">
        <f t="shared" si="1194"/>
        <v>12809.205043199996</v>
      </c>
      <c r="XH11" s="17">
        <f t="shared" si="1195"/>
        <v>12809.205043199996</v>
      </c>
      <c r="XI11" s="17">
        <f t="shared" si="1196"/>
        <v>12809.205043199996</v>
      </c>
      <c r="XJ11" s="17">
        <f t="shared" si="1197"/>
        <v>12809.205043199996</v>
      </c>
      <c r="XK11" s="17">
        <f t="shared" si="1198"/>
        <v>12809.205043199996</v>
      </c>
      <c r="XL11" s="17">
        <f t="shared" si="1199"/>
        <v>12809.205043199996</v>
      </c>
      <c r="XM11" s="17">
        <f t="shared" si="1200"/>
        <v>12809.205043199996</v>
      </c>
      <c r="XN11" s="17">
        <f t="shared" si="1201"/>
        <v>12809.205043199996</v>
      </c>
      <c r="XO11" s="17">
        <f t="shared" si="1202"/>
        <v>12809.205043199996</v>
      </c>
      <c r="XP11" s="17">
        <f t="shared" si="1203"/>
        <v>13065.389144063995</v>
      </c>
      <c r="XQ11" s="17">
        <f t="shared" si="1204"/>
        <v>13065.389144063995</v>
      </c>
      <c r="XR11" s="17">
        <f t="shared" si="1205"/>
        <v>13065.389144063995</v>
      </c>
      <c r="XS11" s="17">
        <f t="shared" si="1206"/>
        <v>13065.389144063995</v>
      </c>
      <c r="XT11" s="17">
        <f t="shared" si="1207"/>
        <v>13065.389144063995</v>
      </c>
      <c r="XU11" s="17">
        <f t="shared" si="1208"/>
        <v>13065.389144063995</v>
      </c>
      <c r="XV11" s="17">
        <f t="shared" si="1209"/>
        <v>13065.389144063995</v>
      </c>
      <c r="XW11" s="17">
        <f t="shared" si="1210"/>
        <v>13065.389144063995</v>
      </c>
      <c r="XX11" s="17">
        <f t="shared" si="1211"/>
        <v>13065.389144063995</v>
      </c>
      <c r="XY11" s="17">
        <f t="shared" si="1212"/>
        <v>13065.389144063995</v>
      </c>
      <c r="XZ11" s="17">
        <f t="shared" si="1213"/>
        <v>13065.389144063995</v>
      </c>
      <c r="YA11" s="17">
        <f t="shared" si="1214"/>
        <v>13065.389144063995</v>
      </c>
      <c r="YB11" s="17">
        <f t="shared" si="1215"/>
        <v>13326.696926945275</v>
      </c>
      <c r="YC11" s="17">
        <f t="shared" si="1216"/>
        <v>13326.696926945275</v>
      </c>
      <c r="YD11" s="17">
        <f t="shared" si="1217"/>
        <v>13326.696926945275</v>
      </c>
      <c r="YE11" s="17">
        <f t="shared" si="1218"/>
        <v>13326.696926945275</v>
      </c>
      <c r="YF11" s="17">
        <f t="shared" si="1219"/>
        <v>13326.696926945275</v>
      </c>
      <c r="YG11" s="17">
        <f t="shared" si="1220"/>
        <v>13326.696926945275</v>
      </c>
      <c r="YH11" s="17">
        <f t="shared" si="1221"/>
        <v>13326.696926945275</v>
      </c>
      <c r="YI11" s="17">
        <f t="shared" si="1222"/>
        <v>13326.696926945275</v>
      </c>
      <c r="YJ11" s="17">
        <f t="shared" si="1223"/>
        <v>13326.696926945275</v>
      </c>
      <c r="YK11" s="17">
        <f t="shared" si="1224"/>
        <v>13326.696926945275</v>
      </c>
      <c r="YL11" s="17">
        <f t="shared" si="1225"/>
        <v>13326.696926945275</v>
      </c>
      <c r="YM11" s="17">
        <f t="shared" si="1226"/>
        <v>13326.696926945275</v>
      </c>
      <c r="YN11" s="17">
        <f t="shared" si="1227"/>
        <v>13593.23086548418</v>
      </c>
      <c r="YO11" s="17">
        <f t="shared" si="1228"/>
        <v>13593.23086548418</v>
      </c>
      <c r="YP11" s="17">
        <f t="shared" si="1229"/>
        <v>13593.23086548418</v>
      </c>
      <c r="YQ11" s="17">
        <f t="shared" si="1230"/>
        <v>13593.23086548418</v>
      </c>
      <c r="YR11" s="17">
        <f t="shared" si="1231"/>
        <v>13593.23086548418</v>
      </c>
      <c r="YS11" s="17">
        <f t="shared" si="1232"/>
        <v>13593.23086548418</v>
      </c>
      <c r="YT11" s="17">
        <f t="shared" si="1233"/>
        <v>13593.23086548418</v>
      </c>
      <c r="YU11" s="17">
        <f t="shared" si="1234"/>
        <v>13593.23086548418</v>
      </c>
      <c r="YV11" s="17">
        <f t="shared" si="1235"/>
        <v>13593.23086548418</v>
      </c>
      <c r="YW11" s="17">
        <f t="shared" si="1236"/>
        <v>13593.23086548418</v>
      </c>
      <c r="YX11" s="17">
        <f t="shared" si="1237"/>
        <v>13593.23086548418</v>
      </c>
      <c r="YY11" s="17">
        <f t="shared" si="1238"/>
        <v>13593.23086548418</v>
      </c>
      <c r="YZ11" s="17">
        <f t="shared" si="1239"/>
        <v>13865.095482793864</v>
      </c>
      <c r="ZA11" s="17">
        <f t="shared" si="1240"/>
        <v>13865.095482793864</v>
      </c>
      <c r="ZB11" s="17">
        <f t="shared" si="1241"/>
        <v>13865.095482793864</v>
      </c>
      <c r="ZC11" s="17">
        <f t="shared" si="1242"/>
        <v>13865.095482793864</v>
      </c>
      <c r="ZD11" s="17">
        <f t="shared" si="1243"/>
        <v>13865.095482793864</v>
      </c>
      <c r="ZE11" s="17">
        <f t="shared" si="1244"/>
        <v>13865.095482793864</v>
      </c>
      <c r="ZF11" s="17">
        <f t="shared" si="1245"/>
        <v>13865.095482793864</v>
      </c>
      <c r="ZG11" s="17">
        <f t="shared" si="1246"/>
        <v>13865.095482793864</v>
      </c>
      <c r="ZH11" s="17">
        <f t="shared" si="1247"/>
        <v>13865.095482793864</v>
      </c>
      <c r="ZI11" s="17">
        <f t="shared" si="1248"/>
        <v>13865.095482793864</v>
      </c>
      <c r="ZJ11" s="17">
        <f t="shared" si="1249"/>
        <v>13865.095482793864</v>
      </c>
      <c r="ZK11" s="17">
        <f t="shared" si="1250"/>
        <v>13865.095482793864</v>
      </c>
      <c r="ZL11" s="17">
        <f t="shared" si="1251"/>
        <v>14142.39739244974</v>
      </c>
      <c r="ZM11" s="17">
        <f t="shared" si="1252"/>
        <v>14142.39739244974</v>
      </c>
      <c r="ZN11" s="17">
        <f t="shared" si="1253"/>
        <v>14142.39739244974</v>
      </c>
      <c r="ZO11" s="17">
        <f t="shared" si="1254"/>
        <v>14142.39739244974</v>
      </c>
      <c r="ZP11" s="17">
        <f t="shared" si="1255"/>
        <v>14142.39739244974</v>
      </c>
      <c r="ZQ11" s="17">
        <f t="shared" si="1256"/>
        <v>14142.39739244974</v>
      </c>
      <c r="ZR11" s="17">
        <f t="shared" si="1257"/>
        <v>14142.39739244974</v>
      </c>
      <c r="ZS11" s="17">
        <f t="shared" si="1258"/>
        <v>14142.39739244974</v>
      </c>
      <c r="ZT11" s="17">
        <f t="shared" si="1259"/>
        <v>14142.39739244974</v>
      </c>
      <c r="ZU11" s="17">
        <f t="shared" si="1260"/>
        <v>14142.39739244974</v>
      </c>
      <c r="ZV11" s="17">
        <f t="shared" si="1261"/>
        <v>14142.39739244974</v>
      </c>
      <c r="ZW11" s="17">
        <f t="shared" si="1262"/>
        <v>14142.39739244974</v>
      </c>
      <c r="ZX11" s="17">
        <f t="shared" si="1263"/>
        <v>14425.245340298738</v>
      </c>
      <c r="ZY11" s="17">
        <f t="shared" si="1264"/>
        <v>14425.245340298738</v>
      </c>
      <c r="ZZ11" s="17">
        <f t="shared" si="1265"/>
        <v>14425.245340298738</v>
      </c>
      <c r="AAA11" s="17">
        <f t="shared" si="1266"/>
        <v>14425.245340298738</v>
      </c>
      <c r="AAB11" s="17">
        <f t="shared" si="1267"/>
        <v>14425.245340298738</v>
      </c>
      <c r="AAC11" s="17">
        <f t="shared" si="1268"/>
        <v>14425.245340298738</v>
      </c>
      <c r="AAD11" s="17"/>
      <c r="AAE11" s="17"/>
      <c r="AAF11" s="17">
        <f t="shared" si="1306"/>
        <v>0</v>
      </c>
      <c r="AAG11" s="17">
        <f t="shared" si="1269"/>
        <v>0</v>
      </c>
      <c r="AAH11" s="17">
        <f t="shared" si="1269"/>
        <v>0</v>
      </c>
      <c r="AAI11" s="17">
        <f t="shared" si="1269"/>
        <v>0</v>
      </c>
      <c r="AAJ11" s="17">
        <f t="shared" si="1269"/>
        <v>0</v>
      </c>
      <c r="AAK11" s="17">
        <f t="shared" si="1269"/>
        <v>0</v>
      </c>
      <c r="AAL11" s="17">
        <f t="shared" si="1269"/>
        <v>0</v>
      </c>
      <c r="AAM11" s="17">
        <f t="shared" si="1269"/>
        <v>0</v>
      </c>
      <c r="AAN11" s="17">
        <f t="shared" si="1269"/>
        <v>0</v>
      </c>
      <c r="AAO11" s="17">
        <f t="shared" si="1269"/>
        <v>0</v>
      </c>
      <c r="AAP11" s="17">
        <f t="shared" si="1269"/>
        <v>0</v>
      </c>
      <c r="AAQ11" s="17">
        <f t="shared" si="1269"/>
        <v>0</v>
      </c>
      <c r="AAR11" s="17">
        <f t="shared" si="1269"/>
        <v>0</v>
      </c>
      <c r="AAS11" s="17">
        <f t="shared" si="1269"/>
        <v>0</v>
      </c>
      <c r="AAT11" s="17">
        <f t="shared" si="1269"/>
        <v>0</v>
      </c>
      <c r="AAU11" s="17">
        <f t="shared" si="1269"/>
        <v>0</v>
      </c>
      <c r="AAV11" s="17">
        <f t="shared" si="1269"/>
        <v>0</v>
      </c>
      <c r="AAW11" s="17">
        <f t="shared" si="1270"/>
        <v>0</v>
      </c>
      <c r="AAX11" s="17">
        <f t="shared" si="1270"/>
        <v>24140.799999999996</v>
      </c>
      <c r="AAY11" s="17">
        <f t="shared" si="1270"/>
        <v>0</v>
      </c>
      <c r="AAZ11" s="17">
        <f t="shared" si="1270"/>
        <v>0</v>
      </c>
      <c r="ABA11" s="17">
        <f t="shared" si="1270"/>
        <v>0</v>
      </c>
      <c r="ABB11" s="17">
        <f t="shared" si="1270"/>
        <v>0</v>
      </c>
      <c r="ABC11" s="17">
        <f t="shared" si="1270"/>
        <v>0</v>
      </c>
      <c r="ABD11" s="17">
        <f t="shared" si="1270"/>
        <v>0</v>
      </c>
      <c r="ABE11" s="17">
        <f t="shared" si="1270"/>
        <v>0</v>
      </c>
      <c r="ABF11" s="17">
        <f t="shared" si="1270"/>
        <v>0</v>
      </c>
      <c r="ABG11" s="17">
        <f t="shared" si="1270"/>
        <v>0</v>
      </c>
      <c r="ABH11" s="17">
        <f t="shared" si="1270"/>
        <v>0</v>
      </c>
      <c r="ABI11" s="17">
        <f t="shared" si="1270"/>
        <v>0</v>
      </c>
      <c r="ABJ11" s="17">
        <f t="shared" si="1270"/>
        <v>0</v>
      </c>
      <c r="ABK11" s="17">
        <f t="shared" si="1270"/>
        <v>0</v>
      </c>
      <c r="ABL11" s="17">
        <f t="shared" si="1270"/>
        <v>0</v>
      </c>
      <c r="ABM11" s="17">
        <f t="shared" si="1271"/>
        <v>0</v>
      </c>
      <c r="ABN11" s="17">
        <f t="shared" si="1271"/>
        <v>0</v>
      </c>
      <c r="ABO11" s="17">
        <f t="shared" si="1271"/>
        <v>0</v>
      </c>
      <c r="ABP11" s="17">
        <f t="shared" si="1271"/>
        <v>0</v>
      </c>
      <c r="ABQ11" s="17">
        <f t="shared" si="1271"/>
        <v>0</v>
      </c>
      <c r="ABR11" s="17">
        <f t="shared" si="1271"/>
        <v>0</v>
      </c>
      <c r="ABS11" s="17">
        <f t="shared" si="1271"/>
        <v>0</v>
      </c>
      <c r="ABT11" s="17">
        <f t="shared" si="1271"/>
        <v>0</v>
      </c>
      <c r="ABU11" s="17">
        <f t="shared" si="1271"/>
        <v>0</v>
      </c>
      <c r="ABV11" s="17">
        <f t="shared" si="1271"/>
        <v>0</v>
      </c>
      <c r="ABW11" s="17">
        <f t="shared" si="1271"/>
        <v>0</v>
      </c>
      <c r="ABX11" s="17">
        <f t="shared" si="1271"/>
        <v>0</v>
      </c>
      <c r="ABY11" s="17">
        <f t="shared" si="1271"/>
        <v>0</v>
      </c>
      <c r="ABZ11" s="17">
        <f t="shared" si="1271"/>
        <v>0</v>
      </c>
      <c r="ACA11" s="17">
        <f t="shared" si="1271"/>
        <v>0</v>
      </c>
      <c r="ACB11" s="17">
        <f t="shared" si="1271"/>
        <v>0</v>
      </c>
      <c r="ACC11" s="17">
        <f t="shared" si="1272"/>
        <v>0</v>
      </c>
      <c r="ACD11" s="17">
        <f t="shared" si="1272"/>
        <v>0</v>
      </c>
      <c r="ACE11" s="17">
        <f t="shared" si="1272"/>
        <v>0</v>
      </c>
      <c r="ACF11" s="17">
        <f t="shared" si="1272"/>
        <v>0</v>
      </c>
      <c r="ACG11" s="17">
        <f t="shared" si="1272"/>
        <v>0</v>
      </c>
      <c r="ACH11" s="17">
        <f t="shared" si="1272"/>
        <v>0</v>
      </c>
      <c r="ACI11" s="17">
        <f t="shared" si="1272"/>
        <v>0</v>
      </c>
      <c r="ACJ11" s="17">
        <f t="shared" si="1272"/>
        <v>0</v>
      </c>
      <c r="ACK11" s="17">
        <f t="shared" si="1272"/>
        <v>0</v>
      </c>
      <c r="ACL11" s="17">
        <f t="shared" si="1272"/>
        <v>0</v>
      </c>
      <c r="ACM11" s="17">
        <f t="shared" si="1272"/>
        <v>0</v>
      </c>
      <c r="ACN11" s="17">
        <f t="shared" si="1272"/>
        <v>0</v>
      </c>
      <c r="ACO11" s="17">
        <f t="shared" si="1272"/>
        <v>0</v>
      </c>
      <c r="ACP11" s="17">
        <f t="shared" si="1272"/>
        <v>0</v>
      </c>
      <c r="ACQ11" s="17">
        <f t="shared" si="1272"/>
        <v>0</v>
      </c>
      <c r="ACR11" s="17">
        <f t="shared" si="1272"/>
        <v>0</v>
      </c>
      <c r="ACS11" s="17">
        <f t="shared" si="1273"/>
        <v>0</v>
      </c>
      <c r="ACT11" s="17">
        <f t="shared" si="1273"/>
        <v>0</v>
      </c>
      <c r="ACU11" s="17">
        <f t="shared" si="1273"/>
        <v>0</v>
      </c>
      <c r="ACV11" s="17">
        <f t="shared" si="1273"/>
        <v>0</v>
      </c>
      <c r="ACW11" s="17">
        <f t="shared" si="1273"/>
        <v>0</v>
      </c>
      <c r="ACX11" s="17">
        <f t="shared" si="1273"/>
        <v>0</v>
      </c>
      <c r="ACY11" s="17">
        <f t="shared" si="1273"/>
        <v>0</v>
      </c>
      <c r="ACZ11" s="17">
        <f t="shared" si="1273"/>
        <v>0</v>
      </c>
      <c r="ADA11" s="17">
        <f t="shared" si="1273"/>
        <v>0</v>
      </c>
      <c r="ADB11" s="17">
        <f t="shared" si="1273"/>
        <v>0</v>
      </c>
      <c r="ADC11" s="17">
        <f t="shared" si="1273"/>
        <v>0</v>
      </c>
      <c r="ADD11" s="17">
        <f t="shared" si="1273"/>
        <v>0</v>
      </c>
      <c r="ADE11" s="17">
        <f t="shared" si="1273"/>
        <v>0</v>
      </c>
      <c r="ADF11" s="17">
        <f t="shared" si="1273"/>
        <v>0</v>
      </c>
      <c r="ADG11" s="17">
        <f t="shared" si="1273"/>
        <v>0</v>
      </c>
      <c r="ADH11" s="17">
        <f t="shared" si="1273"/>
        <v>0</v>
      </c>
      <c r="ADI11" s="17">
        <f t="shared" si="1274"/>
        <v>0</v>
      </c>
      <c r="ADJ11" s="17">
        <f t="shared" si="1274"/>
        <v>0</v>
      </c>
      <c r="ADK11" s="17">
        <f t="shared" si="1274"/>
        <v>0</v>
      </c>
      <c r="ADL11" s="17">
        <f t="shared" si="1274"/>
        <v>0</v>
      </c>
      <c r="ADM11" s="17">
        <f t="shared" si="1274"/>
        <v>0</v>
      </c>
      <c r="ADN11" s="17">
        <f t="shared" si="1274"/>
        <v>0</v>
      </c>
      <c r="ADO11" s="17">
        <f t="shared" si="1274"/>
        <v>0</v>
      </c>
      <c r="ADP11" s="17">
        <f t="shared" si="1274"/>
        <v>0</v>
      </c>
      <c r="ADQ11" s="17">
        <f t="shared" si="1274"/>
        <v>0</v>
      </c>
      <c r="ADR11" s="17">
        <f t="shared" si="1274"/>
        <v>0</v>
      </c>
      <c r="ADS11" s="17">
        <f t="shared" si="1274"/>
        <v>0</v>
      </c>
      <c r="ADT11" s="17">
        <f t="shared" si="1274"/>
        <v>0</v>
      </c>
      <c r="ADU11" s="17">
        <f t="shared" si="1274"/>
        <v>0</v>
      </c>
      <c r="ADV11" s="17">
        <f t="shared" si="1274"/>
        <v>0</v>
      </c>
      <c r="ADW11" s="17">
        <f t="shared" si="1274"/>
        <v>0</v>
      </c>
      <c r="ADX11" s="17">
        <f t="shared" si="1274"/>
        <v>0</v>
      </c>
      <c r="ADY11" s="17">
        <f t="shared" si="1275"/>
        <v>0</v>
      </c>
      <c r="ADZ11" s="17">
        <f t="shared" si="1275"/>
        <v>0</v>
      </c>
      <c r="AEA11" s="17">
        <f t="shared" si="1275"/>
        <v>0</v>
      </c>
      <c r="AEB11" s="17">
        <f t="shared" si="1275"/>
        <v>0</v>
      </c>
      <c r="AEC11" s="17">
        <f t="shared" si="1275"/>
        <v>0</v>
      </c>
      <c r="AED11" s="17">
        <f t="shared" si="1275"/>
        <v>0</v>
      </c>
      <c r="AEE11" s="17">
        <f t="shared" si="1275"/>
        <v>0</v>
      </c>
      <c r="AEF11" s="17">
        <f t="shared" si="1275"/>
        <v>0</v>
      </c>
      <c r="AEG11" s="17">
        <f t="shared" si="1275"/>
        <v>0</v>
      </c>
      <c r="AEH11" s="17">
        <f t="shared" si="1275"/>
        <v>0</v>
      </c>
      <c r="AEI11" s="17">
        <f t="shared" si="1275"/>
        <v>0</v>
      </c>
      <c r="AEJ11" s="17">
        <f t="shared" si="1275"/>
        <v>0</v>
      </c>
      <c r="AEK11" s="17">
        <f t="shared" si="1275"/>
        <v>0</v>
      </c>
      <c r="AEL11" s="17">
        <f t="shared" si="1275"/>
        <v>0</v>
      </c>
      <c r="AEM11" s="17">
        <f t="shared" si="1275"/>
        <v>0</v>
      </c>
      <c r="AEN11" s="17">
        <f t="shared" si="1275"/>
        <v>0</v>
      </c>
      <c r="AEO11" s="17">
        <f t="shared" si="1276"/>
        <v>0</v>
      </c>
      <c r="AEP11" s="17">
        <f t="shared" si="1276"/>
        <v>0</v>
      </c>
      <c r="AEQ11" s="17">
        <f t="shared" si="1276"/>
        <v>0</v>
      </c>
      <c r="AER11" s="17">
        <f t="shared" si="1276"/>
        <v>0</v>
      </c>
      <c r="AES11" s="17">
        <f t="shared" si="1276"/>
        <v>0</v>
      </c>
      <c r="AET11" s="17">
        <f t="shared" si="1276"/>
        <v>0</v>
      </c>
      <c r="AEU11" s="17">
        <f t="shared" si="1276"/>
        <v>0</v>
      </c>
      <c r="AEV11" s="17">
        <f t="shared" si="1276"/>
        <v>0</v>
      </c>
      <c r="AEW11" s="17">
        <f t="shared" si="1276"/>
        <v>0</v>
      </c>
      <c r="AEX11" s="17">
        <f t="shared" si="1276"/>
        <v>0</v>
      </c>
      <c r="AEY11" s="17">
        <f t="shared" si="1276"/>
        <v>0</v>
      </c>
      <c r="AEZ11" s="17">
        <f t="shared" si="1276"/>
        <v>0</v>
      </c>
      <c r="AFA11" s="17">
        <f t="shared" si="1276"/>
        <v>0</v>
      </c>
      <c r="AFB11" s="17">
        <f t="shared" si="1276"/>
        <v>0</v>
      </c>
      <c r="AFC11" s="17">
        <f t="shared" si="1276"/>
        <v>0</v>
      </c>
      <c r="AFD11" s="17">
        <f t="shared" si="1276"/>
        <v>0</v>
      </c>
      <c r="AFE11" s="17">
        <f t="shared" si="1277"/>
        <v>0</v>
      </c>
      <c r="AFF11" s="17">
        <f t="shared" si="1277"/>
        <v>0</v>
      </c>
      <c r="AFG11" s="17">
        <f t="shared" si="1277"/>
        <v>0</v>
      </c>
      <c r="AFH11" s="17"/>
      <c r="AFI11" s="17"/>
      <c r="AFJ11" s="17">
        <f>(AJ11&gt;0)*'Long-Term Leases'!K$17*$L11*$K11</f>
        <v>4129.1389215865474</v>
      </c>
      <c r="AFK11" s="17">
        <f>(AK11&gt;0)*'Long-Term Leases'!L$17*$L11*$K11</f>
        <v>4129.1389215865474</v>
      </c>
      <c r="AFL11" s="17">
        <f>(AL11&gt;0)*'Long-Term Leases'!M$17*$L11*$K11</f>
        <v>4129.1389215865474</v>
      </c>
      <c r="AFM11" s="17">
        <f>(AM11&gt;0)*'Long-Term Leases'!N$17*$L11*$K11</f>
        <v>4129.1389215865474</v>
      </c>
      <c r="AFN11" s="17">
        <f>(AN11&gt;0)*'Long-Term Leases'!O$17*$L11*$K11</f>
        <v>4129.1389215865474</v>
      </c>
      <c r="AFO11" s="17">
        <f>(AO11&gt;0)*'Long-Term Leases'!P$17*$L11*$K11</f>
        <v>4129.1389215865474</v>
      </c>
      <c r="AFP11" s="17">
        <f>(AP11&gt;0)*'Long-Term Leases'!Q$17*$L11*$K11</f>
        <v>4129.1389215865474</v>
      </c>
      <c r="AFQ11" s="17">
        <f>(AQ11&gt;0)*'Long-Term Leases'!R$17*$L11*$K11</f>
        <v>4129.1389215865474</v>
      </c>
      <c r="AFR11" s="17">
        <f>(AR11&gt;0)*'Long-Term Leases'!S$17*$L11*$K11</f>
        <v>4129.1389215865474</v>
      </c>
      <c r="AFS11" s="17">
        <f>(AS11&gt;0)*'Long-Term Leases'!T$17*$L11*$K11</f>
        <v>4129.1389215865474</v>
      </c>
      <c r="AFT11" s="17">
        <f>(AT11&gt;0)*'Long-Term Leases'!U$17*$L11*$K11</f>
        <v>4129.1389215865474</v>
      </c>
      <c r="AFU11" s="17">
        <f>(AU11&gt;0)*'Long-Term Leases'!V$17*$L11*$K11</f>
        <v>4129.1389215865474</v>
      </c>
      <c r="AFV11" s="17">
        <f>(AV11&gt;0)*'Long-Term Leases'!W$17*$L11*$K11</f>
        <v>4211.7217000182782</v>
      </c>
      <c r="AFW11" s="17">
        <f>(AW11&gt;0)*'Long-Term Leases'!X$17*$L11*$K11</f>
        <v>4211.7217000182782</v>
      </c>
      <c r="AFX11" s="17">
        <f>(AX11&gt;0)*'Long-Term Leases'!Y$17*$L11*$K11</f>
        <v>4211.7217000182782</v>
      </c>
      <c r="AFY11" s="17">
        <f>(AY11&gt;0)*'Long-Term Leases'!Z$17*$L11*$K11</f>
        <v>0</v>
      </c>
      <c r="AFZ11" s="17">
        <f>(AZ11&gt;0)*'Long-Term Leases'!AA$17*$L11*$K11</f>
        <v>0</v>
      </c>
      <c r="AGA11" s="17">
        <f>(BA11&gt;0)*'Long-Term Leases'!AB$17*$L11*$K11</f>
        <v>0</v>
      </c>
      <c r="AGB11" s="17">
        <f>(BB11&gt;0)*'Long-Term Leases'!AC$17*$L11*$K11</f>
        <v>0</v>
      </c>
      <c r="AGC11" s="17">
        <f>(BC11&gt;0)*'Long-Term Leases'!AD$17*$L11*$K11</f>
        <v>0</v>
      </c>
      <c r="AGD11" s="17">
        <f>(BD11&gt;0)*'Long-Term Leases'!AE$17*$L11*$K11</f>
        <v>0</v>
      </c>
      <c r="AGE11" s="17">
        <f>(BE11&gt;0)*'Long-Term Leases'!AF$17*$L11*$K11</f>
        <v>0</v>
      </c>
      <c r="AGF11" s="17">
        <f>(BF11&gt;0)*'Long-Term Leases'!AG$17*$L11*$K11</f>
        <v>0</v>
      </c>
      <c r="AGG11" s="17">
        <f>(BG11&gt;0)*'Long-Term Leases'!AH$17*$L11*$K11</f>
        <v>0</v>
      </c>
      <c r="AGH11" s="17">
        <f>(BH11&gt;0)*'Long-Term Leases'!AI$17*$L11*$K11</f>
        <v>0</v>
      </c>
      <c r="AGI11" s="17">
        <f>(BI11&gt;0)*'Long-Term Leases'!AJ$17*$L11*$K11</f>
        <v>0</v>
      </c>
      <c r="AGJ11" s="17">
        <f>(BJ11&gt;0)*'Long-Term Leases'!AK$17*$L11*$K11</f>
        <v>0</v>
      </c>
      <c r="AGK11" s="17">
        <f>(BK11&gt;0)*'Long-Term Leases'!AL$17*$L11*$K11</f>
        <v>0</v>
      </c>
      <c r="AGL11" s="17">
        <f>(BL11&gt;0)*'Long-Term Leases'!AM$17*$L11*$K11</f>
        <v>0</v>
      </c>
      <c r="AGM11" s="17">
        <f>(BM11&gt;0)*'Long-Term Leases'!AN$17*$L11*$K11</f>
        <v>0</v>
      </c>
      <c r="AGN11" s="17">
        <f>(BN11&gt;0)*'Long-Term Leases'!AO$17*$L11*$K11</f>
        <v>0</v>
      </c>
      <c r="AGO11" s="17">
        <f>(BO11&gt;0)*'Long-Term Leases'!AP$17*$L11*$K11</f>
        <v>0</v>
      </c>
      <c r="AGP11" s="17">
        <f>(BP11&gt;0)*'Long-Term Leases'!AQ$17*$L11*$K11</f>
        <v>0</v>
      </c>
      <c r="AGQ11" s="17">
        <f>(BQ11&gt;0)*'Long-Term Leases'!AR$17*$L11*$K11</f>
        <v>0</v>
      </c>
      <c r="AGR11" s="17">
        <f>(BR11&gt;0)*'Long-Term Leases'!AS$17*$L11*$K11</f>
        <v>0</v>
      </c>
      <c r="AGS11" s="17">
        <f>(BS11&gt;0)*'Long-Term Leases'!AT$17*$L11*$K11</f>
        <v>0</v>
      </c>
      <c r="AGT11" s="17">
        <f>(BT11&gt;0)*'Long-Term Leases'!AU$17*$L11*$K11</f>
        <v>0</v>
      </c>
      <c r="AGU11" s="17">
        <f>(BU11&gt;0)*'Long-Term Leases'!AV$17*$L11*$K11</f>
        <v>0</v>
      </c>
      <c r="AGV11" s="17">
        <f>(BV11&gt;0)*'Long-Term Leases'!AW$17*$L11*$K11</f>
        <v>0</v>
      </c>
      <c r="AGW11" s="17">
        <f>(BW11&gt;0)*'Long-Term Leases'!AX$17*$L11*$K11</f>
        <v>0</v>
      </c>
      <c r="AGX11" s="17">
        <f>(BX11&gt;0)*'Long-Term Leases'!AY$17*$L11*$K11</f>
        <v>0</v>
      </c>
      <c r="AGY11" s="17">
        <f>(BY11&gt;0)*'Long-Term Leases'!AZ$17*$L11*$K11</f>
        <v>0</v>
      </c>
      <c r="AGZ11" s="17">
        <f>(BZ11&gt;0)*'Long-Term Leases'!BA$17*$L11*$K11</f>
        <v>0</v>
      </c>
      <c r="AHA11" s="17">
        <f>(CA11&gt;0)*'Long-Term Leases'!BB$17*$L11*$K11</f>
        <v>0</v>
      </c>
      <c r="AHB11" s="17">
        <f>(CB11&gt;0)*'Long-Term Leases'!BC$17*$L11*$K11</f>
        <v>0</v>
      </c>
      <c r="AHC11" s="17">
        <f>(CC11&gt;0)*'Long-Term Leases'!BD$17*$L11*$K11</f>
        <v>0</v>
      </c>
      <c r="AHD11" s="17">
        <f>(CD11&gt;0)*'Long-Term Leases'!BE$17*$L11*$K11</f>
        <v>0</v>
      </c>
      <c r="AHE11" s="17">
        <f>(CE11&gt;0)*'Long-Term Leases'!BF$17*$L11*$K11</f>
        <v>0</v>
      </c>
      <c r="AHF11" s="17">
        <f>(CF11&gt;0)*'Long-Term Leases'!BG$17*$L11*$K11</f>
        <v>0</v>
      </c>
      <c r="AHG11" s="17">
        <f>(CG11&gt;0)*'Long-Term Leases'!BH$17*$L11*$K11</f>
        <v>0</v>
      </c>
      <c r="AHH11" s="17">
        <f>(CH11&gt;0)*'Long-Term Leases'!BI$17*$L11*$K11</f>
        <v>0</v>
      </c>
      <c r="AHI11" s="17">
        <f>(CI11&gt;0)*'Long-Term Leases'!BJ$17*$L11*$K11</f>
        <v>0</v>
      </c>
      <c r="AHJ11" s="17">
        <f>(CJ11&gt;0)*'Long-Term Leases'!BK$17*$L11*$K11</f>
        <v>0</v>
      </c>
      <c r="AHK11" s="17">
        <f>(CK11&gt;0)*'Long-Term Leases'!BL$17*$L11*$K11</f>
        <v>0</v>
      </c>
      <c r="AHL11" s="17">
        <f>(CL11&gt;0)*'Long-Term Leases'!BM$17*$L11*$K11</f>
        <v>0</v>
      </c>
      <c r="AHM11" s="17">
        <f>(CM11&gt;0)*'Long-Term Leases'!BN$17*$L11*$K11</f>
        <v>0</v>
      </c>
      <c r="AHN11" s="17">
        <f>(CN11&gt;0)*'Long-Term Leases'!BO$17*$L11*$K11</f>
        <v>0</v>
      </c>
      <c r="AHO11" s="17">
        <f>(CO11&gt;0)*'Long-Term Leases'!BP$17*$L11*$K11</f>
        <v>0</v>
      </c>
      <c r="AHP11" s="17">
        <f>(CP11&gt;0)*'Long-Term Leases'!BQ$17*$L11*$K11</f>
        <v>0</v>
      </c>
      <c r="AHQ11" s="17">
        <f>(CQ11&gt;0)*'Long-Term Leases'!BR$17*$L11*$K11</f>
        <v>0</v>
      </c>
      <c r="AHR11" s="17">
        <f>(CR11&gt;0)*'Long-Term Leases'!BS$17*$L11*$K11</f>
        <v>0</v>
      </c>
      <c r="AHS11" s="17">
        <f>(CS11&gt;0)*'Long-Term Leases'!BT$17*$L11*$K11</f>
        <v>0</v>
      </c>
      <c r="AHT11" s="17">
        <f>(CT11&gt;0)*'Long-Term Leases'!BU$17*$L11*$K11</f>
        <v>0</v>
      </c>
      <c r="AHU11" s="17">
        <f>(CU11&gt;0)*'Long-Term Leases'!BV$17*$L11*$K11</f>
        <v>0</v>
      </c>
      <c r="AHV11" s="17">
        <f>(CV11&gt;0)*'Long-Term Leases'!BW$17*$L11*$K11</f>
        <v>0</v>
      </c>
      <c r="AHW11" s="17">
        <f>(CW11&gt;0)*'Long-Term Leases'!BX$17*$L11*$K11</f>
        <v>0</v>
      </c>
      <c r="AHX11" s="17">
        <f>(CX11&gt;0)*'Long-Term Leases'!BY$17*$L11*$K11</f>
        <v>0</v>
      </c>
      <c r="AHY11" s="17">
        <f>(CY11&gt;0)*'Long-Term Leases'!BZ$17*$L11*$K11</f>
        <v>0</v>
      </c>
      <c r="AHZ11" s="17">
        <f>(CZ11&gt;0)*'Long-Term Leases'!CA$17*$L11*$K11</f>
        <v>0</v>
      </c>
      <c r="AIA11" s="17">
        <f>(DA11&gt;0)*'Long-Term Leases'!CB$17*$L11*$K11</f>
        <v>0</v>
      </c>
      <c r="AIB11" s="17">
        <f>(DB11&gt;0)*'Long-Term Leases'!CC$17*$L11*$K11</f>
        <v>0</v>
      </c>
      <c r="AIC11" s="17">
        <f>(DC11&gt;0)*'Long-Term Leases'!CD$17*$L11*$K11</f>
        <v>0</v>
      </c>
      <c r="AID11" s="17">
        <f>(DD11&gt;0)*'Long-Term Leases'!CE$17*$L11*$K11</f>
        <v>0</v>
      </c>
      <c r="AIE11" s="17">
        <f>(DE11&gt;0)*'Long-Term Leases'!CF$17*$L11*$K11</f>
        <v>0</v>
      </c>
      <c r="AIF11" s="17">
        <f>(DF11&gt;0)*'Long-Term Leases'!CG$17*$L11*$K11</f>
        <v>0</v>
      </c>
      <c r="AIG11" s="17">
        <f>(DG11&gt;0)*'Long-Term Leases'!CH$17*$L11*$K11</f>
        <v>0</v>
      </c>
      <c r="AIH11" s="17">
        <f>(DH11&gt;0)*'Long-Term Leases'!CI$17*$L11*$K11</f>
        <v>0</v>
      </c>
      <c r="AII11" s="17">
        <f>(DI11&gt;0)*'Long-Term Leases'!CJ$17*$L11*$K11</f>
        <v>0</v>
      </c>
      <c r="AIJ11" s="17">
        <f>(DJ11&gt;0)*'Long-Term Leases'!CK$17*$L11*$K11</f>
        <v>0</v>
      </c>
      <c r="AIK11" s="17">
        <f>(DK11&gt;0)*'Long-Term Leases'!CL$17*$L11*$K11</f>
        <v>0</v>
      </c>
      <c r="AIL11" s="17">
        <f>(DL11&gt;0)*'Long-Term Leases'!CM$17*$L11*$K11</f>
        <v>0</v>
      </c>
      <c r="AIM11" s="17">
        <f>(DM11&gt;0)*'Long-Term Leases'!CN$17*$L11*$K11</f>
        <v>0</v>
      </c>
      <c r="AIN11" s="17">
        <f>(DN11&gt;0)*'Long-Term Leases'!CO$17*$L11*$K11</f>
        <v>0</v>
      </c>
      <c r="AIO11" s="17">
        <f>(DO11&gt;0)*'Long-Term Leases'!CP$17*$L11*$K11</f>
        <v>0</v>
      </c>
      <c r="AIP11" s="17">
        <f>(DP11&gt;0)*'Long-Term Leases'!CQ$17*$L11*$K11</f>
        <v>0</v>
      </c>
      <c r="AIQ11" s="17">
        <f>(DQ11&gt;0)*'Long-Term Leases'!CR$17*$L11*$K11</f>
        <v>0</v>
      </c>
      <c r="AIR11" s="17">
        <f>(DR11&gt;0)*'Long-Term Leases'!CS$17*$L11*$K11</f>
        <v>0</v>
      </c>
      <c r="AIS11" s="17">
        <f>(DS11&gt;0)*'Long-Term Leases'!CT$17*$L11*$K11</f>
        <v>0</v>
      </c>
      <c r="AIT11" s="17">
        <f>(DT11&gt;0)*'Long-Term Leases'!CU$17*$L11*$K11</f>
        <v>0</v>
      </c>
      <c r="AIU11" s="17">
        <f>(DU11&gt;0)*'Long-Term Leases'!CV$17*$L11*$K11</f>
        <v>0</v>
      </c>
      <c r="AIV11" s="17">
        <f>(DV11&gt;0)*'Long-Term Leases'!CW$17*$L11*$K11</f>
        <v>0</v>
      </c>
      <c r="AIW11" s="17">
        <f>(DW11&gt;0)*'Long-Term Leases'!CX$17*$L11*$K11</f>
        <v>0</v>
      </c>
      <c r="AIX11" s="17">
        <f>(DX11&gt;0)*'Long-Term Leases'!CY$17*$L11*$K11</f>
        <v>0</v>
      </c>
      <c r="AIY11" s="17">
        <f>(DY11&gt;0)*'Long-Term Leases'!CZ$17*$L11*$K11</f>
        <v>0</v>
      </c>
      <c r="AIZ11" s="17">
        <f>(DZ11&gt;0)*'Long-Term Leases'!DA$17*$L11*$K11</f>
        <v>0</v>
      </c>
      <c r="AJA11" s="17">
        <f>(EA11&gt;0)*'Long-Term Leases'!DB$17*$L11*$K11</f>
        <v>0</v>
      </c>
      <c r="AJB11" s="17">
        <f>(EB11&gt;0)*'Long-Term Leases'!DC$17*$L11*$K11</f>
        <v>0</v>
      </c>
      <c r="AJC11" s="17">
        <f>(EC11&gt;0)*'Long-Term Leases'!DD$17*$L11*$K11</f>
        <v>0</v>
      </c>
      <c r="AJD11" s="17">
        <f>(ED11&gt;0)*'Long-Term Leases'!DE$17*$L11*$K11</f>
        <v>0</v>
      </c>
      <c r="AJE11" s="17">
        <f>(EE11&gt;0)*'Long-Term Leases'!DF$17*$L11*$K11</f>
        <v>0</v>
      </c>
      <c r="AJF11" s="17">
        <f>(EF11&gt;0)*'Long-Term Leases'!DG$17*$L11*$K11</f>
        <v>0</v>
      </c>
      <c r="AJG11" s="17">
        <f>(EG11&gt;0)*'Long-Term Leases'!DH$17*$L11*$K11</f>
        <v>0</v>
      </c>
      <c r="AJH11" s="17">
        <f>(EH11&gt;0)*'Long-Term Leases'!DI$17*$L11*$K11</f>
        <v>0</v>
      </c>
      <c r="AJI11" s="17">
        <f>(EI11&gt;0)*'Long-Term Leases'!DJ$17*$L11*$K11</f>
        <v>0</v>
      </c>
      <c r="AJJ11" s="17">
        <f>(EJ11&gt;0)*'Long-Term Leases'!DK$17*$L11*$K11</f>
        <v>0</v>
      </c>
      <c r="AJK11" s="17">
        <f>(EK11&gt;0)*'Long-Term Leases'!DL$17*$L11*$K11</f>
        <v>0</v>
      </c>
      <c r="AJL11" s="17">
        <f>(EL11&gt;0)*'Long-Term Leases'!DM$17*$L11*$K11</f>
        <v>0</v>
      </c>
      <c r="AJM11" s="17">
        <f>(EM11&gt;0)*'Long-Term Leases'!DN$17*$L11*$K11</f>
        <v>0</v>
      </c>
      <c r="AJN11" s="17">
        <f>(EN11&gt;0)*'Long-Term Leases'!DO$17*$L11*$K11</f>
        <v>0</v>
      </c>
      <c r="AJO11" s="17">
        <f>(EO11&gt;0)*'Long-Term Leases'!DP$17*$L11*$K11</f>
        <v>0</v>
      </c>
      <c r="AJP11" s="17">
        <f>(EP11&gt;0)*'Long-Term Leases'!DQ$17*$L11*$K11</f>
        <v>0</v>
      </c>
      <c r="AJQ11" s="17">
        <f>(EQ11&gt;0)*'Long-Term Leases'!DR$17*$L11*$K11</f>
        <v>0</v>
      </c>
      <c r="AJR11" s="17">
        <f>(ER11&gt;0)*'Long-Term Leases'!DS$17*$L11*$K11</f>
        <v>0</v>
      </c>
      <c r="AJS11" s="17">
        <f>(ES11&gt;0)*'Long-Term Leases'!DT$17*$L11*$K11</f>
        <v>0</v>
      </c>
      <c r="AJT11" s="17">
        <f>(ET11&gt;0)*'Long-Term Leases'!DU$17*$L11*$K11</f>
        <v>0</v>
      </c>
      <c r="AJU11" s="17">
        <f>(EU11&gt;0)*'Long-Term Leases'!DV$17*$L11*$K11</f>
        <v>0</v>
      </c>
      <c r="AJV11" s="17">
        <f>(EV11&gt;0)*'Long-Term Leases'!DW$17*$L11*$K11</f>
        <v>0</v>
      </c>
      <c r="AJW11" s="17">
        <f>(EW11&gt;0)*'Long-Term Leases'!DX$17*$L11*$K11</f>
        <v>0</v>
      </c>
      <c r="AJX11" s="17">
        <f>(EX11&gt;0)*'Long-Term Leases'!DY$17*$L11*$K11</f>
        <v>0</v>
      </c>
      <c r="AJY11" s="17">
        <f>(EY11&gt;0)*'Long-Term Leases'!DZ$17*$L11*$K11</f>
        <v>0</v>
      </c>
      <c r="AJZ11" s="17">
        <f>(EZ11&gt;0)*'Long-Term Leases'!EA$17*$L11*$K11</f>
        <v>0</v>
      </c>
      <c r="AKA11" s="17">
        <f>(FA11&gt;0)*'Long-Term Leases'!EB$17*$L11*$K11</f>
        <v>0</v>
      </c>
      <c r="AKB11" s="17">
        <f>(FB11&gt;0)*'Long-Term Leases'!EC$17*$L11*$K11</f>
        <v>0</v>
      </c>
      <c r="AKC11" s="17">
        <f>(FC11&gt;0)*'Long-Term Leases'!ED$17*$L11*$K11</f>
        <v>0</v>
      </c>
      <c r="AKD11" s="17">
        <f>(FD11&gt;0)*'Long-Term Leases'!EE$17*$L11*$K11</f>
        <v>0</v>
      </c>
      <c r="AKE11" s="17">
        <f>(FE11&gt;0)*'Long-Term Leases'!EF$17*$L11*$K11</f>
        <v>0</v>
      </c>
      <c r="AKF11" s="17">
        <f>(FF11&gt;0)*'Long-Term Leases'!EG$17*$L11*$K11</f>
        <v>0</v>
      </c>
      <c r="AKG11" s="17">
        <f>(FG11&gt;0)*'Long-Term Leases'!EH$17*$L11*$K11</f>
        <v>0</v>
      </c>
      <c r="AKH11" s="17">
        <f>(FH11&gt;0)*'Long-Term Leases'!EI$17*$L11*$K11</f>
        <v>0</v>
      </c>
      <c r="AKI11" s="17">
        <f>(FI11&gt;0)*'Long-Term Leases'!EJ$17*$L11*$K11</f>
        <v>0</v>
      </c>
      <c r="AKJ11" s="17">
        <f>(FJ11&gt;0)*'Long-Term Leases'!EK$17*$L11*$K11</f>
        <v>0</v>
      </c>
      <c r="AKK11" s="17">
        <f>(FK11&gt;0)*'Long-Term Leases'!EL$17*$L11*$K11</f>
        <v>0</v>
      </c>
      <c r="AKL11" s="17"/>
      <c r="AKM11" s="17"/>
      <c r="AKN11" s="17">
        <f>(FN11&gt;0)*'Long-Term Leases'!K$17*$X11*$W11</f>
        <v>0</v>
      </c>
      <c r="AKO11" s="17">
        <f>(FO11&gt;0)*'Long-Term Leases'!L$17*$X11*$W11</f>
        <v>0</v>
      </c>
      <c r="AKP11" s="17">
        <f>(FP11&gt;0)*'Long-Term Leases'!M$17*$X11*$W11</f>
        <v>0</v>
      </c>
      <c r="AKQ11" s="17">
        <f>(FQ11&gt;0)*'Long-Term Leases'!N$17*$X11*$W11</f>
        <v>0</v>
      </c>
      <c r="AKR11" s="17">
        <f>(FR11&gt;0)*'Long-Term Leases'!O$17*$X11*$W11</f>
        <v>0</v>
      </c>
      <c r="AKS11" s="17">
        <f>(FS11&gt;0)*'Long-Term Leases'!P$17*$X11*$W11</f>
        <v>0</v>
      </c>
      <c r="AKT11" s="17">
        <f>(FT11&gt;0)*'Long-Term Leases'!Q$17*$X11*$W11</f>
        <v>0</v>
      </c>
      <c r="AKU11" s="17">
        <f>(FU11&gt;0)*'Long-Term Leases'!R$17*$X11*$W11</f>
        <v>0</v>
      </c>
      <c r="AKV11" s="17">
        <f>(FV11&gt;0)*'Long-Term Leases'!S$17*$X11*$W11</f>
        <v>0</v>
      </c>
      <c r="AKW11" s="17">
        <f>(FW11&gt;0)*'Long-Term Leases'!T$17*$X11*$W11</f>
        <v>0</v>
      </c>
      <c r="AKX11" s="17">
        <f>(FX11&gt;0)*'Long-Term Leases'!U$17*$X11*$W11</f>
        <v>0</v>
      </c>
      <c r="AKY11" s="17">
        <f>(FY11&gt;0)*'Long-Term Leases'!V$17*$X11*$W11</f>
        <v>0</v>
      </c>
      <c r="AKZ11" s="17">
        <f>(FZ11&gt;0)*'Long-Term Leases'!W$17*$X11*$W11</f>
        <v>0</v>
      </c>
      <c r="ALA11" s="17">
        <f>(GA11&gt;0)*'Long-Term Leases'!X$17*$X11*$W11</f>
        <v>0</v>
      </c>
      <c r="ALB11" s="17">
        <f>(GB11&gt;0)*'Long-Term Leases'!Y$17*$X11*$W11</f>
        <v>0</v>
      </c>
      <c r="ALC11" s="17">
        <f>(GC11&gt;0)*'Long-Term Leases'!Z$17*$X11*$W11</f>
        <v>0</v>
      </c>
      <c r="ALD11" s="17">
        <f>(GD11&gt;0)*'Long-Term Leases'!AA$17*$X11*$W11</f>
        <v>0</v>
      </c>
      <c r="ALE11" s="17">
        <f>(GE11&gt;0)*'Long-Term Leases'!AB$17*$X11*$W11</f>
        <v>0</v>
      </c>
      <c r="ALF11" s="17">
        <f>(GF11&gt;0)*'Long-Term Leases'!AC$17*$X11*$W11</f>
        <v>4211.7217000182782</v>
      </c>
      <c r="ALG11" s="17">
        <f>(GG11&gt;0)*'Long-Term Leases'!AD$17*$X11*$W11</f>
        <v>4211.7217000182782</v>
      </c>
      <c r="ALH11" s="17">
        <f>(GH11&gt;0)*'Long-Term Leases'!AE$17*$X11*$W11</f>
        <v>4211.7217000182782</v>
      </c>
      <c r="ALI11" s="17">
        <f>(GI11&gt;0)*'Long-Term Leases'!AF$17*$X11*$W11</f>
        <v>4211.7217000182782</v>
      </c>
      <c r="ALJ11" s="17">
        <f>(GJ11&gt;0)*'Long-Term Leases'!AG$17*$X11*$W11</f>
        <v>4211.7217000182782</v>
      </c>
      <c r="ALK11" s="17">
        <f>(GK11&gt;0)*'Long-Term Leases'!AH$17*$X11*$W11</f>
        <v>4211.7217000182782</v>
      </c>
      <c r="ALL11" s="17">
        <f>(GL11&gt;0)*'Long-Term Leases'!AI$17*$X11*$W11</f>
        <v>4295.9561340186438</v>
      </c>
      <c r="ALM11" s="17">
        <f>(GM11&gt;0)*'Long-Term Leases'!AJ$17*$X11*$W11</f>
        <v>4295.9561340186438</v>
      </c>
      <c r="ALN11" s="17">
        <f>(GN11&gt;0)*'Long-Term Leases'!AK$17*$X11*$W11</f>
        <v>4295.9561340186438</v>
      </c>
      <c r="ALO11" s="17">
        <f>(GO11&gt;0)*'Long-Term Leases'!AL$17*$X11*$W11</f>
        <v>4295.9561340186438</v>
      </c>
      <c r="ALP11" s="17">
        <f>(GP11&gt;0)*'Long-Term Leases'!AM$17*$X11*$W11</f>
        <v>4295.9561340186438</v>
      </c>
      <c r="ALQ11" s="17">
        <f>(GQ11&gt;0)*'Long-Term Leases'!AN$17*$X11*$W11</f>
        <v>4295.9561340186438</v>
      </c>
      <c r="ALR11" s="17">
        <f>(GR11&gt;0)*'Long-Term Leases'!AO$17*$X11*$W11</f>
        <v>4295.9561340186438</v>
      </c>
      <c r="ALS11" s="17">
        <f>(GS11&gt;0)*'Long-Term Leases'!AP$17*$X11*$W11</f>
        <v>4295.9561340186438</v>
      </c>
      <c r="ALT11" s="17">
        <f>(GT11&gt;0)*'Long-Term Leases'!AQ$17*$X11*$W11</f>
        <v>4295.9561340186438</v>
      </c>
      <c r="ALU11" s="17">
        <f>(GU11&gt;0)*'Long-Term Leases'!AR$17*$X11*$W11</f>
        <v>4295.9561340186438</v>
      </c>
      <c r="ALV11" s="17">
        <f>(GV11&gt;0)*'Long-Term Leases'!AS$17*$X11*$W11</f>
        <v>4295.9561340186438</v>
      </c>
      <c r="ALW11" s="17">
        <f>(GW11&gt;0)*'Long-Term Leases'!AT$17*$X11*$W11</f>
        <v>4295.9561340186438</v>
      </c>
      <c r="ALX11" s="17">
        <f>(GX11&gt;0)*'Long-Term Leases'!AU$17*$X11*$W11</f>
        <v>4381.875256699017</v>
      </c>
      <c r="ALY11" s="17">
        <f>(GY11&gt;0)*'Long-Term Leases'!AV$17*$X11*$W11</f>
        <v>4381.875256699017</v>
      </c>
      <c r="ALZ11" s="17">
        <f>(GZ11&gt;0)*'Long-Term Leases'!AW$17*$X11*$W11</f>
        <v>4381.875256699017</v>
      </c>
      <c r="AMA11" s="17">
        <f>(HA11&gt;0)*'Long-Term Leases'!AX$17*$X11*$W11</f>
        <v>4381.875256699017</v>
      </c>
      <c r="AMB11" s="17">
        <f>(HB11&gt;0)*'Long-Term Leases'!AY$17*$X11*$W11</f>
        <v>4381.875256699017</v>
      </c>
      <c r="AMC11" s="17">
        <f>(HC11&gt;0)*'Long-Term Leases'!AZ$17*$X11*$W11</f>
        <v>4381.875256699017</v>
      </c>
      <c r="AMD11" s="17">
        <f>(HD11&gt;0)*'Long-Term Leases'!BA$17*$X11*$W11</f>
        <v>4381.875256699017</v>
      </c>
      <c r="AME11" s="17">
        <f>(HE11&gt;0)*'Long-Term Leases'!BB$17*$X11*$W11</f>
        <v>4381.875256699017</v>
      </c>
      <c r="AMF11" s="17">
        <f>(HF11&gt;0)*'Long-Term Leases'!BC$17*$X11*$W11</f>
        <v>4381.875256699017</v>
      </c>
      <c r="AMG11" s="17">
        <f>(HG11&gt;0)*'Long-Term Leases'!BD$17*$X11*$W11</f>
        <v>4381.875256699017</v>
      </c>
      <c r="AMH11" s="17">
        <f>(HH11&gt;0)*'Long-Term Leases'!BE$17*$X11*$W11</f>
        <v>4381.875256699017</v>
      </c>
      <c r="AMI11" s="17">
        <f>(HI11&gt;0)*'Long-Term Leases'!BF$17*$X11*$W11</f>
        <v>4381.875256699017</v>
      </c>
      <c r="AMJ11" s="17">
        <f>(HJ11&gt;0)*'Long-Term Leases'!BG$17*$X11*$W11</f>
        <v>4469.512761832998</v>
      </c>
      <c r="AMK11" s="17">
        <f>(HK11&gt;0)*'Long-Term Leases'!BH$17*$X11*$W11</f>
        <v>4469.512761832998</v>
      </c>
      <c r="AML11" s="17">
        <f>(HL11&gt;0)*'Long-Term Leases'!BI$17*$X11*$W11</f>
        <v>4469.512761832998</v>
      </c>
      <c r="AMM11" s="17">
        <f>(HM11&gt;0)*'Long-Term Leases'!BJ$17*$X11*$W11</f>
        <v>4469.512761832998</v>
      </c>
      <c r="AMN11" s="17">
        <f>(HN11&gt;0)*'Long-Term Leases'!BK$17*$X11*$W11</f>
        <v>4469.512761832998</v>
      </c>
      <c r="AMO11" s="17">
        <f>(HO11&gt;0)*'Long-Term Leases'!BL$17*$X11*$W11</f>
        <v>4469.512761832998</v>
      </c>
      <c r="AMP11" s="17">
        <f>(HP11&gt;0)*'Long-Term Leases'!BM$17*$X11*$W11</f>
        <v>4469.512761832998</v>
      </c>
      <c r="AMQ11" s="17">
        <f>(HQ11&gt;0)*'Long-Term Leases'!BN$17*$X11*$W11</f>
        <v>4469.512761832998</v>
      </c>
      <c r="AMR11" s="17">
        <f>(HR11&gt;0)*'Long-Term Leases'!BO$17*$X11*$W11</f>
        <v>4469.512761832998</v>
      </c>
      <c r="AMS11" s="17">
        <f>(HS11&gt;0)*'Long-Term Leases'!BP$17*$X11*$W11</f>
        <v>4469.512761832998</v>
      </c>
      <c r="AMT11" s="17">
        <f>(HT11&gt;0)*'Long-Term Leases'!BQ$17*$X11*$W11</f>
        <v>4469.512761832998</v>
      </c>
      <c r="AMU11" s="17">
        <f>(HU11&gt;0)*'Long-Term Leases'!BR$17*$X11*$W11</f>
        <v>4469.512761832998</v>
      </c>
      <c r="AMV11" s="17">
        <f>(HV11&gt;0)*'Long-Term Leases'!BS$17*$X11*$W11</f>
        <v>4558.9030170696569</v>
      </c>
      <c r="AMW11" s="17">
        <f>(HW11&gt;0)*'Long-Term Leases'!BT$17*$X11*$W11</f>
        <v>4558.9030170696569</v>
      </c>
      <c r="AMX11" s="17">
        <f>(HX11&gt;0)*'Long-Term Leases'!BU$17*$X11*$W11</f>
        <v>4558.9030170696569</v>
      </c>
      <c r="AMY11" s="17">
        <f>(HY11&gt;0)*'Long-Term Leases'!BV$17*$X11*$W11</f>
        <v>4558.9030170696569</v>
      </c>
      <c r="AMZ11" s="17">
        <f>(HZ11&gt;0)*'Long-Term Leases'!BW$17*$X11*$W11</f>
        <v>4558.9030170696569</v>
      </c>
      <c r="ANA11" s="17">
        <f>(IA11&gt;0)*'Long-Term Leases'!BX$17*$X11*$W11</f>
        <v>4558.9030170696569</v>
      </c>
      <c r="ANB11" s="17">
        <f>(IB11&gt;0)*'Long-Term Leases'!BY$17*$X11*$W11</f>
        <v>4558.9030170696569</v>
      </c>
      <c r="ANC11" s="17">
        <f>(IC11&gt;0)*'Long-Term Leases'!BZ$17*$X11*$W11</f>
        <v>4558.9030170696569</v>
      </c>
      <c r="AND11" s="17">
        <f>(ID11&gt;0)*'Long-Term Leases'!CA$17*$X11*$W11</f>
        <v>4558.9030170696569</v>
      </c>
      <c r="ANE11" s="17">
        <f>(IE11&gt;0)*'Long-Term Leases'!CB$17*$X11*$W11</f>
        <v>4558.9030170696569</v>
      </c>
      <c r="ANF11" s="17">
        <f>(IF11&gt;0)*'Long-Term Leases'!CC$17*$X11*$W11</f>
        <v>4558.9030170696569</v>
      </c>
      <c r="ANG11" s="17">
        <f>(IG11&gt;0)*'Long-Term Leases'!CD$17*$X11*$W11</f>
        <v>4558.9030170696569</v>
      </c>
      <c r="ANH11" s="17">
        <f>(IH11&gt;0)*'Long-Term Leases'!CE$17*$X11*$W11</f>
        <v>4650.0810774110505</v>
      </c>
      <c r="ANI11" s="17">
        <f>(II11&gt;0)*'Long-Term Leases'!CF$17*$X11*$W11</f>
        <v>4650.0810774110505</v>
      </c>
      <c r="ANJ11" s="17">
        <f>(IJ11&gt;0)*'Long-Term Leases'!CG$17*$X11*$W11</f>
        <v>4650.0810774110505</v>
      </c>
      <c r="ANK11" s="17">
        <f>(IK11&gt;0)*'Long-Term Leases'!CH$17*$X11*$W11</f>
        <v>4650.0810774110505</v>
      </c>
      <c r="ANL11" s="17">
        <f>(IL11&gt;0)*'Long-Term Leases'!CI$17*$X11*$W11</f>
        <v>4650.0810774110505</v>
      </c>
      <c r="ANM11" s="17">
        <f>(IM11&gt;0)*'Long-Term Leases'!CJ$17*$X11*$W11</f>
        <v>4650.0810774110505</v>
      </c>
      <c r="ANN11" s="17">
        <f>(IN11&gt;0)*'Long-Term Leases'!CK$17*$X11*$W11</f>
        <v>4650.0810774110505</v>
      </c>
      <c r="ANO11" s="17">
        <f>(IO11&gt;0)*'Long-Term Leases'!CL$17*$X11*$W11</f>
        <v>4650.0810774110505</v>
      </c>
      <c r="ANP11" s="17">
        <f>(IP11&gt;0)*'Long-Term Leases'!CM$17*$X11*$W11</f>
        <v>4650.0810774110505</v>
      </c>
      <c r="ANQ11" s="17">
        <f>(IQ11&gt;0)*'Long-Term Leases'!CN$17*$X11*$W11</f>
        <v>4650.0810774110505</v>
      </c>
      <c r="ANR11" s="17">
        <f>(IR11&gt;0)*'Long-Term Leases'!CO$17*$X11*$W11</f>
        <v>4650.0810774110505</v>
      </c>
      <c r="ANS11" s="17">
        <f>(IS11&gt;0)*'Long-Term Leases'!CP$17*$X11*$W11</f>
        <v>4650.0810774110505</v>
      </c>
      <c r="ANT11" s="17">
        <f>(IT11&gt;0)*'Long-Term Leases'!CQ$17*$X11*$W11</f>
        <v>4743.0826989592706</v>
      </c>
      <c r="ANU11" s="17">
        <f>(IU11&gt;0)*'Long-Term Leases'!CR$17*$X11*$W11</f>
        <v>4743.0826989592706</v>
      </c>
      <c r="ANV11" s="17">
        <f>(IV11&gt;0)*'Long-Term Leases'!CS$17*$X11*$W11</f>
        <v>4743.0826989592706</v>
      </c>
      <c r="ANW11" s="17">
        <f>(IW11&gt;0)*'Long-Term Leases'!CT$17*$X11*$W11</f>
        <v>4743.0826989592706</v>
      </c>
      <c r="ANX11" s="17">
        <f>(IX11&gt;0)*'Long-Term Leases'!CU$17*$X11*$W11</f>
        <v>4743.0826989592706</v>
      </c>
      <c r="ANY11" s="17">
        <f>(IY11&gt;0)*'Long-Term Leases'!CV$17*$X11*$W11</f>
        <v>4743.0826989592706</v>
      </c>
      <c r="ANZ11" s="17">
        <f>(IZ11&gt;0)*'Long-Term Leases'!CW$17*$X11*$W11</f>
        <v>4743.0826989592706</v>
      </c>
      <c r="AOA11" s="17">
        <f>(JA11&gt;0)*'Long-Term Leases'!CX$17*$X11*$W11</f>
        <v>4743.0826989592706</v>
      </c>
      <c r="AOB11" s="17">
        <f>(JB11&gt;0)*'Long-Term Leases'!CY$17*$X11*$W11</f>
        <v>4743.0826989592706</v>
      </c>
      <c r="AOC11" s="17">
        <f>(JC11&gt;0)*'Long-Term Leases'!CZ$17*$X11*$W11</f>
        <v>4743.0826989592706</v>
      </c>
      <c r="AOD11" s="17">
        <f>(JD11&gt;0)*'Long-Term Leases'!DA$17*$X11*$W11</f>
        <v>4743.0826989592706</v>
      </c>
      <c r="AOE11" s="17">
        <f>(JE11&gt;0)*'Long-Term Leases'!DB$17*$X11*$W11</f>
        <v>4743.0826989592706</v>
      </c>
      <c r="AOF11" s="17">
        <f>(JF11&gt;0)*'Long-Term Leases'!DC$17*$X11*$W11</f>
        <v>4837.9443529384562</v>
      </c>
      <c r="AOG11" s="17">
        <f>(JG11&gt;0)*'Long-Term Leases'!DD$17*$X11*$W11</f>
        <v>4837.9443529384562</v>
      </c>
      <c r="AOH11" s="17">
        <f>(JH11&gt;0)*'Long-Term Leases'!DE$17*$X11*$W11</f>
        <v>4837.9443529384562</v>
      </c>
      <c r="AOI11" s="17">
        <f>(JI11&gt;0)*'Long-Term Leases'!DF$17*$X11*$W11</f>
        <v>4837.9443529384562</v>
      </c>
      <c r="AOJ11" s="17">
        <f>(JJ11&gt;0)*'Long-Term Leases'!DG$17*$X11*$W11</f>
        <v>4837.9443529384562</v>
      </c>
      <c r="AOK11" s="17">
        <f>(JK11&gt;0)*'Long-Term Leases'!DH$17*$X11*$W11</f>
        <v>4837.9443529384562</v>
      </c>
      <c r="AOL11" s="17">
        <f>(JL11&gt;0)*'Long-Term Leases'!DI$17*$X11*$W11</f>
        <v>4837.9443529384562</v>
      </c>
      <c r="AOM11" s="17">
        <f>(JM11&gt;0)*'Long-Term Leases'!DJ$17*$X11*$W11</f>
        <v>4837.9443529384562</v>
      </c>
      <c r="AON11" s="17">
        <f>(JN11&gt;0)*'Long-Term Leases'!DK$17*$X11*$W11</f>
        <v>4837.9443529384562</v>
      </c>
      <c r="AOO11" s="17">
        <f>(JO11&gt;0)*'Long-Term Leases'!DL$17*$X11*$W11</f>
        <v>4837.9443529384562</v>
      </c>
      <c r="AOP11" s="17">
        <f>(JP11&gt;0)*'Long-Term Leases'!DM$17*$X11*$W11</f>
        <v>4837.9443529384562</v>
      </c>
      <c r="AOQ11" s="17">
        <f>(JQ11&gt;0)*'Long-Term Leases'!DN$17*$X11*$W11</f>
        <v>4837.9443529384562</v>
      </c>
      <c r="AOR11" s="17">
        <f>(JR11&gt;0)*'Long-Term Leases'!DO$17*$X11*$W11</f>
        <v>4934.7032399972259</v>
      </c>
      <c r="AOS11" s="17">
        <f>(JS11&gt;0)*'Long-Term Leases'!DP$17*$X11*$W11</f>
        <v>4934.7032399972259</v>
      </c>
      <c r="AOT11" s="17">
        <f>(JT11&gt;0)*'Long-Term Leases'!DQ$17*$X11*$W11</f>
        <v>4934.7032399972259</v>
      </c>
      <c r="AOU11" s="17">
        <f>(JU11&gt;0)*'Long-Term Leases'!DR$17*$X11*$W11</f>
        <v>4934.7032399972259</v>
      </c>
      <c r="AOV11" s="17">
        <f>(JV11&gt;0)*'Long-Term Leases'!DS$17*$X11*$W11</f>
        <v>4934.7032399972259</v>
      </c>
      <c r="AOW11" s="17">
        <f>(JW11&gt;0)*'Long-Term Leases'!DT$17*$X11*$W11</f>
        <v>4934.7032399972259</v>
      </c>
      <c r="AOX11" s="17">
        <f>(JX11&gt;0)*'Long-Term Leases'!DU$17*$X11*$W11</f>
        <v>4934.7032399972259</v>
      </c>
      <c r="AOY11" s="17">
        <f>(JY11&gt;0)*'Long-Term Leases'!DV$17*$X11*$W11</f>
        <v>4934.7032399972259</v>
      </c>
      <c r="AOZ11" s="17">
        <f>(JZ11&gt;0)*'Long-Term Leases'!DW$17*$X11*$W11</f>
        <v>4934.7032399972259</v>
      </c>
      <c r="APA11" s="17">
        <f>(KA11&gt;0)*'Long-Term Leases'!DX$17*$X11*$W11</f>
        <v>4934.7032399972259</v>
      </c>
      <c r="APB11" s="17">
        <f>(KB11&gt;0)*'Long-Term Leases'!DY$17*$X11*$W11</f>
        <v>4934.7032399972259</v>
      </c>
      <c r="APC11" s="17">
        <f>(KC11&gt;0)*'Long-Term Leases'!DZ$17*$X11*$W11</f>
        <v>4934.7032399972259</v>
      </c>
      <c r="APD11" s="17">
        <f>(KD11&gt;0)*'Long-Term Leases'!EA$17*$X11*$W11</f>
        <v>5033.3973047971704</v>
      </c>
      <c r="APE11" s="17">
        <f>(KE11&gt;0)*'Long-Term Leases'!EB$17*$X11*$W11</f>
        <v>5033.3973047971704</v>
      </c>
      <c r="APF11" s="17">
        <f>(KF11&gt;0)*'Long-Term Leases'!EC$17*$X11*$W11</f>
        <v>5033.3973047971704</v>
      </c>
      <c r="APG11" s="17">
        <f>(KG11&gt;0)*'Long-Term Leases'!ED$17*$X11*$W11</f>
        <v>5033.3973047971704</v>
      </c>
      <c r="APH11" s="17">
        <f>(KH11&gt;0)*'Long-Term Leases'!EE$17*$X11*$W11</f>
        <v>5033.3973047971704</v>
      </c>
      <c r="API11" s="17">
        <f>(KI11&gt;0)*'Long-Term Leases'!EF$17*$X11*$W11</f>
        <v>5033.3973047971704</v>
      </c>
      <c r="APJ11" s="17">
        <f>(KJ11&gt;0)*'Long-Term Leases'!EG$17*$X11*$W11</f>
        <v>5033.3973047971704</v>
      </c>
      <c r="APK11" s="17">
        <f>(KK11&gt;0)*'Long-Term Leases'!EH$17*$X11*$W11</f>
        <v>5033.3973047971704</v>
      </c>
      <c r="APL11" s="17">
        <f>(KL11&gt;0)*'Long-Term Leases'!EI$17*$X11*$W11</f>
        <v>5033.3973047971704</v>
      </c>
      <c r="APM11" s="17">
        <f>(KM11&gt;0)*'Long-Term Leases'!EJ$17*$X11*$W11</f>
        <v>5033.3973047971704</v>
      </c>
      <c r="APN11" s="17">
        <f>(KN11&gt;0)*'Long-Term Leases'!EK$17*$X11*$W11</f>
        <v>5033.3973047971704</v>
      </c>
      <c r="APO11" s="17">
        <f>(KO11&gt;0)*'Long-Term Leases'!EL$17*$X11*$W11</f>
        <v>5033.3973047971704</v>
      </c>
      <c r="APP11" s="17"/>
      <c r="APQ11" s="17"/>
      <c r="APR11" s="17">
        <f t="shared" si="1307"/>
        <v>0</v>
      </c>
      <c r="APS11" s="17">
        <f t="shared" si="1278"/>
        <v>0</v>
      </c>
      <c r="APT11" s="17">
        <f t="shared" si="1278"/>
        <v>0</v>
      </c>
      <c r="APU11" s="17">
        <f t="shared" si="1278"/>
        <v>0</v>
      </c>
      <c r="APV11" s="17">
        <f t="shared" si="1278"/>
        <v>0</v>
      </c>
      <c r="APW11" s="17">
        <f t="shared" si="1278"/>
        <v>0</v>
      </c>
      <c r="APX11" s="17">
        <f t="shared" si="1278"/>
        <v>0</v>
      </c>
      <c r="APY11" s="17">
        <f t="shared" si="1278"/>
        <v>0</v>
      </c>
      <c r="APZ11" s="17">
        <f t="shared" si="1278"/>
        <v>0</v>
      </c>
      <c r="AQA11" s="17">
        <f t="shared" si="1278"/>
        <v>0</v>
      </c>
      <c r="AQB11" s="17">
        <f t="shared" si="1278"/>
        <v>0</v>
      </c>
      <c r="AQC11" s="17">
        <f t="shared" si="1278"/>
        <v>0</v>
      </c>
      <c r="AQD11" s="17">
        <f t="shared" si="1278"/>
        <v>0</v>
      </c>
      <c r="AQE11" s="17">
        <f t="shared" si="1278"/>
        <v>0</v>
      </c>
      <c r="AQF11" s="17">
        <f t="shared" si="1278"/>
        <v>0</v>
      </c>
      <c r="AQG11" s="17">
        <f t="shared" si="1278"/>
        <v>0</v>
      </c>
      <c r="AQH11" s="17">
        <f t="shared" si="1278"/>
        <v>0</v>
      </c>
      <c r="AQI11" s="17">
        <f t="shared" si="1279"/>
        <v>0</v>
      </c>
      <c r="AQJ11" s="17">
        <f t="shared" si="1279"/>
        <v>197801.47200000001</v>
      </c>
      <c r="AQK11" s="17">
        <f t="shared" si="1279"/>
        <v>0</v>
      </c>
      <c r="AQL11" s="17">
        <f t="shared" si="1279"/>
        <v>0</v>
      </c>
      <c r="AQM11" s="17">
        <f t="shared" si="1279"/>
        <v>0</v>
      </c>
      <c r="AQN11" s="17">
        <f t="shared" si="1279"/>
        <v>0</v>
      </c>
      <c r="AQO11" s="17">
        <f t="shared" si="1279"/>
        <v>0</v>
      </c>
      <c r="AQP11" s="17">
        <f t="shared" si="1279"/>
        <v>0</v>
      </c>
      <c r="AQQ11" s="17">
        <f t="shared" si="1279"/>
        <v>0</v>
      </c>
      <c r="AQR11" s="17">
        <f t="shared" si="1279"/>
        <v>0</v>
      </c>
      <c r="AQS11" s="17">
        <f t="shared" si="1279"/>
        <v>0</v>
      </c>
      <c r="AQT11" s="17">
        <f t="shared" si="1279"/>
        <v>0</v>
      </c>
      <c r="AQU11" s="17">
        <f t="shared" si="1279"/>
        <v>0</v>
      </c>
      <c r="AQV11" s="17">
        <f t="shared" si="1279"/>
        <v>0</v>
      </c>
      <c r="AQW11" s="17">
        <f t="shared" si="1279"/>
        <v>0</v>
      </c>
      <c r="AQX11" s="17">
        <f t="shared" si="1279"/>
        <v>0</v>
      </c>
      <c r="AQY11" s="17">
        <f t="shared" si="1280"/>
        <v>0</v>
      </c>
      <c r="AQZ11" s="17">
        <f t="shared" si="1280"/>
        <v>0</v>
      </c>
      <c r="ARA11" s="17">
        <f t="shared" si="1280"/>
        <v>0</v>
      </c>
      <c r="ARB11" s="17">
        <f t="shared" si="1280"/>
        <v>0</v>
      </c>
      <c r="ARC11" s="17">
        <f t="shared" si="1280"/>
        <v>0</v>
      </c>
      <c r="ARD11" s="17">
        <f t="shared" si="1280"/>
        <v>0</v>
      </c>
      <c r="ARE11" s="17">
        <f t="shared" si="1280"/>
        <v>0</v>
      </c>
      <c r="ARF11" s="17">
        <f t="shared" si="1280"/>
        <v>0</v>
      </c>
      <c r="ARG11" s="17">
        <f t="shared" si="1280"/>
        <v>0</v>
      </c>
      <c r="ARH11" s="17">
        <f t="shared" si="1280"/>
        <v>0</v>
      </c>
      <c r="ARI11" s="17">
        <f t="shared" si="1280"/>
        <v>0</v>
      </c>
      <c r="ARJ11" s="17">
        <f t="shared" si="1280"/>
        <v>0</v>
      </c>
      <c r="ARK11" s="17">
        <f t="shared" si="1280"/>
        <v>0</v>
      </c>
      <c r="ARL11" s="17">
        <f t="shared" si="1280"/>
        <v>0</v>
      </c>
      <c r="ARM11" s="17">
        <f t="shared" si="1280"/>
        <v>0</v>
      </c>
      <c r="ARN11" s="17">
        <f t="shared" si="1280"/>
        <v>0</v>
      </c>
      <c r="ARO11" s="17">
        <f t="shared" si="1281"/>
        <v>0</v>
      </c>
      <c r="ARP11" s="17">
        <f t="shared" si="1281"/>
        <v>0</v>
      </c>
      <c r="ARQ11" s="17">
        <f t="shared" si="1281"/>
        <v>0</v>
      </c>
      <c r="ARR11" s="17">
        <f t="shared" si="1281"/>
        <v>0</v>
      </c>
      <c r="ARS11" s="17">
        <f t="shared" si="1281"/>
        <v>0</v>
      </c>
      <c r="ART11" s="17">
        <f t="shared" si="1281"/>
        <v>0</v>
      </c>
      <c r="ARU11" s="17">
        <f t="shared" si="1281"/>
        <v>0</v>
      </c>
      <c r="ARV11" s="17">
        <f t="shared" si="1281"/>
        <v>0</v>
      </c>
      <c r="ARW11" s="17">
        <f t="shared" si="1281"/>
        <v>0</v>
      </c>
      <c r="ARX11" s="17">
        <f t="shared" si="1281"/>
        <v>0</v>
      </c>
      <c r="ARY11" s="17">
        <f t="shared" si="1281"/>
        <v>0</v>
      </c>
      <c r="ARZ11" s="17">
        <f t="shared" si="1281"/>
        <v>0</v>
      </c>
      <c r="ASA11" s="17">
        <f t="shared" si="1281"/>
        <v>0</v>
      </c>
      <c r="ASB11" s="17">
        <f t="shared" si="1281"/>
        <v>0</v>
      </c>
      <c r="ASC11" s="17">
        <f t="shared" si="1281"/>
        <v>0</v>
      </c>
      <c r="ASD11" s="17">
        <f t="shared" si="1281"/>
        <v>0</v>
      </c>
      <c r="ASE11" s="17">
        <f t="shared" si="1282"/>
        <v>0</v>
      </c>
      <c r="ASF11" s="17">
        <f t="shared" si="1282"/>
        <v>0</v>
      </c>
      <c r="ASG11" s="17">
        <f t="shared" si="1282"/>
        <v>0</v>
      </c>
      <c r="ASH11" s="17">
        <f t="shared" si="1282"/>
        <v>0</v>
      </c>
      <c r="ASI11" s="17">
        <f t="shared" si="1282"/>
        <v>0</v>
      </c>
      <c r="ASJ11" s="17">
        <f t="shared" si="1282"/>
        <v>0</v>
      </c>
      <c r="ASK11" s="17">
        <f t="shared" si="1282"/>
        <v>0</v>
      </c>
      <c r="ASL11" s="17">
        <f t="shared" si="1282"/>
        <v>0</v>
      </c>
      <c r="ASM11" s="17">
        <f t="shared" si="1282"/>
        <v>0</v>
      </c>
      <c r="ASN11" s="17">
        <f t="shared" si="1282"/>
        <v>0</v>
      </c>
      <c r="ASO11" s="17">
        <f t="shared" si="1282"/>
        <v>0</v>
      </c>
      <c r="ASP11" s="17">
        <f t="shared" si="1282"/>
        <v>0</v>
      </c>
      <c r="ASQ11" s="17">
        <f t="shared" si="1282"/>
        <v>0</v>
      </c>
      <c r="ASR11" s="17">
        <f t="shared" si="1282"/>
        <v>0</v>
      </c>
      <c r="ASS11" s="17">
        <f t="shared" si="1282"/>
        <v>0</v>
      </c>
      <c r="AST11" s="17">
        <f t="shared" si="1282"/>
        <v>0</v>
      </c>
      <c r="ASU11" s="17">
        <f t="shared" si="1283"/>
        <v>0</v>
      </c>
      <c r="ASV11" s="17">
        <f t="shared" si="1283"/>
        <v>0</v>
      </c>
      <c r="ASW11" s="17">
        <f t="shared" si="1283"/>
        <v>0</v>
      </c>
      <c r="ASX11" s="17">
        <f t="shared" si="1283"/>
        <v>0</v>
      </c>
      <c r="ASY11" s="17">
        <f t="shared" si="1283"/>
        <v>0</v>
      </c>
      <c r="ASZ11" s="17">
        <f t="shared" si="1283"/>
        <v>0</v>
      </c>
      <c r="ATA11" s="17">
        <f t="shared" si="1283"/>
        <v>0</v>
      </c>
      <c r="ATB11" s="17">
        <f t="shared" si="1283"/>
        <v>0</v>
      </c>
      <c r="ATC11" s="17">
        <f t="shared" si="1283"/>
        <v>0</v>
      </c>
      <c r="ATD11" s="17">
        <f t="shared" si="1283"/>
        <v>0</v>
      </c>
      <c r="ATE11" s="17">
        <f t="shared" si="1283"/>
        <v>0</v>
      </c>
      <c r="ATF11" s="17">
        <f t="shared" si="1283"/>
        <v>0</v>
      </c>
      <c r="ATG11" s="17">
        <f t="shared" si="1283"/>
        <v>0</v>
      </c>
      <c r="ATH11" s="17">
        <f t="shared" si="1283"/>
        <v>0</v>
      </c>
      <c r="ATI11" s="17">
        <f t="shared" si="1283"/>
        <v>0</v>
      </c>
      <c r="ATJ11" s="17">
        <f t="shared" si="1283"/>
        <v>0</v>
      </c>
      <c r="ATK11" s="17">
        <f t="shared" si="1284"/>
        <v>0</v>
      </c>
      <c r="ATL11" s="17">
        <f t="shared" si="1284"/>
        <v>0</v>
      </c>
      <c r="ATM11" s="17">
        <f t="shared" si="1284"/>
        <v>0</v>
      </c>
      <c r="ATN11" s="17">
        <f t="shared" si="1284"/>
        <v>0</v>
      </c>
      <c r="ATO11" s="17">
        <f t="shared" si="1284"/>
        <v>0</v>
      </c>
      <c r="ATP11" s="17">
        <f t="shared" si="1284"/>
        <v>0</v>
      </c>
      <c r="ATQ11" s="17">
        <f t="shared" si="1284"/>
        <v>0</v>
      </c>
      <c r="ATR11" s="17">
        <f t="shared" si="1284"/>
        <v>0</v>
      </c>
      <c r="ATS11" s="17">
        <f t="shared" si="1284"/>
        <v>0</v>
      </c>
      <c r="ATT11" s="17">
        <f t="shared" si="1284"/>
        <v>0</v>
      </c>
      <c r="ATU11" s="17">
        <f t="shared" si="1284"/>
        <v>0</v>
      </c>
      <c r="ATV11" s="17">
        <f t="shared" si="1284"/>
        <v>0</v>
      </c>
      <c r="ATW11" s="17">
        <f t="shared" si="1284"/>
        <v>0</v>
      </c>
      <c r="ATX11" s="17">
        <f t="shared" si="1284"/>
        <v>0</v>
      </c>
      <c r="ATY11" s="17">
        <f t="shared" si="1284"/>
        <v>0</v>
      </c>
      <c r="ATZ11" s="17">
        <f t="shared" si="1284"/>
        <v>0</v>
      </c>
      <c r="AUA11" s="17">
        <f t="shared" si="1285"/>
        <v>0</v>
      </c>
      <c r="AUB11" s="17">
        <f t="shared" si="1285"/>
        <v>0</v>
      </c>
      <c r="AUC11" s="17">
        <f t="shared" si="1285"/>
        <v>0</v>
      </c>
      <c r="AUD11" s="17">
        <f t="shared" si="1285"/>
        <v>0</v>
      </c>
      <c r="AUE11" s="17">
        <f t="shared" si="1285"/>
        <v>0</v>
      </c>
      <c r="AUF11" s="17">
        <f t="shared" si="1285"/>
        <v>0</v>
      </c>
      <c r="AUG11" s="17">
        <f t="shared" si="1285"/>
        <v>0</v>
      </c>
      <c r="AUH11" s="17">
        <f t="shared" si="1285"/>
        <v>0</v>
      </c>
      <c r="AUI11" s="17">
        <f t="shared" si="1285"/>
        <v>0</v>
      </c>
      <c r="AUJ11" s="17">
        <f t="shared" si="1285"/>
        <v>0</v>
      </c>
      <c r="AUK11" s="17">
        <f t="shared" si="1285"/>
        <v>0</v>
      </c>
      <c r="AUL11" s="17">
        <f t="shared" si="1285"/>
        <v>0</v>
      </c>
      <c r="AUM11" s="17">
        <f t="shared" si="1285"/>
        <v>0</v>
      </c>
      <c r="AUN11" s="17">
        <f t="shared" si="1285"/>
        <v>0</v>
      </c>
      <c r="AUO11" s="17">
        <f t="shared" si="1285"/>
        <v>0</v>
      </c>
      <c r="AUP11" s="17">
        <f t="shared" si="1285"/>
        <v>0</v>
      </c>
      <c r="AUQ11" s="17">
        <f t="shared" si="1286"/>
        <v>0</v>
      </c>
      <c r="AUR11" s="17">
        <f t="shared" si="1286"/>
        <v>0</v>
      </c>
      <c r="AUS11" s="17">
        <f t="shared" si="1286"/>
        <v>0</v>
      </c>
      <c r="AUT11" s="17"/>
      <c r="AUU11" s="17"/>
    </row>
    <row r="12" spans="1:1243" x14ac:dyDescent="0.3">
      <c r="A12" s="44"/>
      <c r="B12" s="43">
        <v>600</v>
      </c>
      <c r="C12" s="44" t="s">
        <v>85</v>
      </c>
      <c r="D12" s="47">
        <v>15864</v>
      </c>
      <c r="E12" s="54">
        <v>1</v>
      </c>
      <c r="F12" s="54">
        <v>44</v>
      </c>
      <c r="G12" s="45">
        <v>10.34</v>
      </c>
      <c r="H12" s="48">
        <f t="shared" si="1287"/>
        <v>164033.76</v>
      </c>
      <c r="I12" s="53">
        <f t="shared" si="1288"/>
        <v>0.02</v>
      </c>
      <c r="J12" s="54">
        <v>9</v>
      </c>
      <c r="K12" s="56">
        <v>1</v>
      </c>
      <c r="L12" s="16">
        <f t="shared" si="1289"/>
        <v>0.11598610857247305</v>
      </c>
      <c r="M12" s="57">
        <v>14.5</v>
      </c>
      <c r="N12" s="26">
        <v>0.02</v>
      </c>
      <c r="O12" s="26">
        <v>0.8</v>
      </c>
      <c r="P12" s="58">
        <v>12</v>
      </c>
      <c r="Q12" s="58">
        <v>120</v>
      </c>
      <c r="R12" s="55">
        <f t="shared" si="1290"/>
        <v>48</v>
      </c>
      <c r="S12" s="55">
        <f t="shared" si="1291"/>
        <v>167</v>
      </c>
      <c r="T12" s="4">
        <f t="shared" si="1292"/>
        <v>15.387516</v>
      </c>
      <c r="U12" s="53">
        <f t="shared" si="1293"/>
        <v>0.02</v>
      </c>
      <c r="V12" s="55">
        <f t="shared" si="1294"/>
        <v>12</v>
      </c>
      <c r="W12" s="56">
        <f t="shared" si="1295"/>
        <v>1</v>
      </c>
      <c r="X12" s="16">
        <f t="shared" si="1296"/>
        <v>0.11598610857247305</v>
      </c>
      <c r="Y12" s="58">
        <v>9</v>
      </c>
      <c r="Z12" s="58">
        <v>3</v>
      </c>
      <c r="AA12" s="4">
        <f t="shared" si="1297"/>
        <v>6.4114649999999997</v>
      </c>
      <c r="AB12" s="45">
        <v>25</v>
      </c>
      <c r="AC12" s="45">
        <v>10</v>
      </c>
      <c r="AD12" s="26">
        <v>0.06</v>
      </c>
      <c r="AE12" s="26">
        <v>0.03</v>
      </c>
      <c r="AF12" s="4">
        <f t="shared" si="1298"/>
        <v>13</v>
      </c>
      <c r="AG12" s="4">
        <f t="shared" si="1299"/>
        <v>5.5395057599999999</v>
      </c>
      <c r="AH12" s="4">
        <f t="shared" si="1300"/>
        <v>18.539505760000001</v>
      </c>
      <c r="AJ12" s="17">
        <f t="shared" si="1301"/>
        <v>15864</v>
      </c>
      <c r="AK12" s="17">
        <f t="shared" si="1120"/>
        <v>15864</v>
      </c>
      <c r="AL12" s="17">
        <f t="shared" si="1120"/>
        <v>15864</v>
      </c>
      <c r="AM12" s="17">
        <f t="shared" si="1120"/>
        <v>15864</v>
      </c>
      <c r="AN12" s="17">
        <f t="shared" si="1120"/>
        <v>15864</v>
      </c>
      <c r="AO12" s="17">
        <f t="shared" si="1120"/>
        <v>15864</v>
      </c>
      <c r="AP12" s="17">
        <f t="shared" si="1120"/>
        <v>15864</v>
      </c>
      <c r="AQ12" s="17">
        <f t="shared" si="1120"/>
        <v>15864</v>
      </c>
      <c r="AR12" s="17">
        <f t="shared" si="1120"/>
        <v>15864</v>
      </c>
      <c r="AS12" s="17">
        <f t="shared" si="1120"/>
        <v>15864</v>
      </c>
      <c r="AT12" s="17">
        <f t="shared" si="1120"/>
        <v>15864</v>
      </c>
      <c r="AU12" s="17">
        <f t="shared" si="1120"/>
        <v>15864</v>
      </c>
      <c r="AV12" s="17">
        <f t="shared" si="1120"/>
        <v>15864</v>
      </c>
      <c r="AW12" s="17">
        <f t="shared" si="1120"/>
        <v>15864</v>
      </c>
      <c r="AX12" s="17">
        <f t="shared" si="1120"/>
        <v>15864</v>
      </c>
      <c r="AY12" s="17">
        <f t="shared" si="1120"/>
        <v>15864</v>
      </c>
      <c r="AZ12" s="17">
        <f t="shared" si="1120"/>
        <v>15864</v>
      </c>
      <c r="BA12" s="17">
        <f t="shared" si="1121"/>
        <v>15864</v>
      </c>
      <c r="BB12" s="17">
        <f t="shared" si="1121"/>
        <v>15864</v>
      </c>
      <c r="BC12" s="17">
        <f t="shared" si="1121"/>
        <v>15864</v>
      </c>
      <c r="BD12" s="17">
        <f t="shared" si="1121"/>
        <v>15864</v>
      </c>
      <c r="BE12" s="17">
        <f t="shared" si="1121"/>
        <v>15864</v>
      </c>
      <c r="BF12" s="17">
        <f t="shared" si="1121"/>
        <v>15864</v>
      </c>
      <c r="BG12" s="17">
        <f t="shared" si="1121"/>
        <v>15864</v>
      </c>
      <c r="BH12" s="17">
        <f t="shared" si="1121"/>
        <v>15864</v>
      </c>
      <c r="BI12" s="17">
        <f t="shared" si="1121"/>
        <v>15864</v>
      </c>
      <c r="BJ12" s="17">
        <f t="shared" si="1121"/>
        <v>15864</v>
      </c>
      <c r="BK12" s="17">
        <f t="shared" si="1121"/>
        <v>15864</v>
      </c>
      <c r="BL12" s="17">
        <f t="shared" si="1121"/>
        <v>15864</v>
      </c>
      <c r="BM12" s="17">
        <f t="shared" si="1121"/>
        <v>15864</v>
      </c>
      <c r="BN12" s="17">
        <f t="shared" si="1121"/>
        <v>15864</v>
      </c>
      <c r="BO12" s="17">
        <f t="shared" si="1121"/>
        <v>15864</v>
      </c>
      <c r="BP12" s="17">
        <f t="shared" si="1121"/>
        <v>15864</v>
      </c>
      <c r="BQ12" s="17">
        <f t="shared" si="1122"/>
        <v>15864</v>
      </c>
      <c r="BR12" s="17">
        <f t="shared" si="1122"/>
        <v>15864</v>
      </c>
      <c r="BS12" s="17">
        <f t="shared" si="1122"/>
        <v>15864</v>
      </c>
      <c r="BT12" s="17">
        <f t="shared" si="1122"/>
        <v>15864</v>
      </c>
      <c r="BU12" s="17">
        <f t="shared" si="1122"/>
        <v>15864</v>
      </c>
      <c r="BV12" s="17">
        <f t="shared" si="1122"/>
        <v>15864</v>
      </c>
      <c r="BW12" s="17">
        <f t="shared" si="1122"/>
        <v>15864</v>
      </c>
      <c r="BX12" s="17">
        <f t="shared" si="1122"/>
        <v>15864</v>
      </c>
      <c r="BY12" s="17">
        <f t="shared" si="1122"/>
        <v>15864</v>
      </c>
      <c r="BZ12" s="17">
        <f t="shared" si="1122"/>
        <v>15864</v>
      </c>
      <c r="CA12" s="17">
        <f t="shared" si="1122"/>
        <v>15864</v>
      </c>
      <c r="CB12" s="17">
        <f t="shared" si="1122"/>
        <v>0</v>
      </c>
      <c r="CC12" s="17">
        <f t="shared" si="1122"/>
        <v>0</v>
      </c>
      <c r="CD12" s="17">
        <f t="shared" si="1122"/>
        <v>0</v>
      </c>
      <c r="CE12" s="17">
        <f t="shared" si="1122"/>
        <v>0</v>
      </c>
      <c r="CF12" s="17">
        <f t="shared" si="1122"/>
        <v>0</v>
      </c>
      <c r="CG12" s="17">
        <f t="shared" si="1123"/>
        <v>0</v>
      </c>
      <c r="CH12" s="17">
        <f t="shared" si="1123"/>
        <v>0</v>
      </c>
      <c r="CI12" s="17">
        <f t="shared" si="1123"/>
        <v>0</v>
      </c>
      <c r="CJ12" s="17">
        <f t="shared" si="1123"/>
        <v>0</v>
      </c>
      <c r="CK12" s="17">
        <f t="shared" si="1123"/>
        <v>0</v>
      </c>
      <c r="CL12" s="17">
        <f t="shared" si="1123"/>
        <v>0</v>
      </c>
      <c r="CM12" s="17">
        <f t="shared" si="1123"/>
        <v>0</v>
      </c>
      <c r="CN12" s="17">
        <f t="shared" si="1123"/>
        <v>0</v>
      </c>
      <c r="CO12" s="17">
        <f t="shared" si="1123"/>
        <v>0</v>
      </c>
      <c r="CP12" s="17">
        <f t="shared" si="1123"/>
        <v>0</v>
      </c>
      <c r="CQ12" s="17">
        <f t="shared" si="1123"/>
        <v>0</v>
      </c>
      <c r="CR12" s="17">
        <f t="shared" si="1123"/>
        <v>0</v>
      </c>
      <c r="CS12" s="17">
        <f t="shared" si="1123"/>
        <v>0</v>
      </c>
      <c r="CT12" s="17">
        <f t="shared" si="1123"/>
        <v>0</v>
      </c>
      <c r="CU12" s="17">
        <f t="shared" si="1123"/>
        <v>0</v>
      </c>
      <c r="CV12" s="17">
        <f t="shared" si="1123"/>
        <v>0</v>
      </c>
      <c r="CW12" s="17">
        <f t="shared" si="1124"/>
        <v>0</v>
      </c>
      <c r="CX12" s="17">
        <f t="shared" si="1124"/>
        <v>0</v>
      </c>
      <c r="CY12" s="17">
        <f t="shared" si="1124"/>
        <v>0</v>
      </c>
      <c r="CZ12" s="17">
        <f t="shared" si="1124"/>
        <v>0</v>
      </c>
      <c r="DA12" s="17">
        <f t="shared" si="1124"/>
        <v>0</v>
      </c>
      <c r="DB12" s="17">
        <f t="shared" si="1124"/>
        <v>0</v>
      </c>
      <c r="DC12" s="17">
        <f t="shared" si="1124"/>
        <v>0</v>
      </c>
      <c r="DD12" s="17">
        <f t="shared" si="1124"/>
        <v>0</v>
      </c>
      <c r="DE12" s="17">
        <f t="shared" si="1124"/>
        <v>0</v>
      </c>
      <c r="DF12" s="17">
        <f t="shared" si="1124"/>
        <v>0</v>
      </c>
      <c r="DG12" s="17">
        <f t="shared" si="1124"/>
        <v>0</v>
      </c>
      <c r="DH12" s="17">
        <f t="shared" si="1124"/>
        <v>0</v>
      </c>
      <c r="DI12" s="17">
        <f t="shared" si="1124"/>
        <v>0</v>
      </c>
      <c r="DJ12" s="17">
        <f t="shared" si="1124"/>
        <v>0</v>
      </c>
      <c r="DK12" s="17">
        <f t="shared" si="1124"/>
        <v>0</v>
      </c>
      <c r="DL12" s="17">
        <f t="shared" si="1124"/>
        <v>0</v>
      </c>
      <c r="DM12" s="17">
        <f t="shared" si="1125"/>
        <v>0</v>
      </c>
      <c r="DN12" s="17">
        <f t="shared" si="1125"/>
        <v>0</v>
      </c>
      <c r="DO12" s="17">
        <f t="shared" si="1125"/>
        <v>0</v>
      </c>
      <c r="DP12" s="17">
        <f t="shared" si="1125"/>
        <v>0</v>
      </c>
      <c r="DQ12" s="17">
        <f t="shared" si="1125"/>
        <v>0</v>
      </c>
      <c r="DR12" s="17">
        <f t="shared" si="1125"/>
        <v>0</v>
      </c>
      <c r="DS12" s="17">
        <f t="shared" si="1125"/>
        <v>0</v>
      </c>
      <c r="DT12" s="17">
        <f t="shared" si="1125"/>
        <v>0</v>
      </c>
      <c r="DU12" s="17">
        <f t="shared" si="1125"/>
        <v>0</v>
      </c>
      <c r="DV12" s="17">
        <f t="shared" si="1125"/>
        <v>0</v>
      </c>
      <c r="DW12" s="17">
        <f t="shared" si="1125"/>
        <v>0</v>
      </c>
      <c r="DX12" s="17">
        <f t="shared" si="1125"/>
        <v>0</v>
      </c>
      <c r="DY12" s="17">
        <f t="shared" si="1125"/>
        <v>0</v>
      </c>
      <c r="DZ12" s="17">
        <f t="shared" si="1125"/>
        <v>0</v>
      </c>
      <c r="EA12" s="17">
        <f t="shared" si="1125"/>
        <v>0</v>
      </c>
      <c r="EB12" s="17">
        <f t="shared" si="1125"/>
        <v>0</v>
      </c>
      <c r="EC12" s="17">
        <f t="shared" si="1126"/>
        <v>0</v>
      </c>
      <c r="ED12" s="17">
        <f t="shared" si="1126"/>
        <v>0</v>
      </c>
      <c r="EE12" s="17">
        <f t="shared" si="1126"/>
        <v>0</v>
      </c>
      <c r="EF12" s="17">
        <f t="shared" si="1126"/>
        <v>0</v>
      </c>
      <c r="EG12" s="17">
        <f t="shared" si="1126"/>
        <v>0</v>
      </c>
      <c r="EH12" s="17">
        <f t="shared" si="1126"/>
        <v>0</v>
      </c>
      <c r="EI12" s="17">
        <f t="shared" si="1126"/>
        <v>0</v>
      </c>
      <c r="EJ12" s="17">
        <f t="shared" si="1126"/>
        <v>0</v>
      </c>
      <c r="EK12" s="17">
        <f t="shared" si="1126"/>
        <v>0</v>
      </c>
      <c r="EL12" s="17">
        <f t="shared" si="1126"/>
        <v>0</v>
      </c>
      <c r="EM12" s="17">
        <f t="shared" si="1126"/>
        <v>0</v>
      </c>
      <c r="EN12" s="17">
        <f t="shared" si="1126"/>
        <v>0</v>
      </c>
      <c r="EO12" s="17">
        <f t="shared" si="1126"/>
        <v>0</v>
      </c>
      <c r="EP12" s="17">
        <f t="shared" si="1126"/>
        <v>0</v>
      </c>
      <c r="EQ12" s="17">
        <f t="shared" si="1126"/>
        <v>0</v>
      </c>
      <c r="ER12" s="17">
        <f t="shared" si="1126"/>
        <v>0</v>
      </c>
      <c r="ES12" s="17">
        <f t="shared" si="1127"/>
        <v>0</v>
      </c>
      <c r="ET12" s="17">
        <f t="shared" si="1127"/>
        <v>0</v>
      </c>
      <c r="EU12" s="17">
        <f t="shared" si="1127"/>
        <v>0</v>
      </c>
      <c r="EV12" s="17">
        <f t="shared" si="1127"/>
        <v>0</v>
      </c>
      <c r="EW12" s="17">
        <f t="shared" si="1127"/>
        <v>0</v>
      </c>
      <c r="EX12" s="17">
        <f t="shared" si="1127"/>
        <v>0</v>
      </c>
      <c r="EY12" s="17">
        <f t="shared" si="1127"/>
        <v>0</v>
      </c>
      <c r="EZ12" s="17">
        <f t="shared" si="1127"/>
        <v>0</v>
      </c>
      <c r="FA12" s="17">
        <f t="shared" si="1127"/>
        <v>0</v>
      </c>
      <c r="FB12" s="17">
        <f t="shared" si="1127"/>
        <v>0</v>
      </c>
      <c r="FC12" s="17">
        <f t="shared" si="1127"/>
        <v>0</v>
      </c>
      <c r="FD12" s="17">
        <f t="shared" si="1127"/>
        <v>0</v>
      </c>
      <c r="FE12" s="17">
        <f t="shared" si="1127"/>
        <v>0</v>
      </c>
      <c r="FF12" s="17">
        <f t="shared" si="1127"/>
        <v>0</v>
      </c>
      <c r="FG12" s="17">
        <f t="shared" si="1127"/>
        <v>0</v>
      </c>
      <c r="FH12" s="17">
        <f t="shared" si="1127"/>
        <v>0</v>
      </c>
      <c r="FI12" s="17">
        <f t="shared" si="1128"/>
        <v>0</v>
      </c>
      <c r="FJ12" s="17">
        <f t="shared" si="1128"/>
        <v>0</v>
      </c>
      <c r="FK12" s="17">
        <f t="shared" si="1128"/>
        <v>0</v>
      </c>
      <c r="FL12" s="17"/>
      <c r="FM12" s="17"/>
      <c r="FN12" s="17">
        <f t="shared" si="1302"/>
        <v>0</v>
      </c>
      <c r="FO12" s="17">
        <f t="shared" si="1129"/>
        <v>0</v>
      </c>
      <c r="FP12" s="17">
        <f t="shared" si="1129"/>
        <v>0</v>
      </c>
      <c r="FQ12" s="17">
        <f t="shared" si="1129"/>
        <v>0</v>
      </c>
      <c r="FR12" s="17">
        <f t="shared" si="1129"/>
        <v>0</v>
      </c>
      <c r="FS12" s="17">
        <f t="shared" si="1129"/>
        <v>0</v>
      </c>
      <c r="FT12" s="17">
        <f t="shared" si="1129"/>
        <v>0</v>
      </c>
      <c r="FU12" s="17">
        <f t="shared" si="1129"/>
        <v>0</v>
      </c>
      <c r="FV12" s="17">
        <f t="shared" si="1129"/>
        <v>0</v>
      </c>
      <c r="FW12" s="17">
        <f t="shared" si="1129"/>
        <v>0</v>
      </c>
      <c r="FX12" s="17">
        <f t="shared" si="1129"/>
        <v>0</v>
      </c>
      <c r="FY12" s="17">
        <f t="shared" si="1129"/>
        <v>0</v>
      </c>
      <c r="FZ12" s="17">
        <f t="shared" si="1129"/>
        <v>0</v>
      </c>
      <c r="GA12" s="17">
        <f t="shared" si="1129"/>
        <v>0</v>
      </c>
      <c r="GB12" s="17">
        <f t="shared" si="1129"/>
        <v>0</v>
      </c>
      <c r="GC12" s="17">
        <f t="shared" si="1129"/>
        <v>0</v>
      </c>
      <c r="GD12" s="17">
        <f t="shared" si="1129"/>
        <v>0</v>
      </c>
      <c r="GE12" s="17">
        <f t="shared" si="1130"/>
        <v>0</v>
      </c>
      <c r="GF12" s="17">
        <f t="shared" si="1130"/>
        <v>0</v>
      </c>
      <c r="GG12" s="17">
        <f t="shared" si="1130"/>
        <v>0</v>
      </c>
      <c r="GH12" s="17">
        <f t="shared" si="1130"/>
        <v>0</v>
      </c>
      <c r="GI12" s="17">
        <f t="shared" si="1130"/>
        <v>0</v>
      </c>
      <c r="GJ12" s="17">
        <f t="shared" si="1130"/>
        <v>0</v>
      </c>
      <c r="GK12" s="17">
        <f t="shared" si="1130"/>
        <v>0</v>
      </c>
      <c r="GL12" s="17">
        <f t="shared" si="1130"/>
        <v>0</v>
      </c>
      <c r="GM12" s="17">
        <f t="shared" si="1130"/>
        <v>0</v>
      </c>
      <c r="GN12" s="17">
        <f t="shared" si="1130"/>
        <v>0</v>
      </c>
      <c r="GO12" s="17">
        <f t="shared" si="1130"/>
        <v>0</v>
      </c>
      <c r="GP12" s="17">
        <f t="shared" si="1130"/>
        <v>0</v>
      </c>
      <c r="GQ12" s="17">
        <f t="shared" si="1130"/>
        <v>0</v>
      </c>
      <c r="GR12" s="17">
        <f t="shared" si="1130"/>
        <v>0</v>
      </c>
      <c r="GS12" s="17">
        <f t="shared" si="1130"/>
        <v>0</v>
      </c>
      <c r="GT12" s="17">
        <f t="shared" si="1130"/>
        <v>0</v>
      </c>
      <c r="GU12" s="17">
        <f t="shared" si="1131"/>
        <v>0</v>
      </c>
      <c r="GV12" s="17">
        <f t="shared" si="1131"/>
        <v>0</v>
      </c>
      <c r="GW12" s="17">
        <f t="shared" si="1131"/>
        <v>0</v>
      </c>
      <c r="GX12" s="17">
        <f t="shared" si="1131"/>
        <v>0</v>
      </c>
      <c r="GY12" s="17">
        <f t="shared" si="1131"/>
        <v>0</v>
      </c>
      <c r="GZ12" s="17">
        <f t="shared" si="1131"/>
        <v>0</v>
      </c>
      <c r="HA12" s="17">
        <f t="shared" si="1131"/>
        <v>0</v>
      </c>
      <c r="HB12" s="17">
        <f t="shared" si="1131"/>
        <v>0</v>
      </c>
      <c r="HC12" s="17">
        <f t="shared" si="1131"/>
        <v>0</v>
      </c>
      <c r="HD12" s="17">
        <f t="shared" si="1131"/>
        <v>0</v>
      </c>
      <c r="HE12" s="17">
        <f t="shared" si="1131"/>
        <v>0</v>
      </c>
      <c r="HF12" s="17">
        <f t="shared" si="1131"/>
        <v>0</v>
      </c>
      <c r="HG12" s="17">
        <f t="shared" si="1131"/>
        <v>0</v>
      </c>
      <c r="HH12" s="17">
        <f t="shared" si="1131"/>
        <v>0</v>
      </c>
      <c r="HI12" s="17">
        <f t="shared" si="1131"/>
        <v>15864</v>
      </c>
      <c r="HJ12" s="17">
        <f t="shared" si="1131"/>
        <v>15864</v>
      </c>
      <c r="HK12" s="17">
        <f t="shared" si="1132"/>
        <v>15864</v>
      </c>
      <c r="HL12" s="17">
        <f t="shared" si="1132"/>
        <v>15864</v>
      </c>
      <c r="HM12" s="17">
        <f t="shared" si="1132"/>
        <v>15864</v>
      </c>
      <c r="HN12" s="17">
        <f t="shared" si="1132"/>
        <v>15864</v>
      </c>
      <c r="HO12" s="17">
        <f t="shared" si="1132"/>
        <v>15864</v>
      </c>
      <c r="HP12" s="17">
        <f t="shared" si="1132"/>
        <v>15864</v>
      </c>
      <c r="HQ12" s="17">
        <f t="shared" si="1132"/>
        <v>15864</v>
      </c>
      <c r="HR12" s="17">
        <f t="shared" si="1132"/>
        <v>15864</v>
      </c>
      <c r="HS12" s="17">
        <f t="shared" si="1132"/>
        <v>15864</v>
      </c>
      <c r="HT12" s="17">
        <f t="shared" si="1132"/>
        <v>15864</v>
      </c>
      <c r="HU12" s="17">
        <f t="shared" si="1132"/>
        <v>15864</v>
      </c>
      <c r="HV12" s="17">
        <f t="shared" si="1132"/>
        <v>15864</v>
      </c>
      <c r="HW12" s="17">
        <f t="shared" si="1132"/>
        <v>15864</v>
      </c>
      <c r="HX12" s="17">
        <f t="shared" si="1132"/>
        <v>15864</v>
      </c>
      <c r="HY12" s="17">
        <f t="shared" si="1132"/>
        <v>15864</v>
      </c>
      <c r="HZ12" s="17">
        <f t="shared" si="1132"/>
        <v>15864</v>
      </c>
      <c r="IA12" s="17">
        <f t="shared" si="1133"/>
        <v>15864</v>
      </c>
      <c r="IB12" s="17">
        <f t="shared" si="1133"/>
        <v>15864</v>
      </c>
      <c r="IC12" s="17">
        <f t="shared" si="1133"/>
        <v>15864</v>
      </c>
      <c r="ID12" s="17">
        <f t="shared" si="1133"/>
        <v>15864</v>
      </c>
      <c r="IE12" s="17">
        <f t="shared" si="1133"/>
        <v>15864</v>
      </c>
      <c r="IF12" s="17">
        <f t="shared" si="1133"/>
        <v>15864</v>
      </c>
      <c r="IG12" s="17">
        <f t="shared" si="1133"/>
        <v>15864</v>
      </c>
      <c r="IH12" s="17">
        <f t="shared" si="1133"/>
        <v>15864</v>
      </c>
      <c r="II12" s="17">
        <f t="shared" si="1133"/>
        <v>15864</v>
      </c>
      <c r="IJ12" s="17">
        <f t="shared" si="1133"/>
        <v>15864</v>
      </c>
      <c r="IK12" s="17">
        <f t="shared" si="1133"/>
        <v>15864</v>
      </c>
      <c r="IL12" s="17">
        <f t="shared" si="1133"/>
        <v>15864</v>
      </c>
      <c r="IM12" s="17">
        <f t="shared" si="1133"/>
        <v>15864</v>
      </c>
      <c r="IN12" s="17">
        <f t="shared" si="1133"/>
        <v>15864</v>
      </c>
      <c r="IO12" s="17">
        <f t="shared" si="1133"/>
        <v>15864</v>
      </c>
      <c r="IP12" s="17">
        <f t="shared" si="1133"/>
        <v>15864</v>
      </c>
      <c r="IQ12" s="17">
        <f t="shared" si="1134"/>
        <v>15864</v>
      </c>
      <c r="IR12" s="17">
        <f t="shared" si="1134"/>
        <v>15864</v>
      </c>
      <c r="IS12" s="17">
        <f t="shared" si="1134"/>
        <v>15864</v>
      </c>
      <c r="IT12" s="17">
        <f t="shared" si="1134"/>
        <v>15864</v>
      </c>
      <c r="IU12" s="17">
        <f t="shared" si="1134"/>
        <v>15864</v>
      </c>
      <c r="IV12" s="17">
        <f t="shared" si="1134"/>
        <v>15864</v>
      </c>
      <c r="IW12" s="17">
        <f t="shared" si="1134"/>
        <v>15864</v>
      </c>
      <c r="IX12" s="17">
        <f t="shared" si="1134"/>
        <v>15864</v>
      </c>
      <c r="IY12" s="17">
        <f t="shared" si="1134"/>
        <v>15864</v>
      </c>
      <c r="IZ12" s="17">
        <f t="shared" si="1134"/>
        <v>15864</v>
      </c>
      <c r="JA12" s="17">
        <f t="shared" si="1134"/>
        <v>15864</v>
      </c>
      <c r="JB12" s="17">
        <f t="shared" si="1134"/>
        <v>15864</v>
      </c>
      <c r="JC12" s="17">
        <f t="shared" si="1134"/>
        <v>15864</v>
      </c>
      <c r="JD12" s="17">
        <f t="shared" si="1134"/>
        <v>15864</v>
      </c>
      <c r="JE12" s="17">
        <f t="shared" si="1134"/>
        <v>15864</v>
      </c>
      <c r="JF12" s="17">
        <f t="shared" si="1134"/>
        <v>15864</v>
      </c>
      <c r="JG12" s="17">
        <f t="shared" si="1135"/>
        <v>15864</v>
      </c>
      <c r="JH12" s="17">
        <f t="shared" si="1135"/>
        <v>15864</v>
      </c>
      <c r="JI12" s="17">
        <f t="shared" si="1135"/>
        <v>15864</v>
      </c>
      <c r="JJ12" s="17">
        <f t="shared" si="1135"/>
        <v>15864</v>
      </c>
      <c r="JK12" s="17">
        <f t="shared" si="1135"/>
        <v>15864</v>
      </c>
      <c r="JL12" s="17">
        <f t="shared" si="1135"/>
        <v>15864</v>
      </c>
      <c r="JM12" s="17">
        <f t="shared" si="1135"/>
        <v>15864</v>
      </c>
      <c r="JN12" s="17">
        <f t="shared" si="1135"/>
        <v>15864</v>
      </c>
      <c r="JO12" s="17">
        <f t="shared" si="1135"/>
        <v>15864</v>
      </c>
      <c r="JP12" s="17">
        <f t="shared" si="1135"/>
        <v>15864</v>
      </c>
      <c r="JQ12" s="17">
        <f t="shared" si="1135"/>
        <v>15864</v>
      </c>
      <c r="JR12" s="17">
        <f t="shared" si="1135"/>
        <v>15864</v>
      </c>
      <c r="JS12" s="17">
        <f t="shared" si="1135"/>
        <v>15864</v>
      </c>
      <c r="JT12" s="17">
        <f t="shared" si="1135"/>
        <v>15864</v>
      </c>
      <c r="JU12" s="17">
        <f t="shared" si="1135"/>
        <v>15864</v>
      </c>
      <c r="JV12" s="17">
        <f t="shared" si="1135"/>
        <v>15864</v>
      </c>
      <c r="JW12" s="17">
        <f t="shared" si="1136"/>
        <v>15864</v>
      </c>
      <c r="JX12" s="17">
        <f t="shared" si="1136"/>
        <v>15864</v>
      </c>
      <c r="JY12" s="17">
        <f t="shared" si="1136"/>
        <v>15864</v>
      </c>
      <c r="JZ12" s="17">
        <f t="shared" si="1136"/>
        <v>15864</v>
      </c>
      <c r="KA12" s="17">
        <f t="shared" si="1136"/>
        <v>15864</v>
      </c>
      <c r="KB12" s="17">
        <f t="shared" si="1136"/>
        <v>15864</v>
      </c>
      <c r="KC12" s="17">
        <f t="shared" si="1136"/>
        <v>15864</v>
      </c>
      <c r="KD12" s="17">
        <f t="shared" si="1136"/>
        <v>15864</v>
      </c>
      <c r="KE12" s="17">
        <f t="shared" si="1136"/>
        <v>15864</v>
      </c>
      <c r="KF12" s="17">
        <f t="shared" si="1136"/>
        <v>15864</v>
      </c>
      <c r="KG12" s="17">
        <f t="shared" si="1136"/>
        <v>15864</v>
      </c>
      <c r="KH12" s="17">
        <f t="shared" si="1136"/>
        <v>15864</v>
      </c>
      <c r="KI12" s="17">
        <f t="shared" si="1136"/>
        <v>15864</v>
      </c>
      <c r="KJ12" s="17">
        <f t="shared" si="1136"/>
        <v>15864</v>
      </c>
      <c r="KK12" s="17">
        <f t="shared" si="1136"/>
        <v>15864</v>
      </c>
      <c r="KL12" s="17">
        <f t="shared" si="1136"/>
        <v>15864</v>
      </c>
      <c r="KM12" s="17">
        <f t="shared" si="1137"/>
        <v>15864</v>
      </c>
      <c r="KN12" s="17">
        <f t="shared" si="1137"/>
        <v>15864</v>
      </c>
      <c r="KO12" s="17">
        <f t="shared" si="1137"/>
        <v>15864</v>
      </c>
      <c r="KP12" s="17"/>
      <c r="KQ12" s="17"/>
      <c r="KR12" s="46">
        <f t="shared" si="1303"/>
        <v>0.86166666666666669</v>
      </c>
      <c r="KS12" s="30">
        <f>(AJ12&gt;0)*(MAX($KR12:KR12)+(MONTH(KS$3)=$J12)*MAX($KR12:KR12)*$I12)</f>
        <v>0.86166666666666669</v>
      </c>
      <c r="KT12" s="30">
        <f>(AK12&gt;0)*(MAX($KR12:KS12)+(MONTH(KT$3)=$J12)*MAX($KR12:KS12)*$I12)</f>
        <v>0.86166666666666669</v>
      </c>
      <c r="KU12" s="30">
        <f>(AL12&gt;0)*(MAX($KR12:KT12)+(MONTH(KU$3)=$J12)*MAX($KR12:KT12)*$I12)</f>
        <v>0.86166666666666669</v>
      </c>
      <c r="KV12" s="30">
        <f>(AM12&gt;0)*(MAX($KR12:KU12)+(MONTH(KV$3)=$J12)*MAX($KR12:KU12)*$I12)</f>
        <v>0.86166666666666669</v>
      </c>
      <c r="KW12" s="30">
        <f>(AN12&gt;0)*(MAX($KR12:KV12)+(MONTH(KW$3)=$J12)*MAX($KR12:KV12)*$I12)</f>
        <v>0.86166666666666669</v>
      </c>
      <c r="KX12" s="30">
        <f>(AO12&gt;0)*(MAX($KR12:KW12)+(MONTH(KX$3)=$J12)*MAX($KR12:KW12)*$I12)</f>
        <v>0.86166666666666669</v>
      </c>
      <c r="KY12" s="30">
        <f>(AP12&gt;0)*(MAX($KR12:KX12)+(MONTH(KY$3)=$J12)*MAX($KR12:KX12)*$I12)</f>
        <v>0.86166666666666669</v>
      </c>
      <c r="KZ12" s="30">
        <f>(AQ12&gt;0)*(MAX($KR12:KY12)+(MONTH(KZ$3)=$J12)*MAX($KR12:KY12)*$I12)</f>
        <v>0.86166666666666669</v>
      </c>
      <c r="LA12" s="30">
        <f>(AR12&gt;0)*(MAX($KR12:KZ12)+(MONTH(LA$3)=$J12)*MAX($KR12:KZ12)*$I12)</f>
        <v>0.87890000000000001</v>
      </c>
      <c r="LB12" s="30">
        <f>(AS12&gt;0)*(MAX($KR12:LA12)+(MONTH(LB$3)=$J12)*MAX($KR12:LA12)*$I12)</f>
        <v>0.87890000000000001</v>
      </c>
      <c r="LC12" s="30">
        <f>(AT12&gt;0)*(MAX($KR12:LB12)+(MONTH(LC$3)=$J12)*MAX($KR12:LB12)*$I12)</f>
        <v>0.87890000000000001</v>
      </c>
      <c r="LD12" s="30">
        <f>(AU12&gt;0)*(MAX($KR12:LC12)+(MONTH(LD$3)=$J12)*MAX($KR12:LC12)*$I12)</f>
        <v>0.87890000000000001</v>
      </c>
      <c r="LE12" s="30">
        <f>(AV12&gt;0)*(MAX($KR12:LD12)+(MONTH(LE$3)=$J12)*MAX($KR12:LD12)*$I12)</f>
        <v>0.87890000000000001</v>
      </c>
      <c r="LF12" s="30">
        <f>(AW12&gt;0)*(MAX($KR12:LE12)+(MONTH(LF$3)=$J12)*MAX($KR12:LE12)*$I12)</f>
        <v>0.87890000000000001</v>
      </c>
      <c r="LG12" s="30">
        <f>(AX12&gt;0)*(MAX($KR12:LF12)+(MONTH(LG$3)=$J12)*MAX($KR12:LF12)*$I12)</f>
        <v>0.87890000000000001</v>
      </c>
      <c r="LH12" s="30">
        <f>(AY12&gt;0)*(MAX($KR12:LG12)+(MONTH(LH$3)=$J12)*MAX($KR12:LG12)*$I12)</f>
        <v>0.87890000000000001</v>
      </c>
      <c r="LI12" s="30">
        <f>(AZ12&gt;0)*(MAX($KR12:LH12)+(MONTH(LI$3)=$J12)*MAX($KR12:LH12)*$I12)</f>
        <v>0.87890000000000001</v>
      </c>
      <c r="LJ12" s="30">
        <f>(BA12&gt;0)*(MAX($KR12:LI12)+(MONTH(LJ$3)=$J12)*MAX($KR12:LI12)*$I12)</f>
        <v>0.87890000000000001</v>
      </c>
      <c r="LK12" s="30">
        <f>(BB12&gt;0)*(MAX($KR12:LJ12)+(MONTH(LK$3)=$J12)*MAX($KR12:LJ12)*$I12)</f>
        <v>0.87890000000000001</v>
      </c>
      <c r="LL12" s="30">
        <f>(BC12&gt;0)*(MAX($KR12:LK12)+(MONTH(LL$3)=$J12)*MAX($KR12:LK12)*$I12)</f>
        <v>0.87890000000000001</v>
      </c>
      <c r="LM12" s="30">
        <f>(BD12&gt;0)*(MAX($KR12:LL12)+(MONTH(LM$3)=$J12)*MAX($KR12:LL12)*$I12)</f>
        <v>0.896478</v>
      </c>
      <c r="LN12" s="30">
        <f>(BE12&gt;0)*(MAX($KR12:LM12)+(MONTH(LN$3)=$J12)*MAX($KR12:LM12)*$I12)</f>
        <v>0.896478</v>
      </c>
      <c r="LO12" s="30">
        <f>(BF12&gt;0)*(MAX($KR12:LN12)+(MONTH(LO$3)=$J12)*MAX($KR12:LN12)*$I12)</f>
        <v>0.896478</v>
      </c>
      <c r="LP12" s="30">
        <f>(BG12&gt;0)*(MAX($KR12:LO12)+(MONTH(LP$3)=$J12)*MAX($KR12:LO12)*$I12)</f>
        <v>0.896478</v>
      </c>
      <c r="LQ12" s="30">
        <f>(BH12&gt;0)*(MAX($KR12:LP12)+(MONTH(LQ$3)=$J12)*MAX($KR12:LP12)*$I12)</f>
        <v>0.896478</v>
      </c>
      <c r="LR12" s="30">
        <f>(BI12&gt;0)*(MAX($KR12:LQ12)+(MONTH(LR$3)=$J12)*MAX($KR12:LQ12)*$I12)</f>
        <v>0.896478</v>
      </c>
      <c r="LS12" s="30">
        <f>(BJ12&gt;0)*(MAX($KR12:LR12)+(MONTH(LS$3)=$J12)*MAX($KR12:LR12)*$I12)</f>
        <v>0.896478</v>
      </c>
      <c r="LT12" s="30">
        <f>(BK12&gt;0)*(MAX($KR12:LS12)+(MONTH(LT$3)=$J12)*MAX($KR12:LS12)*$I12)</f>
        <v>0.896478</v>
      </c>
      <c r="LU12" s="30">
        <f>(BL12&gt;0)*(MAX($KR12:LT12)+(MONTH(LU$3)=$J12)*MAX($KR12:LT12)*$I12)</f>
        <v>0.896478</v>
      </c>
      <c r="LV12" s="30">
        <f>(BM12&gt;0)*(MAX($KR12:LU12)+(MONTH(LV$3)=$J12)*MAX($KR12:LU12)*$I12)</f>
        <v>0.896478</v>
      </c>
      <c r="LW12" s="30">
        <f>(BN12&gt;0)*(MAX($KR12:LV12)+(MONTH(LW$3)=$J12)*MAX($KR12:LV12)*$I12)</f>
        <v>0.896478</v>
      </c>
      <c r="LX12" s="30">
        <f>(BO12&gt;0)*(MAX($KR12:LW12)+(MONTH(LX$3)=$J12)*MAX($KR12:LW12)*$I12)</f>
        <v>0.896478</v>
      </c>
      <c r="LY12" s="30">
        <f>(BP12&gt;0)*(MAX($KR12:LX12)+(MONTH(LY$3)=$J12)*MAX($KR12:LX12)*$I12)</f>
        <v>0.91440756000000001</v>
      </c>
      <c r="LZ12" s="30">
        <f>(BQ12&gt;0)*(MAX($KR12:LY12)+(MONTH(LZ$3)=$J12)*MAX($KR12:LY12)*$I12)</f>
        <v>0.91440756000000001</v>
      </c>
      <c r="MA12" s="30">
        <f>(BR12&gt;0)*(MAX($KR12:LZ12)+(MONTH(MA$3)=$J12)*MAX($KR12:LZ12)*$I12)</f>
        <v>0.91440756000000001</v>
      </c>
      <c r="MB12" s="30">
        <f>(BS12&gt;0)*(MAX($KR12:MA12)+(MONTH(MB$3)=$J12)*MAX($KR12:MA12)*$I12)</f>
        <v>0.91440756000000001</v>
      </c>
      <c r="MC12" s="30">
        <f>(BT12&gt;0)*(MAX($KR12:MB12)+(MONTH(MC$3)=$J12)*MAX($KR12:MB12)*$I12)</f>
        <v>0.91440756000000001</v>
      </c>
      <c r="MD12" s="30">
        <f>(BU12&gt;0)*(MAX($KR12:MC12)+(MONTH(MD$3)=$J12)*MAX($KR12:MC12)*$I12)</f>
        <v>0.91440756000000001</v>
      </c>
      <c r="ME12" s="30">
        <f>(BV12&gt;0)*(MAX($KR12:MD12)+(MONTH(ME$3)=$J12)*MAX($KR12:MD12)*$I12)</f>
        <v>0.91440756000000001</v>
      </c>
      <c r="MF12" s="30">
        <f>(BW12&gt;0)*(MAX($KR12:ME12)+(MONTH(MF$3)=$J12)*MAX($KR12:ME12)*$I12)</f>
        <v>0.91440756000000001</v>
      </c>
      <c r="MG12" s="30">
        <f>(BX12&gt;0)*(MAX($KR12:MF12)+(MONTH(MG$3)=$J12)*MAX($KR12:MF12)*$I12)</f>
        <v>0.91440756000000001</v>
      </c>
      <c r="MH12" s="30">
        <f>(BY12&gt;0)*(MAX($KR12:MG12)+(MONTH(MH$3)=$J12)*MAX($KR12:MG12)*$I12)</f>
        <v>0.91440756000000001</v>
      </c>
      <c r="MI12" s="30">
        <f>(BZ12&gt;0)*(MAX($KR12:MH12)+(MONTH(MI$3)=$J12)*MAX($KR12:MH12)*$I12)</f>
        <v>0.91440756000000001</v>
      </c>
      <c r="MJ12" s="30">
        <f>(CA12&gt;0)*(MAX($KR12:MI12)+(MONTH(MJ$3)=$J12)*MAX($KR12:MI12)*$I12)</f>
        <v>0.91440756000000001</v>
      </c>
      <c r="MK12" s="30">
        <f>(CB12&gt;0)*(MAX($KR12:MJ12)+(MONTH(MK$3)=$J12)*MAX($KR12:MJ12)*$I12)</f>
        <v>0</v>
      </c>
      <c r="ML12" s="30">
        <f>(CC12&gt;0)*(MAX($KR12:MK12)+(MONTH(ML$3)=$J12)*MAX($KR12:MK12)*$I12)</f>
        <v>0</v>
      </c>
      <c r="MM12" s="30">
        <f>(CD12&gt;0)*(MAX($KR12:ML12)+(MONTH(MM$3)=$J12)*MAX($KR12:ML12)*$I12)</f>
        <v>0</v>
      </c>
      <c r="MN12" s="30">
        <f>(CE12&gt;0)*(MAX($KR12:MM12)+(MONTH(MN$3)=$J12)*MAX($KR12:MM12)*$I12)</f>
        <v>0</v>
      </c>
      <c r="MO12" s="30">
        <f>(CF12&gt;0)*(MAX($KR12:MN12)+(MONTH(MO$3)=$J12)*MAX($KR12:MN12)*$I12)</f>
        <v>0</v>
      </c>
      <c r="MP12" s="30">
        <f>(CG12&gt;0)*(MAX($KR12:MO12)+(MONTH(MP$3)=$J12)*MAX($KR12:MO12)*$I12)</f>
        <v>0</v>
      </c>
      <c r="MQ12" s="30">
        <f>(CH12&gt;0)*(MAX($KR12:MP12)+(MONTH(MQ$3)=$J12)*MAX($KR12:MP12)*$I12)</f>
        <v>0</v>
      </c>
      <c r="MR12" s="30">
        <f>(CI12&gt;0)*(MAX($KR12:MQ12)+(MONTH(MR$3)=$J12)*MAX($KR12:MQ12)*$I12)</f>
        <v>0</v>
      </c>
      <c r="MS12" s="30">
        <f>(CJ12&gt;0)*(MAX($KR12:MR12)+(MONTH(MS$3)=$J12)*MAX($KR12:MR12)*$I12)</f>
        <v>0</v>
      </c>
      <c r="MT12" s="30">
        <f>(CK12&gt;0)*(MAX($KR12:MS12)+(MONTH(MT$3)=$J12)*MAX($KR12:MS12)*$I12)</f>
        <v>0</v>
      </c>
      <c r="MU12" s="30">
        <f>(CL12&gt;0)*(MAX($KR12:MT12)+(MONTH(MU$3)=$J12)*MAX($KR12:MT12)*$I12)</f>
        <v>0</v>
      </c>
      <c r="MV12" s="30">
        <f>(CM12&gt;0)*(MAX($KR12:MU12)+(MONTH(MV$3)=$J12)*MAX($KR12:MU12)*$I12)</f>
        <v>0</v>
      </c>
      <c r="MW12" s="30">
        <f>(CN12&gt;0)*(MAX($KR12:MV12)+(MONTH(MW$3)=$J12)*MAX($KR12:MV12)*$I12)</f>
        <v>0</v>
      </c>
      <c r="MX12" s="30">
        <f>(CO12&gt;0)*(MAX($KR12:MW12)+(MONTH(MX$3)=$J12)*MAX($KR12:MW12)*$I12)</f>
        <v>0</v>
      </c>
      <c r="MY12" s="30">
        <f>(CP12&gt;0)*(MAX($KR12:MX12)+(MONTH(MY$3)=$J12)*MAX($KR12:MX12)*$I12)</f>
        <v>0</v>
      </c>
      <c r="MZ12" s="30">
        <f>(CQ12&gt;0)*(MAX($KR12:MY12)+(MONTH(MZ$3)=$J12)*MAX($KR12:MY12)*$I12)</f>
        <v>0</v>
      </c>
      <c r="NA12" s="30">
        <f>(CR12&gt;0)*(MAX($KR12:MZ12)+(MONTH(NA$3)=$J12)*MAX($KR12:MZ12)*$I12)</f>
        <v>0</v>
      </c>
      <c r="NB12" s="30">
        <f>(CS12&gt;0)*(MAX($KR12:NA12)+(MONTH(NB$3)=$J12)*MAX($KR12:NA12)*$I12)</f>
        <v>0</v>
      </c>
      <c r="NC12" s="30">
        <f>(CT12&gt;0)*(MAX($KR12:NB12)+(MONTH(NC$3)=$J12)*MAX($KR12:NB12)*$I12)</f>
        <v>0</v>
      </c>
      <c r="ND12" s="30">
        <f>(CU12&gt;0)*(MAX($KR12:NC12)+(MONTH(ND$3)=$J12)*MAX($KR12:NC12)*$I12)</f>
        <v>0</v>
      </c>
      <c r="NE12" s="30">
        <f>(CV12&gt;0)*(MAX($KR12:ND12)+(MONTH(NE$3)=$J12)*MAX($KR12:ND12)*$I12)</f>
        <v>0</v>
      </c>
      <c r="NF12" s="30">
        <f>(CW12&gt;0)*(MAX($KR12:NE12)+(MONTH(NF$3)=$J12)*MAX($KR12:NE12)*$I12)</f>
        <v>0</v>
      </c>
      <c r="NG12" s="30">
        <f>(CX12&gt;0)*(MAX($KR12:NF12)+(MONTH(NG$3)=$J12)*MAX($KR12:NF12)*$I12)</f>
        <v>0</v>
      </c>
      <c r="NH12" s="30">
        <f>(CY12&gt;0)*(MAX($KR12:NG12)+(MONTH(NH$3)=$J12)*MAX($KR12:NG12)*$I12)</f>
        <v>0</v>
      </c>
      <c r="NI12" s="30">
        <f>(CZ12&gt;0)*(MAX($KR12:NH12)+(MONTH(NI$3)=$J12)*MAX($KR12:NH12)*$I12)</f>
        <v>0</v>
      </c>
      <c r="NJ12" s="30">
        <f>(DA12&gt;0)*(MAX($KR12:NI12)+(MONTH(NJ$3)=$J12)*MAX($KR12:NI12)*$I12)</f>
        <v>0</v>
      </c>
      <c r="NK12" s="30">
        <f>(DB12&gt;0)*(MAX($KR12:NJ12)+(MONTH(NK$3)=$J12)*MAX($KR12:NJ12)*$I12)</f>
        <v>0</v>
      </c>
      <c r="NL12" s="30">
        <f>(DC12&gt;0)*(MAX($KR12:NK12)+(MONTH(NL$3)=$J12)*MAX($KR12:NK12)*$I12)</f>
        <v>0</v>
      </c>
      <c r="NM12" s="30">
        <f>(DD12&gt;0)*(MAX($KR12:NL12)+(MONTH(NM$3)=$J12)*MAX($KR12:NL12)*$I12)</f>
        <v>0</v>
      </c>
      <c r="NN12" s="30">
        <f>(DE12&gt;0)*(MAX($KR12:NM12)+(MONTH(NN$3)=$J12)*MAX($KR12:NM12)*$I12)</f>
        <v>0</v>
      </c>
      <c r="NO12" s="30">
        <f>(DF12&gt;0)*(MAX($KR12:NN12)+(MONTH(NO$3)=$J12)*MAX($KR12:NN12)*$I12)</f>
        <v>0</v>
      </c>
      <c r="NP12" s="30">
        <f>(DG12&gt;0)*(MAX($KR12:NO12)+(MONTH(NP$3)=$J12)*MAX($KR12:NO12)*$I12)</f>
        <v>0</v>
      </c>
      <c r="NQ12" s="30">
        <f>(DH12&gt;0)*(MAX($KR12:NP12)+(MONTH(NQ$3)=$J12)*MAX($KR12:NP12)*$I12)</f>
        <v>0</v>
      </c>
      <c r="NR12" s="30">
        <f>(DI12&gt;0)*(MAX($KR12:NQ12)+(MONTH(NR$3)=$J12)*MAX($KR12:NQ12)*$I12)</f>
        <v>0</v>
      </c>
      <c r="NS12" s="30">
        <f>(DJ12&gt;0)*(MAX($KR12:NR12)+(MONTH(NS$3)=$J12)*MAX($KR12:NR12)*$I12)</f>
        <v>0</v>
      </c>
      <c r="NT12" s="30">
        <f>(DK12&gt;0)*(MAX($KR12:NS12)+(MONTH(NT$3)=$J12)*MAX($KR12:NS12)*$I12)</f>
        <v>0</v>
      </c>
      <c r="NU12" s="30">
        <f>(DL12&gt;0)*(MAX($KR12:NT12)+(MONTH(NU$3)=$J12)*MAX($KR12:NT12)*$I12)</f>
        <v>0</v>
      </c>
      <c r="NV12" s="30">
        <f>(DM12&gt;0)*(MAX($KR12:NU12)+(MONTH(NV$3)=$J12)*MAX($KR12:NU12)*$I12)</f>
        <v>0</v>
      </c>
      <c r="NW12" s="30">
        <f>(DN12&gt;0)*(MAX($KR12:NV12)+(MONTH(NW$3)=$J12)*MAX($KR12:NV12)*$I12)</f>
        <v>0</v>
      </c>
      <c r="NX12" s="30">
        <f>(DO12&gt;0)*(MAX($KR12:NW12)+(MONTH(NX$3)=$J12)*MAX($KR12:NW12)*$I12)</f>
        <v>0</v>
      </c>
      <c r="NY12" s="30">
        <f>(DP12&gt;0)*(MAX($KR12:NX12)+(MONTH(NY$3)=$J12)*MAX($KR12:NX12)*$I12)</f>
        <v>0</v>
      </c>
      <c r="NZ12" s="30">
        <f>(DQ12&gt;0)*(MAX($KR12:NY12)+(MONTH(NZ$3)=$J12)*MAX($KR12:NY12)*$I12)</f>
        <v>0</v>
      </c>
      <c r="OA12" s="30">
        <f>(DR12&gt;0)*(MAX($KR12:NZ12)+(MONTH(OA$3)=$J12)*MAX($KR12:NZ12)*$I12)</f>
        <v>0</v>
      </c>
      <c r="OB12" s="30">
        <f>(DS12&gt;0)*(MAX($KR12:OA12)+(MONTH(OB$3)=$J12)*MAX($KR12:OA12)*$I12)</f>
        <v>0</v>
      </c>
      <c r="OC12" s="30">
        <f>(DT12&gt;0)*(MAX($KR12:OB12)+(MONTH(OC$3)=$J12)*MAX($KR12:OB12)*$I12)</f>
        <v>0</v>
      </c>
      <c r="OD12" s="30">
        <f>(DU12&gt;0)*(MAX($KR12:OC12)+(MONTH(OD$3)=$J12)*MAX($KR12:OC12)*$I12)</f>
        <v>0</v>
      </c>
      <c r="OE12" s="30">
        <f>(DV12&gt;0)*(MAX($KR12:OD12)+(MONTH(OE$3)=$J12)*MAX($KR12:OD12)*$I12)</f>
        <v>0</v>
      </c>
      <c r="OF12" s="30">
        <f>(DW12&gt;0)*(MAX($KR12:OE12)+(MONTH(OF$3)=$J12)*MAX($KR12:OE12)*$I12)</f>
        <v>0</v>
      </c>
      <c r="OG12" s="30">
        <f>(DX12&gt;0)*(MAX($KR12:OF12)+(MONTH(OG$3)=$J12)*MAX($KR12:OF12)*$I12)</f>
        <v>0</v>
      </c>
      <c r="OH12" s="30">
        <f>(DY12&gt;0)*(MAX($KR12:OG12)+(MONTH(OH$3)=$J12)*MAX($KR12:OG12)*$I12)</f>
        <v>0</v>
      </c>
      <c r="OI12" s="30">
        <f>(DZ12&gt;0)*(MAX($KR12:OH12)+(MONTH(OI$3)=$J12)*MAX($KR12:OH12)*$I12)</f>
        <v>0</v>
      </c>
      <c r="OJ12" s="30">
        <f>(EA12&gt;0)*(MAX($KR12:OI12)+(MONTH(OJ$3)=$J12)*MAX($KR12:OI12)*$I12)</f>
        <v>0</v>
      </c>
      <c r="OK12" s="30">
        <f>(EB12&gt;0)*(MAX($KR12:OJ12)+(MONTH(OK$3)=$J12)*MAX($KR12:OJ12)*$I12)</f>
        <v>0</v>
      </c>
      <c r="OL12" s="30">
        <f>(EC12&gt;0)*(MAX($KR12:OK12)+(MONTH(OL$3)=$J12)*MAX($KR12:OK12)*$I12)</f>
        <v>0</v>
      </c>
      <c r="OM12" s="30">
        <f>(ED12&gt;0)*(MAX($KR12:OL12)+(MONTH(OM$3)=$J12)*MAX($KR12:OL12)*$I12)</f>
        <v>0</v>
      </c>
      <c r="ON12" s="30">
        <f>(EE12&gt;0)*(MAX($KR12:OM12)+(MONTH(ON$3)=$J12)*MAX($KR12:OM12)*$I12)</f>
        <v>0</v>
      </c>
      <c r="OO12" s="30">
        <f>(EF12&gt;0)*(MAX($KR12:ON12)+(MONTH(OO$3)=$J12)*MAX($KR12:ON12)*$I12)</f>
        <v>0</v>
      </c>
      <c r="OP12" s="30">
        <f>(EG12&gt;0)*(MAX($KR12:OO12)+(MONTH(OP$3)=$J12)*MAX($KR12:OO12)*$I12)</f>
        <v>0</v>
      </c>
      <c r="OQ12" s="30">
        <f>(EH12&gt;0)*(MAX($KR12:OP12)+(MONTH(OQ$3)=$J12)*MAX($KR12:OP12)*$I12)</f>
        <v>0</v>
      </c>
      <c r="OR12" s="30">
        <f>(EI12&gt;0)*(MAX($KR12:OQ12)+(MONTH(OR$3)=$J12)*MAX($KR12:OQ12)*$I12)</f>
        <v>0</v>
      </c>
      <c r="OS12" s="30">
        <f>(EJ12&gt;0)*(MAX($KR12:OR12)+(MONTH(OS$3)=$J12)*MAX($KR12:OR12)*$I12)</f>
        <v>0</v>
      </c>
      <c r="OT12" s="30">
        <f>(EK12&gt;0)*(MAX($KR12:OS12)+(MONTH(OT$3)=$J12)*MAX($KR12:OS12)*$I12)</f>
        <v>0</v>
      </c>
      <c r="OU12" s="30">
        <f>(EL12&gt;0)*(MAX($KR12:OT12)+(MONTH(OU$3)=$J12)*MAX($KR12:OT12)*$I12)</f>
        <v>0</v>
      </c>
      <c r="OV12" s="30">
        <f>(EM12&gt;0)*(MAX($KR12:OU12)+(MONTH(OV$3)=$J12)*MAX($KR12:OU12)*$I12)</f>
        <v>0</v>
      </c>
      <c r="OW12" s="30">
        <f>(EN12&gt;0)*(MAX($KR12:OV12)+(MONTH(OW$3)=$J12)*MAX($KR12:OV12)*$I12)</f>
        <v>0</v>
      </c>
      <c r="OX12" s="30">
        <f>(EO12&gt;0)*(MAX($KR12:OW12)+(MONTH(OX$3)=$J12)*MAX($KR12:OW12)*$I12)</f>
        <v>0</v>
      </c>
      <c r="OY12" s="30">
        <f>(EP12&gt;0)*(MAX($KR12:OX12)+(MONTH(OY$3)=$J12)*MAX($KR12:OX12)*$I12)</f>
        <v>0</v>
      </c>
      <c r="OZ12" s="30">
        <f>(EQ12&gt;0)*(MAX($KR12:OY12)+(MONTH(OZ$3)=$J12)*MAX($KR12:OY12)*$I12)</f>
        <v>0</v>
      </c>
      <c r="PA12" s="30">
        <f>(ER12&gt;0)*(MAX($KR12:OZ12)+(MONTH(PA$3)=$J12)*MAX($KR12:OZ12)*$I12)</f>
        <v>0</v>
      </c>
      <c r="PB12" s="30">
        <f>(ES12&gt;0)*(MAX($KR12:PA12)+(MONTH(PB$3)=$J12)*MAX($KR12:PA12)*$I12)</f>
        <v>0</v>
      </c>
      <c r="PC12" s="30">
        <f>(ET12&gt;0)*(MAX($KR12:PB12)+(MONTH(PC$3)=$J12)*MAX($KR12:PB12)*$I12)</f>
        <v>0</v>
      </c>
      <c r="PD12" s="30">
        <f>(EU12&gt;0)*(MAX($KR12:PC12)+(MONTH(PD$3)=$J12)*MAX($KR12:PC12)*$I12)</f>
        <v>0</v>
      </c>
      <c r="PE12" s="30">
        <f>(EV12&gt;0)*(MAX($KR12:PD12)+(MONTH(PE$3)=$J12)*MAX($KR12:PD12)*$I12)</f>
        <v>0</v>
      </c>
      <c r="PF12" s="30">
        <f>(EW12&gt;0)*(MAX($KR12:PE12)+(MONTH(PF$3)=$J12)*MAX($KR12:PE12)*$I12)</f>
        <v>0</v>
      </c>
      <c r="PG12" s="30">
        <f>(EX12&gt;0)*(MAX($KR12:PF12)+(MONTH(PG$3)=$J12)*MAX($KR12:PF12)*$I12)</f>
        <v>0</v>
      </c>
      <c r="PH12" s="30">
        <f>(EY12&gt;0)*(MAX($KR12:PG12)+(MONTH(PH$3)=$J12)*MAX($KR12:PG12)*$I12)</f>
        <v>0</v>
      </c>
      <c r="PI12" s="30">
        <f>(EZ12&gt;0)*(MAX($KR12:PH12)+(MONTH(PI$3)=$J12)*MAX($KR12:PH12)*$I12)</f>
        <v>0</v>
      </c>
      <c r="PJ12" s="30">
        <f>(FA12&gt;0)*(MAX($KR12:PI12)+(MONTH(PJ$3)=$J12)*MAX($KR12:PI12)*$I12)</f>
        <v>0</v>
      </c>
      <c r="PK12" s="30">
        <f>(FB12&gt;0)*(MAX($KR12:PJ12)+(MONTH(PK$3)=$J12)*MAX($KR12:PJ12)*$I12)</f>
        <v>0</v>
      </c>
      <c r="PL12" s="30">
        <f>(FC12&gt;0)*(MAX($KR12:PK12)+(MONTH(PL$3)=$J12)*MAX($KR12:PK12)*$I12)</f>
        <v>0</v>
      </c>
      <c r="PM12" s="30">
        <f>(FD12&gt;0)*(MAX($KR12:PL12)+(MONTH(PM$3)=$J12)*MAX($KR12:PL12)*$I12)</f>
        <v>0</v>
      </c>
      <c r="PN12" s="30">
        <f>(FE12&gt;0)*(MAX($KR12:PM12)+(MONTH(PN$3)=$J12)*MAX($KR12:PM12)*$I12)</f>
        <v>0</v>
      </c>
      <c r="PO12" s="30">
        <f>(FF12&gt;0)*(MAX($KR12:PN12)+(MONTH(PO$3)=$J12)*MAX($KR12:PN12)*$I12)</f>
        <v>0</v>
      </c>
      <c r="PP12" s="30">
        <f>(FG12&gt;0)*(MAX($KR12:PO12)+(MONTH(PP$3)=$J12)*MAX($KR12:PO12)*$I12)</f>
        <v>0</v>
      </c>
      <c r="PQ12" s="30">
        <f>(FH12&gt;0)*(MAX($KR12:PP12)+(MONTH(PQ$3)=$J12)*MAX($KR12:PP12)*$I12)</f>
        <v>0</v>
      </c>
      <c r="PR12" s="30">
        <f>(FI12&gt;0)*(MAX($KR12:PQ12)+(MONTH(PR$3)=$J12)*MAX($KR12:PQ12)*$I12)</f>
        <v>0</v>
      </c>
      <c r="PS12" s="30">
        <f>(FJ12&gt;0)*(MAX($KR12:PR12)+(MONTH(PS$3)=$J12)*MAX($KR12:PR12)*$I12)</f>
        <v>0</v>
      </c>
      <c r="PT12" s="30">
        <f>(FK12&gt;0)*(MAX($KR12:PS12)+(MONTH(PT$3)=$J12)*MAX($KR12:PS12)*$I12)</f>
        <v>0</v>
      </c>
      <c r="PU12" s="30"/>
      <c r="PV12" s="30"/>
      <c r="PW12" s="46">
        <f t="shared" si="1304"/>
        <v>1.25715</v>
      </c>
      <c r="PX12" s="30">
        <f>(FN12&gt;0)*(MAX($PW12:PW12)+(MONTH(PX$3)=$V12)*MAX($PW12:PW12)*$U12)</f>
        <v>0</v>
      </c>
      <c r="PY12" s="30">
        <f>(FO12&gt;0)*(MAX($PW12:PX12)+(MONTH(PY$3)=$V12)*MAX($PW12:PX12)*$U12)</f>
        <v>0</v>
      </c>
      <c r="PZ12" s="30">
        <f>(FP12&gt;0)*(MAX($PW12:PY12)+(MONTH(PZ$3)=$V12)*MAX($PW12:PY12)*$U12)</f>
        <v>0</v>
      </c>
      <c r="QA12" s="30">
        <f>(FQ12&gt;0)*(MAX($PW12:PZ12)+(MONTH(QA$3)=$V12)*MAX($PW12:PZ12)*$U12)</f>
        <v>0</v>
      </c>
      <c r="QB12" s="30">
        <f>(FR12&gt;0)*(MAX($PW12:QA12)+(MONTH(QB$3)=$V12)*MAX($PW12:QA12)*$U12)</f>
        <v>0</v>
      </c>
      <c r="QC12" s="30">
        <f>(FS12&gt;0)*(MAX($PW12:QB12)+(MONTH(QC$3)=$V12)*MAX($PW12:QB12)*$U12)</f>
        <v>0</v>
      </c>
      <c r="QD12" s="30">
        <f>(FT12&gt;0)*(MAX($PW12:QC12)+(MONTH(QD$3)=$V12)*MAX($PW12:QC12)*$U12)</f>
        <v>0</v>
      </c>
      <c r="QE12" s="30">
        <f>(FU12&gt;0)*(MAX($PW12:QD12)+(MONTH(QE$3)=$V12)*MAX($PW12:QD12)*$U12)</f>
        <v>0</v>
      </c>
      <c r="QF12" s="30">
        <f>(FV12&gt;0)*(MAX($PW12:QE12)+(MONTH(QF$3)=$V12)*MAX($PW12:QE12)*$U12)</f>
        <v>0</v>
      </c>
      <c r="QG12" s="30">
        <f>(FW12&gt;0)*(MAX($PW12:QF12)+(MONTH(QG$3)=$V12)*MAX($PW12:QF12)*$U12)</f>
        <v>0</v>
      </c>
      <c r="QH12" s="30">
        <f>(FX12&gt;0)*(MAX($PW12:QG12)+(MONTH(QH$3)=$V12)*MAX($PW12:QG12)*$U12)</f>
        <v>0</v>
      </c>
      <c r="QI12" s="30">
        <f>(FY12&gt;0)*(MAX($PW12:QH12)+(MONTH(QI$3)=$V12)*MAX($PW12:QH12)*$U12)</f>
        <v>0</v>
      </c>
      <c r="QJ12" s="30">
        <f>(FZ12&gt;0)*(MAX($PW12:QI12)+(MONTH(QJ$3)=$V12)*MAX($PW12:QI12)*$U12)</f>
        <v>0</v>
      </c>
      <c r="QK12" s="30">
        <f>(GA12&gt;0)*(MAX($PW12:QJ12)+(MONTH(QK$3)=$V12)*MAX($PW12:QJ12)*$U12)</f>
        <v>0</v>
      </c>
      <c r="QL12" s="30">
        <f>(GB12&gt;0)*(MAX($PW12:QK12)+(MONTH(QL$3)=$V12)*MAX($PW12:QK12)*$U12)</f>
        <v>0</v>
      </c>
      <c r="QM12" s="30">
        <f>(GC12&gt;0)*(MAX($PW12:QL12)+(MONTH(QM$3)=$V12)*MAX($PW12:QL12)*$U12)</f>
        <v>0</v>
      </c>
      <c r="QN12" s="30">
        <f>(GD12&gt;0)*(MAX($PW12:QM12)+(MONTH(QN$3)=$V12)*MAX($PW12:QM12)*$U12)</f>
        <v>0</v>
      </c>
      <c r="QO12" s="30">
        <f>(GE12&gt;0)*(MAX($PW12:QN12)+(MONTH(QO$3)=$V12)*MAX($PW12:QN12)*$U12)</f>
        <v>0</v>
      </c>
      <c r="QP12" s="30">
        <f>(GF12&gt;0)*(MAX($PW12:QO12)+(MONTH(QP$3)=$V12)*MAX($PW12:QO12)*$U12)</f>
        <v>0</v>
      </c>
      <c r="QQ12" s="30">
        <f>(GG12&gt;0)*(MAX($PW12:QP12)+(MONTH(QQ$3)=$V12)*MAX($PW12:QP12)*$U12)</f>
        <v>0</v>
      </c>
      <c r="QR12" s="30">
        <f>(GH12&gt;0)*(MAX($PW12:QQ12)+(MONTH(QR$3)=$V12)*MAX($PW12:QQ12)*$U12)</f>
        <v>0</v>
      </c>
      <c r="QS12" s="30">
        <f>(GI12&gt;0)*(MAX($PW12:QR12)+(MONTH(QS$3)=$V12)*MAX($PW12:QR12)*$U12)</f>
        <v>0</v>
      </c>
      <c r="QT12" s="30">
        <f>(GJ12&gt;0)*(MAX($PW12:QS12)+(MONTH(QT$3)=$V12)*MAX($PW12:QS12)*$U12)</f>
        <v>0</v>
      </c>
      <c r="QU12" s="30">
        <f>(GK12&gt;0)*(MAX($PW12:QT12)+(MONTH(QU$3)=$V12)*MAX($PW12:QT12)*$U12)</f>
        <v>0</v>
      </c>
      <c r="QV12" s="30">
        <f>(GL12&gt;0)*(MAX($PW12:QU12)+(MONTH(QV$3)=$V12)*MAX($PW12:QU12)*$U12)</f>
        <v>0</v>
      </c>
      <c r="QW12" s="30">
        <f>(GM12&gt;0)*(MAX($PW12:QV12)+(MONTH(QW$3)=$V12)*MAX($PW12:QV12)*$U12)</f>
        <v>0</v>
      </c>
      <c r="QX12" s="30">
        <f>(GN12&gt;0)*(MAX($PW12:QW12)+(MONTH(QX$3)=$V12)*MAX($PW12:QW12)*$U12)</f>
        <v>0</v>
      </c>
      <c r="QY12" s="30">
        <f>(GO12&gt;0)*(MAX($PW12:QX12)+(MONTH(QY$3)=$V12)*MAX($PW12:QX12)*$U12)</f>
        <v>0</v>
      </c>
      <c r="QZ12" s="30">
        <f>(GP12&gt;0)*(MAX($PW12:QY12)+(MONTH(QZ$3)=$V12)*MAX($PW12:QY12)*$U12)</f>
        <v>0</v>
      </c>
      <c r="RA12" s="30">
        <f>(GQ12&gt;0)*(MAX($PW12:QZ12)+(MONTH(RA$3)=$V12)*MAX($PW12:QZ12)*$U12)</f>
        <v>0</v>
      </c>
      <c r="RB12" s="30">
        <f>(GR12&gt;0)*(MAX($PW12:RA12)+(MONTH(RB$3)=$V12)*MAX($PW12:RA12)*$U12)</f>
        <v>0</v>
      </c>
      <c r="RC12" s="30">
        <f>(GS12&gt;0)*(MAX($PW12:RB12)+(MONTH(RC$3)=$V12)*MAX($PW12:RB12)*$U12)</f>
        <v>0</v>
      </c>
      <c r="RD12" s="30">
        <f>(GT12&gt;0)*(MAX($PW12:RC12)+(MONTH(RD$3)=$V12)*MAX($PW12:RC12)*$U12)</f>
        <v>0</v>
      </c>
      <c r="RE12" s="30">
        <f>(GU12&gt;0)*(MAX($PW12:RD12)+(MONTH(RE$3)=$V12)*MAX($PW12:RD12)*$U12)</f>
        <v>0</v>
      </c>
      <c r="RF12" s="30">
        <f>(GV12&gt;0)*(MAX($PW12:RE12)+(MONTH(RF$3)=$V12)*MAX($PW12:RE12)*$U12)</f>
        <v>0</v>
      </c>
      <c r="RG12" s="30">
        <f>(GW12&gt;0)*(MAX($PW12:RF12)+(MONTH(RG$3)=$V12)*MAX($PW12:RF12)*$U12)</f>
        <v>0</v>
      </c>
      <c r="RH12" s="30">
        <f>(GX12&gt;0)*(MAX($PW12:RG12)+(MONTH(RH$3)=$V12)*MAX($PW12:RG12)*$U12)</f>
        <v>0</v>
      </c>
      <c r="RI12" s="30">
        <f>(GY12&gt;0)*(MAX($PW12:RH12)+(MONTH(RI$3)=$V12)*MAX($PW12:RH12)*$U12)</f>
        <v>0</v>
      </c>
      <c r="RJ12" s="30">
        <f>(GZ12&gt;0)*(MAX($PW12:RI12)+(MONTH(RJ$3)=$V12)*MAX($PW12:RI12)*$U12)</f>
        <v>0</v>
      </c>
      <c r="RK12" s="30">
        <f>(HA12&gt;0)*(MAX($PW12:RJ12)+(MONTH(RK$3)=$V12)*MAX($PW12:RJ12)*$U12)</f>
        <v>0</v>
      </c>
      <c r="RL12" s="30">
        <f>(HB12&gt;0)*(MAX($PW12:RK12)+(MONTH(RL$3)=$V12)*MAX($PW12:RK12)*$U12)</f>
        <v>0</v>
      </c>
      <c r="RM12" s="30">
        <f>(HC12&gt;0)*(MAX($PW12:RL12)+(MONTH(RM$3)=$V12)*MAX($PW12:RL12)*$U12)</f>
        <v>0</v>
      </c>
      <c r="RN12" s="30">
        <f>(HD12&gt;0)*(MAX($PW12:RM12)+(MONTH(RN$3)=$V12)*MAX($PW12:RM12)*$U12)</f>
        <v>0</v>
      </c>
      <c r="RO12" s="30">
        <f>(HE12&gt;0)*(MAX($PW12:RN12)+(MONTH(RO$3)=$V12)*MAX($PW12:RN12)*$U12)</f>
        <v>0</v>
      </c>
      <c r="RP12" s="30">
        <f>(HF12&gt;0)*(MAX($PW12:RO12)+(MONTH(RP$3)=$V12)*MAX($PW12:RO12)*$U12)</f>
        <v>0</v>
      </c>
      <c r="RQ12" s="30">
        <f>(HG12&gt;0)*(MAX($PW12:RP12)+(MONTH(RQ$3)=$V12)*MAX($PW12:RP12)*$U12)</f>
        <v>0</v>
      </c>
      <c r="RR12" s="30">
        <f>(HH12&gt;0)*(MAX($PW12:RQ12)+(MONTH(RR$3)=$V12)*MAX($PW12:RQ12)*$U12)</f>
        <v>0</v>
      </c>
      <c r="RS12" s="30">
        <f>(HI12&gt;0)*(MAX($PW12:RR12)+(MONTH(RS$3)=$V12)*MAX($PW12:RR12)*$U12)</f>
        <v>1.2822929999999999</v>
      </c>
      <c r="RT12" s="30">
        <f>(HJ12&gt;0)*(MAX($PW12:RS12)+(MONTH(RT$3)=$V12)*MAX($PW12:RS12)*$U12)</f>
        <v>1.2822929999999999</v>
      </c>
      <c r="RU12" s="30">
        <f>(HK12&gt;0)*(MAX($PW12:RT12)+(MONTH(RU$3)=$V12)*MAX($PW12:RT12)*$U12)</f>
        <v>1.2822929999999999</v>
      </c>
      <c r="RV12" s="30">
        <f>(HL12&gt;0)*(MAX($PW12:RU12)+(MONTH(RV$3)=$V12)*MAX($PW12:RU12)*$U12)</f>
        <v>1.2822929999999999</v>
      </c>
      <c r="RW12" s="30">
        <f>(HM12&gt;0)*(MAX($PW12:RV12)+(MONTH(RW$3)=$V12)*MAX($PW12:RV12)*$U12)</f>
        <v>1.2822929999999999</v>
      </c>
      <c r="RX12" s="30">
        <f>(HN12&gt;0)*(MAX($PW12:RW12)+(MONTH(RX$3)=$V12)*MAX($PW12:RW12)*$U12)</f>
        <v>1.2822929999999999</v>
      </c>
      <c r="RY12" s="30">
        <f>(HO12&gt;0)*(MAX($PW12:RX12)+(MONTH(RY$3)=$V12)*MAX($PW12:RX12)*$U12)</f>
        <v>1.2822929999999999</v>
      </c>
      <c r="RZ12" s="30">
        <f>(HP12&gt;0)*(MAX($PW12:RY12)+(MONTH(RZ$3)=$V12)*MAX($PW12:RY12)*$U12)</f>
        <v>1.2822929999999999</v>
      </c>
      <c r="SA12" s="30">
        <f>(HQ12&gt;0)*(MAX($PW12:RZ12)+(MONTH(SA$3)=$V12)*MAX($PW12:RZ12)*$U12)</f>
        <v>1.2822929999999999</v>
      </c>
      <c r="SB12" s="30">
        <f>(HR12&gt;0)*(MAX($PW12:SA12)+(MONTH(SB$3)=$V12)*MAX($PW12:SA12)*$U12)</f>
        <v>1.2822929999999999</v>
      </c>
      <c r="SC12" s="30">
        <f>(HS12&gt;0)*(MAX($PW12:SB12)+(MONTH(SC$3)=$V12)*MAX($PW12:SB12)*$U12)</f>
        <v>1.2822929999999999</v>
      </c>
      <c r="SD12" s="30">
        <f>(HT12&gt;0)*(MAX($PW12:SC12)+(MONTH(SD$3)=$V12)*MAX($PW12:SC12)*$U12)</f>
        <v>1.2822929999999999</v>
      </c>
      <c r="SE12" s="30">
        <f>(HU12&gt;0)*(MAX($PW12:SD12)+(MONTH(SE$3)=$V12)*MAX($PW12:SD12)*$U12)</f>
        <v>1.3079388599999999</v>
      </c>
      <c r="SF12" s="30">
        <f>(HV12&gt;0)*(MAX($PW12:SE12)+(MONTH(SF$3)=$V12)*MAX($PW12:SE12)*$U12)</f>
        <v>1.3079388599999999</v>
      </c>
      <c r="SG12" s="30">
        <f>(HW12&gt;0)*(MAX($PW12:SF12)+(MONTH(SG$3)=$V12)*MAX($PW12:SF12)*$U12)</f>
        <v>1.3079388599999999</v>
      </c>
      <c r="SH12" s="30">
        <f>(HX12&gt;0)*(MAX($PW12:SG12)+(MONTH(SH$3)=$V12)*MAX($PW12:SG12)*$U12)</f>
        <v>1.3079388599999999</v>
      </c>
      <c r="SI12" s="30">
        <f>(HY12&gt;0)*(MAX($PW12:SH12)+(MONTH(SI$3)=$V12)*MAX($PW12:SH12)*$U12)</f>
        <v>1.3079388599999999</v>
      </c>
      <c r="SJ12" s="30">
        <f>(HZ12&gt;0)*(MAX($PW12:SI12)+(MONTH(SJ$3)=$V12)*MAX($PW12:SI12)*$U12)</f>
        <v>1.3079388599999999</v>
      </c>
      <c r="SK12" s="30">
        <f>(IA12&gt;0)*(MAX($PW12:SJ12)+(MONTH(SK$3)=$V12)*MAX($PW12:SJ12)*$U12)</f>
        <v>1.3079388599999999</v>
      </c>
      <c r="SL12" s="30">
        <f>(IB12&gt;0)*(MAX($PW12:SK12)+(MONTH(SL$3)=$V12)*MAX($PW12:SK12)*$U12)</f>
        <v>1.3079388599999999</v>
      </c>
      <c r="SM12" s="30">
        <f>(IC12&gt;0)*(MAX($PW12:SL12)+(MONTH(SM$3)=$V12)*MAX($PW12:SL12)*$U12)</f>
        <v>1.3079388599999999</v>
      </c>
      <c r="SN12" s="30">
        <f>(ID12&gt;0)*(MAX($PW12:SM12)+(MONTH(SN$3)=$V12)*MAX($PW12:SM12)*$U12)</f>
        <v>1.3079388599999999</v>
      </c>
      <c r="SO12" s="30">
        <f>(IE12&gt;0)*(MAX($PW12:SN12)+(MONTH(SO$3)=$V12)*MAX($PW12:SN12)*$U12)</f>
        <v>1.3079388599999999</v>
      </c>
      <c r="SP12" s="30">
        <f>(IF12&gt;0)*(MAX($PW12:SO12)+(MONTH(SP$3)=$V12)*MAX($PW12:SO12)*$U12)</f>
        <v>1.3079388599999999</v>
      </c>
      <c r="SQ12" s="30">
        <f>(IG12&gt;0)*(MAX($PW12:SP12)+(MONTH(SQ$3)=$V12)*MAX($PW12:SP12)*$U12)</f>
        <v>1.3340976372</v>
      </c>
      <c r="SR12" s="30">
        <f>(IH12&gt;0)*(MAX($PW12:SQ12)+(MONTH(SR$3)=$V12)*MAX($PW12:SQ12)*$U12)</f>
        <v>1.3340976372</v>
      </c>
      <c r="SS12" s="30">
        <f>(II12&gt;0)*(MAX($PW12:SR12)+(MONTH(SS$3)=$V12)*MAX($PW12:SR12)*$U12)</f>
        <v>1.3340976372</v>
      </c>
      <c r="ST12" s="30">
        <f>(IJ12&gt;0)*(MAX($PW12:SS12)+(MONTH(ST$3)=$V12)*MAX($PW12:SS12)*$U12)</f>
        <v>1.3340976372</v>
      </c>
      <c r="SU12" s="30">
        <f>(IK12&gt;0)*(MAX($PW12:ST12)+(MONTH(SU$3)=$V12)*MAX($PW12:ST12)*$U12)</f>
        <v>1.3340976372</v>
      </c>
      <c r="SV12" s="30">
        <f>(IL12&gt;0)*(MAX($PW12:SU12)+(MONTH(SV$3)=$V12)*MAX($PW12:SU12)*$U12)</f>
        <v>1.3340976372</v>
      </c>
      <c r="SW12" s="30">
        <f>(IM12&gt;0)*(MAX($PW12:SV12)+(MONTH(SW$3)=$V12)*MAX($PW12:SV12)*$U12)</f>
        <v>1.3340976372</v>
      </c>
      <c r="SX12" s="30">
        <f>(IN12&gt;0)*(MAX($PW12:SW12)+(MONTH(SX$3)=$V12)*MAX($PW12:SW12)*$U12)</f>
        <v>1.3340976372</v>
      </c>
      <c r="SY12" s="30">
        <f>(IO12&gt;0)*(MAX($PW12:SX12)+(MONTH(SY$3)=$V12)*MAX($PW12:SX12)*$U12)</f>
        <v>1.3340976372</v>
      </c>
      <c r="SZ12" s="30">
        <f>(IP12&gt;0)*(MAX($PW12:SY12)+(MONTH(SZ$3)=$V12)*MAX($PW12:SY12)*$U12)</f>
        <v>1.3340976372</v>
      </c>
      <c r="TA12" s="30">
        <f>(IQ12&gt;0)*(MAX($PW12:SZ12)+(MONTH(TA$3)=$V12)*MAX($PW12:SZ12)*$U12)</f>
        <v>1.3340976372</v>
      </c>
      <c r="TB12" s="30">
        <f>(IR12&gt;0)*(MAX($PW12:TA12)+(MONTH(TB$3)=$V12)*MAX($PW12:TA12)*$U12)</f>
        <v>1.3340976372</v>
      </c>
      <c r="TC12" s="30">
        <f>(IS12&gt;0)*(MAX($PW12:TB12)+(MONTH(TC$3)=$V12)*MAX($PW12:TB12)*$U12)</f>
        <v>1.3607795899440001</v>
      </c>
      <c r="TD12" s="30">
        <f>(IT12&gt;0)*(MAX($PW12:TC12)+(MONTH(TD$3)=$V12)*MAX($PW12:TC12)*$U12)</f>
        <v>1.3607795899440001</v>
      </c>
      <c r="TE12" s="30">
        <f>(IU12&gt;0)*(MAX($PW12:TD12)+(MONTH(TE$3)=$V12)*MAX($PW12:TD12)*$U12)</f>
        <v>1.3607795899440001</v>
      </c>
      <c r="TF12" s="30">
        <f>(IV12&gt;0)*(MAX($PW12:TE12)+(MONTH(TF$3)=$V12)*MAX($PW12:TE12)*$U12)</f>
        <v>1.3607795899440001</v>
      </c>
      <c r="TG12" s="30">
        <f>(IW12&gt;0)*(MAX($PW12:TF12)+(MONTH(TG$3)=$V12)*MAX($PW12:TF12)*$U12)</f>
        <v>1.3607795899440001</v>
      </c>
      <c r="TH12" s="30">
        <f>(IX12&gt;0)*(MAX($PW12:TG12)+(MONTH(TH$3)=$V12)*MAX($PW12:TG12)*$U12)</f>
        <v>1.3607795899440001</v>
      </c>
      <c r="TI12" s="30">
        <f>(IY12&gt;0)*(MAX($PW12:TH12)+(MONTH(TI$3)=$V12)*MAX($PW12:TH12)*$U12)</f>
        <v>1.3607795899440001</v>
      </c>
      <c r="TJ12" s="30">
        <f>(IZ12&gt;0)*(MAX($PW12:TI12)+(MONTH(TJ$3)=$V12)*MAX($PW12:TI12)*$U12)</f>
        <v>1.3607795899440001</v>
      </c>
      <c r="TK12" s="30">
        <f>(JA12&gt;0)*(MAX($PW12:TJ12)+(MONTH(TK$3)=$V12)*MAX($PW12:TJ12)*$U12)</f>
        <v>1.3607795899440001</v>
      </c>
      <c r="TL12" s="30">
        <f>(JB12&gt;0)*(MAX($PW12:TK12)+(MONTH(TL$3)=$V12)*MAX($PW12:TK12)*$U12)</f>
        <v>1.3607795899440001</v>
      </c>
      <c r="TM12" s="30">
        <f>(JC12&gt;0)*(MAX($PW12:TL12)+(MONTH(TM$3)=$V12)*MAX($PW12:TL12)*$U12)</f>
        <v>1.3607795899440001</v>
      </c>
      <c r="TN12" s="30">
        <f>(JD12&gt;0)*(MAX($PW12:TM12)+(MONTH(TN$3)=$V12)*MAX($PW12:TM12)*$U12)</f>
        <v>1.3607795899440001</v>
      </c>
      <c r="TO12" s="30">
        <f>(JE12&gt;0)*(MAX($PW12:TN12)+(MONTH(TO$3)=$V12)*MAX($PW12:TN12)*$U12)</f>
        <v>1.3879951817428799</v>
      </c>
      <c r="TP12" s="30">
        <f>(JF12&gt;0)*(MAX($PW12:TO12)+(MONTH(TP$3)=$V12)*MAX($PW12:TO12)*$U12)</f>
        <v>1.3879951817428799</v>
      </c>
      <c r="TQ12" s="30">
        <f>(JG12&gt;0)*(MAX($PW12:TP12)+(MONTH(TQ$3)=$V12)*MAX($PW12:TP12)*$U12)</f>
        <v>1.3879951817428799</v>
      </c>
      <c r="TR12" s="30">
        <f>(JH12&gt;0)*(MAX($PW12:TQ12)+(MONTH(TR$3)=$V12)*MAX($PW12:TQ12)*$U12)</f>
        <v>1.3879951817428799</v>
      </c>
      <c r="TS12" s="30">
        <f>(JI12&gt;0)*(MAX($PW12:TR12)+(MONTH(TS$3)=$V12)*MAX($PW12:TR12)*$U12)</f>
        <v>1.3879951817428799</v>
      </c>
      <c r="TT12" s="30">
        <f>(JJ12&gt;0)*(MAX($PW12:TS12)+(MONTH(TT$3)=$V12)*MAX($PW12:TS12)*$U12)</f>
        <v>1.3879951817428799</v>
      </c>
      <c r="TU12" s="30">
        <f>(JK12&gt;0)*(MAX($PW12:TT12)+(MONTH(TU$3)=$V12)*MAX($PW12:TT12)*$U12)</f>
        <v>1.3879951817428799</v>
      </c>
      <c r="TV12" s="30">
        <f>(JL12&gt;0)*(MAX($PW12:TU12)+(MONTH(TV$3)=$V12)*MAX($PW12:TU12)*$U12)</f>
        <v>1.3879951817428799</v>
      </c>
      <c r="TW12" s="30">
        <f>(JM12&gt;0)*(MAX($PW12:TV12)+(MONTH(TW$3)=$V12)*MAX($PW12:TV12)*$U12)</f>
        <v>1.3879951817428799</v>
      </c>
      <c r="TX12" s="30">
        <f>(JN12&gt;0)*(MAX($PW12:TW12)+(MONTH(TX$3)=$V12)*MAX($PW12:TW12)*$U12)</f>
        <v>1.3879951817428799</v>
      </c>
      <c r="TY12" s="30">
        <f>(JO12&gt;0)*(MAX($PW12:TX12)+(MONTH(TY$3)=$V12)*MAX($PW12:TX12)*$U12)</f>
        <v>1.3879951817428799</v>
      </c>
      <c r="TZ12" s="30">
        <f>(JP12&gt;0)*(MAX($PW12:TY12)+(MONTH(TZ$3)=$V12)*MAX($PW12:TY12)*$U12)</f>
        <v>1.3879951817428799</v>
      </c>
      <c r="UA12" s="30">
        <f>(JQ12&gt;0)*(MAX($PW12:TZ12)+(MONTH(UA$3)=$V12)*MAX($PW12:TZ12)*$U12)</f>
        <v>1.4157550853777376</v>
      </c>
      <c r="UB12" s="30">
        <f>(JR12&gt;0)*(MAX($PW12:UA12)+(MONTH(UB$3)=$V12)*MAX($PW12:UA12)*$U12)</f>
        <v>1.4157550853777376</v>
      </c>
      <c r="UC12" s="30">
        <f>(JS12&gt;0)*(MAX($PW12:UB12)+(MONTH(UC$3)=$V12)*MAX($PW12:UB12)*$U12)</f>
        <v>1.4157550853777376</v>
      </c>
      <c r="UD12" s="30">
        <f>(JT12&gt;0)*(MAX($PW12:UC12)+(MONTH(UD$3)=$V12)*MAX($PW12:UC12)*$U12)</f>
        <v>1.4157550853777376</v>
      </c>
      <c r="UE12" s="30">
        <f>(JU12&gt;0)*(MAX($PW12:UD12)+(MONTH(UE$3)=$V12)*MAX($PW12:UD12)*$U12)</f>
        <v>1.4157550853777376</v>
      </c>
      <c r="UF12" s="30">
        <f>(JV12&gt;0)*(MAX($PW12:UE12)+(MONTH(UF$3)=$V12)*MAX($PW12:UE12)*$U12)</f>
        <v>1.4157550853777376</v>
      </c>
      <c r="UG12" s="30">
        <f>(JW12&gt;0)*(MAX($PW12:UF12)+(MONTH(UG$3)=$V12)*MAX($PW12:UF12)*$U12)</f>
        <v>1.4157550853777376</v>
      </c>
      <c r="UH12" s="30">
        <f>(JX12&gt;0)*(MAX($PW12:UG12)+(MONTH(UH$3)=$V12)*MAX($PW12:UG12)*$U12)</f>
        <v>1.4157550853777376</v>
      </c>
      <c r="UI12" s="30">
        <f>(JY12&gt;0)*(MAX($PW12:UH12)+(MONTH(UI$3)=$V12)*MAX($PW12:UH12)*$U12)</f>
        <v>1.4157550853777376</v>
      </c>
      <c r="UJ12" s="30">
        <f>(JZ12&gt;0)*(MAX($PW12:UI12)+(MONTH(UJ$3)=$V12)*MAX($PW12:UI12)*$U12)</f>
        <v>1.4157550853777376</v>
      </c>
      <c r="UK12" s="30">
        <f>(KA12&gt;0)*(MAX($PW12:UJ12)+(MONTH(UK$3)=$V12)*MAX($PW12:UJ12)*$U12)</f>
        <v>1.4157550853777376</v>
      </c>
      <c r="UL12" s="30">
        <f>(KB12&gt;0)*(MAX($PW12:UK12)+(MONTH(UL$3)=$V12)*MAX($PW12:UK12)*$U12)</f>
        <v>1.4157550853777376</v>
      </c>
      <c r="UM12" s="30">
        <f>(KC12&gt;0)*(MAX($PW12:UL12)+(MONTH(UM$3)=$V12)*MAX($PW12:UL12)*$U12)</f>
        <v>1.4440701870852923</v>
      </c>
      <c r="UN12" s="30">
        <f>(KD12&gt;0)*(MAX($PW12:UM12)+(MONTH(UN$3)=$V12)*MAX($PW12:UM12)*$U12)</f>
        <v>1.4440701870852923</v>
      </c>
      <c r="UO12" s="30">
        <f>(KE12&gt;0)*(MAX($PW12:UN12)+(MONTH(UO$3)=$V12)*MAX($PW12:UN12)*$U12)</f>
        <v>1.4440701870852923</v>
      </c>
      <c r="UP12" s="30">
        <f>(KF12&gt;0)*(MAX($PW12:UO12)+(MONTH(UP$3)=$V12)*MAX($PW12:UO12)*$U12)</f>
        <v>1.4440701870852923</v>
      </c>
      <c r="UQ12" s="30">
        <f>(KG12&gt;0)*(MAX($PW12:UP12)+(MONTH(UQ$3)=$V12)*MAX($PW12:UP12)*$U12)</f>
        <v>1.4440701870852923</v>
      </c>
      <c r="UR12" s="30">
        <f>(KH12&gt;0)*(MAX($PW12:UQ12)+(MONTH(UR$3)=$V12)*MAX($PW12:UQ12)*$U12)</f>
        <v>1.4440701870852923</v>
      </c>
      <c r="US12" s="30">
        <f>(KI12&gt;0)*(MAX($PW12:UR12)+(MONTH(US$3)=$V12)*MAX($PW12:UR12)*$U12)</f>
        <v>1.4440701870852923</v>
      </c>
      <c r="UT12" s="30">
        <f>(KJ12&gt;0)*(MAX($PW12:US12)+(MONTH(UT$3)=$V12)*MAX($PW12:US12)*$U12)</f>
        <v>1.4440701870852923</v>
      </c>
      <c r="UU12" s="30">
        <f>(KK12&gt;0)*(MAX($PW12:UT12)+(MONTH(UU$3)=$V12)*MAX($PW12:UT12)*$U12)</f>
        <v>1.4440701870852923</v>
      </c>
      <c r="UV12" s="30">
        <f>(KL12&gt;0)*(MAX($PW12:UU12)+(MONTH(UV$3)=$V12)*MAX($PW12:UU12)*$U12)</f>
        <v>1.4440701870852923</v>
      </c>
      <c r="UW12" s="30">
        <f>(KM12&gt;0)*(MAX($PW12:UV12)+(MONTH(UW$3)=$V12)*MAX($PW12:UV12)*$U12)</f>
        <v>1.4440701870852923</v>
      </c>
      <c r="UX12" s="30">
        <f>(KN12&gt;0)*(MAX($PW12:UW12)+(MONTH(UX$3)=$V12)*MAX($PW12:UW12)*$U12)</f>
        <v>1.4440701870852923</v>
      </c>
      <c r="UY12" s="30">
        <f>(KO12&gt;0)*(MAX($PW12:UX12)+(MONTH(UY$3)=$V12)*MAX($PW12:UX12)*$U12)</f>
        <v>1.4729515908269981</v>
      </c>
      <c r="UZ12" s="17"/>
      <c r="VA12" s="17"/>
      <c r="VB12" s="17">
        <f t="shared" si="1305"/>
        <v>13669.48</v>
      </c>
      <c r="VC12" s="17">
        <f t="shared" si="1138"/>
        <v>13669.48</v>
      </c>
      <c r="VD12" s="17">
        <f t="shared" si="1139"/>
        <v>13669.48</v>
      </c>
      <c r="VE12" s="17">
        <f t="shared" si="1140"/>
        <v>13669.48</v>
      </c>
      <c r="VF12" s="17">
        <f t="shared" si="1141"/>
        <v>13669.48</v>
      </c>
      <c r="VG12" s="17">
        <f t="shared" si="1142"/>
        <v>13669.48</v>
      </c>
      <c r="VH12" s="17">
        <f t="shared" si="1143"/>
        <v>13669.48</v>
      </c>
      <c r="VI12" s="17">
        <f t="shared" si="1144"/>
        <v>13669.48</v>
      </c>
      <c r="VJ12" s="17">
        <f t="shared" si="1145"/>
        <v>13942.8696</v>
      </c>
      <c r="VK12" s="17">
        <f t="shared" si="1146"/>
        <v>13942.8696</v>
      </c>
      <c r="VL12" s="17">
        <f t="shared" si="1147"/>
        <v>13942.8696</v>
      </c>
      <c r="VM12" s="17">
        <f t="shared" si="1148"/>
        <v>13942.8696</v>
      </c>
      <c r="VN12" s="17">
        <f t="shared" si="1149"/>
        <v>13942.8696</v>
      </c>
      <c r="VO12" s="17">
        <f t="shared" si="1150"/>
        <v>13942.8696</v>
      </c>
      <c r="VP12" s="17">
        <f t="shared" si="1151"/>
        <v>13942.8696</v>
      </c>
      <c r="VQ12" s="17">
        <f t="shared" si="1152"/>
        <v>13942.8696</v>
      </c>
      <c r="VR12" s="17">
        <f t="shared" si="1153"/>
        <v>13942.8696</v>
      </c>
      <c r="VS12" s="17">
        <f t="shared" si="1154"/>
        <v>13942.8696</v>
      </c>
      <c r="VT12" s="17">
        <f t="shared" si="1155"/>
        <v>13942.8696</v>
      </c>
      <c r="VU12" s="17">
        <f t="shared" si="1156"/>
        <v>13942.8696</v>
      </c>
      <c r="VV12" s="17">
        <f t="shared" si="1157"/>
        <v>14221.726992</v>
      </c>
      <c r="VW12" s="17">
        <f t="shared" si="1158"/>
        <v>14221.726992</v>
      </c>
      <c r="VX12" s="17">
        <f t="shared" si="1159"/>
        <v>14221.726992</v>
      </c>
      <c r="VY12" s="17">
        <f t="shared" si="1160"/>
        <v>14221.726992</v>
      </c>
      <c r="VZ12" s="17">
        <f t="shared" si="1161"/>
        <v>14221.726992</v>
      </c>
      <c r="WA12" s="17">
        <f t="shared" si="1162"/>
        <v>14221.726992</v>
      </c>
      <c r="WB12" s="17">
        <f t="shared" si="1163"/>
        <v>14221.726992</v>
      </c>
      <c r="WC12" s="17">
        <f t="shared" si="1164"/>
        <v>14221.726992</v>
      </c>
      <c r="WD12" s="17">
        <f t="shared" si="1165"/>
        <v>14221.726992</v>
      </c>
      <c r="WE12" s="17">
        <f t="shared" si="1166"/>
        <v>14221.726992</v>
      </c>
      <c r="WF12" s="17">
        <f t="shared" si="1167"/>
        <v>14221.726992</v>
      </c>
      <c r="WG12" s="17">
        <f t="shared" si="1168"/>
        <v>14221.726992</v>
      </c>
      <c r="WH12" s="17">
        <f t="shared" si="1169"/>
        <v>14506.16153184</v>
      </c>
      <c r="WI12" s="17">
        <f t="shared" si="1170"/>
        <v>14506.16153184</v>
      </c>
      <c r="WJ12" s="17">
        <f t="shared" si="1171"/>
        <v>14506.16153184</v>
      </c>
      <c r="WK12" s="17">
        <f t="shared" si="1172"/>
        <v>14506.16153184</v>
      </c>
      <c r="WL12" s="17">
        <f t="shared" si="1173"/>
        <v>14506.16153184</v>
      </c>
      <c r="WM12" s="17">
        <f t="shared" si="1174"/>
        <v>14506.16153184</v>
      </c>
      <c r="WN12" s="17">
        <f t="shared" si="1175"/>
        <v>14506.16153184</v>
      </c>
      <c r="WO12" s="17">
        <f t="shared" si="1176"/>
        <v>14506.16153184</v>
      </c>
      <c r="WP12" s="17">
        <f t="shared" si="1177"/>
        <v>14506.16153184</v>
      </c>
      <c r="WQ12" s="17">
        <f t="shared" si="1178"/>
        <v>14506.16153184</v>
      </c>
      <c r="WR12" s="17">
        <f t="shared" si="1179"/>
        <v>14506.16153184</v>
      </c>
      <c r="WS12" s="17">
        <f t="shared" si="1180"/>
        <v>14506.16153184</v>
      </c>
      <c r="WT12" s="17">
        <f t="shared" si="1181"/>
        <v>0</v>
      </c>
      <c r="WU12" s="17">
        <f t="shared" si="1182"/>
        <v>0</v>
      </c>
      <c r="WV12" s="17">
        <f t="shared" si="1183"/>
        <v>0</v>
      </c>
      <c r="WW12" s="17">
        <f t="shared" si="1184"/>
        <v>20342.296151999999</v>
      </c>
      <c r="WX12" s="17">
        <f t="shared" si="1185"/>
        <v>20342.296151999999</v>
      </c>
      <c r="WY12" s="17">
        <f t="shared" si="1186"/>
        <v>20342.296151999999</v>
      </c>
      <c r="WZ12" s="17">
        <f t="shared" si="1187"/>
        <v>20342.296151999999</v>
      </c>
      <c r="XA12" s="17">
        <f t="shared" si="1188"/>
        <v>20342.296151999999</v>
      </c>
      <c r="XB12" s="17">
        <f t="shared" si="1189"/>
        <v>20342.296151999999</v>
      </c>
      <c r="XC12" s="17">
        <f t="shared" si="1190"/>
        <v>20342.296151999999</v>
      </c>
      <c r="XD12" s="17">
        <f t="shared" si="1191"/>
        <v>20342.296151999999</v>
      </c>
      <c r="XE12" s="17">
        <f t="shared" si="1192"/>
        <v>20342.296151999999</v>
      </c>
      <c r="XF12" s="17">
        <f t="shared" si="1193"/>
        <v>20342.296151999999</v>
      </c>
      <c r="XG12" s="17">
        <f t="shared" si="1194"/>
        <v>20342.296151999999</v>
      </c>
      <c r="XH12" s="17">
        <f t="shared" si="1195"/>
        <v>20342.296151999999</v>
      </c>
      <c r="XI12" s="17">
        <f t="shared" si="1196"/>
        <v>20749.142075039999</v>
      </c>
      <c r="XJ12" s="17">
        <f t="shared" si="1197"/>
        <v>20749.142075039999</v>
      </c>
      <c r="XK12" s="17">
        <f t="shared" si="1198"/>
        <v>20749.142075039999</v>
      </c>
      <c r="XL12" s="17">
        <f t="shared" si="1199"/>
        <v>20749.142075039999</v>
      </c>
      <c r="XM12" s="17">
        <f t="shared" si="1200"/>
        <v>20749.142075039999</v>
      </c>
      <c r="XN12" s="17">
        <f t="shared" si="1201"/>
        <v>20749.142075039999</v>
      </c>
      <c r="XO12" s="17">
        <f t="shared" si="1202"/>
        <v>20749.142075039999</v>
      </c>
      <c r="XP12" s="17">
        <f t="shared" si="1203"/>
        <v>20749.142075039999</v>
      </c>
      <c r="XQ12" s="17">
        <f t="shared" si="1204"/>
        <v>20749.142075039999</v>
      </c>
      <c r="XR12" s="17">
        <f t="shared" si="1205"/>
        <v>20749.142075039999</v>
      </c>
      <c r="XS12" s="17">
        <f t="shared" si="1206"/>
        <v>20749.142075039999</v>
      </c>
      <c r="XT12" s="17">
        <f t="shared" si="1207"/>
        <v>20749.142075039999</v>
      </c>
      <c r="XU12" s="17">
        <f t="shared" si="1208"/>
        <v>21164.124916540801</v>
      </c>
      <c r="XV12" s="17">
        <f t="shared" si="1209"/>
        <v>21164.124916540801</v>
      </c>
      <c r="XW12" s="17">
        <f t="shared" si="1210"/>
        <v>21164.124916540801</v>
      </c>
      <c r="XX12" s="17">
        <f t="shared" si="1211"/>
        <v>21164.124916540801</v>
      </c>
      <c r="XY12" s="17">
        <f t="shared" si="1212"/>
        <v>21164.124916540801</v>
      </c>
      <c r="XZ12" s="17">
        <f t="shared" si="1213"/>
        <v>21164.124916540801</v>
      </c>
      <c r="YA12" s="17">
        <f t="shared" si="1214"/>
        <v>21164.124916540801</v>
      </c>
      <c r="YB12" s="17">
        <f t="shared" si="1215"/>
        <v>21164.124916540801</v>
      </c>
      <c r="YC12" s="17">
        <f t="shared" si="1216"/>
        <v>21164.124916540801</v>
      </c>
      <c r="YD12" s="17">
        <f t="shared" si="1217"/>
        <v>21164.124916540801</v>
      </c>
      <c r="YE12" s="17">
        <f t="shared" si="1218"/>
        <v>21164.124916540801</v>
      </c>
      <c r="YF12" s="17">
        <f t="shared" si="1219"/>
        <v>21164.124916540801</v>
      </c>
      <c r="YG12" s="17">
        <f t="shared" si="1220"/>
        <v>21587.407414871617</v>
      </c>
      <c r="YH12" s="17">
        <f t="shared" si="1221"/>
        <v>21587.407414871617</v>
      </c>
      <c r="YI12" s="17">
        <f t="shared" si="1222"/>
        <v>21587.407414871617</v>
      </c>
      <c r="YJ12" s="17">
        <f t="shared" si="1223"/>
        <v>21587.407414871617</v>
      </c>
      <c r="YK12" s="17">
        <f t="shared" si="1224"/>
        <v>21587.407414871617</v>
      </c>
      <c r="YL12" s="17">
        <f t="shared" si="1225"/>
        <v>21587.407414871617</v>
      </c>
      <c r="YM12" s="17">
        <f t="shared" si="1226"/>
        <v>21587.407414871617</v>
      </c>
      <c r="YN12" s="17">
        <f t="shared" si="1227"/>
        <v>21587.407414871617</v>
      </c>
      <c r="YO12" s="17">
        <f t="shared" si="1228"/>
        <v>21587.407414871617</v>
      </c>
      <c r="YP12" s="17">
        <f t="shared" si="1229"/>
        <v>21587.407414871617</v>
      </c>
      <c r="YQ12" s="17">
        <f t="shared" si="1230"/>
        <v>21587.407414871617</v>
      </c>
      <c r="YR12" s="17">
        <f t="shared" si="1231"/>
        <v>21587.407414871617</v>
      </c>
      <c r="YS12" s="17">
        <f t="shared" si="1232"/>
        <v>22019.155563169046</v>
      </c>
      <c r="YT12" s="17">
        <f t="shared" si="1233"/>
        <v>22019.155563169046</v>
      </c>
      <c r="YU12" s="17">
        <f t="shared" si="1234"/>
        <v>22019.155563169046</v>
      </c>
      <c r="YV12" s="17">
        <f t="shared" si="1235"/>
        <v>22019.155563169046</v>
      </c>
      <c r="YW12" s="17">
        <f t="shared" si="1236"/>
        <v>22019.155563169046</v>
      </c>
      <c r="YX12" s="17">
        <f t="shared" si="1237"/>
        <v>22019.155563169046</v>
      </c>
      <c r="YY12" s="17">
        <f t="shared" si="1238"/>
        <v>22019.155563169046</v>
      </c>
      <c r="YZ12" s="17">
        <f t="shared" si="1239"/>
        <v>22019.155563169046</v>
      </c>
      <c r="ZA12" s="17">
        <f t="shared" si="1240"/>
        <v>22019.155563169046</v>
      </c>
      <c r="ZB12" s="17">
        <f t="shared" si="1241"/>
        <v>22019.155563169046</v>
      </c>
      <c r="ZC12" s="17">
        <f t="shared" si="1242"/>
        <v>22019.155563169046</v>
      </c>
      <c r="ZD12" s="17">
        <f t="shared" si="1243"/>
        <v>22019.155563169046</v>
      </c>
      <c r="ZE12" s="17">
        <f t="shared" si="1244"/>
        <v>22459.538674432431</v>
      </c>
      <c r="ZF12" s="17">
        <f t="shared" si="1245"/>
        <v>22459.538674432431</v>
      </c>
      <c r="ZG12" s="17">
        <f t="shared" si="1246"/>
        <v>22459.538674432431</v>
      </c>
      <c r="ZH12" s="17">
        <f t="shared" si="1247"/>
        <v>22459.538674432431</v>
      </c>
      <c r="ZI12" s="17">
        <f t="shared" si="1248"/>
        <v>22459.538674432431</v>
      </c>
      <c r="ZJ12" s="17">
        <f t="shared" si="1249"/>
        <v>22459.538674432431</v>
      </c>
      <c r="ZK12" s="17">
        <f t="shared" si="1250"/>
        <v>22459.538674432431</v>
      </c>
      <c r="ZL12" s="17">
        <f t="shared" si="1251"/>
        <v>22459.538674432431</v>
      </c>
      <c r="ZM12" s="17">
        <f t="shared" si="1252"/>
        <v>22459.538674432431</v>
      </c>
      <c r="ZN12" s="17">
        <f t="shared" si="1253"/>
        <v>22459.538674432431</v>
      </c>
      <c r="ZO12" s="17">
        <f t="shared" si="1254"/>
        <v>22459.538674432431</v>
      </c>
      <c r="ZP12" s="17">
        <f t="shared" si="1255"/>
        <v>22459.538674432431</v>
      </c>
      <c r="ZQ12" s="17">
        <f t="shared" si="1256"/>
        <v>22908.729447921076</v>
      </c>
      <c r="ZR12" s="17">
        <f t="shared" si="1257"/>
        <v>22908.729447921076</v>
      </c>
      <c r="ZS12" s="17">
        <f t="shared" si="1258"/>
        <v>22908.729447921076</v>
      </c>
      <c r="ZT12" s="17">
        <f t="shared" si="1259"/>
        <v>22908.729447921076</v>
      </c>
      <c r="ZU12" s="17">
        <f t="shared" si="1260"/>
        <v>22908.729447921076</v>
      </c>
      <c r="ZV12" s="17">
        <f t="shared" si="1261"/>
        <v>22908.729447921076</v>
      </c>
      <c r="ZW12" s="17">
        <f t="shared" si="1262"/>
        <v>22908.729447921076</v>
      </c>
      <c r="ZX12" s="17">
        <f t="shared" si="1263"/>
        <v>22908.729447921076</v>
      </c>
      <c r="ZY12" s="17">
        <f t="shared" si="1264"/>
        <v>22908.729447921076</v>
      </c>
      <c r="ZZ12" s="17">
        <f t="shared" si="1265"/>
        <v>22908.729447921076</v>
      </c>
      <c r="AAA12" s="17">
        <f t="shared" si="1266"/>
        <v>22908.729447921076</v>
      </c>
      <c r="AAB12" s="17">
        <f t="shared" si="1267"/>
        <v>22908.729447921076</v>
      </c>
      <c r="AAC12" s="17">
        <f t="shared" si="1268"/>
        <v>23366.904036879499</v>
      </c>
      <c r="AAD12" s="17"/>
      <c r="AAE12" s="17"/>
      <c r="AAF12" s="17">
        <f t="shared" si="1306"/>
        <v>0</v>
      </c>
      <c r="AAG12" s="17">
        <f t="shared" si="1269"/>
        <v>0</v>
      </c>
      <c r="AAH12" s="17">
        <f t="shared" si="1269"/>
        <v>0</v>
      </c>
      <c r="AAI12" s="17">
        <f t="shared" si="1269"/>
        <v>0</v>
      </c>
      <c r="AAJ12" s="17">
        <f t="shared" si="1269"/>
        <v>0</v>
      </c>
      <c r="AAK12" s="17">
        <f t="shared" si="1269"/>
        <v>0</v>
      </c>
      <c r="AAL12" s="17">
        <f t="shared" si="1269"/>
        <v>0</v>
      </c>
      <c r="AAM12" s="17">
        <f t="shared" si="1269"/>
        <v>0</v>
      </c>
      <c r="AAN12" s="17">
        <f t="shared" si="1269"/>
        <v>0</v>
      </c>
      <c r="AAO12" s="17">
        <f t="shared" si="1269"/>
        <v>0</v>
      </c>
      <c r="AAP12" s="17">
        <f t="shared" si="1269"/>
        <v>0</v>
      </c>
      <c r="AAQ12" s="17">
        <f t="shared" si="1269"/>
        <v>0</v>
      </c>
      <c r="AAR12" s="17">
        <f t="shared" si="1269"/>
        <v>0</v>
      </c>
      <c r="AAS12" s="17">
        <f t="shared" si="1269"/>
        <v>0</v>
      </c>
      <c r="AAT12" s="17">
        <f t="shared" si="1269"/>
        <v>0</v>
      </c>
      <c r="AAU12" s="17">
        <f t="shared" si="1269"/>
        <v>0</v>
      </c>
      <c r="AAV12" s="17">
        <f t="shared" si="1269"/>
        <v>0</v>
      </c>
      <c r="AAW12" s="17">
        <f t="shared" si="1270"/>
        <v>0</v>
      </c>
      <c r="AAX12" s="17">
        <f t="shared" si="1270"/>
        <v>0</v>
      </c>
      <c r="AAY12" s="17">
        <f t="shared" si="1270"/>
        <v>0</v>
      </c>
      <c r="AAZ12" s="17">
        <f t="shared" si="1270"/>
        <v>0</v>
      </c>
      <c r="ABA12" s="17">
        <f t="shared" si="1270"/>
        <v>0</v>
      </c>
      <c r="ABB12" s="17">
        <f t="shared" si="1270"/>
        <v>0</v>
      </c>
      <c r="ABC12" s="17">
        <f t="shared" si="1270"/>
        <v>0</v>
      </c>
      <c r="ABD12" s="17">
        <f t="shared" si="1270"/>
        <v>0</v>
      </c>
      <c r="ABE12" s="17">
        <f t="shared" si="1270"/>
        <v>0</v>
      </c>
      <c r="ABF12" s="17">
        <f t="shared" si="1270"/>
        <v>0</v>
      </c>
      <c r="ABG12" s="17">
        <f t="shared" si="1270"/>
        <v>0</v>
      </c>
      <c r="ABH12" s="17">
        <f t="shared" si="1270"/>
        <v>0</v>
      </c>
      <c r="ABI12" s="17">
        <f t="shared" si="1270"/>
        <v>0</v>
      </c>
      <c r="ABJ12" s="17">
        <f t="shared" si="1270"/>
        <v>0</v>
      </c>
      <c r="ABK12" s="17">
        <f t="shared" si="1270"/>
        <v>0</v>
      </c>
      <c r="ABL12" s="17">
        <f t="shared" si="1270"/>
        <v>0</v>
      </c>
      <c r="ABM12" s="17">
        <f t="shared" si="1271"/>
        <v>0</v>
      </c>
      <c r="ABN12" s="17">
        <f t="shared" si="1271"/>
        <v>0</v>
      </c>
      <c r="ABO12" s="17">
        <f t="shared" si="1271"/>
        <v>0</v>
      </c>
      <c r="ABP12" s="17">
        <f t="shared" si="1271"/>
        <v>0</v>
      </c>
      <c r="ABQ12" s="17">
        <f t="shared" si="1271"/>
        <v>0</v>
      </c>
      <c r="ABR12" s="17">
        <f t="shared" si="1271"/>
        <v>0</v>
      </c>
      <c r="ABS12" s="17">
        <f t="shared" si="1271"/>
        <v>0</v>
      </c>
      <c r="ABT12" s="17">
        <f t="shared" si="1271"/>
        <v>0</v>
      </c>
      <c r="ABU12" s="17">
        <f t="shared" si="1271"/>
        <v>0</v>
      </c>
      <c r="ABV12" s="17">
        <f t="shared" si="1271"/>
        <v>0</v>
      </c>
      <c r="ABW12" s="17">
        <f t="shared" si="1271"/>
        <v>0</v>
      </c>
      <c r="ABX12" s="17">
        <f t="shared" si="1271"/>
        <v>0</v>
      </c>
      <c r="ABY12" s="17">
        <f t="shared" si="1271"/>
        <v>0</v>
      </c>
      <c r="ABZ12" s="17">
        <f t="shared" si="1271"/>
        <v>0</v>
      </c>
      <c r="ACA12" s="17">
        <f t="shared" si="1271"/>
        <v>101711.48075999999</v>
      </c>
      <c r="ACB12" s="17">
        <f t="shared" si="1271"/>
        <v>0</v>
      </c>
      <c r="ACC12" s="17">
        <f t="shared" si="1272"/>
        <v>0</v>
      </c>
      <c r="ACD12" s="17">
        <f t="shared" si="1272"/>
        <v>0</v>
      </c>
      <c r="ACE12" s="17">
        <f t="shared" si="1272"/>
        <v>0</v>
      </c>
      <c r="ACF12" s="17">
        <f t="shared" si="1272"/>
        <v>0</v>
      </c>
      <c r="ACG12" s="17">
        <f t="shared" si="1272"/>
        <v>0</v>
      </c>
      <c r="ACH12" s="17">
        <f t="shared" si="1272"/>
        <v>0</v>
      </c>
      <c r="ACI12" s="17">
        <f t="shared" si="1272"/>
        <v>0</v>
      </c>
      <c r="ACJ12" s="17">
        <f t="shared" si="1272"/>
        <v>0</v>
      </c>
      <c r="ACK12" s="17">
        <f t="shared" si="1272"/>
        <v>0</v>
      </c>
      <c r="ACL12" s="17">
        <f t="shared" si="1272"/>
        <v>0</v>
      </c>
      <c r="ACM12" s="17">
        <f t="shared" si="1272"/>
        <v>0</v>
      </c>
      <c r="ACN12" s="17">
        <f t="shared" si="1272"/>
        <v>0</v>
      </c>
      <c r="ACO12" s="17">
        <f t="shared" si="1272"/>
        <v>0</v>
      </c>
      <c r="ACP12" s="17">
        <f t="shared" si="1272"/>
        <v>0</v>
      </c>
      <c r="ACQ12" s="17">
        <f t="shared" si="1272"/>
        <v>0</v>
      </c>
      <c r="ACR12" s="17">
        <f t="shared" si="1272"/>
        <v>0</v>
      </c>
      <c r="ACS12" s="17">
        <f t="shared" si="1273"/>
        <v>0</v>
      </c>
      <c r="ACT12" s="17">
        <f t="shared" si="1273"/>
        <v>0</v>
      </c>
      <c r="ACU12" s="17">
        <f t="shared" si="1273"/>
        <v>0</v>
      </c>
      <c r="ACV12" s="17">
        <f t="shared" si="1273"/>
        <v>0</v>
      </c>
      <c r="ACW12" s="17">
        <f t="shared" si="1273"/>
        <v>0</v>
      </c>
      <c r="ACX12" s="17">
        <f t="shared" si="1273"/>
        <v>0</v>
      </c>
      <c r="ACY12" s="17">
        <f t="shared" si="1273"/>
        <v>0</v>
      </c>
      <c r="ACZ12" s="17">
        <f t="shared" si="1273"/>
        <v>0</v>
      </c>
      <c r="ADA12" s="17">
        <f t="shared" si="1273"/>
        <v>0</v>
      </c>
      <c r="ADB12" s="17">
        <f t="shared" si="1273"/>
        <v>0</v>
      </c>
      <c r="ADC12" s="17">
        <f t="shared" si="1273"/>
        <v>0</v>
      </c>
      <c r="ADD12" s="17">
        <f t="shared" si="1273"/>
        <v>0</v>
      </c>
      <c r="ADE12" s="17">
        <f t="shared" si="1273"/>
        <v>0</v>
      </c>
      <c r="ADF12" s="17">
        <f t="shared" si="1273"/>
        <v>0</v>
      </c>
      <c r="ADG12" s="17">
        <f t="shared" si="1273"/>
        <v>0</v>
      </c>
      <c r="ADH12" s="17">
        <f t="shared" si="1273"/>
        <v>0</v>
      </c>
      <c r="ADI12" s="17">
        <f t="shared" si="1274"/>
        <v>0</v>
      </c>
      <c r="ADJ12" s="17">
        <f t="shared" si="1274"/>
        <v>0</v>
      </c>
      <c r="ADK12" s="17">
        <f t="shared" si="1274"/>
        <v>0</v>
      </c>
      <c r="ADL12" s="17">
        <f t="shared" si="1274"/>
        <v>0</v>
      </c>
      <c r="ADM12" s="17">
        <f t="shared" si="1274"/>
        <v>0</v>
      </c>
      <c r="ADN12" s="17">
        <f t="shared" si="1274"/>
        <v>0</v>
      </c>
      <c r="ADO12" s="17">
        <f t="shared" si="1274"/>
        <v>0</v>
      </c>
      <c r="ADP12" s="17">
        <f t="shared" si="1274"/>
        <v>0</v>
      </c>
      <c r="ADQ12" s="17">
        <f t="shared" si="1274"/>
        <v>0</v>
      </c>
      <c r="ADR12" s="17">
        <f t="shared" si="1274"/>
        <v>0</v>
      </c>
      <c r="ADS12" s="17">
        <f t="shared" si="1274"/>
        <v>0</v>
      </c>
      <c r="ADT12" s="17">
        <f t="shared" si="1274"/>
        <v>0</v>
      </c>
      <c r="ADU12" s="17">
        <f t="shared" si="1274"/>
        <v>0</v>
      </c>
      <c r="ADV12" s="17">
        <f t="shared" si="1274"/>
        <v>0</v>
      </c>
      <c r="ADW12" s="17">
        <f t="shared" si="1274"/>
        <v>0</v>
      </c>
      <c r="ADX12" s="17">
        <f t="shared" si="1274"/>
        <v>0</v>
      </c>
      <c r="ADY12" s="17">
        <f t="shared" si="1275"/>
        <v>0</v>
      </c>
      <c r="ADZ12" s="17">
        <f t="shared" si="1275"/>
        <v>0</v>
      </c>
      <c r="AEA12" s="17">
        <f t="shared" si="1275"/>
        <v>0</v>
      </c>
      <c r="AEB12" s="17">
        <f t="shared" si="1275"/>
        <v>0</v>
      </c>
      <c r="AEC12" s="17">
        <f t="shared" si="1275"/>
        <v>0</v>
      </c>
      <c r="AED12" s="17">
        <f t="shared" si="1275"/>
        <v>0</v>
      </c>
      <c r="AEE12" s="17">
        <f t="shared" si="1275"/>
        <v>0</v>
      </c>
      <c r="AEF12" s="17">
        <f t="shared" si="1275"/>
        <v>0</v>
      </c>
      <c r="AEG12" s="17">
        <f t="shared" si="1275"/>
        <v>0</v>
      </c>
      <c r="AEH12" s="17">
        <f t="shared" si="1275"/>
        <v>0</v>
      </c>
      <c r="AEI12" s="17">
        <f t="shared" si="1275"/>
        <v>0</v>
      </c>
      <c r="AEJ12" s="17">
        <f t="shared" si="1275"/>
        <v>0</v>
      </c>
      <c r="AEK12" s="17">
        <f t="shared" si="1275"/>
        <v>0</v>
      </c>
      <c r="AEL12" s="17">
        <f t="shared" si="1275"/>
        <v>0</v>
      </c>
      <c r="AEM12" s="17">
        <f t="shared" si="1275"/>
        <v>0</v>
      </c>
      <c r="AEN12" s="17">
        <f t="shared" si="1275"/>
        <v>0</v>
      </c>
      <c r="AEO12" s="17">
        <f t="shared" si="1276"/>
        <v>0</v>
      </c>
      <c r="AEP12" s="17">
        <f t="shared" si="1276"/>
        <v>0</v>
      </c>
      <c r="AEQ12" s="17">
        <f t="shared" si="1276"/>
        <v>0</v>
      </c>
      <c r="AER12" s="17">
        <f t="shared" si="1276"/>
        <v>0</v>
      </c>
      <c r="AES12" s="17">
        <f t="shared" si="1276"/>
        <v>0</v>
      </c>
      <c r="AET12" s="17">
        <f t="shared" si="1276"/>
        <v>0</v>
      </c>
      <c r="AEU12" s="17">
        <f t="shared" si="1276"/>
        <v>0</v>
      </c>
      <c r="AEV12" s="17">
        <f t="shared" si="1276"/>
        <v>0</v>
      </c>
      <c r="AEW12" s="17">
        <f t="shared" si="1276"/>
        <v>0</v>
      </c>
      <c r="AEX12" s="17">
        <f t="shared" si="1276"/>
        <v>0</v>
      </c>
      <c r="AEY12" s="17">
        <f t="shared" si="1276"/>
        <v>0</v>
      </c>
      <c r="AEZ12" s="17">
        <f t="shared" si="1276"/>
        <v>0</v>
      </c>
      <c r="AFA12" s="17">
        <f t="shared" si="1276"/>
        <v>0</v>
      </c>
      <c r="AFB12" s="17">
        <f t="shared" si="1276"/>
        <v>0</v>
      </c>
      <c r="AFC12" s="17">
        <f t="shared" si="1276"/>
        <v>0</v>
      </c>
      <c r="AFD12" s="17">
        <f t="shared" si="1276"/>
        <v>0</v>
      </c>
      <c r="AFE12" s="17">
        <f t="shared" si="1277"/>
        <v>0</v>
      </c>
      <c r="AFF12" s="17">
        <f t="shared" si="1277"/>
        <v>0</v>
      </c>
      <c r="AFG12" s="17">
        <f t="shared" si="1277"/>
        <v>0</v>
      </c>
      <c r="AFH12" s="17"/>
      <c r="AFI12" s="17"/>
      <c r="AFJ12" s="17">
        <f>(AJ12&gt;0)*'Long-Term Leases'!K$17*$L12*$K12</f>
        <v>7416.7413781758369</v>
      </c>
      <c r="AFK12" s="17">
        <f>(AK12&gt;0)*'Long-Term Leases'!L$17*$L12*$K12</f>
        <v>7416.7413781758369</v>
      </c>
      <c r="AFL12" s="17">
        <f>(AL12&gt;0)*'Long-Term Leases'!M$17*$L12*$K12</f>
        <v>7416.7413781758369</v>
      </c>
      <c r="AFM12" s="17">
        <f>(AM12&gt;0)*'Long-Term Leases'!N$17*$L12*$K12</f>
        <v>7416.7413781758369</v>
      </c>
      <c r="AFN12" s="17">
        <f>(AN12&gt;0)*'Long-Term Leases'!O$17*$L12*$K12</f>
        <v>7416.7413781758369</v>
      </c>
      <c r="AFO12" s="17">
        <f>(AO12&gt;0)*'Long-Term Leases'!P$17*$L12*$K12</f>
        <v>7416.7413781758369</v>
      </c>
      <c r="AFP12" s="17">
        <f>(AP12&gt;0)*'Long-Term Leases'!Q$17*$L12*$K12</f>
        <v>7416.7413781758369</v>
      </c>
      <c r="AFQ12" s="17">
        <f>(AQ12&gt;0)*'Long-Term Leases'!R$17*$L12*$K12</f>
        <v>7416.7413781758369</v>
      </c>
      <c r="AFR12" s="17">
        <f>(AR12&gt;0)*'Long-Term Leases'!S$17*$L12*$K12</f>
        <v>7416.7413781758369</v>
      </c>
      <c r="AFS12" s="17">
        <f>(AS12&gt;0)*'Long-Term Leases'!T$17*$L12*$K12</f>
        <v>7416.7413781758369</v>
      </c>
      <c r="AFT12" s="17">
        <f>(AT12&gt;0)*'Long-Term Leases'!U$17*$L12*$K12</f>
        <v>7416.7413781758369</v>
      </c>
      <c r="AFU12" s="17">
        <f>(AU12&gt;0)*'Long-Term Leases'!V$17*$L12*$K12</f>
        <v>7416.7413781758369</v>
      </c>
      <c r="AFV12" s="17">
        <f>(AV12&gt;0)*'Long-Term Leases'!W$17*$L12*$K12</f>
        <v>7565.0762057393531</v>
      </c>
      <c r="AFW12" s="17">
        <f>(AW12&gt;0)*'Long-Term Leases'!X$17*$L12*$K12</f>
        <v>7565.0762057393531</v>
      </c>
      <c r="AFX12" s="17">
        <f>(AX12&gt;0)*'Long-Term Leases'!Y$17*$L12*$K12</f>
        <v>7565.0762057393531</v>
      </c>
      <c r="AFY12" s="17">
        <f>(AY12&gt;0)*'Long-Term Leases'!Z$17*$L12*$K12</f>
        <v>7565.0762057393531</v>
      </c>
      <c r="AFZ12" s="17">
        <f>(AZ12&gt;0)*'Long-Term Leases'!AA$17*$L12*$K12</f>
        <v>7565.0762057393531</v>
      </c>
      <c r="AGA12" s="17">
        <f>(BA12&gt;0)*'Long-Term Leases'!AB$17*$L12*$K12</f>
        <v>7565.0762057393531</v>
      </c>
      <c r="AGB12" s="17">
        <f>(BB12&gt;0)*'Long-Term Leases'!AC$17*$L12*$K12</f>
        <v>7565.0762057393531</v>
      </c>
      <c r="AGC12" s="17">
        <f>(BC12&gt;0)*'Long-Term Leases'!AD$17*$L12*$K12</f>
        <v>7565.0762057393531</v>
      </c>
      <c r="AGD12" s="17">
        <f>(BD12&gt;0)*'Long-Term Leases'!AE$17*$L12*$K12</f>
        <v>7565.0762057393531</v>
      </c>
      <c r="AGE12" s="17">
        <f>(BE12&gt;0)*'Long-Term Leases'!AF$17*$L12*$K12</f>
        <v>7565.0762057393531</v>
      </c>
      <c r="AGF12" s="17">
        <f>(BF12&gt;0)*'Long-Term Leases'!AG$17*$L12*$K12</f>
        <v>7565.0762057393531</v>
      </c>
      <c r="AGG12" s="17">
        <f>(BG12&gt;0)*'Long-Term Leases'!AH$17*$L12*$K12</f>
        <v>7565.0762057393531</v>
      </c>
      <c r="AGH12" s="17">
        <f>(BH12&gt;0)*'Long-Term Leases'!AI$17*$L12*$K12</f>
        <v>7716.3777298541399</v>
      </c>
      <c r="AGI12" s="17">
        <f>(BI12&gt;0)*'Long-Term Leases'!AJ$17*$L12*$K12</f>
        <v>7716.3777298541399</v>
      </c>
      <c r="AGJ12" s="17">
        <f>(BJ12&gt;0)*'Long-Term Leases'!AK$17*$L12*$K12</f>
        <v>7716.3777298541399</v>
      </c>
      <c r="AGK12" s="17">
        <f>(BK12&gt;0)*'Long-Term Leases'!AL$17*$L12*$K12</f>
        <v>7716.3777298541399</v>
      </c>
      <c r="AGL12" s="17">
        <f>(BL12&gt;0)*'Long-Term Leases'!AM$17*$L12*$K12</f>
        <v>7716.3777298541399</v>
      </c>
      <c r="AGM12" s="17">
        <f>(BM12&gt;0)*'Long-Term Leases'!AN$17*$L12*$K12</f>
        <v>7716.3777298541399</v>
      </c>
      <c r="AGN12" s="17">
        <f>(BN12&gt;0)*'Long-Term Leases'!AO$17*$L12*$K12</f>
        <v>7716.3777298541399</v>
      </c>
      <c r="AGO12" s="17">
        <f>(BO12&gt;0)*'Long-Term Leases'!AP$17*$L12*$K12</f>
        <v>7716.3777298541399</v>
      </c>
      <c r="AGP12" s="17">
        <f>(BP12&gt;0)*'Long-Term Leases'!AQ$17*$L12*$K12</f>
        <v>7716.3777298541399</v>
      </c>
      <c r="AGQ12" s="17">
        <f>(BQ12&gt;0)*'Long-Term Leases'!AR$17*$L12*$K12</f>
        <v>7716.3777298541399</v>
      </c>
      <c r="AGR12" s="17">
        <f>(BR12&gt;0)*'Long-Term Leases'!AS$17*$L12*$K12</f>
        <v>7716.3777298541399</v>
      </c>
      <c r="AGS12" s="17">
        <f>(BS12&gt;0)*'Long-Term Leases'!AT$17*$L12*$K12</f>
        <v>7716.3777298541399</v>
      </c>
      <c r="AGT12" s="17">
        <f>(BT12&gt;0)*'Long-Term Leases'!AU$17*$L12*$K12</f>
        <v>7870.7052844512227</v>
      </c>
      <c r="AGU12" s="17">
        <f>(BU12&gt;0)*'Long-Term Leases'!AV$17*$L12*$K12</f>
        <v>7870.7052844512227</v>
      </c>
      <c r="AGV12" s="17">
        <f>(BV12&gt;0)*'Long-Term Leases'!AW$17*$L12*$K12</f>
        <v>7870.7052844512227</v>
      </c>
      <c r="AGW12" s="17">
        <f>(BW12&gt;0)*'Long-Term Leases'!AX$17*$L12*$K12</f>
        <v>7870.7052844512227</v>
      </c>
      <c r="AGX12" s="17">
        <f>(BX12&gt;0)*'Long-Term Leases'!AY$17*$L12*$K12</f>
        <v>7870.7052844512227</v>
      </c>
      <c r="AGY12" s="17">
        <f>(BY12&gt;0)*'Long-Term Leases'!AZ$17*$L12*$K12</f>
        <v>7870.7052844512227</v>
      </c>
      <c r="AGZ12" s="17">
        <f>(BZ12&gt;0)*'Long-Term Leases'!BA$17*$L12*$K12</f>
        <v>7870.7052844512227</v>
      </c>
      <c r="AHA12" s="17">
        <f>(CA12&gt;0)*'Long-Term Leases'!BB$17*$L12*$K12</f>
        <v>7870.7052844512227</v>
      </c>
      <c r="AHB12" s="17">
        <f>(CB12&gt;0)*'Long-Term Leases'!BC$17*$L12*$K12</f>
        <v>0</v>
      </c>
      <c r="AHC12" s="17">
        <f>(CC12&gt;0)*'Long-Term Leases'!BD$17*$L12*$K12</f>
        <v>0</v>
      </c>
      <c r="AHD12" s="17">
        <f>(CD12&gt;0)*'Long-Term Leases'!BE$17*$L12*$K12</f>
        <v>0</v>
      </c>
      <c r="AHE12" s="17">
        <f>(CE12&gt;0)*'Long-Term Leases'!BF$17*$L12*$K12</f>
        <v>0</v>
      </c>
      <c r="AHF12" s="17">
        <f>(CF12&gt;0)*'Long-Term Leases'!BG$17*$L12*$K12</f>
        <v>0</v>
      </c>
      <c r="AHG12" s="17">
        <f>(CG12&gt;0)*'Long-Term Leases'!BH$17*$L12*$K12</f>
        <v>0</v>
      </c>
      <c r="AHH12" s="17">
        <f>(CH12&gt;0)*'Long-Term Leases'!BI$17*$L12*$K12</f>
        <v>0</v>
      </c>
      <c r="AHI12" s="17">
        <f>(CI12&gt;0)*'Long-Term Leases'!BJ$17*$L12*$K12</f>
        <v>0</v>
      </c>
      <c r="AHJ12" s="17">
        <f>(CJ12&gt;0)*'Long-Term Leases'!BK$17*$L12*$K12</f>
        <v>0</v>
      </c>
      <c r="AHK12" s="17">
        <f>(CK12&gt;0)*'Long-Term Leases'!BL$17*$L12*$K12</f>
        <v>0</v>
      </c>
      <c r="AHL12" s="17">
        <f>(CL12&gt;0)*'Long-Term Leases'!BM$17*$L12*$K12</f>
        <v>0</v>
      </c>
      <c r="AHM12" s="17">
        <f>(CM12&gt;0)*'Long-Term Leases'!BN$17*$L12*$K12</f>
        <v>0</v>
      </c>
      <c r="AHN12" s="17">
        <f>(CN12&gt;0)*'Long-Term Leases'!BO$17*$L12*$K12</f>
        <v>0</v>
      </c>
      <c r="AHO12" s="17">
        <f>(CO12&gt;0)*'Long-Term Leases'!BP$17*$L12*$K12</f>
        <v>0</v>
      </c>
      <c r="AHP12" s="17">
        <f>(CP12&gt;0)*'Long-Term Leases'!BQ$17*$L12*$K12</f>
        <v>0</v>
      </c>
      <c r="AHQ12" s="17">
        <f>(CQ12&gt;0)*'Long-Term Leases'!BR$17*$L12*$K12</f>
        <v>0</v>
      </c>
      <c r="AHR12" s="17">
        <f>(CR12&gt;0)*'Long-Term Leases'!BS$17*$L12*$K12</f>
        <v>0</v>
      </c>
      <c r="AHS12" s="17">
        <f>(CS12&gt;0)*'Long-Term Leases'!BT$17*$L12*$K12</f>
        <v>0</v>
      </c>
      <c r="AHT12" s="17">
        <f>(CT12&gt;0)*'Long-Term Leases'!BU$17*$L12*$K12</f>
        <v>0</v>
      </c>
      <c r="AHU12" s="17">
        <f>(CU12&gt;0)*'Long-Term Leases'!BV$17*$L12*$K12</f>
        <v>0</v>
      </c>
      <c r="AHV12" s="17">
        <f>(CV12&gt;0)*'Long-Term Leases'!BW$17*$L12*$K12</f>
        <v>0</v>
      </c>
      <c r="AHW12" s="17">
        <f>(CW12&gt;0)*'Long-Term Leases'!BX$17*$L12*$K12</f>
        <v>0</v>
      </c>
      <c r="AHX12" s="17">
        <f>(CX12&gt;0)*'Long-Term Leases'!BY$17*$L12*$K12</f>
        <v>0</v>
      </c>
      <c r="AHY12" s="17">
        <f>(CY12&gt;0)*'Long-Term Leases'!BZ$17*$L12*$K12</f>
        <v>0</v>
      </c>
      <c r="AHZ12" s="17">
        <f>(CZ12&gt;0)*'Long-Term Leases'!CA$17*$L12*$K12</f>
        <v>0</v>
      </c>
      <c r="AIA12" s="17">
        <f>(DA12&gt;0)*'Long-Term Leases'!CB$17*$L12*$K12</f>
        <v>0</v>
      </c>
      <c r="AIB12" s="17">
        <f>(DB12&gt;0)*'Long-Term Leases'!CC$17*$L12*$K12</f>
        <v>0</v>
      </c>
      <c r="AIC12" s="17">
        <f>(DC12&gt;0)*'Long-Term Leases'!CD$17*$L12*$K12</f>
        <v>0</v>
      </c>
      <c r="AID12" s="17">
        <f>(DD12&gt;0)*'Long-Term Leases'!CE$17*$L12*$K12</f>
        <v>0</v>
      </c>
      <c r="AIE12" s="17">
        <f>(DE12&gt;0)*'Long-Term Leases'!CF$17*$L12*$K12</f>
        <v>0</v>
      </c>
      <c r="AIF12" s="17">
        <f>(DF12&gt;0)*'Long-Term Leases'!CG$17*$L12*$K12</f>
        <v>0</v>
      </c>
      <c r="AIG12" s="17">
        <f>(DG12&gt;0)*'Long-Term Leases'!CH$17*$L12*$K12</f>
        <v>0</v>
      </c>
      <c r="AIH12" s="17">
        <f>(DH12&gt;0)*'Long-Term Leases'!CI$17*$L12*$K12</f>
        <v>0</v>
      </c>
      <c r="AII12" s="17">
        <f>(DI12&gt;0)*'Long-Term Leases'!CJ$17*$L12*$K12</f>
        <v>0</v>
      </c>
      <c r="AIJ12" s="17">
        <f>(DJ12&gt;0)*'Long-Term Leases'!CK$17*$L12*$K12</f>
        <v>0</v>
      </c>
      <c r="AIK12" s="17">
        <f>(DK12&gt;0)*'Long-Term Leases'!CL$17*$L12*$K12</f>
        <v>0</v>
      </c>
      <c r="AIL12" s="17">
        <f>(DL12&gt;0)*'Long-Term Leases'!CM$17*$L12*$K12</f>
        <v>0</v>
      </c>
      <c r="AIM12" s="17">
        <f>(DM12&gt;0)*'Long-Term Leases'!CN$17*$L12*$K12</f>
        <v>0</v>
      </c>
      <c r="AIN12" s="17">
        <f>(DN12&gt;0)*'Long-Term Leases'!CO$17*$L12*$K12</f>
        <v>0</v>
      </c>
      <c r="AIO12" s="17">
        <f>(DO12&gt;0)*'Long-Term Leases'!CP$17*$L12*$K12</f>
        <v>0</v>
      </c>
      <c r="AIP12" s="17">
        <f>(DP12&gt;0)*'Long-Term Leases'!CQ$17*$L12*$K12</f>
        <v>0</v>
      </c>
      <c r="AIQ12" s="17">
        <f>(DQ12&gt;0)*'Long-Term Leases'!CR$17*$L12*$K12</f>
        <v>0</v>
      </c>
      <c r="AIR12" s="17">
        <f>(DR12&gt;0)*'Long-Term Leases'!CS$17*$L12*$K12</f>
        <v>0</v>
      </c>
      <c r="AIS12" s="17">
        <f>(DS12&gt;0)*'Long-Term Leases'!CT$17*$L12*$K12</f>
        <v>0</v>
      </c>
      <c r="AIT12" s="17">
        <f>(DT12&gt;0)*'Long-Term Leases'!CU$17*$L12*$K12</f>
        <v>0</v>
      </c>
      <c r="AIU12" s="17">
        <f>(DU12&gt;0)*'Long-Term Leases'!CV$17*$L12*$K12</f>
        <v>0</v>
      </c>
      <c r="AIV12" s="17">
        <f>(DV12&gt;0)*'Long-Term Leases'!CW$17*$L12*$K12</f>
        <v>0</v>
      </c>
      <c r="AIW12" s="17">
        <f>(DW12&gt;0)*'Long-Term Leases'!CX$17*$L12*$K12</f>
        <v>0</v>
      </c>
      <c r="AIX12" s="17">
        <f>(DX12&gt;0)*'Long-Term Leases'!CY$17*$L12*$K12</f>
        <v>0</v>
      </c>
      <c r="AIY12" s="17">
        <f>(DY12&gt;0)*'Long-Term Leases'!CZ$17*$L12*$K12</f>
        <v>0</v>
      </c>
      <c r="AIZ12" s="17">
        <f>(DZ12&gt;0)*'Long-Term Leases'!DA$17*$L12*$K12</f>
        <v>0</v>
      </c>
      <c r="AJA12" s="17">
        <f>(EA12&gt;0)*'Long-Term Leases'!DB$17*$L12*$K12</f>
        <v>0</v>
      </c>
      <c r="AJB12" s="17">
        <f>(EB12&gt;0)*'Long-Term Leases'!DC$17*$L12*$K12</f>
        <v>0</v>
      </c>
      <c r="AJC12" s="17">
        <f>(EC12&gt;0)*'Long-Term Leases'!DD$17*$L12*$K12</f>
        <v>0</v>
      </c>
      <c r="AJD12" s="17">
        <f>(ED12&gt;0)*'Long-Term Leases'!DE$17*$L12*$K12</f>
        <v>0</v>
      </c>
      <c r="AJE12" s="17">
        <f>(EE12&gt;0)*'Long-Term Leases'!DF$17*$L12*$K12</f>
        <v>0</v>
      </c>
      <c r="AJF12" s="17">
        <f>(EF12&gt;0)*'Long-Term Leases'!DG$17*$L12*$K12</f>
        <v>0</v>
      </c>
      <c r="AJG12" s="17">
        <f>(EG12&gt;0)*'Long-Term Leases'!DH$17*$L12*$K12</f>
        <v>0</v>
      </c>
      <c r="AJH12" s="17">
        <f>(EH12&gt;0)*'Long-Term Leases'!DI$17*$L12*$K12</f>
        <v>0</v>
      </c>
      <c r="AJI12" s="17">
        <f>(EI12&gt;0)*'Long-Term Leases'!DJ$17*$L12*$K12</f>
        <v>0</v>
      </c>
      <c r="AJJ12" s="17">
        <f>(EJ12&gt;0)*'Long-Term Leases'!DK$17*$L12*$K12</f>
        <v>0</v>
      </c>
      <c r="AJK12" s="17">
        <f>(EK12&gt;0)*'Long-Term Leases'!DL$17*$L12*$K12</f>
        <v>0</v>
      </c>
      <c r="AJL12" s="17">
        <f>(EL12&gt;0)*'Long-Term Leases'!DM$17*$L12*$K12</f>
        <v>0</v>
      </c>
      <c r="AJM12" s="17">
        <f>(EM12&gt;0)*'Long-Term Leases'!DN$17*$L12*$K12</f>
        <v>0</v>
      </c>
      <c r="AJN12" s="17">
        <f>(EN12&gt;0)*'Long-Term Leases'!DO$17*$L12*$K12</f>
        <v>0</v>
      </c>
      <c r="AJO12" s="17">
        <f>(EO12&gt;0)*'Long-Term Leases'!DP$17*$L12*$K12</f>
        <v>0</v>
      </c>
      <c r="AJP12" s="17">
        <f>(EP12&gt;0)*'Long-Term Leases'!DQ$17*$L12*$K12</f>
        <v>0</v>
      </c>
      <c r="AJQ12" s="17">
        <f>(EQ12&gt;0)*'Long-Term Leases'!DR$17*$L12*$K12</f>
        <v>0</v>
      </c>
      <c r="AJR12" s="17">
        <f>(ER12&gt;0)*'Long-Term Leases'!DS$17*$L12*$K12</f>
        <v>0</v>
      </c>
      <c r="AJS12" s="17">
        <f>(ES12&gt;0)*'Long-Term Leases'!DT$17*$L12*$K12</f>
        <v>0</v>
      </c>
      <c r="AJT12" s="17">
        <f>(ET12&gt;0)*'Long-Term Leases'!DU$17*$L12*$K12</f>
        <v>0</v>
      </c>
      <c r="AJU12" s="17">
        <f>(EU12&gt;0)*'Long-Term Leases'!DV$17*$L12*$K12</f>
        <v>0</v>
      </c>
      <c r="AJV12" s="17">
        <f>(EV12&gt;0)*'Long-Term Leases'!DW$17*$L12*$K12</f>
        <v>0</v>
      </c>
      <c r="AJW12" s="17">
        <f>(EW12&gt;0)*'Long-Term Leases'!DX$17*$L12*$K12</f>
        <v>0</v>
      </c>
      <c r="AJX12" s="17">
        <f>(EX12&gt;0)*'Long-Term Leases'!DY$17*$L12*$K12</f>
        <v>0</v>
      </c>
      <c r="AJY12" s="17">
        <f>(EY12&gt;0)*'Long-Term Leases'!DZ$17*$L12*$K12</f>
        <v>0</v>
      </c>
      <c r="AJZ12" s="17">
        <f>(EZ12&gt;0)*'Long-Term Leases'!EA$17*$L12*$K12</f>
        <v>0</v>
      </c>
      <c r="AKA12" s="17">
        <f>(FA12&gt;0)*'Long-Term Leases'!EB$17*$L12*$K12</f>
        <v>0</v>
      </c>
      <c r="AKB12" s="17">
        <f>(FB12&gt;0)*'Long-Term Leases'!EC$17*$L12*$K12</f>
        <v>0</v>
      </c>
      <c r="AKC12" s="17">
        <f>(FC12&gt;0)*'Long-Term Leases'!ED$17*$L12*$K12</f>
        <v>0</v>
      </c>
      <c r="AKD12" s="17">
        <f>(FD12&gt;0)*'Long-Term Leases'!EE$17*$L12*$K12</f>
        <v>0</v>
      </c>
      <c r="AKE12" s="17">
        <f>(FE12&gt;0)*'Long-Term Leases'!EF$17*$L12*$K12</f>
        <v>0</v>
      </c>
      <c r="AKF12" s="17">
        <f>(FF12&gt;0)*'Long-Term Leases'!EG$17*$L12*$K12</f>
        <v>0</v>
      </c>
      <c r="AKG12" s="17">
        <f>(FG12&gt;0)*'Long-Term Leases'!EH$17*$L12*$K12</f>
        <v>0</v>
      </c>
      <c r="AKH12" s="17">
        <f>(FH12&gt;0)*'Long-Term Leases'!EI$17*$L12*$K12</f>
        <v>0</v>
      </c>
      <c r="AKI12" s="17">
        <f>(FI12&gt;0)*'Long-Term Leases'!EJ$17*$L12*$K12</f>
        <v>0</v>
      </c>
      <c r="AKJ12" s="17">
        <f>(FJ12&gt;0)*'Long-Term Leases'!EK$17*$L12*$K12</f>
        <v>0</v>
      </c>
      <c r="AKK12" s="17">
        <f>(FK12&gt;0)*'Long-Term Leases'!EL$17*$L12*$K12</f>
        <v>0</v>
      </c>
      <c r="AKL12" s="17"/>
      <c r="AKM12" s="17"/>
      <c r="AKN12" s="17">
        <f>(FN12&gt;0)*'Long-Term Leases'!K$17*$X12*$W12</f>
        <v>0</v>
      </c>
      <c r="AKO12" s="17">
        <f>(FO12&gt;0)*'Long-Term Leases'!L$17*$X12*$W12</f>
        <v>0</v>
      </c>
      <c r="AKP12" s="17">
        <f>(FP12&gt;0)*'Long-Term Leases'!M$17*$X12*$W12</f>
        <v>0</v>
      </c>
      <c r="AKQ12" s="17">
        <f>(FQ12&gt;0)*'Long-Term Leases'!N$17*$X12*$W12</f>
        <v>0</v>
      </c>
      <c r="AKR12" s="17">
        <f>(FR12&gt;0)*'Long-Term Leases'!O$17*$X12*$W12</f>
        <v>0</v>
      </c>
      <c r="AKS12" s="17">
        <f>(FS12&gt;0)*'Long-Term Leases'!P$17*$X12*$W12</f>
        <v>0</v>
      </c>
      <c r="AKT12" s="17">
        <f>(FT12&gt;0)*'Long-Term Leases'!Q$17*$X12*$W12</f>
        <v>0</v>
      </c>
      <c r="AKU12" s="17">
        <f>(FU12&gt;0)*'Long-Term Leases'!R$17*$X12*$W12</f>
        <v>0</v>
      </c>
      <c r="AKV12" s="17">
        <f>(FV12&gt;0)*'Long-Term Leases'!S$17*$X12*$W12</f>
        <v>0</v>
      </c>
      <c r="AKW12" s="17">
        <f>(FW12&gt;0)*'Long-Term Leases'!T$17*$X12*$W12</f>
        <v>0</v>
      </c>
      <c r="AKX12" s="17">
        <f>(FX12&gt;0)*'Long-Term Leases'!U$17*$X12*$W12</f>
        <v>0</v>
      </c>
      <c r="AKY12" s="17">
        <f>(FY12&gt;0)*'Long-Term Leases'!V$17*$X12*$W12</f>
        <v>0</v>
      </c>
      <c r="AKZ12" s="17">
        <f>(FZ12&gt;0)*'Long-Term Leases'!W$17*$X12*$W12</f>
        <v>0</v>
      </c>
      <c r="ALA12" s="17">
        <f>(GA12&gt;0)*'Long-Term Leases'!X$17*$X12*$W12</f>
        <v>0</v>
      </c>
      <c r="ALB12" s="17">
        <f>(GB12&gt;0)*'Long-Term Leases'!Y$17*$X12*$W12</f>
        <v>0</v>
      </c>
      <c r="ALC12" s="17">
        <f>(GC12&gt;0)*'Long-Term Leases'!Z$17*$X12*$W12</f>
        <v>0</v>
      </c>
      <c r="ALD12" s="17">
        <f>(GD12&gt;0)*'Long-Term Leases'!AA$17*$X12*$W12</f>
        <v>0</v>
      </c>
      <c r="ALE12" s="17">
        <f>(GE12&gt;0)*'Long-Term Leases'!AB$17*$X12*$W12</f>
        <v>0</v>
      </c>
      <c r="ALF12" s="17">
        <f>(GF12&gt;0)*'Long-Term Leases'!AC$17*$X12*$W12</f>
        <v>0</v>
      </c>
      <c r="ALG12" s="17">
        <f>(GG12&gt;0)*'Long-Term Leases'!AD$17*$X12*$W12</f>
        <v>0</v>
      </c>
      <c r="ALH12" s="17">
        <f>(GH12&gt;0)*'Long-Term Leases'!AE$17*$X12*$W12</f>
        <v>0</v>
      </c>
      <c r="ALI12" s="17">
        <f>(GI12&gt;0)*'Long-Term Leases'!AF$17*$X12*$W12</f>
        <v>0</v>
      </c>
      <c r="ALJ12" s="17">
        <f>(GJ12&gt;0)*'Long-Term Leases'!AG$17*$X12*$W12</f>
        <v>0</v>
      </c>
      <c r="ALK12" s="17">
        <f>(GK12&gt;0)*'Long-Term Leases'!AH$17*$X12*$W12</f>
        <v>0</v>
      </c>
      <c r="ALL12" s="17">
        <f>(GL12&gt;0)*'Long-Term Leases'!AI$17*$X12*$W12</f>
        <v>0</v>
      </c>
      <c r="ALM12" s="17">
        <f>(GM12&gt;0)*'Long-Term Leases'!AJ$17*$X12*$W12</f>
        <v>0</v>
      </c>
      <c r="ALN12" s="17">
        <f>(GN12&gt;0)*'Long-Term Leases'!AK$17*$X12*$W12</f>
        <v>0</v>
      </c>
      <c r="ALO12" s="17">
        <f>(GO12&gt;0)*'Long-Term Leases'!AL$17*$X12*$W12</f>
        <v>0</v>
      </c>
      <c r="ALP12" s="17">
        <f>(GP12&gt;0)*'Long-Term Leases'!AM$17*$X12*$W12</f>
        <v>0</v>
      </c>
      <c r="ALQ12" s="17">
        <f>(GQ12&gt;0)*'Long-Term Leases'!AN$17*$X12*$W12</f>
        <v>0</v>
      </c>
      <c r="ALR12" s="17">
        <f>(GR12&gt;0)*'Long-Term Leases'!AO$17*$X12*$W12</f>
        <v>0</v>
      </c>
      <c r="ALS12" s="17">
        <f>(GS12&gt;0)*'Long-Term Leases'!AP$17*$X12*$W12</f>
        <v>0</v>
      </c>
      <c r="ALT12" s="17">
        <f>(GT12&gt;0)*'Long-Term Leases'!AQ$17*$X12*$W12</f>
        <v>0</v>
      </c>
      <c r="ALU12" s="17">
        <f>(GU12&gt;0)*'Long-Term Leases'!AR$17*$X12*$W12</f>
        <v>0</v>
      </c>
      <c r="ALV12" s="17">
        <f>(GV12&gt;0)*'Long-Term Leases'!AS$17*$X12*$W12</f>
        <v>0</v>
      </c>
      <c r="ALW12" s="17">
        <f>(GW12&gt;0)*'Long-Term Leases'!AT$17*$X12*$W12</f>
        <v>0</v>
      </c>
      <c r="ALX12" s="17">
        <f>(GX12&gt;0)*'Long-Term Leases'!AU$17*$X12*$W12</f>
        <v>0</v>
      </c>
      <c r="ALY12" s="17">
        <f>(GY12&gt;0)*'Long-Term Leases'!AV$17*$X12*$W12</f>
        <v>0</v>
      </c>
      <c r="ALZ12" s="17">
        <f>(GZ12&gt;0)*'Long-Term Leases'!AW$17*$X12*$W12</f>
        <v>0</v>
      </c>
      <c r="AMA12" s="17">
        <f>(HA12&gt;0)*'Long-Term Leases'!AX$17*$X12*$W12</f>
        <v>0</v>
      </c>
      <c r="AMB12" s="17">
        <f>(HB12&gt;0)*'Long-Term Leases'!AY$17*$X12*$W12</f>
        <v>0</v>
      </c>
      <c r="AMC12" s="17">
        <f>(HC12&gt;0)*'Long-Term Leases'!AZ$17*$X12*$W12</f>
        <v>0</v>
      </c>
      <c r="AMD12" s="17">
        <f>(HD12&gt;0)*'Long-Term Leases'!BA$17*$X12*$W12</f>
        <v>0</v>
      </c>
      <c r="AME12" s="17">
        <f>(HE12&gt;0)*'Long-Term Leases'!BB$17*$X12*$W12</f>
        <v>0</v>
      </c>
      <c r="AMF12" s="17">
        <f>(HF12&gt;0)*'Long-Term Leases'!BC$17*$X12*$W12</f>
        <v>0</v>
      </c>
      <c r="AMG12" s="17">
        <f>(HG12&gt;0)*'Long-Term Leases'!BD$17*$X12*$W12</f>
        <v>0</v>
      </c>
      <c r="AMH12" s="17">
        <f>(HH12&gt;0)*'Long-Term Leases'!BE$17*$X12*$W12</f>
        <v>0</v>
      </c>
      <c r="AMI12" s="17">
        <f>(HI12&gt;0)*'Long-Term Leases'!BF$17*$X12*$W12</f>
        <v>7870.7052844512227</v>
      </c>
      <c r="AMJ12" s="17">
        <f>(HJ12&gt;0)*'Long-Term Leases'!BG$17*$X12*$W12</f>
        <v>8028.1193901402485</v>
      </c>
      <c r="AMK12" s="17">
        <f>(HK12&gt;0)*'Long-Term Leases'!BH$17*$X12*$W12</f>
        <v>8028.1193901402485</v>
      </c>
      <c r="AML12" s="17">
        <f>(HL12&gt;0)*'Long-Term Leases'!BI$17*$X12*$W12</f>
        <v>8028.1193901402485</v>
      </c>
      <c r="AMM12" s="17">
        <f>(HM12&gt;0)*'Long-Term Leases'!BJ$17*$X12*$W12</f>
        <v>8028.1193901402485</v>
      </c>
      <c r="AMN12" s="17">
        <f>(HN12&gt;0)*'Long-Term Leases'!BK$17*$X12*$W12</f>
        <v>8028.1193901402485</v>
      </c>
      <c r="AMO12" s="17">
        <f>(HO12&gt;0)*'Long-Term Leases'!BL$17*$X12*$W12</f>
        <v>8028.1193901402485</v>
      </c>
      <c r="AMP12" s="17">
        <f>(HP12&gt;0)*'Long-Term Leases'!BM$17*$X12*$W12</f>
        <v>8028.1193901402485</v>
      </c>
      <c r="AMQ12" s="17">
        <f>(HQ12&gt;0)*'Long-Term Leases'!BN$17*$X12*$W12</f>
        <v>8028.1193901402485</v>
      </c>
      <c r="AMR12" s="17">
        <f>(HR12&gt;0)*'Long-Term Leases'!BO$17*$X12*$W12</f>
        <v>8028.1193901402485</v>
      </c>
      <c r="AMS12" s="17">
        <f>(HS12&gt;0)*'Long-Term Leases'!BP$17*$X12*$W12</f>
        <v>8028.1193901402485</v>
      </c>
      <c r="AMT12" s="17">
        <f>(HT12&gt;0)*'Long-Term Leases'!BQ$17*$X12*$W12</f>
        <v>8028.1193901402485</v>
      </c>
      <c r="AMU12" s="17">
        <f>(HU12&gt;0)*'Long-Term Leases'!BR$17*$X12*$W12</f>
        <v>8028.1193901402485</v>
      </c>
      <c r="AMV12" s="17">
        <f>(HV12&gt;0)*'Long-Term Leases'!BS$17*$X12*$W12</f>
        <v>8188.6817779430521</v>
      </c>
      <c r="AMW12" s="17">
        <f>(HW12&gt;0)*'Long-Term Leases'!BT$17*$X12*$W12</f>
        <v>8188.6817779430521</v>
      </c>
      <c r="AMX12" s="17">
        <f>(HX12&gt;0)*'Long-Term Leases'!BU$17*$X12*$W12</f>
        <v>8188.6817779430521</v>
      </c>
      <c r="AMY12" s="17">
        <f>(HY12&gt;0)*'Long-Term Leases'!BV$17*$X12*$W12</f>
        <v>8188.6817779430521</v>
      </c>
      <c r="AMZ12" s="17">
        <f>(HZ12&gt;0)*'Long-Term Leases'!BW$17*$X12*$W12</f>
        <v>8188.6817779430521</v>
      </c>
      <c r="ANA12" s="17">
        <f>(IA12&gt;0)*'Long-Term Leases'!BX$17*$X12*$W12</f>
        <v>8188.6817779430521</v>
      </c>
      <c r="ANB12" s="17">
        <f>(IB12&gt;0)*'Long-Term Leases'!BY$17*$X12*$W12</f>
        <v>8188.6817779430521</v>
      </c>
      <c r="ANC12" s="17">
        <f>(IC12&gt;0)*'Long-Term Leases'!BZ$17*$X12*$W12</f>
        <v>8188.6817779430521</v>
      </c>
      <c r="AND12" s="17">
        <f>(ID12&gt;0)*'Long-Term Leases'!CA$17*$X12*$W12</f>
        <v>8188.6817779430521</v>
      </c>
      <c r="ANE12" s="17">
        <f>(IE12&gt;0)*'Long-Term Leases'!CB$17*$X12*$W12</f>
        <v>8188.6817779430521</v>
      </c>
      <c r="ANF12" s="17">
        <f>(IF12&gt;0)*'Long-Term Leases'!CC$17*$X12*$W12</f>
        <v>8188.6817779430521</v>
      </c>
      <c r="ANG12" s="17">
        <f>(IG12&gt;0)*'Long-Term Leases'!CD$17*$X12*$W12</f>
        <v>8188.6817779430521</v>
      </c>
      <c r="ANH12" s="17">
        <f>(IH12&gt;0)*'Long-Term Leases'!CE$17*$X12*$W12</f>
        <v>8352.4554135019134</v>
      </c>
      <c r="ANI12" s="17">
        <f>(II12&gt;0)*'Long-Term Leases'!CF$17*$X12*$W12</f>
        <v>8352.4554135019134</v>
      </c>
      <c r="ANJ12" s="17">
        <f>(IJ12&gt;0)*'Long-Term Leases'!CG$17*$X12*$W12</f>
        <v>8352.4554135019134</v>
      </c>
      <c r="ANK12" s="17">
        <f>(IK12&gt;0)*'Long-Term Leases'!CH$17*$X12*$W12</f>
        <v>8352.4554135019134</v>
      </c>
      <c r="ANL12" s="17">
        <f>(IL12&gt;0)*'Long-Term Leases'!CI$17*$X12*$W12</f>
        <v>8352.4554135019134</v>
      </c>
      <c r="ANM12" s="17">
        <f>(IM12&gt;0)*'Long-Term Leases'!CJ$17*$X12*$W12</f>
        <v>8352.4554135019134</v>
      </c>
      <c r="ANN12" s="17">
        <f>(IN12&gt;0)*'Long-Term Leases'!CK$17*$X12*$W12</f>
        <v>8352.4554135019134</v>
      </c>
      <c r="ANO12" s="17">
        <f>(IO12&gt;0)*'Long-Term Leases'!CL$17*$X12*$W12</f>
        <v>8352.4554135019134</v>
      </c>
      <c r="ANP12" s="17">
        <f>(IP12&gt;0)*'Long-Term Leases'!CM$17*$X12*$W12</f>
        <v>8352.4554135019134</v>
      </c>
      <c r="ANQ12" s="17">
        <f>(IQ12&gt;0)*'Long-Term Leases'!CN$17*$X12*$W12</f>
        <v>8352.4554135019134</v>
      </c>
      <c r="ANR12" s="17">
        <f>(IR12&gt;0)*'Long-Term Leases'!CO$17*$X12*$W12</f>
        <v>8352.4554135019134</v>
      </c>
      <c r="ANS12" s="17">
        <f>(IS12&gt;0)*'Long-Term Leases'!CP$17*$X12*$W12</f>
        <v>8352.4554135019134</v>
      </c>
      <c r="ANT12" s="17">
        <f>(IT12&gt;0)*'Long-Term Leases'!CQ$17*$X12*$W12</f>
        <v>8519.5045217719507</v>
      </c>
      <c r="ANU12" s="17">
        <f>(IU12&gt;0)*'Long-Term Leases'!CR$17*$X12*$W12</f>
        <v>8519.5045217719507</v>
      </c>
      <c r="ANV12" s="17">
        <f>(IV12&gt;0)*'Long-Term Leases'!CS$17*$X12*$W12</f>
        <v>8519.5045217719507</v>
      </c>
      <c r="ANW12" s="17">
        <f>(IW12&gt;0)*'Long-Term Leases'!CT$17*$X12*$W12</f>
        <v>8519.5045217719507</v>
      </c>
      <c r="ANX12" s="17">
        <f>(IX12&gt;0)*'Long-Term Leases'!CU$17*$X12*$W12</f>
        <v>8519.5045217719507</v>
      </c>
      <c r="ANY12" s="17">
        <f>(IY12&gt;0)*'Long-Term Leases'!CV$17*$X12*$W12</f>
        <v>8519.5045217719507</v>
      </c>
      <c r="ANZ12" s="17">
        <f>(IZ12&gt;0)*'Long-Term Leases'!CW$17*$X12*$W12</f>
        <v>8519.5045217719507</v>
      </c>
      <c r="AOA12" s="17">
        <f>(JA12&gt;0)*'Long-Term Leases'!CX$17*$X12*$W12</f>
        <v>8519.5045217719507</v>
      </c>
      <c r="AOB12" s="17">
        <f>(JB12&gt;0)*'Long-Term Leases'!CY$17*$X12*$W12</f>
        <v>8519.5045217719507</v>
      </c>
      <c r="AOC12" s="17">
        <f>(JC12&gt;0)*'Long-Term Leases'!CZ$17*$X12*$W12</f>
        <v>8519.5045217719507</v>
      </c>
      <c r="AOD12" s="17">
        <f>(JD12&gt;0)*'Long-Term Leases'!DA$17*$X12*$W12</f>
        <v>8519.5045217719507</v>
      </c>
      <c r="AOE12" s="17">
        <f>(JE12&gt;0)*'Long-Term Leases'!DB$17*$X12*$W12</f>
        <v>8519.5045217719507</v>
      </c>
      <c r="AOF12" s="17">
        <f>(JF12&gt;0)*'Long-Term Leases'!DC$17*$X12*$W12</f>
        <v>8689.8946122073903</v>
      </c>
      <c r="AOG12" s="17">
        <f>(JG12&gt;0)*'Long-Term Leases'!DD$17*$X12*$W12</f>
        <v>8689.8946122073903</v>
      </c>
      <c r="AOH12" s="17">
        <f>(JH12&gt;0)*'Long-Term Leases'!DE$17*$X12*$W12</f>
        <v>8689.8946122073903</v>
      </c>
      <c r="AOI12" s="17">
        <f>(JI12&gt;0)*'Long-Term Leases'!DF$17*$X12*$W12</f>
        <v>8689.8946122073903</v>
      </c>
      <c r="AOJ12" s="17">
        <f>(JJ12&gt;0)*'Long-Term Leases'!DG$17*$X12*$W12</f>
        <v>8689.8946122073903</v>
      </c>
      <c r="AOK12" s="17">
        <f>(JK12&gt;0)*'Long-Term Leases'!DH$17*$X12*$W12</f>
        <v>8689.8946122073903</v>
      </c>
      <c r="AOL12" s="17">
        <f>(JL12&gt;0)*'Long-Term Leases'!DI$17*$X12*$W12</f>
        <v>8689.8946122073903</v>
      </c>
      <c r="AOM12" s="17">
        <f>(JM12&gt;0)*'Long-Term Leases'!DJ$17*$X12*$W12</f>
        <v>8689.8946122073903</v>
      </c>
      <c r="AON12" s="17">
        <f>(JN12&gt;0)*'Long-Term Leases'!DK$17*$X12*$W12</f>
        <v>8689.8946122073903</v>
      </c>
      <c r="AOO12" s="17">
        <f>(JO12&gt;0)*'Long-Term Leases'!DL$17*$X12*$W12</f>
        <v>8689.8946122073903</v>
      </c>
      <c r="AOP12" s="17">
        <f>(JP12&gt;0)*'Long-Term Leases'!DM$17*$X12*$W12</f>
        <v>8689.8946122073903</v>
      </c>
      <c r="AOQ12" s="17">
        <f>(JQ12&gt;0)*'Long-Term Leases'!DN$17*$X12*$W12</f>
        <v>8689.8946122073903</v>
      </c>
      <c r="AOR12" s="17">
        <f>(JR12&gt;0)*'Long-Term Leases'!DO$17*$X12*$W12</f>
        <v>8863.6925044515392</v>
      </c>
      <c r="AOS12" s="17">
        <f>(JS12&gt;0)*'Long-Term Leases'!DP$17*$X12*$W12</f>
        <v>8863.6925044515392</v>
      </c>
      <c r="AOT12" s="17">
        <f>(JT12&gt;0)*'Long-Term Leases'!DQ$17*$X12*$W12</f>
        <v>8863.6925044515392</v>
      </c>
      <c r="AOU12" s="17">
        <f>(JU12&gt;0)*'Long-Term Leases'!DR$17*$X12*$W12</f>
        <v>8863.6925044515392</v>
      </c>
      <c r="AOV12" s="17">
        <f>(JV12&gt;0)*'Long-Term Leases'!DS$17*$X12*$W12</f>
        <v>8863.6925044515392</v>
      </c>
      <c r="AOW12" s="17">
        <f>(JW12&gt;0)*'Long-Term Leases'!DT$17*$X12*$W12</f>
        <v>8863.6925044515392</v>
      </c>
      <c r="AOX12" s="17">
        <f>(JX12&gt;0)*'Long-Term Leases'!DU$17*$X12*$W12</f>
        <v>8863.6925044515392</v>
      </c>
      <c r="AOY12" s="17">
        <f>(JY12&gt;0)*'Long-Term Leases'!DV$17*$X12*$W12</f>
        <v>8863.6925044515392</v>
      </c>
      <c r="AOZ12" s="17">
        <f>(JZ12&gt;0)*'Long-Term Leases'!DW$17*$X12*$W12</f>
        <v>8863.6925044515392</v>
      </c>
      <c r="APA12" s="17">
        <f>(KA12&gt;0)*'Long-Term Leases'!DX$17*$X12*$W12</f>
        <v>8863.6925044515392</v>
      </c>
      <c r="APB12" s="17">
        <f>(KB12&gt;0)*'Long-Term Leases'!DY$17*$X12*$W12</f>
        <v>8863.6925044515392</v>
      </c>
      <c r="APC12" s="17">
        <f>(KC12&gt;0)*'Long-Term Leases'!DZ$17*$X12*$W12</f>
        <v>8863.6925044515392</v>
      </c>
      <c r="APD12" s="17">
        <f>(KD12&gt;0)*'Long-Term Leases'!EA$17*$X12*$W12</f>
        <v>9040.9663545405692</v>
      </c>
      <c r="APE12" s="17">
        <f>(KE12&gt;0)*'Long-Term Leases'!EB$17*$X12*$W12</f>
        <v>9040.9663545405692</v>
      </c>
      <c r="APF12" s="17">
        <f>(KF12&gt;0)*'Long-Term Leases'!EC$17*$X12*$W12</f>
        <v>9040.9663545405692</v>
      </c>
      <c r="APG12" s="17">
        <f>(KG12&gt;0)*'Long-Term Leases'!ED$17*$X12*$W12</f>
        <v>9040.9663545405692</v>
      </c>
      <c r="APH12" s="17">
        <f>(KH12&gt;0)*'Long-Term Leases'!EE$17*$X12*$W12</f>
        <v>9040.9663545405692</v>
      </c>
      <c r="API12" s="17">
        <f>(KI12&gt;0)*'Long-Term Leases'!EF$17*$X12*$W12</f>
        <v>9040.9663545405692</v>
      </c>
      <c r="APJ12" s="17">
        <f>(KJ12&gt;0)*'Long-Term Leases'!EG$17*$X12*$W12</f>
        <v>9040.9663545405692</v>
      </c>
      <c r="APK12" s="17">
        <f>(KK12&gt;0)*'Long-Term Leases'!EH$17*$X12*$W12</f>
        <v>9040.9663545405692</v>
      </c>
      <c r="APL12" s="17">
        <f>(KL12&gt;0)*'Long-Term Leases'!EI$17*$X12*$W12</f>
        <v>9040.9663545405692</v>
      </c>
      <c r="APM12" s="17">
        <f>(KM12&gt;0)*'Long-Term Leases'!EJ$17*$X12*$W12</f>
        <v>9040.9663545405692</v>
      </c>
      <c r="APN12" s="17">
        <f>(KN12&gt;0)*'Long-Term Leases'!EK$17*$X12*$W12</f>
        <v>9040.9663545405692</v>
      </c>
      <c r="APO12" s="17">
        <f>(KO12&gt;0)*'Long-Term Leases'!EL$17*$X12*$W12</f>
        <v>9040.9663545405692</v>
      </c>
      <c r="APP12" s="17"/>
      <c r="APQ12" s="17"/>
      <c r="APR12" s="17">
        <f t="shared" si="1307"/>
        <v>0</v>
      </c>
      <c r="APS12" s="17">
        <f t="shared" si="1278"/>
        <v>0</v>
      </c>
      <c r="APT12" s="17">
        <f t="shared" si="1278"/>
        <v>0</v>
      </c>
      <c r="APU12" s="17">
        <f t="shared" si="1278"/>
        <v>0</v>
      </c>
      <c r="APV12" s="17">
        <f t="shared" si="1278"/>
        <v>0</v>
      </c>
      <c r="APW12" s="17">
        <f t="shared" si="1278"/>
        <v>0</v>
      </c>
      <c r="APX12" s="17">
        <f t="shared" si="1278"/>
        <v>0</v>
      </c>
      <c r="APY12" s="17">
        <f t="shared" si="1278"/>
        <v>0</v>
      </c>
      <c r="APZ12" s="17">
        <f t="shared" si="1278"/>
        <v>0</v>
      </c>
      <c r="AQA12" s="17">
        <f t="shared" si="1278"/>
        <v>0</v>
      </c>
      <c r="AQB12" s="17">
        <f t="shared" si="1278"/>
        <v>0</v>
      </c>
      <c r="AQC12" s="17">
        <f t="shared" si="1278"/>
        <v>0</v>
      </c>
      <c r="AQD12" s="17">
        <f t="shared" si="1278"/>
        <v>0</v>
      </c>
      <c r="AQE12" s="17">
        <f t="shared" si="1278"/>
        <v>0</v>
      </c>
      <c r="AQF12" s="17">
        <f t="shared" si="1278"/>
        <v>0</v>
      </c>
      <c r="AQG12" s="17">
        <f t="shared" si="1278"/>
        <v>0</v>
      </c>
      <c r="AQH12" s="17">
        <f t="shared" si="1278"/>
        <v>0</v>
      </c>
      <c r="AQI12" s="17">
        <f t="shared" si="1279"/>
        <v>0</v>
      </c>
      <c r="AQJ12" s="17">
        <f t="shared" si="1279"/>
        <v>0</v>
      </c>
      <c r="AQK12" s="17">
        <f t="shared" si="1279"/>
        <v>0</v>
      </c>
      <c r="AQL12" s="17">
        <f t="shared" si="1279"/>
        <v>0</v>
      </c>
      <c r="AQM12" s="17">
        <f t="shared" si="1279"/>
        <v>0</v>
      </c>
      <c r="AQN12" s="17">
        <f t="shared" si="1279"/>
        <v>0</v>
      </c>
      <c r="AQO12" s="17">
        <f t="shared" si="1279"/>
        <v>0</v>
      </c>
      <c r="AQP12" s="17">
        <f t="shared" si="1279"/>
        <v>0</v>
      </c>
      <c r="AQQ12" s="17">
        <f t="shared" si="1279"/>
        <v>0</v>
      </c>
      <c r="AQR12" s="17">
        <f t="shared" si="1279"/>
        <v>0</v>
      </c>
      <c r="AQS12" s="17">
        <f t="shared" si="1279"/>
        <v>0</v>
      </c>
      <c r="AQT12" s="17">
        <f t="shared" si="1279"/>
        <v>0</v>
      </c>
      <c r="AQU12" s="17">
        <f t="shared" si="1279"/>
        <v>0</v>
      </c>
      <c r="AQV12" s="17">
        <f t="shared" si="1279"/>
        <v>0</v>
      </c>
      <c r="AQW12" s="17">
        <f t="shared" si="1279"/>
        <v>0</v>
      </c>
      <c r="AQX12" s="17">
        <f t="shared" si="1279"/>
        <v>0</v>
      </c>
      <c r="AQY12" s="17">
        <f t="shared" si="1280"/>
        <v>0</v>
      </c>
      <c r="AQZ12" s="17">
        <f t="shared" si="1280"/>
        <v>0</v>
      </c>
      <c r="ARA12" s="17">
        <f t="shared" si="1280"/>
        <v>0</v>
      </c>
      <c r="ARB12" s="17">
        <f t="shared" si="1280"/>
        <v>0</v>
      </c>
      <c r="ARC12" s="17">
        <f t="shared" si="1280"/>
        <v>0</v>
      </c>
      <c r="ARD12" s="17">
        <f t="shared" si="1280"/>
        <v>0</v>
      </c>
      <c r="ARE12" s="17">
        <f t="shared" si="1280"/>
        <v>0</v>
      </c>
      <c r="ARF12" s="17">
        <f t="shared" si="1280"/>
        <v>0</v>
      </c>
      <c r="ARG12" s="17">
        <f t="shared" si="1280"/>
        <v>0</v>
      </c>
      <c r="ARH12" s="17">
        <f t="shared" si="1280"/>
        <v>0</v>
      </c>
      <c r="ARI12" s="17">
        <f t="shared" si="1280"/>
        <v>0</v>
      </c>
      <c r="ARJ12" s="17">
        <f t="shared" si="1280"/>
        <v>0</v>
      </c>
      <c r="ARK12" s="17">
        <f t="shared" si="1280"/>
        <v>0</v>
      </c>
      <c r="ARL12" s="17">
        <f t="shared" si="1280"/>
        <v>0</v>
      </c>
      <c r="ARM12" s="17">
        <f t="shared" si="1280"/>
        <v>294110.71937663999</v>
      </c>
      <c r="ARN12" s="17">
        <f t="shared" si="1280"/>
        <v>0</v>
      </c>
      <c r="ARO12" s="17">
        <f t="shared" si="1281"/>
        <v>0</v>
      </c>
      <c r="ARP12" s="17">
        <f t="shared" si="1281"/>
        <v>0</v>
      </c>
      <c r="ARQ12" s="17">
        <f t="shared" si="1281"/>
        <v>0</v>
      </c>
      <c r="ARR12" s="17">
        <f t="shared" si="1281"/>
        <v>0</v>
      </c>
      <c r="ARS12" s="17">
        <f t="shared" si="1281"/>
        <v>0</v>
      </c>
      <c r="ART12" s="17">
        <f t="shared" si="1281"/>
        <v>0</v>
      </c>
      <c r="ARU12" s="17">
        <f t="shared" si="1281"/>
        <v>0</v>
      </c>
      <c r="ARV12" s="17">
        <f t="shared" si="1281"/>
        <v>0</v>
      </c>
      <c r="ARW12" s="17">
        <f t="shared" si="1281"/>
        <v>0</v>
      </c>
      <c r="ARX12" s="17">
        <f t="shared" si="1281"/>
        <v>0</v>
      </c>
      <c r="ARY12" s="17">
        <f t="shared" si="1281"/>
        <v>0</v>
      </c>
      <c r="ARZ12" s="17">
        <f t="shared" si="1281"/>
        <v>0</v>
      </c>
      <c r="ASA12" s="17">
        <f t="shared" si="1281"/>
        <v>0</v>
      </c>
      <c r="ASB12" s="17">
        <f t="shared" si="1281"/>
        <v>0</v>
      </c>
      <c r="ASC12" s="17">
        <f t="shared" si="1281"/>
        <v>0</v>
      </c>
      <c r="ASD12" s="17">
        <f t="shared" si="1281"/>
        <v>0</v>
      </c>
      <c r="ASE12" s="17">
        <f t="shared" si="1282"/>
        <v>0</v>
      </c>
      <c r="ASF12" s="17">
        <f t="shared" si="1282"/>
        <v>0</v>
      </c>
      <c r="ASG12" s="17">
        <f t="shared" si="1282"/>
        <v>0</v>
      </c>
      <c r="ASH12" s="17">
        <f t="shared" si="1282"/>
        <v>0</v>
      </c>
      <c r="ASI12" s="17">
        <f t="shared" si="1282"/>
        <v>0</v>
      </c>
      <c r="ASJ12" s="17">
        <f t="shared" si="1282"/>
        <v>0</v>
      </c>
      <c r="ASK12" s="17">
        <f t="shared" si="1282"/>
        <v>0</v>
      </c>
      <c r="ASL12" s="17">
        <f t="shared" si="1282"/>
        <v>0</v>
      </c>
      <c r="ASM12" s="17">
        <f t="shared" si="1282"/>
        <v>0</v>
      </c>
      <c r="ASN12" s="17">
        <f t="shared" si="1282"/>
        <v>0</v>
      </c>
      <c r="ASO12" s="17">
        <f t="shared" si="1282"/>
        <v>0</v>
      </c>
      <c r="ASP12" s="17">
        <f t="shared" si="1282"/>
        <v>0</v>
      </c>
      <c r="ASQ12" s="17">
        <f t="shared" si="1282"/>
        <v>0</v>
      </c>
      <c r="ASR12" s="17">
        <f t="shared" si="1282"/>
        <v>0</v>
      </c>
      <c r="ASS12" s="17">
        <f t="shared" si="1282"/>
        <v>0</v>
      </c>
      <c r="AST12" s="17">
        <f t="shared" si="1282"/>
        <v>0</v>
      </c>
      <c r="ASU12" s="17">
        <f t="shared" si="1283"/>
        <v>0</v>
      </c>
      <c r="ASV12" s="17">
        <f t="shared" si="1283"/>
        <v>0</v>
      </c>
      <c r="ASW12" s="17">
        <f t="shared" si="1283"/>
        <v>0</v>
      </c>
      <c r="ASX12" s="17">
        <f t="shared" si="1283"/>
        <v>0</v>
      </c>
      <c r="ASY12" s="17">
        <f t="shared" si="1283"/>
        <v>0</v>
      </c>
      <c r="ASZ12" s="17">
        <f t="shared" si="1283"/>
        <v>0</v>
      </c>
      <c r="ATA12" s="17">
        <f t="shared" si="1283"/>
        <v>0</v>
      </c>
      <c r="ATB12" s="17">
        <f t="shared" si="1283"/>
        <v>0</v>
      </c>
      <c r="ATC12" s="17">
        <f t="shared" si="1283"/>
        <v>0</v>
      </c>
      <c r="ATD12" s="17">
        <f t="shared" si="1283"/>
        <v>0</v>
      </c>
      <c r="ATE12" s="17">
        <f t="shared" si="1283"/>
        <v>0</v>
      </c>
      <c r="ATF12" s="17">
        <f t="shared" si="1283"/>
        <v>0</v>
      </c>
      <c r="ATG12" s="17">
        <f t="shared" si="1283"/>
        <v>0</v>
      </c>
      <c r="ATH12" s="17">
        <f t="shared" si="1283"/>
        <v>0</v>
      </c>
      <c r="ATI12" s="17">
        <f t="shared" si="1283"/>
        <v>0</v>
      </c>
      <c r="ATJ12" s="17">
        <f t="shared" si="1283"/>
        <v>0</v>
      </c>
      <c r="ATK12" s="17">
        <f t="shared" si="1284"/>
        <v>0</v>
      </c>
      <c r="ATL12" s="17">
        <f t="shared" si="1284"/>
        <v>0</v>
      </c>
      <c r="ATM12" s="17">
        <f t="shared" si="1284"/>
        <v>0</v>
      </c>
      <c r="ATN12" s="17">
        <f t="shared" si="1284"/>
        <v>0</v>
      </c>
      <c r="ATO12" s="17">
        <f t="shared" si="1284"/>
        <v>0</v>
      </c>
      <c r="ATP12" s="17">
        <f t="shared" si="1284"/>
        <v>0</v>
      </c>
      <c r="ATQ12" s="17">
        <f t="shared" si="1284"/>
        <v>0</v>
      </c>
      <c r="ATR12" s="17">
        <f t="shared" si="1284"/>
        <v>0</v>
      </c>
      <c r="ATS12" s="17">
        <f t="shared" si="1284"/>
        <v>0</v>
      </c>
      <c r="ATT12" s="17">
        <f t="shared" si="1284"/>
        <v>0</v>
      </c>
      <c r="ATU12" s="17">
        <f t="shared" si="1284"/>
        <v>0</v>
      </c>
      <c r="ATV12" s="17">
        <f t="shared" si="1284"/>
        <v>0</v>
      </c>
      <c r="ATW12" s="17">
        <f t="shared" si="1284"/>
        <v>0</v>
      </c>
      <c r="ATX12" s="17">
        <f t="shared" si="1284"/>
        <v>0</v>
      </c>
      <c r="ATY12" s="17">
        <f t="shared" si="1284"/>
        <v>0</v>
      </c>
      <c r="ATZ12" s="17">
        <f t="shared" si="1284"/>
        <v>0</v>
      </c>
      <c r="AUA12" s="17">
        <f t="shared" si="1285"/>
        <v>0</v>
      </c>
      <c r="AUB12" s="17">
        <f t="shared" si="1285"/>
        <v>0</v>
      </c>
      <c r="AUC12" s="17">
        <f t="shared" si="1285"/>
        <v>0</v>
      </c>
      <c r="AUD12" s="17">
        <f t="shared" si="1285"/>
        <v>0</v>
      </c>
      <c r="AUE12" s="17">
        <f t="shared" si="1285"/>
        <v>0</v>
      </c>
      <c r="AUF12" s="17">
        <f t="shared" si="1285"/>
        <v>0</v>
      </c>
      <c r="AUG12" s="17">
        <f t="shared" si="1285"/>
        <v>0</v>
      </c>
      <c r="AUH12" s="17">
        <f t="shared" si="1285"/>
        <v>0</v>
      </c>
      <c r="AUI12" s="17">
        <f t="shared" si="1285"/>
        <v>0</v>
      </c>
      <c r="AUJ12" s="17">
        <f t="shared" si="1285"/>
        <v>0</v>
      </c>
      <c r="AUK12" s="17">
        <f t="shared" si="1285"/>
        <v>0</v>
      </c>
      <c r="AUL12" s="17">
        <f t="shared" si="1285"/>
        <v>0</v>
      </c>
      <c r="AUM12" s="17">
        <f t="shared" si="1285"/>
        <v>0</v>
      </c>
      <c r="AUN12" s="17">
        <f t="shared" si="1285"/>
        <v>0</v>
      </c>
      <c r="AUO12" s="17">
        <f t="shared" si="1285"/>
        <v>0</v>
      </c>
      <c r="AUP12" s="17">
        <f t="shared" si="1285"/>
        <v>0</v>
      </c>
      <c r="AUQ12" s="17">
        <f t="shared" si="1286"/>
        <v>0</v>
      </c>
      <c r="AUR12" s="17">
        <f t="shared" si="1286"/>
        <v>0</v>
      </c>
      <c r="AUS12" s="17">
        <f t="shared" si="1286"/>
        <v>0</v>
      </c>
      <c r="AUT12" s="17"/>
      <c r="AUU12" s="17"/>
    </row>
    <row r="13" spans="1:1243" x14ac:dyDescent="0.3">
      <c r="A13" s="44"/>
      <c r="B13" s="43">
        <v>700</v>
      </c>
      <c r="C13" s="44" t="s">
        <v>86</v>
      </c>
      <c r="D13" s="47">
        <v>13899</v>
      </c>
      <c r="E13" s="54">
        <v>1</v>
      </c>
      <c r="F13" s="54">
        <v>84</v>
      </c>
      <c r="G13" s="45">
        <v>12.5</v>
      </c>
      <c r="H13" s="48">
        <f t="shared" si="1287"/>
        <v>173737.5</v>
      </c>
      <c r="I13" s="53">
        <f t="shared" si="1288"/>
        <v>0.02</v>
      </c>
      <c r="J13" s="54">
        <v>1</v>
      </c>
      <c r="K13" s="56">
        <v>1</v>
      </c>
      <c r="L13" s="16">
        <f t="shared" si="1289"/>
        <v>0.10161944799853774</v>
      </c>
      <c r="M13" s="57">
        <v>14.5</v>
      </c>
      <c r="N13" s="26">
        <v>0.02</v>
      </c>
      <c r="O13" s="26">
        <v>0.8</v>
      </c>
      <c r="P13" s="58">
        <v>12</v>
      </c>
      <c r="Q13" s="58">
        <v>120</v>
      </c>
      <c r="R13" s="55">
        <f t="shared" si="1290"/>
        <v>88</v>
      </c>
      <c r="S13" s="55">
        <f t="shared" si="1291"/>
        <v>207</v>
      </c>
      <c r="T13" s="4">
        <f t="shared" si="1292"/>
        <v>16.655942180914558</v>
      </c>
      <c r="U13" s="53">
        <f t="shared" si="1293"/>
        <v>0.02</v>
      </c>
      <c r="V13" s="55">
        <f t="shared" si="1294"/>
        <v>4</v>
      </c>
      <c r="W13" s="56">
        <f t="shared" si="1295"/>
        <v>1</v>
      </c>
      <c r="X13" s="16">
        <f t="shared" si="1296"/>
        <v>0.10161944799853774</v>
      </c>
      <c r="Y13" s="58">
        <v>9</v>
      </c>
      <c r="Z13" s="58">
        <v>3</v>
      </c>
      <c r="AA13" s="4">
        <f t="shared" si="1297"/>
        <v>6.9399759087143993</v>
      </c>
      <c r="AB13" s="45">
        <v>25</v>
      </c>
      <c r="AC13" s="45">
        <v>10</v>
      </c>
      <c r="AD13" s="26">
        <v>0.06</v>
      </c>
      <c r="AE13" s="26">
        <v>0.03</v>
      </c>
      <c r="AF13" s="4">
        <f t="shared" si="1298"/>
        <v>13</v>
      </c>
      <c r="AG13" s="4">
        <f t="shared" si="1299"/>
        <v>5.9961391851292403</v>
      </c>
      <c r="AH13" s="4">
        <f t="shared" si="1300"/>
        <v>18.996139185129241</v>
      </c>
      <c r="AJ13" s="17">
        <f t="shared" si="1301"/>
        <v>13899</v>
      </c>
      <c r="AK13" s="17">
        <f t="shared" si="1120"/>
        <v>13899</v>
      </c>
      <c r="AL13" s="17">
        <f t="shared" si="1120"/>
        <v>13899</v>
      </c>
      <c r="AM13" s="17">
        <f t="shared" si="1120"/>
        <v>13899</v>
      </c>
      <c r="AN13" s="17">
        <f t="shared" si="1120"/>
        <v>13899</v>
      </c>
      <c r="AO13" s="17">
        <f t="shared" si="1120"/>
        <v>13899</v>
      </c>
      <c r="AP13" s="17">
        <f t="shared" si="1120"/>
        <v>13899</v>
      </c>
      <c r="AQ13" s="17">
        <f t="shared" si="1120"/>
        <v>13899</v>
      </c>
      <c r="AR13" s="17">
        <f t="shared" si="1120"/>
        <v>13899</v>
      </c>
      <c r="AS13" s="17">
        <f t="shared" si="1120"/>
        <v>13899</v>
      </c>
      <c r="AT13" s="17">
        <f t="shared" si="1120"/>
        <v>13899</v>
      </c>
      <c r="AU13" s="17">
        <f t="shared" si="1120"/>
        <v>13899</v>
      </c>
      <c r="AV13" s="17">
        <f t="shared" si="1120"/>
        <v>13899</v>
      </c>
      <c r="AW13" s="17">
        <f t="shared" si="1120"/>
        <v>13899</v>
      </c>
      <c r="AX13" s="17">
        <f t="shared" si="1120"/>
        <v>13899</v>
      </c>
      <c r="AY13" s="17">
        <f t="shared" si="1120"/>
        <v>13899</v>
      </c>
      <c r="AZ13" s="17">
        <f t="shared" si="1120"/>
        <v>13899</v>
      </c>
      <c r="BA13" s="17">
        <f t="shared" si="1121"/>
        <v>13899</v>
      </c>
      <c r="BB13" s="17">
        <f t="shared" si="1121"/>
        <v>13899</v>
      </c>
      <c r="BC13" s="17">
        <f t="shared" si="1121"/>
        <v>13899</v>
      </c>
      <c r="BD13" s="17">
        <f t="shared" si="1121"/>
        <v>13899</v>
      </c>
      <c r="BE13" s="17">
        <f t="shared" si="1121"/>
        <v>13899</v>
      </c>
      <c r="BF13" s="17">
        <f t="shared" si="1121"/>
        <v>13899</v>
      </c>
      <c r="BG13" s="17">
        <f t="shared" si="1121"/>
        <v>13899</v>
      </c>
      <c r="BH13" s="17">
        <f t="shared" si="1121"/>
        <v>13899</v>
      </c>
      <c r="BI13" s="17">
        <f t="shared" si="1121"/>
        <v>13899</v>
      </c>
      <c r="BJ13" s="17">
        <f t="shared" si="1121"/>
        <v>13899</v>
      </c>
      <c r="BK13" s="17">
        <f t="shared" si="1121"/>
        <v>13899</v>
      </c>
      <c r="BL13" s="17">
        <f t="shared" si="1121"/>
        <v>13899</v>
      </c>
      <c r="BM13" s="17">
        <f t="shared" si="1121"/>
        <v>13899</v>
      </c>
      <c r="BN13" s="17">
        <f t="shared" si="1121"/>
        <v>13899</v>
      </c>
      <c r="BO13" s="17">
        <f t="shared" si="1121"/>
        <v>13899</v>
      </c>
      <c r="BP13" s="17">
        <f t="shared" si="1121"/>
        <v>13899</v>
      </c>
      <c r="BQ13" s="17">
        <f t="shared" si="1122"/>
        <v>13899</v>
      </c>
      <c r="BR13" s="17">
        <f t="shared" si="1122"/>
        <v>13899</v>
      </c>
      <c r="BS13" s="17">
        <f t="shared" si="1122"/>
        <v>13899</v>
      </c>
      <c r="BT13" s="17">
        <f t="shared" si="1122"/>
        <v>13899</v>
      </c>
      <c r="BU13" s="17">
        <f t="shared" si="1122"/>
        <v>13899</v>
      </c>
      <c r="BV13" s="17">
        <f t="shared" si="1122"/>
        <v>13899</v>
      </c>
      <c r="BW13" s="17">
        <f t="shared" si="1122"/>
        <v>13899</v>
      </c>
      <c r="BX13" s="17">
        <f t="shared" si="1122"/>
        <v>13899</v>
      </c>
      <c r="BY13" s="17">
        <f t="shared" si="1122"/>
        <v>13899</v>
      </c>
      <c r="BZ13" s="17">
        <f t="shared" si="1122"/>
        <v>13899</v>
      </c>
      <c r="CA13" s="17">
        <f t="shared" si="1122"/>
        <v>13899</v>
      </c>
      <c r="CB13" s="17">
        <f t="shared" si="1122"/>
        <v>13899</v>
      </c>
      <c r="CC13" s="17">
        <f t="shared" si="1122"/>
        <v>13899</v>
      </c>
      <c r="CD13" s="17">
        <f t="shared" si="1122"/>
        <v>13899</v>
      </c>
      <c r="CE13" s="17">
        <f t="shared" si="1122"/>
        <v>13899</v>
      </c>
      <c r="CF13" s="17">
        <f t="shared" si="1122"/>
        <v>13899</v>
      </c>
      <c r="CG13" s="17">
        <f t="shared" si="1123"/>
        <v>13899</v>
      </c>
      <c r="CH13" s="17">
        <f t="shared" si="1123"/>
        <v>13899</v>
      </c>
      <c r="CI13" s="17">
        <f t="shared" si="1123"/>
        <v>13899</v>
      </c>
      <c r="CJ13" s="17">
        <f t="shared" si="1123"/>
        <v>13899</v>
      </c>
      <c r="CK13" s="17">
        <f t="shared" si="1123"/>
        <v>13899</v>
      </c>
      <c r="CL13" s="17">
        <f t="shared" si="1123"/>
        <v>13899</v>
      </c>
      <c r="CM13" s="17">
        <f t="shared" si="1123"/>
        <v>13899</v>
      </c>
      <c r="CN13" s="17">
        <f t="shared" si="1123"/>
        <v>13899</v>
      </c>
      <c r="CO13" s="17">
        <f t="shared" si="1123"/>
        <v>13899</v>
      </c>
      <c r="CP13" s="17">
        <f t="shared" si="1123"/>
        <v>13899</v>
      </c>
      <c r="CQ13" s="17">
        <f t="shared" si="1123"/>
        <v>13899</v>
      </c>
      <c r="CR13" s="17">
        <f t="shared" si="1123"/>
        <v>13899</v>
      </c>
      <c r="CS13" s="17">
        <f t="shared" si="1123"/>
        <v>13899</v>
      </c>
      <c r="CT13" s="17">
        <f t="shared" si="1123"/>
        <v>13899</v>
      </c>
      <c r="CU13" s="17">
        <f t="shared" si="1123"/>
        <v>13899</v>
      </c>
      <c r="CV13" s="17">
        <f t="shared" si="1123"/>
        <v>13899</v>
      </c>
      <c r="CW13" s="17">
        <f t="shared" si="1124"/>
        <v>13899</v>
      </c>
      <c r="CX13" s="17">
        <f t="shared" si="1124"/>
        <v>13899</v>
      </c>
      <c r="CY13" s="17">
        <f t="shared" si="1124"/>
        <v>13899</v>
      </c>
      <c r="CZ13" s="17">
        <f t="shared" si="1124"/>
        <v>13899</v>
      </c>
      <c r="DA13" s="17">
        <f t="shared" si="1124"/>
        <v>13899</v>
      </c>
      <c r="DB13" s="17">
        <f t="shared" si="1124"/>
        <v>13899</v>
      </c>
      <c r="DC13" s="17">
        <f t="shared" si="1124"/>
        <v>13899</v>
      </c>
      <c r="DD13" s="17">
        <f t="shared" si="1124"/>
        <v>13899</v>
      </c>
      <c r="DE13" s="17">
        <f t="shared" si="1124"/>
        <v>13899</v>
      </c>
      <c r="DF13" s="17">
        <f t="shared" si="1124"/>
        <v>13899</v>
      </c>
      <c r="DG13" s="17">
        <f t="shared" si="1124"/>
        <v>13899</v>
      </c>
      <c r="DH13" s="17">
        <f t="shared" si="1124"/>
        <v>13899</v>
      </c>
      <c r="DI13" s="17">
        <f t="shared" si="1124"/>
        <v>13899</v>
      </c>
      <c r="DJ13" s="17">
        <f t="shared" si="1124"/>
        <v>13899</v>
      </c>
      <c r="DK13" s="17">
        <f t="shared" si="1124"/>
        <v>13899</v>
      </c>
      <c r="DL13" s="17">
        <f t="shared" si="1124"/>
        <v>13899</v>
      </c>
      <c r="DM13" s="17">
        <f t="shared" si="1125"/>
        <v>13899</v>
      </c>
      <c r="DN13" s="17">
        <f t="shared" si="1125"/>
        <v>13899</v>
      </c>
      <c r="DO13" s="17">
        <f t="shared" si="1125"/>
        <v>13899</v>
      </c>
      <c r="DP13" s="17">
        <f t="shared" si="1125"/>
        <v>0</v>
      </c>
      <c r="DQ13" s="17">
        <f t="shared" si="1125"/>
        <v>0</v>
      </c>
      <c r="DR13" s="17">
        <f t="shared" si="1125"/>
        <v>0</v>
      </c>
      <c r="DS13" s="17">
        <f t="shared" si="1125"/>
        <v>0</v>
      </c>
      <c r="DT13" s="17">
        <f t="shared" si="1125"/>
        <v>0</v>
      </c>
      <c r="DU13" s="17">
        <f t="shared" si="1125"/>
        <v>0</v>
      </c>
      <c r="DV13" s="17">
        <f t="shared" si="1125"/>
        <v>0</v>
      </c>
      <c r="DW13" s="17">
        <f t="shared" si="1125"/>
        <v>0</v>
      </c>
      <c r="DX13" s="17">
        <f t="shared" si="1125"/>
        <v>0</v>
      </c>
      <c r="DY13" s="17">
        <f t="shared" si="1125"/>
        <v>0</v>
      </c>
      <c r="DZ13" s="17">
        <f t="shared" si="1125"/>
        <v>0</v>
      </c>
      <c r="EA13" s="17">
        <f t="shared" si="1125"/>
        <v>0</v>
      </c>
      <c r="EB13" s="17">
        <f t="shared" si="1125"/>
        <v>0</v>
      </c>
      <c r="EC13" s="17">
        <f t="shared" si="1126"/>
        <v>0</v>
      </c>
      <c r="ED13" s="17">
        <f t="shared" si="1126"/>
        <v>0</v>
      </c>
      <c r="EE13" s="17">
        <f t="shared" si="1126"/>
        <v>0</v>
      </c>
      <c r="EF13" s="17">
        <f t="shared" si="1126"/>
        <v>0</v>
      </c>
      <c r="EG13" s="17">
        <f t="shared" si="1126"/>
        <v>0</v>
      </c>
      <c r="EH13" s="17">
        <f t="shared" si="1126"/>
        <v>0</v>
      </c>
      <c r="EI13" s="17">
        <f t="shared" si="1126"/>
        <v>0</v>
      </c>
      <c r="EJ13" s="17">
        <f t="shared" si="1126"/>
        <v>0</v>
      </c>
      <c r="EK13" s="17">
        <f t="shared" si="1126"/>
        <v>0</v>
      </c>
      <c r="EL13" s="17">
        <f t="shared" si="1126"/>
        <v>0</v>
      </c>
      <c r="EM13" s="17">
        <f t="shared" si="1126"/>
        <v>0</v>
      </c>
      <c r="EN13" s="17">
        <f t="shared" si="1126"/>
        <v>0</v>
      </c>
      <c r="EO13" s="17">
        <f t="shared" si="1126"/>
        <v>0</v>
      </c>
      <c r="EP13" s="17">
        <f t="shared" si="1126"/>
        <v>0</v>
      </c>
      <c r="EQ13" s="17">
        <f t="shared" si="1126"/>
        <v>0</v>
      </c>
      <c r="ER13" s="17">
        <f t="shared" si="1126"/>
        <v>0</v>
      </c>
      <c r="ES13" s="17">
        <f t="shared" si="1127"/>
        <v>0</v>
      </c>
      <c r="ET13" s="17">
        <f t="shared" si="1127"/>
        <v>0</v>
      </c>
      <c r="EU13" s="17">
        <f t="shared" si="1127"/>
        <v>0</v>
      </c>
      <c r="EV13" s="17">
        <f t="shared" si="1127"/>
        <v>0</v>
      </c>
      <c r="EW13" s="17">
        <f t="shared" si="1127"/>
        <v>0</v>
      </c>
      <c r="EX13" s="17">
        <f t="shared" si="1127"/>
        <v>0</v>
      </c>
      <c r="EY13" s="17">
        <f t="shared" si="1127"/>
        <v>0</v>
      </c>
      <c r="EZ13" s="17">
        <f t="shared" si="1127"/>
        <v>0</v>
      </c>
      <c r="FA13" s="17">
        <f t="shared" si="1127"/>
        <v>0</v>
      </c>
      <c r="FB13" s="17">
        <f t="shared" si="1127"/>
        <v>0</v>
      </c>
      <c r="FC13" s="17">
        <f t="shared" si="1127"/>
        <v>0</v>
      </c>
      <c r="FD13" s="17">
        <f t="shared" si="1127"/>
        <v>0</v>
      </c>
      <c r="FE13" s="17">
        <f t="shared" si="1127"/>
        <v>0</v>
      </c>
      <c r="FF13" s="17">
        <f t="shared" si="1127"/>
        <v>0</v>
      </c>
      <c r="FG13" s="17">
        <f t="shared" si="1127"/>
        <v>0</v>
      </c>
      <c r="FH13" s="17">
        <f t="shared" si="1127"/>
        <v>0</v>
      </c>
      <c r="FI13" s="17">
        <f t="shared" si="1128"/>
        <v>0</v>
      </c>
      <c r="FJ13" s="17">
        <f t="shared" si="1128"/>
        <v>0</v>
      </c>
      <c r="FK13" s="17">
        <f t="shared" si="1128"/>
        <v>0</v>
      </c>
      <c r="FL13" s="17"/>
      <c r="FM13" s="17"/>
      <c r="FN13" s="17">
        <f t="shared" si="1302"/>
        <v>0</v>
      </c>
      <c r="FO13" s="17">
        <f t="shared" si="1129"/>
        <v>0</v>
      </c>
      <c r="FP13" s="17">
        <f t="shared" si="1129"/>
        <v>0</v>
      </c>
      <c r="FQ13" s="17">
        <f t="shared" si="1129"/>
        <v>0</v>
      </c>
      <c r="FR13" s="17">
        <f t="shared" si="1129"/>
        <v>0</v>
      </c>
      <c r="FS13" s="17">
        <f t="shared" si="1129"/>
        <v>0</v>
      </c>
      <c r="FT13" s="17">
        <f t="shared" si="1129"/>
        <v>0</v>
      </c>
      <c r="FU13" s="17">
        <f t="shared" si="1129"/>
        <v>0</v>
      </c>
      <c r="FV13" s="17">
        <f t="shared" si="1129"/>
        <v>0</v>
      </c>
      <c r="FW13" s="17">
        <f t="shared" si="1129"/>
        <v>0</v>
      </c>
      <c r="FX13" s="17">
        <f t="shared" si="1129"/>
        <v>0</v>
      </c>
      <c r="FY13" s="17">
        <f t="shared" si="1129"/>
        <v>0</v>
      </c>
      <c r="FZ13" s="17">
        <f t="shared" si="1129"/>
        <v>0</v>
      </c>
      <c r="GA13" s="17">
        <f t="shared" si="1129"/>
        <v>0</v>
      </c>
      <c r="GB13" s="17">
        <f t="shared" si="1129"/>
        <v>0</v>
      </c>
      <c r="GC13" s="17">
        <f t="shared" si="1129"/>
        <v>0</v>
      </c>
      <c r="GD13" s="17">
        <f t="shared" si="1129"/>
        <v>0</v>
      </c>
      <c r="GE13" s="17">
        <f t="shared" si="1130"/>
        <v>0</v>
      </c>
      <c r="GF13" s="17">
        <f t="shared" si="1130"/>
        <v>0</v>
      </c>
      <c r="GG13" s="17">
        <f t="shared" si="1130"/>
        <v>0</v>
      </c>
      <c r="GH13" s="17">
        <f t="shared" si="1130"/>
        <v>0</v>
      </c>
      <c r="GI13" s="17">
        <f t="shared" si="1130"/>
        <v>0</v>
      </c>
      <c r="GJ13" s="17">
        <f t="shared" si="1130"/>
        <v>0</v>
      </c>
      <c r="GK13" s="17">
        <f t="shared" si="1130"/>
        <v>0</v>
      </c>
      <c r="GL13" s="17">
        <f t="shared" si="1130"/>
        <v>0</v>
      </c>
      <c r="GM13" s="17">
        <f t="shared" si="1130"/>
        <v>0</v>
      </c>
      <c r="GN13" s="17">
        <f t="shared" si="1130"/>
        <v>0</v>
      </c>
      <c r="GO13" s="17">
        <f t="shared" si="1130"/>
        <v>0</v>
      </c>
      <c r="GP13" s="17">
        <f t="shared" si="1130"/>
        <v>0</v>
      </c>
      <c r="GQ13" s="17">
        <f t="shared" si="1130"/>
        <v>0</v>
      </c>
      <c r="GR13" s="17">
        <f t="shared" si="1130"/>
        <v>0</v>
      </c>
      <c r="GS13" s="17">
        <f t="shared" si="1130"/>
        <v>0</v>
      </c>
      <c r="GT13" s="17">
        <f t="shared" si="1130"/>
        <v>0</v>
      </c>
      <c r="GU13" s="17">
        <f t="shared" si="1131"/>
        <v>0</v>
      </c>
      <c r="GV13" s="17">
        <f t="shared" si="1131"/>
        <v>0</v>
      </c>
      <c r="GW13" s="17">
        <f t="shared" si="1131"/>
        <v>0</v>
      </c>
      <c r="GX13" s="17">
        <f t="shared" si="1131"/>
        <v>0</v>
      </c>
      <c r="GY13" s="17">
        <f t="shared" si="1131"/>
        <v>0</v>
      </c>
      <c r="GZ13" s="17">
        <f t="shared" si="1131"/>
        <v>0</v>
      </c>
      <c r="HA13" s="17">
        <f t="shared" si="1131"/>
        <v>0</v>
      </c>
      <c r="HB13" s="17">
        <f t="shared" si="1131"/>
        <v>0</v>
      </c>
      <c r="HC13" s="17">
        <f t="shared" si="1131"/>
        <v>0</v>
      </c>
      <c r="HD13" s="17">
        <f t="shared" si="1131"/>
        <v>0</v>
      </c>
      <c r="HE13" s="17">
        <f t="shared" si="1131"/>
        <v>0</v>
      </c>
      <c r="HF13" s="17">
        <f t="shared" si="1131"/>
        <v>0</v>
      </c>
      <c r="HG13" s="17">
        <f t="shared" si="1131"/>
        <v>0</v>
      </c>
      <c r="HH13" s="17">
        <f t="shared" si="1131"/>
        <v>0</v>
      </c>
      <c r="HI13" s="17">
        <f t="shared" si="1131"/>
        <v>0</v>
      </c>
      <c r="HJ13" s="17">
        <f t="shared" si="1131"/>
        <v>0</v>
      </c>
      <c r="HK13" s="17">
        <f t="shared" si="1132"/>
        <v>0</v>
      </c>
      <c r="HL13" s="17">
        <f t="shared" si="1132"/>
        <v>0</v>
      </c>
      <c r="HM13" s="17">
        <f t="shared" si="1132"/>
        <v>0</v>
      </c>
      <c r="HN13" s="17">
        <f t="shared" si="1132"/>
        <v>0</v>
      </c>
      <c r="HO13" s="17">
        <f t="shared" si="1132"/>
        <v>0</v>
      </c>
      <c r="HP13" s="17">
        <f t="shared" si="1132"/>
        <v>0</v>
      </c>
      <c r="HQ13" s="17">
        <f t="shared" si="1132"/>
        <v>0</v>
      </c>
      <c r="HR13" s="17">
        <f t="shared" si="1132"/>
        <v>0</v>
      </c>
      <c r="HS13" s="17">
        <f t="shared" si="1132"/>
        <v>0</v>
      </c>
      <c r="HT13" s="17">
        <f t="shared" si="1132"/>
        <v>0</v>
      </c>
      <c r="HU13" s="17">
        <f t="shared" si="1132"/>
        <v>0</v>
      </c>
      <c r="HV13" s="17">
        <f t="shared" si="1132"/>
        <v>0</v>
      </c>
      <c r="HW13" s="17">
        <f t="shared" si="1132"/>
        <v>0</v>
      </c>
      <c r="HX13" s="17">
        <f t="shared" si="1132"/>
        <v>0</v>
      </c>
      <c r="HY13" s="17">
        <f t="shared" si="1132"/>
        <v>0</v>
      </c>
      <c r="HZ13" s="17">
        <f t="shared" si="1132"/>
        <v>0</v>
      </c>
      <c r="IA13" s="17">
        <f t="shared" si="1133"/>
        <v>0</v>
      </c>
      <c r="IB13" s="17">
        <f t="shared" si="1133"/>
        <v>0</v>
      </c>
      <c r="IC13" s="17">
        <f t="shared" si="1133"/>
        <v>0</v>
      </c>
      <c r="ID13" s="17">
        <f t="shared" si="1133"/>
        <v>0</v>
      </c>
      <c r="IE13" s="17">
        <f t="shared" si="1133"/>
        <v>0</v>
      </c>
      <c r="IF13" s="17">
        <f t="shared" si="1133"/>
        <v>0</v>
      </c>
      <c r="IG13" s="17">
        <f t="shared" si="1133"/>
        <v>0</v>
      </c>
      <c r="IH13" s="17">
        <f t="shared" si="1133"/>
        <v>0</v>
      </c>
      <c r="II13" s="17">
        <f t="shared" si="1133"/>
        <v>0</v>
      </c>
      <c r="IJ13" s="17">
        <f t="shared" si="1133"/>
        <v>0</v>
      </c>
      <c r="IK13" s="17">
        <f t="shared" si="1133"/>
        <v>0</v>
      </c>
      <c r="IL13" s="17">
        <f t="shared" si="1133"/>
        <v>0</v>
      </c>
      <c r="IM13" s="17">
        <f t="shared" si="1133"/>
        <v>0</v>
      </c>
      <c r="IN13" s="17">
        <f t="shared" si="1133"/>
        <v>0</v>
      </c>
      <c r="IO13" s="17">
        <f t="shared" si="1133"/>
        <v>0</v>
      </c>
      <c r="IP13" s="17">
        <f t="shared" si="1133"/>
        <v>0</v>
      </c>
      <c r="IQ13" s="17">
        <f t="shared" si="1134"/>
        <v>0</v>
      </c>
      <c r="IR13" s="17">
        <f t="shared" si="1134"/>
        <v>0</v>
      </c>
      <c r="IS13" s="17">
        <f t="shared" si="1134"/>
        <v>0</v>
      </c>
      <c r="IT13" s="17">
        <f t="shared" si="1134"/>
        <v>0</v>
      </c>
      <c r="IU13" s="17">
        <f t="shared" si="1134"/>
        <v>0</v>
      </c>
      <c r="IV13" s="17">
        <f t="shared" si="1134"/>
        <v>0</v>
      </c>
      <c r="IW13" s="17">
        <f t="shared" si="1134"/>
        <v>13899</v>
      </c>
      <c r="IX13" s="17">
        <f t="shared" si="1134"/>
        <v>13899</v>
      </c>
      <c r="IY13" s="17">
        <f t="shared" si="1134"/>
        <v>13899</v>
      </c>
      <c r="IZ13" s="17">
        <f t="shared" si="1134"/>
        <v>13899</v>
      </c>
      <c r="JA13" s="17">
        <f t="shared" si="1134"/>
        <v>13899</v>
      </c>
      <c r="JB13" s="17">
        <f t="shared" si="1134"/>
        <v>13899</v>
      </c>
      <c r="JC13" s="17">
        <f t="shared" si="1134"/>
        <v>13899</v>
      </c>
      <c r="JD13" s="17">
        <f t="shared" si="1134"/>
        <v>13899</v>
      </c>
      <c r="JE13" s="17">
        <f t="shared" si="1134"/>
        <v>13899</v>
      </c>
      <c r="JF13" s="17">
        <f t="shared" si="1134"/>
        <v>13899</v>
      </c>
      <c r="JG13" s="17">
        <f t="shared" si="1135"/>
        <v>13899</v>
      </c>
      <c r="JH13" s="17">
        <f t="shared" si="1135"/>
        <v>13899</v>
      </c>
      <c r="JI13" s="17">
        <f t="shared" si="1135"/>
        <v>13899</v>
      </c>
      <c r="JJ13" s="17">
        <f t="shared" si="1135"/>
        <v>13899</v>
      </c>
      <c r="JK13" s="17">
        <f t="shared" si="1135"/>
        <v>13899</v>
      </c>
      <c r="JL13" s="17">
        <f t="shared" si="1135"/>
        <v>13899</v>
      </c>
      <c r="JM13" s="17">
        <f t="shared" si="1135"/>
        <v>13899</v>
      </c>
      <c r="JN13" s="17">
        <f t="shared" si="1135"/>
        <v>13899</v>
      </c>
      <c r="JO13" s="17">
        <f t="shared" si="1135"/>
        <v>13899</v>
      </c>
      <c r="JP13" s="17">
        <f t="shared" si="1135"/>
        <v>13899</v>
      </c>
      <c r="JQ13" s="17">
        <f t="shared" si="1135"/>
        <v>13899</v>
      </c>
      <c r="JR13" s="17">
        <f t="shared" si="1135"/>
        <v>13899</v>
      </c>
      <c r="JS13" s="17">
        <f t="shared" si="1135"/>
        <v>13899</v>
      </c>
      <c r="JT13" s="17">
        <f t="shared" si="1135"/>
        <v>13899</v>
      </c>
      <c r="JU13" s="17">
        <f t="shared" si="1135"/>
        <v>13899</v>
      </c>
      <c r="JV13" s="17">
        <f t="shared" si="1135"/>
        <v>13899</v>
      </c>
      <c r="JW13" s="17">
        <f t="shared" si="1136"/>
        <v>13899</v>
      </c>
      <c r="JX13" s="17">
        <f t="shared" si="1136"/>
        <v>13899</v>
      </c>
      <c r="JY13" s="17">
        <f t="shared" si="1136"/>
        <v>13899</v>
      </c>
      <c r="JZ13" s="17">
        <f t="shared" si="1136"/>
        <v>13899</v>
      </c>
      <c r="KA13" s="17">
        <f t="shared" si="1136"/>
        <v>13899</v>
      </c>
      <c r="KB13" s="17">
        <f t="shared" si="1136"/>
        <v>13899</v>
      </c>
      <c r="KC13" s="17">
        <f t="shared" si="1136"/>
        <v>13899</v>
      </c>
      <c r="KD13" s="17">
        <f t="shared" si="1136"/>
        <v>13899</v>
      </c>
      <c r="KE13" s="17">
        <f t="shared" si="1136"/>
        <v>13899</v>
      </c>
      <c r="KF13" s="17">
        <f t="shared" si="1136"/>
        <v>13899</v>
      </c>
      <c r="KG13" s="17">
        <f t="shared" si="1136"/>
        <v>13899</v>
      </c>
      <c r="KH13" s="17">
        <f t="shared" si="1136"/>
        <v>13899</v>
      </c>
      <c r="KI13" s="17">
        <f t="shared" si="1136"/>
        <v>13899</v>
      </c>
      <c r="KJ13" s="17">
        <f t="shared" si="1136"/>
        <v>13899</v>
      </c>
      <c r="KK13" s="17">
        <f t="shared" si="1136"/>
        <v>13899</v>
      </c>
      <c r="KL13" s="17">
        <f t="shared" si="1136"/>
        <v>13899</v>
      </c>
      <c r="KM13" s="17">
        <f t="shared" si="1137"/>
        <v>13899</v>
      </c>
      <c r="KN13" s="17">
        <f t="shared" si="1137"/>
        <v>13899</v>
      </c>
      <c r="KO13" s="17">
        <f t="shared" si="1137"/>
        <v>13899</v>
      </c>
      <c r="KP13" s="17"/>
      <c r="KQ13" s="17"/>
      <c r="KR13" s="46">
        <f t="shared" si="1303"/>
        <v>1.0212418300653596</v>
      </c>
      <c r="KS13" s="30">
        <f>(AJ13&gt;0)*(MAX($KR13:KR13)+(MONTH(KS$3)=$J13)*MAX($KR13:KR13)*$I13)</f>
        <v>1.0416666666666667</v>
      </c>
      <c r="KT13" s="30">
        <f>(AK13&gt;0)*(MAX($KR13:KS13)+(MONTH(KT$3)=$J13)*MAX($KR13:KS13)*$I13)</f>
        <v>1.0416666666666667</v>
      </c>
      <c r="KU13" s="30">
        <f>(AL13&gt;0)*(MAX($KR13:KT13)+(MONTH(KU$3)=$J13)*MAX($KR13:KT13)*$I13)</f>
        <v>1.0416666666666667</v>
      </c>
      <c r="KV13" s="30">
        <f>(AM13&gt;0)*(MAX($KR13:KU13)+(MONTH(KV$3)=$J13)*MAX($KR13:KU13)*$I13)</f>
        <v>1.0416666666666667</v>
      </c>
      <c r="KW13" s="30">
        <f>(AN13&gt;0)*(MAX($KR13:KV13)+(MONTH(KW$3)=$J13)*MAX($KR13:KV13)*$I13)</f>
        <v>1.0416666666666667</v>
      </c>
      <c r="KX13" s="30">
        <f>(AO13&gt;0)*(MAX($KR13:KW13)+(MONTH(KX$3)=$J13)*MAX($KR13:KW13)*$I13)</f>
        <v>1.0416666666666667</v>
      </c>
      <c r="KY13" s="30">
        <f>(AP13&gt;0)*(MAX($KR13:KX13)+(MONTH(KY$3)=$J13)*MAX($KR13:KX13)*$I13)</f>
        <v>1.0416666666666667</v>
      </c>
      <c r="KZ13" s="30">
        <f>(AQ13&gt;0)*(MAX($KR13:KY13)+(MONTH(KZ$3)=$J13)*MAX($KR13:KY13)*$I13)</f>
        <v>1.0416666666666667</v>
      </c>
      <c r="LA13" s="30">
        <f>(AR13&gt;0)*(MAX($KR13:KZ13)+(MONTH(LA$3)=$J13)*MAX($KR13:KZ13)*$I13)</f>
        <v>1.0416666666666667</v>
      </c>
      <c r="LB13" s="30">
        <f>(AS13&gt;0)*(MAX($KR13:LA13)+(MONTH(LB$3)=$J13)*MAX($KR13:LA13)*$I13)</f>
        <v>1.0416666666666667</v>
      </c>
      <c r="LC13" s="30">
        <f>(AT13&gt;0)*(MAX($KR13:LB13)+(MONTH(LC$3)=$J13)*MAX($KR13:LB13)*$I13)</f>
        <v>1.0416666666666667</v>
      </c>
      <c r="LD13" s="30">
        <f>(AU13&gt;0)*(MAX($KR13:LC13)+(MONTH(LD$3)=$J13)*MAX($KR13:LC13)*$I13)</f>
        <v>1.0416666666666667</v>
      </c>
      <c r="LE13" s="30">
        <f>(AV13&gt;0)*(MAX($KR13:LD13)+(MONTH(LE$3)=$J13)*MAX($KR13:LD13)*$I13)</f>
        <v>1.0625</v>
      </c>
      <c r="LF13" s="30">
        <f>(AW13&gt;0)*(MAX($KR13:LE13)+(MONTH(LF$3)=$J13)*MAX($KR13:LE13)*$I13)</f>
        <v>1.0625</v>
      </c>
      <c r="LG13" s="30">
        <f>(AX13&gt;0)*(MAX($KR13:LF13)+(MONTH(LG$3)=$J13)*MAX($KR13:LF13)*$I13)</f>
        <v>1.0625</v>
      </c>
      <c r="LH13" s="30">
        <f>(AY13&gt;0)*(MAX($KR13:LG13)+(MONTH(LH$3)=$J13)*MAX($KR13:LG13)*$I13)</f>
        <v>1.0625</v>
      </c>
      <c r="LI13" s="30">
        <f>(AZ13&gt;0)*(MAX($KR13:LH13)+(MONTH(LI$3)=$J13)*MAX($KR13:LH13)*$I13)</f>
        <v>1.0625</v>
      </c>
      <c r="LJ13" s="30">
        <f>(BA13&gt;0)*(MAX($KR13:LI13)+(MONTH(LJ$3)=$J13)*MAX($KR13:LI13)*$I13)</f>
        <v>1.0625</v>
      </c>
      <c r="LK13" s="30">
        <f>(BB13&gt;0)*(MAX($KR13:LJ13)+(MONTH(LK$3)=$J13)*MAX($KR13:LJ13)*$I13)</f>
        <v>1.0625</v>
      </c>
      <c r="LL13" s="30">
        <f>(BC13&gt;0)*(MAX($KR13:LK13)+(MONTH(LL$3)=$J13)*MAX($KR13:LK13)*$I13)</f>
        <v>1.0625</v>
      </c>
      <c r="LM13" s="30">
        <f>(BD13&gt;0)*(MAX($KR13:LL13)+(MONTH(LM$3)=$J13)*MAX($KR13:LL13)*$I13)</f>
        <v>1.0625</v>
      </c>
      <c r="LN13" s="30">
        <f>(BE13&gt;0)*(MAX($KR13:LM13)+(MONTH(LN$3)=$J13)*MAX($KR13:LM13)*$I13)</f>
        <v>1.0625</v>
      </c>
      <c r="LO13" s="30">
        <f>(BF13&gt;0)*(MAX($KR13:LN13)+(MONTH(LO$3)=$J13)*MAX($KR13:LN13)*$I13)</f>
        <v>1.0625</v>
      </c>
      <c r="LP13" s="30">
        <f>(BG13&gt;0)*(MAX($KR13:LO13)+(MONTH(LP$3)=$J13)*MAX($KR13:LO13)*$I13)</f>
        <v>1.0625</v>
      </c>
      <c r="LQ13" s="30">
        <f>(BH13&gt;0)*(MAX($KR13:LP13)+(MONTH(LQ$3)=$J13)*MAX($KR13:LP13)*$I13)</f>
        <v>1.08375</v>
      </c>
      <c r="LR13" s="30">
        <f>(BI13&gt;0)*(MAX($KR13:LQ13)+(MONTH(LR$3)=$J13)*MAX($KR13:LQ13)*$I13)</f>
        <v>1.08375</v>
      </c>
      <c r="LS13" s="30">
        <f>(BJ13&gt;0)*(MAX($KR13:LR13)+(MONTH(LS$3)=$J13)*MAX($KR13:LR13)*$I13)</f>
        <v>1.08375</v>
      </c>
      <c r="LT13" s="30">
        <f>(BK13&gt;0)*(MAX($KR13:LS13)+(MONTH(LT$3)=$J13)*MAX($KR13:LS13)*$I13)</f>
        <v>1.08375</v>
      </c>
      <c r="LU13" s="30">
        <f>(BL13&gt;0)*(MAX($KR13:LT13)+(MONTH(LU$3)=$J13)*MAX($KR13:LT13)*$I13)</f>
        <v>1.08375</v>
      </c>
      <c r="LV13" s="30">
        <f>(BM13&gt;0)*(MAX($KR13:LU13)+(MONTH(LV$3)=$J13)*MAX($KR13:LU13)*$I13)</f>
        <v>1.08375</v>
      </c>
      <c r="LW13" s="30">
        <f>(BN13&gt;0)*(MAX($KR13:LV13)+(MONTH(LW$3)=$J13)*MAX($KR13:LV13)*$I13)</f>
        <v>1.08375</v>
      </c>
      <c r="LX13" s="30">
        <f>(BO13&gt;0)*(MAX($KR13:LW13)+(MONTH(LX$3)=$J13)*MAX($KR13:LW13)*$I13)</f>
        <v>1.08375</v>
      </c>
      <c r="LY13" s="30">
        <f>(BP13&gt;0)*(MAX($KR13:LX13)+(MONTH(LY$3)=$J13)*MAX($KR13:LX13)*$I13)</f>
        <v>1.08375</v>
      </c>
      <c r="LZ13" s="30">
        <f>(BQ13&gt;0)*(MAX($KR13:LY13)+(MONTH(LZ$3)=$J13)*MAX($KR13:LY13)*$I13)</f>
        <v>1.08375</v>
      </c>
      <c r="MA13" s="30">
        <f>(BR13&gt;0)*(MAX($KR13:LZ13)+(MONTH(MA$3)=$J13)*MAX($KR13:LZ13)*$I13)</f>
        <v>1.08375</v>
      </c>
      <c r="MB13" s="30">
        <f>(BS13&gt;0)*(MAX($KR13:MA13)+(MONTH(MB$3)=$J13)*MAX($KR13:MA13)*$I13)</f>
        <v>1.08375</v>
      </c>
      <c r="MC13" s="30">
        <f>(BT13&gt;0)*(MAX($KR13:MB13)+(MONTH(MC$3)=$J13)*MAX($KR13:MB13)*$I13)</f>
        <v>1.1054249999999999</v>
      </c>
      <c r="MD13" s="30">
        <f>(BU13&gt;0)*(MAX($KR13:MC13)+(MONTH(MD$3)=$J13)*MAX($KR13:MC13)*$I13)</f>
        <v>1.1054249999999999</v>
      </c>
      <c r="ME13" s="30">
        <f>(BV13&gt;0)*(MAX($KR13:MD13)+(MONTH(ME$3)=$J13)*MAX($KR13:MD13)*$I13)</f>
        <v>1.1054249999999999</v>
      </c>
      <c r="MF13" s="30">
        <f>(BW13&gt;0)*(MAX($KR13:ME13)+(MONTH(MF$3)=$J13)*MAX($KR13:ME13)*$I13)</f>
        <v>1.1054249999999999</v>
      </c>
      <c r="MG13" s="30">
        <f>(BX13&gt;0)*(MAX($KR13:MF13)+(MONTH(MG$3)=$J13)*MAX($KR13:MF13)*$I13)</f>
        <v>1.1054249999999999</v>
      </c>
      <c r="MH13" s="30">
        <f>(BY13&gt;0)*(MAX($KR13:MG13)+(MONTH(MH$3)=$J13)*MAX($KR13:MG13)*$I13)</f>
        <v>1.1054249999999999</v>
      </c>
      <c r="MI13" s="30">
        <f>(BZ13&gt;0)*(MAX($KR13:MH13)+(MONTH(MI$3)=$J13)*MAX($KR13:MH13)*$I13)</f>
        <v>1.1054249999999999</v>
      </c>
      <c r="MJ13" s="30">
        <f>(CA13&gt;0)*(MAX($KR13:MI13)+(MONTH(MJ$3)=$J13)*MAX($KR13:MI13)*$I13)</f>
        <v>1.1054249999999999</v>
      </c>
      <c r="MK13" s="30">
        <f>(CB13&gt;0)*(MAX($KR13:MJ13)+(MONTH(MK$3)=$J13)*MAX($KR13:MJ13)*$I13)</f>
        <v>1.1054249999999999</v>
      </c>
      <c r="ML13" s="30">
        <f>(CC13&gt;0)*(MAX($KR13:MK13)+(MONTH(ML$3)=$J13)*MAX($KR13:MK13)*$I13)</f>
        <v>1.1054249999999999</v>
      </c>
      <c r="MM13" s="30">
        <f>(CD13&gt;0)*(MAX($KR13:ML13)+(MONTH(MM$3)=$J13)*MAX($KR13:ML13)*$I13)</f>
        <v>1.1054249999999999</v>
      </c>
      <c r="MN13" s="30">
        <f>(CE13&gt;0)*(MAX($KR13:MM13)+(MONTH(MN$3)=$J13)*MAX($KR13:MM13)*$I13)</f>
        <v>1.1054249999999999</v>
      </c>
      <c r="MO13" s="30">
        <f>(CF13&gt;0)*(MAX($KR13:MN13)+(MONTH(MO$3)=$J13)*MAX($KR13:MN13)*$I13)</f>
        <v>1.1275335</v>
      </c>
      <c r="MP13" s="30">
        <f>(CG13&gt;0)*(MAX($KR13:MO13)+(MONTH(MP$3)=$J13)*MAX($KR13:MO13)*$I13)</f>
        <v>1.1275335</v>
      </c>
      <c r="MQ13" s="30">
        <f>(CH13&gt;0)*(MAX($KR13:MP13)+(MONTH(MQ$3)=$J13)*MAX($KR13:MP13)*$I13)</f>
        <v>1.1275335</v>
      </c>
      <c r="MR13" s="30">
        <f>(CI13&gt;0)*(MAX($KR13:MQ13)+(MONTH(MR$3)=$J13)*MAX($KR13:MQ13)*$I13)</f>
        <v>1.1275335</v>
      </c>
      <c r="MS13" s="30">
        <f>(CJ13&gt;0)*(MAX($KR13:MR13)+(MONTH(MS$3)=$J13)*MAX($KR13:MR13)*$I13)</f>
        <v>1.1275335</v>
      </c>
      <c r="MT13" s="30">
        <f>(CK13&gt;0)*(MAX($KR13:MS13)+(MONTH(MT$3)=$J13)*MAX($KR13:MS13)*$I13)</f>
        <v>1.1275335</v>
      </c>
      <c r="MU13" s="30">
        <f>(CL13&gt;0)*(MAX($KR13:MT13)+(MONTH(MU$3)=$J13)*MAX($KR13:MT13)*$I13)</f>
        <v>1.1275335</v>
      </c>
      <c r="MV13" s="30">
        <f>(CM13&gt;0)*(MAX($KR13:MU13)+(MONTH(MV$3)=$J13)*MAX($KR13:MU13)*$I13)</f>
        <v>1.1275335</v>
      </c>
      <c r="MW13" s="30">
        <f>(CN13&gt;0)*(MAX($KR13:MV13)+(MONTH(MW$3)=$J13)*MAX($KR13:MV13)*$I13)</f>
        <v>1.1275335</v>
      </c>
      <c r="MX13" s="30">
        <f>(CO13&gt;0)*(MAX($KR13:MW13)+(MONTH(MX$3)=$J13)*MAX($KR13:MW13)*$I13)</f>
        <v>1.1275335</v>
      </c>
      <c r="MY13" s="30">
        <f>(CP13&gt;0)*(MAX($KR13:MX13)+(MONTH(MY$3)=$J13)*MAX($KR13:MX13)*$I13)</f>
        <v>1.1275335</v>
      </c>
      <c r="MZ13" s="30">
        <f>(CQ13&gt;0)*(MAX($KR13:MY13)+(MONTH(MZ$3)=$J13)*MAX($KR13:MY13)*$I13)</f>
        <v>1.1275335</v>
      </c>
      <c r="NA13" s="30">
        <f>(CR13&gt;0)*(MAX($KR13:MZ13)+(MONTH(NA$3)=$J13)*MAX($KR13:MZ13)*$I13)</f>
        <v>1.15008417</v>
      </c>
      <c r="NB13" s="30">
        <f>(CS13&gt;0)*(MAX($KR13:NA13)+(MONTH(NB$3)=$J13)*MAX($KR13:NA13)*$I13)</f>
        <v>1.15008417</v>
      </c>
      <c r="NC13" s="30">
        <f>(CT13&gt;0)*(MAX($KR13:NB13)+(MONTH(NC$3)=$J13)*MAX($KR13:NB13)*$I13)</f>
        <v>1.15008417</v>
      </c>
      <c r="ND13" s="30">
        <f>(CU13&gt;0)*(MAX($KR13:NC13)+(MONTH(ND$3)=$J13)*MAX($KR13:NC13)*$I13)</f>
        <v>1.15008417</v>
      </c>
      <c r="NE13" s="30">
        <f>(CV13&gt;0)*(MAX($KR13:ND13)+(MONTH(NE$3)=$J13)*MAX($KR13:ND13)*$I13)</f>
        <v>1.15008417</v>
      </c>
      <c r="NF13" s="30">
        <f>(CW13&gt;0)*(MAX($KR13:NE13)+(MONTH(NF$3)=$J13)*MAX($KR13:NE13)*$I13)</f>
        <v>1.15008417</v>
      </c>
      <c r="NG13" s="30">
        <f>(CX13&gt;0)*(MAX($KR13:NF13)+(MONTH(NG$3)=$J13)*MAX($KR13:NF13)*$I13)</f>
        <v>1.15008417</v>
      </c>
      <c r="NH13" s="30">
        <f>(CY13&gt;0)*(MAX($KR13:NG13)+(MONTH(NH$3)=$J13)*MAX($KR13:NG13)*$I13)</f>
        <v>1.15008417</v>
      </c>
      <c r="NI13" s="30">
        <f>(CZ13&gt;0)*(MAX($KR13:NH13)+(MONTH(NI$3)=$J13)*MAX($KR13:NH13)*$I13)</f>
        <v>1.15008417</v>
      </c>
      <c r="NJ13" s="30">
        <f>(DA13&gt;0)*(MAX($KR13:NI13)+(MONTH(NJ$3)=$J13)*MAX($KR13:NI13)*$I13)</f>
        <v>1.15008417</v>
      </c>
      <c r="NK13" s="30">
        <f>(DB13&gt;0)*(MAX($KR13:NJ13)+(MONTH(NK$3)=$J13)*MAX($KR13:NJ13)*$I13)</f>
        <v>1.15008417</v>
      </c>
      <c r="NL13" s="30">
        <f>(DC13&gt;0)*(MAX($KR13:NK13)+(MONTH(NL$3)=$J13)*MAX($KR13:NK13)*$I13)</f>
        <v>1.15008417</v>
      </c>
      <c r="NM13" s="30">
        <f>(DD13&gt;0)*(MAX($KR13:NL13)+(MONTH(NM$3)=$J13)*MAX($KR13:NL13)*$I13)</f>
        <v>1.1730858533999999</v>
      </c>
      <c r="NN13" s="30">
        <f>(DE13&gt;0)*(MAX($KR13:NM13)+(MONTH(NN$3)=$J13)*MAX($KR13:NM13)*$I13)</f>
        <v>1.1730858533999999</v>
      </c>
      <c r="NO13" s="30">
        <f>(DF13&gt;0)*(MAX($KR13:NN13)+(MONTH(NO$3)=$J13)*MAX($KR13:NN13)*$I13)</f>
        <v>1.1730858533999999</v>
      </c>
      <c r="NP13" s="30">
        <f>(DG13&gt;0)*(MAX($KR13:NO13)+(MONTH(NP$3)=$J13)*MAX($KR13:NO13)*$I13)</f>
        <v>1.1730858533999999</v>
      </c>
      <c r="NQ13" s="30">
        <f>(DH13&gt;0)*(MAX($KR13:NP13)+(MONTH(NQ$3)=$J13)*MAX($KR13:NP13)*$I13)</f>
        <v>1.1730858533999999</v>
      </c>
      <c r="NR13" s="30">
        <f>(DI13&gt;0)*(MAX($KR13:NQ13)+(MONTH(NR$3)=$J13)*MAX($KR13:NQ13)*$I13)</f>
        <v>1.1730858533999999</v>
      </c>
      <c r="NS13" s="30">
        <f>(DJ13&gt;0)*(MAX($KR13:NR13)+(MONTH(NS$3)=$J13)*MAX($KR13:NR13)*$I13)</f>
        <v>1.1730858533999999</v>
      </c>
      <c r="NT13" s="30">
        <f>(DK13&gt;0)*(MAX($KR13:NS13)+(MONTH(NT$3)=$J13)*MAX($KR13:NS13)*$I13)</f>
        <v>1.1730858533999999</v>
      </c>
      <c r="NU13" s="30">
        <f>(DL13&gt;0)*(MAX($KR13:NT13)+(MONTH(NU$3)=$J13)*MAX($KR13:NT13)*$I13)</f>
        <v>1.1730858533999999</v>
      </c>
      <c r="NV13" s="30">
        <f>(DM13&gt;0)*(MAX($KR13:NU13)+(MONTH(NV$3)=$J13)*MAX($KR13:NU13)*$I13)</f>
        <v>1.1730858533999999</v>
      </c>
      <c r="NW13" s="30">
        <f>(DN13&gt;0)*(MAX($KR13:NV13)+(MONTH(NW$3)=$J13)*MAX($KR13:NV13)*$I13)</f>
        <v>1.1730858533999999</v>
      </c>
      <c r="NX13" s="30">
        <f>(DO13&gt;0)*(MAX($KR13:NW13)+(MONTH(NX$3)=$J13)*MAX($KR13:NW13)*$I13)</f>
        <v>1.1730858533999999</v>
      </c>
      <c r="NY13" s="30">
        <f>(DP13&gt;0)*(MAX($KR13:NX13)+(MONTH(NY$3)=$J13)*MAX($KR13:NX13)*$I13)</f>
        <v>0</v>
      </c>
      <c r="NZ13" s="30">
        <f>(DQ13&gt;0)*(MAX($KR13:NY13)+(MONTH(NZ$3)=$J13)*MAX($KR13:NY13)*$I13)</f>
        <v>0</v>
      </c>
      <c r="OA13" s="30">
        <f>(DR13&gt;0)*(MAX($KR13:NZ13)+(MONTH(OA$3)=$J13)*MAX($KR13:NZ13)*$I13)</f>
        <v>0</v>
      </c>
      <c r="OB13" s="30">
        <f>(DS13&gt;0)*(MAX($KR13:OA13)+(MONTH(OB$3)=$J13)*MAX($KR13:OA13)*$I13)</f>
        <v>0</v>
      </c>
      <c r="OC13" s="30">
        <f>(DT13&gt;0)*(MAX($KR13:OB13)+(MONTH(OC$3)=$J13)*MAX($KR13:OB13)*$I13)</f>
        <v>0</v>
      </c>
      <c r="OD13" s="30">
        <f>(DU13&gt;0)*(MAX($KR13:OC13)+(MONTH(OD$3)=$J13)*MAX($KR13:OC13)*$I13)</f>
        <v>0</v>
      </c>
      <c r="OE13" s="30">
        <f>(DV13&gt;0)*(MAX($KR13:OD13)+(MONTH(OE$3)=$J13)*MAX($KR13:OD13)*$I13)</f>
        <v>0</v>
      </c>
      <c r="OF13" s="30">
        <f>(DW13&gt;0)*(MAX($KR13:OE13)+(MONTH(OF$3)=$J13)*MAX($KR13:OE13)*$I13)</f>
        <v>0</v>
      </c>
      <c r="OG13" s="30">
        <f>(DX13&gt;0)*(MAX($KR13:OF13)+(MONTH(OG$3)=$J13)*MAX($KR13:OF13)*$I13)</f>
        <v>0</v>
      </c>
      <c r="OH13" s="30">
        <f>(DY13&gt;0)*(MAX($KR13:OG13)+(MONTH(OH$3)=$J13)*MAX($KR13:OG13)*$I13)</f>
        <v>0</v>
      </c>
      <c r="OI13" s="30">
        <f>(DZ13&gt;0)*(MAX($KR13:OH13)+(MONTH(OI$3)=$J13)*MAX($KR13:OH13)*$I13)</f>
        <v>0</v>
      </c>
      <c r="OJ13" s="30">
        <f>(EA13&gt;0)*(MAX($KR13:OI13)+(MONTH(OJ$3)=$J13)*MAX($KR13:OI13)*$I13)</f>
        <v>0</v>
      </c>
      <c r="OK13" s="30">
        <f>(EB13&gt;0)*(MAX($KR13:OJ13)+(MONTH(OK$3)=$J13)*MAX($KR13:OJ13)*$I13)</f>
        <v>0</v>
      </c>
      <c r="OL13" s="30">
        <f>(EC13&gt;0)*(MAX($KR13:OK13)+(MONTH(OL$3)=$J13)*MAX($KR13:OK13)*$I13)</f>
        <v>0</v>
      </c>
      <c r="OM13" s="30">
        <f>(ED13&gt;0)*(MAX($KR13:OL13)+(MONTH(OM$3)=$J13)*MAX($KR13:OL13)*$I13)</f>
        <v>0</v>
      </c>
      <c r="ON13" s="30">
        <f>(EE13&gt;0)*(MAX($KR13:OM13)+(MONTH(ON$3)=$J13)*MAX($KR13:OM13)*$I13)</f>
        <v>0</v>
      </c>
      <c r="OO13" s="30">
        <f>(EF13&gt;0)*(MAX($KR13:ON13)+(MONTH(OO$3)=$J13)*MAX($KR13:ON13)*$I13)</f>
        <v>0</v>
      </c>
      <c r="OP13" s="30">
        <f>(EG13&gt;0)*(MAX($KR13:OO13)+(MONTH(OP$3)=$J13)*MAX($KR13:OO13)*$I13)</f>
        <v>0</v>
      </c>
      <c r="OQ13" s="30">
        <f>(EH13&gt;0)*(MAX($KR13:OP13)+(MONTH(OQ$3)=$J13)*MAX($KR13:OP13)*$I13)</f>
        <v>0</v>
      </c>
      <c r="OR13" s="30">
        <f>(EI13&gt;0)*(MAX($KR13:OQ13)+(MONTH(OR$3)=$J13)*MAX($KR13:OQ13)*$I13)</f>
        <v>0</v>
      </c>
      <c r="OS13" s="30">
        <f>(EJ13&gt;0)*(MAX($KR13:OR13)+(MONTH(OS$3)=$J13)*MAX($KR13:OR13)*$I13)</f>
        <v>0</v>
      </c>
      <c r="OT13" s="30">
        <f>(EK13&gt;0)*(MAX($KR13:OS13)+(MONTH(OT$3)=$J13)*MAX($KR13:OS13)*$I13)</f>
        <v>0</v>
      </c>
      <c r="OU13" s="30">
        <f>(EL13&gt;0)*(MAX($KR13:OT13)+(MONTH(OU$3)=$J13)*MAX($KR13:OT13)*$I13)</f>
        <v>0</v>
      </c>
      <c r="OV13" s="30">
        <f>(EM13&gt;0)*(MAX($KR13:OU13)+(MONTH(OV$3)=$J13)*MAX($KR13:OU13)*$I13)</f>
        <v>0</v>
      </c>
      <c r="OW13" s="30">
        <f>(EN13&gt;0)*(MAX($KR13:OV13)+(MONTH(OW$3)=$J13)*MAX($KR13:OV13)*$I13)</f>
        <v>0</v>
      </c>
      <c r="OX13" s="30">
        <f>(EO13&gt;0)*(MAX($KR13:OW13)+(MONTH(OX$3)=$J13)*MAX($KR13:OW13)*$I13)</f>
        <v>0</v>
      </c>
      <c r="OY13" s="30">
        <f>(EP13&gt;0)*(MAX($KR13:OX13)+(MONTH(OY$3)=$J13)*MAX($KR13:OX13)*$I13)</f>
        <v>0</v>
      </c>
      <c r="OZ13" s="30">
        <f>(EQ13&gt;0)*(MAX($KR13:OY13)+(MONTH(OZ$3)=$J13)*MAX($KR13:OY13)*$I13)</f>
        <v>0</v>
      </c>
      <c r="PA13" s="30">
        <f>(ER13&gt;0)*(MAX($KR13:OZ13)+(MONTH(PA$3)=$J13)*MAX($KR13:OZ13)*$I13)</f>
        <v>0</v>
      </c>
      <c r="PB13" s="30">
        <f>(ES13&gt;0)*(MAX($KR13:PA13)+(MONTH(PB$3)=$J13)*MAX($KR13:PA13)*$I13)</f>
        <v>0</v>
      </c>
      <c r="PC13" s="30">
        <f>(ET13&gt;0)*(MAX($KR13:PB13)+(MONTH(PC$3)=$J13)*MAX($KR13:PB13)*$I13)</f>
        <v>0</v>
      </c>
      <c r="PD13" s="30">
        <f>(EU13&gt;0)*(MAX($KR13:PC13)+(MONTH(PD$3)=$J13)*MAX($KR13:PC13)*$I13)</f>
        <v>0</v>
      </c>
      <c r="PE13" s="30">
        <f>(EV13&gt;0)*(MAX($KR13:PD13)+(MONTH(PE$3)=$J13)*MAX($KR13:PD13)*$I13)</f>
        <v>0</v>
      </c>
      <c r="PF13" s="30">
        <f>(EW13&gt;0)*(MAX($KR13:PE13)+(MONTH(PF$3)=$J13)*MAX($KR13:PE13)*$I13)</f>
        <v>0</v>
      </c>
      <c r="PG13" s="30">
        <f>(EX13&gt;0)*(MAX($KR13:PF13)+(MONTH(PG$3)=$J13)*MAX($KR13:PF13)*$I13)</f>
        <v>0</v>
      </c>
      <c r="PH13" s="30">
        <f>(EY13&gt;0)*(MAX($KR13:PG13)+(MONTH(PH$3)=$J13)*MAX($KR13:PG13)*$I13)</f>
        <v>0</v>
      </c>
      <c r="PI13" s="30">
        <f>(EZ13&gt;0)*(MAX($KR13:PH13)+(MONTH(PI$3)=$J13)*MAX($KR13:PH13)*$I13)</f>
        <v>0</v>
      </c>
      <c r="PJ13" s="30">
        <f>(FA13&gt;0)*(MAX($KR13:PI13)+(MONTH(PJ$3)=$J13)*MAX($KR13:PI13)*$I13)</f>
        <v>0</v>
      </c>
      <c r="PK13" s="30">
        <f>(FB13&gt;0)*(MAX($KR13:PJ13)+(MONTH(PK$3)=$J13)*MAX($KR13:PJ13)*$I13)</f>
        <v>0</v>
      </c>
      <c r="PL13" s="30">
        <f>(FC13&gt;0)*(MAX($KR13:PK13)+(MONTH(PL$3)=$J13)*MAX($KR13:PK13)*$I13)</f>
        <v>0</v>
      </c>
      <c r="PM13" s="30">
        <f>(FD13&gt;0)*(MAX($KR13:PL13)+(MONTH(PM$3)=$J13)*MAX($KR13:PL13)*$I13)</f>
        <v>0</v>
      </c>
      <c r="PN13" s="30">
        <f>(FE13&gt;0)*(MAX($KR13:PM13)+(MONTH(PN$3)=$J13)*MAX($KR13:PM13)*$I13)</f>
        <v>0</v>
      </c>
      <c r="PO13" s="30">
        <f>(FF13&gt;0)*(MAX($KR13:PN13)+(MONTH(PO$3)=$J13)*MAX($KR13:PN13)*$I13)</f>
        <v>0</v>
      </c>
      <c r="PP13" s="30">
        <f>(FG13&gt;0)*(MAX($KR13:PO13)+(MONTH(PP$3)=$J13)*MAX($KR13:PO13)*$I13)</f>
        <v>0</v>
      </c>
      <c r="PQ13" s="30">
        <f>(FH13&gt;0)*(MAX($KR13:PP13)+(MONTH(PQ$3)=$J13)*MAX($KR13:PP13)*$I13)</f>
        <v>0</v>
      </c>
      <c r="PR13" s="30">
        <f>(FI13&gt;0)*(MAX($KR13:PQ13)+(MONTH(PR$3)=$J13)*MAX($KR13:PQ13)*$I13)</f>
        <v>0</v>
      </c>
      <c r="PS13" s="30">
        <f>(FJ13&gt;0)*(MAX($KR13:PR13)+(MONTH(PS$3)=$J13)*MAX($KR13:PR13)*$I13)</f>
        <v>0</v>
      </c>
      <c r="PT13" s="30">
        <f>(FK13&gt;0)*(MAX($KR13:PS13)+(MONTH(PT$3)=$J13)*MAX($KR13:PS13)*$I13)</f>
        <v>0</v>
      </c>
      <c r="PU13" s="30"/>
      <c r="PV13" s="30"/>
      <c r="PW13" s="46">
        <f t="shared" si="1304"/>
        <v>1.3607795899439996</v>
      </c>
      <c r="PX13" s="30">
        <f>(FN13&gt;0)*(MAX($PW13:PW13)+(MONTH(PX$3)=$V13)*MAX($PW13:PW13)*$U13)</f>
        <v>0</v>
      </c>
      <c r="PY13" s="30">
        <f>(FO13&gt;0)*(MAX($PW13:PX13)+(MONTH(PY$3)=$V13)*MAX($PW13:PX13)*$U13)</f>
        <v>0</v>
      </c>
      <c r="PZ13" s="30">
        <f>(FP13&gt;0)*(MAX($PW13:PY13)+(MONTH(PZ$3)=$V13)*MAX($PW13:PY13)*$U13)</f>
        <v>0</v>
      </c>
      <c r="QA13" s="30">
        <f>(FQ13&gt;0)*(MAX($PW13:PZ13)+(MONTH(QA$3)=$V13)*MAX($PW13:PZ13)*$U13)</f>
        <v>0</v>
      </c>
      <c r="QB13" s="30">
        <f>(FR13&gt;0)*(MAX($PW13:QA13)+(MONTH(QB$3)=$V13)*MAX($PW13:QA13)*$U13)</f>
        <v>0</v>
      </c>
      <c r="QC13" s="30">
        <f>(FS13&gt;0)*(MAX($PW13:QB13)+(MONTH(QC$3)=$V13)*MAX($PW13:QB13)*$U13)</f>
        <v>0</v>
      </c>
      <c r="QD13" s="30">
        <f>(FT13&gt;0)*(MAX($PW13:QC13)+(MONTH(QD$3)=$V13)*MAX($PW13:QC13)*$U13)</f>
        <v>0</v>
      </c>
      <c r="QE13" s="30">
        <f>(FU13&gt;0)*(MAX($PW13:QD13)+(MONTH(QE$3)=$V13)*MAX($PW13:QD13)*$U13)</f>
        <v>0</v>
      </c>
      <c r="QF13" s="30">
        <f>(FV13&gt;0)*(MAX($PW13:QE13)+(MONTH(QF$3)=$V13)*MAX($PW13:QE13)*$U13)</f>
        <v>0</v>
      </c>
      <c r="QG13" s="30">
        <f>(FW13&gt;0)*(MAX($PW13:QF13)+(MONTH(QG$3)=$V13)*MAX($PW13:QF13)*$U13)</f>
        <v>0</v>
      </c>
      <c r="QH13" s="30">
        <f>(FX13&gt;0)*(MAX($PW13:QG13)+(MONTH(QH$3)=$V13)*MAX($PW13:QG13)*$U13)</f>
        <v>0</v>
      </c>
      <c r="QI13" s="30">
        <f>(FY13&gt;0)*(MAX($PW13:QH13)+(MONTH(QI$3)=$V13)*MAX($PW13:QH13)*$U13)</f>
        <v>0</v>
      </c>
      <c r="QJ13" s="30">
        <f>(FZ13&gt;0)*(MAX($PW13:QI13)+(MONTH(QJ$3)=$V13)*MAX($PW13:QI13)*$U13)</f>
        <v>0</v>
      </c>
      <c r="QK13" s="30">
        <f>(GA13&gt;0)*(MAX($PW13:QJ13)+(MONTH(QK$3)=$V13)*MAX($PW13:QJ13)*$U13)</f>
        <v>0</v>
      </c>
      <c r="QL13" s="30">
        <f>(GB13&gt;0)*(MAX($PW13:QK13)+(MONTH(QL$3)=$V13)*MAX($PW13:QK13)*$U13)</f>
        <v>0</v>
      </c>
      <c r="QM13" s="30">
        <f>(GC13&gt;0)*(MAX($PW13:QL13)+(MONTH(QM$3)=$V13)*MAX($PW13:QL13)*$U13)</f>
        <v>0</v>
      </c>
      <c r="QN13" s="30">
        <f>(GD13&gt;0)*(MAX($PW13:QM13)+(MONTH(QN$3)=$V13)*MAX($PW13:QM13)*$U13)</f>
        <v>0</v>
      </c>
      <c r="QO13" s="30">
        <f>(GE13&gt;0)*(MAX($PW13:QN13)+(MONTH(QO$3)=$V13)*MAX($PW13:QN13)*$U13)</f>
        <v>0</v>
      </c>
      <c r="QP13" s="30">
        <f>(GF13&gt;0)*(MAX($PW13:QO13)+(MONTH(QP$3)=$V13)*MAX($PW13:QO13)*$U13)</f>
        <v>0</v>
      </c>
      <c r="QQ13" s="30">
        <f>(GG13&gt;0)*(MAX($PW13:QP13)+(MONTH(QQ$3)=$V13)*MAX($PW13:QP13)*$U13)</f>
        <v>0</v>
      </c>
      <c r="QR13" s="30">
        <f>(GH13&gt;0)*(MAX($PW13:QQ13)+(MONTH(QR$3)=$V13)*MAX($PW13:QQ13)*$U13)</f>
        <v>0</v>
      </c>
      <c r="QS13" s="30">
        <f>(GI13&gt;0)*(MAX($PW13:QR13)+(MONTH(QS$3)=$V13)*MAX($PW13:QR13)*$U13)</f>
        <v>0</v>
      </c>
      <c r="QT13" s="30">
        <f>(GJ13&gt;0)*(MAX($PW13:QS13)+(MONTH(QT$3)=$V13)*MAX($PW13:QS13)*$U13)</f>
        <v>0</v>
      </c>
      <c r="QU13" s="30">
        <f>(GK13&gt;0)*(MAX($PW13:QT13)+(MONTH(QU$3)=$V13)*MAX($PW13:QT13)*$U13)</f>
        <v>0</v>
      </c>
      <c r="QV13" s="30">
        <f>(GL13&gt;0)*(MAX($PW13:QU13)+(MONTH(QV$3)=$V13)*MAX($PW13:QU13)*$U13)</f>
        <v>0</v>
      </c>
      <c r="QW13" s="30">
        <f>(GM13&gt;0)*(MAX($PW13:QV13)+(MONTH(QW$3)=$V13)*MAX($PW13:QV13)*$U13)</f>
        <v>0</v>
      </c>
      <c r="QX13" s="30">
        <f>(GN13&gt;0)*(MAX($PW13:QW13)+(MONTH(QX$3)=$V13)*MAX($PW13:QW13)*$U13)</f>
        <v>0</v>
      </c>
      <c r="QY13" s="30">
        <f>(GO13&gt;0)*(MAX($PW13:QX13)+(MONTH(QY$3)=$V13)*MAX($PW13:QX13)*$U13)</f>
        <v>0</v>
      </c>
      <c r="QZ13" s="30">
        <f>(GP13&gt;0)*(MAX($PW13:QY13)+(MONTH(QZ$3)=$V13)*MAX($PW13:QY13)*$U13)</f>
        <v>0</v>
      </c>
      <c r="RA13" s="30">
        <f>(GQ13&gt;0)*(MAX($PW13:QZ13)+(MONTH(RA$3)=$V13)*MAX($PW13:QZ13)*$U13)</f>
        <v>0</v>
      </c>
      <c r="RB13" s="30">
        <f>(GR13&gt;0)*(MAX($PW13:RA13)+(MONTH(RB$3)=$V13)*MAX($PW13:RA13)*$U13)</f>
        <v>0</v>
      </c>
      <c r="RC13" s="30">
        <f>(GS13&gt;0)*(MAX($PW13:RB13)+(MONTH(RC$3)=$V13)*MAX($PW13:RB13)*$U13)</f>
        <v>0</v>
      </c>
      <c r="RD13" s="30">
        <f>(GT13&gt;0)*(MAX($PW13:RC13)+(MONTH(RD$3)=$V13)*MAX($PW13:RC13)*$U13)</f>
        <v>0</v>
      </c>
      <c r="RE13" s="30">
        <f>(GU13&gt;0)*(MAX($PW13:RD13)+(MONTH(RE$3)=$V13)*MAX($PW13:RD13)*$U13)</f>
        <v>0</v>
      </c>
      <c r="RF13" s="30">
        <f>(GV13&gt;0)*(MAX($PW13:RE13)+(MONTH(RF$3)=$V13)*MAX($PW13:RE13)*$U13)</f>
        <v>0</v>
      </c>
      <c r="RG13" s="30">
        <f>(GW13&gt;0)*(MAX($PW13:RF13)+(MONTH(RG$3)=$V13)*MAX($PW13:RF13)*$U13)</f>
        <v>0</v>
      </c>
      <c r="RH13" s="30">
        <f>(GX13&gt;0)*(MAX($PW13:RG13)+(MONTH(RH$3)=$V13)*MAX($PW13:RG13)*$U13)</f>
        <v>0</v>
      </c>
      <c r="RI13" s="30">
        <f>(GY13&gt;0)*(MAX($PW13:RH13)+(MONTH(RI$3)=$V13)*MAX($PW13:RH13)*$U13)</f>
        <v>0</v>
      </c>
      <c r="RJ13" s="30">
        <f>(GZ13&gt;0)*(MAX($PW13:RI13)+(MONTH(RJ$3)=$V13)*MAX($PW13:RI13)*$U13)</f>
        <v>0</v>
      </c>
      <c r="RK13" s="30">
        <f>(HA13&gt;0)*(MAX($PW13:RJ13)+(MONTH(RK$3)=$V13)*MAX($PW13:RJ13)*$U13)</f>
        <v>0</v>
      </c>
      <c r="RL13" s="30">
        <f>(HB13&gt;0)*(MAX($PW13:RK13)+(MONTH(RL$3)=$V13)*MAX($PW13:RK13)*$U13)</f>
        <v>0</v>
      </c>
      <c r="RM13" s="30">
        <f>(HC13&gt;0)*(MAX($PW13:RL13)+(MONTH(RM$3)=$V13)*MAX($PW13:RL13)*$U13)</f>
        <v>0</v>
      </c>
      <c r="RN13" s="30">
        <f>(HD13&gt;0)*(MAX($PW13:RM13)+(MONTH(RN$3)=$V13)*MAX($PW13:RM13)*$U13)</f>
        <v>0</v>
      </c>
      <c r="RO13" s="30">
        <f>(HE13&gt;0)*(MAX($PW13:RN13)+(MONTH(RO$3)=$V13)*MAX($PW13:RN13)*$U13)</f>
        <v>0</v>
      </c>
      <c r="RP13" s="30">
        <f>(HF13&gt;0)*(MAX($PW13:RO13)+(MONTH(RP$3)=$V13)*MAX($PW13:RO13)*$U13)</f>
        <v>0</v>
      </c>
      <c r="RQ13" s="30">
        <f>(HG13&gt;0)*(MAX($PW13:RP13)+(MONTH(RQ$3)=$V13)*MAX($PW13:RP13)*$U13)</f>
        <v>0</v>
      </c>
      <c r="RR13" s="30">
        <f>(HH13&gt;0)*(MAX($PW13:RQ13)+(MONTH(RR$3)=$V13)*MAX($PW13:RQ13)*$U13)</f>
        <v>0</v>
      </c>
      <c r="RS13" s="30">
        <f>(HI13&gt;0)*(MAX($PW13:RR13)+(MONTH(RS$3)=$V13)*MAX($PW13:RR13)*$U13)</f>
        <v>0</v>
      </c>
      <c r="RT13" s="30">
        <f>(HJ13&gt;0)*(MAX($PW13:RS13)+(MONTH(RT$3)=$V13)*MAX($PW13:RS13)*$U13)</f>
        <v>0</v>
      </c>
      <c r="RU13" s="30">
        <f>(HK13&gt;0)*(MAX($PW13:RT13)+(MONTH(RU$3)=$V13)*MAX($PW13:RT13)*$U13)</f>
        <v>0</v>
      </c>
      <c r="RV13" s="30">
        <f>(HL13&gt;0)*(MAX($PW13:RU13)+(MONTH(RV$3)=$V13)*MAX($PW13:RU13)*$U13)</f>
        <v>0</v>
      </c>
      <c r="RW13" s="30">
        <f>(HM13&gt;0)*(MAX($PW13:RV13)+(MONTH(RW$3)=$V13)*MAX($PW13:RV13)*$U13)</f>
        <v>0</v>
      </c>
      <c r="RX13" s="30">
        <f>(HN13&gt;0)*(MAX($PW13:RW13)+(MONTH(RX$3)=$V13)*MAX($PW13:RW13)*$U13)</f>
        <v>0</v>
      </c>
      <c r="RY13" s="30">
        <f>(HO13&gt;0)*(MAX($PW13:RX13)+(MONTH(RY$3)=$V13)*MAX($PW13:RX13)*$U13)</f>
        <v>0</v>
      </c>
      <c r="RZ13" s="30">
        <f>(HP13&gt;0)*(MAX($PW13:RY13)+(MONTH(RZ$3)=$V13)*MAX($PW13:RY13)*$U13)</f>
        <v>0</v>
      </c>
      <c r="SA13" s="30">
        <f>(HQ13&gt;0)*(MAX($PW13:RZ13)+(MONTH(SA$3)=$V13)*MAX($PW13:RZ13)*$U13)</f>
        <v>0</v>
      </c>
      <c r="SB13" s="30">
        <f>(HR13&gt;0)*(MAX($PW13:SA13)+(MONTH(SB$3)=$V13)*MAX($PW13:SA13)*$U13)</f>
        <v>0</v>
      </c>
      <c r="SC13" s="30">
        <f>(HS13&gt;0)*(MAX($PW13:SB13)+(MONTH(SC$3)=$V13)*MAX($PW13:SB13)*$U13)</f>
        <v>0</v>
      </c>
      <c r="SD13" s="30">
        <f>(HT13&gt;0)*(MAX($PW13:SC13)+(MONTH(SD$3)=$V13)*MAX($PW13:SC13)*$U13)</f>
        <v>0</v>
      </c>
      <c r="SE13" s="30">
        <f>(HU13&gt;0)*(MAX($PW13:SD13)+(MONTH(SE$3)=$V13)*MAX($PW13:SD13)*$U13)</f>
        <v>0</v>
      </c>
      <c r="SF13" s="30">
        <f>(HV13&gt;0)*(MAX($PW13:SE13)+(MONTH(SF$3)=$V13)*MAX($PW13:SE13)*$U13)</f>
        <v>0</v>
      </c>
      <c r="SG13" s="30">
        <f>(HW13&gt;0)*(MAX($PW13:SF13)+(MONTH(SG$3)=$V13)*MAX($PW13:SF13)*$U13)</f>
        <v>0</v>
      </c>
      <c r="SH13" s="30">
        <f>(HX13&gt;0)*(MAX($PW13:SG13)+(MONTH(SH$3)=$V13)*MAX($PW13:SG13)*$U13)</f>
        <v>0</v>
      </c>
      <c r="SI13" s="30">
        <f>(HY13&gt;0)*(MAX($PW13:SH13)+(MONTH(SI$3)=$V13)*MAX($PW13:SH13)*$U13)</f>
        <v>0</v>
      </c>
      <c r="SJ13" s="30">
        <f>(HZ13&gt;0)*(MAX($PW13:SI13)+(MONTH(SJ$3)=$V13)*MAX($PW13:SI13)*$U13)</f>
        <v>0</v>
      </c>
      <c r="SK13" s="30">
        <f>(IA13&gt;0)*(MAX($PW13:SJ13)+(MONTH(SK$3)=$V13)*MAX($PW13:SJ13)*$U13)</f>
        <v>0</v>
      </c>
      <c r="SL13" s="30">
        <f>(IB13&gt;0)*(MAX($PW13:SK13)+(MONTH(SL$3)=$V13)*MAX($PW13:SK13)*$U13)</f>
        <v>0</v>
      </c>
      <c r="SM13" s="30">
        <f>(IC13&gt;0)*(MAX($PW13:SL13)+(MONTH(SM$3)=$V13)*MAX($PW13:SL13)*$U13)</f>
        <v>0</v>
      </c>
      <c r="SN13" s="30">
        <f>(ID13&gt;0)*(MAX($PW13:SM13)+(MONTH(SN$3)=$V13)*MAX($PW13:SM13)*$U13)</f>
        <v>0</v>
      </c>
      <c r="SO13" s="30">
        <f>(IE13&gt;0)*(MAX($PW13:SN13)+(MONTH(SO$3)=$V13)*MAX($PW13:SN13)*$U13)</f>
        <v>0</v>
      </c>
      <c r="SP13" s="30">
        <f>(IF13&gt;0)*(MAX($PW13:SO13)+(MONTH(SP$3)=$V13)*MAX($PW13:SO13)*$U13)</f>
        <v>0</v>
      </c>
      <c r="SQ13" s="30">
        <f>(IG13&gt;0)*(MAX($PW13:SP13)+(MONTH(SQ$3)=$V13)*MAX($PW13:SP13)*$U13)</f>
        <v>0</v>
      </c>
      <c r="SR13" s="30">
        <f>(IH13&gt;0)*(MAX($PW13:SQ13)+(MONTH(SR$3)=$V13)*MAX($PW13:SQ13)*$U13)</f>
        <v>0</v>
      </c>
      <c r="SS13" s="30">
        <f>(II13&gt;0)*(MAX($PW13:SR13)+(MONTH(SS$3)=$V13)*MAX($PW13:SR13)*$U13)</f>
        <v>0</v>
      </c>
      <c r="ST13" s="30">
        <f>(IJ13&gt;0)*(MAX($PW13:SS13)+(MONTH(ST$3)=$V13)*MAX($PW13:SS13)*$U13)</f>
        <v>0</v>
      </c>
      <c r="SU13" s="30">
        <f>(IK13&gt;0)*(MAX($PW13:ST13)+(MONTH(SU$3)=$V13)*MAX($PW13:ST13)*$U13)</f>
        <v>0</v>
      </c>
      <c r="SV13" s="30">
        <f>(IL13&gt;0)*(MAX($PW13:SU13)+(MONTH(SV$3)=$V13)*MAX($PW13:SU13)*$U13)</f>
        <v>0</v>
      </c>
      <c r="SW13" s="30">
        <f>(IM13&gt;0)*(MAX($PW13:SV13)+(MONTH(SW$3)=$V13)*MAX($PW13:SV13)*$U13)</f>
        <v>0</v>
      </c>
      <c r="SX13" s="30">
        <f>(IN13&gt;0)*(MAX($PW13:SW13)+(MONTH(SX$3)=$V13)*MAX($PW13:SW13)*$U13)</f>
        <v>0</v>
      </c>
      <c r="SY13" s="30">
        <f>(IO13&gt;0)*(MAX($PW13:SX13)+(MONTH(SY$3)=$V13)*MAX($PW13:SX13)*$U13)</f>
        <v>0</v>
      </c>
      <c r="SZ13" s="30">
        <f>(IP13&gt;0)*(MAX($PW13:SY13)+(MONTH(SZ$3)=$V13)*MAX($PW13:SY13)*$U13)</f>
        <v>0</v>
      </c>
      <c r="TA13" s="30">
        <f>(IQ13&gt;0)*(MAX($PW13:SZ13)+(MONTH(TA$3)=$V13)*MAX($PW13:SZ13)*$U13)</f>
        <v>0</v>
      </c>
      <c r="TB13" s="30">
        <f>(IR13&gt;0)*(MAX($PW13:TA13)+(MONTH(TB$3)=$V13)*MAX($PW13:TA13)*$U13)</f>
        <v>0</v>
      </c>
      <c r="TC13" s="30">
        <f>(IS13&gt;0)*(MAX($PW13:TB13)+(MONTH(TC$3)=$V13)*MAX($PW13:TB13)*$U13)</f>
        <v>0</v>
      </c>
      <c r="TD13" s="30">
        <f>(IT13&gt;0)*(MAX($PW13:TC13)+(MONTH(TD$3)=$V13)*MAX($PW13:TC13)*$U13)</f>
        <v>0</v>
      </c>
      <c r="TE13" s="30">
        <f>(IU13&gt;0)*(MAX($PW13:TD13)+(MONTH(TE$3)=$V13)*MAX($PW13:TD13)*$U13)</f>
        <v>0</v>
      </c>
      <c r="TF13" s="30">
        <f>(IV13&gt;0)*(MAX($PW13:TE13)+(MONTH(TF$3)=$V13)*MAX($PW13:TE13)*$U13)</f>
        <v>0</v>
      </c>
      <c r="TG13" s="30">
        <f>(IW13&gt;0)*(MAX($PW13:TF13)+(MONTH(TG$3)=$V13)*MAX($PW13:TF13)*$U13)</f>
        <v>1.3879951817428795</v>
      </c>
      <c r="TH13" s="30">
        <f>(IX13&gt;0)*(MAX($PW13:TG13)+(MONTH(TH$3)=$V13)*MAX($PW13:TG13)*$U13)</f>
        <v>1.3879951817428795</v>
      </c>
      <c r="TI13" s="30">
        <f>(IY13&gt;0)*(MAX($PW13:TH13)+(MONTH(TI$3)=$V13)*MAX($PW13:TH13)*$U13)</f>
        <v>1.3879951817428795</v>
      </c>
      <c r="TJ13" s="30">
        <f>(IZ13&gt;0)*(MAX($PW13:TI13)+(MONTH(TJ$3)=$V13)*MAX($PW13:TI13)*$U13)</f>
        <v>1.3879951817428795</v>
      </c>
      <c r="TK13" s="30">
        <f>(JA13&gt;0)*(MAX($PW13:TJ13)+(MONTH(TK$3)=$V13)*MAX($PW13:TJ13)*$U13)</f>
        <v>1.3879951817428795</v>
      </c>
      <c r="TL13" s="30">
        <f>(JB13&gt;0)*(MAX($PW13:TK13)+(MONTH(TL$3)=$V13)*MAX($PW13:TK13)*$U13)</f>
        <v>1.3879951817428795</v>
      </c>
      <c r="TM13" s="30">
        <f>(JC13&gt;0)*(MAX($PW13:TL13)+(MONTH(TM$3)=$V13)*MAX($PW13:TL13)*$U13)</f>
        <v>1.3879951817428795</v>
      </c>
      <c r="TN13" s="30">
        <f>(JD13&gt;0)*(MAX($PW13:TM13)+(MONTH(TN$3)=$V13)*MAX($PW13:TM13)*$U13)</f>
        <v>1.3879951817428795</v>
      </c>
      <c r="TO13" s="30">
        <f>(JE13&gt;0)*(MAX($PW13:TN13)+(MONTH(TO$3)=$V13)*MAX($PW13:TN13)*$U13)</f>
        <v>1.3879951817428795</v>
      </c>
      <c r="TP13" s="30">
        <f>(JF13&gt;0)*(MAX($PW13:TO13)+(MONTH(TP$3)=$V13)*MAX($PW13:TO13)*$U13)</f>
        <v>1.3879951817428795</v>
      </c>
      <c r="TQ13" s="30">
        <f>(JG13&gt;0)*(MAX($PW13:TP13)+(MONTH(TQ$3)=$V13)*MAX($PW13:TP13)*$U13)</f>
        <v>1.3879951817428795</v>
      </c>
      <c r="TR13" s="30">
        <f>(JH13&gt;0)*(MAX($PW13:TQ13)+(MONTH(TR$3)=$V13)*MAX($PW13:TQ13)*$U13)</f>
        <v>1.3879951817428795</v>
      </c>
      <c r="TS13" s="30">
        <f>(JI13&gt;0)*(MAX($PW13:TR13)+(MONTH(TS$3)=$V13)*MAX($PW13:TR13)*$U13)</f>
        <v>1.4157550853777372</v>
      </c>
      <c r="TT13" s="30">
        <f>(JJ13&gt;0)*(MAX($PW13:TS13)+(MONTH(TT$3)=$V13)*MAX($PW13:TS13)*$U13)</f>
        <v>1.4157550853777372</v>
      </c>
      <c r="TU13" s="30">
        <f>(JK13&gt;0)*(MAX($PW13:TT13)+(MONTH(TU$3)=$V13)*MAX($PW13:TT13)*$U13)</f>
        <v>1.4157550853777372</v>
      </c>
      <c r="TV13" s="30">
        <f>(JL13&gt;0)*(MAX($PW13:TU13)+(MONTH(TV$3)=$V13)*MAX($PW13:TU13)*$U13)</f>
        <v>1.4157550853777372</v>
      </c>
      <c r="TW13" s="30">
        <f>(JM13&gt;0)*(MAX($PW13:TV13)+(MONTH(TW$3)=$V13)*MAX($PW13:TV13)*$U13)</f>
        <v>1.4157550853777372</v>
      </c>
      <c r="TX13" s="30">
        <f>(JN13&gt;0)*(MAX($PW13:TW13)+(MONTH(TX$3)=$V13)*MAX($PW13:TW13)*$U13)</f>
        <v>1.4157550853777372</v>
      </c>
      <c r="TY13" s="30">
        <f>(JO13&gt;0)*(MAX($PW13:TX13)+(MONTH(TY$3)=$V13)*MAX($PW13:TX13)*$U13)</f>
        <v>1.4157550853777372</v>
      </c>
      <c r="TZ13" s="30">
        <f>(JP13&gt;0)*(MAX($PW13:TY13)+(MONTH(TZ$3)=$V13)*MAX($PW13:TY13)*$U13)</f>
        <v>1.4157550853777372</v>
      </c>
      <c r="UA13" s="30">
        <f>(JQ13&gt;0)*(MAX($PW13:TZ13)+(MONTH(UA$3)=$V13)*MAX($PW13:TZ13)*$U13)</f>
        <v>1.4157550853777372</v>
      </c>
      <c r="UB13" s="30">
        <f>(JR13&gt;0)*(MAX($PW13:UA13)+(MONTH(UB$3)=$V13)*MAX($PW13:UA13)*$U13)</f>
        <v>1.4157550853777372</v>
      </c>
      <c r="UC13" s="30">
        <f>(JS13&gt;0)*(MAX($PW13:UB13)+(MONTH(UC$3)=$V13)*MAX($PW13:UB13)*$U13)</f>
        <v>1.4157550853777372</v>
      </c>
      <c r="UD13" s="30">
        <f>(JT13&gt;0)*(MAX($PW13:UC13)+(MONTH(UD$3)=$V13)*MAX($PW13:UC13)*$U13)</f>
        <v>1.4157550853777372</v>
      </c>
      <c r="UE13" s="30">
        <f>(JU13&gt;0)*(MAX($PW13:UD13)+(MONTH(UE$3)=$V13)*MAX($PW13:UD13)*$U13)</f>
        <v>1.4440701870852919</v>
      </c>
      <c r="UF13" s="30">
        <f>(JV13&gt;0)*(MAX($PW13:UE13)+(MONTH(UF$3)=$V13)*MAX($PW13:UE13)*$U13)</f>
        <v>1.4440701870852919</v>
      </c>
      <c r="UG13" s="30">
        <f>(JW13&gt;0)*(MAX($PW13:UF13)+(MONTH(UG$3)=$V13)*MAX($PW13:UF13)*$U13)</f>
        <v>1.4440701870852919</v>
      </c>
      <c r="UH13" s="30">
        <f>(JX13&gt;0)*(MAX($PW13:UG13)+(MONTH(UH$3)=$V13)*MAX($PW13:UG13)*$U13)</f>
        <v>1.4440701870852919</v>
      </c>
      <c r="UI13" s="30">
        <f>(JY13&gt;0)*(MAX($PW13:UH13)+(MONTH(UI$3)=$V13)*MAX($PW13:UH13)*$U13)</f>
        <v>1.4440701870852919</v>
      </c>
      <c r="UJ13" s="30">
        <f>(JZ13&gt;0)*(MAX($PW13:UI13)+(MONTH(UJ$3)=$V13)*MAX($PW13:UI13)*$U13)</f>
        <v>1.4440701870852919</v>
      </c>
      <c r="UK13" s="30">
        <f>(KA13&gt;0)*(MAX($PW13:UJ13)+(MONTH(UK$3)=$V13)*MAX($PW13:UJ13)*$U13)</f>
        <v>1.4440701870852919</v>
      </c>
      <c r="UL13" s="30">
        <f>(KB13&gt;0)*(MAX($PW13:UK13)+(MONTH(UL$3)=$V13)*MAX($PW13:UK13)*$U13)</f>
        <v>1.4440701870852919</v>
      </c>
      <c r="UM13" s="30">
        <f>(KC13&gt;0)*(MAX($PW13:UL13)+(MONTH(UM$3)=$V13)*MAX($PW13:UL13)*$U13)</f>
        <v>1.4440701870852919</v>
      </c>
      <c r="UN13" s="30">
        <f>(KD13&gt;0)*(MAX($PW13:UM13)+(MONTH(UN$3)=$V13)*MAX($PW13:UM13)*$U13)</f>
        <v>1.4440701870852919</v>
      </c>
      <c r="UO13" s="30">
        <f>(KE13&gt;0)*(MAX($PW13:UN13)+(MONTH(UO$3)=$V13)*MAX($PW13:UN13)*$U13)</f>
        <v>1.4440701870852919</v>
      </c>
      <c r="UP13" s="30">
        <f>(KF13&gt;0)*(MAX($PW13:UO13)+(MONTH(UP$3)=$V13)*MAX($PW13:UO13)*$U13)</f>
        <v>1.4440701870852919</v>
      </c>
      <c r="UQ13" s="30">
        <f>(KG13&gt;0)*(MAX($PW13:UP13)+(MONTH(UQ$3)=$V13)*MAX($PW13:UP13)*$U13)</f>
        <v>1.4729515908269977</v>
      </c>
      <c r="UR13" s="30">
        <f>(KH13&gt;0)*(MAX($PW13:UQ13)+(MONTH(UR$3)=$V13)*MAX($PW13:UQ13)*$U13)</f>
        <v>1.4729515908269977</v>
      </c>
      <c r="US13" s="30">
        <f>(KI13&gt;0)*(MAX($PW13:UR13)+(MONTH(US$3)=$V13)*MAX($PW13:UR13)*$U13)</f>
        <v>1.4729515908269977</v>
      </c>
      <c r="UT13" s="30">
        <f>(KJ13&gt;0)*(MAX($PW13:US13)+(MONTH(UT$3)=$V13)*MAX($PW13:US13)*$U13)</f>
        <v>1.4729515908269977</v>
      </c>
      <c r="UU13" s="30">
        <f>(KK13&gt;0)*(MAX($PW13:UT13)+(MONTH(UU$3)=$V13)*MAX($PW13:UT13)*$U13)</f>
        <v>1.4729515908269977</v>
      </c>
      <c r="UV13" s="30">
        <f>(KL13&gt;0)*(MAX($PW13:UU13)+(MONTH(UV$3)=$V13)*MAX($PW13:UU13)*$U13)</f>
        <v>1.4729515908269977</v>
      </c>
      <c r="UW13" s="30">
        <f>(KM13&gt;0)*(MAX($PW13:UV13)+(MONTH(UW$3)=$V13)*MAX($PW13:UV13)*$U13)</f>
        <v>1.4729515908269977</v>
      </c>
      <c r="UX13" s="30">
        <f>(KN13&gt;0)*(MAX($PW13:UW13)+(MONTH(UX$3)=$V13)*MAX($PW13:UW13)*$U13)</f>
        <v>1.4729515908269977</v>
      </c>
      <c r="UY13" s="30">
        <f>(KO13&gt;0)*(MAX($PW13:UX13)+(MONTH(UY$3)=$V13)*MAX($PW13:UX13)*$U13)</f>
        <v>1.4729515908269977</v>
      </c>
      <c r="UZ13" s="17"/>
      <c r="VA13" s="17"/>
      <c r="VB13" s="17">
        <f t="shared" si="1305"/>
        <v>14478.125000000002</v>
      </c>
      <c r="VC13" s="17">
        <f t="shared" si="1138"/>
        <v>14478.125000000002</v>
      </c>
      <c r="VD13" s="17">
        <f t="shared" si="1139"/>
        <v>14478.125000000002</v>
      </c>
      <c r="VE13" s="17">
        <f t="shared" si="1140"/>
        <v>14478.125000000002</v>
      </c>
      <c r="VF13" s="17">
        <f t="shared" si="1141"/>
        <v>14478.125000000002</v>
      </c>
      <c r="VG13" s="17">
        <f t="shared" si="1142"/>
        <v>14478.125000000002</v>
      </c>
      <c r="VH13" s="17">
        <f t="shared" si="1143"/>
        <v>14478.125000000002</v>
      </c>
      <c r="VI13" s="17">
        <f t="shared" si="1144"/>
        <v>14478.125000000002</v>
      </c>
      <c r="VJ13" s="17">
        <f t="shared" si="1145"/>
        <v>14478.125000000002</v>
      </c>
      <c r="VK13" s="17">
        <f t="shared" si="1146"/>
        <v>14478.125000000002</v>
      </c>
      <c r="VL13" s="17">
        <f t="shared" si="1147"/>
        <v>14478.125000000002</v>
      </c>
      <c r="VM13" s="17">
        <f t="shared" si="1148"/>
        <v>14478.125000000002</v>
      </c>
      <c r="VN13" s="17">
        <f t="shared" si="1149"/>
        <v>14767.6875</v>
      </c>
      <c r="VO13" s="17">
        <f t="shared" si="1150"/>
        <v>14767.6875</v>
      </c>
      <c r="VP13" s="17">
        <f t="shared" si="1151"/>
        <v>14767.6875</v>
      </c>
      <c r="VQ13" s="17">
        <f t="shared" si="1152"/>
        <v>14767.6875</v>
      </c>
      <c r="VR13" s="17">
        <f t="shared" si="1153"/>
        <v>14767.6875</v>
      </c>
      <c r="VS13" s="17">
        <f t="shared" si="1154"/>
        <v>14767.6875</v>
      </c>
      <c r="VT13" s="17">
        <f t="shared" si="1155"/>
        <v>14767.6875</v>
      </c>
      <c r="VU13" s="17">
        <f t="shared" si="1156"/>
        <v>14767.6875</v>
      </c>
      <c r="VV13" s="17">
        <f t="shared" si="1157"/>
        <v>14767.6875</v>
      </c>
      <c r="VW13" s="17">
        <f t="shared" si="1158"/>
        <v>14767.6875</v>
      </c>
      <c r="VX13" s="17">
        <f t="shared" si="1159"/>
        <v>14767.6875</v>
      </c>
      <c r="VY13" s="17">
        <f t="shared" si="1160"/>
        <v>14767.6875</v>
      </c>
      <c r="VZ13" s="17">
        <f t="shared" si="1161"/>
        <v>15063.04125</v>
      </c>
      <c r="WA13" s="17">
        <f t="shared" si="1162"/>
        <v>15063.04125</v>
      </c>
      <c r="WB13" s="17">
        <f t="shared" si="1163"/>
        <v>15063.04125</v>
      </c>
      <c r="WC13" s="17">
        <f t="shared" si="1164"/>
        <v>15063.04125</v>
      </c>
      <c r="WD13" s="17">
        <f t="shared" si="1165"/>
        <v>15063.04125</v>
      </c>
      <c r="WE13" s="17">
        <f t="shared" si="1166"/>
        <v>15063.04125</v>
      </c>
      <c r="WF13" s="17">
        <f t="shared" si="1167"/>
        <v>15063.04125</v>
      </c>
      <c r="WG13" s="17">
        <f t="shared" si="1168"/>
        <v>15063.04125</v>
      </c>
      <c r="WH13" s="17">
        <f t="shared" si="1169"/>
        <v>15063.04125</v>
      </c>
      <c r="WI13" s="17">
        <f t="shared" si="1170"/>
        <v>15063.04125</v>
      </c>
      <c r="WJ13" s="17">
        <f t="shared" si="1171"/>
        <v>15063.04125</v>
      </c>
      <c r="WK13" s="17">
        <f t="shared" si="1172"/>
        <v>15063.04125</v>
      </c>
      <c r="WL13" s="17">
        <f t="shared" si="1173"/>
        <v>15364.302074999998</v>
      </c>
      <c r="WM13" s="17">
        <f t="shared" si="1174"/>
        <v>15364.302074999998</v>
      </c>
      <c r="WN13" s="17">
        <f t="shared" si="1175"/>
        <v>15364.302074999998</v>
      </c>
      <c r="WO13" s="17">
        <f t="shared" si="1176"/>
        <v>15364.302074999998</v>
      </c>
      <c r="WP13" s="17">
        <f t="shared" si="1177"/>
        <v>15364.302074999998</v>
      </c>
      <c r="WQ13" s="17">
        <f t="shared" si="1178"/>
        <v>15364.302074999998</v>
      </c>
      <c r="WR13" s="17">
        <f t="shared" si="1179"/>
        <v>15364.302074999998</v>
      </c>
      <c r="WS13" s="17">
        <f t="shared" si="1180"/>
        <v>15364.302074999998</v>
      </c>
      <c r="WT13" s="17">
        <f t="shared" si="1181"/>
        <v>15364.302074999998</v>
      </c>
      <c r="WU13" s="17">
        <f t="shared" si="1182"/>
        <v>15364.302074999998</v>
      </c>
      <c r="WV13" s="17">
        <f t="shared" si="1183"/>
        <v>15364.302074999998</v>
      </c>
      <c r="WW13" s="17">
        <f t="shared" si="1184"/>
        <v>15364.302074999998</v>
      </c>
      <c r="WX13" s="17">
        <f t="shared" si="1185"/>
        <v>15671.588116499999</v>
      </c>
      <c r="WY13" s="17">
        <f t="shared" si="1186"/>
        <v>15671.588116499999</v>
      </c>
      <c r="WZ13" s="17">
        <f t="shared" si="1187"/>
        <v>15671.588116499999</v>
      </c>
      <c r="XA13" s="17">
        <f t="shared" si="1188"/>
        <v>15671.588116499999</v>
      </c>
      <c r="XB13" s="17">
        <f t="shared" si="1189"/>
        <v>15671.588116499999</v>
      </c>
      <c r="XC13" s="17">
        <f t="shared" si="1190"/>
        <v>15671.588116499999</v>
      </c>
      <c r="XD13" s="17">
        <f t="shared" si="1191"/>
        <v>15671.588116499999</v>
      </c>
      <c r="XE13" s="17">
        <f t="shared" si="1192"/>
        <v>15671.588116499999</v>
      </c>
      <c r="XF13" s="17">
        <f t="shared" si="1193"/>
        <v>15671.588116499999</v>
      </c>
      <c r="XG13" s="17">
        <f t="shared" si="1194"/>
        <v>15671.588116499999</v>
      </c>
      <c r="XH13" s="17">
        <f t="shared" si="1195"/>
        <v>15671.588116499999</v>
      </c>
      <c r="XI13" s="17">
        <f t="shared" si="1196"/>
        <v>15671.588116499999</v>
      </c>
      <c r="XJ13" s="17">
        <f t="shared" si="1197"/>
        <v>15985.019878829999</v>
      </c>
      <c r="XK13" s="17">
        <f t="shared" si="1198"/>
        <v>15985.019878829999</v>
      </c>
      <c r="XL13" s="17">
        <f t="shared" si="1199"/>
        <v>15985.019878829999</v>
      </c>
      <c r="XM13" s="17">
        <f t="shared" si="1200"/>
        <v>15985.019878829999</v>
      </c>
      <c r="XN13" s="17">
        <f t="shared" si="1201"/>
        <v>15985.019878829999</v>
      </c>
      <c r="XO13" s="17">
        <f t="shared" si="1202"/>
        <v>15985.019878829999</v>
      </c>
      <c r="XP13" s="17">
        <f t="shared" si="1203"/>
        <v>15985.019878829999</v>
      </c>
      <c r="XQ13" s="17">
        <f t="shared" si="1204"/>
        <v>15985.019878829999</v>
      </c>
      <c r="XR13" s="17">
        <f t="shared" si="1205"/>
        <v>15985.019878829999</v>
      </c>
      <c r="XS13" s="17">
        <f t="shared" si="1206"/>
        <v>15985.019878829999</v>
      </c>
      <c r="XT13" s="17">
        <f t="shared" si="1207"/>
        <v>15985.019878829999</v>
      </c>
      <c r="XU13" s="17">
        <f t="shared" si="1208"/>
        <v>15985.019878829999</v>
      </c>
      <c r="XV13" s="17">
        <f t="shared" si="1209"/>
        <v>16304.720276406599</v>
      </c>
      <c r="XW13" s="17">
        <f t="shared" si="1210"/>
        <v>16304.720276406599</v>
      </c>
      <c r="XX13" s="17">
        <f t="shared" si="1211"/>
        <v>16304.720276406599</v>
      </c>
      <c r="XY13" s="17">
        <f t="shared" si="1212"/>
        <v>16304.720276406599</v>
      </c>
      <c r="XZ13" s="17">
        <f t="shared" si="1213"/>
        <v>16304.720276406599</v>
      </c>
      <c r="YA13" s="17">
        <f t="shared" si="1214"/>
        <v>16304.720276406599</v>
      </c>
      <c r="YB13" s="17">
        <f t="shared" si="1215"/>
        <v>16304.720276406599</v>
      </c>
      <c r="YC13" s="17">
        <f t="shared" si="1216"/>
        <v>16304.720276406599</v>
      </c>
      <c r="YD13" s="17">
        <f t="shared" si="1217"/>
        <v>16304.720276406599</v>
      </c>
      <c r="YE13" s="17">
        <f t="shared" si="1218"/>
        <v>16304.720276406599</v>
      </c>
      <c r="YF13" s="17">
        <f t="shared" si="1219"/>
        <v>16304.720276406599</v>
      </c>
      <c r="YG13" s="17">
        <f t="shared" si="1220"/>
        <v>16304.720276406599</v>
      </c>
      <c r="YH13" s="17">
        <f t="shared" si="1221"/>
        <v>0</v>
      </c>
      <c r="YI13" s="17">
        <f t="shared" si="1222"/>
        <v>0</v>
      </c>
      <c r="YJ13" s="17">
        <f t="shared" si="1223"/>
        <v>0</v>
      </c>
      <c r="YK13" s="17">
        <f t="shared" si="1224"/>
        <v>19291.745031044284</v>
      </c>
      <c r="YL13" s="17">
        <f t="shared" si="1225"/>
        <v>19291.745031044284</v>
      </c>
      <c r="YM13" s="17">
        <f t="shared" si="1226"/>
        <v>19291.745031044284</v>
      </c>
      <c r="YN13" s="17">
        <f t="shared" si="1227"/>
        <v>19291.745031044284</v>
      </c>
      <c r="YO13" s="17">
        <f t="shared" si="1228"/>
        <v>19291.745031044284</v>
      </c>
      <c r="YP13" s="17">
        <f t="shared" si="1229"/>
        <v>19291.745031044284</v>
      </c>
      <c r="YQ13" s="17">
        <f t="shared" si="1230"/>
        <v>19291.745031044284</v>
      </c>
      <c r="YR13" s="17">
        <f t="shared" si="1231"/>
        <v>19291.745031044284</v>
      </c>
      <c r="YS13" s="17">
        <f t="shared" si="1232"/>
        <v>19291.745031044284</v>
      </c>
      <c r="YT13" s="17">
        <f t="shared" si="1233"/>
        <v>19291.745031044284</v>
      </c>
      <c r="YU13" s="17">
        <f t="shared" si="1234"/>
        <v>19291.745031044284</v>
      </c>
      <c r="YV13" s="17">
        <f t="shared" si="1235"/>
        <v>19291.745031044284</v>
      </c>
      <c r="YW13" s="17">
        <f t="shared" si="1236"/>
        <v>19677.579931665168</v>
      </c>
      <c r="YX13" s="17">
        <f t="shared" si="1237"/>
        <v>19677.579931665168</v>
      </c>
      <c r="YY13" s="17">
        <f t="shared" si="1238"/>
        <v>19677.579931665168</v>
      </c>
      <c r="YZ13" s="17">
        <f t="shared" si="1239"/>
        <v>19677.579931665168</v>
      </c>
      <c r="ZA13" s="17">
        <f t="shared" si="1240"/>
        <v>19677.579931665168</v>
      </c>
      <c r="ZB13" s="17">
        <f t="shared" si="1241"/>
        <v>19677.579931665168</v>
      </c>
      <c r="ZC13" s="17">
        <f t="shared" si="1242"/>
        <v>19677.579931665168</v>
      </c>
      <c r="ZD13" s="17">
        <f t="shared" si="1243"/>
        <v>19677.579931665168</v>
      </c>
      <c r="ZE13" s="17">
        <f t="shared" si="1244"/>
        <v>19677.579931665168</v>
      </c>
      <c r="ZF13" s="17">
        <f t="shared" si="1245"/>
        <v>19677.579931665168</v>
      </c>
      <c r="ZG13" s="17">
        <f t="shared" si="1246"/>
        <v>19677.579931665168</v>
      </c>
      <c r="ZH13" s="17">
        <f t="shared" si="1247"/>
        <v>19677.579931665168</v>
      </c>
      <c r="ZI13" s="17">
        <f t="shared" si="1248"/>
        <v>20071.131530298473</v>
      </c>
      <c r="ZJ13" s="17">
        <f t="shared" si="1249"/>
        <v>20071.131530298473</v>
      </c>
      <c r="ZK13" s="17">
        <f t="shared" si="1250"/>
        <v>20071.131530298473</v>
      </c>
      <c r="ZL13" s="17">
        <f t="shared" si="1251"/>
        <v>20071.131530298473</v>
      </c>
      <c r="ZM13" s="17">
        <f t="shared" si="1252"/>
        <v>20071.131530298473</v>
      </c>
      <c r="ZN13" s="17">
        <f t="shared" si="1253"/>
        <v>20071.131530298473</v>
      </c>
      <c r="ZO13" s="17">
        <f t="shared" si="1254"/>
        <v>20071.131530298473</v>
      </c>
      <c r="ZP13" s="17">
        <f t="shared" si="1255"/>
        <v>20071.131530298473</v>
      </c>
      <c r="ZQ13" s="17">
        <f t="shared" si="1256"/>
        <v>20071.131530298473</v>
      </c>
      <c r="ZR13" s="17">
        <f t="shared" si="1257"/>
        <v>20071.131530298473</v>
      </c>
      <c r="ZS13" s="17">
        <f t="shared" si="1258"/>
        <v>20071.131530298473</v>
      </c>
      <c r="ZT13" s="17">
        <f t="shared" si="1259"/>
        <v>20071.131530298473</v>
      </c>
      <c r="ZU13" s="17">
        <f t="shared" si="1260"/>
        <v>20472.554160904441</v>
      </c>
      <c r="ZV13" s="17">
        <f t="shared" si="1261"/>
        <v>20472.554160904441</v>
      </c>
      <c r="ZW13" s="17">
        <f t="shared" si="1262"/>
        <v>20472.554160904441</v>
      </c>
      <c r="ZX13" s="17">
        <f t="shared" si="1263"/>
        <v>20472.554160904441</v>
      </c>
      <c r="ZY13" s="17">
        <f t="shared" si="1264"/>
        <v>20472.554160904441</v>
      </c>
      <c r="ZZ13" s="17">
        <f t="shared" si="1265"/>
        <v>20472.554160904441</v>
      </c>
      <c r="AAA13" s="17">
        <f t="shared" si="1266"/>
        <v>20472.554160904441</v>
      </c>
      <c r="AAB13" s="17">
        <f t="shared" si="1267"/>
        <v>20472.554160904441</v>
      </c>
      <c r="AAC13" s="17">
        <f t="shared" si="1268"/>
        <v>20472.554160904441</v>
      </c>
      <c r="AAD13" s="17"/>
      <c r="AAE13" s="17"/>
      <c r="AAF13" s="17">
        <f t="shared" si="1306"/>
        <v>0</v>
      </c>
      <c r="AAG13" s="17">
        <f t="shared" si="1269"/>
        <v>0</v>
      </c>
      <c r="AAH13" s="17">
        <f t="shared" si="1269"/>
        <v>0</v>
      </c>
      <c r="AAI13" s="17">
        <f t="shared" si="1269"/>
        <v>0</v>
      </c>
      <c r="AAJ13" s="17">
        <f t="shared" si="1269"/>
        <v>0</v>
      </c>
      <c r="AAK13" s="17">
        <f t="shared" si="1269"/>
        <v>0</v>
      </c>
      <c r="AAL13" s="17">
        <f t="shared" si="1269"/>
        <v>0</v>
      </c>
      <c r="AAM13" s="17">
        <f t="shared" si="1269"/>
        <v>0</v>
      </c>
      <c r="AAN13" s="17">
        <f t="shared" si="1269"/>
        <v>0</v>
      </c>
      <c r="AAO13" s="17">
        <f t="shared" si="1269"/>
        <v>0</v>
      </c>
      <c r="AAP13" s="17">
        <f t="shared" si="1269"/>
        <v>0</v>
      </c>
      <c r="AAQ13" s="17">
        <f t="shared" si="1269"/>
        <v>0</v>
      </c>
      <c r="AAR13" s="17">
        <f t="shared" si="1269"/>
        <v>0</v>
      </c>
      <c r="AAS13" s="17">
        <f t="shared" si="1269"/>
        <v>0</v>
      </c>
      <c r="AAT13" s="17">
        <f t="shared" si="1269"/>
        <v>0</v>
      </c>
      <c r="AAU13" s="17">
        <f t="shared" si="1269"/>
        <v>0</v>
      </c>
      <c r="AAV13" s="17">
        <f t="shared" si="1269"/>
        <v>0</v>
      </c>
      <c r="AAW13" s="17">
        <f t="shared" si="1270"/>
        <v>0</v>
      </c>
      <c r="AAX13" s="17">
        <f t="shared" si="1270"/>
        <v>0</v>
      </c>
      <c r="AAY13" s="17">
        <f t="shared" si="1270"/>
        <v>0</v>
      </c>
      <c r="AAZ13" s="17">
        <f t="shared" si="1270"/>
        <v>0</v>
      </c>
      <c r="ABA13" s="17">
        <f t="shared" si="1270"/>
        <v>0</v>
      </c>
      <c r="ABB13" s="17">
        <f t="shared" si="1270"/>
        <v>0</v>
      </c>
      <c r="ABC13" s="17">
        <f t="shared" si="1270"/>
        <v>0</v>
      </c>
      <c r="ABD13" s="17">
        <f t="shared" si="1270"/>
        <v>0</v>
      </c>
      <c r="ABE13" s="17">
        <f t="shared" si="1270"/>
        <v>0</v>
      </c>
      <c r="ABF13" s="17">
        <f t="shared" si="1270"/>
        <v>0</v>
      </c>
      <c r="ABG13" s="17">
        <f t="shared" si="1270"/>
        <v>0</v>
      </c>
      <c r="ABH13" s="17">
        <f t="shared" si="1270"/>
        <v>0</v>
      </c>
      <c r="ABI13" s="17">
        <f t="shared" si="1270"/>
        <v>0</v>
      </c>
      <c r="ABJ13" s="17">
        <f t="shared" si="1270"/>
        <v>0</v>
      </c>
      <c r="ABK13" s="17">
        <f t="shared" si="1270"/>
        <v>0</v>
      </c>
      <c r="ABL13" s="17">
        <f t="shared" si="1270"/>
        <v>0</v>
      </c>
      <c r="ABM13" s="17">
        <f t="shared" si="1271"/>
        <v>0</v>
      </c>
      <c r="ABN13" s="17">
        <f t="shared" si="1271"/>
        <v>0</v>
      </c>
      <c r="ABO13" s="17">
        <f t="shared" si="1271"/>
        <v>0</v>
      </c>
      <c r="ABP13" s="17">
        <f t="shared" si="1271"/>
        <v>0</v>
      </c>
      <c r="ABQ13" s="17">
        <f t="shared" si="1271"/>
        <v>0</v>
      </c>
      <c r="ABR13" s="17">
        <f t="shared" si="1271"/>
        <v>0</v>
      </c>
      <c r="ABS13" s="17">
        <f t="shared" si="1271"/>
        <v>0</v>
      </c>
      <c r="ABT13" s="17">
        <f t="shared" si="1271"/>
        <v>0</v>
      </c>
      <c r="ABU13" s="17">
        <f t="shared" si="1271"/>
        <v>0</v>
      </c>
      <c r="ABV13" s="17">
        <f t="shared" si="1271"/>
        <v>0</v>
      </c>
      <c r="ABW13" s="17">
        <f t="shared" si="1271"/>
        <v>0</v>
      </c>
      <c r="ABX13" s="17">
        <f t="shared" si="1271"/>
        <v>0</v>
      </c>
      <c r="ABY13" s="17">
        <f t="shared" si="1271"/>
        <v>0</v>
      </c>
      <c r="ABZ13" s="17">
        <f t="shared" si="1271"/>
        <v>0</v>
      </c>
      <c r="ACA13" s="17">
        <f t="shared" si="1271"/>
        <v>0</v>
      </c>
      <c r="ACB13" s="17">
        <f t="shared" si="1271"/>
        <v>0</v>
      </c>
      <c r="ACC13" s="17">
        <f t="shared" si="1272"/>
        <v>0</v>
      </c>
      <c r="ACD13" s="17">
        <f t="shared" si="1272"/>
        <v>0</v>
      </c>
      <c r="ACE13" s="17">
        <f t="shared" si="1272"/>
        <v>0</v>
      </c>
      <c r="ACF13" s="17">
        <f t="shared" si="1272"/>
        <v>0</v>
      </c>
      <c r="ACG13" s="17">
        <f t="shared" si="1272"/>
        <v>0</v>
      </c>
      <c r="ACH13" s="17">
        <f t="shared" si="1272"/>
        <v>0</v>
      </c>
      <c r="ACI13" s="17">
        <f t="shared" si="1272"/>
        <v>0</v>
      </c>
      <c r="ACJ13" s="17">
        <f t="shared" si="1272"/>
        <v>0</v>
      </c>
      <c r="ACK13" s="17">
        <f t="shared" si="1272"/>
        <v>0</v>
      </c>
      <c r="ACL13" s="17">
        <f t="shared" si="1272"/>
        <v>0</v>
      </c>
      <c r="ACM13" s="17">
        <f t="shared" si="1272"/>
        <v>0</v>
      </c>
      <c r="ACN13" s="17">
        <f t="shared" si="1272"/>
        <v>0</v>
      </c>
      <c r="ACO13" s="17">
        <f t="shared" si="1272"/>
        <v>0</v>
      </c>
      <c r="ACP13" s="17">
        <f t="shared" si="1272"/>
        <v>0</v>
      </c>
      <c r="ACQ13" s="17">
        <f t="shared" si="1272"/>
        <v>0</v>
      </c>
      <c r="ACR13" s="17">
        <f t="shared" si="1272"/>
        <v>0</v>
      </c>
      <c r="ACS13" s="17">
        <f t="shared" si="1273"/>
        <v>0</v>
      </c>
      <c r="ACT13" s="17">
        <f t="shared" si="1273"/>
        <v>0</v>
      </c>
      <c r="ACU13" s="17">
        <f t="shared" si="1273"/>
        <v>0</v>
      </c>
      <c r="ACV13" s="17">
        <f t="shared" si="1273"/>
        <v>0</v>
      </c>
      <c r="ACW13" s="17">
        <f t="shared" si="1273"/>
        <v>0</v>
      </c>
      <c r="ACX13" s="17">
        <f t="shared" si="1273"/>
        <v>0</v>
      </c>
      <c r="ACY13" s="17">
        <f t="shared" si="1273"/>
        <v>0</v>
      </c>
      <c r="ACZ13" s="17">
        <f t="shared" si="1273"/>
        <v>0</v>
      </c>
      <c r="ADA13" s="17">
        <f t="shared" si="1273"/>
        <v>0</v>
      </c>
      <c r="ADB13" s="17">
        <f t="shared" si="1273"/>
        <v>0</v>
      </c>
      <c r="ADC13" s="17">
        <f t="shared" si="1273"/>
        <v>0</v>
      </c>
      <c r="ADD13" s="17">
        <f t="shared" si="1273"/>
        <v>0</v>
      </c>
      <c r="ADE13" s="17">
        <f t="shared" si="1273"/>
        <v>0</v>
      </c>
      <c r="ADF13" s="17">
        <f t="shared" si="1273"/>
        <v>0</v>
      </c>
      <c r="ADG13" s="17">
        <f t="shared" si="1273"/>
        <v>0</v>
      </c>
      <c r="ADH13" s="17">
        <f t="shared" si="1273"/>
        <v>0</v>
      </c>
      <c r="ADI13" s="17">
        <f t="shared" si="1274"/>
        <v>0</v>
      </c>
      <c r="ADJ13" s="17">
        <f t="shared" si="1274"/>
        <v>0</v>
      </c>
      <c r="ADK13" s="17">
        <f t="shared" si="1274"/>
        <v>0</v>
      </c>
      <c r="ADL13" s="17">
        <f t="shared" si="1274"/>
        <v>0</v>
      </c>
      <c r="ADM13" s="17">
        <f t="shared" si="1274"/>
        <v>0</v>
      </c>
      <c r="ADN13" s="17">
        <f t="shared" si="1274"/>
        <v>0</v>
      </c>
      <c r="ADO13" s="17">
        <f t="shared" si="1274"/>
        <v>96458.725155221429</v>
      </c>
      <c r="ADP13" s="17">
        <f t="shared" si="1274"/>
        <v>0</v>
      </c>
      <c r="ADQ13" s="17">
        <f t="shared" si="1274"/>
        <v>0</v>
      </c>
      <c r="ADR13" s="17">
        <f t="shared" si="1274"/>
        <v>0</v>
      </c>
      <c r="ADS13" s="17">
        <f t="shared" si="1274"/>
        <v>0</v>
      </c>
      <c r="ADT13" s="17">
        <f t="shared" si="1274"/>
        <v>0</v>
      </c>
      <c r="ADU13" s="17">
        <f t="shared" si="1274"/>
        <v>0</v>
      </c>
      <c r="ADV13" s="17">
        <f t="shared" si="1274"/>
        <v>0</v>
      </c>
      <c r="ADW13" s="17">
        <f t="shared" si="1274"/>
        <v>0</v>
      </c>
      <c r="ADX13" s="17">
        <f t="shared" si="1274"/>
        <v>0</v>
      </c>
      <c r="ADY13" s="17">
        <f t="shared" si="1275"/>
        <v>0</v>
      </c>
      <c r="ADZ13" s="17">
        <f t="shared" si="1275"/>
        <v>0</v>
      </c>
      <c r="AEA13" s="17">
        <f t="shared" si="1275"/>
        <v>0</v>
      </c>
      <c r="AEB13" s="17">
        <f t="shared" si="1275"/>
        <v>0</v>
      </c>
      <c r="AEC13" s="17">
        <f t="shared" si="1275"/>
        <v>0</v>
      </c>
      <c r="AED13" s="17">
        <f t="shared" si="1275"/>
        <v>0</v>
      </c>
      <c r="AEE13" s="17">
        <f t="shared" si="1275"/>
        <v>0</v>
      </c>
      <c r="AEF13" s="17">
        <f t="shared" si="1275"/>
        <v>0</v>
      </c>
      <c r="AEG13" s="17">
        <f t="shared" si="1275"/>
        <v>0</v>
      </c>
      <c r="AEH13" s="17">
        <f t="shared" si="1275"/>
        <v>0</v>
      </c>
      <c r="AEI13" s="17">
        <f t="shared" si="1275"/>
        <v>0</v>
      </c>
      <c r="AEJ13" s="17">
        <f t="shared" si="1275"/>
        <v>0</v>
      </c>
      <c r="AEK13" s="17">
        <f t="shared" si="1275"/>
        <v>0</v>
      </c>
      <c r="AEL13" s="17">
        <f t="shared" si="1275"/>
        <v>0</v>
      </c>
      <c r="AEM13" s="17">
        <f t="shared" si="1275"/>
        <v>0</v>
      </c>
      <c r="AEN13" s="17">
        <f t="shared" si="1275"/>
        <v>0</v>
      </c>
      <c r="AEO13" s="17">
        <f t="shared" si="1276"/>
        <v>0</v>
      </c>
      <c r="AEP13" s="17">
        <f t="shared" si="1276"/>
        <v>0</v>
      </c>
      <c r="AEQ13" s="17">
        <f t="shared" si="1276"/>
        <v>0</v>
      </c>
      <c r="AER13" s="17">
        <f t="shared" si="1276"/>
        <v>0</v>
      </c>
      <c r="AES13" s="17">
        <f t="shared" si="1276"/>
        <v>0</v>
      </c>
      <c r="AET13" s="17">
        <f t="shared" si="1276"/>
        <v>0</v>
      </c>
      <c r="AEU13" s="17">
        <f t="shared" si="1276"/>
        <v>0</v>
      </c>
      <c r="AEV13" s="17">
        <f t="shared" si="1276"/>
        <v>0</v>
      </c>
      <c r="AEW13" s="17">
        <f t="shared" si="1276"/>
        <v>0</v>
      </c>
      <c r="AEX13" s="17">
        <f t="shared" si="1276"/>
        <v>0</v>
      </c>
      <c r="AEY13" s="17">
        <f t="shared" si="1276"/>
        <v>0</v>
      </c>
      <c r="AEZ13" s="17">
        <f t="shared" si="1276"/>
        <v>0</v>
      </c>
      <c r="AFA13" s="17">
        <f t="shared" si="1276"/>
        <v>0</v>
      </c>
      <c r="AFB13" s="17">
        <f t="shared" si="1276"/>
        <v>0</v>
      </c>
      <c r="AFC13" s="17">
        <f t="shared" si="1276"/>
        <v>0</v>
      </c>
      <c r="AFD13" s="17">
        <f t="shared" si="1276"/>
        <v>0</v>
      </c>
      <c r="AFE13" s="17">
        <f t="shared" si="1277"/>
        <v>0</v>
      </c>
      <c r="AFF13" s="17">
        <f t="shared" si="1277"/>
        <v>0</v>
      </c>
      <c r="AFG13" s="17">
        <f t="shared" si="1277"/>
        <v>0</v>
      </c>
      <c r="AFH13" s="17"/>
      <c r="AFI13" s="17"/>
      <c r="AFJ13" s="17">
        <f>(AJ13&gt;0)*'Long-Term Leases'!K$17*$L13*$K13</f>
        <v>6498.064070553829</v>
      </c>
      <c r="AFK13" s="17">
        <f>(AK13&gt;0)*'Long-Term Leases'!L$17*$L13*$K13</f>
        <v>6498.064070553829</v>
      </c>
      <c r="AFL13" s="17">
        <f>(AL13&gt;0)*'Long-Term Leases'!M$17*$L13*$K13</f>
        <v>6498.064070553829</v>
      </c>
      <c r="AFM13" s="17">
        <f>(AM13&gt;0)*'Long-Term Leases'!N$17*$L13*$K13</f>
        <v>6498.064070553829</v>
      </c>
      <c r="AFN13" s="17">
        <f>(AN13&gt;0)*'Long-Term Leases'!O$17*$L13*$K13</f>
        <v>6498.064070553829</v>
      </c>
      <c r="AFO13" s="17">
        <f>(AO13&gt;0)*'Long-Term Leases'!P$17*$L13*$K13</f>
        <v>6498.064070553829</v>
      </c>
      <c r="AFP13" s="17">
        <f>(AP13&gt;0)*'Long-Term Leases'!Q$17*$L13*$K13</f>
        <v>6498.064070553829</v>
      </c>
      <c r="AFQ13" s="17">
        <f>(AQ13&gt;0)*'Long-Term Leases'!R$17*$L13*$K13</f>
        <v>6498.064070553829</v>
      </c>
      <c r="AFR13" s="17">
        <f>(AR13&gt;0)*'Long-Term Leases'!S$17*$L13*$K13</f>
        <v>6498.064070553829</v>
      </c>
      <c r="AFS13" s="17">
        <f>(AS13&gt;0)*'Long-Term Leases'!T$17*$L13*$K13</f>
        <v>6498.064070553829</v>
      </c>
      <c r="AFT13" s="17">
        <f>(AT13&gt;0)*'Long-Term Leases'!U$17*$L13*$K13</f>
        <v>6498.064070553829</v>
      </c>
      <c r="AFU13" s="17">
        <f>(AU13&gt;0)*'Long-Term Leases'!V$17*$L13*$K13</f>
        <v>6498.064070553829</v>
      </c>
      <c r="AFV13" s="17">
        <f>(AV13&gt;0)*'Long-Term Leases'!W$17*$L13*$K13</f>
        <v>6628.0253519649059</v>
      </c>
      <c r="AFW13" s="17">
        <f>(AW13&gt;0)*'Long-Term Leases'!X$17*$L13*$K13</f>
        <v>6628.0253519649059</v>
      </c>
      <c r="AFX13" s="17">
        <f>(AX13&gt;0)*'Long-Term Leases'!Y$17*$L13*$K13</f>
        <v>6628.0253519649059</v>
      </c>
      <c r="AFY13" s="17">
        <f>(AY13&gt;0)*'Long-Term Leases'!Z$17*$L13*$K13</f>
        <v>6628.0253519649059</v>
      </c>
      <c r="AFZ13" s="17">
        <f>(AZ13&gt;0)*'Long-Term Leases'!AA$17*$L13*$K13</f>
        <v>6628.0253519649059</v>
      </c>
      <c r="AGA13" s="17">
        <f>(BA13&gt;0)*'Long-Term Leases'!AB$17*$L13*$K13</f>
        <v>6628.0253519649059</v>
      </c>
      <c r="AGB13" s="17">
        <f>(BB13&gt;0)*'Long-Term Leases'!AC$17*$L13*$K13</f>
        <v>6628.0253519649059</v>
      </c>
      <c r="AGC13" s="17">
        <f>(BC13&gt;0)*'Long-Term Leases'!AD$17*$L13*$K13</f>
        <v>6628.0253519649059</v>
      </c>
      <c r="AGD13" s="17">
        <f>(BD13&gt;0)*'Long-Term Leases'!AE$17*$L13*$K13</f>
        <v>6628.0253519649059</v>
      </c>
      <c r="AGE13" s="17">
        <f>(BE13&gt;0)*'Long-Term Leases'!AF$17*$L13*$K13</f>
        <v>6628.0253519649059</v>
      </c>
      <c r="AGF13" s="17">
        <f>(BF13&gt;0)*'Long-Term Leases'!AG$17*$L13*$K13</f>
        <v>6628.0253519649059</v>
      </c>
      <c r="AGG13" s="17">
        <f>(BG13&gt;0)*'Long-Term Leases'!AH$17*$L13*$K13</f>
        <v>6628.0253519649059</v>
      </c>
      <c r="AGH13" s="17">
        <f>(BH13&gt;0)*'Long-Term Leases'!AI$17*$L13*$K13</f>
        <v>6760.5858590042035</v>
      </c>
      <c r="AGI13" s="17">
        <f>(BI13&gt;0)*'Long-Term Leases'!AJ$17*$L13*$K13</f>
        <v>6760.5858590042035</v>
      </c>
      <c r="AGJ13" s="17">
        <f>(BJ13&gt;0)*'Long-Term Leases'!AK$17*$L13*$K13</f>
        <v>6760.5858590042035</v>
      </c>
      <c r="AGK13" s="17">
        <f>(BK13&gt;0)*'Long-Term Leases'!AL$17*$L13*$K13</f>
        <v>6760.5858590042035</v>
      </c>
      <c r="AGL13" s="17">
        <f>(BL13&gt;0)*'Long-Term Leases'!AM$17*$L13*$K13</f>
        <v>6760.5858590042035</v>
      </c>
      <c r="AGM13" s="17">
        <f>(BM13&gt;0)*'Long-Term Leases'!AN$17*$L13*$K13</f>
        <v>6760.5858590042035</v>
      </c>
      <c r="AGN13" s="17">
        <f>(BN13&gt;0)*'Long-Term Leases'!AO$17*$L13*$K13</f>
        <v>6760.5858590042035</v>
      </c>
      <c r="AGO13" s="17">
        <f>(BO13&gt;0)*'Long-Term Leases'!AP$17*$L13*$K13</f>
        <v>6760.5858590042035</v>
      </c>
      <c r="AGP13" s="17">
        <f>(BP13&gt;0)*'Long-Term Leases'!AQ$17*$L13*$K13</f>
        <v>6760.5858590042035</v>
      </c>
      <c r="AGQ13" s="17">
        <f>(BQ13&gt;0)*'Long-Term Leases'!AR$17*$L13*$K13</f>
        <v>6760.5858590042035</v>
      </c>
      <c r="AGR13" s="17">
        <f>(BR13&gt;0)*'Long-Term Leases'!AS$17*$L13*$K13</f>
        <v>6760.5858590042035</v>
      </c>
      <c r="AGS13" s="17">
        <f>(BS13&gt;0)*'Long-Term Leases'!AT$17*$L13*$K13</f>
        <v>6760.5858590042035</v>
      </c>
      <c r="AGT13" s="17">
        <f>(BT13&gt;0)*'Long-Term Leases'!AU$17*$L13*$K13</f>
        <v>6895.7975761842872</v>
      </c>
      <c r="AGU13" s="17">
        <f>(BU13&gt;0)*'Long-Term Leases'!AV$17*$L13*$K13</f>
        <v>6895.7975761842872</v>
      </c>
      <c r="AGV13" s="17">
        <f>(BV13&gt;0)*'Long-Term Leases'!AW$17*$L13*$K13</f>
        <v>6895.7975761842872</v>
      </c>
      <c r="AGW13" s="17">
        <f>(BW13&gt;0)*'Long-Term Leases'!AX$17*$L13*$K13</f>
        <v>6895.7975761842872</v>
      </c>
      <c r="AGX13" s="17">
        <f>(BX13&gt;0)*'Long-Term Leases'!AY$17*$L13*$K13</f>
        <v>6895.7975761842872</v>
      </c>
      <c r="AGY13" s="17">
        <f>(BY13&gt;0)*'Long-Term Leases'!AZ$17*$L13*$K13</f>
        <v>6895.7975761842872</v>
      </c>
      <c r="AGZ13" s="17">
        <f>(BZ13&gt;0)*'Long-Term Leases'!BA$17*$L13*$K13</f>
        <v>6895.7975761842872</v>
      </c>
      <c r="AHA13" s="17">
        <f>(CA13&gt;0)*'Long-Term Leases'!BB$17*$L13*$K13</f>
        <v>6895.7975761842872</v>
      </c>
      <c r="AHB13" s="17">
        <f>(CB13&gt;0)*'Long-Term Leases'!BC$17*$L13*$K13</f>
        <v>6895.7975761842872</v>
      </c>
      <c r="AHC13" s="17">
        <f>(CC13&gt;0)*'Long-Term Leases'!BD$17*$L13*$K13</f>
        <v>6895.7975761842872</v>
      </c>
      <c r="AHD13" s="17">
        <f>(CD13&gt;0)*'Long-Term Leases'!BE$17*$L13*$K13</f>
        <v>6895.7975761842872</v>
      </c>
      <c r="AHE13" s="17">
        <f>(CE13&gt;0)*'Long-Term Leases'!BF$17*$L13*$K13</f>
        <v>6895.7975761842872</v>
      </c>
      <c r="AHF13" s="17">
        <f>(CF13&gt;0)*'Long-Term Leases'!BG$17*$L13*$K13</f>
        <v>7033.7135277079742</v>
      </c>
      <c r="AHG13" s="17">
        <f>(CG13&gt;0)*'Long-Term Leases'!BH$17*$L13*$K13</f>
        <v>7033.7135277079742</v>
      </c>
      <c r="AHH13" s="17">
        <f>(CH13&gt;0)*'Long-Term Leases'!BI$17*$L13*$K13</f>
        <v>7033.7135277079742</v>
      </c>
      <c r="AHI13" s="17">
        <f>(CI13&gt;0)*'Long-Term Leases'!BJ$17*$L13*$K13</f>
        <v>7033.7135277079742</v>
      </c>
      <c r="AHJ13" s="17">
        <f>(CJ13&gt;0)*'Long-Term Leases'!BK$17*$L13*$K13</f>
        <v>7033.7135277079742</v>
      </c>
      <c r="AHK13" s="17">
        <f>(CK13&gt;0)*'Long-Term Leases'!BL$17*$L13*$K13</f>
        <v>7033.7135277079742</v>
      </c>
      <c r="AHL13" s="17">
        <f>(CL13&gt;0)*'Long-Term Leases'!BM$17*$L13*$K13</f>
        <v>7033.7135277079742</v>
      </c>
      <c r="AHM13" s="17">
        <f>(CM13&gt;0)*'Long-Term Leases'!BN$17*$L13*$K13</f>
        <v>7033.7135277079742</v>
      </c>
      <c r="AHN13" s="17">
        <f>(CN13&gt;0)*'Long-Term Leases'!BO$17*$L13*$K13</f>
        <v>7033.7135277079742</v>
      </c>
      <c r="AHO13" s="17">
        <f>(CO13&gt;0)*'Long-Term Leases'!BP$17*$L13*$K13</f>
        <v>7033.7135277079742</v>
      </c>
      <c r="AHP13" s="17">
        <f>(CP13&gt;0)*'Long-Term Leases'!BQ$17*$L13*$K13</f>
        <v>7033.7135277079742</v>
      </c>
      <c r="AHQ13" s="17">
        <f>(CQ13&gt;0)*'Long-Term Leases'!BR$17*$L13*$K13</f>
        <v>7033.7135277079742</v>
      </c>
      <c r="AHR13" s="17">
        <f>(CR13&gt;0)*'Long-Term Leases'!BS$17*$L13*$K13</f>
        <v>7174.3877982621325</v>
      </c>
      <c r="AHS13" s="17">
        <f>(CS13&gt;0)*'Long-Term Leases'!BT$17*$L13*$K13</f>
        <v>7174.3877982621325</v>
      </c>
      <c r="AHT13" s="17">
        <f>(CT13&gt;0)*'Long-Term Leases'!BU$17*$L13*$K13</f>
        <v>7174.3877982621325</v>
      </c>
      <c r="AHU13" s="17">
        <f>(CU13&gt;0)*'Long-Term Leases'!BV$17*$L13*$K13</f>
        <v>7174.3877982621325</v>
      </c>
      <c r="AHV13" s="17">
        <f>(CV13&gt;0)*'Long-Term Leases'!BW$17*$L13*$K13</f>
        <v>7174.3877982621325</v>
      </c>
      <c r="AHW13" s="17">
        <f>(CW13&gt;0)*'Long-Term Leases'!BX$17*$L13*$K13</f>
        <v>7174.3877982621325</v>
      </c>
      <c r="AHX13" s="17">
        <f>(CX13&gt;0)*'Long-Term Leases'!BY$17*$L13*$K13</f>
        <v>7174.3877982621325</v>
      </c>
      <c r="AHY13" s="17">
        <f>(CY13&gt;0)*'Long-Term Leases'!BZ$17*$L13*$K13</f>
        <v>7174.3877982621325</v>
      </c>
      <c r="AHZ13" s="17">
        <f>(CZ13&gt;0)*'Long-Term Leases'!CA$17*$L13*$K13</f>
        <v>7174.3877982621325</v>
      </c>
      <c r="AIA13" s="17">
        <f>(DA13&gt;0)*'Long-Term Leases'!CB$17*$L13*$K13</f>
        <v>7174.3877982621325</v>
      </c>
      <c r="AIB13" s="17">
        <f>(DB13&gt;0)*'Long-Term Leases'!CC$17*$L13*$K13</f>
        <v>7174.3877982621325</v>
      </c>
      <c r="AIC13" s="17">
        <f>(DC13&gt;0)*'Long-Term Leases'!CD$17*$L13*$K13</f>
        <v>7174.3877982621325</v>
      </c>
      <c r="AID13" s="17">
        <f>(DD13&gt;0)*'Long-Term Leases'!CE$17*$L13*$K13</f>
        <v>7317.8755542273757</v>
      </c>
      <c r="AIE13" s="17">
        <f>(DE13&gt;0)*'Long-Term Leases'!CF$17*$L13*$K13</f>
        <v>7317.8755542273757</v>
      </c>
      <c r="AIF13" s="17">
        <f>(DF13&gt;0)*'Long-Term Leases'!CG$17*$L13*$K13</f>
        <v>7317.8755542273757</v>
      </c>
      <c r="AIG13" s="17">
        <f>(DG13&gt;0)*'Long-Term Leases'!CH$17*$L13*$K13</f>
        <v>7317.8755542273757</v>
      </c>
      <c r="AIH13" s="17">
        <f>(DH13&gt;0)*'Long-Term Leases'!CI$17*$L13*$K13</f>
        <v>7317.8755542273757</v>
      </c>
      <c r="AII13" s="17">
        <f>(DI13&gt;0)*'Long-Term Leases'!CJ$17*$L13*$K13</f>
        <v>7317.8755542273757</v>
      </c>
      <c r="AIJ13" s="17">
        <f>(DJ13&gt;0)*'Long-Term Leases'!CK$17*$L13*$K13</f>
        <v>7317.8755542273757</v>
      </c>
      <c r="AIK13" s="17">
        <f>(DK13&gt;0)*'Long-Term Leases'!CL$17*$L13*$K13</f>
        <v>7317.8755542273757</v>
      </c>
      <c r="AIL13" s="17">
        <f>(DL13&gt;0)*'Long-Term Leases'!CM$17*$L13*$K13</f>
        <v>7317.8755542273757</v>
      </c>
      <c r="AIM13" s="17">
        <f>(DM13&gt;0)*'Long-Term Leases'!CN$17*$L13*$K13</f>
        <v>7317.8755542273757</v>
      </c>
      <c r="AIN13" s="17">
        <f>(DN13&gt;0)*'Long-Term Leases'!CO$17*$L13*$K13</f>
        <v>7317.8755542273757</v>
      </c>
      <c r="AIO13" s="17">
        <f>(DO13&gt;0)*'Long-Term Leases'!CP$17*$L13*$K13</f>
        <v>7317.8755542273757</v>
      </c>
      <c r="AIP13" s="17">
        <f>(DP13&gt;0)*'Long-Term Leases'!CQ$17*$L13*$K13</f>
        <v>0</v>
      </c>
      <c r="AIQ13" s="17">
        <f>(DQ13&gt;0)*'Long-Term Leases'!CR$17*$L13*$K13</f>
        <v>0</v>
      </c>
      <c r="AIR13" s="17">
        <f>(DR13&gt;0)*'Long-Term Leases'!CS$17*$L13*$K13</f>
        <v>0</v>
      </c>
      <c r="AIS13" s="17">
        <f>(DS13&gt;0)*'Long-Term Leases'!CT$17*$L13*$K13</f>
        <v>0</v>
      </c>
      <c r="AIT13" s="17">
        <f>(DT13&gt;0)*'Long-Term Leases'!CU$17*$L13*$K13</f>
        <v>0</v>
      </c>
      <c r="AIU13" s="17">
        <f>(DU13&gt;0)*'Long-Term Leases'!CV$17*$L13*$K13</f>
        <v>0</v>
      </c>
      <c r="AIV13" s="17">
        <f>(DV13&gt;0)*'Long-Term Leases'!CW$17*$L13*$K13</f>
        <v>0</v>
      </c>
      <c r="AIW13" s="17">
        <f>(DW13&gt;0)*'Long-Term Leases'!CX$17*$L13*$K13</f>
        <v>0</v>
      </c>
      <c r="AIX13" s="17">
        <f>(DX13&gt;0)*'Long-Term Leases'!CY$17*$L13*$K13</f>
        <v>0</v>
      </c>
      <c r="AIY13" s="17">
        <f>(DY13&gt;0)*'Long-Term Leases'!CZ$17*$L13*$K13</f>
        <v>0</v>
      </c>
      <c r="AIZ13" s="17">
        <f>(DZ13&gt;0)*'Long-Term Leases'!DA$17*$L13*$K13</f>
        <v>0</v>
      </c>
      <c r="AJA13" s="17">
        <f>(EA13&gt;0)*'Long-Term Leases'!DB$17*$L13*$K13</f>
        <v>0</v>
      </c>
      <c r="AJB13" s="17">
        <f>(EB13&gt;0)*'Long-Term Leases'!DC$17*$L13*$K13</f>
        <v>0</v>
      </c>
      <c r="AJC13" s="17">
        <f>(EC13&gt;0)*'Long-Term Leases'!DD$17*$L13*$K13</f>
        <v>0</v>
      </c>
      <c r="AJD13" s="17">
        <f>(ED13&gt;0)*'Long-Term Leases'!DE$17*$L13*$K13</f>
        <v>0</v>
      </c>
      <c r="AJE13" s="17">
        <f>(EE13&gt;0)*'Long-Term Leases'!DF$17*$L13*$K13</f>
        <v>0</v>
      </c>
      <c r="AJF13" s="17">
        <f>(EF13&gt;0)*'Long-Term Leases'!DG$17*$L13*$K13</f>
        <v>0</v>
      </c>
      <c r="AJG13" s="17">
        <f>(EG13&gt;0)*'Long-Term Leases'!DH$17*$L13*$K13</f>
        <v>0</v>
      </c>
      <c r="AJH13" s="17">
        <f>(EH13&gt;0)*'Long-Term Leases'!DI$17*$L13*$K13</f>
        <v>0</v>
      </c>
      <c r="AJI13" s="17">
        <f>(EI13&gt;0)*'Long-Term Leases'!DJ$17*$L13*$K13</f>
        <v>0</v>
      </c>
      <c r="AJJ13" s="17">
        <f>(EJ13&gt;0)*'Long-Term Leases'!DK$17*$L13*$K13</f>
        <v>0</v>
      </c>
      <c r="AJK13" s="17">
        <f>(EK13&gt;0)*'Long-Term Leases'!DL$17*$L13*$K13</f>
        <v>0</v>
      </c>
      <c r="AJL13" s="17">
        <f>(EL13&gt;0)*'Long-Term Leases'!DM$17*$L13*$K13</f>
        <v>0</v>
      </c>
      <c r="AJM13" s="17">
        <f>(EM13&gt;0)*'Long-Term Leases'!DN$17*$L13*$K13</f>
        <v>0</v>
      </c>
      <c r="AJN13" s="17">
        <f>(EN13&gt;0)*'Long-Term Leases'!DO$17*$L13*$K13</f>
        <v>0</v>
      </c>
      <c r="AJO13" s="17">
        <f>(EO13&gt;0)*'Long-Term Leases'!DP$17*$L13*$K13</f>
        <v>0</v>
      </c>
      <c r="AJP13" s="17">
        <f>(EP13&gt;0)*'Long-Term Leases'!DQ$17*$L13*$K13</f>
        <v>0</v>
      </c>
      <c r="AJQ13" s="17">
        <f>(EQ13&gt;0)*'Long-Term Leases'!DR$17*$L13*$K13</f>
        <v>0</v>
      </c>
      <c r="AJR13" s="17">
        <f>(ER13&gt;0)*'Long-Term Leases'!DS$17*$L13*$K13</f>
        <v>0</v>
      </c>
      <c r="AJS13" s="17">
        <f>(ES13&gt;0)*'Long-Term Leases'!DT$17*$L13*$K13</f>
        <v>0</v>
      </c>
      <c r="AJT13" s="17">
        <f>(ET13&gt;0)*'Long-Term Leases'!DU$17*$L13*$K13</f>
        <v>0</v>
      </c>
      <c r="AJU13" s="17">
        <f>(EU13&gt;0)*'Long-Term Leases'!DV$17*$L13*$K13</f>
        <v>0</v>
      </c>
      <c r="AJV13" s="17">
        <f>(EV13&gt;0)*'Long-Term Leases'!DW$17*$L13*$K13</f>
        <v>0</v>
      </c>
      <c r="AJW13" s="17">
        <f>(EW13&gt;0)*'Long-Term Leases'!DX$17*$L13*$K13</f>
        <v>0</v>
      </c>
      <c r="AJX13" s="17">
        <f>(EX13&gt;0)*'Long-Term Leases'!DY$17*$L13*$K13</f>
        <v>0</v>
      </c>
      <c r="AJY13" s="17">
        <f>(EY13&gt;0)*'Long-Term Leases'!DZ$17*$L13*$K13</f>
        <v>0</v>
      </c>
      <c r="AJZ13" s="17">
        <f>(EZ13&gt;0)*'Long-Term Leases'!EA$17*$L13*$K13</f>
        <v>0</v>
      </c>
      <c r="AKA13" s="17">
        <f>(FA13&gt;0)*'Long-Term Leases'!EB$17*$L13*$K13</f>
        <v>0</v>
      </c>
      <c r="AKB13" s="17">
        <f>(FB13&gt;0)*'Long-Term Leases'!EC$17*$L13*$K13</f>
        <v>0</v>
      </c>
      <c r="AKC13" s="17">
        <f>(FC13&gt;0)*'Long-Term Leases'!ED$17*$L13*$K13</f>
        <v>0</v>
      </c>
      <c r="AKD13" s="17">
        <f>(FD13&gt;0)*'Long-Term Leases'!EE$17*$L13*$K13</f>
        <v>0</v>
      </c>
      <c r="AKE13" s="17">
        <f>(FE13&gt;0)*'Long-Term Leases'!EF$17*$L13*$K13</f>
        <v>0</v>
      </c>
      <c r="AKF13" s="17">
        <f>(FF13&gt;0)*'Long-Term Leases'!EG$17*$L13*$K13</f>
        <v>0</v>
      </c>
      <c r="AKG13" s="17">
        <f>(FG13&gt;0)*'Long-Term Leases'!EH$17*$L13*$K13</f>
        <v>0</v>
      </c>
      <c r="AKH13" s="17">
        <f>(FH13&gt;0)*'Long-Term Leases'!EI$17*$L13*$K13</f>
        <v>0</v>
      </c>
      <c r="AKI13" s="17">
        <f>(FI13&gt;0)*'Long-Term Leases'!EJ$17*$L13*$K13</f>
        <v>0</v>
      </c>
      <c r="AKJ13" s="17">
        <f>(FJ13&gt;0)*'Long-Term Leases'!EK$17*$L13*$K13</f>
        <v>0</v>
      </c>
      <c r="AKK13" s="17">
        <f>(FK13&gt;0)*'Long-Term Leases'!EL$17*$L13*$K13</f>
        <v>0</v>
      </c>
      <c r="AKL13" s="17"/>
      <c r="AKM13" s="17"/>
      <c r="AKN13" s="17">
        <f>(FN13&gt;0)*'Long-Term Leases'!K$17*$X13*$W13</f>
        <v>0</v>
      </c>
      <c r="AKO13" s="17">
        <f>(FO13&gt;0)*'Long-Term Leases'!L$17*$X13*$W13</f>
        <v>0</v>
      </c>
      <c r="AKP13" s="17">
        <f>(FP13&gt;0)*'Long-Term Leases'!M$17*$X13*$W13</f>
        <v>0</v>
      </c>
      <c r="AKQ13" s="17">
        <f>(FQ13&gt;0)*'Long-Term Leases'!N$17*$X13*$W13</f>
        <v>0</v>
      </c>
      <c r="AKR13" s="17">
        <f>(FR13&gt;0)*'Long-Term Leases'!O$17*$X13*$W13</f>
        <v>0</v>
      </c>
      <c r="AKS13" s="17">
        <f>(FS13&gt;0)*'Long-Term Leases'!P$17*$X13*$W13</f>
        <v>0</v>
      </c>
      <c r="AKT13" s="17">
        <f>(FT13&gt;0)*'Long-Term Leases'!Q$17*$X13*$W13</f>
        <v>0</v>
      </c>
      <c r="AKU13" s="17">
        <f>(FU13&gt;0)*'Long-Term Leases'!R$17*$X13*$W13</f>
        <v>0</v>
      </c>
      <c r="AKV13" s="17">
        <f>(FV13&gt;0)*'Long-Term Leases'!S$17*$X13*$W13</f>
        <v>0</v>
      </c>
      <c r="AKW13" s="17">
        <f>(FW13&gt;0)*'Long-Term Leases'!T$17*$X13*$W13</f>
        <v>0</v>
      </c>
      <c r="AKX13" s="17">
        <f>(FX13&gt;0)*'Long-Term Leases'!U$17*$X13*$W13</f>
        <v>0</v>
      </c>
      <c r="AKY13" s="17">
        <f>(FY13&gt;0)*'Long-Term Leases'!V$17*$X13*$W13</f>
        <v>0</v>
      </c>
      <c r="AKZ13" s="17">
        <f>(FZ13&gt;0)*'Long-Term Leases'!W$17*$X13*$W13</f>
        <v>0</v>
      </c>
      <c r="ALA13" s="17">
        <f>(GA13&gt;0)*'Long-Term Leases'!X$17*$X13*$W13</f>
        <v>0</v>
      </c>
      <c r="ALB13" s="17">
        <f>(GB13&gt;0)*'Long-Term Leases'!Y$17*$X13*$W13</f>
        <v>0</v>
      </c>
      <c r="ALC13" s="17">
        <f>(GC13&gt;0)*'Long-Term Leases'!Z$17*$X13*$W13</f>
        <v>0</v>
      </c>
      <c r="ALD13" s="17">
        <f>(GD13&gt;0)*'Long-Term Leases'!AA$17*$X13*$W13</f>
        <v>0</v>
      </c>
      <c r="ALE13" s="17">
        <f>(GE13&gt;0)*'Long-Term Leases'!AB$17*$X13*$W13</f>
        <v>0</v>
      </c>
      <c r="ALF13" s="17">
        <f>(GF13&gt;0)*'Long-Term Leases'!AC$17*$X13*$W13</f>
        <v>0</v>
      </c>
      <c r="ALG13" s="17">
        <f>(GG13&gt;0)*'Long-Term Leases'!AD$17*$X13*$W13</f>
        <v>0</v>
      </c>
      <c r="ALH13" s="17">
        <f>(GH13&gt;0)*'Long-Term Leases'!AE$17*$X13*$W13</f>
        <v>0</v>
      </c>
      <c r="ALI13" s="17">
        <f>(GI13&gt;0)*'Long-Term Leases'!AF$17*$X13*$W13</f>
        <v>0</v>
      </c>
      <c r="ALJ13" s="17">
        <f>(GJ13&gt;0)*'Long-Term Leases'!AG$17*$X13*$W13</f>
        <v>0</v>
      </c>
      <c r="ALK13" s="17">
        <f>(GK13&gt;0)*'Long-Term Leases'!AH$17*$X13*$W13</f>
        <v>0</v>
      </c>
      <c r="ALL13" s="17">
        <f>(GL13&gt;0)*'Long-Term Leases'!AI$17*$X13*$W13</f>
        <v>0</v>
      </c>
      <c r="ALM13" s="17">
        <f>(GM13&gt;0)*'Long-Term Leases'!AJ$17*$X13*$W13</f>
        <v>0</v>
      </c>
      <c r="ALN13" s="17">
        <f>(GN13&gt;0)*'Long-Term Leases'!AK$17*$X13*$W13</f>
        <v>0</v>
      </c>
      <c r="ALO13" s="17">
        <f>(GO13&gt;0)*'Long-Term Leases'!AL$17*$X13*$W13</f>
        <v>0</v>
      </c>
      <c r="ALP13" s="17">
        <f>(GP13&gt;0)*'Long-Term Leases'!AM$17*$X13*$W13</f>
        <v>0</v>
      </c>
      <c r="ALQ13" s="17">
        <f>(GQ13&gt;0)*'Long-Term Leases'!AN$17*$X13*$W13</f>
        <v>0</v>
      </c>
      <c r="ALR13" s="17">
        <f>(GR13&gt;0)*'Long-Term Leases'!AO$17*$X13*$W13</f>
        <v>0</v>
      </c>
      <c r="ALS13" s="17">
        <f>(GS13&gt;0)*'Long-Term Leases'!AP$17*$X13*$W13</f>
        <v>0</v>
      </c>
      <c r="ALT13" s="17">
        <f>(GT13&gt;0)*'Long-Term Leases'!AQ$17*$X13*$W13</f>
        <v>0</v>
      </c>
      <c r="ALU13" s="17">
        <f>(GU13&gt;0)*'Long-Term Leases'!AR$17*$X13*$W13</f>
        <v>0</v>
      </c>
      <c r="ALV13" s="17">
        <f>(GV13&gt;0)*'Long-Term Leases'!AS$17*$X13*$W13</f>
        <v>0</v>
      </c>
      <c r="ALW13" s="17">
        <f>(GW13&gt;0)*'Long-Term Leases'!AT$17*$X13*$W13</f>
        <v>0</v>
      </c>
      <c r="ALX13" s="17">
        <f>(GX13&gt;0)*'Long-Term Leases'!AU$17*$X13*$W13</f>
        <v>0</v>
      </c>
      <c r="ALY13" s="17">
        <f>(GY13&gt;0)*'Long-Term Leases'!AV$17*$X13*$W13</f>
        <v>0</v>
      </c>
      <c r="ALZ13" s="17">
        <f>(GZ13&gt;0)*'Long-Term Leases'!AW$17*$X13*$W13</f>
        <v>0</v>
      </c>
      <c r="AMA13" s="17">
        <f>(HA13&gt;0)*'Long-Term Leases'!AX$17*$X13*$W13</f>
        <v>0</v>
      </c>
      <c r="AMB13" s="17">
        <f>(HB13&gt;0)*'Long-Term Leases'!AY$17*$X13*$W13</f>
        <v>0</v>
      </c>
      <c r="AMC13" s="17">
        <f>(HC13&gt;0)*'Long-Term Leases'!AZ$17*$X13*$W13</f>
        <v>0</v>
      </c>
      <c r="AMD13" s="17">
        <f>(HD13&gt;0)*'Long-Term Leases'!BA$17*$X13*$W13</f>
        <v>0</v>
      </c>
      <c r="AME13" s="17">
        <f>(HE13&gt;0)*'Long-Term Leases'!BB$17*$X13*$W13</f>
        <v>0</v>
      </c>
      <c r="AMF13" s="17">
        <f>(HF13&gt;0)*'Long-Term Leases'!BC$17*$X13*$W13</f>
        <v>0</v>
      </c>
      <c r="AMG13" s="17">
        <f>(HG13&gt;0)*'Long-Term Leases'!BD$17*$X13*$W13</f>
        <v>0</v>
      </c>
      <c r="AMH13" s="17">
        <f>(HH13&gt;0)*'Long-Term Leases'!BE$17*$X13*$W13</f>
        <v>0</v>
      </c>
      <c r="AMI13" s="17">
        <f>(HI13&gt;0)*'Long-Term Leases'!BF$17*$X13*$W13</f>
        <v>0</v>
      </c>
      <c r="AMJ13" s="17">
        <f>(HJ13&gt;0)*'Long-Term Leases'!BG$17*$X13*$W13</f>
        <v>0</v>
      </c>
      <c r="AMK13" s="17">
        <f>(HK13&gt;0)*'Long-Term Leases'!BH$17*$X13*$W13</f>
        <v>0</v>
      </c>
      <c r="AML13" s="17">
        <f>(HL13&gt;0)*'Long-Term Leases'!BI$17*$X13*$W13</f>
        <v>0</v>
      </c>
      <c r="AMM13" s="17">
        <f>(HM13&gt;0)*'Long-Term Leases'!BJ$17*$X13*$W13</f>
        <v>0</v>
      </c>
      <c r="AMN13" s="17">
        <f>(HN13&gt;0)*'Long-Term Leases'!BK$17*$X13*$W13</f>
        <v>0</v>
      </c>
      <c r="AMO13" s="17">
        <f>(HO13&gt;0)*'Long-Term Leases'!BL$17*$X13*$W13</f>
        <v>0</v>
      </c>
      <c r="AMP13" s="17">
        <f>(HP13&gt;0)*'Long-Term Leases'!BM$17*$X13*$W13</f>
        <v>0</v>
      </c>
      <c r="AMQ13" s="17">
        <f>(HQ13&gt;0)*'Long-Term Leases'!BN$17*$X13*$W13</f>
        <v>0</v>
      </c>
      <c r="AMR13" s="17">
        <f>(HR13&gt;0)*'Long-Term Leases'!BO$17*$X13*$W13</f>
        <v>0</v>
      </c>
      <c r="AMS13" s="17">
        <f>(HS13&gt;0)*'Long-Term Leases'!BP$17*$X13*$W13</f>
        <v>0</v>
      </c>
      <c r="AMT13" s="17">
        <f>(HT13&gt;0)*'Long-Term Leases'!BQ$17*$X13*$W13</f>
        <v>0</v>
      </c>
      <c r="AMU13" s="17">
        <f>(HU13&gt;0)*'Long-Term Leases'!BR$17*$X13*$W13</f>
        <v>0</v>
      </c>
      <c r="AMV13" s="17">
        <f>(HV13&gt;0)*'Long-Term Leases'!BS$17*$X13*$W13</f>
        <v>0</v>
      </c>
      <c r="AMW13" s="17">
        <f>(HW13&gt;0)*'Long-Term Leases'!BT$17*$X13*$W13</f>
        <v>0</v>
      </c>
      <c r="AMX13" s="17">
        <f>(HX13&gt;0)*'Long-Term Leases'!BU$17*$X13*$W13</f>
        <v>0</v>
      </c>
      <c r="AMY13" s="17">
        <f>(HY13&gt;0)*'Long-Term Leases'!BV$17*$X13*$W13</f>
        <v>0</v>
      </c>
      <c r="AMZ13" s="17">
        <f>(HZ13&gt;0)*'Long-Term Leases'!BW$17*$X13*$W13</f>
        <v>0</v>
      </c>
      <c r="ANA13" s="17">
        <f>(IA13&gt;0)*'Long-Term Leases'!BX$17*$X13*$W13</f>
        <v>0</v>
      </c>
      <c r="ANB13" s="17">
        <f>(IB13&gt;0)*'Long-Term Leases'!BY$17*$X13*$W13</f>
        <v>0</v>
      </c>
      <c r="ANC13" s="17">
        <f>(IC13&gt;0)*'Long-Term Leases'!BZ$17*$X13*$W13</f>
        <v>0</v>
      </c>
      <c r="AND13" s="17">
        <f>(ID13&gt;0)*'Long-Term Leases'!CA$17*$X13*$W13</f>
        <v>0</v>
      </c>
      <c r="ANE13" s="17">
        <f>(IE13&gt;0)*'Long-Term Leases'!CB$17*$X13*$W13</f>
        <v>0</v>
      </c>
      <c r="ANF13" s="17">
        <f>(IF13&gt;0)*'Long-Term Leases'!CC$17*$X13*$W13</f>
        <v>0</v>
      </c>
      <c r="ANG13" s="17">
        <f>(IG13&gt;0)*'Long-Term Leases'!CD$17*$X13*$W13</f>
        <v>0</v>
      </c>
      <c r="ANH13" s="17">
        <f>(IH13&gt;0)*'Long-Term Leases'!CE$17*$X13*$W13</f>
        <v>0</v>
      </c>
      <c r="ANI13" s="17">
        <f>(II13&gt;0)*'Long-Term Leases'!CF$17*$X13*$W13</f>
        <v>0</v>
      </c>
      <c r="ANJ13" s="17">
        <f>(IJ13&gt;0)*'Long-Term Leases'!CG$17*$X13*$W13</f>
        <v>0</v>
      </c>
      <c r="ANK13" s="17">
        <f>(IK13&gt;0)*'Long-Term Leases'!CH$17*$X13*$W13</f>
        <v>0</v>
      </c>
      <c r="ANL13" s="17">
        <f>(IL13&gt;0)*'Long-Term Leases'!CI$17*$X13*$W13</f>
        <v>0</v>
      </c>
      <c r="ANM13" s="17">
        <f>(IM13&gt;0)*'Long-Term Leases'!CJ$17*$X13*$W13</f>
        <v>0</v>
      </c>
      <c r="ANN13" s="17">
        <f>(IN13&gt;0)*'Long-Term Leases'!CK$17*$X13*$W13</f>
        <v>0</v>
      </c>
      <c r="ANO13" s="17">
        <f>(IO13&gt;0)*'Long-Term Leases'!CL$17*$X13*$W13</f>
        <v>0</v>
      </c>
      <c r="ANP13" s="17">
        <f>(IP13&gt;0)*'Long-Term Leases'!CM$17*$X13*$W13</f>
        <v>0</v>
      </c>
      <c r="ANQ13" s="17">
        <f>(IQ13&gt;0)*'Long-Term Leases'!CN$17*$X13*$W13</f>
        <v>0</v>
      </c>
      <c r="ANR13" s="17">
        <f>(IR13&gt;0)*'Long-Term Leases'!CO$17*$X13*$W13</f>
        <v>0</v>
      </c>
      <c r="ANS13" s="17">
        <f>(IS13&gt;0)*'Long-Term Leases'!CP$17*$X13*$W13</f>
        <v>0</v>
      </c>
      <c r="ANT13" s="17">
        <f>(IT13&gt;0)*'Long-Term Leases'!CQ$17*$X13*$W13</f>
        <v>0</v>
      </c>
      <c r="ANU13" s="17">
        <f>(IU13&gt;0)*'Long-Term Leases'!CR$17*$X13*$W13</f>
        <v>0</v>
      </c>
      <c r="ANV13" s="17">
        <f>(IV13&gt;0)*'Long-Term Leases'!CS$17*$X13*$W13</f>
        <v>0</v>
      </c>
      <c r="ANW13" s="17">
        <f>(IW13&gt;0)*'Long-Term Leases'!CT$17*$X13*$W13</f>
        <v>7464.2330653119225</v>
      </c>
      <c r="ANX13" s="17">
        <f>(IX13&gt;0)*'Long-Term Leases'!CU$17*$X13*$W13</f>
        <v>7464.2330653119225</v>
      </c>
      <c r="ANY13" s="17">
        <f>(IY13&gt;0)*'Long-Term Leases'!CV$17*$X13*$W13</f>
        <v>7464.2330653119225</v>
      </c>
      <c r="ANZ13" s="17">
        <f>(IZ13&gt;0)*'Long-Term Leases'!CW$17*$X13*$W13</f>
        <v>7464.2330653119225</v>
      </c>
      <c r="AOA13" s="17">
        <f>(JA13&gt;0)*'Long-Term Leases'!CX$17*$X13*$W13</f>
        <v>7464.2330653119225</v>
      </c>
      <c r="AOB13" s="17">
        <f>(JB13&gt;0)*'Long-Term Leases'!CY$17*$X13*$W13</f>
        <v>7464.2330653119225</v>
      </c>
      <c r="AOC13" s="17">
        <f>(JC13&gt;0)*'Long-Term Leases'!CZ$17*$X13*$W13</f>
        <v>7464.2330653119225</v>
      </c>
      <c r="AOD13" s="17">
        <f>(JD13&gt;0)*'Long-Term Leases'!DA$17*$X13*$W13</f>
        <v>7464.2330653119225</v>
      </c>
      <c r="AOE13" s="17">
        <f>(JE13&gt;0)*'Long-Term Leases'!DB$17*$X13*$W13</f>
        <v>7464.2330653119225</v>
      </c>
      <c r="AOF13" s="17">
        <f>(JF13&gt;0)*'Long-Term Leases'!DC$17*$X13*$W13</f>
        <v>7613.5177266181618</v>
      </c>
      <c r="AOG13" s="17">
        <f>(JG13&gt;0)*'Long-Term Leases'!DD$17*$X13*$W13</f>
        <v>7613.5177266181618</v>
      </c>
      <c r="AOH13" s="17">
        <f>(JH13&gt;0)*'Long-Term Leases'!DE$17*$X13*$W13</f>
        <v>7613.5177266181618</v>
      </c>
      <c r="AOI13" s="17">
        <f>(JI13&gt;0)*'Long-Term Leases'!DF$17*$X13*$W13</f>
        <v>7613.5177266181618</v>
      </c>
      <c r="AOJ13" s="17">
        <f>(JJ13&gt;0)*'Long-Term Leases'!DG$17*$X13*$W13</f>
        <v>7613.5177266181618</v>
      </c>
      <c r="AOK13" s="17">
        <f>(JK13&gt;0)*'Long-Term Leases'!DH$17*$X13*$W13</f>
        <v>7613.5177266181618</v>
      </c>
      <c r="AOL13" s="17">
        <f>(JL13&gt;0)*'Long-Term Leases'!DI$17*$X13*$W13</f>
        <v>7613.5177266181618</v>
      </c>
      <c r="AOM13" s="17">
        <f>(JM13&gt;0)*'Long-Term Leases'!DJ$17*$X13*$W13</f>
        <v>7613.5177266181618</v>
      </c>
      <c r="AON13" s="17">
        <f>(JN13&gt;0)*'Long-Term Leases'!DK$17*$X13*$W13</f>
        <v>7613.5177266181618</v>
      </c>
      <c r="AOO13" s="17">
        <f>(JO13&gt;0)*'Long-Term Leases'!DL$17*$X13*$W13</f>
        <v>7613.5177266181618</v>
      </c>
      <c r="AOP13" s="17">
        <f>(JP13&gt;0)*'Long-Term Leases'!DM$17*$X13*$W13</f>
        <v>7613.5177266181618</v>
      </c>
      <c r="AOQ13" s="17">
        <f>(JQ13&gt;0)*'Long-Term Leases'!DN$17*$X13*$W13</f>
        <v>7613.5177266181618</v>
      </c>
      <c r="AOR13" s="17">
        <f>(JR13&gt;0)*'Long-Term Leases'!DO$17*$X13*$W13</f>
        <v>7765.7880811505256</v>
      </c>
      <c r="AOS13" s="17">
        <f>(JS13&gt;0)*'Long-Term Leases'!DP$17*$X13*$W13</f>
        <v>7765.7880811505256</v>
      </c>
      <c r="AOT13" s="17">
        <f>(JT13&gt;0)*'Long-Term Leases'!DQ$17*$X13*$W13</f>
        <v>7765.7880811505256</v>
      </c>
      <c r="AOU13" s="17">
        <f>(JU13&gt;0)*'Long-Term Leases'!DR$17*$X13*$W13</f>
        <v>7765.7880811505256</v>
      </c>
      <c r="AOV13" s="17">
        <f>(JV13&gt;0)*'Long-Term Leases'!DS$17*$X13*$W13</f>
        <v>7765.7880811505256</v>
      </c>
      <c r="AOW13" s="17">
        <f>(JW13&gt;0)*'Long-Term Leases'!DT$17*$X13*$W13</f>
        <v>7765.7880811505256</v>
      </c>
      <c r="AOX13" s="17">
        <f>(JX13&gt;0)*'Long-Term Leases'!DU$17*$X13*$W13</f>
        <v>7765.7880811505256</v>
      </c>
      <c r="AOY13" s="17">
        <f>(JY13&gt;0)*'Long-Term Leases'!DV$17*$X13*$W13</f>
        <v>7765.7880811505256</v>
      </c>
      <c r="AOZ13" s="17">
        <f>(JZ13&gt;0)*'Long-Term Leases'!DW$17*$X13*$W13</f>
        <v>7765.7880811505256</v>
      </c>
      <c r="APA13" s="17">
        <f>(KA13&gt;0)*'Long-Term Leases'!DX$17*$X13*$W13</f>
        <v>7765.7880811505256</v>
      </c>
      <c r="APB13" s="17">
        <f>(KB13&gt;0)*'Long-Term Leases'!DY$17*$X13*$W13</f>
        <v>7765.7880811505256</v>
      </c>
      <c r="APC13" s="17">
        <f>(KC13&gt;0)*'Long-Term Leases'!DZ$17*$X13*$W13</f>
        <v>7765.7880811505256</v>
      </c>
      <c r="APD13" s="17">
        <f>(KD13&gt;0)*'Long-Term Leases'!EA$17*$X13*$W13</f>
        <v>7921.1038427735357</v>
      </c>
      <c r="APE13" s="17">
        <f>(KE13&gt;0)*'Long-Term Leases'!EB$17*$X13*$W13</f>
        <v>7921.1038427735357</v>
      </c>
      <c r="APF13" s="17">
        <f>(KF13&gt;0)*'Long-Term Leases'!EC$17*$X13*$W13</f>
        <v>7921.1038427735357</v>
      </c>
      <c r="APG13" s="17">
        <f>(KG13&gt;0)*'Long-Term Leases'!ED$17*$X13*$W13</f>
        <v>7921.1038427735357</v>
      </c>
      <c r="APH13" s="17">
        <f>(KH13&gt;0)*'Long-Term Leases'!EE$17*$X13*$W13</f>
        <v>7921.1038427735357</v>
      </c>
      <c r="API13" s="17">
        <f>(KI13&gt;0)*'Long-Term Leases'!EF$17*$X13*$W13</f>
        <v>7921.1038427735357</v>
      </c>
      <c r="APJ13" s="17">
        <f>(KJ13&gt;0)*'Long-Term Leases'!EG$17*$X13*$W13</f>
        <v>7921.1038427735357</v>
      </c>
      <c r="APK13" s="17">
        <f>(KK13&gt;0)*'Long-Term Leases'!EH$17*$X13*$W13</f>
        <v>7921.1038427735357</v>
      </c>
      <c r="APL13" s="17">
        <f>(KL13&gt;0)*'Long-Term Leases'!EI$17*$X13*$W13</f>
        <v>7921.1038427735357</v>
      </c>
      <c r="APM13" s="17">
        <f>(KM13&gt;0)*'Long-Term Leases'!EJ$17*$X13*$W13</f>
        <v>7921.1038427735357</v>
      </c>
      <c r="APN13" s="17">
        <f>(KN13&gt;0)*'Long-Term Leases'!EK$17*$X13*$W13</f>
        <v>7921.1038427735357</v>
      </c>
      <c r="APO13" s="17">
        <f>(KO13&gt;0)*'Long-Term Leases'!EL$17*$X13*$W13</f>
        <v>7921.1038427735357</v>
      </c>
      <c r="APP13" s="17"/>
      <c r="APQ13" s="17"/>
      <c r="APR13" s="17">
        <f t="shared" si="1307"/>
        <v>0</v>
      </c>
      <c r="APS13" s="17">
        <f t="shared" si="1278"/>
        <v>0</v>
      </c>
      <c r="APT13" s="17">
        <f t="shared" si="1278"/>
        <v>0</v>
      </c>
      <c r="APU13" s="17">
        <f t="shared" si="1278"/>
        <v>0</v>
      </c>
      <c r="APV13" s="17">
        <f t="shared" si="1278"/>
        <v>0</v>
      </c>
      <c r="APW13" s="17">
        <f t="shared" si="1278"/>
        <v>0</v>
      </c>
      <c r="APX13" s="17">
        <f t="shared" si="1278"/>
        <v>0</v>
      </c>
      <c r="APY13" s="17">
        <f t="shared" si="1278"/>
        <v>0</v>
      </c>
      <c r="APZ13" s="17">
        <f t="shared" si="1278"/>
        <v>0</v>
      </c>
      <c r="AQA13" s="17">
        <f t="shared" si="1278"/>
        <v>0</v>
      </c>
      <c r="AQB13" s="17">
        <f t="shared" si="1278"/>
        <v>0</v>
      </c>
      <c r="AQC13" s="17">
        <f t="shared" si="1278"/>
        <v>0</v>
      </c>
      <c r="AQD13" s="17">
        <f t="shared" si="1278"/>
        <v>0</v>
      </c>
      <c r="AQE13" s="17">
        <f t="shared" si="1278"/>
        <v>0</v>
      </c>
      <c r="AQF13" s="17">
        <f t="shared" si="1278"/>
        <v>0</v>
      </c>
      <c r="AQG13" s="17">
        <f t="shared" si="1278"/>
        <v>0</v>
      </c>
      <c r="AQH13" s="17">
        <f t="shared" si="1278"/>
        <v>0</v>
      </c>
      <c r="AQI13" s="17">
        <f t="shared" si="1279"/>
        <v>0</v>
      </c>
      <c r="AQJ13" s="17">
        <f t="shared" si="1279"/>
        <v>0</v>
      </c>
      <c r="AQK13" s="17">
        <f t="shared" si="1279"/>
        <v>0</v>
      </c>
      <c r="AQL13" s="17">
        <f t="shared" si="1279"/>
        <v>0</v>
      </c>
      <c r="AQM13" s="17">
        <f t="shared" si="1279"/>
        <v>0</v>
      </c>
      <c r="AQN13" s="17">
        <f t="shared" si="1279"/>
        <v>0</v>
      </c>
      <c r="AQO13" s="17">
        <f t="shared" si="1279"/>
        <v>0</v>
      </c>
      <c r="AQP13" s="17">
        <f t="shared" si="1279"/>
        <v>0</v>
      </c>
      <c r="AQQ13" s="17">
        <f t="shared" si="1279"/>
        <v>0</v>
      </c>
      <c r="AQR13" s="17">
        <f t="shared" si="1279"/>
        <v>0</v>
      </c>
      <c r="AQS13" s="17">
        <f t="shared" si="1279"/>
        <v>0</v>
      </c>
      <c r="AQT13" s="17">
        <f t="shared" si="1279"/>
        <v>0</v>
      </c>
      <c r="AQU13" s="17">
        <f t="shared" si="1279"/>
        <v>0</v>
      </c>
      <c r="AQV13" s="17">
        <f t="shared" si="1279"/>
        <v>0</v>
      </c>
      <c r="AQW13" s="17">
        <f t="shared" si="1279"/>
        <v>0</v>
      </c>
      <c r="AQX13" s="17">
        <f t="shared" si="1279"/>
        <v>0</v>
      </c>
      <c r="AQY13" s="17">
        <f t="shared" si="1280"/>
        <v>0</v>
      </c>
      <c r="AQZ13" s="17">
        <f t="shared" si="1280"/>
        <v>0</v>
      </c>
      <c r="ARA13" s="17">
        <f t="shared" si="1280"/>
        <v>0</v>
      </c>
      <c r="ARB13" s="17">
        <f t="shared" si="1280"/>
        <v>0</v>
      </c>
      <c r="ARC13" s="17">
        <f t="shared" si="1280"/>
        <v>0</v>
      </c>
      <c r="ARD13" s="17">
        <f t="shared" si="1280"/>
        <v>0</v>
      </c>
      <c r="ARE13" s="17">
        <f t="shared" si="1280"/>
        <v>0</v>
      </c>
      <c r="ARF13" s="17">
        <f t="shared" si="1280"/>
        <v>0</v>
      </c>
      <c r="ARG13" s="17">
        <f t="shared" si="1280"/>
        <v>0</v>
      </c>
      <c r="ARH13" s="17">
        <f t="shared" si="1280"/>
        <v>0</v>
      </c>
      <c r="ARI13" s="17">
        <f t="shared" si="1280"/>
        <v>0</v>
      </c>
      <c r="ARJ13" s="17">
        <f t="shared" si="1280"/>
        <v>0</v>
      </c>
      <c r="ARK13" s="17">
        <f t="shared" si="1280"/>
        <v>0</v>
      </c>
      <c r="ARL13" s="17">
        <f t="shared" si="1280"/>
        <v>0</v>
      </c>
      <c r="ARM13" s="17">
        <f t="shared" si="1280"/>
        <v>0</v>
      </c>
      <c r="ARN13" s="17">
        <f t="shared" si="1280"/>
        <v>0</v>
      </c>
      <c r="ARO13" s="17">
        <f t="shared" si="1281"/>
        <v>0</v>
      </c>
      <c r="ARP13" s="17">
        <f t="shared" si="1281"/>
        <v>0</v>
      </c>
      <c r="ARQ13" s="17">
        <f t="shared" si="1281"/>
        <v>0</v>
      </c>
      <c r="ARR13" s="17">
        <f t="shared" si="1281"/>
        <v>0</v>
      </c>
      <c r="ARS13" s="17">
        <f t="shared" si="1281"/>
        <v>0</v>
      </c>
      <c r="ART13" s="17">
        <f t="shared" si="1281"/>
        <v>0</v>
      </c>
      <c r="ARU13" s="17">
        <f t="shared" si="1281"/>
        <v>0</v>
      </c>
      <c r="ARV13" s="17">
        <f t="shared" si="1281"/>
        <v>0</v>
      </c>
      <c r="ARW13" s="17">
        <f t="shared" si="1281"/>
        <v>0</v>
      </c>
      <c r="ARX13" s="17">
        <f t="shared" si="1281"/>
        <v>0</v>
      </c>
      <c r="ARY13" s="17">
        <f t="shared" si="1281"/>
        <v>0</v>
      </c>
      <c r="ARZ13" s="17">
        <f t="shared" si="1281"/>
        <v>0</v>
      </c>
      <c r="ASA13" s="17">
        <f t="shared" si="1281"/>
        <v>0</v>
      </c>
      <c r="ASB13" s="17">
        <f t="shared" si="1281"/>
        <v>0</v>
      </c>
      <c r="ASC13" s="17">
        <f t="shared" si="1281"/>
        <v>0</v>
      </c>
      <c r="ASD13" s="17">
        <f t="shared" si="1281"/>
        <v>0</v>
      </c>
      <c r="ASE13" s="17">
        <f t="shared" si="1282"/>
        <v>0</v>
      </c>
      <c r="ASF13" s="17">
        <f t="shared" si="1282"/>
        <v>0</v>
      </c>
      <c r="ASG13" s="17">
        <f t="shared" si="1282"/>
        <v>0</v>
      </c>
      <c r="ASH13" s="17">
        <f t="shared" si="1282"/>
        <v>0</v>
      </c>
      <c r="ASI13" s="17">
        <f t="shared" si="1282"/>
        <v>0</v>
      </c>
      <c r="ASJ13" s="17">
        <f t="shared" si="1282"/>
        <v>0</v>
      </c>
      <c r="ASK13" s="17">
        <f t="shared" si="1282"/>
        <v>0</v>
      </c>
      <c r="ASL13" s="17">
        <f t="shared" si="1282"/>
        <v>0</v>
      </c>
      <c r="ASM13" s="17">
        <f t="shared" si="1282"/>
        <v>0</v>
      </c>
      <c r="ASN13" s="17">
        <f t="shared" si="1282"/>
        <v>0</v>
      </c>
      <c r="ASO13" s="17">
        <f t="shared" si="1282"/>
        <v>0</v>
      </c>
      <c r="ASP13" s="17">
        <f t="shared" si="1282"/>
        <v>0</v>
      </c>
      <c r="ASQ13" s="17">
        <f t="shared" si="1282"/>
        <v>0</v>
      </c>
      <c r="ASR13" s="17">
        <f t="shared" si="1282"/>
        <v>0</v>
      </c>
      <c r="ASS13" s="17">
        <f t="shared" si="1282"/>
        <v>0</v>
      </c>
      <c r="AST13" s="17">
        <f t="shared" si="1282"/>
        <v>0</v>
      </c>
      <c r="ASU13" s="17">
        <f t="shared" si="1283"/>
        <v>0</v>
      </c>
      <c r="ASV13" s="17">
        <f t="shared" si="1283"/>
        <v>0</v>
      </c>
      <c r="ASW13" s="17">
        <f t="shared" si="1283"/>
        <v>0</v>
      </c>
      <c r="ASX13" s="17">
        <f t="shared" si="1283"/>
        <v>0</v>
      </c>
      <c r="ASY13" s="17">
        <f t="shared" si="1283"/>
        <v>0</v>
      </c>
      <c r="ASZ13" s="17">
        <f t="shared" si="1283"/>
        <v>0</v>
      </c>
      <c r="ATA13" s="17">
        <f t="shared" si="1283"/>
        <v>264027.33853411133</v>
      </c>
      <c r="ATB13" s="17">
        <f t="shared" si="1283"/>
        <v>0</v>
      </c>
      <c r="ATC13" s="17">
        <f t="shared" si="1283"/>
        <v>0</v>
      </c>
      <c r="ATD13" s="17">
        <f t="shared" si="1283"/>
        <v>0</v>
      </c>
      <c r="ATE13" s="17">
        <f t="shared" si="1283"/>
        <v>0</v>
      </c>
      <c r="ATF13" s="17">
        <f t="shared" si="1283"/>
        <v>0</v>
      </c>
      <c r="ATG13" s="17">
        <f t="shared" si="1283"/>
        <v>0</v>
      </c>
      <c r="ATH13" s="17">
        <f t="shared" si="1283"/>
        <v>0</v>
      </c>
      <c r="ATI13" s="17">
        <f t="shared" si="1283"/>
        <v>0</v>
      </c>
      <c r="ATJ13" s="17">
        <f t="shared" si="1283"/>
        <v>0</v>
      </c>
      <c r="ATK13" s="17">
        <f t="shared" si="1284"/>
        <v>0</v>
      </c>
      <c r="ATL13" s="17">
        <f t="shared" si="1284"/>
        <v>0</v>
      </c>
      <c r="ATM13" s="17">
        <f t="shared" si="1284"/>
        <v>0</v>
      </c>
      <c r="ATN13" s="17">
        <f t="shared" si="1284"/>
        <v>0</v>
      </c>
      <c r="ATO13" s="17">
        <f t="shared" si="1284"/>
        <v>0</v>
      </c>
      <c r="ATP13" s="17">
        <f t="shared" si="1284"/>
        <v>0</v>
      </c>
      <c r="ATQ13" s="17">
        <f t="shared" si="1284"/>
        <v>0</v>
      </c>
      <c r="ATR13" s="17">
        <f t="shared" si="1284"/>
        <v>0</v>
      </c>
      <c r="ATS13" s="17">
        <f t="shared" si="1284"/>
        <v>0</v>
      </c>
      <c r="ATT13" s="17">
        <f t="shared" si="1284"/>
        <v>0</v>
      </c>
      <c r="ATU13" s="17">
        <f t="shared" si="1284"/>
        <v>0</v>
      </c>
      <c r="ATV13" s="17">
        <f t="shared" si="1284"/>
        <v>0</v>
      </c>
      <c r="ATW13" s="17">
        <f t="shared" si="1284"/>
        <v>0</v>
      </c>
      <c r="ATX13" s="17">
        <f t="shared" si="1284"/>
        <v>0</v>
      </c>
      <c r="ATY13" s="17">
        <f t="shared" si="1284"/>
        <v>0</v>
      </c>
      <c r="ATZ13" s="17">
        <f t="shared" si="1284"/>
        <v>0</v>
      </c>
      <c r="AUA13" s="17">
        <f t="shared" si="1285"/>
        <v>0</v>
      </c>
      <c r="AUB13" s="17">
        <f t="shared" si="1285"/>
        <v>0</v>
      </c>
      <c r="AUC13" s="17">
        <f t="shared" si="1285"/>
        <v>0</v>
      </c>
      <c r="AUD13" s="17">
        <f t="shared" si="1285"/>
        <v>0</v>
      </c>
      <c r="AUE13" s="17">
        <f t="shared" si="1285"/>
        <v>0</v>
      </c>
      <c r="AUF13" s="17">
        <f t="shared" si="1285"/>
        <v>0</v>
      </c>
      <c r="AUG13" s="17">
        <f t="shared" si="1285"/>
        <v>0</v>
      </c>
      <c r="AUH13" s="17">
        <f t="shared" si="1285"/>
        <v>0</v>
      </c>
      <c r="AUI13" s="17">
        <f t="shared" si="1285"/>
        <v>0</v>
      </c>
      <c r="AUJ13" s="17">
        <f t="shared" si="1285"/>
        <v>0</v>
      </c>
      <c r="AUK13" s="17">
        <f t="shared" si="1285"/>
        <v>0</v>
      </c>
      <c r="AUL13" s="17">
        <f t="shared" si="1285"/>
        <v>0</v>
      </c>
      <c r="AUM13" s="17">
        <f t="shared" si="1285"/>
        <v>0</v>
      </c>
      <c r="AUN13" s="17">
        <f t="shared" si="1285"/>
        <v>0</v>
      </c>
      <c r="AUO13" s="17">
        <f t="shared" si="1285"/>
        <v>0</v>
      </c>
      <c r="AUP13" s="17">
        <f t="shared" si="1285"/>
        <v>0</v>
      </c>
      <c r="AUQ13" s="17">
        <f t="shared" si="1286"/>
        <v>0</v>
      </c>
      <c r="AUR13" s="17">
        <f t="shared" si="1286"/>
        <v>0</v>
      </c>
      <c r="AUS13" s="17">
        <f t="shared" si="1286"/>
        <v>0</v>
      </c>
      <c r="AUT13" s="17"/>
      <c r="AUU13" s="17"/>
    </row>
    <row r="14" spans="1:1243" x14ac:dyDescent="0.3">
      <c r="A14" s="44"/>
      <c r="B14" s="43"/>
      <c r="C14" s="44"/>
      <c r="D14" s="47"/>
      <c r="E14" s="54"/>
      <c r="F14" s="55"/>
      <c r="G14" s="45"/>
      <c r="H14" s="48"/>
      <c r="J14" s="54"/>
      <c r="K14" s="56"/>
      <c r="M14" s="38"/>
      <c r="N14" s="26"/>
      <c r="O14" s="26"/>
      <c r="Y14" s="59"/>
      <c r="Z14" s="59"/>
      <c r="AA14" s="48"/>
      <c r="AD14" s="26"/>
      <c r="AE14" s="26"/>
      <c r="AF14" s="4"/>
      <c r="AG14" s="4"/>
      <c r="AH14" s="4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2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  <c r="MW14" s="30"/>
      <c r="MX14" s="30"/>
      <c r="MY14" s="30"/>
      <c r="MZ14" s="30"/>
      <c r="NA14" s="30"/>
      <c r="NB14" s="30"/>
      <c r="NC14" s="30"/>
      <c r="ND14" s="30"/>
      <c r="NE14" s="30"/>
      <c r="NF14" s="30"/>
      <c r="NG14" s="30"/>
      <c r="NH14" s="30"/>
      <c r="NI14" s="30"/>
      <c r="NJ14" s="30"/>
      <c r="NK14" s="30"/>
      <c r="NL14" s="30"/>
      <c r="NM14" s="30"/>
      <c r="NN14" s="30"/>
      <c r="NO14" s="30"/>
      <c r="NP14" s="30"/>
      <c r="NQ14" s="30"/>
      <c r="NR14" s="30"/>
      <c r="NS14" s="30"/>
      <c r="NT14" s="30"/>
      <c r="NU14" s="30"/>
      <c r="NV14" s="30"/>
      <c r="NW14" s="30"/>
      <c r="NX14" s="30"/>
      <c r="NY14" s="30"/>
      <c r="NZ14" s="30"/>
      <c r="OA14" s="30"/>
      <c r="OB14" s="30"/>
      <c r="OC14" s="30"/>
      <c r="OD14" s="30"/>
      <c r="OE14" s="30"/>
      <c r="OF14" s="30"/>
      <c r="OG14" s="30"/>
      <c r="OH14" s="30"/>
      <c r="OI14" s="30"/>
      <c r="OJ14" s="30"/>
      <c r="OK14" s="30"/>
      <c r="OL14" s="30"/>
      <c r="OM14" s="30"/>
      <c r="ON14" s="30"/>
      <c r="OO14" s="30"/>
      <c r="OP14" s="30"/>
      <c r="OQ14" s="30"/>
      <c r="OR14" s="30"/>
      <c r="OS14" s="30"/>
      <c r="OT14" s="30"/>
      <c r="OU14" s="30"/>
      <c r="OV14" s="30"/>
      <c r="OW14" s="30"/>
      <c r="OX14" s="30"/>
      <c r="OY14" s="30"/>
      <c r="OZ14" s="30"/>
      <c r="PA14" s="30"/>
      <c r="PB14" s="30"/>
      <c r="PC14" s="30"/>
      <c r="PD14" s="30"/>
      <c r="PE14" s="30"/>
      <c r="PF14" s="30"/>
      <c r="PG14" s="30"/>
      <c r="PH14" s="30"/>
      <c r="PI14" s="30"/>
      <c r="PJ14" s="30"/>
      <c r="PK14" s="30"/>
      <c r="PL14" s="30"/>
      <c r="PM14" s="30"/>
      <c r="PN14" s="30"/>
      <c r="PO14" s="30"/>
      <c r="PP14" s="30"/>
      <c r="PQ14" s="30"/>
      <c r="PR14" s="30"/>
      <c r="PS14" s="30"/>
      <c r="PT14" s="30"/>
      <c r="PU14" s="30"/>
      <c r="PV14" s="30"/>
      <c r="PW14" s="68"/>
      <c r="PX14" s="30"/>
      <c r="PY14" s="30"/>
      <c r="PZ14" s="30"/>
      <c r="QA14" s="30"/>
      <c r="QB14" s="30"/>
      <c r="QC14" s="30"/>
      <c r="QD14" s="30"/>
      <c r="QE14" s="30"/>
      <c r="QF14" s="30"/>
      <c r="QG14" s="30"/>
      <c r="QH14" s="30"/>
      <c r="QI14" s="30"/>
      <c r="QJ14" s="30"/>
      <c r="QK14" s="30"/>
      <c r="QL14" s="30"/>
      <c r="QM14" s="30"/>
      <c r="QN14" s="30"/>
      <c r="QO14" s="30"/>
      <c r="QP14" s="30"/>
      <c r="QQ14" s="30"/>
      <c r="QR14" s="30"/>
      <c r="QS14" s="30"/>
      <c r="QT14" s="30"/>
      <c r="QU14" s="30"/>
      <c r="QV14" s="30"/>
      <c r="QW14" s="30"/>
      <c r="QX14" s="30"/>
      <c r="QY14" s="30"/>
      <c r="QZ14" s="30"/>
      <c r="RA14" s="30"/>
      <c r="RB14" s="30"/>
      <c r="RC14" s="30"/>
      <c r="RD14" s="30"/>
      <c r="RE14" s="30"/>
      <c r="RF14" s="30"/>
      <c r="RG14" s="30"/>
      <c r="RH14" s="30"/>
      <c r="RI14" s="30"/>
      <c r="RJ14" s="30"/>
      <c r="RK14" s="30"/>
      <c r="RL14" s="30"/>
      <c r="RM14" s="30"/>
      <c r="RN14" s="30"/>
      <c r="RO14" s="30"/>
      <c r="RP14" s="30"/>
      <c r="RQ14" s="30"/>
      <c r="RR14" s="30"/>
      <c r="RS14" s="30"/>
      <c r="RT14" s="30"/>
      <c r="RU14" s="30"/>
      <c r="RV14" s="30"/>
      <c r="RW14" s="30"/>
      <c r="RX14" s="30"/>
      <c r="RY14" s="30"/>
      <c r="RZ14" s="30"/>
      <c r="SA14" s="30"/>
      <c r="SB14" s="30"/>
      <c r="SC14" s="30"/>
      <c r="SD14" s="30"/>
      <c r="SE14" s="30"/>
      <c r="SF14" s="30"/>
      <c r="SG14" s="30"/>
      <c r="SH14" s="30"/>
      <c r="SI14" s="30"/>
      <c r="SJ14" s="30"/>
      <c r="SK14" s="30"/>
      <c r="SL14" s="30"/>
      <c r="SM14" s="30"/>
      <c r="SN14" s="30"/>
      <c r="SO14" s="30"/>
      <c r="SP14" s="30"/>
      <c r="SQ14" s="30"/>
      <c r="SR14" s="30"/>
      <c r="SS14" s="30"/>
      <c r="ST14" s="30"/>
      <c r="SU14" s="30"/>
      <c r="SV14" s="30"/>
      <c r="SW14" s="30"/>
      <c r="SX14" s="30"/>
      <c r="SY14" s="30"/>
      <c r="SZ14" s="30"/>
      <c r="TA14" s="30"/>
      <c r="TB14" s="30"/>
      <c r="TC14" s="30"/>
      <c r="TD14" s="30"/>
      <c r="TE14" s="30"/>
      <c r="TF14" s="30"/>
      <c r="TG14" s="30"/>
      <c r="TH14" s="30"/>
      <c r="TI14" s="30"/>
      <c r="TJ14" s="30"/>
      <c r="TK14" s="30"/>
      <c r="TL14" s="30"/>
      <c r="TM14" s="30"/>
      <c r="TN14" s="30"/>
      <c r="TO14" s="30"/>
      <c r="TP14" s="30"/>
      <c r="TQ14" s="30"/>
      <c r="TR14" s="30"/>
      <c r="TS14" s="30"/>
      <c r="TT14" s="30"/>
      <c r="TU14" s="30"/>
      <c r="TV14" s="30"/>
      <c r="TW14" s="30"/>
      <c r="TX14" s="30"/>
      <c r="TY14" s="30"/>
      <c r="TZ14" s="30"/>
      <c r="UA14" s="30"/>
      <c r="UB14" s="30"/>
      <c r="UC14" s="30"/>
      <c r="UD14" s="30"/>
      <c r="UE14" s="30"/>
      <c r="UF14" s="30"/>
      <c r="UG14" s="30"/>
      <c r="UH14" s="30"/>
      <c r="UI14" s="30"/>
      <c r="UJ14" s="30"/>
      <c r="UK14" s="30"/>
      <c r="UL14" s="30"/>
      <c r="UM14" s="30"/>
      <c r="UN14" s="30"/>
      <c r="UO14" s="30"/>
      <c r="UP14" s="30"/>
      <c r="UQ14" s="30"/>
      <c r="UR14" s="30"/>
      <c r="US14" s="30"/>
      <c r="UT14" s="30"/>
      <c r="UU14" s="30"/>
      <c r="UV14" s="30"/>
      <c r="UW14" s="30"/>
      <c r="UX14" s="30"/>
      <c r="UY14" s="30"/>
      <c r="UZ14" s="17"/>
      <c r="VA14" s="17"/>
      <c r="VB14" s="30"/>
      <c r="VC14" s="30"/>
      <c r="VD14" s="30"/>
      <c r="VE14" s="30"/>
      <c r="VF14" s="30"/>
      <c r="VG14" s="30"/>
      <c r="VH14" s="30"/>
      <c r="VI14" s="30"/>
      <c r="VJ14" s="30"/>
      <c r="VK14" s="30"/>
      <c r="VL14" s="30"/>
      <c r="VM14" s="30"/>
      <c r="VN14" s="30"/>
      <c r="VO14" s="30"/>
      <c r="VP14" s="30"/>
      <c r="VQ14" s="30"/>
      <c r="VR14" s="30"/>
      <c r="VS14" s="30"/>
      <c r="VT14" s="30"/>
      <c r="VU14" s="30"/>
      <c r="VV14" s="30"/>
      <c r="VW14" s="30"/>
      <c r="VX14" s="30"/>
      <c r="VY14" s="30"/>
      <c r="VZ14" s="30"/>
      <c r="WA14" s="30"/>
      <c r="WB14" s="30"/>
      <c r="WC14" s="30"/>
      <c r="WD14" s="30"/>
      <c r="WE14" s="30"/>
      <c r="WF14" s="30"/>
      <c r="WG14" s="30"/>
      <c r="WH14" s="30"/>
      <c r="WI14" s="30"/>
      <c r="WJ14" s="30"/>
      <c r="WK14" s="30"/>
      <c r="WL14" s="30"/>
      <c r="WM14" s="30"/>
      <c r="WN14" s="30"/>
      <c r="WO14" s="30"/>
      <c r="WP14" s="30"/>
      <c r="WQ14" s="30"/>
      <c r="WR14" s="30"/>
      <c r="WS14" s="30"/>
      <c r="WT14" s="30"/>
      <c r="WU14" s="30"/>
      <c r="WV14" s="30"/>
      <c r="WW14" s="30"/>
      <c r="WX14" s="30"/>
      <c r="WY14" s="30"/>
      <c r="WZ14" s="30"/>
      <c r="XA14" s="30"/>
      <c r="XB14" s="30"/>
      <c r="XC14" s="30"/>
      <c r="XD14" s="30"/>
      <c r="XE14" s="30"/>
      <c r="XF14" s="30"/>
      <c r="XG14" s="30"/>
      <c r="XH14" s="30"/>
      <c r="XI14" s="30"/>
      <c r="XJ14" s="30"/>
      <c r="XK14" s="30"/>
      <c r="XL14" s="30"/>
      <c r="XM14" s="30"/>
      <c r="XN14" s="30"/>
      <c r="XO14" s="30"/>
      <c r="XP14" s="30"/>
      <c r="XQ14" s="30"/>
      <c r="XR14" s="30"/>
      <c r="XS14" s="30"/>
      <c r="XT14" s="30"/>
      <c r="XU14" s="30"/>
      <c r="XV14" s="30"/>
      <c r="XW14" s="30"/>
      <c r="XX14" s="30"/>
      <c r="XY14" s="30"/>
      <c r="XZ14" s="30"/>
      <c r="YA14" s="30"/>
      <c r="YB14" s="30"/>
      <c r="YC14" s="30"/>
      <c r="YD14" s="30"/>
      <c r="YE14" s="30"/>
      <c r="YF14" s="30"/>
      <c r="YG14" s="30"/>
      <c r="YH14" s="30"/>
      <c r="YI14" s="30"/>
      <c r="YJ14" s="30"/>
      <c r="YK14" s="30"/>
      <c r="YL14" s="30"/>
      <c r="YM14" s="30"/>
      <c r="YN14" s="30"/>
      <c r="YO14" s="30"/>
      <c r="YP14" s="30"/>
      <c r="YQ14" s="30"/>
      <c r="YR14" s="30"/>
      <c r="YS14" s="30"/>
      <c r="YT14" s="30"/>
      <c r="YU14" s="30"/>
      <c r="YV14" s="30"/>
      <c r="YW14" s="30"/>
      <c r="YX14" s="30"/>
      <c r="YY14" s="30"/>
      <c r="YZ14" s="30"/>
      <c r="ZA14" s="30"/>
      <c r="ZB14" s="30"/>
      <c r="ZC14" s="30"/>
      <c r="ZD14" s="30"/>
      <c r="ZE14" s="30"/>
      <c r="ZF14" s="30"/>
      <c r="ZG14" s="30"/>
      <c r="ZH14" s="30"/>
      <c r="ZI14" s="30"/>
      <c r="ZJ14" s="30"/>
      <c r="ZK14" s="30"/>
      <c r="ZL14" s="30"/>
      <c r="ZM14" s="30"/>
      <c r="ZN14" s="30"/>
      <c r="ZO14" s="30"/>
      <c r="ZP14" s="30"/>
      <c r="ZQ14" s="30"/>
      <c r="ZR14" s="30"/>
      <c r="ZS14" s="30"/>
      <c r="ZT14" s="30"/>
      <c r="ZU14" s="30"/>
      <c r="ZV14" s="30"/>
      <c r="ZW14" s="30"/>
      <c r="ZX14" s="30"/>
      <c r="ZY14" s="30"/>
      <c r="ZZ14" s="30"/>
      <c r="AAA14" s="30"/>
      <c r="AAB14" s="30"/>
      <c r="AAC14" s="30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</row>
    <row r="15" spans="1:1243" x14ac:dyDescent="0.3">
      <c r="A15" s="44"/>
      <c r="B15" s="43"/>
      <c r="C15" s="44"/>
      <c r="D15" s="47"/>
      <c r="E15" s="54"/>
      <c r="F15" s="55"/>
      <c r="G15" s="45"/>
      <c r="H15" s="48"/>
      <c r="J15" s="54"/>
      <c r="K15" s="56"/>
      <c r="M15" s="38"/>
      <c r="N15" s="26"/>
      <c r="O15" s="26"/>
      <c r="Y15" s="59"/>
      <c r="Z15" s="59"/>
      <c r="AA15" s="48"/>
      <c r="AD15" s="26"/>
      <c r="AE15" s="26"/>
      <c r="AF15" s="4"/>
      <c r="AG15" s="4"/>
      <c r="AH15" s="4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2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  <c r="MW15" s="30"/>
      <c r="MX15" s="30"/>
      <c r="MY15" s="30"/>
      <c r="MZ15" s="30"/>
      <c r="NA15" s="30"/>
      <c r="NB15" s="30"/>
      <c r="NC15" s="30"/>
      <c r="ND15" s="30"/>
      <c r="NE15" s="30"/>
      <c r="NF15" s="30"/>
      <c r="NG15" s="30"/>
      <c r="NH15" s="30"/>
      <c r="NI15" s="30"/>
      <c r="NJ15" s="30"/>
      <c r="NK15" s="30"/>
      <c r="NL15" s="30"/>
      <c r="NM15" s="30"/>
      <c r="NN15" s="30"/>
      <c r="NO15" s="30"/>
      <c r="NP15" s="30"/>
      <c r="NQ15" s="30"/>
      <c r="NR15" s="30"/>
      <c r="NS15" s="30"/>
      <c r="NT15" s="30"/>
      <c r="NU15" s="30"/>
      <c r="NV15" s="30"/>
      <c r="NW15" s="30"/>
      <c r="NX15" s="30"/>
      <c r="NY15" s="30"/>
      <c r="NZ15" s="30"/>
      <c r="OA15" s="30"/>
      <c r="OB15" s="30"/>
      <c r="OC15" s="30"/>
      <c r="OD15" s="30"/>
      <c r="OE15" s="30"/>
      <c r="OF15" s="30"/>
      <c r="OG15" s="30"/>
      <c r="OH15" s="30"/>
      <c r="OI15" s="30"/>
      <c r="OJ15" s="30"/>
      <c r="OK15" s="30"/>
      <c r="OL15" s="30"/>
      <c r="OM15" s="30"/>
      <c r="ON15" s="30"/>
      <c r="OO15" s="30"/>
      <c r="OP15" s="30"/>
      <c r="OQ15" s="30"/>
      <c r="OR15" s="30"/>
      <c r="OS15" s="30"/>
      <c r="OT15" s="30"/>
      <c r="OU15" s="30"/>
      <c r="OV15" s="30"/>
      <c r="OW15" s="30"/>
      <c r="OX15" s="30"/>
      <c r="OY15" s="30"/>
      <c r="OZ15" s="30"/>
      <c r="PA15" s="30"/>
      <c r="PB15" s="30"/>
      <c r="PC15" s="30"/>
      <c r="PD15" s="30"/>
      <c r="PE15" s="30"/>
      <c r="PF15" s="30"/>
      <c r="PG15" s="30"/>
      <c r="PH15" s="30"/>
      <c r="PI15" s="30"/>
      <c r="PJ15" s="30"/>
      <c r="PK15" s="30"/>
      <c r="PL15" s="30"/>
      <c r="PM15" s="30"/>
      <c r="PN15" s="30"/>
      <c r="PO15" s="30"/>
      <c r="PP15" s="30"/>
      <c r="PQ15" s="30"/>
      <c r="PR15" s="30"/>
      <c r="PS15" s="30"/>
      <c r="PT15" s="30"/>
      <c r="PU15" s="30"/>
      <c r="PV15" s="30"/>
      <c r="PW15" s="68"/>
      <c r="PX15" s="30"/>
      <c r="PY15" s="30"/>
      <c r="PZ15" s="30"/>
      <c r="QA15" s="30"/>
      <c r="QB15" s="30"/>
      <c r="QC15" s="30"/>
      <c r="QD15" s="30"/>
      <c r="QE15" s="30"/>
      <c r="QF15" s="30"/>
      <c r="QG15" s="30"/>
      <c r="QH15" s="30"/>
      <c r="QI15" s="30"/>
      <c r="QJ15" s="30"/>
      <c r="QK15" s="30"/>
      <c r="QL15" s="30"/>
      <c r="QM15" s="30"/>
      <c r="QN15" s="30"/>
      <c r="QO15" s="30"/>
      <c r="QP15" s="30"/>
      <c r="QQ15" s="30"/>
      <c r="QR15" s="30"/>
      <c r="QS15" s="30"/>
      <c r="QT15" s="30"/>
      <c r="QU15" s="30"/>
      <c r="QV15" s="30"/>
      <c r="QW15" s="30"/>
      <c r="QX15" s="30"/>
      <c r="QY15" s="30"/>
      <c r="QZ15" s="30"/>
      <c r="RA15" s="30"/>
      <c r="RB15" s="30"/>
      <c r="RC15" s="30"/>
      <c r="RD15" s="30"/>
      <c r="RE15" s="30"/>
      <c r="RF15" s="30"/>
      <c r="RG15" s="30"/>
      <c r="RH15" s="30"/>
      <c r="RI15" s="30"/>
      <c r="RJ15" s="30"/>
      <c r="RK15" s="30"/>
      <c r="RL15" s="30"/>
      <c r="RM15" s="30"/>
      <c r="RN15" s="30"/>
      <c r="RO15" s="30"/>
      <c r="RP15" s="30"/>
      <c r="RQ15" s="30"/>
      <c r="RR15" s="30"/>
      <c r="RS15" s="30"/>
      <c r="RT15" s="30"/>
      <c r="RU15" s="30"/>
      <c r="RV15" s="30"/>
      <c r="RW15" s="30"/>
      <c r="RX15" s="30"/>
      <c r="RY15" s="30"/>
      <c r="RZ15" s="30"/>
      <c r="SA15" s="30"/>
      <c r="SB15" s="30"/>
      <c r="SC15" s="30"/>
      <c r="SD15" s="30"/>
      <c r="SE15" s="30"/>
      <c r="SF15" s="30"/>
      <c r="SG15" s="30"/>
      <c r="SH15" s="30"/>
      <c r="SI15" s="30"/>
      <c r="SJ15" s="30"/>
      <c r="SK15" s="30"/>
      <c r="SL15" s="30"/>
      <c r="SM15" s="30"/>
      <c r="SN15" s="30"/>
      <c r="SO15" s="30"/>
      <c r="SP15" s="30"/>
      <c r="SQ15" s="30"/>
      <c r="SR15" s="30"/>
      <c r="SS15" s="30"/>
      <c r="ST15" s="30"/>
      <c r="SU15" s="30"/>
      <c r="SV15" s="30"/>
      <c r="SW15" s="30"/>
      <c r="SX15" s="30"/>
      <c r="SY15" s="30"/>
      <c r="SZ15" s="30"/>
      <c r="TA15" s="30"/>
      <c r="TB15" s="30"/>
      <c r="TC15" s="30"/>
      <c r="TD15" s="30"/>
      <c r="TE15" s="30"/>
      <c r="TF15" s="30"/>
      <c r="TG15" s="30"/>
      <c r="TH15" s="30"/>
      <c r="TI15" s="30"/>
      <c r="TJ15" s="30"/>
      <c r="TK15" s="30"/>
      <c r="TL15" s="30"/>
      <c r="TM15" s="30"/>
      <c r="TN15" s="30"/>
      <c r="TO15" s="30"/>
      <c r="TP15" s="30"/>
      <c r="TQ15" s="30"/>
      <c r="TR15" s="30"/>
      <c r="TS15" s="30"/>
      <c r="TT15" s="30"/>
      <c r="TU15" s="30"/>
      <c r="TV15" s="30"/>
      <c r="TW15" s="30"/>
      <c r="TX15" s="30"/>
      <c r="TY15" s="30"/>
      <c r="TZ15" s="30"/>
      <c r="UA15" s="30"/>
      <c r="UB15" s="30"/>
      <c r="UC15" s="30"/>
      <c r="UD15" s="30"/>
      <c r="UE15" s="30"/>
      <c r="UF15" s="30"/>
      <c r="UG15" s="30"/>
      <c r="UH15" s="30"/>
      <c r="UI15" s="30"/>
      <c r="UJ15" s="30"/>
      <c r="UK15" s="30"/>
      <c r="UL15" s="30"/>
      <c r="UM15" s="30"/>
      <c r="UN15" s="30"/>
      <c r="UO15" s="30"/>
      <c r="UP15" s="30"/>
      <c r="UQ15" s="30"/>
      <c r="UR15" s="30"/>
      <c r="US15" s="30"/>
      <c r="UT15" s="30"/>
      <c r="UU15" s="30"/>
      <c r="UV15" s="30"/>
      <c r="UW15" s="30"/>
      <c r="UX15" s="30"/>
      <c r="UY15" s="30"/>
      <c r="UZ15" s="17"/>
      <c r="VA15" s="17"/>
      <c r="VB15" s="30"/>
      <c r="VC15" s="30"/>
      <c r="VD15" s="30"/>
      <c r="VE15" s="30"/>
      <c r="VF15" s="30"/>
      <c r="VG15" s="30"/>
      <c r="VH15" s="30"/>
      <c r="VI15" s="30"/>
      <c r="VJ15" s="30"/>
      <c r="VK15" s="30"/>
      <c r="VL15" s="30"/>
      <c r="VM15" s="30"/>
      <c r="VN15" s="30"/>
      <c r="VO15" s="30"/>
      <c r="VP15" s="30"/>
      <c r="VQ15" s="30"/>
      <c r="VR15" s="30"/>
      <c r="VS15" s="30"/>
      <c r="VT15" s="30"/>
      <c r="VU15" s="30"/>
      <c r="VV15" s="30"/>
      <c r="VW15" s="30"/>
      <c r="VX15" s="30"/>
      <c r="VY15" s="30"/>
      <c r="VZ15" s="30"/>
      <c r="WA15" s="30"/>
      <c r="WB15" s="30"/>
      <c r="WC15" s="30"/>
      <c r="WD15" s="30"/>
      <c r="WE15" s="30"/>
      <c r="WF15" s="30"/>
      <c r="WG15" s="30"/>
      <c r="WH15" s="30"/>
      <c r="WI15" s="30"/>
      <c r="WJ15" s="30"/>
      <c r="WK15" s="30"/>
      <c r="WL15" s="30"/>
      <c r="WM15" s="30"/>
      <c r="WN15" s="30"/>
      <c r="WO15" s="30"/>
      <c r="WP15" s="30"/>
      <c r="WQ15" s="30"/>
      <c r="WR15" s="30"/>
      <c r="WS15" s="30"/>
      <c r="WT15" s="30"/>
      <c r="WU15" s="30"/>
      <c r="WV15" s="30"/>
      <c r="WW15" s="30"/>
      <c r="WX15" s="30"/>
      <c r="WY15" s="30"/>
      <c r="WZ15" s="30"/>
      <c r="XA15" s="30"/>
      <c r="XB15" s="30"/>
      <c r="XC15" s="30"/>
      <c r="XD15" s="30"/>
      <c r="XE15" s="30"/>
      <c r="XF15" s="30"/>
      <c r="XG15" s="30"/>
      <c r="XH15" s="30"/>
      <c r="XI15" s="30"/>
      <c r="XJ15" s="30"/>
      <c r="XK15" s="30"/>
      <c r="XL15" s="30"/>
      <c r="XM15" s="30"/>
      <c r="XN15" s="30"/>
      <c r="XO15" s="30"/>
      <c r="XP15" s="30"/>
      <c r="XQ15" s="30"/>
      <c r="XR15" s="30"/>
      <c r="XS15" s="30"/>
      <c r="XT15" s="30"/>
      <c r="XU15" s="30"/>
      <c r="XV15" s="30"/>
      <c r="XW15" s="30"/>
      <c r="XX15" s="30"/>
      <c r="XY15" s="30"/>
      <c r="XZ15" s="30"/>
      <c r="YA15" s="30"/>
      <c r="YB15" s="30"/>
      <c r="YC15" s="30"/>
      <c r="YD15" s="30"/>
      <c r="YE15" s="30"/>
      <c r="YF15" s="30"/>
      <c r="YG15" s="30"/>
      <c r="YH15" s="30"/>
      <c r="YI15" s="30"/>
      <c r="YJ15" s="30"/>
      <c r="YK15" s="30"/>
      <c r="YL15" s="30"/>
      <c r="YM15" s="30"/>
      <c r="YN15" s="30"/>
      <c r="YO15" s="30"/>
      <c r="YP15" s="30"/>
      <c r="YQ15" s="30"/>
      <c r="YR15" s="30"/>
      <c r="YS15" s="30"/>
      <c r="YT15" s="30"/>
      <c r="YU15" s="30"/>
      <c r="YV15" s="30"/>
      <c r="YW15" s="30"/>
      <c r="YX15" s="30"/>
      <c r="YY15" s="30"/>
      <c r="YZ15" s="30"/>
      <c r="ZA15" s="30"/>
      <c r="ZB15" s="30"/>
      <c r="ZC15" s="30"/>
      <c r="ZD15" s="30"/>
      <c r="ZE15" s="30"/>
      <c r="ZF15" s="30"/>
      <c r="ZG15" s="30"/>
      <c r="ZH15" s="30"/>
      <c r="ZI15" s="30"/>
      <c r="ZJ15" s="30"/>
      <c r="ZK15" s="30"/>
      <c r="ZL15" s="30"/>
      <c r="ZM15" s="30"/>
      <c r="ZN15" s="30"/>
      <c r="ZO15" s="30"/>
      <c r="ZP15" s="30"/>
      <c r="ZQ15" s="30"/>
      <c r="ZR15" s="30"/>
      <c r="ZS15" s="30"/>
      <c r="ZT15" s="30"/>
      <c r="ZU15" s="30"/>
      <c r="ZV15" s="30"/>
      <c r="ZW15" s="30"/>
      <c r="ZX15" s="30"/>
      <c r="ZY15" s="30"/>
      <c r="ZZ15" s="30"/>
      <c r="AAA15" s="30"/>
      <c r="AAB15" s="30"/>
      <c r="AAC15" s="30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</row>
    <row r="16" spans="1:1243" x14ac:dyDescent="0.3">
      <c r="A16" s="44"/>
      <c r="B16" s="43"/>
      <c r="C16" s="44"/>
      <c r="D16" s="47"/>
      <c r="E16" s="54"/>
      <c r="F16" s="55"/>
      <c r="G16" s="45"/>
      <c r="H16" s="48"/>
      <c r="J16" s="54"/>
      <c r="K16" s="56"/>
      <c r="M16" s="38"/>
      <c r="N16" s="26"/>
      <c r="O16" s="26"/>
      <c r="Y16" s="59"/>
      <c r="Z16" s="59"/>
      <c r="AA16" s="48"/>
      <c r="AD16" s="26"/>
      <c r="AE16" s="26"/>
      <c r="AF16" s="4"/>
      <c r="AG16" s="4"/>
      <c r="AH16" s="4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2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  <c r="MW16" s="30"/>
      <c r="MX16" s="30"/>
      <c r="MY16" s="30"/>
      <c r="MZ16" s="30"/>
      <c r="NA16" s="30"/>
      <c r="NB16" s="30"/>
      <c r="NC16" s="30"/>
      <c r="ND16" s="30"/>
      <c r="NE16" s="30"/>
      <c r="NF16" s="30"/>
      <c r="NG16" s="30"/>
      <c r="NH16" s="30"/>
      <c r="NI16" s="30"/>
      <c r="NJ16" s="30"/>
      <c r="NK16" s="30"/>
      <c r="NL16" s="30"/>
      <c r="NM16" s="30"/>
      <c r="NN16" s="30"/>
      <c r="NO16" s="30"/>
      <c r="NP16" s="30"/>
      <c r="NQ16" s="30"/>
      <c r="NR16" s="30"/>
      <c r="NS16" s="30"/>
      <c r="NT16" s="30"/>
      <c r="NU16" s="30"/>
      <c r="NV16" s="30"/>
      <c r="NW16" s="30"/>
      <c r="NX16" s="30"/>
      <c r="NY16" s="30"/>
      <c r="NZ16" s="30"/>
      <c r="OA16" s="30"/>
      <c r="OB16" s="30"/>
      <c r="OC16" s="30"/>
      <c r="OD16" s="30"/>
      <c r="OE16" s="30"/>
      <c r="OF16" s="30"/>
      <c r="OG16" s="30"/>
      <c r="OH16" s="30"/>
      <c r="OI16" s="30"/>
      <c r="OJ16" s="30"/>
      <c r="OK16" s="30"/>
      <c r="OL16" s="30"/>
      <c r="OM16" s="30"/>
      <c r="ON16" s="30"/>
      <c r="OO16" s="30"/>
      <c r="OP16" s="30"/>
      <c r="OQ16" s="30"/>
      <c r="OR16" s="30"/>
      <c r="OS16" s="30"/>
      <c r="OT16" s="30"/>
      <c r="OU16" s="30"/>
      <c r="OV16" s="30"/>
      <c r="OW16" s="30"/>
      <c r="OX16" s="30"/>
      <c r="OY16" s="30"/>
      <c r="OZ16" s="30"/>
      <c r="PA16" s="30"/>
      <c r="PB16" s="30"/>
      <c r="PC16" s="30"/>
      <c r="PD16" s="30"/>
      <c r="PE16" s="30"/>
      <c r="PF16" s="30"/>
      <c r="PG16" s="30"/>
      <c r="PH16" s="30"/>
      <c r="PI16" s="30"/>
      <c r="PJ16" s="30"/>
      <c r="PK16" s="30"/>
      <c r="PL16" s="30"/>
      <c r="PM16" s="30"/>
      <c r="PN16" s="30"/>
      <c r="PO16" s="30"/>
      <c r="PP16" s="30"/>
      <c r="PQ16" s="30"/>
      <c r="PR16" s="30"/>
      <c r="PS16" s="30"/>
      <c r="PT16" s="30"/>
      <c r="PU16" s="30"/>
      <c r="PV16" s="30"/>
      <c r="PW16" s="68"/>
      <c r="PX16" s="30"/>
      <c r="PY16" s="30"/>
      <c r="PZ16" s="30"/>
      <c r="QA16" s="30"/>
      <c r="QB16" s="30"/>
      <c r="QC16" s="30"/>
      <c r="QD16" s="30"/>
      <c r="QE16" s="30"/>
      <c r="QF16" s="30"/>
      <c r="QG16" s="30"/>
      <c r="QH16" s="30"/>
      <c r="QI16" s="30"/>
      <c r="QJ16" s="30"/>
      <c r="QK16" s="30"/>
      <c r="QL16" s="30"/>
      <c r="QM16" s="30"/>
      <c r="QN16" s="30"/>
      <c r="QO16" s="30"/>
      <c r="QP16" s="30"/>
      <c r="QQ16" s="30"/>
      <c r="QR16" s="30"/>
      <c r="QS16" s="30"/>
      <c r="QT16" s="30"/>
      <c r="QU16" s="30"/>
      <c r="QV16" s="30"/>
      <c r="QW16" s="30"/>
      <c r="QX16" s="30"/>
      <c r="QY16" s="30"/>
      <c r="QZ16" s="30"/>
      <c r="RA16" s="30"/>
      <c r="RB16" s="30"/>
      <c r="RC16" s="30"/>
      <c r="RD16" s="30"/>
      <c r="RE16" s="30"/>
      <c r="RF16" s="30"/>
      <c r="RG16" s="30"/>
      <c r="RH16" s="30"/>
      <c r="RI16" s="30"/>
      <c r="RJ16" s="30"/>
      <c r="RK16" s="30"/>
      <c r="RL16" s="30"/>
      <c r="RM16" s="30"/>
      <c r="RN16" s="30"/>
      <c r="RO16" s="30"/>
      <c r="RP16" s="30"/>
      <c r="RQ16" s="30"/>
      <c r="RR16" s="30"/>
      <c r="RS16" s="30"/>
      <c r="RT16" s="30"/>
      <c r="RU16" s="30"/>
      <c r="RV16" s="30"/>
      <c r="RW16" s="30"/>
      <c r="RX16" s="30"/>
      <c r="RY16" s="30"/>
      <c r="RZ16" s="30"/>
      <c r="SA16" s="30"/>
      <c r="SB16" s="30"/>
      <c r="SC16" s="30"/>
      <c r="SD16" s="30"/>
      <c r="SE16" s="30"/>
      <c r="SF16" s="30"/>
      <c r="SG16" s="30"/>
      <c r="SH16" s="30"/>
      <c r="SI16" s="30"/>
      <c r="SJ16" s="30"/>
      <c r="SK16" s="30"/>
      <c r="SL16" s="30"/>
      <c r="SM16" s="30"/>
      <c r="SN16" s="30"/>
      <c r="SO16" s="30"/>
      <c r="SP16" s="30"/>
      <c r="SQ16" s="30"/>
      <c r="SR16" s="30"/>
      <c r="SS16" s="30"/>
      <c r="ST16" s="30"/>
      <c r="SU16" s="30"/>
      <c r="SV16" s="30"/>
      <c r="SW16" s="30"/>
      <c r="SX16" s="30"/>
      <c r="SY16" s="30"/>
      <c r="SZ16" s="30"/>
      <c r="TA16" s="30"/>
      <c r="TB16" s="30"/>
      <c r="TC16" s="30"/>
      <c r="TD16" s="30"/>
      <c r="TE16" s="30"/>
      <c r="TF16" s="30"/>
      <c r="TG16" s="30"/>
      <c r="TH16" s="30"/>
      <c r="TI16" s="30"/>
      <c r="TJ16" s="30"/>
      <c r="TK16" s="30"/>
      <c r="TL16" s="30"/>
      <c r="TM16" s="30"/>
      <c r="TN16" s="30"/>
      <c r="TO16" s="30"/>
      <c r="TP16" s="30"/>
      <c r="TQ16" s="30"/>
      <c r="TR16" s="30"/>
      <c r="TS16" s="30"/>
      <c r="TT16" s="30"/>
      <c r="TU16" s="30"/>
      <c r="TV16" s="30"/>
      <c r="TW16" s="30"/>
      <c r="TX16" s="30"/>
      <c r="TY16" s="30"/>
      <c r="TZ16" s="30"/>
      <c r="UA16" s="30"/>
      <c r="UB16" s="30"/>
      <c r="UC16" s="30"/>
      <c r="UD16" s="30"/>
      <c r="UE16" s="30"/>
      <c r="UF16" s="30"/>
      <c r="UG16" s="30"/>
      <c r="UH16" s="30"/>
      <c r="UI16" s="30"/>
      <c r="UJ16" s="30"/>
      <c r="UK16" s="30"/>
      <c r="UL16" s="30"/>
      <c r="UM16" s="30"/>
      <c r="UN16" s="30"/>
      <c r="UO16" s="30"/>
      <c r="UP16" s="30"/>
      <c r="UQ16" s="30"/>
      <c r="UR16" s="30"/>
      <c r="US16" s="30"/>
      <c r="UT16" s="30"/>
      <c r="UU16" s="30"/>
      <c r="UV16" s="30"/>
      <c r="UW16" s="30"/>
      <c r="UX16" s="30"/>
      <c r="UY16" s="30"/>
      <c r="UZ16" s="17"/>
      <c r="VA16" s="17"/>
      <c r="VB16" s="30"/>
      <c r="VC16" s="30"/>
      <c r="VD16" s="30"/>
      <c r="VE16" s="30"/>
      <c r="VF16" s="30"/>
      <c r="VG16" s="30"/>
      <c r="VH16" s="30"/>
      <c r="VI16" s="30"/>
      <c r="VJ16" s="30"/>
      <c r="VK16" s="30"/>
      <c r="VL16" s="30"/>
      <c r="VM16" s="30"/>
      <c r="VN16" s="30"/>
      <c r="VO16" s="30"/>
      <c r="VP16" s="30"/>
      <c r="VQ16" s="30"/>
      <c r="VR16" s="30"/>
      <c r="VS16" s="30"/>
      <c r="VT16" s="30"/>
      <c r="VU16" s="30"/>
      <c r="VV16" s="30"/>
      <c r="VW16" s="30"/>
      <c r="VX16" s="30"/>
      <c r="VY16" s="30"/>
      <c r="VZ16" s="30"/>
      <c r="WA16" s="30"/>
      <c r="WB16" s="30"/>
      <c r="WC16" s="30"/>
      <c r="WD16" s="30"/>
      <c r="WE16" s="30"/>
      <c r="WF16" s="30"/>
      <c r="WG16" s="30"/>
      <c r="WH16" s="30"/>
      <c r="WI16" s="30"/>
      <c r="WJ16" s="30"/>
      <c r="WK16" s="30"/>
      <c r="WL16" s="30"/>
      <c r="WM16" s="30"/>
      <c r="WN16" s="30"/>
      <c r="WO16" s="30"/>
      <c r="WP16" s="30"/>
      <c r="WQ16" s="30"/>
      <c r="WR16" s="30"/>
      <c r="WS16" s="30"/>
      <c r="WT16" s="30"/>
      <c r="WU16" s="30"/>
      <c r="WV16" s="30"/>
      <c r="WW16" s="30"/>
      <c r="WX16" s="30"/>
      <c r="WY16" s="30"/>
      <c r="WZ16" s="30"/>
      <c r="XA16" s="30"/>
      <c r="XB16" s="30"/>
      <c r="XC16" s="30"/>
      <c r="XD16" s="30"/>
      <c r="XE16" s="30"/>
      <c r="XF16" s="30"/>
      <c r="XG16" s="30"/>
      <c r="XH16" s="30"/>
      <c r="XI16" s="30"/>
      <c r="XJ16" s="30"/>
      <c r="XK16" s="30"/>
      <c r="XL16" s="30"/>
      <c r="XM16" s="30"/>
      <c r="XN16" s="30"/>
      <c r="XO16" s="30"/>
      <c r="XP16" s="30"/>
      <c r="XQ16" s="30"/>
      <c r="XR16" s="30"/>
      <c r="XS16" s="30"/>
      <c r="XT16" s="30"/>
      <c r="XU16" s="30"/>
      <c r="XV16" s="30"/>
      <c r="XW16" s="30"/>
      <c r="XX16" s="30"/>
      <c r="XY16" s="30"/>
      <c r="XZ16" s="30"/>
      <c r="YA16" s="30"/>
      <c r="YB16" s="30"/>
      <c r="YC16" s="30"/>
      <c r="YD16" s="30"/>
      <c r="YE16" s="30"/>
      <c r="YF16" s="30"/>
      <c r="YG16" s="30"/>
      <c r="YH16" s="30"/>
      <c r="YI16" s="30"/>
      <c r="YJ16" s="30"/>
      <c r="YK16" s="30"/>
      <c r="YL16" s="30"/>
      <c r="YM16" s="30"/>
      <c r="YN16" s="30"/>
      <c r="YO16" s="30"/>
      <c r="YP16" s="30"/>
      <c r="YQ16" s="30"/>
      <c r="YR16" s="30"/>
      <c r="YS16" s="30"/>
      <c r="YT16" s="30"/>
      <c r="YU16" s="30"/>
      <c r="YV16" s="30"/>
      <c r="YW16" s="30"/>
      <c r="YX16" s="30"/>
      <c r="YY16" s="30"/>
      <c r="YZ16" s="30"/>
      <c r="ZA16" s="30"/>
      <c r="ZB16" s="30"/>
      <c r="ZC16" s="30"/>
      <c r="ZD16" s="30"/>
      <c r="ZE16" s="30"/>
      <c r="ZF16" s="30"/>
      <c r="ZG16" s="30"/>
      <c r="ZH16" s="30"/>
      <c r="ZI16" s="30"/>
      <c r="ZJ16" s="30"/>
      <c r="ZK16" s="30"/>
      <c r="ZL16" s="30"/>
      <c r="ZM16" s="30"/>
      <c r="ZN16" s="30"/>
      <c r="ZO16" s="30"/>
      <c r="ZP16" s="30"/>
      <c r="ZQ16" s="30"/>
      <c r="ZR16" s="30"/>
      <c r="ZS16" s="30"/>
      <c r="ZT16" s="30"/>
      <c r="ZU16" s="30"/>
      <c r="ZV16" s="30"/>
      <c r="ZW16" s="30"/>
      <c r="ZX16" s="30"/>
      <c r="ZY16" s="30"/>
      <c r="ZZ16" s="30"/>
      <c r="AAA16" s="30"/>
      <c r="AAB16" s="30"/>
      <c r="AAC16" s="30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69"/>
      <c r="AKO16" s="69"/>
      <c r="AKP16" s="69"/>
      <c r="AKQ16" s="69"/>
      <c r="AKR16" s="69"/>
      <c r="AKS16" s="69"/>
      <c r="AKT16" s="69"/>
      <c r="AKU16" s="69"/>
      <c r="AKV16" s="69"/>
      <c r="AKW16" s="69"/>
      <c r="AKX16" s="69"/>
      <c r="AKY16" s="69"/>
      <c r="AKZ16" s="69"/>
      <c r="ALA16" s="69"/>
      <c r="ALB16" s="69"/>
      <c r="ALC16" s="69"/>
      <c r="ALD16" s="69"/>
      <c r="ALE16" s="69"/>
      <c r="ALF16" s="69"/>
      <c r="ALG16" s="69"/>
      <c r="ALH16" s="69"/>
      <c r="ALI16" s="69"/>
      <c r="ALJ16" s="69"/>
      <c r="ALK16" s="69"/>
      <c r="ALL16" s="69"/>
      <c r="ALM16" s="69"/>
      <c r="ALN16" s="69"/>
      <c r="ALO16" s="69"/>
      <c r="ALP16" s="69"/>
      <c r="ALQ16" s="69"/>
      <c r="ALR16" s="69"/>
      <c r="ALS16" s="69"/>
      <c r="ALT16" s="69"/>
      <c r="ALU16" s="69"/>
      <c r="ALV16" s="69"/>
      <c r="ALW16" s="69"/>
      <c r="ALX16" s="69"/>
      <c r="ALY16" s="69"/>
      <c r="ALZ16" s="69"/>
      <c r="AMA16" s="69"/>
      <c r="AMB16" s="69"/>
      <c r="AMC16" s="69"/>
      <c r="AMD16" s="69"/>
      <c r="AME16" s="69"/>
      <c r="AMF16" s="69"/>
      <c r="AMG16" s="69"/>
      <c r="AMH16" s="69"/>
      <c r="AMI16" s="69"/>
      <c r="AMJ16" s="69"/>
      <c r="AMK16" s="69"/>
      <c r="AML16" s="69"/>
      <c r="AMM16" s="69"/>
      <c r="AMN16" s="69"/>
      <c r="AMO16" s="69"/>
      <c r="AMP16" s="69"/>
      <c r="AMQ16" s="69"/>
      <c r="AMR16" s="69"/>
      <c r="AMS16" s="69"/>
      <c r="AMT16" s="69"/>
      <c r="AMU16" s="69"/>
      <c r="AMV16" s="69"/>
      <c r="AMW16" s="69"/>
      <c r="AMX16" s="69"/>
      <c r="AMY16" s="69"/>
      <c r="AMZ16" s="69"/>
      <c r="ANA16" s="69"/>
      <c r="ANB16" s="69"/>
      <c r="ANC16" s="69"/>
      <c r="AND16" s="69"/>
      <c r="ANE16" s="69"/>
      <c r="ANF16" s="69"/>
      <c r="ANG16" s="69"/>
      <c r="ANH16" s="69"/>
      <c r="ANI16" s="69"/>
      <c r="ANJ16" s="69"/>
      <c r="ANK16" s="69"/>
      <c r="ANL16" s="69"/>
      <c r="ANM16" s="69"/>
      <c r="ANN16" s="69"/>
      <c r="ANO16" s="69"/>
      <c r="ANP16" s="69"/>
      <c r="ANQ16" s="69"/>
      <c r="ANR16" s="69"/>
      <c r="ANS16" s="69"/>
      <c r="ANT16" s="69"/>
      <c r="ANU16" s="69"/>
      <c r="ANV16" s="69"/>
      <c r="ANW16" s="69"/>
      <c r="ANX16" s="69"/>
      <c r="ANY16" s="69"/>
      <c r="ANZ16" s="69"/>
      <c r="AOA16" s="69"/>
      <c r="AOB16" s="69"/>
      <c r="AOC16" s="69"/>
      <c r="AOD16" s="69"/>
      <c r="AOE16" s="69"/>
      <c r="AOF16" s="69"/>
      <c r="AOG16" s="69"/>
      <c r="AOH16" s="69"/>
      <c r="AOI16" s="69"/>
      <c r="AOJ16" s="69"/>
      <c r="AOK16" s="69"/>
      <c r="AOL16" s="69"/>
      <c r="AOM16" s="69"/>
      <c r="AON16" s="69"/>
      <c r="AOO16" s="69"/>
      <c r="AOP16" s="69"/>
      <c r="AOQ16" s="69"/>
      <c r="AOR16" s="69"/>
      <c r="AOS16" s="69"/>
      <c r="AOT16" s="69"/>
      <c r="AOU16" s="69"/>
      <c r="AOV16" s="69"/>
      <c r="AOW16" s="69"/>
      <c r="AOX16" s="69"/>
      <c r="AOY16" s="69"/>
      <c r="AOZ16" s="69"/>
      <c r="APA16" s="69"/>
      <c r="APB16" s="69"/>
      <c r="APC16" s="69"/>
      <c r="APD16" s="69"/>
      <c r="APE16" s="69"/>
      <c r="APF16" s="69"/>
      <c r="APG16" s="69"/>
      <c r="APH16" s="69"/>
      <c r="API16" s="69"/>
      <c r="APJ16" s="69"/>
      <c r="APK16" s="69"/>
      <c r="APL16" s="69"/>
      <c r="APM16" s="69"/>
      <c r="APN16" s="69"/>
      <c r="APO16" s="69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</row>
    <row r="17" spans="1:1243" x14ac:dyDescent="0.3">
      <c r="A17" s="44"/>
      <c r="B17" s="43"/>
      <c r="C17" s="44"/>
      <c r="D17" s="47"/>
      <c r="E17" s="54"/>
      <c r="F17" s="55"/>
      <c r="G17" s="45"/>
      <c r="H17" s="48"/>
      <c r="J17" s="54"/>
      <c r="K17" s="56"/>
      <c r="M17" s="38"/>
      <c r="N17" s="26"/>
      <c r="O17" s="26"/>
      <c r="Y17" s="59"/>
      <c r="Z17" s="59"/>
      <c r="AA17" s="48"/>
      <c r="AD17" s="26"/>
      <c r="AE17" s="26"/>
      <c r="AF17" s="4"/>
      <c r="AG17" s="4"/>
      <c r="AH17" s="4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2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68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30"/>
      <c r="SX17" s="30"/>
      <c r="SY17" s="30"/>
      <c r="SZ17" s="30"/>
      <c r="TA17" s="30"/>
      <c r="TB17" s="30"/>
      <c r="TC17" s="30"/>
      <c r="TD17" s="30"/>
      <c r="TE17" s="30"/>
      <c r="TF17" s="30"/>
      <c r="TG17" s="30"/>
      <c r="TH17" s="30"/>
      <c r="TI17" s="30"/>
      <c r="TJ17" s="30"/>
      <c r="TK17" s="30"/>
      <c r="TL17" s="30"/>
      <c r="TM17" s="30"/>
      <c r="TN17" s="30"/>
      <c r="TO17" s="30"/>
      <c r="TP17" s="30"/>
      <c r="TQ17" s="30"/>
      <c r="TR17" s="30"/>
      <c r="TS17" s="30"/>
      <c r="TT17" s="30"/>
      <c r="TU17" s="30"/>
      <c r="TV17" s="30"/>
      <c r="TW17" s="30"/>
      <c r="TX17" s="30"/>
      <c r="TY17" s="30"/>
      <c r="TZ17" s="30"/>
      <c r="UA17" s="30"/>
      <c r="UB17" s="30"/>
      <c r="UC17" s="30"/>
      <c r="UD17" s="30"/>
      <c r="UE17" s="30"/>
      <c r="UF17" s="30"/>
      <c r="UG17" s="30"/>
      <c r="UH17" s="30"/>
      <c r="UI17" s="30"/>
      <c r="UJ17" s="30"/>
      <c r="UK17" s="30"/>
      <c r="UL17" s="30"/>
      <c r="UM17" s="30"/>
      <c r="UN17" s="30"/>
      <c r="UO17" s="30"/>
      <c r="UP17" s="30"/>
      <c r="UQ17" s="30"/>
      <c r="UR17" s="30"/>
      <c r="US17" s="30"/>
      <c r="UT17" s="30"/>
      <c r="UU17" s="30"/>
      <c r="UV17" s="30"/>
      <c r="UW17" s="30"/>
      <c r="UX17" s="30"/>
      <c r="UY17" s="30"/>
      <c r="UZ17" s="17"/>
      <c r="VA17" s="17"/>
      <c r="VB17" s="30"/>
      <c r="VC17" s="30"/>
      <c r="VD17" s="30"/>
      <c r="VE17" s="30"/>
      <c r="VF17" s="30"/>
      <c r="VG17" s="30"/>
      <c r="VH17" s="30"/>
      <c r="VI17" s="30"/>
      <c r="VJ17" s="30"/>
      <c r="VK17" s="30"/>
      <c r="VL17" s="30"/>
      <c r="VM17" s="30"/>
      <c r="VN17" s="30"/>
      <c r="VO17" s="30"/>
      <c r="VP17" s="30"/>
      <c r="VQ17" s="30"/>
      <c r="VR17" s="30"/>
      <c r="VS17" s="30"/>
      <c r="VT17" s="30"/>
      <c r="VU17" s="30"/>
      <c r="VV17" s="30"/>
      <c r="VW17" s="30"/>
      <c r="VX17" s="30"/>
      <c r="VY17" s="30"/>
      <c r="VZ17" s="30"/>
      <c r="WA17" s="30"/>
      <c r="WB17" s="30"/>
      <c r="WC17" s="30"/>
      <c r="WD17" s="30"/>
      <c r="WE17" s="30"/>
      <c r="WF17" s="30"/>
      <c r="WG17" s="30"/>
      <c r="WH17" s="30"/>
      <c r="WI17" s="30"/>
      <c r="WJ17" s="30"/>
      <c r="WK17" s="30"/>
      <c r="WL17" s="30"/>
      <c r="WM17" s="30"/>
      <c r="WN17" s="30"/>
      <c r="WO17" s="30"/>
      <c r="WP17" s="30"/>
      <c r="WQ17" s="30"/>
      <c r="WR17" s="30"/>
      <c r="WS17" s="30"/>
      <c r="WT17" s="30"/>
      <c r="WU17" s="30"/>
      <c r="WV17" s="30"/>
      <c r="WW17" s="30"/>
      <c r="WX17" s="30"/>
      <c r="WY17" s="30"/>
      <c r="WZ17" s="30"/>
      <c r="XA17" s="30"/>
      <c r="XB17" s="30"/>
      <c r="XC17" s="30"/>
      <c r="XD17" s="30"/>
      <c r="XE17" s="30"/>
      <c r="XF17" s="30"/>
      <c r="XG17" s="30"/>
      <c r="XH17" s="30"/>
      <c r="XI17" s="30"/>
      <c r="XJ17" s="30"/>
      <c r="XK17" s="30"/>
      <c r="XL17" s="30"/>
      <c r="XM17" s="30"/>
      <c r="XN17" s="30"/>
      <c r="XO17" s="30"/>
      <c r="XP17" s="30"/>
      <c r="XQ17" s="30"/>
      <c r="XR17" s="30"/>
      <c r="XS17" s="30"/>
      <c r="XT17" s="30"/>
      <c r="XU17" s="30"/>
      <c r="XV17" s="30"/>
      <c r="XW17" s="30"/>
      <c r="XX17" s="30"/>
      <c r="XY17" s="30"/>
      <c r="XZ17" s="30"/>
      <c r="YA17" s="30"/>
      <c r="YB17" s="30"/>
      <c r="YC17" s="30"/>
      <c r="YD17" s="30"/>
      <c r="YE17" s="30"/>
      <c r="YF17" s="30"/>
      <c r="YG17" s="30"/>
      <c r="YH17" s="30"/>
      <c r="YI17" s="30"/>
      <c r="YJ17" s="30"/>
      <c r="YK17" s="30"/>
      <c r="YL17" s="30"/>
      <c r="YM17" s="30"/>
      <c r="YN17" s="30"/>
      <c r="YO17" s="30"/>
      <c r="YP17" s="30"/>
      <c r="YQ17" s="30"/>
      <c r="YR17" s="30"/>
      <c r="YS17" s="30"/>
      <c r="YT17" s="30"/>
      <c r="YU17" s="30"/>
      <c r="YV17" s="30"/>
      <c r="YW17" s="30"/>
      <c r="YX17" s="30"/>
      <c r="YY17" s="30"/>
      <c r="YZ17" s="30"/>
      <c r="ZA17" s="30"/>
      <c r="ZB17" s="30"/>
      <c r="ZC17" s="30"/>
      <c r="ZD17" s="30"/>
      <c r="ZE17" s="30"/>
      <c r="ZF17" s="30"/>
      <c r="ZG17" s="30"/>
      <c r="ZH17" s="30"/>
      <c r="ZI17" s="30"/>
      <c r="ZJ17" s="30"/>
      <c r="ZK17" s="30"/>
      <c r="ZL17" s="30"/>
      <c r="ZM17" s="30"/>
      <c r="ZN17" s="30"/>
      <c r="ZO17" s="30"/>
      <c r="ZP17" s="30"/>
      <c r="ZQ17" s="30"/>
      <c r="ZR17" s="30"/>
      <c r="ZS17" s="30"/>
      <c r="ZT17" s="30"/>
      <c r="ZU17" s="30"/>
      <c r="ZV17" s="30"/>
      <c r="ZW17" s="30"/>
      <c r="ZX17" s="30"/>
      <c r="ZY17" s="30"/>
      <c r="ZZ17" s="30"/>
      <c r="AAA17" s="30"/>
      <c r="AAB17" s="30"/>
      <c r="AAC17" s="30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72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Long-Term Leases</vt:lpstr>
      <vt:lpstr>Rent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Burton</dc:creator>
  <cp:lastModifiedBy>David Polnick</cp:lastModifiedBy>
  <dcterms:created xsi:type="dcterms:W3CDTF">2019-02-16T16:47:00Z</dcterms:created>
  <dcterms:modified xsi:type="dcterms:W3CDTF">2026-10-11T01:51:05Z</dcterms:modified>
</cp:coreProperties>
</file>