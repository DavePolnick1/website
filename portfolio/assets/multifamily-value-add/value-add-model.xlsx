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11. Multifamily Value Add Model\"/>
    </mc:Choice>
  </mc:AlternateContent>
  <xr:revisionPtr revIDLastSave="0" documentId="13_ncr:1_{5F301EB4-2E60-4248-A7C8-60F83EF18A4B}" xr6:coauthVersionLast="47" xr6:coauthVersionMax="47" xr10:uidLastSave="{00000000-0000-0000-0000-000000000000}"/>
  <bookViews>
    <workbookView xWindow="-108" yWindow="-108" windowWidth="23256" windowHeight="12456" xr2:uid="{3807EC37-A7F2-45E5-B16E-C78D95AFDE3B}"/>
  </bookViews>
  <sheets>
    <sheet name="Underwriting" sheetId="1" r:id="rId1"/>
  </sheets>
  <definedNames>
    <definedName name="Units">Underwriting!$I$6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15" i="1"/>
  <c r="I16" i="1"/>
  <c r="I14" i="1"/>
  <c r="I13" i="1"/>
  <c r="I12" i="1"/>
  <c r="I11" i="1"/>
  <c r="E17" i="1"/>
  <c r="E16" i="1"/>
  <c r="E15" i="1"/>
  <c r="E14" i="1"/>
  <c r="E12" i="1"/>
  <c r="E13" i="1"/>
  <c r="E11" i="1"/>
  <c r="L177" i="1"/>
  <c r="I169" i="1"/>
  <c r="L170" i="1"/>
  <c r="I147" i="1"/>
  <c r="H147" i="1" s="1"/>
  <c r="I146" i="1"/>
  <c r="H146" i="1" s="1"/>
  <c r="C145" i="1"/>
  <c r="C147" i="1" s="1"/>
  <c r="L138" i="1"/>
  <c r="L130" i="1"/>
  <c r="B123" i="1"/>
  <c r="B122" i="1"/>
  <c r="E84" i="1"/>
  <c r="E83" i="1"/>
  <c r="I76" i="1"/>
  <c r="H76" i="1"/>
  <c r="H77" i="1"/>
  <c r="I77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0" i="1"/>
  <c r="H60" i="1"/>
  <c r="D56" i="1"/>
  <c r="F56" i="1" s="1"/>
  <c r="H55" i="1"/>
  <c r="H54" i="1"/>
  <c r="H53" i="1"/>
  <c r="H52" i="1"/>
  <c r="G55" i="1"/>
  <c r="G54" i="1"/>
  <c r="G53" i="1"/>
  <c r="G52" i="1"/>
  <c r="D45" i="1"/>
  <c r="I45" i="1"/>
  <c r="BH47" i="1" s="1"/>
  <c r="BH48" i="1" s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31" i="1"/>
  <c r="M26" i="1"/>
  <c r="I46" i="1"/>
  <c r="L32" i="1"/>
  <c r="L33" i="1" s="1"/>
  <c r="L27" i="1"/>
  <c r="L28" i="1" s="1"/>
  <c r="L21" i="1"/>
  <c r="I41" i="1"/>
  <c r="D84" i="1" s="1"/>
  <c r="I123" i="1" s="1"/>
  <c r="L123" i="1" s="1"/>
  <c r="I40" i="1"/>
  <c r="D83" i="1" s="1"/>
  <c r="I122" i="1" s="1"/>
  <c r="L122" i="1" s="1"/>
  <c r="L124" i="1" s="1"/>
  <c r="I31" i="1"/>
  <c r="I33" i="1" s="1"/>
  <c r="I26" i="1"/>
  <c r="I28" i="1" s="1"/>
  <c r="I22" i="1"/>
  <c r="I23" i="1" s="1"/>
  <c r="L171" i="1" l="1"/>
  <c r="L178" i="1"/>
  <c r="I124" i="1"/>
  <c r="I83" i="1"/>
  <c r="I84" i="1"/>
  <c r="I53" i="1"/>
  <c r="I54" i="1"/>
  <c r="H83" i="1"/>
  <c r="H85" i="1" s="1"/>
  <c r="I55" i="1"/>
  <c r="G56" i="1"/>
  <c r="H56" i="1"/>
  <c r="H58" i="1" s="1"/>
  <c r="H59" i="1" s="1"/>
  <c r="C56" i="1"/>
  <c r="E56" i="1"/>
  <c r="I52" i="1"/>
  <c r="H61" i="1"/>
  <c r="I36" i="1"/>
  <c r="L36" i="1" s="1"/>
  <c r="L22" i="1"/>
  <c r="L23" i="1" s="1"/>
  <c r="L35" i="1" s="1"/>
  <c r="L129" i="1" s="1"/>
  <c r="AC47" i="1"/>
  <c r="AC48" i="1" s="1"/>
  <c r="AD47" i="1"/>
  <c r="AD48" i="1" s="1"/>
  <c r="AF47" i="1"/>
  <c r="AF48" i="1" s="1"/>
  <c r="AZ47" i="1"/>
  <c r="AZ48" i="1" s="1"/>
  <c r="BA47" i="1"/>
  <c r="BA48" i="1" s="1"/>
  <c r="BB47" i="1"/>
  <c r="BB48" i="1" s="1"/>
  <c r="AE47" i="1"/>
  <c r="AE48" i="1" s="1"/>
  <c r="AX47" i="1"/>
  <c r="AX48" i="1" s="1"/>
  <c r="AY47" i="1"/>
  <c r="AY48" i="1" s="1"/>
  <c r="AH47" i="1"/>
  <c r="AH48" i="1" s="1"/>
  <c r="O47" i="1"/>
  <c r="O48" i="1" s="1"/>
  <c r="AJ47" i="1"/>
  <c r="AJ48" i="1" s="1"/>
  <c r="P47" i="1"/>
  <c r="P48" i="1" s="1"/>
  <c r="AK47" i="1"/>
  <c r="AK48" i="1" s="1"/>
  <c r="BD47" i="1"/>
  <c r="BD48" i="1" s="1"/>
  <c r="Q47" i="1"/>
  <c r="Q48" i="1" s="1"/>
  <c r="AL47" i="1"/>
  <c r="AL48" i="1" s="1"/>
  <c r="S47" i="1"/>
  <c r="S48" i="1" s="1"/>
  <c r="L47" i="1"/>
  <c r="L48" i="1" s="1"/>
  <c r="R47" i="1"/>
  <c r="R48" i="1" s="1"/>
  <c r="N47" i="1"/>
  <c r="N48" i="1" s="1"/>
  <c r="AS47" i="1"/>
  <c r="AS48" i="1" s="1"/>
  <c r="AT47" i="1"/>
  <c r="AT48" i="1" s="1"/>
  <c r="AV47" i="1"/>
  <c r="AV48" i="1" s="1"/>
  <c r="AG47" i="1"/>
  <c r="AG48" i="1" s="1"/>
  <c r="AI47" i="1"/>
  <c r="AI48" i="1" s="1"/>
  <c r="AN47" i="1"/>
  <c r="AN48" i="1" s="1"/>
  <c r="T47" i="1"/>
  <c r="T48" i="1" s="1"/>
  <c r="U47" i="1"/>
  <c r="U48" i="1" s="1"/>
  <c r="AU47" i="1"/>
  <c r="AU48" i="1" s="1"/>
  <c r="V47" i="1"/>
  <c r="V48" i="1" s="1"/>
  <c r="X47" i="1"/>
  <c r="X48" i="1" s="1"/>
  <c r="AW47" i="1"/>
  <c r="AW48" i="1" s="1"/>
  <c r="W47" i="1"/>
  <c r="W48" i="1" s="1"/>
  <c r="AM47" i="1"/>
  <c r="AM48" i="1" s="1"/>
  <c r="BC47" i="1"/>
  <c r="BC48" i="1" s="1"/>
  <c r="Y47" i="1"/>
  <c r="Y48" i="1" s="1"/>
  <c r="AO47" i="1"/>
  <c r="AO48" i="1" s="1"/>
  <c r="BE47" i="1"/>
  <c r="BE48" i="1" s="1"/>
  <c r="I35" i="1"/>
  <c r="Z47" i="1"/>
  <c r="Z48" i="1" s="1"/>
  <c r="AP47" i="1"/>
  <c r="AP48" i="1" s="1"/>
  <c r="BF47" i="1"/>
  <c r="BF48" i="1" s="1"/>
  <c r="M47" i="1"/>
  <c r="M48" i="1" s="1"/>
  <c r="AA47" i="1"/>
  <c r="AA48" i="1" s="1"/>
  <c r="AQ47" i="1"/>
  <c r="AQ48" i="1" s="1"/>
  <c r="BG47" i="1"/>
  <c r="BG48" i="1" s="1"/>
  <c r="AB47" i="1"/>
  <c r="AB48" i="1" s="1"/>
  <c r="AR47" i="1"/>
  <c r="AR48" i="1" s="1"/>
  <c r="K26" i="1"/>
  <c r="K31" i="1"/>
  <c r="M3" i="1"/>
  <c r="M82" i="1" s="1"/>
  <c r="L2" i="1"/>
  <c r="M4" i="1"/>
  <c r="M123" i="1" l="1"/>
  <c r="M122" i="1"/>
  <c r="I85" i="1"/>
  <c r="M53" i="1"/>
  <c r="M52" i="1"/>
  <c r="M54" i="1"/>
  <c r="I56" i="1"/>
  <c r="I61" i="1" s="1"/>
  <c r="M55" i="1"/>
  <c r="L37" i="1"/>
  <c r="H62" i="1"/>
  <c r="I37" i="1"/>
  <c r="I42" i="1" s="1"/>
  <c r="I43" i="1" s="1"/>
  <c r="N4" i="1"/>
  <c r="M21" i="1"/>
  <c r="M36" i="1"/>
  <c r="M27" i="1"/>
  <c r="M22" i="1"/>
  <c r="M32" i="1"/>
  <c r="N3" i="1"/>
  <c r="N82" i="1" s="1"/>
  <c r="M2" i="1"/>
  <c r="L40" i="1" l="1"/>
  <c r="L42" i="1" s="1"/>
  <c r="L41" i="1" s="1"/>
  <c r="L137" i="1" s="1"/>
  <c r="I58" i="1"/>
  <c r="I59" i="1" s="1"/>
  <c r="I62" i="1" s="1"/>
  <c r="I63" i="1" s="1"/>
  <c r="I64" i="1" s="1"/>
  <c r="M124" i="1"/>
  <c r="O4" i="1"/>
  <c r="O22" i="1" s="1"/>
  <c r="N123" i="1"/>
  <c r="N122" i="1"/>
  <c r="N124" i="1" s="1"/>
  <c r="O53" i="1"/>
  <c r="O55" i="1"/>
  <c r="N2" i="1"/>
  <c r="M77" i="1"/>
  <c r="M74" i="1"/>
  <c r="M73" i="1"/>
  <c r="M72" i="1"/>
  <c r="M71" i="1"/>
  <c r="M70" i="1"/>
  <c r="M69" i="1"/>
  <c r="M68" i="1"/>
  <c r="M67" i="1"/>
  <c r="M66" i="1"/>
  <c r="M60" i="1"/>
  <c r="M76" i="1"/>
  <c r="N52" i="1"/>
  <c r="N54" i="1"/>
  <c r="N55" i="1"/>
  <c r="N53" i="1"/>
  <c r="M56" i="1"/>
  <c r="H63" i="1"/>
  <c r="H64" i="1" s="1"/>
  <c r="H75" i="1" s="1"/>
  <c r="H78" i="1" s="1"/>
  <c r="H80" i="1" s="1"/>
  <c r="H87" i="1" s="1"/>
  <c r="O32" i="1"/>
  <c r="O33" i="1" s="1"/>
  <c r="M28" i="1"/>
  <c r="M33" i="1"/>
  <c r="M23" i="1"/>
  <c r="N36" i="1"/>
  <c r="N32" i="1"/>
  <c r="N33" i="1" s="1"/>
  <c r="N22" i="1"/>
  <c r="N27" i="1"/>
  <c r="N28" i="1" s="1"/>
  <c r="N21" i="1"/>
  <c r="O3" i="1"/>
  <c r="O82" i="1" s="1"/>
  <c r="O21" i="1" l="1"/>
  <c r="P4" i="1"/>
  <c r="P52" i="1" s="1"/>
  <c r="O27" i="1"/>
  <c r="O28" i="1" s="1"/>
  <c r="O36" i="1"/>
  <c r="O2" i="1"/>
  <c r="O71" i="1" s="1"/>
  <c r="O54" i="1"/>
  <c r="O52" i="1"/>
  <c r="P123" i="1"/>
  <c r="P122" i="1"/>
  <c r="O122" i="1"/>
  <c r="O123" i="1"/>
  <c r="O76" i="1"/>
  <c r="P53" i="1"/>
  <c r="M61" i="1"/>
  <c r="M58" i="1"/>
  <c r="M57" i="1"/>
  <c r="N77" i="1"/>
  <c r="N74" i="1"/>
  <c r="N73" i="1"/>
  <c r="N72" i="1"/>
  <c r="N71" i="1"/>
  <c r="N70" i="1"/>
  <c r="N69" i="1"/>
  <c r="N68" i="1"/>
  <c r="N67" i="1"/>
  <c r="N66" i="1"/>
  <c r="N60" i="1"/>
  <c r="N76" i="1"/>
  <c r="I75" i="1"/>
  <c r="I78" i="1" s="1"/>
  <c r="I80" i="1" s="1"/>
  <c r="I87" i="1" s="1"/>
  <c r="L43" i="1"/>
  <c r="N56" i="1"/>
  <c r="P36" i="1"/>
  <c r="P22" i="1"/>
  <c r="O23" i="1"/>
  <c r="M35" i="1"/>
  <c r="N23" i="1"/>
  <c r="N35" i="1" s="1"/>
  <c r="P3" i="1"/>
  <c r="P82" i="1" s="1"/>
  <c r="Q4" i="1"/>
  <c r="P2" i="1"/>
  <c r="P32" i="1" l="1"/>
  <c r="P33" i="1" s="1"/>
  <c r="O35" i="1"/>
  <c r="O129" i="1" s="1"/>
  <c r="P21" i="1"/>
  <c r="O37" i="1"/>
  <c r="P27" i="1"/>
  <c r="P28" i="1" s="1"/>
  <c r="P54" i="1"/>
  <c r="P55" i="1"/>
  <c r="O56" i="1"/>
  <c r="O61" i="1" s="1"/>
  <c r="P124" i="1"/>
  <c r="M59" i="1"/>
  <c r="M62" i="1" s="1"/>
  <c r="M63" i="1" s="1"/>
  <c r="M64" i="1" s="1"/>
  <c r="O66" i="1"/>
  <c r="O60" i="1"/>
  <c r="M37" i="1"/>
  <c r="M40" i="1" s="1"/>
  <c r="M129" i="1"/>
  <c r="O68" i="1"/>
  <c r="O69" i="1"/>
  <c r="O72" i="1"/>
  <c r="O74" i="1"/>
  <c r="N37" i="1"/>
  <c r="N129" i="1"/>
  <c r="O73" i="1"/>
  <c r="O77" i="1"/>
  <c r="O70" i="1"/>
  <c r="O67" i="1"/>
  <c r="O124" i="1"/>
  <c r="Q122" i="1"/>
  <c r="Q123" i="1"/>
  <c r="P56" i="1"/>
  <c r="P58" i="1" s="1"/>
  <c r="M75" i="1"/>
  <c r="M78" i="1" s="1"/>
  <c r="M80" i="1" s="1"/>
  <c r="M130" i="1" s="1"/>
  <c r="Q54" i="1"/>
  <c r="Q53" i="1"/>
  <c r="Q55" i="1"/>
  <c r="Q52" i="1"/>
  <c r="N57" i="1"/>
  <c r="N61" i="1"/>
  <c r="N58" i="1"/>
  <c r="P77" i="1"/>
  <c r="P74" i="1"/>
  <c r="P73" i="1"/>
  <c r="P72" i="1"/>
  <c r="P71" i="1"/>
  <c r="P70" i="1"/>
  <c r="P69" i="1"/>
  <c r="P68" i="1"/>
  <c r="P67" i="1"/>
  <c r="P66" i="1"/>
  <c r="P60" i="1"/>
  <c r="P76" i="1"/>
  <c r="P23" i="1"/>
  <c r="Q36" i="1"/>
  <c r="Q22" i="1"/>
  <c r="Q27" i="1"/>
  <c r="Q28" i="1" s="1"/>
  <c r="Q32" i="1"/>
  <c r="Q21" i="1"/>
  <c r="Q2" i="1"/>
  <c r="R4" i="1"/>
  <c r="Q3" i="1"/>
  <c r="Q82" i="1" s="1"/>
  <c r="P35" i="1" l="1"/>
  <c r="P37" i="1" s="1"/>
  <c r="Q56" i="1"/>
  <c r="Q61" i="1" s="1"/>
  <c r="O57" i="1"/>
  <c r="O58" i="1"/>
  <c r="N59" i="1"/>
  <c r="N62" i="1" s="1"/>
  <c r="P129" i="1"/>
  <c r="R123" i="1"/>
  <c r="R122" i="1"/>
  <c r="Q124" i="1"/>
  <c r="P57" i="1"/>
  <c r="P59" i="1" s="1"/>
  <c r="P61" i="1"/>
  <c r="O59" i="1"/>
  <c r="O62" i="1" s="1"/>
  <c r="O63" i="1" s="1"/>
  <c r="O64" i="1" s="1"/>
  <c r="O75" i="1" s="1"/>
  <c r="O78" i="1" s="1"/>
  <c r="O80" i="1" s="1"/>
  <c r="O130" i="1" s="1"/>
  <c r="N63" i="1"/>
  <c r="N64" i="1" s="1"/>
  <c r="R52" i="1"/>
  <c r="R53" i="1"/>
  <c r="R54" i="1"/>
  <c r="R55" i="1"/>
  <c r="Q77" i="1"/>
  <c r="Q74" i="1"/>
  <c r="Q73" i="1"/>
  <c r="Q72" i="1"/>
  <c r="Q71" i="1"/>
  <c r="Q70" i="1"/>
  <c r="Q69" i="1"/>
  <c r="Q68" i="1"/>
  <c r="Q67" i="1"/>
  <c r="Q66" i="1"/>
  <c r="Q60" i="1"/>
  <c r="Q76" i="1"/>
  <c r="M42" i="1"/>
  <c r="M41" i="1" s="1"/>
  <c r="M137" i="1" s="1"/>
  <c r="M83" i="1"/>
  <c r="Q57" i="1"/>
  <c r="Q58" i="1"/>
  <c r="Q23" i="1"/>
  <c r="Q33" i="1"/>
  <c r="N40" i="1"/>
  <c r="O40" i="1" s="1"/>
  <c r="R36" i="1"/>
  <c r="R22" i="1"/>
  <c r="R21" i="1"/>
  <c r="R27" i="1"/>
  <c r="R32" i="1"/>
  <c r="R33" i="1" s="1"/>
  <c r="S4" i="1"/>
  <c r="R2" i="1"/>
  <c r="R3" i="1"/>
  <c r="R82" i="1" s="1"/>
  <c r="Q35" i="1" l="1"/>
  <c r="R124" i="1"/>
  <c r="Q37" i="1"/>
  <c r="Q129" i="1"/>
  <c r="S123" i="1"/>
  <c r="S122" i="1"/>
  <c r="P62" i="1"/>
  <c r="P63" i="1" s="1"/>
  <c r="P64" i="1" s="1"/>
  <c r="P75" i="1" s="1"/>
  <c r="P78" i="1" s="1"/>
  <c r="P80" i="1" s="1"/>
  <c r="P130" i="1" s="1"/>
  <c r="Q59" i="1"/>
  <c r="Q62" i="1" s="1"/>
  <c r="N75" i="1"/>
  <c r="N78" i="1" s="1"/>
  <c r="N80" i="1" s="1"/>
  <c r="N130" i="1" s="1"/>
  <c r="M84" i="1"/>
  <c r="M85" i="1" s="1"/>
  <c r="M87" i="1" s="1"/>
  <c r="M138" i="1" s="1"/>
  <c r="N83" i="1"/>
  <c r="O83" i="1"/>
  <c r="R77" i="1"/>
  <c r="R74" i="1"/>
  <c r="R73" i="1"/>
  <c r="R72" i="1"/>
  <c r="R71" i="1"/>
  <c r="R70" i="1"/>
  <c r="R69" i="1"/>
  <c r="R68" i="1"/>
  <c r="R67" i="1"/>
  <c r="R66" i="1"/>
  <c r="R60" i="1"/>
  <c r="R76" i="1"/>
  <c r="R56" i="1"/>
  <c r="S52" i="1"/>
  <c r="S55" i="1"/>
  <c r="S53" i="1"/>
  <c r="S54" i="1"/>
  <c r="P83" i="1"/>
  <c r="M43" i="1"/>
  <c r="R23" i="1"/>
  <c r="N42" i="1"/>
  <c r="O42" i="1" s="1"/>
  <c r="R28" i="1"/>
  <c r="S21" i="1"/>
  <c r="S32" i="1"/>
  <c r="S33" i="1" s="1"/>
  <c r="S36" i="1"/>
  <c r="S27" i="1"/>
  <c r="S28" i="1" s="1"/>
  <c r="S22" i="1"/>
  <c r="P40" i="1"/>
  <c r="S2" i="1"/>
  <c r="T4" i="1"/>
  <c r="S3" i="1"/>
  <c r="S82" i="1" s="1"/>
  <c r="S124" i="1" l="1"/>
  <c r="T123" i="1"/>
  <c r="T122" i="1"/>
  <c r="Q63" i="1"/>
  <c r="Q64" i="1" s="1"/>
  <c r="S56" i="1"/>
  <c r="R57" i="1"/>
  <c r="R61" i="1"/>
  <c r="R58" i="1"/>
  <c r="T55" i="1"/>
  <c r="T54" i="1"/>
  <c r="T52" i="1"/>
  <c r="T53" i="1"/>
  <c r="S77" i="1"/>
  <c r="S74" i="1"/>
  <c r="S73" i="1"/>
  <c r="S72" i="1"/>
  <c r="S71" i="1"/>
  <c r="S70" i="1"/>
  <c r="S69" i="1"/>
  <c r="S68" i="1"/>
  <c r="S67" i="1"/>
  <c r="S66" i="1"/>
  <c r="S60" i="1"/>
  <c r="S76" i="1"/>
  <c r="R35" i="1"/>
  <c r="S23" i="1"/>
  <c r="S35" i="1" s="1"/>
  <c r="N41" i="1"/>
  <c r="N137" i="1" s="1"/>
  <c r="T32" i="1"/>
  <c r="T33" i="1" s="1"/>
  <c r="T21" i="1"/>
  <c r="T27" i="1"/>
  <c r="T28" i="1" s="1"/>
  <c r="T22" i="1"/>
  <c r="T36" i="1"/>
  <c r="Q40" i="1"/>
  <c r="P42" i="1"/>
  <c r="T2" i="1"/>
  <c r="U4" i="1"/>
  <c r="T3" i="1"/>
  <c r="T82" i="1" s="1"/>
  <c r="T124" i="1" l="1"/>
  <c r="S37" i="1"/>
  <c r="S129" i="1"/>
  <c r="R37" i="1"/>
  <c r="R40" i="1" s="1"/>
  <c r="R129" i="1"/>
  <c r="U123" i="1"/>
  <c r="U122" i="1"/>
  <c r="U124" i="1" s="1"/>
  <c r="R59" i="1"/>
  <c r="R62" i="1" s="1"/>
  <c r="R63" i="1" s="1"/>
  <c r="T77" i="1"/>
  <c r="T74" i="1"/>
  <c r="T73" i="1"/>
  <c r="T72" i="1"/>
  <c r="T71" i="1"/>
  <c r="T70" i="1"/>
  <c r="T69" i="1"/>
  <c r="T68" i="1"/>
  <c r="T67" i="1"/>
  <c r="T66" i="1"/>
  <c r="T60" i="1"/>
  <c r="T76" i="1"/>
  <c r="Q83" i="1"/>
  <c r="U54" i="1"/>
  <c r="U52" i="1"/>
  <c r="U53" i="1"/>
  <c r="U55" i="1"/>
  <c r="T56" i="1"/>
  <c r="Q75" i="1"/>
  <c r="Q78" i="1" s="1"/>
  <c r="Q80" i="1" s="1"/>
  <c r="Q130" i="1" s="1"/>
  <c r="S57" i="1"/>
  <c r="S61" i="1"/>
  <c r="S58" i="1"/>
  <c r="N43" i="1"/>
  <c r="N84" i="1"/>
  <c r="N85" i="1" s="1"/>
  <c r="N87" i="1" s="1"/>
  <c r="N138" i="1" s="1"/>
  <c r="Q42" i="1"/>
  <c r="T23" i="1"/>
  <c r="T35" i="1" s="1"/>
  <c r="U32" i="1"/>
  <c r="U33" i="1" s="1"/>
  <c r="U27" i="1"/>
  <c r="U28" i="1" s="1"/>
  <c r="U21" i="1"/>
  <c r="U22" i="1"/>
  <c r="U36" i="1"/>
  <c r="O41" i="1"/>
  <c r="O84" i="1" s="1"/>
  <c r="O85" i="1" s="1"/>
  <c r="O87" i="1" s="1"/>
  <c r="O138" i="1" s="1"/>
  <c r="U2" i="1"/>
  <c r="V4" i="1"/>
  <c r="U3" i="1"/>
  <c r="U82" i="1" s="1"/>
  <c r="T37" i="1" l="1"/>
  <c r="T129" i="1"/>
  <c r="O43" i="1"/>
  <c r="O137" i="1"/>
  <c r="V122" i="1"/>
  <c r="V123" i="1"/>
  <c r="R64" i="1"/>
  <c r="S59" i="1"/>
  <c r="S62" i="1" s="1"/>
  <c r="S63" i="1" s="1"/>
  <c r="S64" i="1" s="1"/>
  <c r="U77" i="1"/>
  <c r="U74" i="1"/>
  <c r="U73" i="1"/>
  <c r="U72" i="1"/>
  <c r="U71" i="1"/>
  <c r="U70" i="1"/>
  <c r="U69" i="1"/>
  <c r="U68" i="1"/>
  <c r="U67" i="1"/>
  <c r="U66" i="1"/>
  <c r="U60" i="1"/>
  <c r="U76" i="1"/>
  <c r="V53" i="1"/>
  <c r="V52" i="1"/>
  <c r="V54" i="1"/>
  <c r="V55" i="1"/>
  <c r="R75" i="1"/>
  <c r="R78" i="1" s="1"/>
  <c r="R80" i="1" s="1"/>
  <c r="R130" i="1" s="1"/>
  <c r="T57" i="1"/>
  <c r="T61" i="1"/>
  <c r="T58" i="1"/>
  <c r="U56" i="1"/>
  <c r="S40" i="1"/>
  <c r="R83" i="1"/>
  <c r="U23" i="1"/>
  <c r="U35" i="1" s="1"/>
  <c r="V2" i="1"/>
  <c r="V36" i="1"/>
  <c r="V32" i="1"/>
  <c r="V33" i="1" s="1"/>
  <c r="V27" i="1"/>
  <c r="V28" i="1" s="1"/>
  <c r="V22" i="1"/>
  <c r="V21" i="1"/>
  <c r="R42" i="1"/>
  <c r="P41" i="1"/>
  <c r="W4" i="1"/>
  <c r="V3" i="1"/>
  <c r="V82" i="1" s="1"/>
  <c r="U37" i="1" l="1"/>
  <c r="U129" i="1"/>
  <c r="P84" i="1"/>
  <c r="P85" i="1" s="1"/>
  <c r="P87" i="1" s="1"/>
  <c r="P138" i="1" s="1"/>
  <c r="P137" i="1"/>
  <c r="W2" i="1"/>
  <c r="W71" i="1" s="1"/>
  <c r="W123" i="1"/>
  <c r="W122" i="1"/>
  <c r="W124" i="1" s="1"/>
  <c r="V124" i="1"/>
  <c r="T59" i="1"/>
  <c r="T62" i="1" s="1"/>
  <c r="T63" i="1" s="1"/>
  <c r="T64" i="1" s="1"/>
  <c r="S83" i="1"/>
  <c r="X4" i="1"/>
  <c r="W55" i="1"/>
  <c r="W52" i="1"/>
  <c r="W54" i="1"/>
  <c r="W53" i="1"/>
  <c r="P43" i="1"/>
  <c r="V56" i="1"/>
  <c r="V60" i="1"/>
  <c r="V72" i="1"/>
  <c r="V73" i="1"/>
  <c r="V71" i="1"/>
  <c r="V74" i="1"/>
  <c r="V77" i="1"/>
  <c r="V70" i="1"/>
  <c r="V69" i="1"/>
  <c r="V68" i="1"/>
  <c r="V66" i="1"/>
  <c r="V67" i="1"/>
  <c r="V76" i="1"/>
  <c r="S42" i="1"/>
  <c r="S75" i="1"/>
  <c r="S78" i="1" s="1"/>
  <c r="S80" i="1" s="1"/>
  <c r="S130" i="1" s="1"/>
  <c r="U57" i="1"/>
  <c r="U61" i="1"/>
  <c r="U58" i="1"/>
  <c r="T40" i="1"/>
  <c r="T83" i="1" s="1"/>
  <c r="V23" i="1"/>
  <c r="V35" i="1" s="1"/>
  <c r="Q41" i="1"/>
  <c r="Q137" i="1" s="1"/>
  <c r="W22" i="1"/>
  <c r="W32" i="1"/>
  <c r="W33" i="1" s="1"/>
  <c r="W27" i="1"/>
  <c r="W28" i="1" s="1"/>
  <c r="W21" i="1"/>
  <c r="W36" i="1"/>
  <c r="W3" i="1"/>
  <c r="W82" i="1" s="1"/>
  <c r="W69" i="1" l="1"/>
  <c r="W70" i="1"/>
  <c r="W72" i="1"/>
  <c r="W76" i="1"/>
  <c r="W74" i="1"/>
  <c r="W66" i="1"/>
  <c r="W73" i="1"/>
  <c r="W77" i="1"/>
  <c r="W67" i="1"/>
  <c r="V37" i="1"/>
  <c r="V129" i="1"/>
  <c r="W60" i="1"/>
  <c r="W68" i="1"/>
  <c r="X27" i="1"/>
  <c r="X28" i="1" s="1"/>
  <c r="X123" i="1"/>
  <c r="X122" i="1"/>
  <c r="U40" i="1"/>
  <c r="U83" i="1" s="1"/>
  <c r="X2" i="1"/>
  <c r="X74" i="1" s="1"/>
  <c r="Y4" i="1"/>
  <c r="X36" i="1"/>
  <c r="X21" i="1"/>
  <c r="X22" i="1"/>
  <c r="X32" i="1"/>
  <c r="X33" i="1" s="1"/>
  <c r="T42" i="1"/>
  <c r="U59" i="1"/>
  <c r="U62" i="1" s="1"/>
  <c r="U63" i="1" s="1"/>
  <c r="U64" i="1" s="1"/>
  <c r="T75" i="1"/>
  <c r="T78" i="1" s="1"/>
  <c r="T80" i="1" s="1"/>
  <c r="T130" i="1" s="1"/>
  <c r="Q43" i="1"/>
  <c r="V57" i="1"/>
  <c r="V61" i="1"/>
  <c r="V58" i="1"/>
  <c r="X52" i="1"/>
  <c r="X55" i="1"/>
  <c r="X54" i="1"/>
  <c r="X53" i="1"/>
  <c r="W56" i="1"/>
  <c r="Q84" i="1"/>
  <c r="Q85" i="1" s="1"/>
  <c r="Q87" i="1" s="1"/>
  <c r="Q138" i="1" s="1"/>
  <c r="W23" i="1"/>
  <c r="W35" i="1" s="1"/>
  <c r="R41" i="1"/>
  <c r="X3" i="1"/>
  <c r="X82" i="1" s="1"/>
  <c r="Y55" i="1" l="1"/>
  <c r="Y54" i="1"/>
  <c r="S41" i="1"/>
  <c r="R137" i="1"/>
  <c r="U42" i="1"/>
  <c r="W37" i="1"/>
  <c r="W129" i="1"/>
  <c r="X69" i="1"/>
  <c r="Y36" i="1"/>
  <c r="Y22" i="1"/>
  <c r="X23" i="1"/>
  <c r="X35" i="1" s="1"/>
  <c r="X124" i="1"/>
  <c r="X76" i="1"/>
  <c r="Z4" i="1"/>
  <c r="Z32" i="1" s="1"/>
  <c r="Z33" i="1" s="1"/>
  <c r="X71" i="1"/>
  <c r="Y21" i="1"/>
  <c r="Y27" i="1"/>
  <c r="Y28" i="1" s="1"/>
  <c r="X66" i="1"/>
  <c r="Y32" i="1"/>
  <c r="Y33" i="1" s="1"/>
  <c r="X67" i="1"/>
  <c r="X68" i="1"/>
  <c r="V40" i="1"/>
  <c r="V83" i="1" s="1"/>
  <c r="X72" i="1"/>
  <c r="X60" i="1"/>
  <c r="X73" i="1"/>
  <c r="Y53" i="1"/>
  <c r="Y123" i="1"/>
  <c r="Y122" i="1"/>
  <c r="Y2" i="1"/>
  <c r="Y74" i="1" s="1"/>
  <c r="Y52" i="1"/>
  <c r="X77" i="1"/>
  <c r="X70" i="1"/>
  <c r="V59" i="1"/>
  <c r="V62" i="1" s="1"/>
  <c r="V63" i="1" s="1"/>
  <c r="V64" i="1" s="1"/>
  <c r="U75" i="1"/>
  <c r="U78" i="1" s="1"/>
  <c r="U80" i="1" s="1"/>
  <c r="U130" i="1" s="1"/>
  <c r="R43" i="1"/>
  <c r="R84" i="1"/>
  <c r="R85" i="1" s="1"/>
  <c r="R87" i="1" s="1"/>
  <c r="R138" i="1" s="1"/>
  <c r="X56" i="1"/>
  <c r="W57" i="1"/>
  <c r="W61" i="1"/>
  <c r="W58" i="1"/>
  <c r="T41" i="1"/>
  <c r="T137" i="1" s="1"/>
  <c r="Y3" i="1"/>
  <c r="Y82" i="1" s="1"/>
  <c r="Y23" i="1" l="1"/>
  <c r="Y124" i="1"/>
  <c r="Z36" i="1"/>
  <c r="Z27" i="1"/>
  <c r="Z28" i="1" s="1"/>
  <c r="Z22" i="1"/>
  <c r="Z21" i="1"/>
  <c r="Y76" i="1"/>
  <c r="X37" i="1"/>
  <c r="X129" i="1"/>
  <c r="S43" i="1"/>
  <c r="S137" i="1"/>
  <c r="Z52" i="1"/>
  <c r="Z53" i="1"/>
  <c r="Z55" i="1"/>
  <c r="Z122" i="1"/>
  <c r="AA4" i="1"/>
  <c r="AA53" i="1" s="1"/>
  <c r="Z123" i="1"/>
  <c r="Z2" i="1"/>
  <c r="Z76" i="1" s="1"/>
  <c r="S84" i="1"/>
  <c r="S85" i="1" s="1"/>
  <c r="S87" i="1" s="1"/>
  <c r="S138" i="1" s="1"/>
  <c r="Z54" i="1"/>
  <c r="Y35" i="1"/>
  <c r="V42" i="1"/>
  <c r="Y56" i="1"/>
  <c r="Y58" i="1" s="1"/>
  <c r="W40" i="1"/>
  <c r="Y72" i="1"/>
  <c r="Y67" i="1"/>
  <c r="Y68" i="1"/>
  <c r="Y60" i="1"/>
  <c r="Y73" i="1"/>
  <c r="Y66" i="1"/>
  <c r="Y71" i="1"/>
  <c r="Y69" i="1"/>
  <c r="Y70" i="1"/>
  <c r="Y77" i="1"/>
  <c r="W59" i="1"/>
  <c r="W62" i="1" s="1"/>
  <c r="W63" i="1" s="1"/>
  <c r="W64" i="1" s="1"/>
  <c r="V75" i="1"/>
  <c r="V78" i="1" s="1"/>
  <c r="V80" i="1" s="1"/>
  <c r="V130" i="1" s="1"/>
  <c r="T43" i="1"/>
  <c r="T84" i="1"/>
  <c r="T85" i="1" s="1"/>
  <c r="T87" i="1" s="1"/>
  <c r="T138" i="1" s="1"/>
  <c r="X61" i="1"/>
  <c r="X58" i="1"/>
  <c r="X57" i="1"/>
  <c r="Z23" i="1"/>
  <c r="Z35" i="1" s="1"/>
  <c r="Z129" i="1" s="1"/>
  <c r="U41" i="1"/>
  <c r="U137" i="1" s="1"/>
  <c r="Z3" i="1"/>
  <c r="Z82" i="1" s="1"/>
  <c r="X40" i="1" l="1"/>
  <c r="X59" i="1"/>
  <c r="X62" i="1" s="1"/>
  <c r="Z37" i="1"/>
  <c r="Z68" i="1"/>
  <c r="AA36" i="1"/>
  <c r="AA22" i="1"/>
  <c r="AA54" i="1"/>
  <c r="Z72" i="1"/>
  <c r="Z74" i="1"/>
  <c r="AA122" i="1"/>
  <c r="AA32" i="1"/>
  <c r="AA33" i="1" s="1"/>
  <c r="AA55" i="1"/>
  <c r="AA52" i="1"/>
  <c r="Z66" i="1"/>
  <c r="Z73" i="1"/>
  <c r="Z67" i="1"/>
  <c r="Z69" i="1"/>
  <c r="AA27" i="1"/>
  <c r="AA28" i="1" s="1"/>
  <c r="Z56" i="1"/>
  <c r="AA21" i="1"/>
  <c r="Z70" i="1"/>
  <c r="Z71" i="1"/>
  <c r="Y57" i="1"/>
  <c r="Y59" i="1" s="1"/>
  <c r="Y61" i="1"/>
  <c r="Z124" i="1"/>
  <c r="Y37" i="1"/>
  <c r="Y40" i="1" s="1"/>
  <c r="Y129" i="1"/>
  <c r="W42" i="1"/>
  <c r="X42" i="1" s="1"/>
  <c r="Z60" i="1"/>
  <c r="Z77" i="1"/>
  <c r="AA123" i="1"/>
  <c r="AA2" i="1"/>
  <c r="AA69" i="1" s="1"/>
  <c r="AB4" i="1"/>
  <c r="AB27" i="1" s="1"/>
  <c r="AB28" i="1" s="1"/>
  <c r="W83" i="1"/>
  <c r="X63" i="1"/>
  <c r="X64" i="1" s="1"/>
  <c r="W75" i="1"/>
  <c r="W78" i="1" s="1"/>
  <c r="W80" i="1" s="1"/>
  <c r="W130" i="1" s="1"/>
  <c r="U43" i="1"/>
  <c r="U84" i="1"/>
  <c r="U85" i="1" s="1"/>
  <c r="U87" i="1" s="1"/>
  <c r="U138" i="1" s="1"/>
  <c r="X83" i="1"/>
  <c r="AA23" i="1"/>
  <c r="V41" i="1"/>
  <c r="AA3" i="1"/>
  <c r="AA82" i="1" s="1"/>
  <c r="AA124" i="1" l="1"/>
  <c r="AA56" i="1"/>
  <c r="AB123" i="1"/>
  <c r="AB22" i="1"/>
  <c r="AA35" i="1"/>
  <c r="AA37" i="1" s="1"/>
  <c r="Z57" i="1"/>
  <c r="Z58" i="1"/>
  <c r="Y62" i="1"/>
  <c r="Y63" i="1" s="1"/>
  <c r="Y64" i="1" s="1"/>
  <c r="Y75" i="1" s="1"/>
  <c r="Y78" i="1" s="1"/>
  <c r="Y80" i="1" s="1"/>
  <c r="Y130" i="1" s="1"/>
  <c r="Z61" i="1"/>
  <c r="AA60" i="1"/>
  <c r="AB54" i="1"/>
  <c r="AB52" i="1"/>
  <c r="AA66" i="1"/>
  <c r="AA67" i="1"/>
  <c r="AB53" i="1"/>
  <c r="AA71" i="1"/>
  <c r="AA72" i="1"/>
  <c r="AB55" i="1"/>
  <c r="AB2" i="1"/>
  <c r="AB66" i="1" s="1"/>
  <c r="AA74" i="1"/>
  <c r="V84" i="1"/>
  <c r="V85" i="1" s="1"/>
  <c r="V87" i="1" s="1"/>
  <c r="V138" i="1" s="1"/>
  <c r="V137" i="1"/>
  <c r="AA70" i="1"/>
  <c r="AB36" i="1"/>
  <c r="AA77" i="1"/>
  <c r="AA76" i="1"/>
  <c r="AA73" i="1"/>
  <c r="AA68" i="1"/>
  <c r="AA129" i="1"/>
  <c r="AC4" i="1"/>
  <c r="AC36" i="1" s="1"/>
  <c r="AB21" i="1"/>
  <c r="AB32" i="1"/>
  <c r="AB33" i="1" s="1"/>
  <c r="AB122" i="1"/>
  <c r="Y42" i="1"/>
  <c r="Y83" i="1"/>
  <c r="X75" i="1"/>
  <c r="X78" i="1" s="1"/>
  <c r="X80" i="1" s="1"/>
  <c r="X130" i="1" s="1"/>
  <c r="Z40" i="1"/>
  <c r="AA58" i="1"/>
  <c r="AA57" i="1"/>
  <c r="AA59" i="1" s="1"/>
  <c r="AA61" i="1"/>
  <c r="W41" i="1"/>
  <c r="V43" i="1"/>
  <c r="AB3" i="1"/>
  <c r="AB82" i="1" s="1"/>
  <c r="AB124" i="1" l="1"/>
  <c r="AB23" i="1"/>
  <c r="Z59" i="1"/>
  <c r="Z62" i="1" s="1"/>
  <c r="Z63" i="1" s="1"/>
  <c r="Z64" i="1" s="1"/>
  <c r="Z75" i="1" s="1"/>
  <c r="Z78" i="1" s="1"/>
  <c r="Z80" i="1" s="1"/>
  <c r="Z130" i="1" s="1"/>
  <c r="AB35" i="1"/>
  <c r="AB37" i="1" s="1"/>
  <c r="AB68" i="1"/>
  <c r="AB69" i="1"/>
  <c r="AB72" i="1"/>
  <c r="AB56" i="1"/>
  <c r="AB61" i="1" s="1"/>
  <c r="AB73" i="1"/>
  <c r="AB77" i="1"/>
  <c r="AB76" i="1"/>
  <c r="AB67" i="1"/>
  <c r="AB70" i="1"/>
  <c r="AB74" i="1"/>
  <c r="AB71" i="1"/>
  <c r="AB60" i="1"/>
  <c r="AC52" i="1"/>
  <c r="AC2" i="1"/>
  <c r="AC74" i="1" s="1"/>
  <c r="AC54" i="1"/>
  <c r="AD4" i="1"/>
  <c r="AD123" i="1" s="1"/>
  <c r="AC53" i="1"/>
  <c r="W84" i="1"/>
  <c r="W85" i="1" s="1"/>
  <c r="W87" i="1" s="1"/>
  <c r="W138" i="1" s="1"/>
  <c r="W137" i="1"/>
  <c r="AC55" i="1"/>
  <c r="AC27" i="1"/>
  <c r="AC28" i="1" s="1"/>
  <c r="AC22" i="1"/>
  <c r="AC21" i="1"/>
  <c r="AA40" i="1"/>
  <c r="AC32" i="1"/>
  <c r="AC33" i="1" s="1"/>
  <c r="AC123" i="1"/>
  <c r="AC122" i="1"/>
  <c r="AA62" i="1"/>
  <c r="AA63" i="1" s="1"/>
  <c r="AA64" i="1" s="1"/>
  <c r="AA75" i="1" s="1"/>
  <c r="AA78" i="1" s="1"/>
  <c r="AA80" i="1" s="1"/>
  <c r="AA130" i="1" s="1"/>
  <c r="Z42" i="1"/>
  <c r="Z83" i="1"/>
  <c r="W43" i="1"/>
  <c r="X41" i="1"/>
  <c r="X137" i="1" s="1"/>
  <c r="AC3" i="1"/>
  <c r="AC82" i="1" s="1"/>
  <c r="AD2" i="1"/>
  <c r="AD122" i="1" l="1"/>
  <c r="AB129" i="1"/>
  <c r="AD32" i="1"/>
  <c r="AD33" i="1" s="1"/>
  <c r="AC23" i="1"/>
  <c r="AC35" i="1" s="1"/>
  <c r="AC129" i="1" s="1"/>
  <c r="AD27" i="1"/>
  <c r="AD28" i="1" s="1"/>
  <c r="AD21" i="1"/>
  <c r="AD36" i="1"/>
  <c r="AD22" i="1"/>
  <c r="AC124" i="1"/>
  <c r="AC67" i="1"/>
  <c r="AC68" i="1"/>
  <c r="AC69" i="1"/>
  <c r="AC70" i="1"/>
  <c r="AC72" i="1"/>
  <c r="AC77" i="1"/>
  <c r="AC66" i="1"/>
  <c r="AC71" i="1"/>
  <c r="AC73" i="1"/>
  <c r="AB58" i="1"/>
  <c r="AC56" i="1"/>
  <c r="AC57" i="1" s="1"/>
  <c r="AB57" i="1"/>
  <c r="AC76" i="1"/>
  <c r="AC60" i="1"/>
  <c r="AA83" i="1"/>
  <c r="AB40" i="1"/>
  <c r="AB83" i="1" s="1"/>
  <c r="AE4" i="1"/>
  <c r="AE21" i="1" s="1"/>
  <c r="AD52" i="1"/>
  <c r="AA42" i="1"/>
  <c r="AD54" i="1"/>
  <c r="AD53" i="1"/>
  <c r="AD55" i="1"/>
  <c r="AD124" i="1"/>
  <c r="AD77" i="1"/>
  <c r="AD74" i="1"/>
  <c r="AD73" i="1"/>
  <c r="AD72" i="1"/>
  <c r="AD71" i="1"/>
  <c r="AD70" i="1"/>
  <c r="AD69" i="1"/>
  <c r="AD68" i="1"/>
  <c r="AD67" i="1"/>
  <c r="AD66" i="1"/>
  <c r="AD60" i="1"/>
  <c r="AD76" i="1"/>
  <c r="X43" i="1"/>
  <c r="X84" i="1"/>
  <c r="X85" i="1" s="1"/>
  <c r="X87" i="1" s="1"/>
  <c r="X138" i="1" s="1"/>
  <c r="Y41" i="1"/>
  <c r="Y137" i="1" s="1"/>
  <c r="AD3" i="1"/>
  <c r="AD82" i="1" s="1"/>
  <c r="AD23" i="1" l="1"/>
  <c r="AD35" i="1" s="1"/>
  <c r="AD37" i="1" s="1"/>
  <c r="AB59" i="1"/>
  <c r="AB62" i="1" s="1"/>
  <c r="AB63" i="1" s="1"/>
  <c r="AB64" i="1" s="1"/>
  <c r="AB75" i="1" s="1"/>
  <c r="AB78" i="1" s="1"/>
  <c r="AB80" i="1" s="1"/>
  <c r="AB130" i="1" s="1"/>
  <c r="AC37" i="1"/>
  <c r="AC40" i="1" s="1"/>
  <c r="AC83" i="1" s="1"/>
  <c r="AF4" i="1"/>
  <c r="AF27" i="1" s="1"/>
  <c r="AF28" i="1" s="1"/>
  <c r="AD56" i="1"/>
  <c r="AC58" i="1"/>
  <c r="AC59" i="1" s="1"/>
  <c r="AC61" i="1"/>
  <c r="AD57" i="1"/>
  <c r="AD61" i="1"/>
  <c r="AD58" i="1"/>
  <c r="AD59" i="1" s="1"/>
  <c r="AD62" i="1" s="1"/>
  <c r="AD63" i="1" s="1"/>
  <c r="AD64" i="1" s="1"/>
  <c r="AB42" i="1"/>
  <c r="AE22" i="1"/>
  <c r="AE23" i="1" s="1"/>
  <c r="AE123" i="1"/>
  <c r="AE32" i="1"/>
  <c r="AE33" i="1" s="1"/>
  <c r="AE27" i="1"/>
  <c r="AE28" i="1" s="1"/>
  <c r="AE122" i="1"/>
  <c r="AE36" i="1"/>
  <c r="AE55" i="1"/>
  <c r="AE52" i="1"/>
  <c r="AE54" i="1"/>
  <c r="AE2" i="1"/>
  <c r="AE70" i="1" s="1"/>
  <c r="AE53" i="1"/>
  <c r="AF122" i="1"/>
  <c r="AF123" i="1"/>
  <c r="AF54" i="1"/>
  <c r="AF53" i="1"/>
  <c r="AF52" i="1"/>
  <c r="AF55" i="1"/>
  <c r="Y43" i="1"/>
  <c r="Y84" i="1"/>
  <c r="Y85" i="1" s="1"/>
  <c r="Y87" i="1" s="1"/>
  <c r="Y138" i="1" s="1"/>
  <c r="Z41" i="1"/>
  <c r="Z137" i="1" s="1"/>
  <c r="AE3" i="1"/>
  <c r="AE82" i="1" s="1"/>
  <c r="AD129" i="1" l="1"/>
  <c r="AF36" i="1"/>
  <c r="AE124" i="1"/>
  <c r="AF2" i="1"/>
  <c r="AF77" i="1" s="1"/>
  <c r="AG4" i="1"/>
  <c r="AG54" i="1" s="1"/>
  <c r="AF22" i="1"/>
  <c r="AF21" i="1"/>
  <c r="AF32" i="1"/>
  <c r="AF33" i="1" s="1"/>
  <c r="AC62" i="1"/>
  <c r="AC63" i="1" s="1"/>
  <c r="AC64" i="1" s="1"/>
  <c r="AC75" i="1" s="1"/>
  <c r="AC78" i="1" s="1"/>
  <c r="AC80" i="1" s="1"/>
  <c r="AC130" i="1" s="1"/>
  <c r="AE35" i="1"/>
  <c r="AE129" i="1" s="1"/>
  <c r="AC42" i="1"/>
  <c r="AE56" i="1"/>
  <c r="AE57" i="1" s="1"/>
  <c r="AD40" i="1"/>
  <c r="AE58" i="1"/>
  <c r="AE67" i="1"/>
  <c r="AE73" i="1"/>
  <c r="AE76" i="1"/>
  <c r="AE60" i="1"/>
  <c r="AE68" i="1"/>
  <c r="AE71" i="1"/>
  <c r="AE74" i="1"/>
  <c r="AE77" i="1"/>
  <c r="AE66" i="1"/>
  <c r="AE72" i="1"/>
  <c r="AE69" i="1"/>
  <c r="AG123" i="1"/>
  <c r="AG122" i="1"/>
  <c r="AF124" i="1"/>
  <c r="AD75" i="1"/>
  <c r="AD78" i="1" s="1"/>
  <c r="AD80" i="1" s="1"/>
  <c r="AD130" i="1" s="1"/>
  <c r="Z43" i="1"/>
  <c r="Z84" i="1"/>
  <c r="Z85" i="1" s="1"/>
  <c r="Z87" i="1" s="1"/>
  <c r="Z138" i="1" s="1"/>
  <c r="AF56" i="1"/>
  <c r="AA41" i="1"/>
  <c r="AF3" i="1"/>
  <c r="AF82" i="1" s="1"/>
  <c r="AD42" i="1" l="1"/>
  <c r="AF23" i="1"/>
  <c r="AE61" i="1"/>
  <c r="AG2" i="1"/>
  <c r="AG74" i="1" s="1"/>
  <c r="AG27" i="1"/>
  <c r="AG28" i="1" s="1"/>
  <c r="AG53" i="1"/>
  <c r="AG52" i="1"/>
  <c r="AF74" i="1"/>
  <c r="AE37" i="1"/>
  <c r="AE40" i="1" s="1"/>
  <c r="AE83" i="1" s="1"/>
  <c r="AE59" i="1"/>
  <c r="AF76" i="1"/>
  <c r="AF60" i="1"/>
  <c r="AF66" i="1"/>
  <c r="AF67" i="1"/>
  <c r="AF68" i="1"/>
  <c r="AF69" i="1"/>
  <c r="AF70" i="1"/>
  <c r="AH4" i="1"/>
  <c r="AH32" i="1" s="1"/>
  <c r="AH33" i="1" s="1"/>
  <c r="AF71" i="1"/>
  <c r="AF72" i="1"/>
  <c r="AG21" i="1"/>
  <c r="AG22" i="1"/>
  <c r="AG23" i="1" s="1"/>
  <c r="AG32" i="1"/>
  <c r="AG33" i="1" s="1"/>
  <c r="AF73" i="1"/>
  <c r="AG55" i="1"/>
  <c r="AG56" i="1" s="1"/>
  <c r="AG36" i="1"/>
  <c r="AG124" i="1"/>
  <c r="AD83" i="1"/>
  <c r="AF35" i="1"/>
  <c r="AF129" i="1" s="1"/>
  <c r="AE62" i="1"/>
  <c r="AE63" i="1" s="1"/>
  <c r="AE64" i="1" s="1"/>
  <c r="AA84" i="1"/>
  <c r="AA85" i="1" s="1"/>
  <c r="AA87" i="1" s="1"/>
  <c r="AA138" i="1" s="1"/>
  <c r="AA137" i="1"/>
  <c r="AG69" i="1"/>
  <c r="AG68" i="1"/>
  <c r="AG67" i="1"/>
  <c r="AG66" i="1"/>
  <c r="AG60" i="1"/>
  <c r="AG76" i="1"/>
  <c r="AF61" i="1"/>
  <c r="AF57" i="1"/>
  <c r="AF58" i="1"/>
  <c r="AB41" i="1"/>
  <c r="AB137" i="1" s="1"/>
  <c r="AA43" i="1"/>
  <c r="AG3" i="1"/>
  <c r="AG82" i="1" s="1"/>
  <c r="AG70" i="1" l="1"/>
  <c r="AG77" i="1"/>
  <c r="AG71" i="1"/>
  <c r="AG72" i="1"/>
  <c r="AG73" i="1"/>
  <c r="AH22" i="1"/>
  <c r="AH52" i="1"/>
  <c r="AH55" i="1"/>
  <c r="AH54" i="1"/>
  <c r="AH53" i="1"/>
  <c r="AH122" i="1"/>
  <c r="AG35" i="1"/>
  <c r="AG129" i="1" s="1"/>
  <c r="AH123" i="1"/>
  <c r="AH2" i="1"/>
  <c r="AH66" i="1" s="1"/>
  <c r="AH36" i="1"/>
  <c r="AH27" i="1"/>
  <c r="AH28" i="1" s="1"/>
  <c r="AH21" i="1"/>
  <c r="AF37" i="1"/>
  <c r="AF40" i="1" s="1"/>
  <c r="AI4" i="1"/>
  <c r="AI52" i="1" s="1"/>
  <c r="AE42" i="1"/>
  <c r="AF59" i="1"/>
  <c r="AF62" i="1" s="1"/>
  <c r="AF63" i="1" s="1"/>
  <c r="AF64" i="1" s="1"/>
  <c r="AG57" i="1"/>
  <c r="AG61" i="1"/>
  <c r="AG58" i="1"/>
  <c r="AB43" i="1"/>
  <c r="AB84" i="1"/>
  <c r="AB85" i="1" s="1"/>
  <c r="AB87" i="1" s="1"/>
  <c r="AB138" i="1" s="1"/>
  <c r="AE75" i="1"/>
  <c r="AE78" i="1" s="1"/>
  <c r="AE80" i="1" s="1"/>
  <c r="AE130" i="1" s="1"/>
  <c r="AC41" i="1"/>
  <c r="AC137" i="1" s="1"/>
  <c r="AH3" i="1"/>
  <c r="AH82" i="1" s="1"/>
  <c r="AH23" i="1" l="1"/>
  <c r="AH35" i="1" s="1"/>
  <c r="AG37" i="1"/>
  <c r="AH56" i="1"/>
  <c r="AH57" i="1" s="1"/>
  <c r="AH70" i="1"/>
  <c r="AH71" i="1"/>
  <c r="AH60" i="1"/>
  <c r="AH67" i="1"/>
  <c r="AH68" i="1"/>
  <c r="AH69" i="1"/>
  <c r="AH72" i="1"/>
  <c r="AH74" i="1"/>
  <c r="AH73" i="1"/>
  <c r="AH124" i="1"/>
  <c r="AH77" i="1"/>
  <c r="AI123" i="1"/>
  <c r="AH76" i="1"/>
  <c r="AI122" i="1"/>
  <c r="AF42" i="1"/>
  <c r="AI36" i="1"/>
  <c r="AI27" i="1"/>
  <c r="AI28" i="1" s="1"/>
  <c r="AI21" i="1"/>
  <c r="AI32" i="1"/>
  <c r="AI33" i="1" s="1"/>
  <c r="AI22" i="1"/>
  <c r="AI23" i="1" s="1"/>
  <c r="AI53" i="1"/>
  <c r="AI55" i="1"/>
  <c r="AI2" i="1"/>
  <c r="AI66" i="1" s="1"/>
  <c r="AI54" i="1"/>
  <c r="AJ4" i="1"/>
  <c r="AJ55" i="1" s="1"/>
  <c r="AG40" i="1"/>
  <c r="AG83" i="1" s="1"/>
  <c r="AF83" i="1"/>
  <c r="AG59" i="1"/>
  <c r="AG62" i="1" s="1"/>
  <c r="AG63" i="1" s="1"/>
  <c r="AG64" i="1" s="1"/>
  <c r="AC43" i="1"/>
  <c r="AC84" i="1"/>
  <c r="AC85" i="1" s="1"/>
  <c r="AC87" i="1" s="1"/>
  <c r="AC138" i="1" s="1"/>
  <c r="AF75" i="1"/>
  <c r="AF78" i="1" s="1"/>
  <c r="AF80" i="1" s="1"/>
  <c r="AF130" i="1" s="1"/>
  <c r="AD41" i="1"/>
  <c r="AD137" i="1" s="1"/>
  <c r="AI3" i="1"/>
  <c r="AI82" i="1" s="1"/>
  <c r="AH129" i="1" l="1"/>
  <c r="AH37" i="1"/>
  <c r="AI124" i="1"/>
  <c r="AH61" i="1"/>
  <c r="AH58" i="1"/>
  <c r="AH59" i="1" s="1"/>
  <c r="AI35" i="1"/>
  <c r="AI129" i="1" s="1"/>
  <c r="AH40" i="1"/>
  <c r="AH83" i="1" s="1"/>
  <c r="AH62" i="1"/>
  <c r="AH63" i="1" s="1"/>
  <c r="AH64" i="1" s="1"/>
  <c r="AH75" i="1" s="1"/>
  <c r="AH78" i="1" s="1"/>
  <c r="AH80" i="1" s="1"/>
  <c r="AH130" i="1" s="1"/>
  <c r="AI71" i="1"/>
  <c r="AI68" i="1"/>
  <c r="AI69" i="1"/>
  <c r="AI70" i="1"/>
  <c r="AI67" i="1"/>
  <c r="AI74" i="1"/>
  <c r="AI72" i="1"/>
  <c r="AI56" i="1"/>
  <c r="AI57" i="1" s="1"/>
  <c r="AJ2" i="1"/>
  <c r="AJ69" i="1" s="1"/>
  <c r="AK4" i="1"/>
  <c r="AK32" i="1" s="1"/>
  <c r="AK33" i="1" s="1"/>
  <c r="AI73" i="1"/>
  <c r="AI77" i="1"/>
  <c r="AJ21" i="1"/>
  <c r="AJ123" i="1"/>
  <c r="AJ22" i="1"/>
  <c r="AJ27" i="1"/>
  <c r="AJ28" i="1" s="1"/>
  <c r="AJ36" i="1"/>
  <c r="AJ32" i="1"/>
  <c r="AJ33" i="1" s="1"/>
  <c r="AJ53" i="1"/>
  <c r="AI76" i="1"/>
  <c r="AJ122" i="1"/>
  <c r="AJ52" i="1"/>
  <c r="AJ54" i="1"/>
  <c r="AI60" i="1"/>
  <c r="AG42" i="1"/>
  <c r="AG75" i="1"/>
  <c r="AG78" i="1" s="1"/>
  <c r="AG80" i="1" s="1"/>
  <c r="AG130" i="1" s="1"/>
  <c r="AD43" i="1"/>
  <c r="AD84" i="1"/>
  <c r="AD85" i="1" s="1"/>
  <c r="AD87" i="1" s="1"/>
  <c r="AD138" i="1" s="1"/>
  <c r="AE41" i="1"/>
  <c r="AE137" i="1" s="1"/>
  <c r="AJ3" i="1"/>
  <c r="AJ82" i="1" s="1"/>
  <c r="AK123" i="1" l="1"/>
  <c r="AK122" i="1"/>
  <c r="AI37" i="1"/>
  <c r="AI40" i="1" s="1"/>
  <c r="AI83" i="1" s="1"/>
  <c r="AH42" i="1"/>
  <c r="AI42" i="1" s="1"/>
  <c r="AI61" i="1"/>
  <c r="AI58" i="1"/>
  <c r="AI59" i="1" s="1"/>
  <c r="AI62" i="1" s="1"/>
  <c r="AI63" i="1" s="1"/>
  <c r="AI64" i="1" s="1"/>
  <c r="AK54" i="1"/>
  <c r="AK53" i="1"/>
  <c r="AJ77" i="1"/>
  <c r="AK2" i="1"/>
  <c r="AK74" i="1" s="1"/>
  <c r="AL4" i="1"/>
  <c r="AL53" i="1" s="1"/>
  <c r="AJ23" i="1"/>
  <c r="AJ35" i="1" s="1"/>
  <c r="AJ129" i="1" s="1"/>
  <c r="AJ60" i="1"/>
  <c r="AJ70" i="1"/>
  <c r="AK27" i="1"/>
  <c r="AK28" i="1" s="1"/>
  <c r="AJ124" i="1"/>
  <c r="AJ71" i="1"/>
  <c r="AJ73" i="1"/>
  <c r="AK52" i="1"/>
  <c r="AK55" i="1"/>
  <c r="AJ76" i="1"/>
  <c r="AK36" i="1"/>
  <c r="AK21" i="1"/>
  <c r="AJ66" i="1"/>
  <c r="AK22" i="1"/>
  <c r="AJ72" i="1"/>
  <c r="AJ74" i="1"/>
  <c r="AJ67" i="1"/>
  <c r="AJ68" i="1"/>
  <c r="AJ56" i="1"/>
  <c r="AJ61" i="1" s="1"/>
  <c r="AJ37" i="1"/>
  <c r="AJ40" i="1" s="1"/>
  <c r="AJ83" i="1" s="1"/>
  <c r="AE43" i="1"/>
  <c r="AE84" i="1"/>
  <c r="AE85" i="1" s="1"/>
  <c r="AE87" i="1" s="1"/>
  <c r="AE138" i="1" s="1"/>
  <c r="AF41" i="1"/>
  <c r="AK3" i="1"/>
  <c r="AK82" i="1" s="1"/>
  <c r="AK124" i="1" l="1"/>
  <c r="AK77" i="1"/>
  <c r="AL122" i="1"/>
  <c r="AL123" i="1"/>
  <c r="AL36" i="1"/>
  <c r="AL22" i="1"/>
  <c r="AL52" i="1"/>
  <c r="AL55" i="1"/>
  <c r="AJ58" i="1"/>
  <c r="AK60" i="1"/>
  <c r="AJ57" i="1"/>
  <c r="AJ59" i="1" s="1"/>
  <c r="AJ62" i="1" s="1"/>
  <c r="AJ63" i="1" s="1"/>
  <c r="AJ64" i="1" s="1"/>
  <c r="AK76" i="1"/>
  <c r="AK66" i="1"/>
  <c r="AK67" i="1"/>
  <c r="AL2" i="1"/>
  <c r="AL69" i="1" s="1"/>
  <c r="AM4" i="1"/>
  <c r="AM22" i="1" s="1"/>
  <c r="AL21" i="1"/>
  <c r="AL32" i="1"/>
  <c r="AL33" i="1" s="1"/>
  <c r="AK68" i="1"/>
  <c r="AK56" i="1"/>
  <c r="AK61" i="1" s="1"/>
  <c r="AL27" i="1"/>
  <c r="AL28" i="1" s="1"/>
  <c r="AK72" i="1"/>
  <c r="AK70" i="1"/>
  <c r="AK69" i="1"/>
  <c r="AK71" i="1"/>
  <c r="AK23" i="1"/>
  <c r="AK35" i="1" s="1"/>
  <c r="AL54" i="1"/>
  <c r="AK73" i="1"/>
  <c r="AK37" i="1"/>
  <c r="AK40" i="1" s="1"/>
  <c r="AK83" i="1" s="1"/>
  <c r="AK129" i="1"/>
  <c r="AF84" i="1"/>
  <c r="AF85" i="1" s="1"/>
  <c r="AF87" i="1" s="1"/>
  <c r="AF138" i="1" s="1"/>
  <c r="AF137" i="1"/>
  <c r="AI75" i="1"/>
  <c r="AI78" i="1" s="1"/>
  <c r="AI80" i="1" s="1"/>
  <c r="AI130" i="1" s="1"/>
  <c r="AJ42" i="1"/>
  <c r="AF43" i="1"/>
  <c r="AG41" i="1"/>
  <c r="AL3" i="1"/>
  <c r="AL82" i="1" s="1"/>
  <c r="AL56" i="1" l="1"/>
  <c r="AM123" i="1"/>
  <c r="AM122" i="1"/>
  <c r="AM124" i="1" s="1"/>
  <c r="AL60" i="1"/>
  <c r="AL23" i="1"/>
  <c r="AL124" i="1"/>
  <c r="AL35" i="1"/>
  <c r="AL129" i="1" s="1"/>
  <c r="AN4" i="1"/>
  <c r="AN53" i="1" s="1"/>
  <c r="AM36" i="1"/>
  <c r="AL68" i="1"/>
  <c r="AL77" i="1"/>
  <c r="AK58" i="1"/>
  <c r="AK57" i="1"/>
  <c r="AM55" i="1"/>
  <c r="AM53" i="1"/>
  <c r="AL71" i="1"/>
  <c r="AM52" i="1"/>
  <c r="AM2" i="1"/>
  <c r="AM68" i="1" s="1"/>
  <c r="AL67" i="1"/>
  <c r="AL70" i="1"/>
  <c r="AL73" i="1"/>
  <c r="AL72" i="1"/>
  <c r="AM21" i="1"/>
  <c r="AM23" i="1" s="1"/>
  <c r="AM32" i="1"/>
  <c r="AM33" i="1" s="1"/>
  <c r="AL66" i="1"/>
  <c r="AM54" i="1"/>
  <c r="AL76" i="1"/>
  <c r="AM27" i="1"/>
  <c r="AM28" i="1" s="1"/>
  <c r="AL74" i="1"/>
  <c r="AG84" i="1"/>
  <c r="AG85" i="1" s="1"/>
  <c r="AG87" i="1" s="1"/>
  <c r="AG138" i="1" s="1"/>
  <c r="AG137" i="1"/>
  <c r="AL37" i="1"/>
  <c r="AJ75" i="1"/>
  <c r="AJ78" i="1" s="1"/>
  <c r="AJ80" i="1" s="1"/>
  <c r="AJ130" i="1" s="1"/>
  <c r="AK42" i="1"/>
  <c r="AL57" i="1"/>
  <c r="AL61" i="1"/>
  <c r="AL58" i="1"/>
  <c r="AG43" i="1"/>
  <c r="AH41" i="1"/>
  <c r="AN32" i="1"/>
  <c r="AN33" i="1" s="1"/>
  <c r="AN27" i="1"/>
  <c r="AN28" i="1" s="1"/>
  <c r="AN21" i="1"/>
  <c r="AN22" i="1"/>
  <c r="AM3" i="1"/>
  <c r="AM82" i="1" s="1"/>
  <c r="AK59" i="1" l="1"/>
  <c r="AK62" i="1" s="1"/>
  <c r="AK63" i="1" s="1"/>
  <c r="AK64" i="1" s="1"/>
  <c r="AN2" i="1"/>
  <c r="AN67" i="1" s="1"/>
  <c r="AO4" i="1"/>
  <c r="AO53" i="1" s="1"/>
  <c r="AN122" i="1"/>
  <c r="AN123" i="1"/>
  <c r="AN36" i="1"/>
  <c r="AN54" i="1"/>
  <c r="AN55" i="1"/>
  <c r="AN52" i="1"/>
  <c r="AM60" i="1"/>
  <c r="AM35" i="1"/>
  <c r="AM129" i="1" s="1"/>
  <c r="AM72" i="1"/>
  <c r="AM73" i="1"/>
  <c r="AM56" i="1"/>
  <c r="AM57" i="1" s="1"/>
  <c r="AM74" i="1"/>
  <c r="AM77" i="1"/>
  <c r="AM76" i="1"/>
  <c r="AM67" i="1"/>
  <c r="AM70" i="1"/>
  <c r="AM66" i="1"/>
  <c r="AM71" i="1"/>
  <c r="AM69" i="1"/>
  <c r="AL40" i="1"/>
  <c r="AL83" i="1" s="1"/>
  <c r="AH84" i="1"/>
  <c r="AH85" i="1" s="1"/>
  <c r="AH87" i="1" s="1"/>
  <c r="AH138" i="1" s="1"/>
  <c r="AH137" i="1"/>
  <c r="AN124" i="1"/>
  <c r="AO122" i="1"/>
  <c r="AO123" i="1"/>
  <c r="AL59" i="1"/>
  <c r="AL62" i="1" s="1"/>
  <c r="AL63" i="1" s="1"/>
  <c r="AL64" i="1" s="1"/>
  <c r="AK75" i="1"/>
  <c r="AK78" i="1" s="1"/>
  <c r="AK80" i="1" s="1"/>
  <c r="AK130" i="1" s="1"/>
  <c r="AO54" i="1"/>
  <c r="AO52" i="1"/>
  <c r="AN73" i="1"/>
  <c r="AN72" i="1"/>
  <c r="AN71" i="1"/>
  <c r="AN74" i="1"/>
  <c r="AN77" i="1"/>
  <c r="AN69" i="1"/>
  <c r="AN76" i="1"/>
  <c r="AH43" i="1"/>
  <c r="AI41" i="1"/>
  <c r="AI137" i="1" s="1"/>
  <c r="AN23" i="1"/>
  <c r="AN35" i="1" s="1"/>
  <c r="AO22" i="1"/>
  <c r="AN3" i="1"/>
  <c r="AN82" i="1" s="1"/>
  <c r="AO2" i="1"/>
  <c r="AN60" i="1" l="1"/>
  <c r="AN70" i="1"/>
  <c r="AN66" i="1"/>
  <c r="AP4" i="1"/>
  <c r="AP21" i="1" s="1"/>
  <c r="AN68" i="1"/>
  <c r="AO36" i="1"/>
  <c r="AO21" i="1"/>
  <c r="AO27" i="1"/>
  <c r="AO28" i="1" s="1"/>
  <c r="AO32" i="1"/>
  <c r="AO33" i="1" s="1"/>
  <c r="AO55" i="1"/>
  <c r="AM61" i="1"/>
  <c r="AM58" i="1"/>
  <c r="AM37" i="1"/>
  <c r="AN56" i="1"/>
  <c r="AN61" i="1" s="1"/>
  <c r="AM40" i="1"/>
  <c r="AM83" i="1" s="1"/>
  <c r="AM59" i="1"/>
  <c r="AN37" i="1"/>
  <c r="AN129" i="1"/>
  <c r="AL42" i="1"/>
  <c r="AP123" i="1"/>
  <c r="AO124" i="1"/>
  <c r="AI43" i="1"/>
  <c r="AI84" i="1"/>
  <c r="AI85" i="1" s="1"/>
  <c r="AI87" i="1" s="1"/>
  <c r="AI138" i="1" s="1"/>
  <c r="AP52" i="1"/>
  <c r="AP55" i="1"/>
  <c r="AP54" i="1"/>
  <c r="AP53" i="1"/>
  <c r="AO56" i="1"/>
  <c r="AL75" i="1"/>
  <c r="AL78" i="1" s="1"/>
  <c r="AL80" i="1" s="1"/>
  <c r="AL130" i="1" s="1"/>
  <c r="AO67" i="1"/>
  <c r="AO60" i="1"/>
  <c r="AO66" i="1"/>
  <c r="AO70" i="1"/>
  <c r="AO74" i="1"/>
  <c r="AO68" i="1"/>
  <c r="AO73" i="1"/>
  <c r="AO71" i="1"/>
  <c r="AO72" i="1"/>
  <c r="AO77" i="1"/>
  <c r="AO69" i="1"/>
  <c r="AO76" i="1"/>
  <c r="AO23" i="1"/>
  <c r="AO35" i="1" s="1"/>
  <c r="AJ41" i="1"/>
  <c r="AP32" i="1"/>
  <c r="AP33" i="1" s="1"/>
  <c r="AP27" i="1"/>
  <c r="AP28" i="1" s="1"/>
  <c r="AP22" i="1"/>
  <c r="AP36" i="1"/>
  <c r="AO3" i="1"/>
  <c r="AO82" i="1" s="1"/>
  <c r="AQ4" i="1"/>
  <c r="AP2" i="1"/>
  <c r="AP122" i="1" l="1"/>
  <c r="AN40" i="1"/>
  <c r="AN83" i="1" s="1"/>
  <c r="AM42" i="1"/>
  <c r="AN57" i="1"/>
  <c r="AN58" i="1"/>
  <c r="AM62" i="1"/>
  <c r="AM63" i="1" s="1"/>
  <c r="AM64" i="1" s="1"/>
  <c r="AN59" i="1"/>
  <c r="AN62" i="1" s="1"/>
  <c r="AN63" i="1" s="1"/>
  <c r="AJ84" i="1"/>
  <c r="AJ85" i="1" s="1"/>
  <c r="AJ87" i="1" s="1"/>
  <c r="AJ138" i="1" s="1"/>
  <c r="AJ137" i="1"/>
  <c r="AO37" i="1"/>
  <c r="AO40" i="1" s="1"/>
  <c r="AO83" i="1" s="1"/>
  <c r="AO129" i="1"/>
  <c r="AP124" i="1"/>
  <c r="AQ123" i="1"/>
  <c r="AQ122" i="1"/>
  <c r="AQ52" i="1"/>
  <c r="AQ53" i="1"/>
  <c r="AQ55" i="1"/>
  <c r="AQ54" i="1"/>
  <c r="AO57" i="1"/>
  <c r="AO58" i="1"/>
  <c r="AO61" i="1"/>
  <c r="AP56" i="1"/>
  <c r="AM75" i="1"/>
  <c r="AM78" i="1" s="1"/>
  <c r="AM80" i="1" s="1"/>
  <c r="AM130" i="1" s="1"/>
  <c r="AP66" i="1"/>
  <c r="AP77" i="1"/>
  <c r="AP69" i="1"/>
  <c r="AP74" i="1"/>
  <c r="AP71" i="1"/>
  <c r="AP67" i="1"/>
  <c r="AP72" i="1"/>
  <c r="AP73" i="1"/>
  <c r="AP70" i="1"/>
  <c r="AP60" i="1"/>
  <c r="AP68" i="1"/>
  <c r="AP76" i="1"/>
  <c r="AP23" i="1"/>
  <c r="AP35" i="1" s="1"/>
  <c r="AJ43" i="1"/>
  <c r="AK41" i="1"/>
  <c r="AQ32" i="1"/>
  <c r="AQ33" i="1" s="1"/>
  <c r="AQ27" i="1"/>
  <c r="AQ28" i="1" s="1"/>
  <c r="AQ22" i="1"/>
  <c r="AQ36" i="1"/>
  <c r="AQ21" i="1"/>
  <c r="AN42" i="1"/>
  <c r="AP3" i="1"/>
  <c r="AP82" i="1" s="1"/>
  <c r="AR4" i="1"/>
  <c r="AQ2" i="1"/>
  <c r="AQ124" i="1" l="1"/>
  <c r="AN64" i="1"/>
  <c r="AK84" i="1"/>
  <c r="AK85" i="1" s="1"/>
  <c r="AK87" i="1" s="1"/>
  <c r="AK138" i="1" s="1"/>
  <c r="AK137" i="1"/>
  <c r="AP37" i="1"/>
  <c r="AP129" i="1"/>
  <c r="AO59" i="1"/>
  <c r="AO62" i="1" s="1"/>
  <c r="AO63" i="1" s="1"/>
  <c r="AO64" i="1" s="1"/>
  <c r="AO75" i="1" s="1"/>
  <c r="AO78" i="1" s="1"/>
  <c r="AO80" i="1" s="1"/>
  <c r="AO130" i="1" s="1"/>
  <c r="AR123" i="1"/>
  <c r="AR122" i="1"/>
  <c r="AP40" i="1"/>
  <c r="AP83" i="1" s="1"/>
  <c r="AN75" i="1"/>
  <c r="AN78" i="1" s="1"/>
  <c r="AN80" i="1" s="1"/>
  <c r="AN130" i="1" s="1"/>
  <c r="AP58" i="1"/>
  <c r="AP61" i="1"/>
  <c r="AP57" i="1"/>
  <c r="AP59" i="1" s="1"/>
  <c r="AQ66" i="1"/>
  <c r="AQ77" i="1"/>
  <c r="AQ69" i="1"/>
  <c r="AQ67" i="1"/>
  <c r="AQ71" i="1"/>
  <c r="AQ72" i="1"/>
  <c r="AQ73" i="1"/>
  <c r="AQ70" i="1"/>
  <c r="AQ60" i="1"/>
  <c r="AQ74" i="1"/>
  <c r="AQ68" i="1"/>
  <c r="AQ76" i="1"/>
  <c r="AR55" i="1"/>
  <c r="AR54" i="1"/>
  <c r="AR53" i="1"/>
  <c r="AR52" i="1"/>
  <c r="AQ56" i="1"/>
  <c r="AQ23" i="1"/>
  <c r="AQ35" i="1" s="1"/>
  <c r="AK43" i="1"/>
  <c r="AL41" i="1"/>
  <c r="AL137" i="1" s="1"/>
  <c r="AO42" i="1"/>
  <c r="AR27" i="1"/>
  <c r="AR28" i="1" s="1"/>
  <c r="AR22" i="1"/>
  <c r="AR21" i="1"/>
  <c r="AR36" i="1"/>
  <c r="AR32" i="1"/>
  <c r="AR33" i="1" s="1"/>
  <c r="AQ3" i="1"/>
  <c r="AQ82" i="1" s="1"/>
  <c r="AS4" i="1"/>
  <c r="AR2" i="1"/>
  <c r="AP62" i="1" l="1"/>
  <c r="AP63" i="1" s="1"/>
  <c r="AP64" i="1" s="1"/>
  <c r="AQ37" i="1"/>
  <c r="AQ129" i="1"/>
  <c r="AR124" i="1"/>
  <c r="AR56" i="1"/>
  <c r="AR61" i="1" s="1"/>
  <c r="AS122" i="1"/>
  <c r="AS123" i="1"/>
  <c r="AP75" i="1"/>
  <c r="AP78" i="1" s="1"/>
  <c r="AP80" i="1" s="1"/>
  <c r="AP130" i="1" s="1"/>
  <c r="AL43" i="1"/>
  <c r="AL84" i="1"/>
  <c r="AL85" i="1" s="1"/>
  <c r="AL87" i="1" s="1"/>
  <c r="AL138" i="1" s="1"/>
  <c r="AR77" i="1"/>
  <c r="AR74" i="1"/>
  <c r="AR73" i="1"/>
  <c r="AR72" i="1"/>
  <c r="AR71" i="1"/>
  <c r="AR70" i="1"/>
  <c r="AR69" i="1"/>
  <c r="AR68" i="1"/>
  <c r="AR67" i="1"/>
  <c r="AR66" i="1"/>
  <c r="AR60" i="1"/>
  <c r="AR76" i="1"/>
  <c r="AQ58" i="1"/>
  <c r="AQ61" i="1"/>
  <c r="AQ57" i="1"/>
  <c r="AS53" i="1"/>
  <c r="AS54" i="1"/>
  <c r="AS55" i="1"/>
  <c r="AS52" i="1"/>
  <c r="AM41" i="1"/>
  <c r="AM137" i="1" s="1"/>
  <c r="AR23" i="1"/>
  <c r="AR35" i="1" s="1"/>
  <c r="AP42" i="1"/>
  <c r="AS22" i="1"/>
  <c r="AS21" i="1"/>
  <c r="AS36" i="1"/>
  <c r="AS27" i="1"/>
  <c r="AS28" i="1" s="1"/>
  <c r="AS32" i="1"/>
  <c r="AS33" i="1" s="1"/>
  <c r="AR3" i="1"/>
  <c r="AR82" i="1" s="1"/>
  <c r="AT4" i="1"/>
  <c r="AS2" i="1"/>
  <c r="AR37" i="1" l="1"/>
  <c r="AR129" i="1"/>
  <c r="AR57" i="1"/>
  <c r="AR58" i="1"/>
  <c r="AQ40" i="1"/>
  <c r="AQ83" i="1" s="1"/>
  <c r="AT123" i="1"/>
  <c r="AT122" i="1"/>
  <c r="AS124" i="1"/>
  <c r="AS56" i="1"/>
  <c r="AS58" i="1" s="1"/>
  <c r="AQ59" i="1"/>
  <c r="AQ62" i="1" s="1"/>
  <c r="AQ63" i="1" s="1"/>
  <c r="AQ64" i="1" s="1"/>
  <c r="AT55" i="1"/>
  <c r="AT53" i="1"/>
  <c r="AT54" i="1"/>
  <c r="AT52" i="1"/>
  <c r="AS77" i="1"/>
  <c r="AS74" i="1"/>
  <c r="AS73" i="1"/>
  <c r="AS72" i="1"/>
  <c r="AS71" i="1"/>
  <c r="AS70" i="1"/>
  <c r="AS69" i="1"/>
  <c r="AS68" i="1"/>
  <c r="AS67" i="1"/>
  <c r="AS66" i="1"/>
  <c r="AS60" i="1"/>
  <c r="AS76" i="1"/>
  <c r="AM43" i="1"/>
  <c r="AM84" i="1"/>
  <c r="AM85" i="1" s="1"/>
  <c r="AM87" i="1" s="1"/>
  <c r="AM138" i="1" s="1"/>
  <c r="AN41" i="1"/>
  <c r="AN137" i="1" s="1"/>
  <c r="AS23" i="1"/>
  <c r="AS35" i="1" s="1"/>
  <c r="AT36" i="1"/>
  <c r="AT21" i="1"/>
  <c r="AT32" i="1"/>
  <c r="AT33" i="1" s="1"/>
  <c r="AT27" i="1"/>
  <c r="AT28" i="1" s="1"/>
  <c r="AT22" i="1"/>
  <c r="AS3" i="1"/>
  <c r="AS82" i="1" s="1"/>
  <c r="AU4" i="1"/>
  <c r="AT2" i="1"/>
  <c r="AS57" i="1" l="1"/>
  <c r="AS61" i="1"/>
  <c r="AR40" i="1"/>
  <c r="AR83" i="1" s="1"/>
  <c r="AS37" i="1"/>
  <c r="AS40" i="1" s="1"/>
  <c r="AS83" i="1" s="1"/>
  <c r="AS129" i="1"/>
  <c r="AQ42" i="1"/>
  <c r="AR42" i="1" s="1"/>
  <c r="AR59" i="1"/>
  <c r="AR62" i="1" s="1"/>
  <c r="AR63" i="1" s="1"/>
  <c r="AT124" i="1"/>
  <c r="AU122" i="1"/>
  <c r="AU123" i="1"/>
  <c r="AS59" i="1"/>
  <c r="AS62" i="1" s="1"/>
  <c r="AT56" i="1"/>
  <c r="AT58" i="1" s="1"/>
  <c r="AS63" i="1"/>
  <c r="AS64" i="1" s="1"/>
  <c r="AQ75" i="1"/>
  <c r="AQ78" i="1" s="1"/>
  <c r="AQ80" i="1" s="1"/>
  <c r="AQ130" i="1" s="1"/>
  <c r="AN43" i="1"/>
  <c r="AN84" i="1"/>
  <c r="AN85" i="1" s="1"/>
  <c r="AN87" i="1" s="1"/>
  <c r="AN138" i="1" s="1"/>
  <c r="AU55" i="1"/>
  <c r="AU54" i="1"/>
  <c r="AU52" i="1"/>
  <c r="AU53" i="1"/>
  <c r="AT77" i="1"/>
  <c r="AT74" i="1"/>
  <c r="AT73" i="1"/>
  <c r="AT72" i="1"/>
  <c r="AT71" i="1"/>
  <c r="AT70" i="1"/>
  <c r="AT69" i="1"/>
  <c r="AT68" i="1"/>
  <c r="AT67" i="1"/>
  <c r="AT66" i="1"/>
  <c r="AT60" i="1"/>
  <c r="AT76" i="1"/>
  <c r="AO41" i="1"/>
  <c r="AO137" i="1" s="1"/>
  <c r="AT23" i="1"/>
  <c r="AT35" i="1" s="1"/>
  <c r="AU36" i="1"/>
  <c r="AU27" i="1"/>
  <c r="AU28" i="1" s="1"/>
  <c r="AU22" i="1"/>
  <c r="AU32" i="1"/>
  <c r="AU33" i="1" s="1"/>
  <c r="AU21" i="1"/>
  <c r="AU23" i="1" s="1"/>
  <c r="AT3" i="1"/>
  <c r="AT82" i="1" s="1"/>
  <c r="AV4" i="1"/>
  <c r="AU2" i="1"/>
  <c r="AT57" i="1" l="1"/>
  <c r="AT59" i="1" s="1"/>
  <c r="AT61" i="1"/>
  <c r="AR64" i="1"/>
  <c r="AR75" i="1" s="1"/>
  <c r="AR78" i="1" s="1"/>
  <c r="AR80" i="1" s="1"/>
  <c r="AR130" i="1" s="1"/>
  <c r="AT37" i="1"/>
  <c r="AT129" i="1"/>
  <c r="AV123" i="1"/>
  <c r="AV122" i="1"/>
  <c r="AV124" i="1" s="1"/>
  <c r="AU124" i="1"/>
  <c r="AS75" i="1"/>
  <c r="AS78" i="1" s="1"/>
  <c r="AS80" i="1" s="1"/>
  <c r="AS130" i="1" s="1"/>
  <c r="AO43" i="1"/>
  <c r="AO84" i="1"/>
  <c r="AO85" i="1" s="1"/>
  <c r="AO87" i="1" s="1"/>
  <c r="AO138" i="1" s="1"/>
  <c r="AU56" i="1"/>
  <c r="AU77" i="1"/>
  <c r="AU74" i="1"/>
  <c r="AU73" i="1"/>
  <c r="AU72" i="1"/>
  <c r="AU71" i="1"/>
  <c r="AU70" i="1"/>
  <c r="AU69" i="1"/>
  <c r="AU68" i="1"/>
  <c r="AU67" i="1"/>
  <c r="AU66" i="1"/>
  <c r="AU60" i="1"/>
  <c r="AU76" i="1"/>
  <c r="AV55" i="1"/>
  <c r="AV52" i="1"/>
  <c r="AV53" i="1"/>
  <c r="AV54" i="1"/>
  <c r="AP41" i="1"/>
  <c r="AP137" i="1" s="1"/>
  <c r="AU35" i="1"/>
  <c r="AV36" i="1"/>
  <c r="AV32" i="1"/>
  <c r="AV33" i="1" s="1"/>
  <c r="AV22" i="1"/>
  <c r="AV27" i="1"/>
  <c r="AV28" i="1" s="1"/>
  <c r="AV21" i="1"/>
  <c r="AT40" i="1"/>
  <c r="AT83" i="1" s="1"/>
  <c r="AS42" i="1"/>
  <c r="AU3" i="1"/>
  <c r="AU82" i="1" s="1"/>
  <c r="AW4" i="1"/>
  <c r="AV2" i="1"/>
  <c r="AT62" i="1" l="1"/>
  <c r="AT63" i="1" s="1"/>
  <c r="AU37" i="1"/>
  <c r="AU40" i="1" s="1"/>
  <c r="AU83" i="1" s="1"/>
  <c r="AU129" i="1"/>
  <c r="AW122" i="1"/>
  <c r="AW123" i="1"/>
  <c r="AT64" i="1"/>
  <c r="AU61" i="1"/>
  <c r="AU58" i="1"/>
  <c r="AU57" i="1"/>
  <c r="AU59" i="1" s="1"/>
  <c r="AU62" i="1" s="1"/>
  <c r="AV56" i="1"/>
  <c r="AP43" i="1"/>
  <c r="AP84" i="1"/>
  <c r="AP85" i="1" s="1"/>
  <c r="AP87" i="1" s="1"/>
  <c r="AP138" i="1" s="1"/>
  <c r="AV77" i="1"/>
  <c r="AV74" i="1"/>
  <c r="AV73" i="1"/>
  <c r="AV72" i="1"/>
  <c r="AV71" i="1"/>
  <c r="AV70" i="1"/>
  <c r="AV69" i="1"/>
  <c r="AV68" i="1"/>
  <c r="AV67" i="1"/>
  <c r="AV66" i="1"/>
  <c r="AV60" i="1"/>
  <c r="AV76" i="1"/>
  <c r="AW54" i="1"/>
  <c r="AW52" i="1"/>
  <c r="AW55" i="1"/>
  <c r="AW53" i="1"/>
  <c r="AT75" i="1"/>
  <c r="AT78" i="1" s="1"/>
  <c r="AT80" i="1" s="1"/>
  <c r="AT130" i="1" s="1"/>
  <c r="AV23" i="1"/>
  <c r="AV35" i="1" s="1"/>
  <c r="AQ41" i="1"/>
  <c r="AQ137" i="1" s="1"/>
  <c r="AW36" i="1"/>
  <c r="AW22" i="1"/>
  <c r="AW32" i="1"/>
  <c r="AW33" i="1" s="1"/>
  <c r="AW27" i="1"/>
  <c r="AW28" i="1" s="1"/>
  <c r="AW21" i="1"/>
  <c r="AT42" i="1"/>
  <c r="AV3" i="1"/>
  <c r="AV82" i="1" s="1"/>
  <c r="AX4" i="1"/>
  <c r="AW2" i="1"/>
  <c r="AV37" i="1" l="1"/>
  <c r="AV40" i="1" s="1"/>
  <c r="AV83" i="1" s="1"/>
  <c r="AV129" i="1"/>
  <c r="AX123" i="1"/>
  <c r="AX122" i="1"/>
  <c r="AW124" i="1"/>
  <c r="AW23" i="1"/>
  <c r="AW35" i="1" s="1"/>
  <c r="AU63" i="1"/>
  <c r="AU64" i="1" s="1"/>
  <c r="AW77" i="1"/>
  <c r="AW74" i="1"/>
  <c r="AW73" i="1"/>
  <c r="AW72" i="1"/>
  <c r="AW71" i="1"/>
  <c r="AW70" i="1"/>
  <c r="AW69" i="1"/>
  <c r="AW68" i="1"/>
  <c r="AW67" i="1"/>
  <c r="AW66" i="1"/>
  <c r="AW60" i="1"/>
  <c r="AW76" i="1"/>
  <c r="AX54" i="1"/>
  <c r="AX55" i="1"/>
  <c r="AX52" i="1"/>
  <c r="AX53" i="1"/>
  <c r="AQ43" i="1"/>
  <c r="AQ84" i="1"/>
  <c r="AQ85" i="1" s="1"/>
  <c r="AQ87" i="1" s="1"/>
  <c r="AQ138" i="1" s="1"/>
  <c r="AW56" i="1"/>
  <c r="AV61" i="1"/>
  <c r="AV58" i="1"/>
  <c r="AV57" i="1"/>
  <c r="AR41" i="1"/>
  <c r="AR137" i="1" s="1"/>
  <c r="AX27" i="1"/>
  <c r="AX28" i="1" s="1"/>
  <c r="AX22" i="1"/>
  <c r="AX32" i="1"/>
  <c r="AX33" i="1" s="1"/>
  <c r="AX21" i="1"/>
  <c r="AX36" i="1"/>
  <c r="AU42" i="1"/>
  <c r="AW3" i="1"/>
  <c r="AW82" i="1" s="1"/>
  <c r="AY4" i="1"/>
  <c r="AX2" i="1"/>
  <c r="AV59" i="1" l="1"/>
  <c r="AV62" i="1" s="1"/>
  <c r="AV63" i="1" s="1"/>
  <c r="AV64" i="1" s="1"/>
  <c r="AW37" i="1"/>
  <c r="AW40" i="1" s="1"/>
  <c r="AW83" i="1" s="1"/>
  <c r="AW129" i="1"/>
  <c r="AX124" i="1"/>
  <c r="AY122" i="1"/>
  <c r="AY123" i="1"/>
  <c r="AV75" i="1"/>
  <c r="AV78" i="1" s="1"/>
  <c r="AV80" i="1" s="1"/>
  <c r="AV130" i="1" s="1"/>
  <c r="AY52" i="1"/>
  <c r="AY54" i="1"/>
  <c r="AY53" i="1"/>
  <c r="AY55" i="1"/>
  <c r="AX56" i="1"/>
  <c r="AR43" i="1"/>
  <c r="AR84" i="1"/>
  <c r="AR85" i="1" s="1"/>
  <c r="AR87" i="1" s="1"/>
  <c r="AR138" i="1" s="1"/>
  <c r="AX77" i="1"/>
  <c r="AX74" i="1"/>
  <c r="AX73" i="1"/>
  <c r="AX72" i="1"/>
  <c r="AX71" i="1"/>
  <c r="AX70" i="1"/>
  <c r="AX69" i="1"/>
  <c r="AX68" i="1"/>
  <c r="AX67" i="1"/>
  <c r="AX66" i="1"/>
  <c r="AX60" i="1"/>
  <c r="AX76" i="1"/>
  <c r="AW57" i="1"/>
  <c r="AW61" i="1"/>
  <c r="AW58" i="1"/>
  <c r="AU75" i="1"/>
  <c r="AU78" i="1" s="1"/>
  <c r="AU80" i="1" s="1"/>
  <c r="AU130" i="1" s="1"/>
  <c r="AS41" i="1"/>
  <c r="AS137" i="1" s="1"/>
  <c r="AX23" i="1"/>
  <c r="AX35" i="1" s="1"/>
  <c r="AY36" i="1"/>
  <c r="AY22" i="1"/>
  <c r="AY21" i="1"/>
  <c r="AY32" i="1"/>
  <c r="AY33" i="1" s="1"/>
  <c r="AY27" i="1"/>
  <c r="AY28" i="1" s="1"/>
  <c r="AV42" i="1"/>
  <c r="AX3" i="1"/>
  <c r="AX82" i="1" s="1"/>
  <c r="AY2" i="1"/>
  <c r="AZ4" i="1"/>
  <c r="AX37" i="1" l="1"/>
  <c r="AX129" i="1"/>
  <c r="AZ123" i="1"/>
  <c r="AZ122" i="1"/>
  <c r="AZ124" i="1" s="1"/>
  <c r="AY124" i="1"/>
  <c r="AW59" i="1"/>
  <c r="AS43" i="1"/>
  <c r="AS84" i="1"/>
  <c r="AS85" i="1" s="1"/>
  <c r="AS87" i="1" s="1"/>
  <c r="AS138" i="1" s="1"/>
  <c r="AZ55" i="1"/>
  <c r="AZ52" i="1"/>
  <c r="AZ54" i="1"/>
  <c r="AZ53" i="1"/>
  <c r="AY77" i="1"/>
  <c r="AY74" i="1"/>
  <c r="AY73" i="1"/>
  <c r="AY72" i="1"/>
  <c r="AY71" i="1"/>
  <c r="AY70" i="1"/>
  <c r="AY69" i="1"/>
  <c r="AY68" i="1"/>
  <c r="AY67" i="1"/>
  <c r="AY66" i="1"/>
  <c r="AY60" i="1"/>
  <c r="AY76" i="1"/>
  <c r="AX57" i="1"/>
  <c r="AX61" i="1"/>
  <c r="AX58" i="1"/>
  <c r="AY56" i="1"/>
  <c r="AT41" i="1"/>
  <c r="AY23" i="1"/>
  <c r="AY35" i="1" s="1"/>
  <c r="AZ32" i="1"/>
  <c r="AZ33" i="1" s="1"/>
  <c r="AZ27" i="1"/>
  <c r="AZ28" i="1" s="1"/>
  <c r="AZ36" i="1"/>
  <c r="AZ22" i="1"/>
  <c r="AZ21" i="1"/>
  <c r="AW42" i="1"/>
  <c r="AX40" i="1"/>
  <c r="AX83" i="1" s="1"/>
  <c r="AY3" i="1"/>
  <c r="AY82" i="1" s="1"/>
  <c r="AZ2" i="1"/>
  <c r="BA4" i="1"/>
  <c r="AU41" i="1" l="1"/>
  <c r="AU137" i="1" s="1"/>
  <c r="AT137" i="1"/>
  <c r="AY37" i="1"/>
  <c r="AY129" i="1"/>
  <c r="BA122" i="1"/>
  <c r="BA123" i="1"/>
  <c r="AW62" i="1"/>
  <c r="AX59" i="1"/>
  <c r="AX62" i="1" s="1"/>
  <c r="AX63" i="1" s="1"/>
  <c r="AX64" i="1" s="1"/>
  <c r="AU43" i="1"/>
  <c r="AU84" i="1"/>
  <c r="AU85" i="1" s="1"/>
  <c r="AU87" i="1" s="1"/>
  <c r="AU138" i="1" s="1"/>
  <c r="BA55" i="1"/>
  <c r="BA52" i="1"/>
  <c r="BA54" i="1"/>
  <c r="BA53" i="1"/>
  <c r="AZ77" i="1"/>
  <c r="AZ74" i="1"/>
  <c r="AZ73" i="1"/>
  <c r="AZ72" i="1"/>
  <c r="AZ71" i="1"/>
  <c r="AZ70" i="1"/>
  <c r="AZ69" i="1"/>
  <c r="AZ68" i="1"/>
  <c r="AZ67" i="1"/>
  <c r="AZ66" i="1"/>
  <c r="AZ60" i="1"/>
  <c r="AZ76" i="1"/>
  <c r="AZ56" i="1"/>
  <c r="AT43" i="1"/>
  <c r="AT84" i="1"/>
  <c r="AT85" i="1" s="1"/>
  <c r="AT87" i="1" s="1"/>
  <c r="AT138" i="1" s="1"/>
  <c r="AY57" i="1"/>
  <c r="AY61" i="1"/>
  <c r="AY58" i="1"/>
  <c r="AZ23" i="1"/>
  <c r="AZ35" i="1" s="1"/>
  <c r="AX42" i="1"/>
  <c r="AV41" i="1"/>
  <c r="AV137" i="1" s="1"/>
  <c r="BA32" i="1"/>
  <c r="BA33" i="1" s="1"/>
  <c r="BA27" i="1"/>
  <c r="BA28" i="1" s="1"/>
  <c r="BA21" i="1"/>
  <c r="BA22" i="1"/>
  <c r="BA36" i="1"/>
  <c r="AZ3" i="1"/>
  <c r="AZ82" i="1" s="1"/>
  <c r="BA2" i="1"/>
  <c r="BB4" i="1"/>
  <c r="AZ37" i="1" l="1"/>
  <c r="AZ129" i="1"/>
  <c r="AY40" i="1"/>
  <c r="AY83" i="1" s="1"/>
  <c r="BB122" i="1"/>
  <c r="BB123" i="1"/>
  <c r="BA124" i="1"/>
  <c r="AW63" i="1"/>
  <c r="AY59" i="1"/>
  <c r="AY62" i="1" s="1"/>
  <c r="AY63" i="1" s="1"/>
  <c r="AY64" i="1" s="1"/>
  <c r="AY75" i="1" s="1"/>
  <c r="AY78" i="1" s="1"/>
  <c r="AY80" i="1" s="1"/>
  <c r="AY130" i="1" s="1"/>
  <c r="BA77" i="1"/>
  <c r="BA74" i="1"/>
  <c r="BA73" i="1"/>
  <c r="BA72" i="1"/>
  <c r="BA71" i="1"/>
  <c r="BA70" i="1"/>
  <c r="BA69" i="1"/>
  <c r="BA68" i="1"/>
  <c r="BA67" i="1"/>
  <c r="BA66" i="1"/>
  <c r="BA60" i="1"/>
  <c r="BA76" i="1"/>
  <c r="BA56" i="1"/>
  <c r="AZ57" i="1"/>
  <c r="AZ61" i="1"/>
  <c r="AZ58" i="1"/>
  <c r="AX75" i="1"/>
  <c r="AX78" i="1" s="1"/>
  <c r="AX80" i="1" s="1"/>
  <c r="AX130" i="1" s="1"/>
  <c r="BB52" i="1"/>
  <c r="BB55" i="1"/>
  <c r="BB54" i="1"/>
  <c r="BB53" i="1"/>
  <c r="AV43" i="1"/>
  <c r="AV84" i="1"/>
  <c r="AV85" i="1" s="1"/>
  <c r="AV87" i="1" s="1"/>
  <c r="AV138" i="1" s="1"/>
  <c r="AW41" i="1"/>
  <c r="BA23" i="1"/>
  <c r="BA35" i="1" s="1"/>
  <c r="BB27" i="1"/>
  <c r="BB28" i="1" s="1"/>
  <c r="BB22" i="1"/>
  <c r="BB32" i="1"/>
  <c r="BB33" i="1" s="1"/>
  <c r="BB21" i="1"/>
  <c r="BB36" i="1"/>
  <c r="BA3" i="1"/>
  <c r="BA82" i="1" s="1"/>
  <c r="BC4" i="1"/>
  <c r="BB2" i="1"/>
  <c r="BA37" i="1" l="1"/>
  <c r="BA129" i="1"/>
  <c r="AW84" i="1"/>
  <c r="AW85" i="1" s="1"/>
  <c r="AW137" i="1"/>
  <c r="AZ40" i="1"/>
  <c r="AZ83" i="1" s="1"/>
  <c r="AY42" i="1"/>
  <c r="BC123" i="1"/>
  <c r="BC122" i="1"/>
  <c r="BB124" i="1"/>
  <c r="AW64" i="1"/>
  <c r="AZ59" i="1"/>
  <c r="AZ62" i="1"/>
  <c r="AZ63" i="1" s="1"/>
  <c r="AZ64" i="1" s="1"/>
  <c r="BC53" i="1"/>
  <c r="BC54" i="1"/>
  <c r="BC52" i="1"/>
  <c r="BC55" i="1"/>
  <c r="BA57" i="1"/>
  <c r="BA61" i="1"/>
  <c r="BA58" i="1"/>
  <c r="BB60" i="1"/>
  <c r="BB66" i="1"/>
  <c r="BB71" i="1"/>
  <c r="BB72" i="1"/>
  <c r="BB73" i="1"/>
  <c r="BB70" i="1"/>
  <c r="BB74" i="1"/>
  <c r="BB77" i="1"/>
  <c r="BB69" i="1"/>
  <c r="BB68" i="1"/>
  <c r="BB67" i="1"/>
  <c r="BB76" i="1"/>
  <c r="BB56" i="1"/>
  <c r="AW43" i="1"/>
  <c r="AX41" i="1"/>
  <c r="BB23" i="1"/>
  <c r="BB35" i="1" s="1"/>
  <c r="BC22" i="1"/>
  <c r="BC32" i="1"/>
  <c r="BC33" i="1" s="1"/>
  <c r="BC27" i="1"/>
  <c r="BC28" i="1" s="1"/>
  <c r="BC21" i="1"/>
  <c r="BC36" i="1"/>
  <c r="BB3" i="1"/>
  <c r="BB82" i="1" s="1"/>
  <c r="BD4" i="1"/>
  <c r="BC2" i="1"/>
  <c r="BA40" i="1" l="1"/>
  <c r="BA83" i="1" s="1"/>
  <c r="AY41" i="1"/>
  <c r="AY137" i="1" s="1"/>
  <c r="AX137" i="1"/>
  <c r="AZ42" i="1"/>
  <c r="AZ41" i="1" s="1"/>
  <c r="AZ137" i="1" s="1"/>
  <c r="BB37" i="1"/>
  <c r="BB40" i="1" s="1"/>
  <c r="BB83" i="1" s="1"/>
  <c r="BB129" i="1"/>
  <c r="BC124" i="1"/>
  <c r="BD123" i="1"/>
  <c r="BD122" i="1"/>
  <c r="BC23" i="1"/>
  <c r="BC35" i="1" s="1"/>
  <c r="AW75" i="1"/>
  <c r="BA59" i="1"/>
  <c r="BA62" i="1" s="1"/>
  <c r="BA63" i="1" s="1"/>
  <c r="BA64" i="1" s="1"/>
  <c r="AY43" i="1"/>
  <c r="AY84" i="1"/>
  <c r="AY85" i="1" s="1"/>
  <c r="AY87" i="1" s="1"/>
  <c r="AY138" i="1" s="1"/>
  <c r="AZ75" i="1"/>
  <c r="AZ78" i="1" s="1"/>
  <c r="AZ80" i="1" s="1"/>
  <c r="AZ130" i="1" s="1"/>
  <c r="BD52" i="1"/>
  <c r="BD53" i="1"/>
  <c r="BD55" i="1"/>
  <c r="BD54" i="1"/>
  <c r="BB57" i="1"/>
  <c r="BB61" i="1"/>
  <c r="BB58" i="1"/>
  <c r="AX43" i="1"/>
  <c r="AX84" i="1"/>
  <c r="AX85" i="1" s="1"/>
  <c r="AX87" i="1" s="1"/>
  <c r="AX138" i="1" s="1"/>
  <c r="BC56" i="1"/>
  <c r="BC60" i="1"/>
  <c r="BC77" i="1"/>
  <c r="BC74" i="1"/>
  <c r="BC73" i="1"/>
  <c r="BC72" i="1"/>
  <c r="BC71" i="1"/>
  <c r="BC70" i="1"/>
  <c r="BC68" i="1"/>
  <c r="BC69" i="1"/>
  <c r="BC66" i="1"/>
  <c r="BC67" i="1"/>
  <c r="BC76" i="1"/>
  <c r="BD21" i="1"/>
  <c r="BD32" i="1"/>
  <c r="BD33" i="1" s="1"/>
  <c r="BD27" i="1"/>
  <c r="BD28" i="1" s="1"/>
  <c r="BD22" i="1"/>
  <c r="BD36" i="1"/>
  <c r="BC3" i="1"/>
  <c r="BC82" i="1" s="1"/>
  <c r="BE4" i="1"/>
  <c r="BD2" i="1"/>
  <c r="BC37" i="1" l="1"/>
  <c r="BC129" i="1"/>
  <c r="BD124" i="1"/>
  <c r="BA42" i="1"/>
  <c r="BA41" i="1" s="1"/>
  <c r="BA137" i="1" s="1"/>
  <c r="BE123" i="1"/>
  <c r="BE122" i="1"/>
  <c r="BE124" i="1" s="1"/>
  <c r="AW78" i="1"/>
  <c r="BB59" i="1"/>
  <c r="BB62" i="1" s="1"/>
  <c r="BB63" i="1" s="1"/>
  <c r="BB64" i="1" s="1"/>
  <c r="BD67" i="1"/>
  <c r="BD71" i="1"/>
  <c r="BD72" i="1"/>
  <c r="BD70" i="1"/>
  <c r="BD60" i="1"/>
  <c r="BD73" i="1"/>
  <c r="BD74" i="1"/>
  <c r="BD69" i="1"/>
  <c r="BD77" i="1"/>
  <c r="BD68" i="1"/>
  <c r="BD66" i="1"/>
  <c r="BD76" i="1"/>
  <c r="BE54" i="1"/>
  <c r="BE52" i="1"/>
  <c r="BE55" i="1"/>
  <c r="BE53" i="1"/>
  <c r="BD56" i="1"/>
  <c r="BA75" i="1"/>
  <c r="BA78" i="1" s="1"/>
  <c r="BA80" i="1" s="1"/>
  <c r="BA130" i="1" s="1"/>
  <c r="AZ43" i="1"/>
  <c r="AZ84" i="1"/>
  <c r="AZ85" i="1" s="1"/>
  <c r="AZ87" i="1" s="1"/>
  <c r="AZ138" i="1" s="1"/>
  <c r="BC57" i="1"/>
  <c r="BC61" i="1"/>
  <c r="BC58" i="1"/>
  <c r="BE32" i="1"/>
  <c r="BE33" i="1" s="1"/>
  <c r="BE21" i="1"/>
  <c r="BE27" i="1"/>
  <c r="BE28" i="1" s="1"/>
  <c r="BE22" i="1"/>
  <c r="BE36" i="1"/>
  <c r="BD23" i="1"/>
  <c r="BD35" i="1" s="1"/>
  <c r="BD3" i="1"/>
  <c r="BD82" i="1" s="1"/>
  <c r="BF4" i="1"/>
  <c r="BE2" i="1"/>
  <c r="BB42" i="1" l="1"/>
  <c r="BB41" i="1" s="1"/>
  <c r="BB137" i="1" s="1"/>
  <c r="BD37" i="1"/>
  <c r="BD129" i="1"/>
  <c r="BC40" i="1"/>
  <c r="BC83" i="1" s="1"/>
  <c r="BF123" i="1"/>
  <c r="BF122" i="1"/>
  <c r="BC59" i="1"/>
  <c r="AW80" i="1"/>
  <c r="AW130" i="1" s="1"/>
  <c r="BC62" i="1"/>
  <c r="BC63" i="1" s="1"/>
  <c r="BC64" i="1" s="1"/>
  <c r="BC75" i="1" s="1"/>
  <c r="BC78" i="1" s="1"/>
  <c r="BC80" i="1" s="1"/>
  <c r="BC130" i="1" s="1"/>
  <c r="BF55" i="1"/>
  <c r="BF52" i="1"/>
  <c r="BF53" i="1"/>
  <c r="BF54" i="1"/>
  <c r="BA43" i="1"/>
  <c r="BA84" i="1"/>
  <c r="BA85" i="1" s="1"/>
  <c r="BA87" i="1" s="1"/>
  <c r="BA138" i="1" s="1"/>
  <c r="BE60" i="1"/>
  <c r="BE71" i="1"/>
  <c r="BE72" i="1"/>
  <c r="BE70" i="1"/>
  <c r="BE73" i="1"/>
  <c r="BE74" i="1"/>
  <c r="BE69" i="1"/>
  <c r="BE67" i="1"/>
  <c r="BE77" i="1"/>
  <c r="BE68" i="1"/>
  <c r="BE66" i="1"/>
  <c r="BE76" i="1"/>
  <c r="BD61" i="1"/>
  <c r="BD58" i="1"/>
  <c r="BD57" i="1"/>
  <c r="BD59" i="1" s="1"/>
  <c r="BD62" i="1" s="1"/>
  <c r="BE56" i="1"/>
  <c r="BB75" i="1"/>
  <c r="BB78" i="1" s="1"/>
  <c r="BB80" i="1" s="1"/>
  <c r="BB130" i="1" s="1"/>
  <c r="BE23" i="1"/>
  <c r="BE35" i="1" s="1"/>
  <c r="BF32" i="1"/>
  <c r="BF33" i="1" s="1"/>
  <c r="BF27" i="1"/>
  <c r="BF28" i="1" s="1"/>
  <c r="BF36" i="1"/>
  <c r="BF22" i="1"/>
  <c r="BF21" i="1"/>
  <c r="BE3" i="1"/>
  <c r="BE82" i="1" s="1"/>
  <c r="BF2" i="1"/>
  <c r="BG4" i="1"/>
  <c r="BE37" i="1" l="1"/>
  <c r="BE129" i="1"/>
  <c r="BC42" i="1"/>
  <c r="BC41" i="1" s="1"/>
  <c r="BD40" i="1"/>
  <c r="BD83" i="1" s="1"/>
  <c r="BF124" i="1"/>
  <c r="BG123" i="1"/>
  <c r="BG122" i="1"/>
  <c r="AW87" i="1"/>
  <c r="AW138" i="1" s="1"/>
  <c r="BD63" i="1"/>
  <c r="BD64" i="1" s="1"/>
  <c r="BB43" i="1"/>
  <c r="BB84" i="1"/>
  <c r="BB85" i="1" s="1"/>
  <c r="BB87" i="1" s="1"/>
  <c r="BB138" i="1" s="1"/>
  <c r="BE58" i="1"/>
  <c r="BE61" i="1"/>
  <c r="BE57" i="1"/>
  <c r="BE59" i="1" s="1"/>
  <c r="BG53" i="1"/>
  <c r="BG52" i="1"/>
  <c r="BG54" i="1"/>
  <c r="BG55" i="1"/>
  <c r="BF72" i="1"/>
  <c r="BF71" i="1"/>
  <c r="BF70" i="1"/>
  <c r="BF60" i="1"/>
  <c r="BF73" i="1"/>
  <c r="BF74" i="1"/>
  <c r="BF69" i="1"/>
  <c r="BF77" i="1"/>
  <c r="BF68" i="1"/>
  <c r="BF66" i="1"/>
  <c r="BF67" i="1"/>
  <c r="BF76" i="1"/>
  <c r="BF56" i="1"/>
  <c r="BF23" i="1"/>
  <c r="BF35" i="1" s="1"/>
  <c r="BG32" i="1"/>
  <c r="BG33" i="1" s="1"/>
  <c r="BG27" i="1"/>
  <c r="BG28" i="1" s="1"/>
  <c r="BG22" i="1"/>
  <c r="BG21" i="1"/>
  <c r="BG36" i="1"/>
  <c r="BE40" i="1"/>
  <c r="BE83" i="1" s="1"/>
  <c r="BF3" i="1"/>
  <c r="BF82" i="1" s="1"/>
  <c r="BH4" i="1"/>
  <c r="BG2" i="1"/>
  <c r="BG124" i="1" l="1"/>
  <c r="BC137" i="1"/>
  <c r="BC84" i="1"/>
  <c r="BC85" i="1" s="1"/>
  <c r="BC87" i="1" s="1"/>
  <c r="BC138" i="1" s="1"/>
  <c r="BC43" i="1"/>
  <c r="BD42" i="1"/>
  <c r="BD41" i="1" s="1"/>
  <c r="BF37" i="1"/>
  <c r="BF40" i="1" s="1"/>
  <c r="BF83" i="1" s="1"/>
  <c r="BF129" i="1"/>
  <c r="BH123" i="1"/>
  <c r="BH122" i="1"/>
  <c r="BE62" i="1"/>
  <c r="BG56" i="1"/>
  <c r="BG61" i="1" s="1"/>
  <c r="BE63" i="1"/>
  <c r="BE64" i="1" s="1"/>
  <c r="BG73" i="1"/>
  <c r="BG71" i="1"/>
  <c r="BG72" i="1"/>
  <c r="BG70" i="1"/>
  <c r="BG60" i="1"/>
  <c r="BG74" i="1"/>
  <c r="BG69" i="1"/>
  <c r="BG77" i="1"/>
  <c r="BG68" i="1"/>
  <c r="BG67" i="1"/>
  <c r="BG66" i="1"/>
  <c r="BG76" i="1"/>
  <c r="BD75" i="1"/>
  <c r="BH55" i="1"/>
  <c r="BH52" i="1"/>
  <c r="BH54" i="1"/>
  <c r="BH53" i="1"/>
  <c r="BG57" i="1"/>
  <c r="BF61" i="1"/>
  <c r="BF57" i="1"/>
  <c r="BF58" i="1"/>
  <c r="BG23" i="1"/>
  <c r="BG35" i="1" s="1"/>
  <c r="BH27" i="1"/>
  <c r="BH22" i="1"/>
  <c r="K22" i="1" s="1"/>
  <c r="BH21" i="1"/>
  <c r="BH36" i="1"/>
  <c r="K36" i="1" s="1"/>
  <c r="BH32" i="1"/>
  <c r="BG3" i="1"/>
  <c r="BG82" i="1" s="1"/>
  <c r="BH2" i="1"/>
  <c r="BG58" i="1" l="1"/>
  <c r="BD43" i="1"/>
  <c r="BD137" i="1"/>
  <c r="BG37" i="1"/>
  <c r="BG129" i="1"/>
  <c r="BE42" i="1"/>
  <c r="BE41" i="1" s="1"/>
  <c r="BE137" i="1" s="1"/>
  <c r="BD84" i="1"/>
  <c r="BD85" i="1" s="1"/>
  <c r="BH124" i="1"/>
  <c r="BG59" i="1"/>
  <c r="BG62" i="1" s="1"/>
  <c r="BD78" i="1"/>
  <c r="BF59" i="1"/>
  <c r="BF62" i="1" s="1"/>
  <c r="BF63" i="1" s="1"/>
  <c r="BF64" i="1" s="1"/>
  <c r="BF75" i="1" s="1"/>
  <c r="BF78" i="1" s="1"/>
  <c r="BF80" i="1" s="1"/>
  <c r="BF130" i="1" s="1"/>
  <c r="BG63" i="1"/>
  <c r="BG64" i="1" s="1"/>
  <c r="BE75" i="1"/>
  <c r="BE78" i="1" s="1"/>
  <c r="BE80" i="1" s="1"/>
  <c r="BE130" i="1" s="1"/>
  <c r="BH56" i="1"/>
  <c r="I90" i="1" s="1"/>
  <c r="BH77" i="1"/>
  <c r="I111" i="1" s="1"/>
  <c r="BH74" i="1"/>
  <c r="I108" i="1" s="1"/>
  <c r="BH73" i="1"/>
  <c r="I107" i="1" s="1"/>
  <c r="BH72" i="1"/>
  <c r="I106" i="1" s="1"/>
  <c r="BH71" i="1"/>
  <c r="I105" i="1" s="1"/>
  <c r="BH70" i="1"/>
  <c r="I104" i="1" s="1"/>
  <c r="BH69" i="1"/>
  <c r="I103" i="1" s="1"/>
  <c r="BH68" i="1"/>
  <c r="I102" i="1" s="1"/>
  <c r="BH67" i="1"/>
  <c r="I101" i="1" s="1"/>
  <c r="BH66" i="1"/>
  <c r="I100" i="1" s="1"/>
  <c r="BH60" i="1"/>
  <c r="I94" i="1" s="1"/>
  <c r="BH76" i="1"/>
  <c r="I110" i="1" s="1"/>
  <c r="BG40" i="1"/>
  <c r="BG83" i="1" s="1"/>
  <c r="BH33" i="1"/>
  <c r="K32" i="1"/>
  <c r="BH23" i="1"/>
  <c r="K21" i="1"/>
  <c r="BH28" i="1"/>
  <c r="K27" i="1"/>
  <c r="BH3" i="1"/>
  <c r="BH82" i="1" s="1"/>
  <c r="BE84" i="1" l="1"/>
  <c r="BE85" i="1" s="1"/>
  <c r="BE87" i="1" s="1"/>
  <c r="BE138" i="1" s="1"/>
  <c r="BF42" i="1"/>
  <c r="BF41" i="1" s="1"/>
  <c r="BF137" i="1" s="1"/>
  <c r="BE43" i="1"/>
  <c r="BD80" i="1"/>
  <c r="BD130" i="1" s="1"/>
  <c r="BH61" i="1"/>
  <c r="I95" i="1" s="1"/>
  <c r="BH57" i="1"/>
  <c r="I91" i="1" s="1"/>
  <c r="BH58" i="1"/>
  <c r="I92" i="1" s="1"/>
  <c r="BG75" i="1"/>
  <c r="BG78" i="1" s="1"/>
  <c r="BG80" i="1" s="1"/>
  <c r="BG130" i="1" s="1"/>
  <c r="BH35" i="1"/>
  <c r="BF84" i="1" l="1"/>
  <c r="BF85" i="1" s="1"/>
  <c r="BF87" i="1" s="1"/>
  <c r="BF138" i="1" s="1"/>
  <c r="BH37" i="1"/>
  <c r="BH129" i="1"/>
  <c r="BF43" i="1"/>
  <c r="BG42" i="1"/>
  <c r="BG41" i="1" s="1"/>
  <c r="BG137" i="1" s="1"/>
  <c r="BD87" i="1"/>
  <c r="BD138" i="1" s="1"/>
  <c r="BH59" i="1"/>
  <c r="BH40" i="1"/>
  <c r="BH83" i="1" s="1"/>
  <c r="BG84" i="1" l="1"/>
  <c r="BG85" i="1" s="1"/>
  <c r="BG87" i="1" s="1"/>
  <c r="BG138" i="1" s="1"/>
  <c r="BG43" i="1"/>
  <c r="BH62" i="1"/>
  <c r="I93" i="1"/>
  <c r="K40" i="1"/>
  <c r="BH42" i="1"/>
  <c r="K42" i="1" s="1"/>
  <c r="I96" i="1" l="1"/>
  <c r="BH63" i="1"/>
  <c r="BH41" i="1"/>
  <c r="BH84" i="1" l="1"/>
  <c r="BH85" i="1" s="1"/>
  <c r="BH137" i="1"/>
  <c r="BH64" i="1"/>
  <c r="I97" i="1"/>
  <c r="K41" i="1"/>
  <c r="BH43" i="1"/>
  <c r="I98" i="1" l="1"/>
  <c r="BH75" i="1"/>
  <c r="BH78" i="1" l="1"/>
  <c r="I109" i="1"/>
  <c r="BH80" i="1" l="1"/>
  <c r="BH130" i="1" s="1"/>
  <c r="I112" i="1"/>
  <c r="I114" i="1" l="1"/>
  <c r="I117" i="1" s="1"/>
  <c r="BH87" i="1"/>
  <c r="BH138" i="1" s="1"/>
  <c r="L117" i="1" l="1"/>
  <c r="M117" i="1"/>
  <c r="N117" i="1"/>
  <c r="P117" i="1"/>
  <c r="O117" i="1"/>
  <c r="Q117" i="1"/>
  <c r="R117" i="1"/>
  <c r="S117" i="1"/>
  <c r="T117" i="1"/>
  <c r="U117" i="1"/>
  <c r="V117" i="1"/>
  <c r="W117" i="1"/>
  <c r="X117" i="1"/>
  <c r="Z117" i="1"/>
  <c r="Y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I118" i="1"/>
  <c r="I119" i="1" l="1"/>
  <c r="I126" i="1" s="1"/>
  <c r="L118" i="1"/>
  <c r="L119" i="1" s="1"/>
  <c r="M118" i="1"/>
  <c r="M119" i="1" s="1"/>
  <c r="N118" i="1"/>
  <c r="N119" i="1" s="1"/>
  <c r="P118" i="1"/>
  <c r="P119" i="1" s="1"/>
  <c r="O118" i="1"/>
  <c r="O119" i="1" s="1"/>
  <c r="Q118" i="1"/>
  <c r="Q119" i="1" s="1"/>
  <c r="R118" i="1"/>
  <c r="R119" i="1" s="1"/>
  <c r="S118" i="1"/>
  <c r="S119" i="1" s="1"/>
  <c r="T118" i="1"/>
  <c r="T119" i="1" s="1"/>
  <c r="U118" i="1"/>
  <c r="U119" i="1" s="1"/>
  <c r="V118" i="1"/>
  <c r="V119" i="1" s="1"/>
  <c r="W118" i="1"/>
  <c r="W119" i="1" s="1"/>
  <c r="X118" i="1"/>
  <c r="X119" i="1" s="1"/>
  <c r="Z118" i="1"/>
  <c r="Z119" i="1" s="1"/>
  <c r="Y118" i="1"/>
  <c r="Y119" i="1" s="1"/>
  <c r="AA118" i="1"/>
  <c r="AA119" i="1" s="1"/>
  <c r="AB118" i="1"/>
  <c r="AB119" i="1" s="1"/>
  <c r="AC118" i="1"/>
  <c r="AC119" i="1" s="1"/>
  <c r="AD118" i="1"/>
  <c r="AD119" i="1" s="1"/>
  <c r="AE118" i="1"/>
  <c r="AE119" i="1" s="1"/>
  <c r="AF118" i="1"/>
  <c r="AF119" i="1" s="1"/>
  <c r="AG118" i="1"/>
  <c r="AG119" i="1" s="1"/>
  <c r="AH118" i="1"/>
  <c r="AH119" i="1" s="1"/>
  <c r="AI118" i="1"/>
  <c r="AI119" i="1" s="1"/>
  <c r="AJ118" i="1"/>
  <c r="AJ119" i="1" s="1"/>
  <c r="AK118" i="1"/>
  <c r="AK119" i="1" s="1"/>
  <c r="AL118" i="1"/>
  <c r="AL119" i="1" s="1"/>
  <c r="AM118" i="1"/>
  <c r="AM119" i="1" s="1"/>
  <c r="AN118" i="1"/>
  <c r="AN119" i="1" s="1"/>
  <c r="AO118" i="1"/>
  <c r="AO119" i="1" s="1"/>
  <c r="AP118" i="1"/>
  <c r="AP119" i="1" s="1"/>
  <c r="AQ118" i="1"/>
  <c r="AQ119" i="1" s="1"/>
  <c r="AR118" i="1"/>
  <c r="AR119" i="1" s="1"/>
  <c r="AS118" i="1"/>
  <c r="AS119" i="1" s="1"/>
  <c r="AT118" i="1"/>
  <c r="AT119" i="1" s="1"/>
  <c r="AU118" i="1"/>
  <c r="AU119" i="1" s="1"/>
  <c r="AV118" i="1"/>
  <c r="AV119" i="1" s="1"/>
  <c r="AW118" i="1"/>
  <c r="AW119" i="1" s="1"/>
  <c r="AX118" i="1"/>
  <c r="AX119" i="1" s="1"/>
  <c r="AY118" i="1"/>
  <c r="AY119" i="1" s="1"/>
  <c r="AZ118" i="1"/>
  <c r="AZ119" i="1" s="1"/>
  <c r="BA118" i="1"/>
  <c r="BA119" i="1" s="1"/>
  <c r="BB118" i="1"/>
  <c r="BB119" i="1" s="1"/>
  <c r="BC118" i="1"/>
  <c r="BC119" i="1" s="1"/>
  <c r="BD118" i="1"/>
  <c r="BD119" i="1" s="1"/>
  <c r="BE118" i="1"/>
  <c r="BE119" i="1" s="1"/>
  <c r="BF118" i="1"/>
  <c r="BF119" i="1" s="1"/>
  <c r="BG118" i="1"/>
  <c r="BG119" i="1" s="1"/>
  <c r="BH118" i="1"/>
  <c r="BH119" i="1"/>
  <c r="X126" i="1" l="1"/>
  <c r="X139" i="1" s="1"/>
  <c r="X140" i="1" s="1"/>
  <c r="X165" i="1" s="1"/>
  <c r="X131" i="1"/>
  <c r="X132" i="1" s="1"/>
  <c r="BF126" i="1"/>
  <c r="BF139" i="1" s="1"/>
  <c r="BF140" i="1" s="1"/>
  <c r="BF165" i="1" s="1"/>
  <c r="BF131" i="1"/>
  <c r="BF132" i="1" s="1"/>
  <c r="BE126" i="1"/>
  <c r="BE139" i="1" s="1"/>
  <c r="BE140" i="1" s="1"/>
  <c r="BE165" i="1" s="1"/>
  <c r="BE131" i="1"/>
  <c r="BE132" i="1" s="1"/>
  <c r="AN126" i="1"/>
  <c r="AN139" i="1" s="1"/>
  <c r="AN140" i="1" s="1"/>
  <c r="AN165" i="1" s="1"/>
  <c r="AN131" i="1"/>
  <c r="AN132" i="1" s="1"/>
  <c r="AM126" i="1"/>
  <c r="AM139" i="1" s="1"/>
  <c r="AM140" i="1" s="1"/>
  <c r="AM165" i="1" s="1"/>
  <c r="AM131" i="1"/>
  <c r="AM132" i="1" s="1"/>
  <c r="BB126" i="1"/>
  <c r="BB139" i="1" s="1"/>
  <c r="BB140" i="1" s="1"/>
  <c r="BB165" i="1" s="1"/>
  <c r="BB131" i="1"/>
  <c r="BB132" i="1" s="1"/>
  <c r="AK126" i="1"/>
  <c r="AK139" i="1" s="1"/>
  <c r="AK140" i="1" s="1"/>
  <c r="AK165" i="1" s="1"/>
  <c r="AK131" i="1"/>
  <c r="AK132" i="1" s="1"/>
  <c r="S126" i="1"/>
  <c r="S139" i="1" s="1"/>
  <c r="S140" i="1" s="1"/>
  <c r="S165" i="1" s="1"/>
  <c r="S131" i="1"/>
  <c r="S132" i="1" s="1"/>
  <c r="BD126" i="1"/>
  <c r="BD139" i="1" s="1"/>
  <c r="BD140" i="1" s="1"/>
  <c r="BD165" i="1" s="1"/>
  <c r="BD131" i="1"/>
  <c r="BD132" i="1" s="1"/>
  <c r="Y126" i="1"/>
  <c r="Y139" i="1" s="1"/>
  <c r="Y140" i="1" s="1"/>
  <c r="Y165" i="1" s="1"/>
  <c r="Y131" i="1"/>
  <c r="Y132" i="1" s="1"/>
  <c r="AO126" i="1"/>
  <c r="AO139" i="1" s="1"/>
  <c r="AO140" i="1" s="1"/>
  <c r="AO165" i="1" s="1"/>
  <c r="AO131" i="1"/>
  <c r="AO132" i="1" s="1"/>
  <c r="BC126" i="1"/>
  <c r="BC139" i="1" s="1"/>
  <c r="BC140" i="1" s="1"/>
  <c r="BC165" i="1" s="1"/>
  <c r="BC131" i="1"/>
  <c r="BC132" i="1" s="1"/>
  <c r="V126" i="1"/>
  <c r="V139" i="1" s="1"/>
  <c r="V140" i="1" s="1"/>
  <c r="V165" i="1" s="1"/>
  <c r="V131" i="1"/>
  <c r="V132" i="1" s="1"/>
  <c r="U126" i="1"/>
  <c r="U139" i="1" s="1"/>
  <c r="U140" i="1" s="1"/>
  <c r="U165" i="1" s="1"/>
  <c r="U131" i="1"/>
  <c r="U132" i="1" s="1"/>
  <c r="AJ126" i="1"/>
  <c r="AJ139" i="1" s="1"/>
  <c r="AJ140" i="1" s="1"/>
  <c r="AJ165" i="1" s="1"/>
  <c r="AJ131" i="1"/>
  <c r="AJ132" i="1" s="1"/>
  <c r="AI126" i="1"/>
  <c r="AI139" i="1" s="1"/>
  <c r="AI140" i="1" s="1"/>
  <c r="AI165" i="1" s="1"/>
  <c r="AI131" i="1"/>
  <c r="AI132" i="1" s="1"/>
  <c r="R126" i="1"/>
  <c r="R139" i="1" s="1"/>
  <c r="R140" i="1" s="1"/>
  <c r="R165" i="1" s="1"/>
  <c r="R131" i="1"/>
  <c r="R132" i="1" s="1"/>
  <c r="AG126" i="1"/>
  <c r="AG139" i="1" s="1"/>
  <c r="AG140" i="1" s="1"/>
  <c r="AG165" i="1" s="1"/>
  <c r="AG131" i="1"/>
  <c r="AG132" i="1" s="1"/>
  <c r="AV126" i="1"/>
  <c r="AV139" i="1" s="1"/>
  <c r="AV140" i="1" s="1"/>
  <c r="AV165" i="1" s="1"/>
  <c r="AV131" i="1"/>
  <c r="AV132" i="1" s="1"/>
  <c r="O126" i="1"/>
  <c r="O139" i="1" s="1"/>
  <c r="O140" i="1" s="1"/>
  <c r="O165" i="1" s="1"/>
  <c r="O131" i="1"/>
  <c r="O132" i="1" s="1"/>
  <c r="P126" i="1"/>
  <c r="P139" i="1" s="1"/>
  <c r="P140" i="1" s="1"/>
  <c r="P165" i="1" s="1"/>
  <c r="P131" i="1"/>
  <c r="P132" i="1" s="1"/>
  <c r="AD126" i="1"/>
  <c r="AD139" i="1" s="1"/>
  <c r="AD140" i="1" s="1"/>
  <c r="AD165" i="1" s="1"/>
  <c r="AD131" i="1"/>
  <c r="AD132" i="1" s="1"/>
  <c r="AS126" i="1"/>
  <c r="AS139" i="1" s="1"/>
  <c r="AS140" i="1" s="1"/>
  <c r="AS165" i="1" s="1"/>
  <c r="AS131" i="1"/>
  <c r="AS132" i="1" s="1"/>
  <c r="L126" i="1"/>
  <c r="L139" i="1" s="1"/>
  <c r="L140" i="1" s="1"/>
  <c r="L165" i="1" s="1"/>
  <c r="M145" i="1" s="1"/>
  <c r="L131" i="1"/>
  <c r="L132" i="1" s="1"/>
  <c r="AP126" i="1"/>
  <c r="AP139" i="1" s="1"/>
  <c r="AP140" i="1" s="1"/>
  <c r="AP165" i="1" s="1"/>
  <c r="AP131" i="1"/>
  <c r="AP132" i="1" s="1"/>
  <c r="Z126" i="1"/>
  <c r="Z139" i="1" s="1"/>
  <c r="Z140" i="1" s="1"/>
  <c r="Z165" i="1" s="1"/>
  <c r="Z131" i="1"/>
  <c r="Z132" i="1" s="1"/>
  <c r="W126" i="1"/>
  <c r="W139" i="1" s="1"/>
  <c r="W140" i="1" s="1"/>
  <c r="W165" i="1" s="1"/>
  <c r="W131" i="1"/>
  <c r="W132" i="1" s="1"/>
  <c r="AL126" i="1"/>
  <c r="AL139" i="1" s="1"/>
  <c r="AL140" i="1" s="1"/>
  <c r="AL165" i="1" s="1"/>
  <c r="AL131" i="1"/>
  <c r="AL132" i="1" s="1"/>
  <c r="BA126" i="1"/>
  <c r="BA139" i="1" s="1"/>
  <c r="BA140" i="1" s="1"/>
  <c r="BA165" i="1" s="1"/>
  <c r="BA131" i="1"/>
  <c r="BA132" i="1" s="1"/>
  <c r="AZ126" i="1"/>
  <c r="AZ139" i="1" s="1"/>
  <c r="AZ140" i="1" s="1"/>
  <c r="AZ165" i="1" s="1"/>
  <c r="AZ131" i="1"/>
  <c r="AZ132" i="1" s="1"/>
  <c r="T126" i="1"/>
  <c r="T139" i="1" s="1"/>
  <c r="T140" i="1" s="1"/>
  <c r="T165" i="1" s="1"/>
  <c r="T131" i="1"/>
  <c r="T132" i="1" s="1"/>
  <c r="AY126" i="1"/>
  <c r="AY139" i="1" s="1"/>
  <c r="AY140" i="1" s="1"/>
  <c r="AY165" i="1" s="1"/>
  <c r="AY131" i="1"/>
  <c r="AY132" i="1" s="1"/>
  <c r="AX126" i="1"/>
  <c r="AX139" i="1" s="1"/>
  <c r="AX140" i="1" s="1"/>
  <c r="AX165" i="1" s="1"/>
  <c r="AX131" i="1"/>
  <c r="AX132" i="1" s="1"/>
  <c r="AH126" i="1"/>
  <c r="AH139" i="1" s="1"/>
  <c r="AH140" i="1" s="1"/>
  <c r="AH165" i="1" s="1"/>
  <c r="AH131" i="1"/>
  <c r="AH132" i="1" s="1"/>
  <c r="AW126" i="1"/>
  <c r="AW139" i="1" s="1"/>
  <c r="AW140" i="1" s="1"/>
  <c r="AW165" i="1" s="1"/>
  <c r="AW131" i="1"/>
  <c r="AW132" i="1" s="1"/>
  <c r="Q126" i="1"/>
  <c r="Q139" i="1" s="1"/>
  <c r="Q140" i="1" s="1"/>
  <c r="Q165" i="1" s="1"/>
  <c r="Q131" i="1"/>
  <c r="Q132" i="1" s="1"/>
  <c r="AF126" i="1"/>
  <c r="AF139" i="1" s="1"/>
  <c r="AF140" i="1" s="1"/>
  <c r="AF165" i="1" s="1"/>
  <c r="AF131" i="1"/>
  <c r="AF132" i="1" s="1"/>
  <c r="AU126" i="1"/>
  <c r="AU139" i="1" s="1"/>
  <c r="AU140" i="1" s="1"/>
  <c r="AU165" i="1" s="1"/>
  <c r="AU131" i="1"/>
  <c r="AU132" i="1" s="1"/>
  <c r="AE126" i="1"/>
  <c r="AE139" i="1" s="1"/>
  <c r="AE140" i="1" s="1"/>
  <c r="AE165" i="1" s="1"/>
  <c r="AE131" i="1"/>
  <c r="AE132" i="1" s="1"/>
  <c r="AT126" i="1"/>
  <c r="AT139" i="1" s="1"/>
  <c r="AT140" i="1" s="1"/>
  <c r="AT165" i="1" s="1"/>
  <c r="AT131" i="1"/>
  <c r="AT132" i="1" s="1"/>
  <c r="N126" i="1"/>
  <c r="N139" i="1" s="1"/>
  <c r="N140" i="1" s="1"/>
  <c r="N165" i="1" s="1"/>
  <c r="N131" i="1"/>
  <c r="N132" i="1" s="1"/>
  <c r="BH126" i="1"/>
  <c r="BH139" i="1" s="1"/>
  <c r="BH140" i="1" s="1"/>
  <c r="BH165" i="1" s="1"/>
  <c r="BH131" i="1"/>
  <c r="BH132" i="1" s="1"/>
  <c r="AC126" i="1"/>
  <c r="AC139" i="1" s="1"/>
  <c r="AC140" i="1" s="1"/>
  <c r="AC165" i="1" s="1"/>
  <c r="AC131" i="1"/>
  <c r="AC132" i="1" s="1"/>
  <c r="M126" i="1"/>
  <c r="M139" i="1" s="1"/>
  <c r="M140" i="1" s="1"/>
  <c r="M165" i="1" s="1"/>
  <c r="M131" i="1"/>
  <c r="M132" i="1" s="1"/>
  <c r="AR126" i="1"/>
  <c r="AR139" i="1" s="1"/>
  <c r="AR140" i="1" s="1"/>
  <c r="AR165" i="1" s="1"/>
  <c r="AR131" i="1"/>
  <c r="AR132" i="1" s="1"/>
  <c r="AB126" i="1"/>
  <c r="AB139" i="1" s="1"/>
  <c r="AB140" i="1" s="1"/>
  <c r="AB165" i="1" s="1"/>
  <c r="AB131" i="1"/>
  <c r="AB132" i="1" s="1"/>
  <c r="BG126" i="1"/>
  <c r="BG139" i="1" s="1"/>
  <c r="BG140" i="1" s="1"/>
  <c r="BG165" i="1" s="1"/>
  <c r="BG131" i="1"/>
  <c r="BG132" i="1" s="1"/>
  <c r="AQ126" i="1"/>
  <c r="AQ139" i="1" s="1"/>
  <c r="AQ140" i="1" s="1"/>
  <c r="AQ165" i="1" s="1"/>
  <c r="AQ131" i="1"/>
  <c r="AQ132" i="1" s="1"/>
  <c r="AA126" i="1"/>
  <c r="AA139" i="1" s="1"/>
  <c r="AA140" i="1" s="1"/>
  <c r="AA165" i="1" s="1"/>
  <c r="AA131" i="1"/>
  <c r="AA132" i="1" s="1"/>
  <c r="AE179" i="1" l="1"/>
  <c r="AE158" i="1" s="1"/>
  <c r="AE172" i="1"/>
  <c r="AE151" i="1" s="1"/>
  <c r="AZ172" i="1"/>
  <c r="AZ151" i="1" s="1"/>
  <c r="AZ179" i="1"/>
  <c r="AZ158" i="1" s="1"/>
  <c r="BB179" i="1"/>
  <c r="BB158" i="1" s="1"/>
  <c r="BB172" i="1"/>
  <c r="BB151" i="1" s="1"/>
  <c r="AK179" i="1"/>
  <c r="AK158" i="1" s="1"/>
  <c r="AK172" i="1"/>
  <c r="AK151" i="1" s="1"/>
  <c r="U172" i="1"/>
  <c r="U151" i="1" s="1"/>
  <c r="U179" i="1"/>
  <c r="U158" i="1" s="1"/>
  <c r="BA172" i="1"/>
  <c r="BA151" i="1" s="1"/>
  <c r="BA179" i="1"/>
  <c r="BA158" i="1" s="1"/>
  <c r="AN172" i="1"/>
  <c r="AN151" i="1" s="1"/>
  <c r="AN179" i="1"/>
  <c r="AN158" i="1" s="1"/>
  <c r="AW179" i="1"/>
  <c r="AW158" i="1" s="1"/>
  <c r="AW172" i="1"/>
  <c r="AW151" i="1" s="1"/>
  <c r="T172" i="1"/>
  <c r="T151" i="1" s="1"/>
  <c r="T179" i="1"/>
  <c r="T158" i="1" s="1"/>
  <c r="AD179" i="1"/>
  <c r="AD158" i="1" s="1"/>
  <c r="AD172" i="1"/>
  <c r="AD151" i="1" s="1"/>
  <c r="AF179" i="1"/>
  <c r="AF158" i="1" s="1"/>
  <c r="AF172" i="1"/>
  <c r="AF151" i="1" s="1"/>
  <c r="BC179" i="1"/>
  <c r="BC158" i="1" s="1"/>
  <c r="BC172" i="1"/>
  <c r="BC151" i="1" s="1"/>
  <c r="W172" i="1"/>
  <c r="W151" i="1" s="1"/>
  <c r="W179" i="1"/>
  <c r="W158" i="1" s="1"/>
  <c r="AH179" i="1"/>
  <c r="AH158" i="1" s="1"/>
  <c r="AH172" i="1"/>
  <c r="AH151" i="1" s="1"/>
  <c r="AG179" i="1"/>
  <c r="AG158" i="1" s="1"/>
  <c r="AG172" i="1"/>
  <c r="AG151" i="1" s="1"/>
  <c r="Y179" i="1"/>
  <c r="Y158" i="1" s="1"/>
  <c r="Y172" i="1"/>
  <c r="Y151" i="1" s="1"/>
  <c r="BF179" i="1"/>
  <c r="BF158" i="1" s="1"/>
  <c r="BF172" i="1"/>
  <c r="BF151" i="1" s="1"/>
  <c r="AJ172" i="1"/>
  <c r="AJ151" i="1" s="1"/>
  <c r="AJ179" i="1"/>
  <c r="AJ158" i="1" s="1"/>
  <c r="AU179" i="1"/>
  <c r="AU158" i="1" s="1"/>
  <c r="AU172" i="1"/>
  <c r="AU151" i="1" s="1"/>
  <c r="P179" i="1"/>
  <c r="P158" i="1" s="1"/>
  <c r="P172" i="1"/>
  <c r="P151" i="1" s="1"/>
  <c r="M179" i="1"/>
  <c r="M158" i="1" s="1"/>
  <c r="M172" i="1"/>
  <c r="M151" i="1" s="1"/>
  <c r="BE179" i="1"/>
  <c r="BE158" i="1" s="1"/>
  <c r="BE172" i="1"/>
  <c r="BE151" i="1" s="1"/>
  <c r="Z179" i="1"/>
  <c r="Z158" i="1" s="1"/>
  <c r="Z172" i="1"/>
  <c r="Z151" i="1" s="1"/>
  <c r="AS179" i="1"/>
  <c r="AS158" i="1" s="1"/>
  <c r="AS172" i="1"/>
  <c r="AS151" i="1" s="1"/>
  <c r="AR179" i="1"/>
  <c r="AR158" i="1" s="1"/>
  <c r="AR172" i="1"/>
  <c r="AR151" i="1" s="1"/>
  <c r="O179" i="1"/>
  <c r="O158" i="1" s="1"/>
  <c r="O172" i="1"/>
  <c r="O151" i="1" s="1"/>
  <c r="AV179" i="1"/>
  <c r="AV158" i="1" s="1"/>
  <c r="AV172" i="1"/>
  <c r="AV151" i="1" s="1"/>
  <c r="BH179" i="1"/>
  <c r="BH158" i="1" s="1"/>
  <c r="BH172" i="1"/>
  <c r="BH151" i="1" s="1"/>
  <c r="N172" i="1"/>
  <c r="N151" i="1" s="1"/>
  <c r="N179" i="1"/>
  <c r="N158" i="1" s="1"/>
  <c r="AX172" i="1"/>
  <c r="AX151" i="1" s="1"/>
  <c r="AX179" i="1"/>
  <c r="AX158" i="1" s="1"/>
  <c r="AP179" i="1"/>
  <c r="AP158" i="1" s="1"/>
  <c r="AP172" i="1"/>
  <c r="AP151" i="1" s="1"/>
  <c r="R172" i="1"/>
  <c r="R151" i="1" s="1"/>
  <c r="R179" i="1"/>
  <c r="R158" i="1" s="1"/>
  <c r="BD179" i="1"/>
  <c r="BD158" i="1" s="1"/>
  <c r="BD172" i="1"/>
  <c r="BD151" i="1" s="1"/>
  <c r="X179" i="1"/>
  <c r="X158" i="1" s="1"/>
  <c r="X172" i="1"/>
  <c r="X151" i="1" s="1"/>
  <c r="V179" i="1"/>
  <c r="V158" i="1" s="1"/>
  <c r="V172" i="1"/>
  <c r="V151" i="1" s="1"/>
  <c r="Q179" i="1"/>
  <c r="Q158" i="1" s="1"/>
  <c r="Q172" i="1"/>
  <c r="Q151" i="1" s="1"/>
  <c r="AO179" i="1"/>
  <c r="AO158" i="1" s="1"/>
  <c r="AO172" i="1"/>
  <c r="AO151" i="1" s="1"/>
  <c r="AA179" i="1"/>
  <c r="AA158" i="1" s="1"/>
  <c r="AA172" i="1"/>
  <c r="AA151" i="1" s="1"/>
  <c r="BG179" i="1"/>
  <c r="BG158" i="1" s="1"/>
  <c r="BG172" i="1"/>
  <c r="BG151" i="1" s="1"/>
  <c r="AB179" i="1"/>
  <c r="AB158" i="1" s="1"/>
  <c r="AB172" i="1"/>
  <c r="AB151" i="1" s="1"/>
  <c r="AM179" i="1"/>
  <c r="AM158" i="1" s="1"/>
  <c r="AM172" i="1"/>
  <c r="AM151" i="1" s="1"/>
  <c r="AL179" i="1"/>
  <c r="AL158" i="1" s="1"/>
  <c r="AL172" i="1"/>
  <c r="AL151" i="1" s="1"/>
  <c r="AC179" i="1"/>
  <c r="AC158" i="1" s="1"/>
  <c r="AC172" i="1"/>
  <c r="AC151" i="1" s="1"/>
  <c r="AQ179" i="1"/>
  <c r="AQ158" i="1" s="1"/>
  <c r="AQ172" i="1"/>
  <c r="AQ151" i="1" s="1"/>
  <c r="AT172" i="1"/>
  <c r="AT151" i="1" s="1"/>
  <c r="AT179" i="1"/>
  <c r="AT158" i="1" s="1"/>
  <c r="AY179" i="1"/>
  <c r="AY158" i="1" s="1"/>
  <c r="AY172" i="1"/>
  <c r="AY151" i="1" s="1"/>
  <c r="L179" i="1"/>
  <c r="L158" i="1" s="1"/>
  <c r="L172" i="1"/>
  <c r="L151" i="1" s="1"/>
  <c r="L173" i="1"/>
  <c r="AI179" i="1"/>
  <c r="AI158" i="1" s="1"/>
  <c r="AI172" i="1"/>
  <c r="AI151" i="1" s="1"/>
  <c r="S179" i="1"/>
  <c r="S158" i="1" s="1"/>
  <c r="S172" i="1"/>
  <c r="S151" i="1" s="1"/>
  <c r="I167" i="1"/>
  <c r="I166" i="1"/>
  <c r="I142" i="1"/>
  <c r="I141" i="1"/>
  <c r="I134" i="1"/>
  <c r="I133" i="1"/>
  <c r="D158" i="1" l="1"/>
  <c r="D151" i="1"/>
  <c r="L180" i="1"/>
  <c r="L175" i="1"/>
  <c r="L174" i="1"/>
  <c r="M170" i="1" s="1"/>
  <c r="D146" i="1" l="1"/>
  <c r="D145" i="1"/>
  <c r="D147" i="1" s="1"/>
  <c r="L182" i="1"/>
  <c r="M171" i="1"/>
  <c r="M173" i="1"/>
  <c r="L181" i="1"/>
  <c r="M177" i="1" s="1"/>
  <c r="L184" i="1"/>
  <c r="L187" i="1" l="1"/>
  <c r="L159" i="1" s="1"/>
  <c r="L186" i="1"/>
  <c r="L152" i="1" s="1"/>
  <c r="M178" i="1"/>
  <c r="M180" i="1"/>
  <c r="M175" i="1"/>
  <c r="M174" i="1"/>
  <c r="N170" i="1" s="1"/>
  <c r="M182" i="1" l="1"/>
  <c r="L153" i="1"/>
  <c r="L160" i="1"/>
  <c r="M184" i="1"/>
  <c r="M187" i="1" s="1"/>
  <c r="M159" i="1" s="1"/>
  <c r="N171" i="1"/>
  <c r="N173" i="1" s="1"/>
  <c r="M181" i="1"/>
  <c r="N177" i="1" s="1"/>
  <c r="M160" i="1" l="1"/>
  <c r="M186" i="1"/>
  <c r="M152" i="1" s="1"/>
  <c r="N178" i="1"/>
  <c r="N180" i="1"/>
  <c r="N175" i="1"/>
  <c r="N174" i="1"/>
  <c r="O170" i="1" s="1"/>
  <c r="N182" i="1" l="1"/>
  <c r="M153" i="1"/>
  <c r="N184" i="1"/>
  <c r="O171" i="1"/>
  <c r="O173" i="1" s="1"/>
  <c r="N187" i="1"/>
  <c r="N159" i="1" s="1"/>
  <c r="N186" i="1"/>
  <c r="N152" i="1" s="1"/>
  <c r="N153" i="1" s="1"/>
  <c r="N181" i="1"/>
  <c r="O177" i="1" s="1"/>
  <c r="N160" i="1" l="1"/>
  <c r="O174" i="1"/>
  <c r="P170" i="1" s="1"/>
  <c r="O178" i="1"/>
  <c r="O180" i="1" s="1"/>
  <c r="P171" i="1"/>
  <c r="P173" i="1"/>
  <c r="O175" i="1"/>
  <c r="O182" i="1" l="1"/>
  <c r="O184" i="1"/>
  <c r="O186" i="1"/>
  <c r="O152" i="1" s="1"/>
  <c r="O187" i="1"/>
  <c r="O159" i="1" s="1"/>
  <c r="P175" i="1"/>
  <c r="P174" i="1"/>
  <c r="Q170" i="1" s="1"/>
  <c r="O181" i="1"/>
  <c r="P177" i="1" s="1"/>
  <c r="O160" i="1" l="1"/>
  <c r="O153" i="1"/>
  <c r="P178" i="1"/>
  <c r="P180" i="1" s="1"/>
  <c r="Q171" i="1"/>
  <c r="Q173" i="1" s="1"/>
  <c r="Q174" i="1" l="1"/>
  <c r="R170" i="1" s="1"/>
  <c r="P182" i="1"/>
  <c r="P184" i="1"/>
  <c r="R171" i="1"/>
  <c r="R173" i="1" s="1"/>
  <c r="Q175" i="1"/>
  <c r="P181" i="1"/>
  <c r="Q177" i="1" s="1"/>
  <c r="Q178" i="1" l="1"/>
  <c r="Q180" i="1"/>
  <c r="R175" i="1"/>
  <c r="R174" i="1"/>
  <c r="S170" i="1" s="1"/>
  <c r="P187" i="1"/>
  <c r="P159" i="1" s="1"/>
  <c r="P186" i="1"/>
  <c r="P152" i="1" s="1"/>
  <c r="P153" i="1" l="1"/>
  <c r="P160" i="1"/>
  <c r="S171" i="1"/>
  <c r="S173" i="1" s="1"/>
  <c r="Q182" i="1"/>
  <c r="Q184" i="1"/>
  <c r="Q181" i="1"/>
  <c r="R177" i="1" s="1"/>
  <c r="R178" i="1" l="1"/>
  <c r="R180" i="1"/>
  <c r="Q186" i="1"/>
  <c r="Q152" i="1" s="1"/>
  <c r="Q153" i="1" s="1"/>
  <c r="Q187" i="1"/>
  <c r="Q159" i="1" s="1"/>
  <c r="Q160" i="1" s="1"/>
  <c r="S175" i="1"/>
  <c r="S174" i="1"/>
  <c r="T170" i="1" s="1"/>
  <c r="T171" i="1" l="1"/>
  <c r="T173" i="1" s="1"/>
  <c r="R182" i="1"/>
  <c r="R184" i="1"/>
  <c r="R181" i="1"/>
  <c r="S177" i="1" s="1"/>
  <c r="T174" i="1" l="1"/>
  <c r="U170" i="1" s="1"/>
  <c r="U171" i="1" s="1"/>
  <c r="U173" i="1" s="1"/>
  <c r="S178" i="1"/>
  <c r="S180" i="1"/>
  <c r="R187" i="1"/>
  <c r="R159" i="1" s="1"/>
  <c r="R160" i="1" s="1"/>
  <c r="R186" i="1"/>
  <c r="R152" i="1" s="1"/>
  <c r="R153" i="1" s="1"/>
  <c r="T175" i="1"/>
  <c r="S182" i="1" l="1"/>
  <c r="S184" i="1"/>
  <c r="S181" i="1"/>
  <c r="T177" i="1" s="1"/>
  <c r="U175" i="1"/>
  <c r="U174" i="1"/>
  <c r="V170" i="1" s="1"/>
  <c r="V171" i="1" l="1"/>
  <c r="V173" i="1"/>
  <c r="T178" i="1"/>
  <c r="T180" i="1" s="1"/>
  <c r="S187" i="1"/>
  <c r="S159" i="1" s="1"/>
  <c r="S160" i="1" s="1"/>
  <c r="S186" i="1"/>
  <c r="S152" i="1" s="1"/>
  <c r="S153" i="1" s="1"/>
  <c r="T182" i="1" l="1"/>
  <c r="T184" i="1"/>
  <c r="T181" i="1"/>
  <c r="U177" i="1" s="1"/>
  <c r="V175" i="1"/>
  <c r="V174" i="1"/>
  <c r="W170" i="1" s="1"/>
  <c r="W171" i="1" l="1"/>
  <c r="W173" i="1"/>
  <c r="T187" i="1"/>
  <c r="T159" i="1" s="1"/>
  <c r="T160" i="1" s="1"/>
  <c r="T186" i="1"/>
  <c r="T152" i="1" s="1"/>
  <c r="T153" i="1" s="1"/>
  <c r="U178" i="1"/>
  <c r="U180" i="1"/>
  <c r="U182" i="1" l="1"/>
  <c r="U184" i="1"/>
  <c r="U181" i="1"/>
  <c r="V177" i="1" s="1"/>
  <c r="W175" i="1"/>
  <c r="W174" i="1"/>
  <c r="X170" i="1" s="1"/>
  <c r="X171" i="1" l="1"/>
  <c r="X173" i="1"/>
  <c r="V178" i="1"/>
  <c r="V180" i="1" s="1"/>
  <c r="U187" i="1"/>
  <c r="U159" i="1" s="1"/>
  <c r="U160" i="1" s="1"/>
  <c r="U186" i="1"/>
  <c r="U152" i="1" s="1"/>
  <c r="U153" i="1" s="1"/>
  <c r="V181" i="1" l="1"/>
  <c r="W177" i="1" s="1"/>
  <c r="W178" i="1" s="1"/>
  <c r="W180" i="1" s="1"/>
  <c r="V182" i="1"/>
  <c r="V184" i="1"/>
  <c r="X175" i="1"/>
  <c r="X174" i="1"/>
  <c r="Y170" i="1" s="1"/>
  <c r="W181" i="1" l="1"/>
  <c r="X177" i="1" s="1"/>
  <c r="X178" i="1" s="1"/>
  <c r="W182" i="1"/>
  <c r="W184" i="1"/>
  <c r="Y171" i="1"/>
  <c r="Y173" i="1"/>
  <c r="V187" i="1"/>
  <c r="V159" i="1" s="1"/>
  <c r="V160" i="1" s="1"/>
  <c r="V186" i="1"/>
  <c r="V152" i="1" s="1"/>
  <c r="V153" i="1" s="1"/>
  <c r="X180" i="1" l="1"/>
  <c r="Y174" i="1"/>
  <c r="Z170" i="1" s="1"/>
  <c r="Z171" i="1" s="1"/>
  <c r="Z173" i="1" s="1"/>
  <c r="Y175" i="1"/>
  <c r="W187" i="1"/>
  <c r="W159" i="1" s="1"/>
  <c r="W160" i="1" s="1"/>
  <c r="W186" i="1"/>
  <c r="W152" i="1" s="1"/>
  <c r="W153" i="1" s="1"/>
  <c r="X184" i="1"/>
  <c r="X181" i="1"/>
  <c r="Y177" i="1" s="1"/>
  <c r="X182" i="1" l="1"/>
  <c r="Y178" i="1"/>
  <c r="Y180" i="1"/>
  <c r="Z175" i="1"/>
  <c r="X187" i="1"/>
  <c r="X159" i="1" s="1"/>
  <c r="X160" i="1" s="1"/>
  <c r="X186" i="1"/>
  <c r="X152" i="1" s="1"/>
  <c r="X153" i="1" s="1"/>
  <c r="Z174" i="1"/>
  <c r="AA170" i="1" s="1"/>
  <c r="AA171" i="1" l="1"/>
  <c r="AA173" i="1" s="1"/>
  <c r="Y182" i="1"/>
  <c r="Y184" i="1"/>
  <c r="Y181" i="1"/>
  <c r="Z177" i="1" s="1"/>
  <c r="AA174" i="1" l="1"/>
  <c r="AB170" i="1" s="1"/>
  <c r="Y187" i="1"/>
  <c r="Y159" i="1" s="1"/>
  <c r="Y160" i="1" s="1"/>
  <c r="Y186" i="1"/>
  <c r="Y152" i="1" s="1"/>
  <c r="Y153" i="1" s="1"/>
  <c r="Z178" i="1"/>
  <c r="Z180" i="1"/>
  <c r="AB171" i="1"/>
  <c r="AB173" i="1" s="1"/>
  <c r="AA175" i="1"/>
  <c r="AB174" i="1" l="1"/>
  <c r="AC170" i="1" s="1"/>
  <c r="AC171" i="1"/>
  <c r="AC173" i="1" s="1"/>
  <c r="Z182" i="1"/>
  <c r="Z184" i="1"/>
  <c r="Z181" i="1"/>
  <c r="AA177" i="1" s="1"/>
  <c r="AB175" i="1"/>
  <c r="AC174" i="1" l="1"/>
  <c r="AD170" i="1" s="1"/>
  <c r="AA178" i="1"/>
  <c r="AA180" i="1"/>
  <c r="AD171" i="1"/>
  <c r="AD173" i="1" s="1"/>
  <c r="Z187" i="1"/>
  <c r="Z159" i="1" s="1"/>
  <c r="Z160" i="1" s="1"/>
  <c r="Z186" i="1"/>
  <c r="Z152" i="1" s="1"/>
  <c r="Z153" i="1" s="1"/>
  <c r="AC175" i="1"/>
  <c r="AD175" i="1" l="1"/>
  <c r="AD174" i="1"/>
  <c r="AE170" i="1" s="1"/>
  <c r="AA182" i="1"/>
  <c r="AA184" i="1"/>
  <c r="AA181" i="1"/>
  <c r="AB177" i="1" s="1"/>
  <c r="AA187" i="1" l="1"/>
  <c r="AA159" i="1" s="1"/>
  <c r="AA160" i="1" s="1"/>
  <c r="AA186" i="1"/>
  <c r="AA152" i="1" s="1"/>
  <c r="AA153" i="1" s="1"/>
  <c r="AB178" i="1"/>
  <c r="AB180" i="1" s="1"/>
  <c r="AB181" i="1" s="1"/>
  <c r="AC177" i="1" s="1"/>
  <c r="AE171" i="1"/>
  <c r="AE173" i="1"/>
  <c r="AE174" i="1" l="1"/>
  <c r="AF170" i="1" s="1"/>
  <c r="AF171" i="1"/>
  <c r="AF173" i="1" s="1"/>
  <c r="AE175" i="1"/>
  <c r="AC178" i="1"/>
  <c r="AC180" i="1"/>
  <c r="AB182" i="1"/>
  <c r="AB184" i="1"/>
  <c r="AF174" i="1" l="1"/>
  <c r="AG170" i="1" s="1"/>
  <c r="AC181" i="1"/>
  <c r="AD177" i="1" s="1"/>
  <c r="AD178" i="1"/>
  <c r="AD180" i="1"/>
  <c r="AC182" i="1"/>
  <c r="AC184" i="1"/>
  <c r="AG171" i="1"/>
  <c r="AG173" i="1" s="1"/>
  <c r="AB187" i="1"/>
  <c r="AB159" i="1" s="1"/>
  <c r="AB160" i="1" s="1"/>
  <c r="AB186" i="1"/>
  <c r="AB152" i="1" s="1"/>
  <c r="AB153" i="1" s="1"/>
  <c r="AF175" i="1"/>
  <c r="AC187" i="1" l="1"/>
  <c r="AC159" i="1" s="1"/>
  <c r="AC160" i="1" s="1"/>
  <c r="AC186" i="1"/>
  <c r="AC152" i="1" s="1"/>
  <c r="AC153" i="1" s="1"/>
  <c r="AG175" i="1"/>
  <c r="AG174" i="1"/>
  <c r="AH170" i="1" s="1"/>
  <c r="AD182" i="1"/>
  <c r="AD184" i="1"/>
  <c r="AD181" i="1"/>
  <c r="AE177" i="1" s="1"/>
  <c r="AE178" i="1" l="1"/>
  <c r="AE180" i="1" s="1"/>
  <c r="AD187" i="1"/>
  <c r="AD159" i="1" s="1"/>
  <c r="AD160" i="1" s="1"/>
  <c r="AD186" i="1"/>
  <c r="AD152" i="1" s="1"/>
  <c r="AD153" i="1" s="1"/>
  <c r="AH171" i="1"/>
  <c r="AH173" i="1" s="1"/>
  <c r="AH174" i="1" l="1"/>
  <c r="AI170" i="1" s="1"/>
  <c r="AE181" i="1"/>
  <c r="AF177" i="1" s="1"/>
  <c r="AI171" i="1"/>
  <c r="AI173" i="1"/>
  <c r="AH175" i="1"/>
  <c r="AF178" i="1"/>
  <c r="AF180" i="1" s="1"/>
  <c r="AE182" i="1"/>
  <c r="AE184" i="1"/>
  <c r="AI174" i="1" l="1"/>
  <c r="AJ170" i="1" s="1"/>
  <c r="AF181" i="1"/>
  <c r="AG177" i="1" s="1"/>
  <c r="AJ171" i="1"/>
  <c r="AJ173" i="1"/>
  <c r="AG178" i="1"/>
  <c r="AG180" i="1" s="1"/>
  <c r="AE186" i="1"/>
  <c r="AE152" i="1" s="1"/>
  <c r="AE153" i="1" s="1"/>
  <c r="AE187" i="1"/>
  <c r="AE159" i="1" s="1"/>
  <c r="AE160" i="1" s="1"/>
  <c r="AF182" i="1"/>
  <c r="AF184" i="1"/>
  <c r="AI175" i="1"/>
  <c r="AG182" i="1" l="1"/>
  <c r="AG184" i="1"/>
  <c r="AF187" i="1"/>
  <c r="AF159" i="1" s="1"/>
  <c r="AF160" i="1" s="1"/>
  <c r="AF186" i="1"/>
  <c r="AF152" i="1" s="1"/>
  <c r="AF153" i="1" s="1"/>
  <c r="AG181" i="1"/>
  <c r="AH177" i="1" s="1"/>
  <c r="AJ175" i="1"/>
  <c r="AJ174" i="1"/>
  <c r="AK170" i="1" s="1"/>
  <c r="AK171" i="1" l="1"/>
  <c r="AK173" i="1"/>
  <c r="AH178" i="1"/>
  <c r="AH180" i="1"/>
  <c r="AG187" i="1"/>
  <c r="AG159" i="1" s="1"/>
  <c r="AG160" i="1" s="1"/>
  <c r="AG186" i="1"/>
  <c r="AG152" i="1" s="1"/>
  <c r="AG153" i="1" s="1"/>
  <c r="AH182" i="1" l="1"/>
  <c r="AH184" i="1"/>
  <c r="AH181" i="1"/>
  <c r="AI177" i="1" s="1"/>
  <c r="AK175" i="1"/>
  <c r="AK174" i="1"/>
  <c r="AL170" i="1" s="1"/>
  <c r="AH187" i="1" l="1"/>
  <c r="AH159" i="1" s="1"/>
  <c r="AH160" i="1" s="1"/>
  <c r="AH186" i="1"/>
  <c r="AH152" i="1" s="1"/>
  <c r="AH153" i="1" s="1"/>
  <c r="AL171" i="1"/>
  <c r="AL173" i="1"/>
  <c r="AI178" i="1"/>
  <c r="AI180" i="1"/>
  <c r="AI182" i="1" l="1"/>
  <c r="AI184" i="1"/>
  <c r="AL175" i="1"/>
  <c r="AI181" i="1"/>
  <c r="AJ177" i="1" s="1"/>
  <c r="AL174" i="1"/>
  <c r="AM170" i="1" s="1"/>
  <c r="AM171" i="1" l="1"/>
  <c r="AM173" i="1" s="1"/>
  <c r="AJ178" i="1"/>
  <c r="AJ180" i="1"/>
  <c r="AI187" i="1"/>
  <c r="AI159" i="1" s="1"/>
  <c r="AI160" i="1" s="1"/>
  <c r="AI186" i="1"/>
  <c r="AI152" i="1" s="1"/>
  <c r="AI153" i="1" s="1"/>
  <c r="AM174" i="1" l="1"/>
  <c r="AN170" i="1" s="1"/>
  <c r="AJ182" i="1"/>
  <c r="AJ184" i="1"/>
  <c r="AJ181" i="1"/>
  <c r="AK177" i="1" s="1"/>
  <c r="AN171" i="1"/>
  <c r="AN173" i="1" s="1"/>
  <c r="AM175" i="1"/>
  <c r="AN174" i="1" l="1"/>
  <c r="AO170" i="1" s="1"/>
  <c r="AO171" i="1" s="1"/>
  <c r="AO173" i="1" s="1"/>
  <c r="AJ187" i="1"/>
  <c r="AJ159" i="1" s="1"/>
  <c r="AJ160" i="1" s="1"/>
  <c r="AJ186" i="1"/>
  <c r="AJ152" i="1" s="1"/>
  <c r="AJ153" i="1" s="1"/>
  <c r="AN175" i="1"/>
  <c r="AK178" i="1"/>
  <c r="AK180" i="1"/>
  <c r="AK182" i="1" l="1"/>
  <c r="AK184" i="1"/>
  <c r="AO174" i="1"/>
  <c r="AP170" i="1" s="1"/>
  <c r="AK181" i="1"/>
  <c r="AL177" i="1" s="1"/>
  <c r="AO175" i="1"/>
  <c r="AL178" i="1" l="1"/>
  <c r="AL180" i="1"/>
  <c r="AP171" i="1"/>
  <c r="AP173" i="1"/>
  <c r="AK187" i="1"/>
  <c r="AK159" i="1" s="1"/>
  <c r="AK160" i="1" s="1"/>
  <c r="AK186" i="1"/>
  <c r="AK152" i="1" s="1"/>
  <c r="AK153" i="1" s="1"/>
  <c r="AP174" i="1" l="1"/>
  <c r="AQ170" i="1" s="1"/>
  <c r="AL181" i="1"/>
  <c r="AM177" i="1" s="1"/>
  <c r="AQ171" i="1"/>
  <c r="AQ173" i="1"/>
  <c r="AP175" i="1"/>
  <c r="AM178" i="1"/>
  <c r="AM180" i="1"/>
  <c r="AL182" i="1"/>
  <c r="AL184" i="1"/>
  <c r="AM182" i="1" l="1"/>
  <c r="AM184" i="1"/>
  <c r="AQ175" i="1"/>
  <c r="AL187" i="1"/>
  <c r="AL159" i="1" s="1"/>
  <c r="AL160" i="1" s="1"/>
  <c r="AL186" i="1"/>
  <c r="AL152" i="1" s="1"/>
  <c r="AL153" i="1" s="1"/>
  <c r="AM181" i="1"/>
  <c r="AN177" i="1" s="1"/>
  <c r="AQ174" i="1"/>
  <c r="AR170" i="1" s="1"/>
  <c r="AR171" i="1" l="1"/>
  <c r="AR173" i="1"/>
  <c r="AN178" i="1"/>
  <c r="AN180" i="1"/>
  <c r="AM187" i="1"/>
  <c r="AM159" i="1" s="1"/>
  <c r="AM160" i="1" s="1"/>
  <c r="AM186" i="1"/>
  <c r="AM152" i="1" s="1"/>
  <c r="AM153" i="1" s="1"/>
  <c r="AN181" i="1" l="1"/>
  <c r="AO177" i="1" s="1"/>
  <c r="AO178" i="1"/>
  <c r="AO180" i="1" s="1"/>
  <c r="AN182" i="1"/>
  <c r="AN184" i="1"/>
  <c r="AR175" i="1"/>
  <c r="AR174" i="1"/>
  <c r="AS170" i="1" s="1"/>
  <c r="AS171" i="1" l="1"/>
  <c r="AS173" i="1"/>
  <c r="AN186" i="1"/>
  <c r="AN152" i="1" s="1"/>
  <c r="AN153" i="1" s="1"/>
  <c r="AN187" i="1"/>
  <c r="AN159" i="1" s="1"/>
  <c r="AN160" i="1" s="1"/>
  <c r="AO181" i="1"/>
  <c r="AP177" i="1" s="1"/>
  <c r="AO182" i="1"/>
  <c r="AO184" i="1"/>
  <c r="AP178" i="1" l="1"/>
  <c r="AP180" i="1" s="1"/>
  <c r="AO187" i="1"/>
  <c r="AO159" i="1" s="1"/>
  <c r="AO160" i="1" s="1"/>
  <c r="AO186" i="1"/>
  <c r="AO152" i="1" s="1"/>
  <c r="AO153" i="1" s="1"/>
  <c r="AS175" i="1"/>
  <c r="AS174" i="1"/>
  <c r="AT170" i="1" s="1"/>
  <c r="AP181" i="1" l="1"/>
  <c r="AQ177" i="1" s="1"/>
  <c r="AT171" i="1"/>
  <c r="AT173" i="1" s="1"/>
  <c r="AQ178" i="1"/>
  <c r="AQ180" i="1"/>
  <c r="AP182" i="1"/>
  <c r="AP184" i="1"/>
  <c r="AQ181" i="1" l="1"/>
  <c r="AR177" i="1" s="1"/>
  <c r="AT174" i="1"/>
  <c r="AU170" i="1" s="1"/>
  <c r="AP187" i="1"/>
  <c r="AP159" i="1" s="1"/>
  <c r="AP160" i="1" s="1"/>
  <c r="AP186" i="1"/>
  <c r="AP152" i="1" s="1"/>
  <c r="AP153" i="1" s="1"/>
  <c r="AR178" i="1"/>
  <c r="AR180" i="1"/>
  <c r="AQ182" i="1"/>
  <c r="AQ184" i="1"/>
  <c r="AU171" i="1"/>
  <c r="AU173" i="1" s="1"/>
  <c r="AT175" i="1"/>
  <c r="AR181" i="1" l="1"/>
  <c r="AS177" i="1" s="1"/>
  <c r="AU174" i="1"/>
  <c r="AV170" i="1" s="1"/>
  <c r="AU175" i="1"/>
  <c r="AQ187" i="1"/>
  <c r="AQ159" i="1" s="1"/>
  <c r="AQ160" i="1" s="1"/>
  <c r="AQ186" i="1"/>
  <c r="AQ152" i="1" s="1"/>
  <c r="AQ153" i="1" s="1"/>
  <c r="AS178" i="1"/>
  <c r="AS180" i="1"/>
  <c r="AR182" i="1"/>
  <c r="AR184" i="1"/>
  <c r="AS182" i="1" l="1"/>
  <c r="AS184" i="1"/>
  <c r="AR187" i="1"/>
  <c r="AR159" i="1" s="1"/>
  <c r="AR160" i="1" s="1"/>
  <c r="AR186" i="1"/>
  <c r="AR152" i="1" s="1"/>
  <c r="AR153" i="1" s="1"/>
  <c r="AS181" i="1"/>
  <c r="AT177" i="1" s="1"/>
  <c r="AV171" i="1"/>
  <c r="AV173" i="1" s="1"/>
  <c r="AV175" i="1" l="1"/>
  <c r="AV174" i="1"/>
  <c r="AW170" i="1" s="1"/>
  <c r="AT178" i="1"/>
  <c r="AT180" i="1"/>
  <c r="AS187" i="1"/>
  <c r="AS159" i="1" s="1"/>
  <c r="AS160" i="1" s="1"/>
  <c r="AS186" i="1"/>
  <c r="AS152" i="1" s="1"/>
  <c r="AS153" i="1" s="1"/>
  <c r="AT182" i="1" l="1"/>
  <c r="AT184" i="1"/>
  <c r="AT181" i="1"/>
  <c r="AU177" i="1" s="1"/>
  <c r="AW171" i="1"/>
  <c r="AW173" i="1"/>
  <c r="AW174" i="1" l="1"/>
  <c r="AX170" i="1" s="1"/>
  <c r="AX171" i="1"/>
  <c r="AX173" i="1"/>
  <c r="AX174" i="1" s="1"/>
  <c r="AY170" i="1" s="1"/>
  <c r="AU178" i="1"/>
  <c r="AU180" i="1" s="1"/>
  <c r="AW175" i="1"/>
  <c r="AT187" i="1"/>
  <c r="AT159" i="1" s="1"/>
  <c r="AT160" i="1" s="1"/>
  <c r="AT186" i="1"/>
  <c r="AT152" i="1" s="1"/>
  <c r="AT153" i="1" s="1"/>
  <c r="AU181" i="1" l="1"/>
  <c r="AV177" i="1" s="1"/>
  <c r="AV178" i="1"/>
  <c r="AV180" i="1"/>
  <c r="AV181" i="1" s="1"/>
  <c r="AW177" i="1" s="1"/>
  <c r="AY171" i="1"/>
  <c r="AU182" i="1"/>
  <c r="AU184" i="1"/>
  <c r="AX175" i="1"/>
  <c r="AU187" i="1" l="1"/>
  <c r="AU159" i="1" s="1"/>
  <c r="AU160" i="1" s="1"/>
  <c r="AU186" i="1"/>
  <c r="AU152" i="1" s="1"/>
  <c r="AU153" i="1" s="1"/>
  <c r="AY173" i="1"/>
  <c r="AW178" i="1"/>
  <c r="AW180" i="1"/>
  <c r="AV182" i="1"/>
  <c r="AV184" i="1"/>
  <c r="AW181" i="1" l="1"/>
  <c r="AX177" i="1" s="1"/>
  <c r="AX178" i="1"/>
  <c r="AX180" i="1" s="1"/>
  <c r="AV186" i="1"/>
  <c r="AV152" i="1" s="1"/>
  <c r="AV153" i="1" s="1"/>
  <c r="AV187" i="1"/>
  <c r="AV159" i="1" s="1"/>
  <c r="AV160" i="1" s="1"/>
  <c r="AW182" i="1"/>
  <c r="AW184" i="1"/>
  <c r="AY175" i="1"/>
  <c r="AY174" i="1"/>
  <c r="AZ170" i="1" s="1"/>
  <c r="AX181" i="1" l="1"/>
  <c r="AY177" i="1" s="1"/>
  <c r="AZ171" i="1"/>
  <c r="AZ173" i="1" s="1"/>
  <c r="AW187" i="1"/>
  <c r="AW159" i="1" s="1"/>
  <c r="AW160" i="1" s="1"/>
  <c r="AW186" i="1"/>
  <c r="AW152" i="1" s="1"/>
  <c r="AW153" i="1" s="1"/>
  <c r="AY178" i="1"/>
  <c r="AY180" i="1"/>
  <c r="AX182" i="1"/>
  <c r="AX184" i="1"/>
  <c r="AY181" i="1" l="1"/>
  <c r="AZ177" i="1" s="1"/>
  <c r="AZ174" i="1"/>
  <c r="BA170" i="1" s="1"/>
  <c r="AX187" i="1"/>
  <c r="AX159" i="1" s="1"/>
  <c r="AX160" i="1" s="1"/>
  <c r="AX186" i="1"/>
  <c r="AX152" i="1" s="1"/>
  <c r="AX153" i="1" s="1"/>
  <c r="AZ178" i="1"/>
  <c r="AZ180" i="1"/>
  <c r="AY182" i="1"/>
  <c r="AY184" i="1"/>
  <c r="BA171" i="1"/>
  <c r="BA173" i="1"/>
  <c r="AZ175" i="1"/>
  <c r="AZ184" i="1"/>
  <c r="BA174" i="1" l="1"/>
  <c r="BB170" i="1" s="1"/>
  <c r="AZ182" i="1"/>
  <c r="BB171" i="1"/>
  <c r="BB173" i="1"/>
  <c r="AZ187" i="1"/>
  <c r="AZ159" i="1" s="1"/>
  <c r="AZ160" i="1" s="1"/>
  <c r="AZ186" i="1"/>
  <c r="AZ152" i="1" s="1"/>
  <c r="AZ153" i="1" s="1"/>
  <c r="BA175" i="1"/>
  <c r="AY186" i="1"/>
  <c r="AY152" i="1" s="1"/>
  <c r="AY153" i="1" s="1"/>
  <c r="AY187" i="1"/>
  <c r="AY159" i="1" s="1"/>
  <c r="AY160" i="1" s="1"/>
  <c r="AZ181" i="1"/>
  <c r="BA177" i="1" s="1"/>
  <c r="BB174" i="1" l="1"/>
  <c r="BC170" i="1" s="1"/>
  <c r="BA178" i="1"/>
  <c r="BA180" i="1" s="1"/>
  <c r="BC171" i="1"/>
  <c r="BC173" i="1" s="1"/>
  <c r="BB175" i="1"/>
  <c r="BA181" i="1" l="1"/>
  <c r="BB177" i="1" s="1"/>
  <c r="BC174" i="1"/>
  <c r="BD170" i="1" s="1"/>
  <c r="BD171" i="1" s="1"/>
  <c r="BD173" i="1" s="1"/>
  <c r="BC175" i="1"/>
  <c r="BB178" i="1"/>
  <c r="BB180" i="1" s="1"/>
  <c r="BA182" i="1"/>
  <c r="BA184" i="1"/>
  <c r="BD174" i="1" l="1"/>
  <c r="BE170" i="1" s="1"/>
  <c r="BB182" i="1"/>
  <c r="BB184" i="1"/>
  <c r="BB181" i="1"/>
  <c r="BC177" i="1" s="1"/>
  <c r="BA187" i="1"/>
  <c r="BA159" i="1" s="1"/>
  <c r="BA160" i="1" s="1"/>
  <c r="BA186" i="1"/>
  <c r="BA152" i="1" s="1"/>
  <c r="BA153" i="1" s="1"/>
  <c r="BE171" i="1"/>
  <c r="BE173" i="1"/>
  <c r="BD175" i="1"/>
  <c r="BE174" i="1" l="1"/>
  <c r="BF170" i="1" s="1"/>
  <c r="BF171" i="1"/>
  <c r="BF173" i="1" s="1"/>
  <c r="BE175" i="1"/>
  <c r="BC178" i="1"/>
  <c r="BC180" i="1" s="1"/>
  <c r="BB187" i="1"/>
  <c r="BB159" i="1" s="1"/>
  <c r="BB160" i="1" s="1"/>
  <c r="BB186" i="1"/>
  <c r="BB152" i="1" s="1"/>
  <c r="BB153" i="1" s="1"/>
  <c r="BF174" i="1" l="1"/>
  <c r="BG170" i="1" s="1"/>
  <c r="BC182" i="1"/>
  <c r="BC184" i="1"/>
  <c r="BC181" i="1"/>
  <c r="BD177" i="1" s="1"/>
  <c r="BG171" i="1"/>
  <c r="BG173" i="1"/>
  <c r="BF175" i="1"/>
  <c r="BG175" i="1" l="1"/>
  <c r="BG174" i="1"/>
  <c r="BH170" i="1" s="1"/>
  <c r="BD178" i="1"/>
  <c r="BD180" i="1"/>
  <c r="BC187" i="1"/>
  <c r="BC159" i="1" s="1"/>
  <c r="BC160" i="1" s="1"/>
  <c r="BC186" i="1"/>
  <c r="BC152" i="1" s="1"/>
  <c r="BC153" i="1" s="1"/>
  <c r="BD182" i="1" l="1"/>
  <c r="BD184" i="1"/>
  <c r="BD181" i="1"/>
  <c r="BE177" i="1" s="1"/>
  <c r="BH171" i="1"/>
  <c r="BH173" i="1"/>
  <c r="BH174" i="1" l="1"/>
  <c r="BH175" i="1"/>
  <c r="I175" i="1" s="1"/>
  <c r="BE178" i="1"/>
  <c r="BE180" i="1"/>
  <c r="BD186" i="1"/>
  <c r="BD152" i="1" s="1"/>
  <c r="BD153" i="1" s="1"/>
  <c r="BD187" i="1"/>
  <c r="BD159" i="1" s="1"/>
  <c r="BD160" i="1" s="1"/>
  <c r="BE181" i="1" l="1"/>
  <c r="BF177" i="1" s="1"/>
  <c r="BF178" i="1"/>
  <c r="BF180" i="1" s="1"/>
  <c r="BE182" i="1"/>
  <c r="BE184" i="1"/>
  <c r="BE187" i="1" l="1"/>
  <c r="BE159" i="1" s="1"/>
  <c r="BE160" i="1" s="1"/>
  <c r="BE186" i="1"/>
  <c r="BE152" i="1" s="1"/>
  <c r="BE153" i="1" s="1"/>
  <c r="BF182" i="1"/>
  <c r="BF184" i="1"/>
  <c r="BF181" i="1"/>
  <c r="BG177" i="1" s="1"/>
  <c r="BG178" i="1" l="1"/>
  <c r="BG180" i="1"/>
  <c r="BF187" i="1"/>
  <c r="BF159" i="1" s="1"/>
  <c r="BF160" i="1" s="1"/>
  <c r="BF186" i="1"/>
  <c r="BF152" i="1" s="1"/>
  <c r="BF153" i="1" s="1"/>
  <c r="BG181" i="1" l="1"/>
  <c r="BH177" i="1" s="1"/>
  <c r="BH178" i="1"/>
  <c r="BH180" i="1" s="1"/>
  <c r="BG182" i="1"/>
  <c r="BG184" i="1"/>
  <c r="BH181" i="1" l="1"/>
  <c r="BG187" i="1"/>
  <c r="BG159" i="1" s="1"/>
  <c r="BG160" i="1" s="1"/>
  <c r="BG186" i="1"/>
  <c r="BG152" i="1" s="1"/>
  <c r="BG153" i="1" s="1"/>
  <c r="BH182" i="1"/>
  <c r="I182" i="1" s="1"/>
  <c r="BH184" i="1"/>
  <c r="BH187" i="1" l="1"/>
  <c r="BH159" i="1" s="1"/>
  <c r="BH186" i="1"/>
  <c r="BH152" i="1" s="1"/>
  <c r="BH153" i="1" l="1"/>
  <c r="D152" i="1"/>
  <c r="D153" i="1" s="1"/>
  <c r="BH160" i="1"/>
  <c r="D159" i="1"/>
  <c r="D160" i="1" s="1"/>
  <c r="D162" i="1" l="1"/>
  <c r="D161" i="1"/>
  <c r="D154" i="1"/>
  <c r="D155" i="1"/>
  <c r="M146" i="1"/>
</calcChain>
</file>

<file path=xl/sharedStrings.xml><?xml version="1.0" encoding="utf-8"?>
<sst xmlns="http://schemas.openxmlformats.org/spreadsheetml/2006/main" count="223" uniqueCount="168">
  <si>
    <t>REPE TECHNICAL INTERVIEW TEST</t>
  </si>
  <si>
    <t>ACCELERATOR</t>
  </si>
  <si>
    <t xml:space="preserve"> </t>
  </si>
  <si>
    <t>PROPERTY DESCRIPTION</t>
  </si>
  <si>
    <t>SUMMARY OF ANALYSIS</t>
  </si>
  <si>
    <t>INVESTMENT CASH FLOWS</t>
  </si>
  <si>
    <t>OPERATING CASH FLOWS</t>
  </si>
  <si>
    <t>REVERSION CASH FLOWS</t>
  </si>
  <si>
    <t>PROPERTY-LEVEL CASH FLOWS AND RETURNS</t>
  </si>
  <si>
    <t>PARTNERSHIP-LEVEL CASH FLOWS AND RETURNS</t>
  </si>
  <si>
    <t>Units</t>
  </si>
  <si>
    <t>Carport Spaces</t>
  </si>
  <si>
    <t>Surface Spaces</t>
  </si>
  <si>
    <t>Project Costs (Uses)</t>
  </si>
  <si>
    <t>Total Acquisition Cost</t>
  </si>
  <si>
    <t>Purchase Price</t>
  </si>
  <si>
    <t>Closing/Due Diligence Cost</t>
  </si>
  <si>
    <t>Total Acquisition Costs</t>
  </si>
  <si>
    <t>Hard Costs</t>
  </si>
  <si>
    <t>In-Unit</t>
  </si>
  <si>
    <t>Common Area</t>
  </si>
  <si>
    <t>Total Hard Costs</t>
  </si>
  <si>
    <t>Soft Costs</t>
  </si>
  <si>
    <t>Total Soft Costs</t>
  </si>
  <si>
    <t>Total Project Cost before Financing</t>
  </si>
  <si>
    <t>Financing Costs</t>
  </si>
  <si>
    <t>Total Project Cost after Financing</t>
  </si>
  <si>
    <t>Sources</t>
  </si>
  <si>
    <t>Senior Debt</t>
  </si>
  <si>
    <t>Mezzanine Debt</t>
  </si>
  <si>
    <t>Equity</t>
  </si>
  <si>
    <t>Total Sources</t>
  </si>
  <si>
    <t>Amount</t>
  </si>
  <si>
    <t>LTPP</t>
  </si>
  <si>
    <t>Rate</t>
  </si>
  <si>
    <t>Fee %</t>
  </si>
  <si>
    <t>Order</t>
  </si>
  <si>
    <t>Start</t>
  </si>
  <si>
    <t>End</t>
  </si>
  <si>
    <t>Detailed</t>
  </si>
  <si>
    <t>Error Check</t>
  </si>
  <si>
    <t>Renovations</t>
  </si>
  <si>
    <t>Planned Renovations</t>
  </si>
  <si>
    <t>% Non-Renovated</t>
  </si>
  <si>
    <t>% Renovated</t>
  </si>
  <si>
    <t>Unrenovated at Analysis Start</t>
  </si>
  <si>
    <t>Rental Growth</t>
  </si>
  <si>
    <t>Parking Income Growth</t>
  </si>
  <si>
    <t>Expense Growth</t>
  </si>
  <si>
    <t>Property Tax Growth</t>
  </si>
  <si>
    <t>Rental Income</t>
  </si>
  <si>
    <t>Unit Type</t>
  </si>
  <si>
    <t>Avg.Size</t>
  </si>
  <si>
    <t>Non-Reno</t>
  </si>
  <si>
    <t>Reno</t>
  </si>
  <si>
    <t>Rent/Month</t>
  </si>
  <si>
    <t>In-Place</t>
  </si>
  <si>
    <t>Stabilized</t>
  </si>
  <si>
    <t>Untrended Pro Forma Yr.</t>
  </si>
  <si>
    <t>Studio</t>
  </si>
  <si>
    <t>1 Bed</t>
  </si>
  <si>
    <t>2 Bed</t>
  </si>
  <si>
    <t>3 Bed</t>
  </si>
  <si>
    <t>Increase</t>
  </si>
  <si>
    <t>Total Rent</t>
  </si>
  <si>
    <t>Downtime Vacancy</t>
  </si>
  <si>
    <t>Model Units</t>
  </si>
  <si>
    <t>Effective Rental Revenue</t>
  </si>
  <si>
    <t>Parking Income</t>
  </si>
  <si>
    <t>Misc. Income</t>
  </si>
  <si>
    <t>Potential Gross Income</t>
  </si>
  <si>
    <t>/carport</t>
  </si>
  <si>
    <t>of rent</t>
  </si>
  <si>
    <t>General Vacancy and Credit Loss</t>
  </si>
  <si>
    <t>Vacancy</t>
  </si>
  <si>
    <t>Credit Loss</t>
  </si>
  <si>
    <t>Effective Gross Revenue</t>
  </si>
  <si>
    <t>Operating Expenses</t>
  </si>
  <si>
    <t>Repairs and Maintenance</t>
  </si>
  <si>
    <t>Security</t>
  </si>
  <si>
    <t>Contract Services</t>
  </si>
  <si>
    <t>Landscaping</t>
  </si>
  <si>
    <t>Utilities</t>
  </si>
  <si>
    <t>Marketing</t>
  </si>
  <si>
    <t>Insurance</t>
  </si>
  <si>
    <t>Admin</t>
  </si>
  <si>
    <t>Payroll</t>
  </si>
  <si>
    <t>Property Taxes</t>
  </si>
  <si>
    <t>Capital Reserves</t>
  </si>
  <si>
    <t>Total Operating Expenses</t>
  </si>
  <si>
    <t>Net Operating Income</t>
  </si>
  <si>
    <t>Debt Service</t>
  </si>
  <si>
    <t>Management Fee</t>
  </si>
  <si>
    <t>/Unit/Yr</t>
  </si>
  <si>
    <t>% of EGR</t>
  </si>
  <si>
    <t>Stab.</t>
  </si>
  <si>
    <t>% of Purchase Price</t>
  </si>
  <si>
    <t>Total Debt Service</t>
  </si>
  <si>
    <t>Cash Flow after Financing</t>
  </si>
  <si>
    <t>Days in Month</t>
  </si>
  <si>
    <t>Reversion Pro Forma</t>
  </si>
  <si>
    <t>Cap Rate</t>
  </si>
  <si>
    <t>Valuation</t>
  </si>
  <si>
    <t>Selling Cost</t>
  </si>
  <si>
    <t>Net Reversion Value</t>
  </si>
  <si>
    <t>Loan Payoff</t>
  </si>
  <si>
    <t>Total Loan Payoff</t>
  </si>
  <si>
    <t>Net Proceeds from Sale</t>
  </si>
  <si>
    <t>Unlevered Cash Flow</t>
  </si>
  <si>
    <t>Investment Cash Flow (before financing)</t>
  </si>
  <si>
    <t>Net Unlevered Cash Flow</t>
  </si>
  <si>
    <t>Internal Rate of Return</t>
  </si>
  <si>
    <t>Equity Multiple</t>
  </si>
  <si>
    <t>Levered Cash Flow</t>
  </si>
  <si>
    <t>Investment Cash Flow (after financing)</t>
  </si>
  <si>
    <t>Net Levered Cash Flow</t>
  </si>
  <si>
    <t>Ownership Share</t>
  </si>
  <si>
    <t>Limited Partner</t>
  </si>
  <si>
    <t>General Partner</t>
  </si>
  <si>
    <t>Total Ownership</t>
  </si>
  <si>
    <t>Promote Structure</t>
  </si>
  <si>
    <t>Distribution %</t>
  </si>
  <si>
    <t>Tier</t>
  </si>
  <si>
    <t>Hurdle</t>
  </si>
  <si>
    <t>Promote</t>
  </si>
  <si>
    <t>LP</t>
  </si>
  <si>
    <t>GP</t>
  </si>
  <si>
    <t>Pref</t>
  </si>
  <si>
    <t>Partnership Cash Flow and Returns</t>
  </si>
  <si>
    <t>Property Cash Flow Summary</t>
  </si>
  <si>
    <t>Tier 1 - Preferred Return + Return of Capital</t>
  </si>
  <si>
    <t>Tier 2 - Promoted Interest</t>
  </si>
  <si>
    <t>LP Starting Balance</t>
  </si>
  <si>
    <t>LP Required Return</t>
  </si>
  <si>
    <t>LP Contributions</t>
  </si>
  <si>
    <t>LP Distributions</t>
  </si>
  <si>
    <t>LP Ending Balance</t>
  </si>
  <si>
    <t>LP Cash Flow and IRR Check</t>
  </si>
  <si>
    <t>GP Starting Balance</t>
  </si>
  <si>
    <t>GP Required Return</t>
  </si>
  <si>
    <t>GP Contributions</t>
  </si>
  <si>
    <t>GP Distributions</t>
  </si>
  <si>
    <t>GP Ending Balance</t>
  </si>
  <si>
    <t>GP Cash Flow and IRR Check</t>
  </si>
  <si>
    <t>Remaining Cash Flow</t>
  </si>
  <si>
    <t>Contributions</t>
  </si>
  <si>
    <t>Distributions</t>
  </si>
  <si>
    <t>Net Cash Flow</t>
  </si>
  <si>
    <t>IRR</t>
  </si>
  <si>
    <t>Emx</t>
  </si>
  <si>
    <t>Property CF</t>
  </si>
  <si>
    <t>Partnership CF</t>
  </si>
  <si>
    <t>Property-Level Returns</t>
  </si>
  <si>
    <t>Partnership-Level Returns</t>
  </si>
  <si>
    <t>Unlevered IRR</t>
  </si>
  <si>
    <t>Levered IRR</t>
  </si>
  <si>
    <t>Levered Emx</t>
  </si>
  <si>
    <t>Unlevered EMx</t>
  </si>
  <si>
    <t>Untrended YOC</t>
  </si>
  <si>
    <t>Exit Cap Rate</t>
  </si>
  <si>
    <t>Development Spread</t>
  </si>
  <si>
    <t>LP Required Equity</t>
  </si>
  <si>
    <t>GP Required Equity</t>
  </si>
  <si>
    <t>Total Equity</t>
  </si>
  <si>
    <t>LP IRR</t>
  </si>
  <si>
    <t>LP EMx</t>
  </si>
  <si>
    <t>GP IRR</t>
  </si>
  <si>
    <t>GP EMx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</si>
</sst>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&quot;Month&quot;\ 0"/>
    <numFmt numFmtId="165" formatCode="&quot;Year&quot;\ 0"/>
    <numFmt numFmtId="166" formatCode="_(* #,##0_);_(* \(#,##0\);_(* &quot;-&quot;??_);_(@_)"/>
    <numFmt numFmtId="167" formatCode="0&quot;/mo&quot;"/>
    <numFmt numFmtId="168" formatCode="0.0%"/>
    <numFmt numFmtId="169" formatCode="0.00&quot;x&quot;"/>
    <numFmt numFmtId="170" formatCode="0\ &quot;bps&quot;"/>
  </numFmts>
  <fonts count="22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indexed="12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rgb="FF0000FF"/>
      <name val="Calibri"/>
      <family val="2"/>
      <scheme val="minor"/>
    </font>
    <font>
      <i/>
      <sz val="11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color rgb="FF0000FF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right"/>
    </xf>
    <xf numFmtId="41" fontId="0" fillId="0" borderId="0" xfId="0" applyNumberFormat="1" applyAlignment="1">
      <alignment horizontal="right"/>
    </xf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41" fontId="3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5" fontId="5" fillId="0" borderId="0" xfId="0" applyNumberFormat="1" applyFont="1" applyAlignment="1">
      <alignment horizontal="right"/>
    </xf>
    <xf numFmtId="15" fontId="3" fillId="0" borderId="0" xfId="0" applyNumberFormat="1" applyFont="1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41" fontId="0" fillId="3" borderId="0" xfId="0" applyNumberFormat="1" applyFill="1" applyAlignment="1">
      <alignment horizontal="right"/>
    </xf>
    <xf numFmtId="41" fontId="8" fillId="0" borderId="0" xfId="0" applyNumberFormat="1" applyFont="1" applyAlignment="1">
      <alignment horizontal="right"/>
    </xf>
    <xf numFmtId="0" fontId="7" fillId="0" borderId="0" xfId="0" applyFont="1"/>
    <xf numFmtId="0" fontId="0" fillId="0" borderId="0" xfId="0" applyAlignment="1">
      <alignment horizontal="left" indent="1"/>
    </xf>
    <xf numFmtId="41" fontId="9" fillId="0" borderId="0" xfId="0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8" fillId="0" borderId="0" xfId="0" applyNumberFormat="1" applyFont="1" applyAlignment="1">
      <alignment horizontal="right"/>
    </xf>
    <xf numFmtId="41" fontId="10" fillId="0" borderId="0" xfId="0" applyNumberFormat="1" applyFont="1" applyAlignment="1">
      <alignment horizontal="right"/>
    </xf>
    <xf numFmtId="9" fontId="8" fillId="0" borderId="0" xfId="0" applyNumberFormat="1" applyFont="1" applyAlignment="1">
      <alignment horizontal="right"/>
    </xf>
    <xf numFmtId="41" fontId="9" fillId="4" borderId="0" xfId="0" applyNumberFormat="1" applyFont="1" applyFill="1" applyAlignment="1">
      <alignment horizontal="right"/>
    </xf>
    <xf numFmtId="164" fontId="8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41" fontId="13" fillId="0" borderId="0" xfId="0" applyNumberFormat="1" applyFont="1" applyAlignment="1">
      <alignment horizontal="right"/>
    </xf>
    <xf numFmtId="41" fontId="14" fillId="0" borderId="0" xfId="0" applyNumberFormat="1" applyFont="1" applyAlignment="1">
      <alignment horizontal="right"/>
    </xf>
    <xf numFmtId="41" fontId="0" fillId="0" borderId="0" xfId="0" applyNumberFormat="1" applyAlignment="1">
      <alignment horizontal="left"/>
    </xf>
    <xf numFmtId="41" fontId="3" fillId="4" borderId="0" xfId="0" applyNumberFormat="1" applyFont="1" applyFill="1" applyAlignment="1">
      <alignment horizontal="right"/>
    </xf>
    <xf numFmtId="9" fontId="3" fillId="0" borderId="0" xfId="0" applyNumberFormat="1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41" fontId="15" fillId="0" borderId="0" xfId="0" applyNumberFormat="1" applyFont="1" applyAlignment="1">
      <alignment horizontal="right"/>
    </xf>
    <xf numFmtId="41" fontId="0" fillId="0" borderId="0" xfId="0" applyNumberFormat="1"/>
    <xf numFmtId="0" fontId="8" fillId="0" borderId="0" xfId="0" applyFont="1"/>
    <xf numFmtId="0" fontId="8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41" fontId="16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0" fontId="17" fillId="0" borderId="0" xfId="0" applyFont="1"/>
    <xf numFmtId="0" fontId="17" fillId="0" borderId="0" xfId="0" applyFont="1" applyAlignment="1">
      <alignment horizontal="left" indent="1"/>
    </xf>
    <xf numFmtId="167" fontId="8" fillId="0" borderId="0" xfId="0" applyNumberFormat="1" applyFont="1" applyAlignment="1">
      <alignment horizontal="right"/>
    </xf>
    <xf numFmtId="41" fontId="18" fillId="0" borderId="0" xfId="0" quotePrefix="1" applyNumberFormat="1" applyFont="1" applyAlignment="1">
      <alignment horizontal="left"/>
    </xf>
    <xf numFmtId="0" fontId="7" fillId="0" borderId="0" xfId="0" applyFont="1" applyAlignment="1">
      <alignment horizontal="right"/>
    </xf>
    <xf numFmtId="41" fontId="7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1" fontId="20" fillId="0" borderId="0" xfId="0" applyNumberFormat="1" applyFont="1" applyAlignment="1">
      <alignment horizontal="righ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41" fontId="9" fillId="0" borderId="0" xfId="0" quotePrefix="1" applyNumberFormat="1" applyFont="1" applyAlignment="1">
      <alignment horizontal="right"/>
    </xf>
    <xf numFmtId="41" fontId="11" fillId="0" borderId="0" xfId="0" quotePrefix="1" applyNumberFormat="1" applyFont="1" applyAlignment="1">
      <alignment horizontal="left"/>
    </xf>
    <xf numFmtId="41" fontId="21" fillId="0" borderId="0" xfId="0" applyNumberFormat="1" applyFont="1" applyAlignment="1">
      <alignment horizontal="right"/>
    </xf>
    <xf numFmtId="169" fontId="0" fillId="0" borderId="0" xfId="0" applyNumberFormat="1" applyAlignment="1">
      <alignment horizontal="right"/>
    </xf>
    <xf numFmtId="10" fontId="15" fillId="0" borderId="0" xfId="0" applyNumberFormat="1" applyFont="1" applyAlignment="1">
      <alignment horizontal="right"/>
    </xf>
    <xf numFmtId="168" fontId="0" fillId="0" borderId="0" xfId="0" applyNumberFormat="1"/>
    <xf numFmtId="10" fontId="0" fillId="0" borderId="0" xfId="0" applyNumberFormat="1"/>
    <xf numFmtId="41" fontId="3" fillId="0" borderId="3" xfId="0" applyNumberFormat="1" applyFont="1" applyBorder="1" applyAlignment="1">
      <alignment horizontal="left"/>
    </xf>
    <xf numFmtId="41" fontId="3" fillId="0" borderId="4" xfId="0" applyNumberFormat="1" applyFont="1" applyBorder="1" applyAlignment="1">
      <alignment horizontal="right"/>
    </xf>
    <xf numFmtId="41" fontId="3" fillId="0" borderId="5" xfId="0" applyNumberFormat="1" applyFont="1" applyBorder="1" applyAlignment="1">
      <alignment horizontal="left"/>
    </xf>
    <xf numFmtId="41" fontId="3" fillId="0" borderId="6" xfId="0" applyNumberFormat="1" applyFont="1" applyBorder="1" applyAlignment="1">
      <alignment horizontal="right"/>
    </xf>
    <xf numFmtId="41" fontId="7" fillId="0" borderId="0" xfId="0" applyNumberFormat="1" applyFont="1" applyAlignment="1">
      <alignment horizontal="left"/>
    </xf>
    <xf numFmtId="41" fontId="0" fillId="0" borderId="0" xfId="0" applyNumberFormat="1" applyAlignment="1">
      <alignment horizontal="left" indent="1"/>
    </xf>
    <xf numFmtId="170" fontId="0" fillId="0" borderId="0" xfId="0" applyNumberFormat="1" applyAlignment="1">
      <alignment horizontal="right"/>
    </xf>
    <xf numFmtId="41" fontId="0" fillId="0" borderId="0" xfId="0" applyNumberFormat="1" applyAlignment="1">
      <alignment horizontal="center"/>
    </xf>
    <xf numFmtId="41" fontId="20" fillId="0" borderId="1" xfId="0" applyNumberFormat="1" applyFont="1" applyBorder="1" applyAlignment="1">
      <alignment horizontal="center"/>
    </xf>
    <xf numFmtId="41" fontId="20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31811-EE07-4658-A13E-558EBDDE43EB}">
  <dimension ref="A1:BJ211"/>
  <sheetViews>
    <sheetView tabSelected="1" zoomScale="110" zoomScaleNormal="110" workbookViewId="0">
      <pane xSplit="9" ySplit="4" topLeftCell="J151" activePane="bottomRight" state="frozen"/>
      <selection pane="topRight" activeCell="J1" sqref="J1"/>
      <selection pane="bottomLeft" activeCell="A5" sqref="A5"/>
      <selection pane="bottomRight" activeCell="H186" sqref="H186"/>
    </sheetView>
  </sheetViews>
  <sheetFormatPr defaultColWidth="0" defaultRowHeight="14.4" zeroHeight="1" x14ac:dyDescent="0.3"/>
  <cols>
    <col min="1" max="1" width="2.33203125" customWidth="1"/>
    <col min="2" max="2" width="16.44140625" bestFit="1" customWidth="1"/>
    <col min="3" max="3" width="9.109375" style="1" customWidth="1"/>
    <col min="4" max="4" width="12.33203125" style="2" bestFit="1" customWidth="1"/>
    <col min="5" max="5" width="10" style="2" bestFit="1" customWidth="1"/>
    <col min="6" max="6" width="11.5546875" style="2" bestFit="1" customWidth="1"/>
    <col min="7" max="7" width="10.5546875" style="2" bestFit="1" customWidth="1"/>
    <col min="8" max="8" width="11.5546875" style="2" bestFit="1" customWidth="1"/>
    <col min="9" max="9" width="12.33203125" style="2" bestFit="1" customWidth="1"/>
    <col min="10" max="10" width="1.88671875" customWidth="1"/>
    <col min="11" max="11" width="14.33203125" style="31" bestFit="1" customWidth="1"/>
    <col min="12" max="12" width="12.5546875" style="9" bestFit="1" customWidth="1"/>
    <col min="13" max="24" width="11" style="9" bestFit="1" customWidth="1"/>
    <col min="25" max="25" width="10.44140625" style="9" customWidth="1"/>
    <col min="26" max="60" width="11" style="9" bestFit="1" customWidth="1"/>
    <col min="61" max="61" width="2.44140625" style="9" customWidth="1"/>
    <col min="62" max="16384" width="9.109375" style="9" hidden="1"/>
  </cols>
  <sheetData>
    <row r="1" spans="1:62" s="6" customFormat="1" x14ac:dyDescent="0.3">
      <c r="A1" t="s">
        <v>2</v>
      </c>
      <c r="B1"/>
      <c r="C1"/>
      <c r="D1"/>
      <c r="E1" s="1"/>
      <c r="F1" s="1"/>
      <c r="G1"/>
      <c r="H1" s="1"/>
      <c r="I1" s="1"/>
      <c r="J1"/>
      <c r="K1" s="31"/>
    </row>
    <row r="2" spans="1:62" s="6" customFormat="1" x14ac:dyDescent="0.3">
      <c r="A2"/>
      <c r="B2" s="3" t="s">
        <v>0</v>
      </c>
      <c r="C2" s="4"/>
      <c r="D2" s="4"/>
      <c r="E2" s="5"/>
      <c r="F2" s="5"/>
      <c r="G2" s="4"/>
      <c r="H2" s="5"/>
      <c r="I2" s="5" t="s">
        <v>1</v>
      </c>
      <c r="J2"/>
      <c r="K2" s="31"/>
      <c r="L2" s="7">
        <f>ROUNDUP(L4/12,0)</f>
        <v>0</v>
      </c>
      <c r="M2" s="7">
        <f t="shared" ref="M2:BH2" si="0">ROUNDUP(M4/12,0)</f>
        <v>1</v>
      </c>
      <c r="N2" s="7">
        <f t="shared" si="0"/>
        <v>1</v>
      </c>
      <c r="O2" s="7">
        <f t="shared" si="0"/>
        <v>1</v>
      </c>
      <c r="P2" s="7">
        <f t="shared" si="0"/>
        <v>1</v>
      </c>
      <c r="Q2" s="7">
        <f t="shared" si="0"/>
        <v>1</v>
      </c>
      <c r="R2" s="7">
        <f t="shared" si="0"/>
        <v>1</v>
      </c>
      <c r="S2" s="7">
        <f t="shared" si="0"/>
        <v>1</v>
      </c>
      <c r="T2" s="7">
        <f t="shared" si="0"/>
        <v>1</v>
      </c>
      <c r="U2" s="7">
        <f t="shared" si="0"/>
        <v>1</v>
      </c>
      <c r="V2" s="7">
        <f t="shared" si="0"/>
        <v>1</v>
      </c>
      <c r="W2" s="7">
        <f t="shared" si="0"/>
        <v>1</v>
      </c>
      <c r="X2" s="7">
        <f t="shared" si="0"/>
        <v>1</v>
      </c>
      <c r="Y2" s="7">
        <f t="shared" si="0"/>
        <v>2</v>
      </c>
      <c r="Z2" s="7">
        <f t="shared" si="0"/>
        <v>2</v>
      </c>
      <c r="AA2" s="7">
        <f t="shared" si="0"/>
        <v>2</v>
      </c>
      <c r="AB2" s="7">
        <f t="shared" si="0"/>
        <v>2</v>
      </c>
      <c r="AC2" s="7">
        <f t="shared" si="0"/>
        <v>2</v>
      </c>
      <c r="AD2" s="7">
        <f t="shared" si="0"/>
        <v>2</v>
      </c>
      <c r="AE2" s="7">
        <f t="shared" si="0"/>
        <v>2</v>
      </c>
      <c r="AF2" s="7">
        <f t="shared" si="0"/>
        <v>2</v>
      </c>
      <c r="AG2" s="7">
        <f t="shared" si="0"/>
        <v>2</v>
      </c>
      <c r="AH2" s="7">
        <f t="shared" si="0"/>
        <v>2</v>
      </c>
      <c r="AI2" s="7">
        <f t="shared" si="0"/>
        <v>2</v>
      </c>
      <c r="AJ2" s="7">
        <f t="shared" si="0"/>
        <v>2</v>
      </c>
      <c r="AK2" s="7">
        <f t="shared" si="0"/>
        <v>3</v>
      </c>
      <c r="AL2" s="7">
        <f t="shared" si="0"/>
        <v>3</v>
      </c>
      <c r="AM2" s="7">
        <f t="shared" si="0"/>
        <v>3</v>
      </c>
      <c r="AN2" s="7">
        <f t="shared" si="0"/>
        <v>3</v>
      </c>
      <c r="AO2" s="7">
        <f t="shared" si="0"/>
        <v>3</v>
      </c>
      <c r="AP2" s="7">
        <f t="shared" si="0"/>
        <v>3</v>
      </c>
      <c r="AQ2" s="7">
        <f t="shared" si="0"/>
        <v>3</v>
      </c>
      <c r="AR2" s="7">
        <f t="shared" si="0"/>
        <v>3</v>
      </c>
      <c r="AS2" s="7">
        <f t="shared" si="0"/>
        <v>3</v>
      </c>
      <c r="AT2" s="7">
        <f t="shared" si="0"/>
        <v>3</v>
      </c>
      <c r="AU2" s="7">
        <f t="shared" si="0"/>
        <v>3</v>
      </c>
      <c r="AV2" s="7">
        <f t="shared" si="0"/>
        <v>3</v>
      </c>
      <c r="AW2" s="7">
        <f t="shared" si="0"/>
        <v>4</v>
      </c>
      <c r="AX2" s="7">
        <f t="shared" si="0"/>
        <v>4</v>
      </c>
      <c r="AY2" s="7">
        <f t="shared" si="0"/>
        <v>4</v>
      </c>
      <c r="AZ2" s="7">
        <f t="shared" si="0"/>
        <v>4</v>
      </c>
      <c r="BA2" s="7">
        <f t="shared" si="0"/>
        <v>4</v>
      </c>
      <c r="BB2" s="7">
        <f t="shared" si="0"/>
        <v>4</v>
      </c>
      <c r="BC2" s="7">
        <f t="shared" si="0"/>
        <v>4</v>
      </c>
      <c r="BD2" s="7">
        <f t="shared" si="0"/>
        <v>4</v>
      </c>
      <c r="BE2" s="7">
        <f t="shared" si="0"/>
        <v>4</v>
      </c>
      <c r="BF2" s="7">
        <f t="shared" si="0"/>
        <v>4</v>
      </c>
      <c r="BG2" s="7">
        <f t="shared" si="0"/>
        <v>4</v>
      </c>
      <c r="BH2" s="7">
        <f t="shared" si="0"/>
        <v>4</v>
      </c>
    </row>
    <row r="3" spans="1:62" s="6" customFormat="1" x14ac:dyDescent="0.3">
      <c r="A3"/>
      <c r="B3" s="11"/>
      <c r="C3" s="12"/>
      <c r="D3" s="12"/>
      <c r="E3" s="13"/>
      <c r="F3" s="13"/>
      <c r="G3" s="12"/>
      <c r="H3" s="13"/>
      <c r="I3" s="13"/>
      <c r="J3"/>
      <c r="K3" s="31"/>
      <c r="L3" s="14">
        <v>43830</v>
      </c>
      <c r="M3" s="15">
        <f>EOMONTH(L3,1)</f>
        <v>43861</v>
      </c>
      <c r="N3" s="15">
        <f t="shared" ref="N3:BH3" si="1">EOMONTH(M3,1)</f>
        <v>43890</v>
      </c>
      <c r="O3" s="15">
        <f t="shared" si="1"/>
        <v>43921</v>
      </c>
      <c r="P3" s="15">
        <f t="shared" si="1"/>
        <v>43951</v>
      </c>
      <c r="Q3" s="15">
        <f t="shared" si="1"/>
        <v>43982</v>
      </c>
      <c r="R3" s="15">
        <f t="shared" si="1"/>
        <v>44012</v>
      </c>
      <c r="S3" s="15">
        <f t="shared" si="1"/>
        <v>44043</v>
      </c>
      <c r="T3" s="15">
        <f t="shared" si="1"/>
        <v>44074</v>
      </c>
      <c r="U3" s="15">
        <f t="shared" si="1"/>
        <v>44104</v>
      </c>
      <c r="V3" s="15">
        <f t="shared" si="1"/>
        <v>44135</v>
      </c>
      <c r="W3" s="15">
        <f t="shared" si="1"/>
        <v>44165</v>
      </c>
      <c r="X3" s="15">
        <f t="shared" si="1"/>
        <v>44196</v>
      </c>
      <c r="Y3" s="15">
        <f t="shared" si="1"/>
        <v>44227</v>
      </c>
      <c r="Z3" s="15">
        <f t="shared" si="1"/>
        <v>44255</v>
      </c>
      <c r="AA3" s="15">
        <f t="shared" si="1"/>
        <v>44286</v>
      </c>
      <c r="AB3" s="15">
        <f t="shared" si="1"/>
        <v>44316</v>
      </c>
      <c r="AC3" s="15">
        <f t="shared" si="1"/>
        <v>44347</v>
      </c>
      <c r="AD3" s="15">
        <f t="shared" si="1"/>
        <v>44377</v>
      </c>
      <c r="AE3" s="15">
        <f t="shared" si="1"/>
        <v>44408</v>
      </c>
      <c r="AF3" s="15">
        <f t="shared" si="1"/>
        <v>44439</v>
      </c>
      <c r="AG3" s="15">
        <f t="shared" si="1"/>
        <v>44469</v>
      </c>
      <c r="AH3" s="15">
        <f t="shared" si="1"/>
        <v>44500</v>
      </c>
      <c r="AI3" s="15">
        <f t="shared" si="1"/>
        <v>44530</v>
      </c>
      <c r="AJ3" s="15">
        <f t="shared" si="1"/>
        <v>44561</v>
      </c>
      <c r="AK3" s="15">
        <f t="shared" si="1"/>
        <v>44592</v>
      </c>
      <c r="AL3" s="15">
        <f t="shared" si="1"/>
        <v>44620</v>
      </c>
      <c r="AM3" s="15">
        <f t="shared" si="1"/>
        <v>44651</v>
      </c>
      <c r="AN3" s="15">
        <f t="shared" si="1"/>
        <v>44681</v>
      </c>
      <c r="AO3" s="15">
        <f t="shared" si="1"/>
        <v>44712</v>
      </c>
      <c r="AP3" s="15">
        <f t="shared" si="1"/>
        <v>44742</v>
      </c>
      <c r="AQ3" s="15">
        <f t="shared" si="1"/>
        <v>44773</v>
      </c>
      <c r="AR3" s="15">
        <f t="shared" si="1"/>
        <v>44804</v>
      </c>
      <c r="AS3" s="15">
        <f t="shared" si="1"/>
        <v>44834</v>
      </c>
      <c r="AT3" s="15">
        <f t="shared" si="1"/>
        <v>44865</v>
      </c>
      <c r="AU3" s="15">
        <f t="shared" si="1"/>
        <v>44895</v>
      </c>
      <c r="AV3" s="15">
        <f t="shared" si="1"/>
        <v>44926</v>
      </c>
      <c r="AW3" s="15">
        <f t="shared" si="1"/>
        <v>44957</v>
      </c>
      <c r="AX3" s="15">
        <f t="shared" si="1"/>
        <v>44985</v>
      </c>
      <c r="AY3" s="15">
        <f t="shared" si="1"/>
        <v>45016</v>
      </c>
      <c r="AZ3" s="15">
        <f t="shared" si="1"/>
        <v>45046</v>
      </c>
      <c r="BA3" s="15">
        <f t="shared" si="1"/>
        <v>45077</v>
      </c>
      <c r="BB3" s="15">
        <f t="shared" si="1"/>
        <v>45107</v>
      </c>
      <c r="BC3" s="15">
        <f t="shared" si="1"/>
        <v>45138</v>
      </c>
      <c r="BD3" s="15">
        <f t="shared" si="1"/>
        <v>45169</v>
      </c>
      <c r="BE3" s="15">
        <f t="shared" si="1"/>
        <v>45199</v>
      </c>
      <c r="BF3" s="15">
        <f t="shared" si="1"/>
        <v>45230</v>
      </c>
      <c r="BG3" s="15">
        <f t="shared" si="1"/>
        <v>45260</v>
      </c>
      <c r="BH3" s="15">
        <f t="shared" si="1"/>
        <v>45291</v>
      </c>
    </row>
    <row r="4" spans="1:62" s="6" customFormat="1" x14ac:dyDescent="0.3">
      <c r="A4"/>
      <c r="B4"/>
      <c r="C4"/>
      <c r="D4"/>
      <c r="E4" s="1"/>
      <c r="F4" s="1"/>
      <c r="G4"/>
      <c r="H4" s="1"/>
      <c r="I4" s="1"/>
      <c r="J4"/>
      <c r="K4" s="31"/>
      <c r="L4" s="10">
        <v>0</v>
      </c>
      <c r="M4" s="10">
        <f>+L4+1</f>
        <v>1</v>
      </c>
      <c r="N4" s="10">
        <f t="shared" ref="N4:BH4" si="2">+M4+1</f>
        <v>2</v>
      </c>
      <c r="O4" s="10">
        <f t="shared" si="2"/>
        <v>3</v>
      </c>
      <c r="P4" s="10">
        <f t="shared" si="2"/>
        <v>4</v>
      </c>
      <c r="Q4" s="10">
        <f t="shared" si="2"/>
        <v>5</v>
      </c>
      <c r="R4" s="10">
        <f t="shared" si="2"/>
        <v>6</v>
      </c>
      <c r="S4" s="10">
        <f t="shared" si="2"/>
        <v>7</v>
      </c>
      <c r="T4" s="10">
        <f t="shared" si="2"/>
        <v>8</v>
      </c>
      <c r="U4" s="10">
        <f t="shared" si="2"/>
        <v>9</v>
      </c>
      <c r="V4" s="10">
        <f t="shared" si="2"/>
        <v>10</v>
      </c>
      <c r="W4" s="10">
        <f t="shared" si="2"/>
        <v>11</v>
      </c>
      <c r="X4" s="10">
        <f t="shared" si="2"/>
        <v>12</v>
      </c>
      <c r="Y4" s="10">
        <f t="shared" si="2"/>
        <v>13</v>
      </c>
      <c r="Z4" s="10">
        <f t="shared" si="2"/>
        <v>14</v>
      </c>
      <c r="AA4" s="10">
        <f t="shared" si="2"/>
        <v>15</v>
      </c>
      <c r="AB4" s="10">
        <f t="shared" si="2"/>
        <v>16</v>
      </c>
      <c r="AC4" s="10">
        <f t="shared" si="2"/>
        <v>17</v>
      </c>
      <c r="AD4" s="10">
        <f t="shared" si="2"/>
        <v>18</v>
      </c>
      <c r="AE4" s="10">
        <f t="shared" si="2"/>
        <v>19</v>
      </c>
      <c r="AF4" s="10">
        <f t="shared" si="2"/>
        <v>20</v>
      </c>
      <c r="AG4" s="10">
        <f t="shared" si="2"/>
        <v>21</v>
      </c>
      <c r="AH4" s="10">
        <f t="shared" si="2"/>
        <v>22</v>
      </c>
      <c r="AI4" s="10">
        <f t="shared" si="2"/>
        <v>23</v>
      </c>
      <c r="AJ4" s="10">
        <f t="shared" si="2"/>
        <v>24</v>
      </c>
      <c r="AK4" s="10">
        <f t="shared" si="2"/>
        <v>25</v>
      </c>
      <c r="AL4" s="10">
        <f t="shared" si="2"/>
        <v>26</v>
      </c>
      <c r="AM4" s="10">
        <f t="shared" si="2"/>
        <v>27</v>
      </c>
      <c r="AN4" s="10">
        <f t="shared" si="2"/>
        <v>28</v>
      </c>
      <c r="AO4" s="10">
        <f t="shared" si="2"/>
        <v>29</v>
      </c>
      <c r="AP4" s="10">
        <f t="shared" si="2"/>
        <v>30</v>
      </c>
      <c r="AQ4" s="10">
        <f t="shared" si="2"/>
        <v>31</v>
      </c>
      <c r="AR4" s="10">
        <f t="shared" si="2"/>
        <v>32</v>
      </c>
      <c r="AS4" s="10">
        <f t="shared" si="2"/>
        <v>33</v>
      </c>
      <c r="AT4" s="10">
        <f t="shared" si="2"/>
        <v>34</v>
      </c>
      <c r="AU4" s="10">
        <f t="shared" si="2"/>
        <v>35</v>
      </c>
      <c r="AV4" s="10">
        <f t="shared" si="2"/>
        <v>36</v>
      </c>
      <c r="AW4" s="10">
        <f t="shared" si="2"/>
        <v>37</v>
      </c>
      <c r="AX4" s="10">
        <f t="shared" si="2"/>
        <v>38</v>
      </c>
      <c r="AY4" s="10">
        <f t="shared" si="2"/>
        <v>39</v>
      </c>
      <c r="AZ4" s="10">
        <f t="shared" si="2"/>
        <v>40</v>
      </c>
      <c r="BA4" s="10">
        <f t="shared" si="2"/>
        <v>41</v>
      </c>
      <c r="BB4" s="10">
        <f t="shared" si="2"/>
        <v>42</v>
      </c>
      <c r="BC4" s="10">
        <f t="shared" si="2"/>
        <v>43</v>
      </c>
      <c r="BD4" s="10">
        <f t="shared" si="2"/>
        <v>44</v>
      </c>
      <c r="BE4" s="10">
        <f t="shared" si="2"/>
        <v>45</v>
      </c>
      <c r="BF4" s="10">
        <f t="shared" si="2"/>
        <v>46</v>
      </c>
      <c r="BG4" s="10">
        <f t="shared" si="2"/>
        <v>47</v>
      </c>
      <c r="BH4" s="10">
        <f t="shared" si="2"/>
        <v>48</v>
      </c>
      <c r="BI4" s="8"/>
      <c r="BJ4" s="8"/>
    </row>
    <row r="5" spans="1:62" x14ac:dyDescent="0.3">
      <c r="B5" s="16" t="s">
        <v>3</v>
      </c>
      <c r="C5" s="17"/>
      <c r="D5" s="18"/>
      <c r="E5" s="18"/>
      <c r="F5" s="18"/>
      <c r="G5" s="18"/>
      <c r="H5" s="18"/>
      <c r="I5" s="18"/>
    </row>
    <row r="6" spans="1:62" x14ac:dyDescent="0.3">
      <c r="B6" t="s">
        <v>10</v>
      </c>
      <c r="I6" s="19">
        <v>240</v>
      </c>
    </row>
    <row r="7" spans="1:62" x14ac:dyDescent="0.3">
      <c r="B7" t="s">
        <v>11</v>
      </c>
      <c r="I7" s="19">
        <v>110</v>
      </c>
    </row>
    <row r="8" spans="1:62" x14ac:dyDescent="0.3">
      <c r="B8" t="s">
        <v>12</v>
      </c>
      <c r="I8" s="19">
        <v>210</v>
      </c>
    </row>
    <row r="9" spans="1:62" x14ac:dyDescent="0.3">
      <c r="B9" s="16" t="s">
        <v>4</v>
      </c>
      <c r="C9" s="17"/>
      <c r="D9" s="18"/>
      <c r="E9" s="18"/>
      <c r="F9" s="18"/>
      <c r="G9" s="18"/>
      <c r="H9" s="18"/>
      <c r="I9" s="18"/>
    </row>
    <row r="10" spans="1:62" x14ac:dyDescent="0.3">
      <c r="B10" s="20" t="s">
        <v>152</v>
      </c>
      <c r="F10" s="67" t="s">
        <v>153</v>
      </c>
    </row>
    <row r="11" spans="1:62" x14ac:dyDescent="0.3">
      <c r="B11" t="s">
        <v>154</v>
      </c>
      <c r="E11" s="23">
        <f>I133</f>
        <v>0.15305733084678649</v>
      </c>
      <c r="F11" s="68" t="s">
        <v>161</v>
      </c>
      <c r="I11" s="2">
        <f>D145</f>
        <v>10841993.75</v>
      </c>
    </row>
    <row r="12" spans="1:62" x14ac:dyDescent="0.3">
      <c r="B12" t="s">
        <v>157</v>
      </c>
      <c r="E12" s="59">
        <f>I134</f>
        <v>1.5181643451697124</v>
      </c>
      <c r="F12" s="68" t="s">
        <v>162</v>
      </c>
      <c r="I12" s="2">
        <f>D146</f>
        <v>570631.25</v>
      </c>
    </row>
    <row r="13" spans="1:62" x14ac:dyDescent="0.3">
      <c r="B13" t="s">
        <v>155</v>
      </c>
      <c r="E13" s="23">
        <f>I141</f>
        <v>0.35179463028907776</v>
      </c>
      <c r="F13" s="34" t="s">
        <v>163</v>
      </c>
      <c r="I13" s="2">
        <f>SUM(I11:I12)</f>
        <v>11412625</v>
      </c>
    </row>
    <row r="14" spans="1:62" x14ac:dyDescent="0.3">
      <c r="B14" t="s">
        <v>156</v>
      </c>
      <c r="E14" s="59">
        <f>I142</f>
        <v>2.3626616375935185</v>
      </c>
      <c r="F14" s="34" t="s">
        <v>164</v>
      </c>
      <c r="I14" s="23">
        <f>D154</f>
        <v>0.29801895022392288</v>
      </c>
    </row>
    <row r="15" spans="1:62" x14ac:dyDescent="0.3">
      <c r="B15" s="21" t="s">
        <v>158</v>
      </c>
      <c r="E15" s="23">
        <f>I80/I37</f>
        <v>6.444281137309657E-2</v>
      </c>
      <c r="F15" s="34" t="s">
        <v>165</v>
      </c>
      <c r="I15" s="59">
        <f>D155</f>
        <v>2.0977541454678015</v>
      </c>
    </row>
    <row r="16" spans="1:62" x14ac:dyDescent="0.3">
      <c r="B16" s="21" t="s">
        <v>159</v>
      </c>
      <c r="E16" s="23">
        <f>I116</f>
        <v>5.5E-2</v>
      </c>
      <c r="F16" s="34" t="s">
        <v>166</v>
      </c>
      <c r="I16" s="23">
        <f>D161</f>
        <v>0.98088020086288452</v>
      </c>
    </row>
    <row r="17" spans="2:60" x14ac:dyDescent="0.3">
      <c r="B17" t="s">
        <v>160</v>
      </c>
      <c r="E17" s="69">
        <f>(E15-E16)*10000</f>
        <v>94.428113730965705</v>
      </c>
      <c r="F17" s="34" t="s">
        <v>167</v>
      </c>
      <c r="I17" s="59">
        <f>D162</f>
        <v>7.3959039879821518</v>
      </c>
    </row>
    <row r="18" spans="2:60" x14ac:dyDescent="0.3">
      <c r="B18" s="16" t="s">
        <v>5</v>
      </c>
      <c r="C18" s="17"/>
      <c r="D18" s="18"/>
      <c r="E18" s="18"/>
      <c r="F18" s="18"/>
      <c r="G18" s="18"/>
      <c r="H18" s="18"/>
      <c r="I18" s="18"/>
    </row>
    <row r="19" spans="2:60" x14ac:dyDescent="0.3">
      <c r="B19" s="20" t="s">
        <v>13</v>
      </c>
    </row>
    <row r="20" spans="2:60" ht="16.2" x14ac:dyDescent="0.45">
      <c r="B20" t="s">
        <v>14</v>
      </c>
      <c r="E20" s="22" t="s">
        <v>37</v>
      </c>
      <c r="F20" s="22" t="s">
        <v>38</v>
      </c>
      <c r="I20" s="22" t="s">
        <v>32</v>
      </c>
      <c r="K20" s="30" t="s">
        <v>40</v>
      </c>
    </row>
    <row r="21" spans="2:60" x14ac:dyDescent="0.3">
      <c r="B21" s="21" t="s">
        <v>15</v>
      </c>
      <c r="E21" s="28">
        <v>0</v>
      </c>
      <c r="F21" s="28">
        <v>0</v>
      </c>
      <c r="I21" s="19">
        <v>42500000</v>
      </c>
      <c r="K21" s="31" t="str">
        <f>IF(I21=SUM(L21:BH21),"OK","Error")</f>
        <v>OK</v>
      </c>
      <c r="L21" s="9">
        <f>AND(L$4&gt;=$E21,L$4&lt;=$F21)*$I21/($F21-$E21+1)</f>
        <v>42500000</v>
      </c>
      <c r="M21" s="9">
        <f t="shared" ref="M21:BH22" si="3">AND(M$4&gt;=$E21,M$4&lt;=$F21)*$I21/($F21-$E21+1)</f>
        <v>0</v>
      </c>
      <c r="N21" s="9">
        <f t="shared" si="3"/>
        <v>0</v>
      </c>
      <c r="O21" s="9">
        <f t="shared" si="3"/>
        <v>0</v>
      </c>
      <c r="P21" s="9">
        <f t="shared" si="3"/>
        <v>0</v>
      </c>
      <c r="Q21" s="9">
        <f t="shared" si="3"/>
        <v>0</v>
      </c>
      <c r="R21" s="9">
        <f t="shared" si="3"/>
        <v>0</v>
      </c>
      <c r="S21" s="9">
        <f t="shared" si="3"/>
        <v>0</v>
      </c>
      <c r="T21" s="9">
        <f t="shared" si="3"/>
        <v>0</v>
      </c>
      <c r="U21" s="9">
        <f t="shared" si="3"/>
        <v>0</v>
      </c>
      <c r="V21" s="9">
        <f t="shared" si="3"/>
        <v>0</v>
      </c>
      <c r="W21" s="9">
        <f t="shared" si="3"/>
        <v>0</v>
      </c>
      <c r="X21" s="9">
        <f t="shared" si="3"/>
        <v>0</v>
      </c>
      <c r="Y21" s="9">
        <f t="shared" si="3"/>
        <v>0</v>
      </c>
      <c r="Z21" s="9">
        <f t="shared" si="3"/>
        <v>0</v>
      </c>
      <c r="AA21" s="9">
        <f t="shared" si="3"/>
        <v>0</v>
      </c>
      <c r="AB21" s="9">
        <f t="shared" si="3"/>
        <v>0</v>
      </c>
      <c r="AC21" s="9">
        <f t="shared" si="3"/>
        <v>0</v>
      </c>
      <c r="AD21" s="9">
        <f t="shared" si="3"/>
        <v>0</v>
      </c>
      <c r="AE21" s="9">
        <f t="shared" si="3"/>
        <v>0</v>
      </c>
      <c r="AF21" s="9">
        <f t="shared" si="3"/>
        <v>0</v>
      </c>
      <c r="AG21" s="9">
        <f t="shared" si="3"/>
        <v>0</v>
      </c>
      <c r="AH21" s="9">
        <f t="shared" si="3"/>
        <v>0</v>
      </c>
      <c r="AI21" s="9">
        <f t="shared" si="3"/>
        <v>0</v>
      </c>
      <c r="AJ21" s="9">
        <f t="shared" si="3"/>
        <v>0</v>
      </c>
      <c r="AK21" s="9">
        <f t="shared" si="3"/>
        <v>0</v>
      </c>
      <c r="AL21" s="9">
        <f t="shared" si="3"/>
        <v>0</v>
      </c>
      <c r="AM21" s="9">
        <f t="shared" si="3"/>
        <v>0</v>
      </c>
      <c r="AN21" s="9">
        <f t="shared" si="3"/>
        <v>0</v>
      </c>
      <c r="AO21" s="9">
        <f t="shared" si="3"/>
        <v>0</v>
      </c>
      <c r="AP21" s="9">
        <f t="shared" si="3"/>
        <v>0</v>
      </c>
      <c r="AQ21" s="9">
        <f t="shared" si="3"/>
        <v>0</v>
      </c>
      <c r="AR21" s="9">
        <f t="shared" si="3"/>
        <v>0</v>
      </c>
      <c r="AS21" s="9">
        <f t="shared" si="3"/>
        <v>0</v>
      </c>
      <c r="AT21" s="9">
        <f t="shared" si="3"/>
        <v>0</v>
      </c>
      <c r="AU21" s="9">
        <f t="shared" si="3"/>
        <v>0</v>
      </c>
      <c r="AV21" s="9">
        <f t="shared" si="3"/>
        <v>0</v>
      </c>
      <c r="AW21" s="9">
        <f t="shared" si="3"/>
        <v>0</v>
      </c>
      <c r="AX21" s="9">
        <f t="shared" si="3"/>
        <v>0</v>
      </c>
      <c r="AY21" s="9">
        <f t="shared" si="3"/>
        <v>0</v>
      </c>
      <c r="AZ21" s="9">
        <f t="shared" si="3"/>
        <v>0</v>
      </c>
      <c r="BA21" s="9">
        <f t="shared" si="3"/>
        <v>0</v>
      </c>
      <c r="BB21" s="9">
        <f t="shared" si="3"/>
        <v>0</v>
      </c>
      <c r="BC21" s="9">
        <f t="shared" si="3"/>
        <v>0</v>
      </c>
      <c r="BD21" s="9">
        <f t="shared" si="3"/>
        <v>0</v>
      </c>
      <c r="BE21" s="9">
        <f t="shared" si="3"/>
        <v>0</v>
      </c>
      <c r="BF21" s="9">
        <f t="shared" si="3"/>
        <v>0</v>
      </c>
      <c r="BG21" s="9">
        <f t="shared" si="3"/>
        <v>0</v>
      </c>
      <c r="BH21" s="9">
        <f t="shared" si="3"/>
        <v>0</v>
      </c>
    </row>
    <row r="22" spans="2:60" ht="16.2" x14ac:dyDescent="0.45">
      <c r="B22" s="21" t="s">
        <v>16</v>
      </c>
      <c r="E22" s="28">
        <v>0</v>
      </c>
      <c r="F22" s="28">
        <v>0</v>
      </c>
      <c r="G22" s="24">
        <v>5.0000000000000001E-3</v>
      </c>
      <c r="I22" s="22">
        <f>G22*I21</f>
        <v>212500</v>
      </c>
      <c r="K22" s="31" t="str">
        <f>IF(I22=SUM(L22:BH22),"OK","Error")</f>
        <v>OK</v>
      </c>
      <c r="L22" s="32">
        <f>AND(L$4&gt;=$E22,L$4&lt;=$F22)*$I22/($F22-$E22+1)</f>
        <v>212500</v>
      </c>
      <c r="M22" s="32">
        <f t="shared" si="3"/>
        <v>0</v>
      </c>
      <c r="N22" s="32">
        <f t="shared" si="3"/>
        <v>0</v>
      </c>
      <c r="O22" s="32">
        <f t="shared" si="3"/>
        <v>0</v>
      </c>
      <c r="P22" s="32">
        <f t="shared" si="3"/>
        <v>0</v>
      </c>
      <c r="Q22" s="32">
        <f t="shared" si="3"/>
        <v>0</v>
      </c>
      <c r="R22" s="32">
        <f t="shared" si="3"/>
        <v>0</v>
      </c>
      <c r="S22" s="32">
        <f t="shared" si="3"/>
        <v>0</v>
      </c>
      <c r="T22" s="32">
        <f t="shared" si="3"/>
        <v>0</v>
      </c>
      <c r="U22" s="32">
        <f t="shared" si="3"/>
        <v>0</v>
      </c>
      <c r="V22" s="32">
        <f t="shared" si="3"/>
        <v>0</v>
      </c>
      <c r="W22" s="32">
        <f t="shared" si="3"/>
        <v>0</v>
      </c>
      <c r="X22" s="32">
        <f t="shared" si="3"/>
        <v>0</v>
      </c>
      <c r="Y22" s="32">
        <f t="shared" si="3"/>
        <v>0</v>
      </c>
      <c r="Z22" s="32">
        <f t="shared" si="3"/>
        <v>0</v>
      </c>
      <c r="AA22" s="32">
        <f t="shared" si="3"/>
        <v>0</v>
      </c>
      <c r="AB22" s="32">
        <f t="shared" si="3"/>
        <v>0</v>
      </c>
      <c r="AC22" s="32">
        <f t="shared" si="3"/>
        <v>0</v>
      </c>
      <c r="AD22" s="32">
        <f t="shared" si="3"/>
        <v>0</v>
      </c>
      <c r="AE22" s="32">
        <f t="shared" si="3"/>
        <v>0</v>
      </c>
      <c r="AF22" s="32">
        <f t="shared" si="3"/>
        <v>0</v>
      </c>
      <c r="AG22" s="32">
        <f t="shared" si="3"/>
        <v>0</v>
      </c>
      <c r="AH22" s="32">
        <f t="shared" si="3"/>
        <v>0</v>
      </c>
      <c r="AI22" s="32">
        <f t="shared" si="3"/>
        <v>0</v>
      </c>
      <c r="AJ22" s="32">
        <f t="shared" si="3"/>
        <v>0</v>
      </c>
      <c r="AK22" s="32">
        <f t="shared" si="3"/>
        <v>0</v>
      </c>
      <c r="AL22" s="32">
        <f t="shared" si="3"/>
        <v>0</v>
      </c>
      <c r="AM22" s="32">
        <f t="shared" si="3"/>
        <v>0</v>
      </c>
      <c r="AN22" s="32">
        <f t="shared" si="3"/>
        <v>0</v>
      </c>
      <c r="AO22" s="32">
        <f t="shared" si="3"/>
        <v>0</v>
      </c>
      <c r="AP22" s="32">
        <f t="shared" si="3"/>
        <v>0</v>
      </c>
      <c r="AQ22" s="32">
        <f t="shared" si="3"/>
        <v>0</v>
      </c>
      <c r="AR22" s="32">
        <f t="shared" si="3"/>
        <v>0</v>
      </c>
      <c r="AS22" s="32">
        <f t="shared" si="3"/>
        <v>0</v>
      </c>
      <c r="AT22" s="32">
        <f t="shared" si="3"/>
        <v>0</v>
      </c>
      <c r="AU22" s="32">
        <f t="shared" si="3"/>
        <v>0</v>
      </c>
      <c r="AV22" s="32">
        <f t="shared" si="3"/>
        <v>0</v>
      </c>
      <c r="AW22" s="32">
        <f t="shared" si="3"/>
        <v>0</v>
      </c>
      <c r="AX22" s="32">
        <f t="shared" si="3"/>
        <v>0</v>
      </c>
      <c r="AY22" s="32">
        <f t="shared" si="3"/>
        <v>0</v>
      </c>
      <c r="AZ22" s="32">
        <f t="shared" si="3"/>
        <v>0</v>
      </c>
      <c r="BA22" s="32">
        <f t="shared" si="3"/>
        <v>0</v>
      </c>
      <c r="BB22" s="32">
        <f t="shared" si="3"/>
        <v>0</v>
      </c>
      <c r="BC22" s="32">
        <f t="shared" si="3"/>
        <v>0</v>
      </c>
      <c r="BD22" s="32">
        <f t="shared" si="3"/>
        <v>0</v>
      </c>
      <c r="BE22" s="32">
        <f t="shared" si="3"/>
        <v>0</v>
      </c>
      <c r="BF22" s="32">
        <f t="shared" si="3"/>
        <v>0</v>
      </c>
      <c r="BG22" s="32">
        <f t="shared" si="3"/>
        <v>0</v>
      </c>
      <c r="BH22" s="32">
        <f t="shared" si="3"/>
        <v>0</v>
      </c>
    </row>
    <row r="23" spans="2:60" x14ac:dyDescent="0.3">
      <c r="B23" t="s">
        <v>17</v>
      </c>
      <c r="I23" s="2">
        <f>SUM(I21:I22)</f>
        <v>42712500</v>
      </c>
      <c r="L23" s="9">
        <f>SUM(L21:L22)</f>
        <v>42712500</v>
      </c>
      <c r="M23" s="9">
        <f t="shared" ref="M23:BH23" si="4">SUM(M21:M22)</f>
        <v>0</v>
      </c>
      <c r="N23" s="9">
        <f t="shared" si="4"/>
        <v>0</v>
      </c>
      <c r="O23" s="9">
        <f t="shared" si="4"/>
        <v>0</v>
      </c>
      <c r="P23" s="9">
        <f t="shared" si="4"/>
        <v>0</v>
      </c>
      <c r="Q23" s="9">
        <f t="shared" si="4"/>
        <v>0</v>
      </c>
      <c r="R23" s="9">
        <f t="shared" si="4"/>
        <v>0</v>
      </c>
      <c r="S23" s="9">
        <f t="shared" si="4"/>
        <v>0</v>
      </c>
      <c r="T23" s="9">
        <f t="shared" si="4"/>
        <v>0</v>
      </c>
      <c r="U23" s="9">
        <f t="shared" si="4"/>
        <v>0</v>
      </c>
      <c r="V23" s="9">
        <f t="shared" si="4"/>
        <v>0</v>
      </c>
      <c r="W23" s="9">
        <f t="shared" si="4"/>
        <v>0</v>
      </c>
      <c r="X23" s="9">
        <f t="shared" si="4"/>
        <v>0</v>
      </c>
      <c r="Y23" s="9">
        <f t="shared" si="4"/>
        <v>0</v>
      </c>
      <c r="Z23" s="9">
        <f t="shared" si="4"/>
        <v>0</v>
      </c>
      <c r="AA23" s="9">
        <f t="shared" si="4"/>
        <v>0</v>
      </c>
      <c r="AB23" s="9">
        <f t="shared" si="4"/>
        <v>0</v>
      </c>
      <c r="AC23" s="9">
        <f t="shared" si="4"/>
        <v>0</v>
      </c>
      <c r="AD23" s="9">
        <f t="shared" si="4"/>
        <v>0</v>
      </c>
      <c r="AE23" s="9">
        <f t="shared" si="4"/>
        <v>0</v>
      </c>
      <c r="AF23" s="9">
        <f t="shared" si="4"/>
        <v>0</v>
      </c>
      <c r="AG23" s="9">
        <f t="shared" si="4"/>
        <v>0</v>
      </c>
      <c r="AH23" s="9">
        <f t="shared" si="4"/>
        <v>0</v>
      </c>
      <c r="AI23" s="9">
        <f t="shared" si="4"/>
        <v>0</v>
      </c>
      <c r="AJ23" s="9">
        <f t="shared" si="4"/>
        <v>0</v>
      </c>
      <c r="AK23" s="9">
        <f t="shared" si="4"/>
        <v>0</v>
      </c>
      <c r="AL23" s="9">
        <f t="shared" si="4"/>
        <v>0</v>
      </c>
      <c r="AM23" s="9">
        <f t="shared" si="4"/>
        <v>0</v>
      </c>
      <c r="AN23" s="9">
        <f t="shared" si="4"/>
        <v>0</v>
      </c>
      <c r="AO23" s="9">
        <f t="shared" si="4"/>
        <v>0</v>
      </c>
      <c r="AP23" s="9">
        <f t="shared" si="4"/>
        <v>0</v>
      </c>
      <c r="AQ23" s="9">
        <f t="shared" si="4"/>
        <v>0</v>
      </c>
      <c r="AR23" s="9">
        <f t="shared" si="4"/>
        <v>0</v>
      </c>
      <c r="AS23" s="9">
        <f t="shared" si="4"/>
        <v>0</v>
      </c>
      <c r="AT23" s="9">
        <f t="shared" si="4"/>
        <v>0</v>
      </c>
      <c r="AU23" s="9">
        <f t="shared" si="4"/>
        <v>0</v>
      </c>
      <c r="AV23" s="9">
        <f t="shared" si="4"/>
        <v>0</v>
      </c>
      <c r="AW23" s="9">
        <f t="shared" si="4"/>
        <v>0</v>
      </c>
      <c r="AX23" s="9">
        <f t="shared" si="4"/>
        <v>0</v>
      </c>
      <c r="AY23" s="9">
        <f t="shared" si="4"/>
        <v>0</v>
      </c>
      <c r="AZ23" s="9">
        <f t="shared" si="4"/>
        <v>0</v>
      </c>
      <c r="BA23" s="9">
        <f t="shared" si="4"/>
        <v>0</v>
      </c>
      <c r="BB23" s="9">
        <f t="shared" si="4"/>
        <v>0</v>
      </c>
      <c r="BC23" s="9">
        <f t="shared" si="4"/>
        <v>0</v>
      </c>
      <c r="BD23" s="9">
        <f t="shared" si="4"/>
        <v>0</v>
      </c>
      <c r="BE23" s="9">
        <f t="shared" si="4"/>
        <v>0</v>
      </c>
      <c r="BF23" s="9">
        <f t="shared" si="4"/>
        <v>0</v>
      </c>
      <c r="BG23" s="9">
        <f t="shared" si="4"/>
        <v>0</v>
      </c>
      <c r="BH23" s="9">
        <f t="shared" si="4"/>
        <v>0</v>
      </c>
    </row>
    <row r="24" spans="2:60" x14ac:dyDescent="0.3"/>
    <row r="25" spans="2:60" x14ac:dyDescent="0.3">
      <c r="B25" t="s">
        <v>18</v>
      </c>
    </row>
    <row r="26" spans="2:60" x14ac:dyDescent="0.3">
      <c r="B26" s="21" t="s">
        <v>19</v>
      </c>
      <c r="E26" s="29" t="s">
        <v>39</v>
      </c>
      <c r="F26" s="29" t="s">
        <v>39</v>
      </c>
      <c r="H26" s="19">
        <v>10000</v>
      </c>
      <c r="I26" s="2">
        <f>+H26*Units</f>
        <v>2400000</v>
      </c>
      <c r="K26" s="31" t="str">
        <f>IF(I26=SUM(L26:BH26),"OK","Error")</f>
        <v>OK</v>
      </c>
      <c r="L26" s="35">
        <v>0</v>
      </c>
      <c r="M26" s="35">
        <f>$H26*M$46</f>
        <v>100000</v>
      </c>
      <c r="N26" s="35">
        <f t="shared" ref="N26:BH26" si="5">$H26*N$46</f>
        <v>100000</v>
      </c>
      <c r="O26" s="35">
        <f t="shared" si="5"/>
        <v>100000</v>
      </c>
      <c r="P26" s="35">
        <f t="shared" si="5"/>
        <v>100000</v>
      </c>
      <c r="Q26" s="35">
        <f t="shared" si="5"/>
        <v>100000</v>
      </c>
      <c r="R26" s="35">
        <f t="shared" si="5"/>
        <v>100000</v>
      </c>
      <c r="S26" s="35">
        <f t="shared" si="5"/>
        <v>100000</v>
      </c>
      <c r="T26" s="35">
        <f t="shared" si="5"/>
        <v>100000</v>
      </c>
      <c r="U26" s="35">
        <f t="shared" si="5"/>
        <v>100000</v>
      </c>
      <c r="V26" s="35">
        <f t="shared" si="5"/>
        <v>100000</v>
      </c>
      <c r="W26" s="35">
        <f t="shared" si="5"/>
        <v>100000</v>
      </c>
      <c r="X26" s="35">
        <f t="shared" si="5"/>
        <v>100000</v>
      </c>
      <c r="Y26" s="35">
        <f t="shared" si="5"/>
        <v>100000</v>
      </c>
      <c r="Z26" s="35">
        <f t="shared" si="5"/>
        <v>100000</v>
      </c>
      <c r="AA26" s="35">
        <f t="shared" si="5"/>
        <v>100000</v>
      </c>
      <c r="AB26" s="35">
        <f t="shared" si="5"/>
        <v>100000</v>
      </c>
      <c r="AC26" s="35">
        <f t="shared" si="5"/>
        <v>100000</v>
      </c>
      <c r="AD26" s="35">
        <f t="shared" si="5"/>
        <v>100000</v>
      </c>
      <c r="AE26" s="35">
        <f t="shared" si="5"/>
        <v>100000</v>
      </c>
      <c r="AF26" s="35">
        <f t="shared" si="5"/>
        <v>100000</v>
      </c>
      <c r="AG26" s="35">
        <f t="shared" si="5"/>
        <v>100000</v>
      </c>
      <c r="AH26" s="35">
        <f t="shared" si="5"/>
        <v>100000</v>
      </c>
      <c r="AI26" s="35">
        <f t="shared" si="5"/>
        <v>100000</v>
      </c>
      <c r="AJ26" s="35">
        <f t="shared" si="5"/>
        <v>100000</v>
      </c>
      <c r="AK26" s="35">
        <f t="shared" si="5"/>
        <v>0</v>
      </c>
      <c r="AL26" s="35">
        <f t="shared" si="5"/>
        <v>0</v>
      </c>
      <c r="AM26" s="35">
        <f t="shared" si="5"/>
        <v>0</v>
      </c>
      <c r="AN26" s="35">
        <f t="shared" si="5"/>
        <v>0</v>
      </c>
      <c r="AO26" s="35">
        <f t="shared" si="5"/>
        <v>0</v>
      </c>
      <c r="AP26" s="35">
        <f t="shared" si="5"/>
        <v>0</v>
      </c>
      <c r="AQ26" s="35">
        <f t="shared" si="5"/>
        <v>0</v>
      </c>
      <c r="AR26" s="35">
        <f t="shared" si="5"/>
        <v>0</v>
      </c>
      <c r="AS26" s="35">
        <f t="shared" si="5"/>
        <v>0</v>
      </c>
      <c r="AT26" s="35">
        <f t="shared" si="5"/>
        <v>0</v>
      </c>
      <c r="AU26" s="35">
        <f t="shared" si="5"/>
        <v>0</v>
      </c>
      <c r="AV26" s="35">
        <f t="shared" si="5"/>
        <v>0</v>
      </c>
      <c r="AW26" s="35">
        <f t="shared" si="5"/>
        <v>0</v>
      </c>
      <c r="AX26" s="35">
        <f t="shared" si="5"/>
        <v>0</v>
      </c>
      <c r="AY26" s="35">
        <f t="shared" si="5"/>
        <v>0</v>
      </c>
      <c r="AZ26" s="35">
        <f t="shared" si="5"/>
        <v>0</v>
      </c>
      <c r="BA26" s="35">
        <f t="shared" si="5"/>
        <v>0</v>
      </c>
      <c r="BB26" s="35">
        <f t="shared" si="5"/>
        <v>0</v>
      </c>
      <c r="BC26" s="35">
        <f t="shared" si="5"/>
        <v>0</v>
      </c>
      <c r="BD26" s="35">
        <f t="shared" si="5"/>
        <v>0</v>
      </c>
      <c r="BE26" s="35">
        <f t="shared" si="5"/>
        <v>0</v>
      </c>
      <c r="BF26" s="35">
        <f t="shared" si="5"/>
        <v>0</v>
      </c>
      <c r="BG26" s="35">
        <f t="shared" si="5"/>
        <v>0</v>
      </c>
      <c r="BH26" s="35">
        <f t="shared" si="5"/>
        <v>0</v>
      </c>
    </row>
    <row r="27" spans="2:60" ht="16.2" x14ac:dyDescent="0.45">
      <c r="B27" s="21" t="s">
        <v>20</v>
      </c>
      <c r="E27" s="28">
        <v>1</v>
      </c>
      <c r="F27" s="28">
        <v>12</v>
      </c>
      <c r="I27" s="25">
        <v>1800000</v>
      </c>
      <c r="K27" s="31" t="str">
        <f>IF(I27=SUM(L27:BH27),"OK","Error")</f>
        <v>OK</v>
      </c>
      <c r="L27" s="32">
        <f>AND(L$4&gt;=$E27,L$4&lt;=$F27)*$I27/($F27-$E27+1)</f>
        <v>0</v>
      </c>
      <c r="M27" s="32">
        <f t="shared" ref="M27:BH27" si="6">AND(M$4&gt;=$E27,M$4&lt;=$F27)*$I27/($F27-$E27+1)</f>
        <v>150000</v>
      </c>
      <c r="N27" s="32">
        <f t="shared" si="6"/>
        <v>150000</v>
      </c>
      <c r="O27" s="32">
        <f t="shared" si="6"/>
        <v>150000</v>
      </c>
      <c r="P27" s="32">
        <f t="shared" si="6"/>
        <v>150000</v>
      </c>
      <c r="Q27" s="32">
        <f t="shared" si="6"/>
        <v>150000</v>
      </c>
      <c r="R27" s="32">
        <f t="shared" si="6"/>
        <v>150000</v>
      </c>
      <c r="S27" s="32">
        <f t="shared" si="6"/>
        <v>150000</v>
      </c>
      <c r="T27" s="32">
        <f t="shared" si="6"/>
        <v>150000</v>
      </c>
      <c r="U27" s="32">
        <f t="shared" si="6"/>
        <v>150000</v>
      </c>
      <c r="V27" s="32">
        <f t="shared" si="6"/>
        <v>150000</v>
      </c>
      <c r="W27" s="32">
        <f t="shared" si="6"/>
        <v>150000</v>
      </c>
      <c r="X27" s="32">
        <f t="shared" si="6"/>
        <v>150000</v>
      </c>
      <c r="Y27" s="32">
        <f t="shared" si="6"/>
        <v>0</v>
      </c>
      <c r="Z27" s="32">
        <f t="shared" si="6"/>
        <v>0</v>
      </c>
      <c r="AA27" s="32">
        <f t="shared" si="6"/>
        <v>0</v>
      </c>
      <c r="AB27" s="32">
        <f t="shared" si="6"/>
        <v>0</v>
      </c>
      <c r="AC27" s="32">
        <f t="shared" si="6"/>
        <v>0</v>
      </c>
      <c r="AD27" s="32">
        <f t="shared" si="6"/>
        <v>0</v>
      </c>
      <c r="AE27" s="32">
        <f t="shared" si="6"/>
        <v>0</v>
      </c>
      <c r="AF27" s="32">
        <f t="shared" si="6"/>
        <v>0</v>
      </c>
      <c r="AG27" s="32">
        <f t="shared" si="6"/>
        <v>0</v>
      </c>
      <c r="AH27" s="32">
        <f t="shared" si="6"/>
        <v>0</v>
      </c>
      <c r="AI27" s="32">
        <f t="shared" si="6"/>
        <v>0</v>
      </c>
      <c r="AJ27" s="32">
        <f t="shared" si="6"/>
        <v>0</v>
      </c>
      <c r="AK27" s="32">
        <f t="shared" si="6"/>
        <v>0</v>
      </c>
      <c r="AL27" s="32">
        <f t="shared" si="6"/>
        <v>0</v>
      </c>
      <c r="AM27" s="32">
        <f t="shared" si="6"/>
        <v>0</v>
      </c>
      <c r="AN27" s="32">
        <f t="shared" si="6"/>
        <v>0</v>
      </c>
      <c r="AO27" s="32">
        <f t="shared" si="6"/>
        <v>0</v>
      </c>
      <c r="AP27" s="32">
        <f t="shared" si="6"/>
        <v>0</v>
      </c>
      <c r="AQ27" s="32">
        <f t="shared" si="6"/>
        <v>0</v>
      </c>
      <c r="AR27" s="32">
        <f t="shared" si="6"/>
        <v>0</v>
      </c>
      <c r="AS27" s="32">
        <f t="shared" si="6"/>
        <v>0</v>
      </c>
      <c r="AT27" s="32">
        <f t="shared" si="6"/>
        <v>0</v>
      </c>
      <c r="AU27" s="32">
        <f t="shared" si="6"/>
        <v>0</v>
      </c>
      <c r="AV27" s="32">
        <f t="shared" si="6"/>
        <v>0</v>
      </c>
      <c r="AW27" s="32">
        <f t="shared" si="6"/>
        <v>0</v>
      </c>
      <c r="AX27" s="32">
        <f t="shared" si="6"/>
        <v>0</v>
      </c>
      <c r="AY27" s="32">
        <f t="shared" si="6"/>
        <v>0</v>
      </c>
      <c r="AZ27" s="32">
        <f t="shared" si="6"/>
        <v>0</v>
      </c>
      <c r="BA27" s="32">
        <f t="shared" si="6"/>
        <v>0</v>
      </c>
      <c r="BB27" s="32">
        <f t="shared" si="6"/>
        <v>0</v>
      </c>
      <c r="BC27" s="32">
        <f t="shared" si="6"/>
        <v>0</v>
      </c>
      <c r="BD27" s="32">
        <f t="shared" si="6"/>
        <v>0</v>
      </c>
      <c r="BE27" s="32">
        <f t="shared" si="6"/>
        <v>0</v>
      </c>
      <c r="BF27" s="32">
        <f t="shared" si="6"/>
        <v>0</v>
      </c>
      <c r="BG27" s="32">
        <f t="shared" si="6"/>
        <v>0</v>
      </c>
      <c r="BH27" s="32">
        <f t="shared" si="6"/>
        <v>0</v>
      </c>
    </row>
    <row r="28" spans="2:60" x14ac:dyDescent="0.3">
      <c r="B28" t="s">
        <v>21</v>
      </c>
      <c r="I28" s="2">
        <f>SUM(I26:I27)</f>
        <v>4200000</v>
      </c>
      <c r="L28" s="9">
        <f>SUM(L26:L27)</f>
        <v>0</v>
      </c>
      <c r="M28" s="9">
        <f t="shared" ref="M28:BH28" si="7">SUM(M26:M27)</f>
        <v>250000</v>
      </c>
      <c r="N28" s="9">
        <f t="shared" si="7"/>
        <v>250000</v>
      </c>
      <c r="O28" s="9">
        <f t="shared" si="7"/>
        <v>250000</v>
      </c>
      <c r="P28" s="9">
        <f t="shared" si="7"/>
        <v>250000</v>
      </c>
      <c r="Q28" s="9">
        <f t="shared" si="7"/>
        <v>250000</v>
      </c>
      <c r="R28" s="9">
        <f t="shared" si="7"/>
        <v>250000</v>
      </c>
      <c r="S28" s="9">
        <f t="shared" si="7"/>
        <v>250000</v>
      </c>
      <c r="T28" s="9">
        <f t="shared" si="7"/>
        <v>250000</v>
      </c>
      <c r="U28" s="9">
        <f t="shared" si="7"/>
        <v>250000</v>
      </c>
      <c r="V28" s="9">
        <f t="shared" si="7"/>
        <v>250000</v>
      </c>
      <c r="W28" s="9">
        <f t="shared" si="7"/>
        <v>250000</v>
      </c>
      <c r="X28" s="9">
        <f t="shared" si="7"/>
        <v>250000</v>
      </c>
      <c r="Y28" s="9">
        <f t="shared" si="7"/>
        <v>100000</v>
      </c>
      <c r="Z28" s="9">
        <f t="shared" si="7"/>
        <v>100000</v>
      </c>
      <c r="AA28" s="9">
        <f t="shared" si="7"/>
        <v>100000</v>
      </c>
      <c r="AB28" s="9">
        <f t="shared" si="7"/>
        <v>100000</v>
      </c>
      <c r="AC28" s="9">
        <f t="shared" si="7"/>
        <v>100000</v>
      </c>
      <c r="AD28" s="9">
        <f t="shared" si="7"/>
        <v>100000</v>
      </c>
      <c r="AE28" s="9">
        <f t="shared" si="7"/>
        <v>100000</v>
      </c>
      <c r="AF28" s="9">
        <f t="shared" si="7"/>
        <v>100000</v>
      </c>
      <c r="AG28" s="9">
        <f t="shared" si="7"/>
        <v>100000</v>
      </c>
      <c r="AH28" s="9">
        <f t="shared" si="7"/>
        <v>100000</v>
      </c>
      <c r="AI28" s="9">
        <f t="shared" si="7"/>
        <v>100000</v>
      </c>
      <c r="AJ28" s="9">
        <f t="shared" si="7"/>
        <v>100000</v>
      </c>
      <c r="AK28" s="9">
        <f t="shared" si="7"/>
        <v>0</v>
      </c>
      <c r="AL28" s="9">
        <f t="shared" si="7"/>
        <v>0</v>
      </c>
      <c r="AM28" s="9">
        <f t="shared" si="7"/>
        <v>0</v>
      </c>
      <c r="AN28" s="9">
        <f t="shared" si="7"/>
        <v>0</v>
      </c>
      <c r="AO28" s="9">
        <f t="shared" si="7"/>
        <v>0</v>
      </c>
      <c r="AP28" s="9">
        <f t="shared" si="7"/>
        <v>0</v>
      </c>
      <c r="AQ28" s="9">
        <f t="shared" si="7"/>
        <v>0</v>
      </c>
      <c r="AR28" s="9">
        <f t="shared" si="7"/>
        <v>0</v>
      </c>
      <c r="AS28" s="9">
        <f t="shared" si="7"/>
        <v>0</v>
      </c>
      <c r="AT28" s="9">
        <f t="shared" si="7"/>
        <v>0</v>
      </c>
      <c r="AU28" s="9">
        <f t="shared" si="7"/>
        <v>0</v>
      </c>
      <c r="AV28" s="9">
        <f t="shared" si="7"/>
        <v>0</v>
      </c>
      <c r="AW28" s="9">
        <f t="shared" si="7"/>
        <v>0</v>
      </c>
      <c r="AX28" s="9">
        <f t="shared" si="7"/>
        <v>0</v>
      </c>
      <c r="AY28" s="9">
        <f t="shared" si="7"/>
        <v>0</v>
      </c>
      <c r="AZ28" s="9">
        <f t="shared" si="7"/>
        <v>0</v>
      </c>
      <c r="BA28" s="9">
        <f t="shared" si="7"/>
        <v>0</v>
      </c>
      <c r="BB28" s="9">
        <f t="shared" si="7"/>
        <v>0</v>
      </c>
      <c r="BC28" s="9">
        <f t="shared" si="7"/>
        <v>0</v>
      </c>
      <c r="BD28" s="9">
        <f t="shared" si="7"/>
        <v>0</v>
      </c>
      <c r="BE28" s="9">
        <f t="shared" si="7"/>
        <v>0</v>
      </c>
      <c r="BF28" s="9">
        <f t="shared" si="7"/>
        <v>0</v>
      </c>
      <c r="BG28" s="9">
        <f t="shared" si="7"/>
        <v>0</v>
      </c>
      <c r="BH28" s="9">
        <f t="shared" si="7"/>
        <v>0</v>
      </c>
    </row>
    <row r="29" spans="2:60" x14ac:dyDescent="0.3"/>
    <row r="30" spans="2:60" x14ac:dyDescent="0.3">
      <c r="B30" t="s">
        <v>22</v>
      </c>
      <c r="H30" s="9"/>
      <c r="I30" s="9"/>
    </row>
    <row r="31" spans="2:60" x14ac:dyDescent="0.3">
      <c r="B31" s="21" t="s">
        <v>19</v>
      </c>
      <c r="E31" s="29" t="s">
        <v>39</v>
      </c>
      <c r="F31" s="29" t="s">
        <v>39</v>
      </c>
      <c r="H31" s="19">
        <v>800</v>
      </c>
      <c r="I31" s="2">
        <f>+H31*Units</f>
        <v>192000</v>
      </c>
      <c r="K31" s="31" t="str">
        <f>IF(I31=SUM(L31:BH31),"OK","Error")</f>
        <v>OK</v>
      </c>
      <c r="L31" s="35">
        <v>0</v>
      </c>
      <c r="M31" s="35">
        <f>$H31*M$46</f>
        <v>8000</v>
      </c>
      <c r="N31" s="35">
        <f t="shared" ref="N31:BH31" si="8">$H31*N$46</f>
        <v>8000</v>
      </c>
      <c r="O31" s="35">
        <f t="shared" si="8"/>
        <v>8000</v>
      </c>
      <c r="P31" s="35">
        <f t="shared" si="8"/>
        <v>8000</v>
      </c>
      <c r="Q31" s="35">
        <f t="shared" si="8"/>
        <v>8000</v>
      </c>
      <c r="R31" s="35">
        <f t="shared" si="8"/>
        <v>8000</v>
      </c>
      <c r="S31" s="35">
        <f t="shared" si="8"/>
        <v>8000</v>
      </c>
      <c r="T31" s="35">
        <f t="shared" si="8"/>
        <v>8000</v>
      </c>
      <c r="U31" s="35">
        <f t="shared" si="8"/>
        <v>8000</v>
      </c>
      <c r="V31" s="35">
        <f t="shared" si="8"/>
        <v>8000</v>
      </c>
      <c r="W31" s="35">
        <f t="shared" si="8"/>
        <v>8000</v>
      </c>
      <c r="X31" s="35">
        <f t="shared" si="8"/>
        <v>8000</v>
      </c>
      <c r="Y31" s="35">
        <f t="shared" si="8"/>
        <v>8000</v>
      </c>
      <c r="Z31" s="35">
        <f t="shared" si="8"/>
        <v>8000</v>
      </c>
      <c r="AA31" s="35">
        <f t="shared" si="8"/>
        <v>8000</v>
      </c>
      <c r="AB31" s="35">
        <f t="shared" si="8"/>
        <v>8000</v>
      </c>
      <c r="AC31" s="35">
        <f t="shared" si="8"/>
        <v>8000</v>
      </c>
      <c r="AD31" s="35">
        <f t="shared" si="8"/>
        <v>8000</v>
      </c>
      <c r="AE31" s="35">
        <f t="shared" si="8"/>
        <v>8000</v>
      </c>
      <c r="AF31" s="35">
        <f t="shared" si="8"/>
        <v>8000</v>
      </c>
      <c r="AG31" s="35">
        <f t="shared" si="8"/>
        <v>8000</v>
      </c>
      <c r="AH31" s="35">
        <f t="shared" si="8"/>
        <v>8000</v>
      </c>
      <c r="AI31" s="35">
        <f t="shared" si="8"/>
        <v>8000</v>
      </c>
      <c r="AJ31" s="35">
        <f t="shared" si="8"/>
        <v>8000</v>
      </c>
      <c r="AK31" s="35">
        <f t="shared" si="8"/>
        <v>0</v>
      </c>
      <c r="AL31" s="35">
        <f t="shared" si="8"/>
        <v>0</v>
      </c>
      <c r="AM31" s="35">
        <f t="shared" si="8"/>
        <v>0</v>
      </c>
      <c r="AN31" s="35">
        <f t="shared" si="8"/>
        <v>0</v>
      </c>
      <c r="AO31" s="35">
        <f t="shared" si="8"/>
        <v>0</v>
      </c>
      <c r="AP31" s="35">
        <f t="shared" si="8"/>
        <v>0</v>
      </c>
      <c r="AQ31" s="35">
        <f t="shared" si="8"/>
        <v>0</v>
      </c>
      <c r="AR31" s="35">
        <f t="shared" si="8"/>
        <v>0</v>
      </c>
      <c r="AS31" s="35">
        <f t="shared" si="8"/>
        <v>0</v>
      </c>
      <c r="AT31" s="35">
        <f t="shared" si="8"/>
        <v>0</v>
      </c>
      <c r="AU31" s="35">
        <f t="shared" si="8"/>
        <v>0</v>
      </c>
      <c r="AV31" s="35">
        <f t="shared" si="8"/>
        <v>0</v>
      </c>
      <c r="AW31" s="35">
        <f t="shared" si="8"/>
        <v>0</v>
      </c>
      <c r="AX31" s="35">
        <f t="shared" si="8"/>
        <v>0</v>
      </c>
      <c r="AY31" s="35">
        <f t="shared" si="8"/>
        <v>0</v>
      </c>
      <c r="AZ31" s="35">
        <f t="shared" si="8"/>
        <v>0</v>
      </c>
      <c r="BA31" s="35">
        <f t="shared" si="8"/>
        <v>0</v>
      </c>
      <c r="BB31" s="35">
        <f t="shared" si="8"/>
        <v>0</v>
      </c>
      <c r="BC31" s="35">
        <f t="shared" si="8"/>
        <v>0</v>
      </c>
      <c r="BD31" s="35">
        <f t="shared" si="8"/>
        <v>0</v>
      </c>
      <c r="BE31" s="35">
        <f t="shared" si="8"/>
        <v>0</v>
      </c>
      <c r="BF31" s="35">
        <f t="shared" si="8"/>
        <v>0</v>
      </c>
      <c r="BG31" s="35">
        <f t="shared" si="8"/>
        <v>0</v>
      </c>
      <c r="BH31" s="35">
        <f t="shared" si="8"/>
        <v>0</v>
      </c>
    </row>
    <row r="32" spans="2:60" ht="16.2" x14ac:dyDescent="0.45">
      <c r="B32" s="21" t="s">
        <v>20</v>
      </c>
      <c r="E32" s="28">
        <v>1</v>
      </c>
      <c r="F32" s="28">
        <v>12</v>
      </c>
      <c r="I32" s="25">
        <v>125000</v>
      </c>
      <c r="K32" s="31" t="str">
        <f>IF(I32=SUM(L32:BH32),"OK","Error")</f>
        <v>OK</v>
      </c>
      <c r="L32" s="32">
        <f>AND(L$4&gt;=$E32,L$4&lt;=$F32)*$I32/($F32-$E32+1)</f>
        <v>0</v>
      </c>
      <c r="M32" s="32">
        <f t="shared" ref="M32:BH32" si="9">AND(M$4&gt;=$E32,M$4&lt;=$F32)*$I32/($F32-$E32+1)</f>
        <v>10416.666666666666</v>
      </c>
      <c r="N32" s="32">
        <f t="shared" si="9"/>
        <v>10416.666666666666</v>
      </c>
      <c r="O32" s="32">
        <f t="shared" si="9"/>
        <v>10416.666666666666</v>
      </c>
      <c r="P32" s="32">
        <f t="shared" si="9"/>
        <v>10416.666666666666</v>
      </c>
      <c r="Q32" s="32">
        <f t="shared" si="9"/>
        <v>10416.666666666666</v>
      </c>
      <c r="R32" s="32">
        <f t="shared" si="9"/>
        <v>10416.666666666666</v>
      </c>
      <c r="S32" s="32">
        <f t="shared" si="9"/>
        <v>10416.666666666666</v>
      </c>
      <c r="T32" s="32">
        <f t="shared" si="9"/>
        <v>10416.666666666666</v>
      </c>
      <c r="U32" s="32">
        <f t="shared" si="9"/>
        <v>10416.666666666666</v>
      </c>
      <c r="V32" s="32">
        <f t="shared" si="9"/>
        <v>10416.666666666666</v>
      </c>
      <c r="W32" s="32">
        <f t="shared" si="9"/>
        <v>10416.666666666666</v>
      </c>
      <c r="X32" s="32">
        <f t="shared" si="9"/>
        <v>10416.666666666666</v>
      </c>
      <c r="Y32" s="32">
        <f t="shared" si="9"/>
        <v>0</v>
      </c>
      <c r="Z32" s="32">
        <f t="shared" si="9"/>
        <v>0</v>
      </c>
      <c r="AA32" s="32">
        <f t="shared" si="9"/>
        <v>0</v>
      </c>
      <c r="AB32" s="32">
        <f t="shared" si="9"/>
        <v>0</v>
      </c>
      <c r="AC32" s="32">
        <f t="shared" si="9"/>
        <v>0</v>
      </c>
      <c r="AD32" s="32">
        <f t="shared" si="9"/>
        <v>0</v>
      </c>
      <c r="AE32" s="32">
        <f t="shared" si="9"/>
        <v>0</v>
      </c>
      <c r="AF32" s="32">
        <f t="shared" si="9"/>
        <v>0</v>
      </c>
      <c r="AG32" s="32">
        <f t="shared" si="9"/>
        <v>0</v>
      </c>
      <c r="AH32" s="32">
        <f t="shared" si="9"/>
        <v>0</v>
      </c>
      <c r="AI32" s="32">
        <f t="shared" si="9"/>
        <v>0</v>
      </c>
      <c r="AJ32" s="32">
        <f t="shared" si="9"/>
        <v>0</v>
      </c>
      <c r="AK32" s="32">
        <f t="shared" si="9"/>
        <v>0</v>
      </c>
      <c r="AL32" s="32">
        <f t="shared" si="9"/>
        <v>0</v>
      </c>
      <c r="AM32" s="32">
        <f t="shared" si="9"/>
        <v>0</v>
      </c>
      <c r="AN32" s="32">
        <f t="shared" si="9"/>
        <v>0</v>
      </c>
      <c r="AO32" s="32">
        <f t="shared" si="9"/>
        <v>0</v>
      </c>
      <c r="AP32" s="32">
        <f t="shared" si="9"/>
        <v>0</v>
      </c>
      <c r="AQ32" s="32">
        <f t="shared" si="9"/>
        <v>0</v>
      </c>
      <c r="AR32" s="32">
        <f t="shared" si="9"/>
        <v>0</v>
      </c>
      <c r="AS32" s="32">
        <f t="shared" si="9"/>
        <v>0</v>
      </c>
      <c r="AT32" s="32">
        <f t="shared" si="9"/>
        <v>0</v>
      </c>
      <c r="AU32" s="32">
        <f t="shared" si="9"/>
        <v>0</v>
      </c>
      <c r="AV32" s="32">
        <f t="shared" si="9"/>
        <v>0</v>
      </c>
      <c r="AW32" s="32">
        <f t="shared" si="9"/>
        <v>0</v>
      </c>
      <c r="AX32" s="32">
        <f t="shared" si="9"/>
        <v>0</v>
      </c>
      <c r="AY32" s="32">
        <f t="shared" si="9"/>
        <v>0</v>
      </c>
      <c r="AZ32" s="32">
        <f t="shared" si="9"/>
        <v>0</v>
      </c>
      <c r="BA32" s="32">
        <f t="shared" si="9"/>
        <v>0</v>
      </c>
      <c r="BB32" s="32">
        <f t="shared" si="9"/>
        <v>0</v>
      </c>
      <c r="BC32" s="32">
        <f t="shared" si="9"/>
        <v>0</v>
      </c>
      <c r="BD32" s="32">
        <f t="shared" si="9"/>
        <v>0</v>
      </c>
      <c r="BE32" s="32">
        <f t="shared" si="9"/>
        <v>0</v>
      </c>
      <c r="BF32" s="32">
        <f t="shared" si="9"/>
        <v>0</v>
      </c>
      <c r="BG32" s="32">
        <f t="shared" si="9"/>
        <v>0</v>
      </c>
      <c r="BH32" s="32">
        <f t="shared" si="9"/>
        <v>0</v>
      </c>
    </row>
    <row r="33" spans="2:60" x14ac:dyDescent="0.3">
      <c r="B33" t="s">
        <v>23</v>
      </c>
      <c r="I33" s="2">
        <f>SUM(I31:I32)</f>
        <v>317000</v>
      </c>
      <c r="L33" s="9">
        <f>SUM(L31:L32)</f>
        <v>0</v>
      </c>
      <c r="M33" s="9">
        <f t="shared" ref="M33:BH33" si="10">SUM(M31:M32)</f>
        <v>18416.666666666664</v>
      </c>
      <c r="N33" s="9">
        <f t="shared" si="10"/>
        <v>18416.666666666664</v>
      </c>
      <c r="O33" s="9">
        <f t="shared" si="10"/>
        <v>18416.666666666664</v>
      </c>
      <c r="P33" s="9">
        <f t="shared" si="10"/>
        <v>18416.666666666664</v>
      </c>
      <c r="Q33" s="9">
        <f t="shared" si="10"/>
        <v>18416.666666666664</v>
      </c>
      <c r="R33" s="9">
        <f t="shared" si="10"/>
        <v>18416.666666666664</v>
      </c>
      <c r="S33" s="9">
        <f t="shared" si="10"/>
        <v>18416.666666666664</v>
      </c>
      <c r="T33" s="9">
        <f t="shared" si="10"/>
        <v>18416.666666666664</v>
      </c>
      <c r="U33" s="9">
        <f t="shared" si="10"/>
        <v>18416.666666666664</v>
      </c>
      <c r="V33" s="9">
        <f t="shared" si="10"/>
        <v>18416.666666666664</v>
      </c>
      <c r="W33" s="9">
        <f t="shared" si="10"/>
        <v>18416.666666666664</v>
      </c>
      <c r="X33" s="9">
        <f t="shared" si="10"/>
        <v>18416.666666666664</v>
      </c>
      <c r="Y33" s="9">
        <f t="shared" si="10"/>
        <v>8000</v>
      </c>
      <c r="Z33" s="9">
        <f t="shared" si="10"/>
        <v>8000</v>
      </c>
      <c r="AA33" s="9">
        <f t="shared" si="10"/>
        <v>8000</v>
      </c>
      <c r="AB33" s="9">
        <f t="shared" si="10"/>
        <v>8000</v>
      </c>
      <c r="AC33" s="9">
        <f t="shared" si="10"/>
        <v>8000</v>
      </c>
      <c r="AD33" s="9">
        <f t="shared" si="10"/>
        <v>8000</v>
      </c>
      <c r="AE33" s="9">
        <f t="shared" si="10"/>
        <v>8000</v>
      </c>
      <c r="AF33" s="9">
        <f t="shared" si="10"/>
        <v>8000</v>
      </c>
      <c r="AG33" s="9">
        <f t="shared" si="10"/>
        <v>8000</v>
      </c>
      <c r="AH33" s="9">
        <f t="shared" si="10"/>
        <v>8000</v>
      </c>
      <c r="AI33" s="9">
        <f t="shared" si="10"/>
        <v>8000</v>
      </c>
      <c r="AJ33" s="9">
        <f t="shared" si="10"/>
        <v>8000</v>
      </c>
      <c r="AK33" s="9">
        <f t="shared" si="10"/>
        <v>0</v>
      </c>
      <c r="AL33" s="9">
        <f t="shared" si="10"/>
        <v>0</v>
      </c>
      <c r="AM33" s="9">
        <f t="shared" si="10"/>
        <v>0</v>
      </c>
      <c r="AN33" s="9">
        <f t="shared" si="10"/>
        <v>0</v>
      </c>
      <c r="AO33" s="9">
        <f t="shared" si="10"/>
        <v>0</v>
      </c>
      <c r="AP33" s="9">
        <f t="shared" si="10"/>
        <v>0</v>
      </c>
      <c r="AQ33" s="9">
        <f t="shared" si="10"/>
        <v>0</v>
      </c>
      <c r="AR33" s="9">
        <f t="shared" si="10"/>
        <v>0</v>
      </c>
      <c r="AS33" s="9">
        <f t="shared" si="10"/>
        <v>0</v>
      </c>
      <c r="AT33" s="9">
        <f t="shared" si="10"/>
        <v>0</v>
      </c>
      <c r="AU33" s="9">
        <f t="shared" si="10"/>
        <v>0</v>
      </c>
      <c r="AV33" s="9">
        <f t="shared" si="10"/>
        <v>0</v>
      </c>
      <c r="AW33" s="9">
        <f t="shared" si="10"/>
        <v>0</v>
      </c>
      <c r="AX33" s="9">
        <f t="shared" si="10"/>
        <v>0</v>
      </c>
      <c r="AY33" s="9">
        <f t="shared" si="10"/>
        <v>0</v>
      </c>
      <c r="AZ33" s="9">
        <f t="shared" si="10"/>
        <v>0</v>
      </c>
      <c r="BA33" s="9">
        <f t="shared" si="10"/>
        <v>0</v>
      </c>
      <c r="BB33" s="9">
        <f t="shared" si="10"/>
        <v>0</v>
      </c>
      <c r="BC33" s="9">
        <f t="shared" si="10"/>
        <v>0</v>
      </c>
      <c r="BD33" s="9">
        <f t="shared" si="10"/>
        <v>0</v>
      </c>
      <c r="BE33" s="9">
        <f t="shared" si="10"/>
        <v>0</v>
      </c>
      <c r="BF33" s="9">
        <f t="shared" si="10"/>
        <v>0</v>
      </c>
      <c r="BG33" s="9">
        <f t="shared" si="10"/>
        <v>0</v>
      </c>
      <c r="BH33" s="9">
        <f t="shared" si="10"/>
        <v>0</v>
      </c>
    </row>
    <row r="34" spans="2:60" x14ac:dyDescent="0.3"/>
    <row r="35" spans="2:60" x14ac:dyDescent="0.3">
      <c r="B35" t="s">
        <v>24</v>
      </c>
      <c r="I35" s="2">
        <f>I33+I28+I23</f>
        <v>47229500</v>
      </c>
      <c r="L35" s="9">
        <f>L33+L28+L23</f>
        <v>42712500</v>
      </c>
      <c r="M35" s="9">
        <f t="shared" ref="M35:BH35" si="11">M33+M28+M23</f>
        <v>268416.66666666669</v>
      </c>
      <c r="N35" s="9">
        <f t="shared" si="11"/>
        <v>268416.66666666669</v>
      </c>
      <c r="O35" s="9">
        <f t="shared" si="11"/>
        <v>268416.66666666669</v>
      </c>
      <c r="P35" s="9">
        <f t="shared" si="11"/>
        <v>268416.66666666669</v>
      </c>
      <c r="Q35" s="9">
        <f t="shared" si="11"/>
        <v>268416.66666666669</v>
      </c>
      <c r="R35" s="9">
        <f t="shared" si="11"/>
        <v>268416.66666666669</v>
      </c>
      <c r="S35" s="9">
        <f t="shared" si="11"/>
        <v>268416.66666666669</v>
      </c>
      <c r="T35" s="9">
        <f t="shared" si="11"/>
        <v>268416.66666666669</v>
      </c>
      <c r="U35" s="9">
        <f t="shared" si="11"/>
        <v>268416.66666666669</v>
      </c>
      <c r="V35" s="9">
        <f t="shared" si="11"/>
        <v>268416.66666666669</v>
      </c>
      <c r="W35" s="9">
        <f t="shared" si="11"/>
        <v>268416.66666666669</v>
      </c>
      <c r="X35" s="9">
        <f t="shared" si="11"/>
        <v>268416.66666666669</v>
      </c>
      <c r="Y35" s="9">
        <f t="shared" si="11"/>
        <v>108000</v>
      </c>
      <c r="Z35" s="9">
        <f t="shared" si="11"/>
        <v>108000</v>
      </c>
      <c r="AA35" s="9">
        <f t="shared" si="11"/>
        <v>108000</v>
      </c>
      <c r="AB35" s="9">
        <f t="shared" si="11"/>
        <v>108000</v>
      </c>
      <c r="AC35" s="9">
        <f t="shared" si="11"/>
        <v>108000</v>
      </c>
      <c r="AD35" s="9">
        <f t="shared" si="11"/>
        <v>108000</v>
      </c>
      <c r="AE35" s="9">
        <f t="shared" si="11"/>
        <v>108000</v>
      </c>
      <c r="AF35" s="9">
        <f t="shared" si="11"/>
        <v>108000</v>
      </c>
      <c r="AG35" s="9">
        <f t="shared" si="11"/>
        <v>108000</v>
      </c>
      <c r="AH35" s="9">
        <f t="shared" si="11"/>
        <v>108000</v>
      </c>
      <c r="AI35" s="9">
        <f t="shared" si="11"/>
        <v>108000</v>
      </c>
      <c r="AJ35" s="9">
        <f t="shared" si="11"/>
        <v>108000</v>
      </c>
      <c r="AK35" s="9">
        <f t="shared" si="11"/>
        <v>0</v>
      </c>
      <c r="AL35" s="9">
        <f t="shared" si="11"/>
        <v>0</v>
      </c>
      <c r="AM35" s="9">
        <f t="shared" si="11"/>
        <v>0</v>
      </c>
      <c r="AN35" s="9">
        <f t="shared" si="11"/>
        <v>0</v>
      </c>
      <c r="AO35" s="9">
        <f t="shared" si="11"/>
        <v>0</v>
      </c>
      <c r="AP35" s="9">
        <f t="shared" si="11"/>
        <v>0</v>
      </c>
      <c r="AQ35" s="9">
        <f t="shared" si="11"/>
        <v>0</v>
      </c>
      <c r="AR35" s="9">
        <f t="shared" si="11"/>
        <v>0</v>
      </c>
      <c r="AS35" s="9">
        <f t="shared" si="11"/>
        <v>0</v>
      </c>
      <c r="AT35" s="9">
        <f t="shared" si="11"/>
        <v>0</v>
      </c>
      <c r="AU35" s="9">
        <f t="shared" si="11"/>
        <v>0</v>
      </c>
      <c r="AV35" s="9">
        <f t="shared" si="11"/>
        <v>0</v>
      </c>
      <c r="AW35" s="9">
        <f t="shared" si="11"/>
        <v>0</v>
      </c>
      <c r="AX35" s="9">
        <f t="shared" si="11"/>
        <v>0</v>
      </c>
      <c r="AY35" s="9">
        <f t="shared" si="11"/>
        <v>0</v>
      </c>
      <c r="AZ35" s="9">
        <f t="shared" si="11"/>
        <v>0</v>
      </c>
      <c r="BA35" s="9">
        <f t="shared" si="11"/>
        <v>0</v>
      </c>
      <c r="BB35" s="9">
        <f t="shared" si="11"/>
        <v>0</v>
      </c>
      <c r="BC35" s="9">
        <f t="shared" si="11"/>
        <v>0</v>
      </c>
      <c r="BD35" s="9">
        <f t="shared" si="11"/>
        <v>0</v>
      </c>
      <c r="BE35" s="9">
        <f t="shared" si="11"/>
        <v>0</v>
      </c>
      <c r="BF35" s="9">
        <f t="shared" si="11"/>
        <v>0</v>
      </c>
      <c r="BG35" s="9">
        <f t="shared" si="11"/>
        <v>0</v>
      </c>
      <c r="BH35" s="9">
        <f t="shared" si="11"/>
        <v>0</v>
      </c>
    </row>
    <row r="36" spans="2:60" ht="16.2" x14ac:dyDescent="0.45">
      <c r="B36" s="21" t="s">
        <v>25</v>
      </c>
      <c r="E36" s="28">
        <v>0</v>
      </c>
      <c r="F36" s="28">
        <v>0</v>
      </c>
      <c r="I36" s="27">
        <f>E40*I40+E41*I41</f>
        <v>308125</v>
      </c>
      <c r="K36" s="31" t="str">
        <f>IF(I36=SUM(L36:BH36),"OK","Error")</f>
        <v>OK</v>
      </c>
      <c r="L36" s="32">
        <f>AND(L$4&gt;=$E36,L$4&lt;=$F36)*$I36/($F36-$E36+1)</f>
        <v>308125</v>
      </c>
      <c r="M36" s="32">
        <f t="shared" ref="M36:BH36" si="12">AND(M$4&gt;=$E36,M$4&lt;=$F36)*$I36/($F36-$E36+1)</f>
        <v>0</v>
      </c>
      <c r="N36" s="32">
        <f t="shared" si="12"/>
        <v>0</v>
      </c>
      <c r="O36" s="32">
        <f t="shared" si="12"/>
        <v>0</v>
      </c>
      <c r="P36" s="32">
        <f t="shared" si="12"/>
        <v>0</v>
      </c>
      <c r="Q36" s="32">
        <f t="shared" si="12"/>
        <v>0</v>
      </c>
      <c r="R36" s="32">
        <f t="shared" si="12"/>
        <v>0</v>
      </c>
      <c r="S36" s="32">
        <f t="shared" si="12"/>
        <v>0</v>
      </c>
      <c r="T36" s="32">
        <f t="shared" si="12"/>
        <v>0</v>
      </c>
      <c r="U36" s="32">
        <f t="shared" si="12"/>
        <v>0</v>
      </c>
      <c r="V36" s="32">
        <f t="shared" si="12"/>
        <v>0</v>
      </c>
      <c r="W36" s="32">
        <f t="shared" si="12"/>
        <v>0</v>
      </c>
      <c r="X36" s="32">
        <f t="shared" si="12"/>
        <v>0</v>
      </c>
      <c r="Y36" s="32">
        <f t="shared" si="12"/>
        <v>0</v>
      </c>
      <c r="Z36" s="32">
        <f t="shared" si="12"/>
        <v>0</v>
      </c>
      <c r="AA36" s="32">
        <f t="shared" si="12"/>
        <v>0</v>
      </c>
      <c r="AB36" s="32">
        <f t="shared" si="12"/>
        <v>0</v>
      </c>
      <c r="AC36" s="32">
        <f t="shared" si="12"/>
        <v>0</v>
      </c>
      <c r="AD36" s="32">
        <f t="shared" si="12"/>
        <v>0</v>
      </c>
      <c r="AE36" s="32">
        <f t="shared" si="12"/>
        <v>0</v>
      </c>
      <c r="AF36" s="32">
        <f t="shared" si="12"/>
        <v>0</v>
      </c>
      <c r="AG36" s="32">
        <f t="shared" si="12"/>
        <v>0</v>
      </c>
      <c r="AH36" s="32">
        <f t="shared" si="12"/>
        <v>0</v>
      </c>
      <c r="AI36" s="32">
        <f t="shared" si="12"/>
        <v>0</v>
      </c>
      <c r="AJ36" s="32">
        <f t="shared" si="12"/>
        <v>0</v>
      </c>
      <c r="AK36" s="32">
        <f t="shared" si="12"/>
        <v>0</v>
      </c>
      <c r="AL36" s="32">
        <f t="shared" si="12"/>
        <v>0</v>
      </c>
      <c r="AM36" s="32">
        <f t="shared" si="12"/>
        <v>0</v>
      </c>
      <c r="AN36" s="32">
        <f t="shared" si="12"/>
        <v>0</v>
      </c>
      <c r="AO36" s="32">
        <f t="shared" si="12"/>
        <v>0</v>
      </c>
      <c r="AP36" s="32">
        <f t="shared" si="12"/>
        <v>0</v>
      </c>
      <c r="AQ36" s="32">
        <f t="shared" si="12"/>
        <v>0</v>
      </c>
      <c r="AR36" s="32">
        <f t="shared" si="12"/>
        <v>0</v>
      </c>
      <c r="AS36" s="32">
        <f t="shared" si="12"/>
        <v>0</v>
      </c>
      <c r="AT36" s="32">
        <f t="shared" si="12"/>
        <v>0</v>
      </c>
      <c r="AU36" s="32">
        <f t="shared" si="12"/>
        <v>0</v>
      </c>
      <c r="AV36" s="32">
        <f t="shared" si="12"/>
        <v>0</v>
      </c>
      <c r="AW36" s="32">
        <f t="shared" si="12"/>
        <v>0</v>
      </c>
      <c r="AX36" s="32">
        <f t="shared" si="12"/>
        <v>0</v>
      </c>
      <c r="AY36" s="32">
        <f t="shared" si="12"/>
        <v>0</v>
      </c>
      <c r="AZ36" s="32">
        <f t="shared" si="12"/>
        <v>0</v>
      </c>
      <c r="BA36" s="32">
        <f t="shared" si="12"/>
        <v>0</v>
      </c>
      <c r="BB36" s="32">
        <f t="shared" si="12"/>
        <v>0</v>
      </c>
      <c r="BC36" s="32">
        <f t="shared" si="12"/>
        <v>0</v>
      </c>
      <c r="BD36" s="32">
        <f t="shared" si="12"/>
        <v>0</v>
      </c>
      <c r="BE36" s="32">
        <f t="shared" si="12"/>
        <v>0</v>
      </c>
      <c r="BF36" s="32">
        <f t="shared" si="12"/>
        <v>0</v>
      </c>
      <c r="BG36" s="32">
        <f t="shared" si="12"/>
        <v>0</v>
      </c>
      <c r="BH36" s="32">
        <f t="shared" si="12"/>
        <v>0</v>
      </c>
    </row>
    <row r="37" spans="2:60" x14ac:dyDescent="0.3">
      <c r="B37" t="s">
        <v>26</v>
      </c>
      <c r="I37" s="2">
        <f>SUM(I35:I36)</f>
        <v>47537625</v>
      </c>
      <c r="L37" s="9">
        <f>SUM(L35:L36)</f>
        <v>43020625</v>
      </c>
      <c r="M37" s="9">
        <f t="shared" ref="M37:BH37" si="13">SUM(M35:M36)</f>
        <v>268416.66666666669</v>
      </c>
      <c r="N37" s="9">
        <f t="shared" si="13"/>
        <v>268416.66666666669</v>
      </c>
      <c r="O37" s="9">
        <f t="shared" si="13"/>
        <v>268416.66666666669</v>
      </c>
      <c r="P37" s="9">
        <f t="shared" si="13"/>
        <v>268416.66666666669</v>
      </c>
      <c r="Q37" s="9">
        <f t="shared" si="13"/>
        <v>268416.66666666669</v>
      </c>
      <c r="R37" s="9">
        <f t="shared" si="13"/>
        <v>268416.66666666669</v>
      </c>
      <c r="S37" s="9">
        <f t="shared" si="13"/>
        <v>268416.66666666669</v>
      </c>
      <c r="T37" s="9">
        <f t="shared" si="13"/>
        <v>268416.66666666669</v>
      </c>
      <c r="U37" s="9">
        <f t="shared" si="13"/>
        <v>268416.66666666669</v>
      </c>
      <c r="V37" s="9">
        <f t="shared" si="13"/>
        <v>268416.66666666669</v>
      </c>
      <c r="W37" s="9">
        <f t="shared" si="13"/>
        <v>268416.66666666669</v>
      </c>
      <c r="X37" s="9">
        <f t="shared" si="13"/>
        <v>268416.66666666669</v>
      </c>
      <c r="Y37" s="9">
        <f t="shared" si="13"/>
        <v>108000</v>
      </c>
      <c r="Z37" s="9">
        <f t="shared" si="13"/>
        <v>108000</v>
      </c>
      <c r="AA37" s="9">
        <f t="shared" si="13"/>
        <v>108000</v>
      </c>
      <c r="AB37" s="9">
        <f t="shared" si="13"/>
        <v>108000</v>
      </c>
      <c r="AC37" s="9">
        <f t="shared" si="13"/>
        <v>108000</v>
      </c>
      <c r="AD37" s="9">
        <f t="shared" si="13"/>
        <v>108000</v>
      </c>
      <c r="AE37" s="9">
        <f t="shared" si="13"/>
        <v>108000</v>
      </c>
      <c r="AF37" s="9">
        <f t="shared" si="13"/>
        <v>108000</v>
      </c>
      <c r="AG37" s="9">
        <f t="shared" si="13"/>
        <v>108000</v>
      </c>
      <c r="AH37" s="9">
        <f t="shared" si="13"/>
        <v>108000</v>
      </c>
      <c r="AI37" s="9">
        <f t="shared" si="13"/>
        <v>108000</v>
      </c>
      <c r="AJ37" s="9">
        <f t="shared" si="13"/>
        <v>108000</v>
      </c>
      <c r="AK37" s="9">
        <f t="shared" si="13"/>
        <v>0</v>
      </c>
      <c r="AL37" s="9">
        <f t="shared" si="13"/>
        <v>0</v>
      </c>
      <c r="AM37" s="9">
        <f t="shared" si="13"/>
        <v>0</v>
      </c>
      <c r="AN37" s="9">
        <f t="shared" si="13"/>
        <v>0</v>
      </c>
      <c r="AO37" s="9">
        <f t="shared" si="13"/>
        <v>0</v>
      </c>
      <c r="AP37" s="9">
        <f t="shared" si="13"/>
        <v>0</v>
      </c>
      <c r="AQ37" s="9">
        <f t="shared" si="13"/>
        <v>0</v>
      </c>
      <c r="AR37" s="9">
        <f t="shared" si="13"/>
        <v>0</v>
      </c>
      <c r="AS37" s="9">
        <f t="shared" si="13"/>
        <v>0</v>
      </c>
      <c r="AT37" s="9">
        <f t="shared" si="13"/>
        <v>0</v>
      </c>
      <c r="AU37" s="9">
        <f t="shared" si="13"/>
        <v>0</v>
      </c>
      <c r="AV37" s="9">
        <f t="shared" si="13"/>
        <v>0</v>
      </c>
      <c r="AW37" s="9">
        <f t="shared" si="13"/>
        <v>0</v>
      </c>
      <c r="AX37" s="9">
        <f t="shared" si="13"/>
        <v>0</v>
      </c>
      <c r="AY37" s="9">
        <f t="shared" si="13"/>
        <v>0</v>
      </c>
      <c r="AZ37" s="9">
        <f t="shared" si="13"/>
        <v>0</v>
      </c>
      <c r="BA37" s="9">
        <f t="shared" si="13"/>
        <v>0</v>
      </c>
      <c r="BB37" s="9">
        <f t="shared" si="13"/>
        <v>0</v>
      </c>
      <c r="BC37" s="9">
        <f t="shared" si="13"/>
        <v>0</v>
      </c>
      <c r="BD37" s="9">
        <f t="shared" si="13"/>
        <v>0</v>
      </c>
      <c r="BE37" s="9">
        <f t="shared" si="13"/>
        <v>0</v>
      </c>
      <c r="BF37" s="9">
        <f t="shared" si="13"/>
        <v>0</v>
      </c>
      <c r="BG37" s="9">
        <f t="shared" si="13"/>
        <v>0</v>
      </c>
      <c r="BH37" s="9">
        <f t="shared" si="13"/>
        <v>0</v>
      </c>
    </row>
    <row r="38" spans="2:60" x14ac:dyDescent="0.3"/>
    <row r="39" spans="2:60" ht="16.2" x14ac:dyDescent="0.45">
      <c r="B39" t="s">
        <v>27</v>
      </c>
      <c r="D39" s="22" t="s">
        <v>34</v>
      </c>
      <c r="E39" s="22" t="s">
        <v>35</v>
      </c>
      <c r="F39" s="22" t="s">
        <v>33</v>
      </c>
      <c r="G39" s="22" t="s">
        <v>36</v>
      </c>
    </row>
    <row r="40" spans="2:60" x14ac:dyDescent="0.3">
      <c r="B40" t="s">
        <v>28</v>
      </c>
      <c r="D40" s="24">
        <v>5.2499999999999998E-2</v>
      </c>
      <c r="E40" s="24">
        <v>5.0000000000000001E-3</v>
      </c>
      <c r="F40" s="26">
        <v>0.65</v>
      </c>
      <c r="G40" s="2">
        <v>1</v>
      </c>
      <c r="I40" s="2">
        <f>F40*$I$21</f>
        <v>27625000</v>
      </c>
      <c r="K40" s="31" t="str">
        <f t="shared" ref="K40:K42" si="14">IF(I40=SUM(L40:BH40),"OK","Error")</f>
        <v>OK</v>
      </c>
      <c r="L40" s="9">
        <f>MIN(L37,I40)</f>
        <v>27625000</v>
      </c>
      <c r="M40" s="9">
        <f>MIN(M37,$I40-SUM($L$40:L40))</f>
        <v>0</v>
      </c>
      <c r="N40" s="9">
        <f>MIN(N37,$I40-SUM($L$40:M40))</f>
        <v>0</v>
      </c>
      <c r="O40" s="9">
        <f>MIN(O37,$I40-SUM($L$40:N40))</f>
        <v>0</v>
      </c>
      <c r="P40" s="9">
        <f>MIN(P37,$I40-SUM($L$40:O40))</f>
        <v>0</v>
      </c>
      <c r="Q40" s="9">
        <f>MIN(Q37,$I40-SUM($L$40:P40))</f>
        <v>0</v>
      </c>
      <c r="R40" s="9">
        <f>MIN(R37,$I40-SUM($L$40:Q40))</f>
        <v>0</v>
      </c>
      <c r="S40" s="9">
        <f>MIN(S37,$I40-SUM($L$40:R40))</f>
        <v>0</v>
      </c>
      <c r="T40" s="9">
        <f>MIN(T37,$I40-SUM($L$40:S40))</f>
        <v>0</v>
      </c>
      <c r="U40" s="9">
        <f>MIN(U37,$I40-SUM($L$40:T40))</f>
        <v>0</v>
      </c>
      <c r="V40" s="9">
        <f>MIN(V37,$I40-SUM($L$40:U40))</f>
        <v>0</v>
      </c>
      <c r="W40" s="9">
        <f>MIN(W37,$I40-SUM($L$40:V40))</f>
        <v>0</v>
      </c>
      <c r="X40" s="9">
        <f>MIN(X37,$I40-SUM($L$40:W40))</f>
        <v>0</v>
      </c>
      <c r="Y40" s="9">
        <f>MIN(Y37,$I40-SUM($L$40:X40))</f>
        <v>0</v>
      </c>
      <c r="Z40" s="9">
        <f>MIN(Z37,$I40-SUM($L$40:Y40))</f>
        <v>0</v>
      </c>
      <c r="AA40" s="9">
        <f>MIN(AA37,$I40-SUM($L$40:Z40))</f>
        <v>0</v>
      </c>
      <c r="AB40" s="9">
        <f>MIN(AB37,$I40-SUM($L$40:AA40))</f>
        <v>0</v>
      </c>
      <c r="AC40" s="9">
        <f>MIN(AC37,$I40-SUM($L$40:AB40))</f>
        <v>0</v>
      </c>
      <c r="AD40" s="9">
        <f>MIN(AD37,$I40-SUM($L$40:AC40))</f>
        <v>0</v>
      </c>
      <c r="AE40" s="9">
        <f>MIN(AE37,$I40-SUM($L$40:AD40))</f>
        <v>0</v>
      </c>
      <c r="AF40" s="9">
        <f>MIN(AF37,$I40-SUM($L$40:AE40))</f>
        <v>0</v>
      </c>
      <c r="AG40" s="9">
        <f>MIN(AG37,$I40-SUM($L$40:AF40))</f>
        <v>0</v>
      </c>
      <c r="AH40" s="9">
        <f>MIN(AH37,$I40-SUM($L$40:AG40))</f>
        <v>0</v>
      </c>
      <c r="AI40" s="9">
        <f>MIN(AI37,$I40-SUM($L$40:AH40))</f>
        <v>0</v>
      </c>
      <c r="AJ40" s="9">
        <f>MIN(AJ37,$I40-SUM($L$40:AI40))</f>
        <v>0</v>
      </c>
      <c r="AK40" s="9">
        <f>MIN(AK37,$I40-SUM($L$40:AJ40))</f>
        <v>0</v>
      </c>
      <c r="AL40" s="9">
        <f>MIN(AL37,$I40-SUM($L$40:AK40))</f>
        <v>0</v>
      </c>
      <c r="AM40" s="9">
        <f>MIN(AM37,$I40-SUM($L$40:AL40))</f>
        <v>0</v>
      </c>
      <c r="AN40" s="9">
        <f>MIN(AN37,$I40-SUM($L$40:AM40))</f>
        <v>0</v>
      </c>
      <c r="AO40" s="9">
        <f>MIN(AO37,$I40-SUM($L$40:AN40))</f>
        <v>0</v>
      </c>
      <c r="AP40" s="9">
        <f>MIN(AP37,$I40-SUM($L$40:AO40))</f>
        <v>0</v>
      </c>
      <c r="AQ40" s="9">
        <f>MIN(AQ37,$I40-SUM($L$40:AP40))</f>
        <v>0</v>
      </c>
      <c r="AR40" s="9">
        <f>MIN(AR37,$I40-SUM($L$40:AQ40))</f>
        <v>0</v>
      </c>
      <c r="AS40" s="9">
        <f>MIN(AS37,$I40-SUM($L$40:AR40))</f>
        <v>0</v>
      </c>
      <c r="AT40" s="9">
        <f>MIN(AT37,$I40-SUM($L$40:AS40))</f>
        <v>0</v>
      </c>
      <c r="AU40" s="9">
        <f>MIN(AU37,$I40-SUM($L$40:AT40))</f>
        <v>0</v>
      </c>
      <c r="AV40" s="9">
        <f>MIN(AV37,$I40-SUM($L$40:AU40))</f>
        <v>0</v>
      </c>
      <c r="AW40" s="9">
        <f>MIN(AW37,$I40-SUM($L$40:AV40))</f>
        <v>0</v>
      </c>
      <c r="AX40" s="9">
        <f>MIN(AX37,$I40-SUM($L$40:AW40))</f>
        <v>0</v>
      </c>
      <c r="AY40" s="9">
        <f>MIN(AY37,$I40-SUM($L$40:AX40))</f>
        <v>0</v>
      </c>
      <c r="AZ40" s="9">
        <f>MIN(AZ37,$I40-SUM($L$40:AY40))</f>
        <v>0</v>
      </c>
      <c r="BA40" s="9">
        <f>MIN(BA37,$I40-SUM($L$40:AZ40))</f>
        <v>0</v>
      </c>
      <c r="BB40" s="9">
        <f>MIN(BB37,$I40-SUM($L$40:BA40))</f>
        <v>0</v>
      </c>
      <c r="BC40" s="9">
        <f>MIN(BC37,$I40-SUM($L$40:BB40))</f>
        <v>0</v>
      </c>
      <c r="BD40" s="9">
        <f>MIN(BD37,$I40-SUM($L$40:BC40))</f>
        <v>0</v>
      </c>
      <c r="BE40" s="9">
        <f>MIN(BE37,$I40-SUM($L$40:BD40))</f>
        <v>0</v>
      </c>
      <c r="BF40" s="9">
        <f>MIN(BF37,$I40-SUM($L$40:BE40))</f>
        <v>0</v>
      </c>
      <c r="BG40" s="9">
        <f>MIN(BG37,$I40-SUM($L$40:BF40))</f>
        <v>0</v>
      </c>
      <c r="BH40" s="9">
        <f>MIN(BH37,$I40-SUM($L$40:BG40))</f>
        <v>0</v>
      </c>
    </row>
    <row r="41" spans="2:60" x14ac:dyDescent="0.3">
      <c r="B41" t="s">
        <v>29</v>
      </c>
      <c r="D41" s="24">
        <v>0.1</v>
      </c>
      <c r="E41" s="24">
        <v>0.02</v>
      </c>
      <c r="F41" s="26">
        <v>0.2</v>
      </c>
      <c r="G41" s="2">
        <v>3</v>
      </c>
      <c r="I41" s="2">
        <f>F41*$I$21</f>
        <v>8500000</v>
      </c>
      <c r="K41" s="31" t="str">
        <f t="shared" si="14"/>
        <v>OK</v>
      </c>
      <c r="L41" s="9">
        <f>MIN(L37-L40-L42,$I41)</f>
        <v>3983000</v>
      </c>
      <c r="M41" s="9">
        <f>MIN(M37-M40-M42,$I41-SUM($L41:L41))</f>
        <v>268416.66666666669</v>
      </c>
      <c r="N41" s="9">
        <f>MIN(N37-N40-N42,$I41-SUM($L41:M41))</f>
        <v>268416.66666666669</v>
      </c>
      <c r="O41" s="9">
        <f>MIN(O37-O40-O42,$I41-SUM($L41:N41))</f>
        <v>268416.66666666669</v>
      </c>
      <c r="P41" s="9">
        <f>MIN(P37-P40-P42,$I41-SUM($L41:O41))</f>
        <v>268416.66666666669</v>
      </c>
      <c r="Q41" s="9">
        <f>MIN(Q37-Q40-Q42,$I41-SUM($L41:P41))</f>
        <v>268416.66666666669</v>
      </c>
      <c r="R41" s="9">
        <f>MIN(R37-R40-R42,$I41-SUM($L41:Q41))</f>
        <v>268416.66666666669</v>
      </c>
      <c r="S41" s="9">
        <f>MIN(S37-S40-S42,$I41-SUM($L41:R41))</f>
        <v>268416.66666666669</v>
      </c>
      <c r="T41" s="9">
        <f>MIN(T37-T40-T42,$I41-SUM($L41:S41))</f>
        <v>268416.66666666669</v>
      </c>
      <c r="U41" s="9">
        <f>MIN(U37-U40-U42,$I41-SUM($L41:T41))</f>
        <v>268416.66666666669</v>
      </c>
      <c r="V41" s="9">
        <f>MIN(V37-V40-V42,$I41-SUM($L41:U41))</f>
        <v>268416.66666666669</v>
      </c>
      <c r="W41" s="9">
        <f>MIN(W37-W40-W42,$I41-SUM($L41:V41))</f>
        <v>268416.66666666669</v>
      </c>
      <c r="X41" s="9">
        <f>MIN(X37-X40-X42,$I41-SUM($L41:W41))</f>
        <v>268416.66666666669</v>
      </c>
      <c r="Y41" s="9">
        <f>MIN(Y37-Y40-Y42,$I41-SUM($L41:X41))</f>
        <v>108000</v>
      </c>
      <c r="Z41" s="9">
        <f>MIN(Z37-Z40-Z42,$I41-SUM($L41:Y41))</f>
        <v>108000</v>
      </c>
      <c r="AA41" s="9">
        <f>MIN(AA37-AA40-AA42,$I41-SUM($L41:Z41))</f>
        <v>108000</v>
      </c>
      <c r="AB41" s="9">
        <f>MIN(AB37-AB40-AB42,$I41-SUM($L41:AA41))</f>
        <v>108000</v>
      </c>
      <c r="AC41" s="9">
        <f>MIN(AC37-AC40-AC42,$I41-SUM($L41:AB41))</f>
        <v>108000</v>
      </c>
      <c r="AD41" s="9">
        <f>MIN(AD37-AD40-AD42,$I41-SUM($L41:AC41))</f>
        <v>108000</v>
      </c>
      <c r="AE41" s="9">
        <f>MIN(AE37-AE40-AE42,$I41-SUM($L41:AD41))</f>
        <v>108000</v>
      </c>
      <c r="AF41" s="9">
        <f>MIN(AF37-AF40-AF42,$I41-SUM($L41:AE41))</f>
        <v>108000</v>
      </c>
      <c r="AG41" s="9">
        <f>MIN(AG37-AG40-AG42,$I41-SUM($L41:AF41))</f>
        <v>108000</v>
      </c>
      <c r="AH41" s="9">
        <f>MIN(AH37-AH40-AH42,$I41-SUM($L41:AG41))</f>
        <v>108000</v>
      </c>
      <c r="AI41" s="9">
        <f>MIN(AI37-AI40-AI42,$I41-SUM($L41:AH41))</f>
        <v>108000</v>
      </c>
      <c r="AJ41" s="9">
        <f>MIN(AJ37-AJ40-AJ42,$I41-SUM($L41:AI41))</f>
        <v>107999.99999999627</v>
      </c>
      <c r="AK41" s="9">
        <f>MIN(AK37-AK40-AK42,$I41-SUM($L41:AJ41))</f>
        <v>0</v>
      </c>
      <c r="AL41" s="9">
        <f>MIN(AL37-AL40-AL42,$I41-SUM($L41:AK41))</f>
        <v>0</v>
      </c>
      <c r="AM41" s="9">
        <f>MIN(AM37-AM40-AM42,$I41-SUM($L41:AL41))</f>
        <v>0</v>
      </c>
      <c r="AN41" s="9">
        <f>MIN(AN37-AN40-AN42,$I41-SUM($L41:AM41))</f>
        <v>0</v>
      </c>
      <c r="AO41" s="9">
        <f>MIN(AO37-AO40-AO42,$I41-SUM($L41:AN41))</f>
        <v>0</v>
      </c>
      <c r="AP41" s="9">
        <f>MIN(AP37-AP40-AP42,$I41-SUM($L41:AO41))</f>
        <v>0</v>
      </c>
      <c r="AQ41" s="9">
        <f>MIN(AQ37-AQ40-AQ42,$I41-SUM($L41:AP41))</f>
        <v>0</v>
      </c>
      <c r="AR41" s="9">
        <f>MIN(AR37-AR40-AR42,$I41-SUM($L41:AQ41))</f>
        <v>0</v>
      </c>
      <c r="AS41" s="9">
        <f>MIN(AS37-AS40-AS42,$I41-SUM($L41:AR41))</f>
        <v>0</v>
      </c>
      <c r="AT41" s="9">
        <f>MIN(AT37-AT40-AT42,$I41-SUM($L41:AS41))</f>
        <v>0</v>
      </c>
      <c r="AU41" s="9">
        <f>MIN(AU37-AU40-AU42,$I41-SUM($L41:AT41))</f>
        <v>0</v>
      </c>
      <c r="AV41" s="9">
        <f>MIN(AV37-AV40-AV42,$I41-SUM($L41:AU41))</f>
        <v>0</v>
      </c>
      <c r="AW41" s="9">
        <f>MIN(AW37-AW40-AW42,$I41-SUM($L41:AV41))</f>
        <v>0</v>
      </c>
      <c r="AX41" s="9">
        <f>MIN(AX37-AX40-AX42,$I41-SUM($L41:AW41))</f>
        <v>0</v>
      </c>
      <c r="AY41" s="9">
        <f>MIN(AY37-AY40-AY42,$I41-SUM($L41:AX41))</f>
        <v>0</v>
      </c>
      <c r="AZ41" s="9">
        <f>MIN(AZ37-AZ40-AZ42,$I41-SUM($L41:AY41))</f>
        <v>0</v>
      </c>
      <c r="BA41" s="9">
        <f>MIN(BA37-BA40-BA42,$I41-SUM($L41:AZ41))</f>
        <v>0</v>
      </c>
      <c r="BB41" s="9">
        <f>MIN(BB37-BB40-BB42,$I41-SUM($L41:BA41))</f>
        <v>0</v>
      </c>
      <c r="BC41" s="9">
        <f>MIN(BC37-BC40-BC42,$I41-SUM($L41:BB41))</f>
        <v>0</v>
      </c>
      <c r="BD41" s="9">
        <f>MIN(BD37-BD40-BD42,$I41-SUM($L41:BC41))</f>
        <v>0</v>
      </c>
      <c r="BE41" s="9">
        <f>MIN(BE37-BE40-BE42,$I41-SUM($L41:BD41))</f>
        <v>0</v>
      </c>
      <c r="BF41" s="9">
        <f>MIN(BF37-BF40-BF42,$I41-SUM($L41:BE41))</f>
        <v>0</v>
      </c>
      <c r="BG41" s="9">
        <f>MIN(BG37-BG40-BG42,$I41-SUM($L41:BF41))</f>
        <v>0</v>
      </c>
      <c r="BH41" s="9">
        <f>MIN(BH37-BH40-BH42,$I41-SUM($L41:BG41))</f>
        <v>0</v>
      </c>
    </row>
    <row r="42" spans="2:60" ht="16.2" x14ac:dyDescent="0.45">
      <c r="B42" t="s">
        <v>30</v>
      </c>
      <c r="G42" s="2">
        <v>2</v>
      </c>
      <c r="I42" s="22">
        <f>I37-I40-I41</f>
        <v>11412625</v>
      </c>
      <c r="K42" s="31" t="str">
        <f t="shared" si="14"/>
        <v>OK</v>
      </c>
      <c r="L42" s="32">
        <f>MIN(L37-L40,$I42)</f>
        <v>11412625</v>
      </c>
      <c r="M42" s="32">
        <f>MIN(M37-M40,$I42-SUM($L42:L42))</f>
        <v>0</v>
      </c>
      <c r="N42" s="32">
        <f>MIN(N37-N40,$I42-SUM($L42:M42))</f>
        <v>0</v>
      </c>
      <c r="O42" s="32">
        <f>MIN(O37-O40,$I42-SUM($L42:N42))</f>
        <v>0</v>
      </c>
      <c r="P42" s="32">
        <f>MIN(P37-P40,$I42-SUM($L42:O42))</f>
        <v>0</v>
      </c>
      <c r="Q42" s="32">
        <f>MIN(Q37-Q40,$I42-SUM($L42:P42))</f>
        <v>0</v>
      </c>
      <c r="R42" s="32">
        <f>MIN(R37-R40,$I42-SUM($L42:Q42))</f>
        <v>0</v>
      </c>
      <c r="S42" s="32">
        <f>MIN(S37-S40,$I42-SUM($L42:R42))</f>
        <v>0</v>
      </c>
      <c r="T42" s="32">
        <f>MIN(T37-T40,$I42-SUM($L42:S42))</f>
        <v>0</v>
      </c>
      <c r="U42" s="32">
        <f>MIN(U37-U40,$I42-SUM($L42:T42))</f>
        <v>0</v>
      </c>
      <c r="V42" s="32">
        <f>MIN(V37-V40,$I42-SUM($L42:U42))</f>
        <v>0</v>
      </c>
      <c r="W42" s="32">
        <f>MIN(W37-W40,$I42-SUM($L42:V42))</f>
        <v>0</v>
      </c>
      <c r="X42" s="32">
        <f>MIN(X37-X40,$I42-SUM($L42:W42))</f>
        <v>0</v>
      </c>
      <c r="Y42" s="32">
        <f>MIN(Y37-Y40,$I42-SUM($L42:X42))</f>
        <v>0</v>
      </c>
      <c r="Z42" s="32">
        <f>MIN(Z37-Z40,$I42-SUM($L42:Y42))</f>
        <v>0</v>
      </c>
      <c r="AA42" s="32">
        <f>MIN(AA37-AA40,$I42-SUM($L42:Z42))</f>
        <v>0</v>
      </c>
      <c r="AB42" s="32">
        <f>MIN(AB37-AB40,$I42-SUM($L42:AA42))</f>
        <v>0</v>
      </c>
      <c r="AC42" s="32">
        <f>MIN(AC37-AC40,$I42-SUM($L42:AB42))</f>
        <v>0</v>
      </c>
      <c r="AD42" s="32">
        <f>MIN(AD37-AD40,$I42-SUM($L42:AC42))</f>
        <v>0</v>
      </c>
      <c r="AE42" s="32">
        <f>MIN(AE37-AE40,$I42-SUM($L42:AD42))</f>
        <v>0</v>
      </c>
      <c r="AF42" s="32">
        <f>MIN(AF37-AF40,$I42-SUM($L42:AE42))</f>
        <v>0</v>
      </c>
      <c r="AG42" s="32">
        <f>MIN(AG37-AG40,$I42-SUM($L42:AF42))</f>
        <v>0</v>
      </c>
      <c r="AH42" s="32">
        <f>MIN(AH37-AH40,$I42-SUM($L42:AG42))</f>
        <v>0</v>
      </c>
      <c r="AI42" s="32">
        <f>MIN(AI37-AI40,$I42-SUM($L42:AH42))</f>
        <v>0</v>
      </c>
      <c r="AJ42" s="32">
        <f>MIN(AJ37-AJ40,$I42-SUM($L42:AI42))</f>
        <v>0</v>
      </c>
      <c r="AK42" s="32">
        <f>MIN(AK37-AK40,$I42-SUM($L42:AJ42))</f>
        <v>0</v>
      </c>
      <c r="AL42" s="32">
        <f>MIN(AL37-AL40,$I42-SUM($L42:AK42))</f>
        <v>0</v>
      </c>
      <c r="AM42" s="32">
        <f>MIN(AM37-AM40,$I42-SUM($L42:AL42))</f>
        <v>0</v>
      </c>
      <c r="AN42" s="32">
        <f>MIN(AN37-AN40,$I42-SUM($L42:AM42))</f>
        <v>0</v>
      </c>
      <c r="AO42" s="32">
        <f>MIN(AO37-AO40,$I42-SUM($L42:AN42))</f>
        <v>0</v>
      </c>
      <c r="AP42" s="32">
        <f>MIN(AP37-AP40,$I42-SUM($L42:AO42))</f>
        <v>0</v>
      </c>
      <c r="AQ42" s="32">
        <f>MIN(AQ37-AQ40,$I42-SUM($L42:AP42))</f>
        <v>0</v>
      </c>
      <c r="AR42" s="32">
        <f>MIN(AR37-AR40,$I42-SUM($L42:AQ42))</f>
        <v>0</v>
      </c>
      <c r="AS42" s="32">
        <f>MIN(AS37-AS40,$I42-SUM($L42:AR42))</f>
        <v>0</v>
      </c>
      <c r="AT42" s="32">
        <f>MIN(AT37-AT40,$I42-SUM($L42:AS42))</f>
        <v>0</v>
      </c>
      <c r="AU42" s="32">
        <f>MIN(AU37-AU40,$I42-SUM($L42:AT42))</f>
        <v>0</v>
      </c>
      <c r="AV42" s="32">
        <f>MIN(AV37-AV40,$I42-SUM($L42:AU42))</f>
        <v>0</v>
      </c>
      <c r="AW42" s="32">
        <f>MIN(AW37-AW40,$I42-SUM($L42:AV42))</f>
        <v>0</v>
      </c>
      <c r="AX42" s="32">
        <f>MIN(AX37-AX40,$I42-SUM($L42:AW42))</f>
        <v>0</v>
      </c>
      <c r="AY42" s="32">
        <f>MIN(AY37-AY40,$I42-SUM($L42:AX42))</f>
        <v>0</v>
      </c>
      <c r="AZ42" s="32">
        <f>MIN(AZ37-AZ40,$I42-SUM($L42:AY42))</f>
        <v>0</v>
      </c>
      <c r="BA42" s="32">
        <f>MIN(BA37-BA40,$I42-SUM($L42:AZ42))</f>
        <v>0</v>
      </c>
      <c r="BB42" s="32">
        <f>MIN(BB37-BB40,$I42-SUM($L42:BA42))</f>
        <v>0</v>
      </c>
      <c r="BC42" s="32">
        <f>MIN(BC37-BC40,$I42-SUM($L42:BB42))</f>
        <v>0</v>
      </c>
      <c r="BD42" s="32">
        <f>MIN(BD37-BD40,$I42-SUM($L42:BC42))</f>
        <v>0</v>
      </c>
      <c r="BE42" s="32">
        <f>MIN(BE37-BE40,$I42-SUM($L42:BD42))</f>
        <v>0</v>
      </c>
      <c r="BF42" s="32">
        <f>MIN(BF37-BF40,$I42-SUM($L42:BE42))</f>
        <v>0</v>
      </c>
      <c r="BG42" s="32">
        <f>MIN(BG37-BG40,$I42-SUM($L42:BF42))</f>
        <v>0</v>
      </c>
      <c r="BH42" s="32">
        <f>MIN(BH37-BH40,$I42-SUM($L42:BG42))</f>
        <v>0</v>
      </c>
    </row>
    <row r="43" spans="2:60" x14ac:dyDescent="0.3">
      <c r="B43" t="s">
        <v>31</v>
      </c>
      <c r="I43" s="2">
        <f>SUM(I40:I42)</f>
        <v>47537625</v>
      </c>
      <c r="L43" s="9">
        <f>SUM(L40:L42)</f>
        <v>43020625</v>
      </c>
      <c r="M43" s="9">
        <f>SUM(M40:M42)</f>
        <v>268416.66666666669</v>
      </c>
      <c r="N43" s="9">
        <f t="shared" ref="N43:BH43" si="15">SUM(N40:N42)</f>
        <v>268416.66666666669</v>
      </c>
      <c r="O43" s="9">
        <f t="shared" si="15"/>
        <v>268416.66666666669</v>
      </c>
      <c r="P43" s="9">
        <f t="shared" si="15"/>
        <v>268416.66666666669</v>
      </c>
      <c r="Q43" s="9">
        <f t="shared" si="15"/>
        <v>268416.66666666669</v>
      </c>
      <c r="R43" s="9">
        <f t="shared" si="15"/>
        <v>268416.66666666669</v>
      </c>
      <c r="S43" s="9">
        <f t="shared" si="15"/>
        <v>268416.66666666669</v>
      </c>
      <c r="T43" s="9">
        <f t="shared" si="15"/>
        <v>268416.66666666669</v>
      </c>
      <c r="U43" s="9">
        <f t="shared" si="15"/>
        <v>268416.66666666669</v>
      </c>
      <c r="V43" s="9">
        <f t="shared" si="15"/>
        <v>268416.66666666669</v>
      </c>
      <c r="W43" s="9">
        <f t="shared" si="15"/>
        <v>268416.66666666669</v>
      </c>
      <c r="X43" s="9">
        <f t="shared" si="15"/>
        <v>268416.66666666669</v>
      </c>
      <c r="Y43" s="9">
        <f t="shared" si="15"/>
        <v>108000</v>
      </c>
      <c r="Z43" s="9">
        <f t="shared" si="15"/>
        <v>108000</v>
      </c>
      <c r="AA43" s="9">
        <f t="shared" si="15"/>
        <v>108000</v>
      </c>
      <c r="AB43" s="9">
        <f t="shared" si="15"/>
        <v>108000</v>
      </c>
      <c r="AC43" s="9">
        <f t="shared" si="15"/>
        <v>108000</v>
      </c>
      <c r="AD43" s="9">
        <f t="shared" si="15"/>
        <v>108000</v>
      </c>
      <c r="AE43" s="9">
        <f t="shared" si="15"/>
        <v>108000</v>
      </c>
      <c r="AF43" s="9">
        <f t="shared" si="15"/>
        <v>108000</v>
      </c>
      <c r="AG43" s="9">
        <f t="shared" si="15"/>
        <v>108000</v>
      </c>
      <c r="AH43" s="9">
        <f t="shared" si="15"/>
        <v>108000</v>
      </c>
      <c r="AI43" s="9">
        <f t="shared" si="15"/>
        <v>108000</v>
      </c>
      <c r="AJ43" s="9">
        <f t="shared" si="15"/>
        <v>107999.99999999627</v>
      </c>
      <c r="AK43" s="9">
        <f t="shared" si="15"/>
        <v>0</v>
      </c>
      <c r="AL43" s="9">
        <f t="shared" si="15"/>
        <v>0</v>
      </c>
      <c r="AM43" s="9">
        <f t="shared" si="15"/>
        <v>0</v>
      </c>
      <c r="AN43" s="9">
        <f t="shared" si="15"/>
        <v>0</v>
      </c>
      <c r="AO43" s="9">
        <f t="shared" si="15"/>
        <v>0</v>
      </c>
      <c r="AP43" s="9">
        <f t="shared" si="15"/>
        <v>0</v>
      </c>
      <c r="AQ43" s="9">
        <f t="shared" si="15"/>
        <v>0</v>
      </c>
      <c r="AR43" s="9">
        <f t="shared" si="15"/>
        <v>0</v>
      </c>
      <c r="AS43" s="9">
        <f t="shared" si="15"/>
        <v>0</v>
      </c>
      <c r="AT43" s="9">
        <f t="shared" si="15"/>
        <v>0</v>
      </c>
      <c r="AU43" s="9">
        <f t="shared" si="15"/>
        <v>0</v>
      </c>
      <c r="AV43" s="9">
        <f t="shared" si="15"/>
        <v>0</v>
      </c>
      <c r="AW43" s="9">
        <f t="shared" si="15"/>
        <v>0</v>
      </c>
      <c r="AX43" s="9">
        <f t="shared" si="15"/>
        <v>0</v>
      </c>
      <c r="AY43" s="9">
        <f t="shared" si="15"/>
        <v>0</v>
      </c>
      <c r="AZ43" s="9">
        <f t="shared" si="15"/>
        <v>0</v>
      </c>
      <c r="BA43" s="9">
        <f t="shared" si="15"/>
        <v>0</v>
      </c>
      <c r="BB43" s="9">
        <f t="shared" si="15"/>
        <v>0</v>
      </c>
      <c r="BC43" s="9">
        <f t="shared" si="15"/>
        <v>0</v>
      </c>
      <c r="BD43" s="9">
        <f t="shared" si="15"/>
        <v>0</v>
      </c>
      <c r="BE43" s="9">
        <f t="shared" si="15"/>
        <v>0</v>
      </c>
      <c r="BF43" s="9">
        <f t="shared" si="15"/>
        <v>0</v>
      </c>
      <c r="BG43" s="9">
        <f t="shared" si="15"/>
        <v>0</v>
      </c>
      <c r="BH43" s="9">
        <f t="shared" si="15"/>
        <v>0</v>
      </c>
    </row>
    <row r="44" spans="2:60" x14ac:dyDescent="0.3">
      <c r="B44" s="16" t="s">
        <v>6</v>
      </c>
      <c r="C44" s="17"/>
      <c r="D44" s="18"/>
      <c r="E44" s="18"/>
      <c r="F44" s="18"/>
      <c r="G44" s="18"/>
      <c r="H44" s="18"/>
      <c r="I44" s="18"/>
    </row>
    <row r="45" spans="2:60" x14ac:dyDescent="0.3">
      <c r="B45" t="s">
        <v>46</v>
      </c>
      <c r="D45" s="23">
        <f>(1+E45)^(1/12)-1</f>
        <v>2.0598362698427408E-3</v>
      </c>
      <c r="E45" s="24">
        <v>2.5000000000000001E-2</v>
      </c>
      <c r="F45" s="34" t="s">
        <v>45</v>
      </c>
      <c r="I45" s="19">
        <f>Units</f>
        <v>240</v>
      </c>
      <c r="K45" s="9"/>
    </row>
    <row r="46" spans="2:60" x14ac:dyDescent="0.3">
      <c r="B46" t="s">
        <v>47</v>
      </c>
      <c r="E46" s="24">
        <v>0.02</v>
      </c>
      <c r="F46" s="34" t="s">
        <v>42</v>
      </c>
      <c r="I46" s="2">
        <f>SUM(L46:BH46)</f>
        <v>240</v>
      </c>
      <c r="K46" s="31" t="s">
        <v>41</v>
      </c>
      <c r="L46" s="9">
        <v>0</v>
      </c>
      <c r="M46" s="33">
        <v>10</v>
      </c>
      <c r="N46" s="33">
        <v>10</v>
      </c>
      <c r="O46" s="33">
        <v>10</v>
      </c>
      <c r="P46" s="33">
        <v>10</v>
      </c>
      <c r="Q46" s="33">
        <v>10</v>
      </c>
      <c r="R46" s="33">
        <v>10</v>
      </c>
      <c r="S46" s="33">
        <v>10</v>
      </c>
      <c r="T46" s="33">
        <v>10</v>
      </c>
      <c r="U46" s="33">
        <v>10</v>
      </c>
      <c r="V46" s="33">
        <v>10</v>
      </c>
      <c r="W46" s="33">
        <v>10</v>
      </c>
      <c r="X46" s="33">
        <v>10</v>
      </c>
      <c r="Y46" s="33">
        <v>10</v>
      </c>
      <c r="Z46" s="33">
        <v>10</v>
      </c>
      <c r="AA46" s="33">
        <v>10</v>
      </c>
      <c r="AB46" s="33">
        <v>10</v>
      </c>
      <c r="AC46" s="33">
        <v>10</v>
      </c>
      <c r="AD46" s="33">
        <v>10</v>
      </c>
      <c r="AE46" s="33">
        <v>10</v>
      </c>
      <c r="AF46" s="33">
        <v>10</v>
      </c>
      <c r="AG46" s="33">
        <v>10</v>
      </c>
      <c r="AH46" s="33">
        <v>10</v>
      </c>
      <c r="AI46" s="33">
        <v>10</v>
      </c>
      <c r="AJ46" s="33">
        <v>10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  <c r="AQ46" s="33">
        <v>0</v>
      </c>
      <c r="AR46" s="33">
        <v>0</v>
      </c>
      <c r="AS46" s="33">
        <v>0</v>
      </c>
      <c r="AT46" s="33">
        <v>0</v>
      </c>
      <c r="AU46" s="33">
        <v>0</v>
      </c>
      <c r="AV46" s="33">
        <v>0</v>
      </c>
      <c r="AW46" s="33">
        <v>0</v>
      </c>
      <c r="AX46" s="33">
        <v>0</v>
      </c>
      <c r="AY46" s="33">
        <v>0</v>
      </c>
      <c r="AZ46" s="33">
        <v>0</v>
      </c>
      <c r="BA46" s="33">
        <v>0</v>
      </c>
      <c r="BB46" s="33">
        <v>0</v>
      </c>
      <c r="BC46" s="33">
        <v>0</v>
      </c>
      <c r="BD46" s="33">
        <v>0</v>
      </c>
      <c r="BE46" s="33">
        <v>0</v>
      </c>
      <c r="BF46" s="33">
        <v>0</v>
      </c>
      <c r="BG46" s="33">
        <v>0</v>
      </c>
      <c r="BH46" s="33">
        <v>0</v>
      </c>
    </row>
    <row r="47" spans="2:60" x14ac:dyDescent="0.3">
      <c r="B47" t="s">
        <v>48</v>
      </c>
      <c r="E47" s="24">
        <v>0.02</v>
      </c>
      <c r="K47" s="31" t="s">
        <v>43</v>
      </c>
      <c r="L47" s="36">
        <f>($I$45-SUM($L$46:L46))/Units</f>
        <v>1</v>
      </c>
      <c r="M47" s="36">
        <f>($I$45-SUM($L$46:M46))/Units</f>
        <v>0.95833333333333337</v>
      </c>
      <c r="N47" s="36">
        <f>($I$45-SUM($L$46:N46))/Units</f>
        <v>0.91666666666666663</v>
      </c>
      <c r="O47" s="36">
        <f>($I$45-SUM($L$46:O46))/Units</f>
        <v>0.875</v>
      </c>
      <c r="P47" s="36">
        <f>($I$45-SUM($L$46:P46))/Units</f>
        <v>0.83333333333333337</v>
      </c>
      <c r="Q47" s="36">
        <f>($I$45-SUM($L$46:Q46))/Units</f>
        <v>0.79166666666666663</v>
      </c>
      <c r="R47" s="36">
        <f>($I$45-SUM($L$46:R46))/Units</f>
        <v>0.75</v>
      </c>
      <c r="S47" s="36">
        <f>($I$45-SUM($L$46:S46))/Units</f>
        <v>0.70833333333333337</v>
      </c>
      <c r="T47" s="36">
        <f>($I$45-SUM($L$46:T46))/Units</f>
        <v>0.66666666666666663</v>
      </c>
      <c r="U47" s="36">
        <f>($I$45-SUM($L$46:U46))/Units</f>
        <v>0.625</v>
      </c>
      <c r="V47" s="36">
        <f>($I$45-SUM($L$46:V46))/Units</f>
        <v>0.58333333333333337</v>
      </c>
      <c r="W47" s="36">
        <f>($I$45-SUM($L$46:W46))/Units</f>
        <v>0.54166666666666663</v>
      </c>
      <c r="X47" s="36">
        <f>($I$45-SUM($L$46:X46))/Units</f>
        <v>0.5</v>
      </c>
      <c r="Y47" s="36">
        <f>($I$45-SUM($L$46:Y46))/Units</f>
        <v>0.45833333333333331</v>
      </c>
      <c r="Z47" s="36">
        <f>($I$45-SUM($L$46:Z46))/Units</f>
        <v>0.41666666666666669</v>
      </c>
      <c r="AA47" s="36">
        <f>($I$45-SUM($L$46:AA46))/Units</f>
        <v>0.375</v>
      </c>
      <c r="AB47" s="36">
        <f>($I$45-SUM($L$46:AB46))/Units</f>
        <v>0.33333333333333331</v>
      </c>
      <c r="AC47" s="36">
        <f>($I$45-SUM($L$46:AC46))/Units</f>
        <v>0.29166666666666669</v>
      </c>
      <c r="AD47" s="36">
        <f>($I$45-SUM($L$46:AD46))/Units</f>
        <v>0.25</v>
      </c>
      <c r="AE47" s="36">
        <f>($I$45-SUM($L$46:AE46))/Units</f>
        <v>0.20833333333333334</v>
      </c>
      <c r="AF47" s="36">
        <f>($I$45-SUM($L$46:AF46))/Units</f>
        <v>0.16666666666666666</v>
      </c>
      <c r="AG47" s="36">
        <f>($I$45-SUM($L$46:AG46))/Units</f>
        <v>0.125</v>
      </c>
      <c r="AH47" s="36">
        <f>($I$45-SUM($L$46:AH46))/Units</f>
        <v>8.3333333333333329E-2</v>
      </c>
      <c r="AI47" s="36">
        <f>($I$45-SUM($L$46:AI46))/Units</f>
        <v>4.1666666666666664E-2</v>
      </c>
      <c r="AJ47" s="36">
        <f>($I$45-SUM($L$46:AJ46))/Units</f>
        <v>0</v>
      </c>
      <c r="AK47" s="36">
        <f>($I$45-SUM($L$46:AK46))/Units</f>
        <v>0</v>
      </c>
      <c r="AL47" s="36">
        <f>($I$45-SUM($L$46:AL46))/Units</f>
        <v>0</v>
      </c>
      <c r="AM47" s="36">
        <f>($I$45-SUM($L$46:AM46))/Units</f>
        <v>0</v>
      </c>
      <c r="AN47" s="36">
        <f>($I$45-SUM($L$46:AN46))/Units</f>
        <v>0</v>
      </c>
      <c r="AO47" s="36">
        <f>($I$45-SUM($L$46:AO46))/Units</f>
        <v>0</v>
      </c>
      <c r="AP47" s="36">
        <f>($I$45-SUM($L$46:AP46))/Units</f>
        <v>0</v>
      </c>
      <c r="AQ47" s="36">
        <f>($I$45-SUM($L$46:AQ46))/Units</f>
        <v>0</v>
      </c>
      <c r="AR47" s="36">
        <f>($I$45-SUM($L$46:AR46))/Units</f>
        <v>0</v>
      </c>
      <c r="AS47" s="36">
        <f>($I$45-SUM($L$46:AS46))/Units</f>
        <v>0</v>
      </c>
      <c r="AT47" s="36">
        <f>($I$45-SUM($L$46:AT46))/Units</f>
        <v>0</v>
      </c>
      <c r="AU47" s="36">
        <f>($I$45-SUM($L$46:AU46))/Units</f>
        <v>0</v>
      </c>
      <c r="AV47" s="36">
        <f>($I$45-SUM($L$46:AV46))/Units</f>
        <v>0</v>
      </c>
      <c r="AW47" s="36">
        <f>($I$45-SUM($L$46:AW46))/Units</f>
        <v>0</v>
      </c>
      <c r="AX47" s="36">
        <f>($I$45-SUM($L$46:AX46))/Units</f>
        <v>0</v>
      </c>
      <c r="AY47" s="36">
        <f>($I$45-SUM($L$46:AY46))/Units</f>
        <v>0</v>
      </c>
      <c r="AZ47" s="36">
        <f>($I$45-SUM($L$46:AZ46))/Units</f>
        <v>0</v>
      </c>
      <c r="BA47" s="36">
        <f>($I$45-SUM($L$46:BA46))/Units</f>
        <v>0</v>
      </c>
      <c r="BB47" s="36">
        <f>($I$45-SUM($L$46:BB46))/Units</f>
        <v>0</v>
      </c>
      <c r="BC47" s="36">
        <f>($I$45-SUM($L$46:BC46))/Units</f>
        <v>0</v>
      </c>
      <c r="BD47" s="36">
        <f>($I$45-SUM($L$46:BD46))/Units</f>
        <v>0</v>
      </c>
      <c r="BE47" s="36">
        <f>($I$45-SUM($L$46:BE46))/Units</f>
        <v>0</v>
      </c>
      <c r="BF47" s="36">
        <f>($I$45-SUM($L$46:BF46))/Units</f>
        <v>0</v>
      </c>
      <c r="BG47" s="36">
        <f>($I$45-SUM($L$46:BG46))/Units</f>
        <v>0</v>
      </c>
      <c r="BH47" s="36">
        <f>($I$45-SUM($L$46:BH46))/Units</f>
        <v>0</v>
      </c>
    </row>
    <row r="48" spans="2:60" x14ac:dyDescent="0.3">
      <c r="B48" t="s">
        <v>49</v>
      </c>
      <c r="E48" s="24">
        <v>0.08</v>
      </c>
      <c r="K48" s="31" t="s">
        <v>44</v>
      </c>
      <c r="L48" s="36">
        <f>1-L47</f>
        <v>0</v>
      </c>
      <c r="M48" s="36">
        <f>1-M47</f>
        <v>4.166666666666663E-2</v>
      </c>
      <c r="N48" s="36">
        <f t="shared" ref="N48:BH48" si="16">1-N47</f>
        <v>8.333333333333337E-2</v>
      </c>
      <c r="O48" s="36">
        <f t="shared" si="16"/>
        <v>0.125</v>
      </c>
      <c r="P48" s="36">
        <f t="shared" si="16"/>
        <v>0.16666666666666663</v>
      </c>
      <c r="Q48" s="36">
        <f t="shared" si="16"/>
        <v>0.20833333333333337</v>
      </c>
      <c r="R48" s="36">
        <f t="shared" si="16"/>
        <v>0.25</v>
      </c>
      <c r="S48" s="36">
        <f t="shared" si="16"/>
        <v>0.29166666666666663</v>
      </c>
      <c r="T48" s="36">
        <f t="shared" si="16"/>
        <v>0.33333333333333337</v>
      </c>
      <c r="U48" s="36">
        <f t="shared" si="16"/>
        <v>0.375</v>
      </c>
      <c r="V48" s="36">
        <f t="shared" si="16"/>
        <v>0.41666666666666663</v>
      </c>
      <c r="W48" s="36">
        <f t="shared" si="16"/>
        <v>0.45833333333333337</v>
      </c>
      <c r="X48" s="36">
        <f t="shared" si="16"/>
        <v>0.5</v>
      </c>
      <c r="Y48" s="36">
        <f t="shared" si="16"/>
        <v>0.54166666666666674</v>
      </c>
      <c r="Z48" s="36">
        <f t="shared" si="16"/>
        <v>0.58333333333333326</v>
      </c>
      <c r="AA48" s="36">
        <f t="shared" si="16"/>
        <v>0.625</v>
      </c>
      <c r="AB48" s="36">
        <f t="shared" si="16"/>
        <v>0.66666666666666674</v>
      </c>
      <c r="AC48" s="36">
        <f t="shared" si="16"/>
        <v>0.70833333333333326</v>
      </c>
      <c r="AD48" s="36">
        <f t="shared" si="16"/>
        <v>0.75</v>
      </c>
      <c r="AE48" s="36">
        <f t="shared" si="16"/>
        <v>0.79166666666666663</v>
      </c>
      <c r="AF48" s="36">
        <f t="shared" si="16"/>
        <v>0.83333333333333337</v>
      </c>
      <c r="AG48" s="36">
        <f t="shared" si="16"/>
        <v>0.875</v>
      </c>
      <c r="AH48" s="36">
        <f t="shared" si="16"/>
        <v>0.91666666666666663</v>
      </c>
      <c r="AI48" s="36">
        <f t="shared" si="16"/>
        <v>0.95833333333333337</v>
      </c>
      <c r="AJ48" s="36">
        <f t="shared" si="16"/>
        <v>1</v>
      </c>
      <c r="AK48" s="36">
        <f t="shared" si="16"/>
        <v>1</v>
      </c>
      <c r="AL48" s="36">
        <f t="shared" si="16"/>
        <v>1</v>
      </c>
      <c r="AM48" s="36">
        <f t="shared" si="16"/>
        <v>1</v>
      </c>
      <c r="AN48" s="36">
        <f t="shared" si="16"/>
        <v>1</v>
      </c>
      <c r="AO48" s="36">
        <f t="shared" si="16"/>
        <v>1</v>
      </c>
      <c r="AP48" s="36">
        <f t="shared" si="16"/>
        <v>1</v>
      </c>
      <c r="AQ48" s="36">
        <f t="shared" si="16"/>
        <v>1</v>
      </c>
      <c r="AR48" s="36">
        <f t="shared" si="16"/>
        <v>1</v>
      </c>
      <c r="AS48" s="36">
        <f t="shared" si="16"/>
        <v>1</v>
      </c>
      <c r="AT48" s="36">
        <f t="shared" si="16"/>
        <v>1</v>
      </c>
      <c r="AU48" s="36">
        <f t="shared" si="16"/>
        <v>1</v>
      </c>
      <c r="AV48" s="36">
        <f t="shared" si="16"/>
        <v>1</v>
      </c>
      <c r="AW48" s="36">
        <f t="shared" si="16"/>
        <v>1</v>
      </c>
      <c r="AX48" s="36">
        <f t="shared" si="16"/>
        <v>1</v>
      </c>
      <c r="AY48" s="36">
        <f t="shared" si="16"/>
        <v>1</v>
      </c>
      <c r="AZ48" s="36">
        <f t="shared" si="16"/>
        <v>1</v>
      </c>
      <c r="BA48" s="36">
        <f t="shared" si="16"/>
        <v>1</v>
      </c>
      <c r="BB48" s="36">
        <f t="shared" si="16"/>
        <v>1</v>
      </c>
      <c r="BC48" s="36">
        <f t="shared" si="16"/>
        <v>1</v>
      </c>
      <c r="BD48" s="36">
        <f t="shared" si="16"/>
        <v>1</v>
      </c>
      <c r="BE48" s="36">
        <f t="shared" si="16"/>
        <v>1</v>
      </c>
      <c r="BF48" s="36">
        <f t="shared" si="16"/>
        <v>1</v>
      </c>
      <c r="BG48" s="36">
        <f t="shared" si="16"/>
        <v>1</v>
      </c>
      <c r="BH48" s="36">
        <f t="shared" si="16"/>
        <v>1</v>
      </c>
    </row>
    <row r="49" spans="1:60" x14ac:dyDescent="0.3"/>
    <row r="50" spans="1:60" x14ac:dyDescent="0.3">
      <c r="B50" s="20" t="s">
        <v>50</v>
      </c>
      <c r="F50" s="2" t="s">
        <v>55</v>
      </c>
      <c r="H50" s="70" t="s">
        <v>58</v>
      </c>
      <c r="I50" s="70"/>
    </row>
    <row r="51" spans="1:60" x14ac:dyDescent="0.3">
      <c r="B51" s="37" t="s">
        <v>51</v>
      </c>
      <c r="C51" s="38" t="s">
        <v>52</v>
      </c>
      <c r="D51" s="39" t="s">
        <v>10</v>
      </c>
      <c r="E51" s="39" t="s">
        <v>53</v>
      </c>
      <c r="F51" s="39" t="s">
        <v>63</v>
      </c>
      <c r="G51" s="39" t="s">
        <v>54</v>
      </c>
      <c r="H51" s="39" t="s">
        <v>56</v>
      </c>
      <c r="I51" s="39" t="s">
        <v>57</v>
      </c>
    </row>
    <row r="52" spans="1:60" x14ac:dyDescent="0.3">
      <c r="B52" s="41" t="s">
        <v>59</v>
      </c>
      <c r="C52" s="42">
        <v>650</v>
      </c>
      <c r="D52" s="19">
        <v>70</v>
      </c>
      <c r="E52" s="19">
        <v>1250</v>
      </c>
      <c r="F52" s="19">
        <v>200</v>
      </c>
      <c r="G52" s="2">
        <f>+E52+F52</f>
        <v>1450</v>
      </c>
      <c r="H52" s="2">
        <f>D52*E52*12</f>
        <v>1050000</v>
      </c>
      <c r="I52" s="2">
        <f>G52*D52*12</f>
        <v>1218000</v>
      </c>
      <c r="M52" s="9">
        <f t="shared" ref="M52:V55" si="17">($G52*(1+$D$45)^(M$4-1))*M$48*$D52+($E52*(1+$D$45)^(M$4-1))*M$47*$D52</f>
        <v>88083.333333333328</v>
      </c>
      <c r="N52" s="9">
        <f t="shared" si="17"/>
        <v>88849.305482592725</v>
      </c>
      <c r="O52" s="9">
        <f t="shared" si="17"/>
        <v>89618.059455264112</v>
      </c>
      <c r="P52" s="9">
        <f t="shared" si="17"/>
        <v>90389.603461586259</v>
      </c>
      <c r="Q52" s="9">
        <f t="shared" si="17"/>
        <v>91163.945733818429</v>
      </c>
      <c r="R52" s="9">
        <f t="shared" si="17"/>
        <v>91941.094526296103</v>
      </c>
      <c r="S52" s="9">
        <f t="shared" si="17"/>
        <v>92721.058115487132</v>
      </c>
      <c r="T52" s="9">
        <f t="shared" si="17"/>
        <v>93503.844800047867</v>
      </c>
      <c r="U52" s="9">
        <f t="shared" si="17"/>
        <v>94289.462900879385</v>
      </c>
      <c r="V52" s="9">
        <f t="shared" si="17"/>
        <v>95077.92076118401</v>
      </c>
      <c r="W52" s="9">
        <f t="shared" ref="W52:AF55" si="18">($G52*(1+$D$45)^(W$4-1))*W$48*$D52+($E52*(1+$D$45)^(W$4-1))*W$47*$D52</f>
        <v>95869.226746521817</v>
      </c>
      <c r="X52" s="9">
        <f t="shared" si="18"/>
        <v>96663.389244867343</v>
      </c>
      <c r="Y52" s="9">
        <f t="shared" si="18"/>
        <v>97460.416666666541</v>
      </c>
      <c r="Z52" s="9">
        <f t="shared" si="18"/>
        <v>98260.317444893502</v>
      </c>
      <c r="AA52" s="9">
        <f t="shared" si="18"/>
        <v>99063.100035107957</v>
      </c>
      <c r="AB52" s="9">
        <f t="shared" si="18"/>
        <v>99868.772915512236</v>
      </c>
      <c r="AC52" s="9">
        <f t="shared" si="18"/>
        <v>100677.34458700869</v>
      </c>
      <c r="AD52" s="9">
        <f t="shared" si="18"/>
        <v>101488.82357325748</v>
      </c>
      <c r="AE52" s="9">
        <f t="shared" si="18"/>
        <v>102303.21842073399</v>
      </c>
      <c r="AF52" s="9">
        <f t="shared" si="18"/>
        <v>103120.53769878682</v>
      </c>
      <c r="AG52" s="9">
        <f t="shared" ref="AG52:AP55" si="19">($G52*(1+$D$45)^(AG$4-1))*AG$48*$D52+($E52*(1+$D$45)^(AG$4-1))*AG$47*$D52</f>
        <v>103940.7899996957</v>
      </c>
      <c r="AH52" s="9">
        <f t="shared" si="19"/>
        <v>104763.98393872946</v>
      </c>
      <c r="AI52" s="9">
        <f t="shared" si="19"/>
        <v>105590.12815420469</v>
      </c>
      <c r="AJ52" s="9">
        <f t="shared" si="19"/>
        <v>106419.23130754364</v>
      </c>
      <c r="AK52" s="9">
        <f t="shared" si="19"/>
        <v>106638.43749999969</v>
      </c>
      <c r="AL52" s="9">
        <f t="shared" si="19"/>
        <v>106858.09522132158</v>
      </c>
      <c r="AM52" s="9">
        <f t="shared" si="19"/>
        <v>107078.20540158475</v>
      </c>
      <c r="AN52" s="9">
        <f t="shared" si="19"/>
        <v>107298.7689727806</v>
      </c>
      <c r="AO52" s="9">
        <f t="shared" si="19"/>
        <v>107519.78686882023</v>
      </c>
      <c r="AP52" s="9">
        <f t="shared" si="19"/>
        <v>107741.26002553836</v>
      </c>
      <c r="AQ52" s="9">
        <f t="shared" ref="AQ52:AZ55" si="20">($G52*(1+$D$45)^(AQ$4-1))*AQ$48*$D52+($E52*(1+$D$45)^(AQ$4-1))*AQ$47*$D52</f>
        <v>107963.18938069751</v>
      </c>
      <c r="AR52" s="9">
        <f t="shared" si="20"/>
        <v>108185.57587399179</v>
      </c>
      <c r="AS52" s="9">
        <f t="shared" si="20"/>
        <v>108408.42044705086</v>
      </c>
      <c r="AT52" s="9">
        <f t="shared" si="20"/>
        <v>108631.72404344405</v>
      </c>
      <c r="AU52" s="9">
        <f t="shared" si="20"/>
        <v>108855.48760868429</v>
      </c>
      <c r="AV52" s="9">
        <f t="shared" si="20"/>
        <v>109079.71209023207</v>
      </c>
      <c r="AW52" s="9">
        <f t="shared" si="20"/>
        <v>109304.39843749953</v>
      </c>
      <c r="AX52" s="9">
        <f t="shared" si="20"/>
        <v>109529.54760185444</v>
      </c>
      <c r="AY52" s="9">
        <f t="shared" si="20"/>
        <v>109755.16053662419</v>
      </c>
      <c r="AZ52" s="9">
        <f t="shared" si="20"/>
        <v>109981.23819709998</v>
      </c>
      <c r="BA52" s="9">
        <f t="shared" ref="BA52:BH55" si="21">($G52*(1+$D$45)^(BA$4-1))*BA$48*$D52+($E52*(1+$D$45)^(BA$4-1))*BA$47*$D52</f>
        <v>110207.78154054054</v>
      </c>
      <c r="BB52" s="9">
        <f t="shared" si="21"/>
        <v>110434.79152617668</v>
      </c>
      <c r="BC52" s="9">
        <f t="shared" si="21"/>
        <v>110662.2691152148</v>
      </c>
      <c r="BD52" s="9">
        <f t="shared" si="21"/>
        <v>110890.21527084144</v>
      </c>
      <c r="BE52" s="9">
        <f t="shared" si="21"/>
        <v>111118.63095822698</v>
      </c>
      <c r="BF52" s="9">
        <f t="shared" si="21"/>
        <v>111347.51714452999</v>
      </c>
      <c r="BG52" s="9">
        <f t="shared" si="21"/>
        <v>111576.87479890125</v>
      </c>
      <c r="BH52" s="9">
        <f t="shared" si="21"/>
        <v>111806.70489248773</v>
      </c>
    </row>
    <row r="53" spans="1:60" x14ac:dyDescent="0.3">
      <c r="B53" s="41" t="s">
        <v>60</v>
      </c>
      <c r="C53" s="42">
        <v>750</v>
      </c>
      <c r="D53" s="19">
        <v>90</v>
      </c>
      <c r="E53" s="19">
        <v>1400</v>
      </c>
      <c r="F53" s="19">
        <v>200</v>
      </c>
      <c r="G53" s="2">
        <f t="shared" ref="G53:G55" si="22">+E53+F53</f>
        <v>1600</v>
      </c>
      <c r="H53" s="2">
        <f t="shared" ref="H53:H55" si="23">D53*E53*12</f>
        <v>1512000</v>
      </c>
      <c r="I53" s="2">
        <f t="shared" ref="I53:I55" si="24">G53*D53*12</f>
        <v>1728000</v>
      </c>
      <c r="M53" s="9">
        <f t="shared" si="17"/>
        <v>126750</v>
      </c>
      <c r="N53" s="9">
        <f t="shared" si="17"/>
        <v>127762.62912440495</v>
      </c>
      <c r="O53" s="9">
        <f t="shared" si="17"/>
        <v>128778.89215840472</v>
      </c>
      <c r="P53" s="9">
        <f t="shared" si="17"/>
        <v>129798.799776007</v>
      </c>
      <c r="Q53" s="9">
        <f t="shared" si="17"/>
        <v>130822.36267977445</v>
      </c>
      <c r="R53" s="9">
        <f t="shared" si="17"/>
        <v>131849.59160089714</v>
      </c>
      <c r="S53" s="9">
        <f t="shared" si="17"/>
        <v>132880.497299265</v>
      </c>
      <c r="T53" s="9">
        <f t="shared" si="17"/>
        <v>133915.09056354055</v>
      </c>
      <c r="U53" s="9">
        <f t="shared" si="17"/>
        <v>134953.38221123168</v>
      </c>
      <c r="V53" s="9">
        <f t="shared" si="17"/>
        <v>135995.38308876497</v>
      </c>
      <c r="W53" s="9">
        <f t="shared" si="18"/>
        <v>137041.10407155869</v>
      </c>
      <c r="X53" s="9">
        <f t="shared" si="18"/>
        <v>138090.55606409622</v>
      </c>
      <c r="Y53" s="9">
        <f t="shared" si="18"/>
        <v>139143.74999999983</v>
      </c>
      <c r="Z53" s="9">
        <f t="shared" si="18"/>
        <v>140200.69684210417</v>
      </c>
      <c r="AA53" s="9">
        <f t="shared" si="18"/>
        <v>141261.40758253058</v>
      </c>
      <c r="AB53" s="9">
        <f t="shared" si="18"/>
        <v>142325.89324276097</v>
      </c>
      <c r="AC53" s="9">
        <f t="shared" si="18"/>
        <v>143394.16487371211</v>
      </c>
      <c r="AD53" s="9">
        <f t="shared" si="18"/>
        <v>144466.23355581041</v>
      </c>
      <c r="AE53" s="9">
        <f t="shared" si="18"/>
        <v>145542.11039906618</v>
      </c>
      <c r="AF53" s="9">
        <f t="shared" si="18"/>
        <v>146621.806543149</v>
      </c>
      <c r="AG53" s="9">
        <f t="shared" si="19"/>
        <v>147705.33315746227</v>
      </c>
      <c r="AH53" s="9">
        <f t="shared" si="19"/>
        <v>148792.70144121876</v>
      </c>
      <c r="AI53" s="9">
        <f t="shared" si="19"/>
        <v>149883.922623516</v>
      </c>
      <c r="AJ53" s="9">
        <f t="shared" si="19"/>
        <v>150979.00796341168</v>
      </c>
      <c r="AK53" s="9">
        <f t="shared" si="19"/>
        <v>151289.99999999956</v>
      </c>
      <c r="AL53" s="9">
        <f t="shared" si="19"/>
        <v>151601.63262926409</v>
      </c>
      <c r="AM53" s="9">
        <f t="shared" si="19"/>
        <v>151913.90717072124</v>
      </c>
      <c r="AN53" s="9">
        <f t="shared" si="19"/>
        <v>152226.82494660499</v>
      </c>
      <c r="AO53" s="9">
        <f t="shared" si="19"/>
        <v>152540.38728187303</v>
      </c>
      <c r="AP53" s="9">
        <f t="shared" si="19"/>
        <v>152854.59550421205</v>
      </c>
      <c r="AQ53" s="9">
        <f t="shared" si="20"/>
        <v>153169.45094404378</v>
      </c>
      <c r="AR53" s="9">
        <f t="shared" si="20"/>
        <v>153484.95493453025</v>
      </c>
      <c r="AS53" s="9">
        <f t="shared" si="20"/>
        <v>153801.10881157953</v>
      </c>
      <c r="AT53" s="9">
        <f t="shared" si="20"/>
        <v>154117.91391385163</v>
      </c>
      <c r="AU53" s="9">
        <f t="shared" si="20"/>
        <v>154435.37158276388</v>
      </c>
      <c r="AV53" s="9">
        <f t="shared" si="20"/>
        <v>154753.4831624967</v>
      </c>
      <c r="AW53" s="9">
        <f t="shared" si="20"/>
        <v>155072.24999999936</v>
      </c>
      <c r="AX53" s="9">
        <f t="shared" si="20"/>
        <v>155391.67344499548</v>
      </c>
      <c r="AY53" s="9">
        <f t="shared" si="20"/>
        <v>155711.754849989</v>
      </c>
      <c r="AZ53" s="9">
        <f t="shared" si="20"/>
        <v>156032.49557026991</v>
      </c>
      <c r="BA53" s="9">
        <f t="shared" si="21"/>
        <v>156353.8969639196</v>
      </c>
      <c r="BB53" s="9">
        <f t="shared" si="21"/>
        <v>156675.96039181718</v>
      </c>
      <c r="BC53" s="9">
        <f t="shared" si="21"/>
        <v>156998.68721764465</v>
      </c>
      <c r="BD53" s="9">
        <f t="shared" si="21"/>
        <v>157322.07880789327</v>
      </c>
      <c r="BE53" s="9">
        <f t="shared" si="21"/>
        <v>157646.1365318688</v>
      </c>
      <c r="BF53" s="9">
        <f t="shared" si="21"/>
        <v>157970.86176169771</v>
      </c>
      <c r="BG53" s="9">
        <f t="shared" si="21"/>
        <v>158296.25587233278</v>
      </c>
      <c r="BH53" s="9">
        <f t="shared" si="21"/>
        <v>158622.32024155895</v>
      </c>
    </row>
    <row r="54" spans="1:60" x14ac:dyDescent="0.3">
      <c r="B54" s="41" t="s">
        <v>61</v>
      </c>
      <c r="C54" s="42">
        <v>900</v>
      </c>
      <c r="D54" s="19">
        <v>60</v>
      </c>
      <c r="E54" s="19">
        <v>1650</v>
      </c>
      <c r="F54" s="19">
        <v>200</v>
      </c>
      <c r="G54" s="2">
        <f t="shared" si="22"/>
        <v>1850</v>
      </c>
      <c r="H54" s="2">
        <f t="shared" si="23"/>
        <v>1188000</v>
      </c>
      <c r="I54" s="2">
        <f t="shared" si="24"/>
        <v>1332000</v>
      </c>
      <c r="M54" s="9">
        <f t="shared" si="17"/>
        <v>99500</v>
      </c>
      <c r="N54" s="9">
        <f t="shared" si="17"/>
        <v>100205.98362698426</v>
      </c>
      <c r="O54" s="9">
        <f t="shared" si="17"/>
        <v>100914.45350424697</v>
      </c>
      <c r="P54" s="9">
        <f t="shared" si="17"/>
        <v>101625.4168788892</v>
      </c>
      <c r="Q54" s="9">
        <f t="shared" si="17"/>
        <v>102338.88101731875</v>
      </c>
      <c r="R54" s="9">
        <f t="shared" si="17"/>
        <v>103054.85320529892</v>
      </c>
      <c r="S54" s="9">
        <f t="shared" si="17"/>
        <v>103773.34074799743</v>
      </c>
      <c r="T54" s="9">
        <f t="shared" si="17"/>
        <v>104494.35097003543</v>
      </c>
      <c r="U54" s="9">
        <f t="shared" si="17"/>
        <v>105217.89121553657</v>
      </c>
      <c r="V54" s="9">
        <f t="shared" si="17"/>
        <v>105943.96884817648</v>
      </c>
      <c r="W54" s="9">
        <f t="shared" si="18"/>
        <v>106672.5912512319</v>
      </c>
      <c r="X54" s="9">
        <f t="shared" si="18"/>
        <v>107403.7658276304</v>
      </c>
      <c r="Y54" s="9">
        <f t="shared" si="18"/>
        <v>108137.49999999985</v>
      </c>
      <c r="Z54" s="9">
        <f t="shared" si="18"/>
        <v>108873.80121071824</v>
      </c>
      <c r="AA54" s="9">
        <f t="shared" si="18"/>
        <v>109612.67692196363</v>
      </c>
      <c r="AB54" s="9">
        <f t="shared" si="18"/>
        <v>110354.13461576396</v>
      </c>
      <c r="AC54" s="9">
        <f t="shared" si="18"/>
        <v>111098.18179404724</v>
      </c>
      <c r="AD54" s="9">
        <f t="shared" si="18"/>
        <v>111844.82597869191</v>
      </c>
      <c r="AE54" s="9">
        <f t="shared" si="18"/>
        <v>112594.07471157706</v>
      </c>
      <c r="AF54" s="9">
        <f t="shared" si="18"/>
        <v>113345.9355546329</v>
      </c>
      <c r="AG54" s="9">
        <f t="shared" si="19"/>
        <v>114100.4160898915</v>
      </c>
      <c r="AH54" s="9">
        <f t="shared" si="19"/>
        <v>114857.52391953731</v>
      </c>
      <c r="AI54" s="9">
        <f t="shared" si="19"/>
        <v>115617.26666595823</v>
      </c>
      <c r="AJ54" s="9">
        <f t="shared" si="19"/>
        <v>116379.6519717965</v>
      </c>
      <c r="AK54" s="9">
        <f t="shared" si="19"/>
        <v>116619.37499999968</v>
      </c>
      <c r="AL54" s="9">
        <f t="shared" si="19"/>
        <v>116859.59181839108</v>
      </c>
      <c r="AM54" s="9">
        <f t="shared" si="19"/>
        <v>117100.30344409762</v>
      </c>
      <c r="AN54" s="9">
        <f t="shared" si="19"/>
        <v>117341.51089634135</v>
      </c>
      <c r="AO54" s="9">
        <f t="shared" si="19"/>
        <v>117583.21519644379</v>
      </c>
      <c r="AP54" s="9">
        <f t="shared" si="19"/>
        <v>117825.41736783013</v>
      </c>
      <c r="AQ54" s="9">
        <f t="shared" si="20"/>
        <v>118068.11843603374</v>
      </c>
      <c r="AR54" s="9">
        <f t="shared" si="20"/>
        <v>118311.3194287004</v>
      </c>
      <c r="AS54" s="9">
        <f t="shared" si="20"/>
        <v>118555.02137559257</v>
      </c>
      <c r="AT54" s="9">
        <f t="shared" si="20"/>
        <v>118799.22530859397</v>
      </c>
      <c r="AU54" s="9">
        <f t="shared" si="20"/>
        <v>119043.93226171384</v>
      </c>
      <c r="AV54" s="9">
        <f t="shared" si="20"/>
        <v>119289.14327109122</v>
      </c>
      <c r="AW54" s="9">
        <f t="shared" si="20"/>
        <v>119534.85937499949</v>
      </c>
      <c r="AX54" s="9">
        <f t="shared" si="20"/>
        <v>119781.08161385066</v>
      </c>
      <c r="AY54" s="9">
        <f t="shared" si="20"/>
        <v>120027.81103019985</v>
      </c>
      <c r="AZ54" s="9">
        <f t="shared" si="20"/>
        <v>120275.04866874973</v>
      </c>
      <c r="BA54" s="9">
        <f t="shared" si="21"/>
        <v>120522.79557635469</v>
      </c>
      <c r="BB54" s="9">
        <f t="shared" si="21"/>
        <v>120771.05280202573</v>
      </c>
      <c r="BC54" s="9">
        <f t="shared" si="21"/>
        <v>121019.82139693441</v>
      </c>
      <c r="BD54" s="9">
        <f t="shared" si="21"/>
        <v>121269.10241441771</v>
      </c>
      <c r="BE54" s="9">
        <f t="shared" si="21"/>
        <v>121518.89690998221</v>
      </c>
      <c r="BF54" s="9">
        <f t="shared" si="21"/>
        <v>121769.20594130865</v>
      </c>
      <c r="BG54" s="9">
        <f t="shared" si="21"/>
        <v>122020.03056825652</v>
      </c>
      <c r="BH54" s="9">
        <f t="shared" si="21"/>
        <v>122271.37185286835</v>
      </c>
    </row>
    <row r="55" spans="1:60" ht="16.2" x14ac:dyDescent="0.45">
      <c r="B55" s="41" t="s">
        <v>62</v>
      </c>
      <c r="C55" s="43">
        <v>1150</v>
      </c>
      <c r="D55" s="44">
        <v>20</v>
      </c>
      <c r="E55" s="44">
        <v>2000</v>
      </c>
      <c r="F55" s="44">
        <v>200</v>
      </c>
      <c r="G55" s="39">
        <f t="shared" si="22"/>
        <v>2200</v>
      </c>
      <c r="H55" s="39">
        <f t="shared" si="23"/>
        <v>480000</v>
      </c>
      <c r="I55" s="39">
        <f t="shared" si="24"/>
        <v>528000</v>
      </c>
      <c r="M55" s="32">
        <f t="shared" si="17"/>
        <v>40166.666666666664</v>
      </c>
      <c r="N55" s="32">
        <f t="shared" si="17"/>
        <v>40416.413396216987</v>
      </c>
      <c r="O55" s="32">
        <f t="shared" si="17"/>
        <v>40667.018576338334</v>
      </c>
      <c r="P55" s="32">
        <f t="shared" si="17"/>
        <v>40918.484683909184</v>
      </c>
      <c r="Q55" s="32">
        <f t="shared" si="17"/>
        <v>41170.814202369613</v>
      </c>
      <c r="R55" s="32">
        <f t="shared" si="17"/>
        <v>41424.009621737794</v>
      </c>
      <c r="S55" s="32">
        <f t="shared" si="17"/>
        <v>41678.073438626605</v>
      </c>
      <c r="T55" s="32">
        <f t="shared" si="17"/>
        <v>41933.00815626017</v>
      </c>
      <c r="U55" s="32">
        <f t="shared" si="17"/>
        <v>42188.816284490509</v>
      </c>
      <c r="V55" s="32">
        <f t="shared" si="17"/>
        <v>42445.500339814287</v>
      </c>
      <c r="W55" s="32">
        <f t="shared" si="18"/>
        <v>42703.06284538949</v>
      </c>
      <c r="X55" s="32">
        <f t="shared" si="18"/>
        <v>42961.506331052158</v>
      </c>
      <c r="Y55" s="32">
        <f t="shared" si="18"/>
        <v>43220.83333333327</v>
      </c>
      <c r="Z55" s="32">
        <f t="shared" si="18"/>
        <v>43481.046395475525</v>
      </c>
      <c r="AA55" s="32">
        <f t="shared" si="18"/>
        <v>43742.148067450275</v>
      </c>
      <c r="AB55" s="32">
        <f t="shared" si="18"/>
        <v>44004.140905974404</v>
      </c>
      <c r="AC55" s="32">
        <f t="shared" si="18"/>
        <v>44267.027474527349</v>
      </c>
      <c r="AD55" s="32">
        <f t="shared" si="18"/>
        <v>44530.810343368081</v>
      </c>
      <c r="AE55" s="32">
        <f t="shared" si="18"/>
        <v>44795.492089552157</v>
      </c>
      <c r="AF55" s="32">
        <f t="shared" si="18"/>
        <v>45061.07529694886</v>
      </c>
      <c r="AG55" s="32">
        <f t="shared" si="19"/>
        <v>45327.562556258265</v>
      </c>
      <c r="AH55" s="32">
        <f t="shared" si="19"/>
        <v>45594.956465028445</v>
      </c>
      <c r="AI55" s="32">
        <f t="shared" si="19"/>
        <v>45863.259627672727</v>
      </c>
      <c r="AJ55" s="32">
        <f t="shared" si="19"/>
        <v>46132.474655486905</v>
      </c>
      <c r="AK55" s="32">
        <f t="shared" si="19"/>
        <v>46227.499999999869</v>
      </c>
      <c r="AL55" s="32">
        <f t="shared" si="19"/>
        <v>46322.72108116404</v>
      </c>
      <c r="AM55" s="32">
        <f t="shared" si="19"/>
        <v>46418.138302164814</v>
      </c>
      <c r="AN55" s="32">
        <f t="shared" si="19"/>
        <v>46513.752067018198</v>
      </c>
      <c r="AO55" s="32">
        <f t="shared" si="19"/>
        <v>46609.562780572312</v>
      </c>
      <c r="AP55" s="32">
        <f t="shared" si="19"/>
        <v>46705.57084850924</v>
      </c>
      <c r="AQ55" s="32">
        <f t="shared" si="20"/>
        <v>46801.776677346708</v>
      </c>
      <c r="AR55" s="32">
        <f t="shared" si="20"/>
        <v>46898.180674439798</v>
      </c>
      <c r="AS55" s="32">
        <f t="shared" si="20"/>
        <v>46994.783247982639</v>
      </c>
      <c r="AT55" s="32">
        <f t="shared" si="20"/>
        <v>47091.584807010222</v>
      </c>
      <c r="AU55" s="32">
        <f t="shared" si="20"/>
        <v>47188.585761400085</v>
      </c>
      <c r="AV55" s="32">
        <f t="shared" si="20"/>
        <v>47285.786521873997</v>
      </c>
      <c r="AW55" s="32">
        <f t="shared" si="20"/>
        <v>47383.187499999804</v>
      </c>
      <c r="AX55" s="32">
        <f t="shared" si="20"/>
        <v>47480.789108193057</v>
      </c>
      <c r="AY55" s="32">
        <f t="shared" si="20"/>
        <v>47578.591759718867</v>
      </c>
      <c r="AZ55" s="32">
        <f t="shared" si="20"/>
        <v>47676.595868693585</v>
      </c>
      <c r="BA55" s="32">
        <f t="shared" si="21"/>
        <v>47774.801850086544</v>
      </c>
      <c r="BB55" s="32">
        <f t="shared" si="21"/>
        <v>47873.210119721909</v>
      </c>
      <c r="BC55" s="32">
        <f t="shared" si="21"/>
        <v>47971.821094280313</v>
      </c>
      <c r="BD55" s="32">
        <f t="shared" si="21"/>
        <v>48070.635191300717</v>
      </c>
      <c r="BE55" s="32">
        <f t="shared" si="21"/>
        <v>48169.652829182145</v>
      </c>
      <c r="BF55" s="32">
        <f t="shared" si="21"/>
        <v>48268.874427185423</v>
      </c>
      <c r="BG55" s="32">
        <f t="shared" si="21"/>
        <v>48368.300405435017</v>
      </c>
      <c r="BH55" s="32">
        <f t="shared" si="21"/>
        <v>48467.931184920781</v>
      </c>
    </row>
    <row r="56" spans="1:60" x14ac:dyDescent="0.3">
      <c r="B56" s="46" t="s">
        <v>64</v>
      </c>
      <c r="C56" s="45">
        <f>SUMPRODUCT(C52:C55,$D$52:$D$55)/$D$56</f>
        <v>791.66666666666663</v>
      </c>
      <c r="D56" s="2">
        <f>SUM(D52:D55)</f>
        <v>240</v>
      </c>
      <c r="E56" s="2">
        <f t="shared" ref="E56:G56" si="25">SUMPRODUCT(E52:E55,$D$52:$D$55)/$D$56</f>
        <v>1468.75</v>
      </c>
      <c r="F56" s="2">
        <f t="shared" si="25"/>
        <v>200</v>
      </c>
      <c r="G56" s="2">
        <f t="shared" si="25"/>
        <v>1668.75</v>
      </c>
      <c r="H56" s="2">
        <f>SUM(H52:H55)</f>
        <v>4230000</v>
      </c>
      <c r="I56" s="2">
        <f>SUM(I52:I55)</f>
        <v>4806000</v>
      </c>
      <c r="M56" s="9">
        <f>SUM(M52:M55)</f>
        <v>354500</v>
      </c>
      <c r="N56" s="9">
        <f t="shared" ref="N56:BH56" si="26">SUM(N52:N55)</f>
        <v>357234.33163019893</v>
      </c>
      <c r="O56" s="9">
        <f t="shared" si="26"/>
        <v>359978.42369425413</v>
      </c>
      <c r="P56" s="9">
        <f t="shared" si="26"/>
        <v>362732.3048003916</v>
      </c>
      <c r="Q56" s="9">
        <f t="shared" si="26"/>
        <v>365496.00363328122</v>
      </c>
      <c r="R56" s="9">
        <f t="shared" si="26"/>
        <v>368269.54895422998</v>
      </c>
      <c r="S56" s="9">
        <f t="shared" si="26"/>
        <v>371052.96960137616</v>
      </c>
      <c r="T56" s="9">
        <f t="shared" si="26"/>
        <v>373846.29448988405</v>
      </c>
      <c r="U56" s="9">
        <f t="shared" si="26"/>
        <v>376649.55261213816</v>
      </c>
      <c r="V56" s="9">
        <f t="shared" si="26"/>
        <v>379462.77303793974</v>
      </c>
      <c r="W56" s="9">
        <f t="shared" si="26"/>
        <v>382285.9849147019</v>
      </c>
      <c r="X56" s="9">
        <f t="shared" si="26"/>
        <v>385119.21746764611</v>
      </c>
      <c r="Y56" s="9">
        <f t="shared" si="26"/>
        <v>387962.49999999948</v>
      </c>
      <c r="Z56" s="9">
        <f t="shared" si="26"/>
        <v>390815.86189319141</v>
      </c>
      <c r="AA56" s="9">
        <f t="shared" si="26"/>
        <v>393679.33260705241</v>
      </c>
      <c r="AB56" s="9">
        <f t="shared" si="26"/>
        <v>396552.94168001157</v>
      </c>
      <c r="AC56" s="9">
        <f t="shared" si="26"/>
        <v>399436.71872929542</v>
      </c>
      <c r="AD56" s="9">
        <f t="shared" si="26"/>
        <v>402330.69345112791</v>
      </c>
      <c r="AE56" s="9">
        <f t="shared" si="26"/>
        <v>405234.89562092937</v>
      </c>
      <c r="AF56" s="9">
        <f t="shared" si="26"/>
        <v>408149.35509351757</v>
      </c>
      <c r="AG56" s="9">
        <f t="shared" si="26"/>
        <v>411074.10180330777</v>
      </c>
      <c r="AH56" s="9">
        <f t="shared" si="26"/>
        <v>414009.16576451401</v>
      </c>
      <c r="AI56" s="9">
        <f t="shared" si="26"/>
        <v>416954.57707135164</v>
      </c>
      <c r="AJ56" s="9">
        <f t="shared" si="26"/>
        <v>419910.36589823873</v>
      </c>
      <c r="AK56" s="9">
        <f t="shared" si="26"/>
        <v>420775.31249999884</v>
      </c>
      <c r="AL56" s="9">
        <f t="shared" si="26"/>
        <v>421642.04075014073</v>
      </c>
      <c r="AM56" s="9">
        <f t="shared" si="26"/>
        <v>422510.55431856844</v>
      </c>
      <c r="AN56" s="9">
        <f t="shared" si="26"/>
        <v>423380.85688274511</v>
      </c>
      <c r="AO56" s="9">
        <f t="shared" si="26"/>
        <v>424252.9521277094</v>
      </c>
      <c r="AP56" s="9">
        <f t="shared" si="26"/>
        <v>425126.84374608978</v>
      </c>
      <c r="AQ56" s="9">
        <f t="shared" si="26"/>
        <v>426002.53543812176</v>
      </c>
      <c r="AR56" s="9">
        <f t="shared" si="26"/>
        <v>426880.03091166227</v>
      </c>
      <c r="AS56" s="9">
        <f t="shared" si="26"/>
        <v>427759.33388220554</v>
      </c>
      <c r="AT56" s="9">
        <f t="shared" si="26"/>
        <v>428640.44807289995</v>
      </c>
      <c r="AU56" s="9">
        <f t="shared" si="26"/>
        <v>429523.37721456215</v>
      </c>
      <c r="AV56" s="9">
        <f t="shared" si="26"/>
        <v>430408.125045694</v>
      </c>
      <c r="AW56" s="9">
        <f t="shared" si="26"/>
        <v>431294.6953124982</v>
      </c>
      <c r="AX56" s="9">
        <f t="shared" si="26"/>
        <v>432183.09176889365</v>
      </c>
      <c r="AY56" s="9">
        <f t="shared" si="26"/>
        <v>433073.31817653193</v>
      </c>
      <c r="AZ56" s="9">
        <f t="shared" si="26"/>
        <v>433965.37830481323</v>
      </c>
      <c r="BA56" s="9">
        <f t="shared" si="26"/>
        <v>434859.27593090141</v>
      </c>
      <c r="BB56" s="9">
        <f t="shared" si="26"/>
        <v>435755.01483974152</v>
      </c>
      <c r="BC56" s="9">
        <f t="shared" si="26"/>
        <v>436652.59882407414</v>
      </c>
      <c r="BD56" s="9">
        <f t="shared" si="26"/>
        <v>437552.03168445313</v>
      </c>
      <c r="BE56" s="9">
        <f t="shared" si="26"/>
        <v>438453.31722926017</v>
      </c>
      <c r="BF56" s="9">
        <f t="shared" si="26"/>
        <v>439356.4592747218</v>
      </c>
      <c r="BG56" s="9">
        <f t="shared" si="26"/>
        <v>440261.46164492558</v>
      </c>
      <c r="BH56" s="9">
        <f t="shared" si="26"/>
        <v>441168.3281718358</v>
      </c>
    </row>
    <row r="57" spans="1:60" x14ac:dyDescent="0.3">
      <c r="B57" s="47" t="s">
        <v>65</v>
      </c>
      <c r="H57" s="19">
        <v>0</v>
      </c>
      <c r="I57" s="19">
        <v>0</v>
      </c>
      <c r="M57" s="9">
        <f t="shared" ref="M57:BH57" si="27">-(M46/Units)*M56</f>
        <v>-14770.833333333332</v>
      </c>
      <c r="N57" s="9">
        <f t="shared" si="27"/>
        <v>-14884.763817924955</v>
      </c>
      <c r="O57" s="9">
        <f t="shared" si="27"/>
        <v>-14999.100987260588</v>
      </c>
      <c r="P57" s="9">
        <f t="shared" si="27"/>
        <v>-15113.84603334965</v>
      </c>
      <c r="Q57" s="9">
        <f t="shared" si="27"/>
        <v>-15229.000151386717</v>
      </c>
      <c r="R57" s="9">
        <f t="shared" si="27"/>
        <v>-15344.564539759582</v>
      </c>
      <c r="S57" s="9">
        <f t="shared" si="27"/>
        <v>-15460.54040005734</v>
      </c>
      <c r="T57" s="9">
        <f t="shared" si="27"/>
        <v>-15576.928937078501</v>
      </c>
      <c r="U57" s="9">
        <f t="shared" si="27"/>
        <v>-15693.73135883909</v>
      </c>
      <c r="V57" s="9">
        <f t="shared" si="27"/>
        <v>-15810.948876580822</v>
      </c>
      <c r="W57" s="9">
        <f t="shared" si="27"/>
        <v>-15928.582704779245</v>
      </c>
      <c r="X57" s="9">
        <f t="shared" si="27"/>
        <v>-16046.634061151921</v>
      </c>
      <c r="Y57" s="9">
        <f t="shared" si="27"/>
        <v>-16165.104166666644</v>
      </c>
      <c r="Z57" s="9">
        <f t="shared" si="27"/>
        <v>-16283.994245549642</v>
      </c>
      <c r="AA57" s="9">
        <f t="shared" si="27"/>
        <v>-16403.30552529385</v>
      </c>
      <c r="AB57" s="9">
        <f t="shared" si="27"/>
        <v>-16523.039236667148</v>
      </c>
      <c r="AC57" s="9">
        <f t="shared" si="27"/>
        <v>-16643.19661372064</v>
      </c>
      <c r="AD57" s="9">
        <f t="shared" si="27"/>
        <v>-16763.778893796996</v>
      </c>
      <c r="AE57" s="9">
        <f t="shared" si="27"/>
        <v>-16884.787317538721</v>
      </c>
      <c r="AF57" s="9">
        <f t="shared" si="27"/>
        <v>-17006.223128896563</v>
      </c>
      <c r="AG57" s="9">
        <f t="shared" si="27"/>
        <v>-17128.087575137823</v>
      </c>
      <c r="AH57" s="9">
        <f t="shared" si="27"/>
        <v>-17250.381906854749</v>
      </c>
      <c r="AI57" s="9">
        <f t="shared" si="27"/>
        <v>-17373.107377972985</v>
      </c>
      <c r="AJ57" s="9">
        <f t="shared" si="27"/>
        <v>-17496.265245759947</v>
      </c>
      <c r="AK57" s="9">
        <f t="shared" si="27"/>
        <v>0</v>
      </c>
      <c r="AL57" s="9">
        <f t="shared" si="27"/>
        <v>0</v>
      </c>
      <c r="AM57" s="9">
        <f t="shared" si="27"/>
        <v>0</v>
      </c>
      <c r="AN57" s="9">
        <f t="shared" si="27"/>
        <v>0</v>
      </c>
      <c r="AO57" s="9">
        <f t="shared" si="27"/>
        <v>0</v>
      </c>
      <c r="AP57" s="9">
        <f t="shared" si="27"/>
        <v>0</v>
      </c>
      <c r="AQ57" s="9">
        <f t="shared" si="27"/>
        <v>0</v>
      </c>
      <c r="AR57" s="9">
        <f t="shared" si="27"/>
        <v>0</v>
      </c>
      <c r="AS57" s="9">
        <f t="shared" si="27"/>
        <v>0</v>
      </c>
      <c r="AT57" s="9">
        <f t="shared" si="27"/>
        <v>0</v>
      </c>
      <c r="AU57" s="9">
        <f t="shared" si="27"/>
        <v>0</v>
      </c>
      <c r="AV57" s="9">
        <f t="shared" si="27"/>
        <v>0</v>
      </c>
      <c r="AW57" s="9">
        <f t="shared" si="27"/>
        <v>0</v>
      </c>
      <c r="AX57" s="9">
        <f t="shared" si="27"/>
        <v>0</v>
      </c>
      <c r="AY57" s="9">
        <f t="shared" si="27"/>
        <v>0</v>
      </c>
      <c r="AZ57" s="9">
        <f t="shared" si="27"/>
        <v>0</v>
      </c>
      <c r="BA57" s="9">
        <f t="shared" si="27"/>
        <v>0</v>
      </c>
      <c r="BB57" s="9">
        <f t="shared" si="27"/>
        <v>0</v>
      </c>
      <c r="BC57" s="9">
        <f t="shared" si="27"/>
        <v>0</v>
      </c>
      <c r="BD57" s="9">
        <f t="shared" si="27"/>
        <v>0</v>
      </c>
      <c r="BE57" s="9">
        <f t="shared" si="27"/>
        <v>0</v>
      </c>
      <c r="BF57" s="9">
        <f t="shared" si="27"/>
        <v>0</v>
      </c>
      <c r="BG57" s="9">
        <f t="shared" si="27"/>
        <v>0</v>
      </c>
      <c r="BH57" s="9">
        <f t="shared" si="27"/>
        <v>0</v>
      </c>
    </row>
    <row r="58" spans="1:60" ht="16.2" x14ac:dyDescent="0.45">
      <c r="B58" s="47" t="s">
        <v>66</v>
      </c>
      <c r="E58" s="24">
        <v>7.4999999999999997E-3</v>
      </c>
      <c r="H58" s="22">
        <f>-$E$58*H56</f>
        <v>-31725</v>
      </c>
      <c r="I58" s="22">
        <f>-$E$58*I56</f>
        <v>-36045</v>
      </c>
      <c r="M58" s="32">
        <f>-$E$58*M56</f>
        <v>-2658.75</v>
      </c>
      <c r="N58" s="32">
        <f t="shared" ref="N58:BH58" si="28">-$E$58*N56</f>
        <v>-2679.2574872264918</v>
      </c>
      <c r="O58" s="32">
        <f t="shared" si="28"/>
        <v>-2699.8381777069058</v>
      </c>
      <c r="P58" s="32">
        <f t="shared" si="28"/>
        <v>-2720.4922860029369</v>
      </c>
      <c r="Q58" s="32">
        <f t="shared" si="28"/>
        <v>-2741.2200272496088</v>
      </c>
      <c r="R58" s="32">
        <f t="shared" si="28"/>
        <v>-2762.0216171567249</v>
      </c>
      <c r="S58" s="32">
        <f t="shared" si="28"/>
        <v>-2782.8972720103211</v>
      </c>
      <c r="T58" s="32">
        <f t="shared" si="28"/>
        <v>-2803.8472086741303</v>
      </c>
      <c r="U58" s="32">
        <f t="shared" si="28"/>
        <v>-2824.8716445910359</v>
      </c>
      <c r="V58" s="32">
        <f t="shared" si="28"/>
        <v>-2845.9707977845478</v>
      </c>
      <c r="W58" s="32">
        <f t="shared" si="28"/>
        <v>-2867.1448868602643</v>
      </c>
      <c r="X58" s="32">
        <f t="shared" si="28"/>
        <v>-2888.3941310073455</v>
      </c>
      <c r="Y58" s="32">
        <f t="shared" si="28"/>
        <v>-2909.7187499999959</v>
      </c>
      <c r="Z58" s="32">
        <f t="shared" si="28"/>
        <v>-2931.1189641989354</v>
      </c>
      <c r="AA58" s="32">
        <f t="shared" si="28"/>
        <v>-2952.5949945528928</v>
      </c>
      <c r="AB58" s="32">
        <f t="shared" si="28"/>
        <v>-2974.1470626000869</v>
      </c>
      <c r="AC58" s="32">
        <f t="shared" si="28"/>
        <v>-2995.7753904697156</v>
      </c>
      <c r="AD58" s="32">
        <f t="shared" si="28"/>
        <v>-3017.480200883459</v>
      </c>
      <c r="AE58" s="32">
        <f t="shared" si="28"/>
        <v>-3039.26171715697</v>
      </c>
      <c r="AF58" s="32">
        <f t="shared" si="28"/>
        <v>-3061.1201632013817</v>
      </c>
      <c r="AG58" s="32">
        <f t="shared" si="28"/>
        <v>-3083.0557635248083</v>
      </c>
      <c r="AH58" s="32">
        <f t="shared" si="28"/>
        <v>-3105.068743233855</v>
      </c>
      <c r="AI58" s="32">
        <f t="shared" si="28"/>
        <v>-3127.1593280351372</v>
      </c>
      <c r="AJ58" s="32">
        <f t="shared" si="28"/>
        <v>-3149.3277442367903</v>
      </c>
      <c r="AK58" s="32">
        <f t="shared" si="28"/>
        <v>-3155.8148437499913</v>
      </c>
      <c r="AL58" s="32">
        <f t="shared" si="28"/>
        <v>-3162.3153056260553</v>
      </c>
      <c r="AM58" s="32">
        <f t="shared" si="28"/>
        <v>-3168.8291573892629</v>
      </c>
      <c r="AN58" s="32">
        <f t="shared" si="28"/>
        <v>-3175.3564266205881</v>
      </c>
      <c r="AO58" s="32">
        <f t="shared" si="28"/>
        <v>-3181.8971409578203</v>
      </c>
      <c r="AP58" s="32">
        <f t="shared" si="28"/>
        <v>-3188.4513280956735</v>
      </c>
      <c r="AQ58" s="32">
        <f t="shared" si="28"/>
        <v>-3195.0190157859133</v>
      </c>
      <c r="AR58" s="32">
        <f t="shared" si="28"/>
        <v>-3201.6002318374667</v>
      </c>
      <c r="AS58" s="32">
        <f t="shared" si="28"/>
        <v>-3208.1950041165414</v>
      </c>
      <c r="AT58" s="32">
        <f t="shared" si="28"/>
        <v>-3214.8033605467494</v>
      </c>
      <c r="AU58" s="32">
        <f t="shared" si="28"/>
        <v>-3221.4253291092159</v>
      </c>
      <c r="AV58" s="32">
        <f t="shared" si="28"/>
        <v>-3228.0609378427048</v>
      </c>
      <c r="AW58" s="32">
        <f t="shared" si="28"/>
        <v>-3234.7102148437361</v>
      </c>
      <c r="AX58" s="32">
        <f t="shared" si="28"/>
        <v>-3241.3731882667021</v>
      </c>
      <c r="AY58" s="32">
        <f t="shared" si="28"/>
        <v>-3248.0498863239895</v>
      </c>
      <c r="AZ58" s="32">
        <f t="shared" si="28"/>
        <v>-3254.740337286099</v>
      </c>
      <c r="BA58" s="32">
        <f t="shared" si="28"/>
        <v>-3261.4445694817605</v>
      </c>
      <c r="BB58" s="32">
        <f t="shared" si="28"/>
        <v>-3268.1626112980612</v>
      </c>
      <c r="BC58" s="32">
        <f t="shared" si="28"/>
        <v>-3274.8944911805561</v>
      </c>
      <c r="BD58" s="32">
        <f t="shared" si="28"/>
        <v>-3281.6402376333986</v>
      </c>
      <c r="BE58" s="32">
        <f t="shared" si="28"/>
        <v>-3288.3998792194511</v>
      </c>
      <c r="BF58" s="32">
        <f t="shared" si="28"/>
        <v>-3295.1734445604134</v>
      </c>
      <c r="BG58" s="32">
        <f t="shared" si="28"/>
        <v>-3301.960962336942</v>
      </c>
      <c r="BH58" s="32">
        <f t="shared" si="28"/>
        <v>-3308.7624612887685</v>
      </c>
    </row>
    <row r="59" spans="1:60" x14ac:dyDescent="0.3">
      <c r="B59" t="s">
        <v>67</v>
      </c>
      <c r="H59" s="2">
        <f>SUM(H56:H58)</f>
        <v>4198275</v>
      </c>
      <c r="I59" s="2">
        <f>SUM(I56:I58)</f>
        <v>4769955</v>
      </c>
      <c r="M59" s="9">
        <f>SUM(M56:M58)</f>
        <v>337070.41666666669</v>
      </c>
      <c r="N59" s="9">
        <f t="shared" ref="N59:BH59" si="29">SUM(N56:N58)</f>
        <v>339670.31032504747</v>
      </c>
      <c r="O59" s="9">
        <f t="shared" si="29"/>
        <v>342279.48452928662</v>
      </c>
      <c r="P59" s="9">
        <f t="shared" si="29"/>
        <v>344897.96648103901</v>
      </c>
      <c r="Q59" s="9">
        <f t="shared" si="29"/>
        <v>347525.7834546449</v>
      </c>
      <c r="R59" s="9">
        <f t="shared" si="29"/>
        <v>350162.96279731364</v>
      </c>
      <c r="S59" s="9">
        <f t="shared" si="29"/>
        <v>352809.53192930849</v>
      </c>
      <c r="T59" s="9">
        <f t="shared" si="29"/>
        <v>355465.51834413141</v>
      </c>
      <c r="U59" s="9">
        <f t="shared" si="29"/>
        <v>358130.94960870803</v>
      </c>
      <c r="V59" s="9">
        <f t="shared" si="29"/>
        <v>360805.85336357437</v>
      </c>
      <c r="W59" s="9">
        <f t="shared" si="29"/>
        <v>363490.2573230624</v>
      </c>
      <c r="X59" s="9">
        <f t="shared" si="29"/>
        <v>366184.1892754868</v>
      </c>
      <c r="Y59" s="9">
        <f t="shared" si="29"/>
        <v>368887.67708333285</v>
      </c>
      <c r="Z59" s="9">
        <f t="shared" si="29"/>
        <v>371600.74868344283</v>
      </c>
      <c r="AA59" s="9">
        <f t="shared" si="29"/>
        <v>374323.43208720564</v>
      </c>
      <c r="AB59" s="9">
        <f t="shared" si="29"/>
        <v>377055.75538074435</v>
      </c>
      <c r="AC59" s="9">
        <f t="shared" si="29"/>
        <v>379797.7467251051</v>
      </c>
      <c r="AD59" s="9">
        <f t="shared" si="29"/>
        <v>382549.43435644743</v>
      </c>
      <c r="AE59" s="9">
        <f t="shared" si="29"/>
        <v>385310.8465862337</v>
      </c>
      <c r="AF59" s="9">
        <f t="shared" si="29"/>
        <v>388082.01180141966</v>
      </c>
      <c r="AG59" s="9">
        <f t="shared" si="29"/>
        <v>390862.95846464514</v>
      </c>
      <c r="AH59" s="9">
        <f t="shared" si="29"/>
        <v>393653.7151144254</v>
      </c>
      <c r="AI59" s="9">
        <f t="shared" si="29"/>
        <v>396454.31036534352</v>
      </c>
      <c r="AJ59" s="9">
        <f t="shared" si="29"/>
        <v>399264.77290824195</v>
      </c>
      <c r="AK59" s="9">
        <f t="shared" si="29"/>
        <v>417619.49765624886</v>
      </c>
      <c r="AL59" s="9">
        <f t="shared" si="29"/>
        <v>418479.72544451465</v>
      </c>
      <c r="AM59" s="9">
        <f t="shared" si="29"/>
        <v>419341.7251611792</v>
      </c>
      <c r="AN59" s="9">
        <f t="shared" si="29"/>
        <v>420205.50045612454</v>
      </c>
      <c r="AO59" s="9">
        <f t="shared" si="29"/>
        <v>421071.05498675158</v>
      </c>
      <c r="AP59" s="9">
        <f t="shared" si="29"/>
        <v>421938.3924179941</v>
      </c>
      <c r="AQ59" s="9">
        <f t="shared" si="29"/>
        <v>422807.51642233587</v>
      </c>
      <c r="AR59" s="9">
        <f t="shared" si="29"/>
        <v>423678.43067982479</v>
      </c>
      <c r="AS59" s="9">
        <f t="shared" si="29"/>
        <v>424551.13887808897</v>
      </c>
      <c r="AT59" s="9">
        <f t="shared" si="29"/>
        <v>425425.64471235318</v>
      </c>
      <c r="AU59" s="9">
        <f t="shared" si="29"/>
        <v>426301.95188545296</v>
      </c>
      <c r="AV59" s="9">
        <f t="shared" si="29"/>
        <v>427180.0641078513</v>
      </c>
      <c r="AW59" s="9">
        <f t="shared" si="29"/>
        <v>428059.98509765445</v>
      </c>
      <c r="AX59" s="9">
        <f t="shared" si="29"/>
        <v>428941.71858062694</v>
      </c>
      <c r="AY59" s="9">
        <f t="shared" si="29"/>
        <v>429825.26829020795</v>
      </c>
      <c r="AZ59" s="9">
        <f t="shared" si="29"/>
        <v>430710.63796752715</v>
      </c>
      <c r="BA59" s="9">
        <f t="shared" si="29"/>
        <v>431597.83136141964</v>
      </c>
      <c r="BB59" s="9">
        <f t="shared" si="29"/>
        <v>432486.85222844343</v>
      </c>
      <c r="BC59" s="9">
        <f t="shared" si="29"/>
        <v>433377.7043328936</v>
      </c>
      <c r="BD59" s="9">
        <f t="shared" si="29"/>
        <v>434270.39144681976</v>
      </c>
      <c r="BE59" s="9">
        <f t="shared" si="29"/>
        <v>435164.91735004069</v>
      </c>
      <c r="BF59" s="9">
        <f t="shared" si="29"/>
        <v>436061.28583016136</v>
      </c>
      <c r="BG59" s="9">
        <f t="shared" si="29"/>
        <v>436959.50068258867</v>
      </c>
      <c r="BH59" s="9">
        <f t="shared" si="29"/>
        <v>437859.56571054703</v>
      </c>
    </row>
    <row r="60" spans="1:60" x14ac:dyDescent="0.3">
      <c r="B60" s="21" t="s">
        <v>68</v>
      </c>
      <c r="E60" s="48">
        <v>50</v>
      </c>
      <c r="F60" s="49" t="s">
        <v>71</v>
      </c>
      <c r="H60" s="2">
        <f>$E$60*$I$7*12</f>
        <v>66000</v>
      </c>
      <c r="I60" s="2">
        <f t="shared" ref="I60" si="30">$E$60*$I$7*12</f>
        <v>66000</v>
      </c>
      <c r="M60" s="9">
        <f>$E60*(1+$E$46)^(M2-1)*$I$7</f>
        <v>5500</v>
      </c>
      <c r="N60" s="9">
        <f t="shared" ref="N60:BH60" si="31">$E60*(1+$E$46)^(N2-1)*$I$7</f>
        <v>5500</v>
      </c>
      <c r="O60" s="9">
        <f t="shared" si="31"/>
        <v>5500</v>
      </c>
      <c r="P60" s="9">
        <f t="shared" si="31"/>
        <v>5500</v>
      </c>
      <c r="Q60" s="9">
        <f t="shared" si="31"/>
        <v>5500</v>
      </c>
      <c r="R60" s="9">
        <f t="shared" si="31"/>
        <v>5500</v>
      </c>
      <c r="S60" s="9">
        <f t="shared" si="31"/>
        <v>5500</v>
      </c>
      <c r="T60" s="9">
        <f t="shared" si="31"/>
        <v>5500</v>
      </c>
      <c r="U60" s="9">
        <f t="shared" si="31"/>
        <v>5500</v>
      </c>
      <c r="V60" s="9">
        <f t="shared" si="31"/>
        <v>5500</v>
      </c>
      <c r="W60" s="9">
        <f t="shared" si="31"/>
        <v>5500</v>
      </c>
      <c r="X60" s="9">
        <f t="shared" si="31"/>
        <v>5500</v>
      </c>
      <c r="Y60" s="9">
        <f t="shared" si="31"/>
        <v>5610</v>
      </c>
      <c r="Z60" s="9">
        <f t="shared" si="31"/>
        <v>5610</v>
      </c>
      <c r="AA60" s="9">
        <f t="shared" si="31"/>
        <v>5610</v>
      </c>
      <c r="AB60" s="9">
        <f t="shared" si="31"/>
        <v>5610</v>
      </c>
      <c r="AC60" s="9">
        <f t="shared" si="31"/>
        <v>5610</v>
      </c>
      <c r="AD60" s="9">
        <f t="shared" si="31"/>
        <v>5610</v>
      </c>
      <c r="AE60" s="9">
        <f t="shared" si="31"/>
        <v>5610</v>
      </c>
      <c r="AF60" s="9">
        <f t="shared" si="31"/>
        <v>5610</v>
      </c>
      <c r="AG60" s="9">
        <f t="shared" si="31"/>
        <v>5610</v>
      </c>
      <c r="AH60" s="9">
        <f t="shared" si="31"/>
        <v>5610</v>
      </c>
      <c r="AI60" s="9">
        <f t="shared" si="31"/>
        <v>5610</v>
      </c>
      <c r="AJ60" s="9">
        <f t="shared" si="31"/>
        <v>5610</v>
      </c>
      <c r="AK60" s="9">
        <f t="shared" si="31"/>
        <v>5722.2</v>
      </c>
      <c r="AL60" s="9">
        <f t="shared" si="31"/>
        <v>5722.2</v>
      </c>
      <c r="AM60" s="9">
        <f t="shared" si="31"/>
        <v>5722.2</v>
      </c>
      <c r="AN60" s="9">
        <f t="shared" si="31"/>
        <v>5722.2</v>
      </c>
      <c r="AO60" s="9">
        <f t="shared" si="31"/>
        <v>5722.2</v>
      </c>
      <c r="AP60" s="9">
        <f t="shared" si="31"/>
        <v>5722.2</v>
      </c>
      <c r="AQ60" s="9">
        <f t="shared" si="31"/>
        <v>5722.2</v>
      </c>
      <c r="AR60" s="9">
        <f t="shared" si="31"/>
        <v>5722.2</v>
      </c>
      <c r="AS60" s="9">
        <f t="shared" si="31"/>
        <v>5722.2</v>
      </c>
      <c r="AT60" s="9">
        <f t="shared" si="31"/>
        <v>5722.2</v>
      </c>
      <c r="AU60" s="9">
        <f t="shared" si="31"/>
        <v>5722.2</v>
      </c>
      <c r="AV60" s="9">
        <f t="shared" si="31"/>
        <v>5722.2</v>
      </c>
      <c r="AW60" s="9">
        <f t="shared" si="31"/>
        <v>5836.6439999999993</v>
      </c>
      <c r="AX60" s="9">
        <f t="shared" si="31"/>
        <v>5836.6439999999993</v>
      </c>
      <c r="AY60" s="9">
        <f t="shared" si="31"/>
        <v>5836.6439999999993</v>
      </c>
      <c r="AZ60" s="9">
        <f t="shared" si="31"/>
        <v>5836.6439999999993</v>
      </c>
      <c r="BA60" s="9">
        <f t="shared" si="31"/>
        <v>5836.6439999999993</v>
      </c>
      <c r="BB60" s="9">
        <f t="shared" si="31"/>
        <v>5836.6439999999993</v>
      </c>
      <c r="BC60" s="9">
        <f t="shared" si="31"/>
        <v>5836.6439999999993</v>
      </c>
      <c r="BD60" s="9">
        <f t="shared" si="31"/>
        <v>5836.6439999999993</v>
      </c>
      <c r="BE60" s="9">
        <f t="shared" si="31"/>
        <v>5836.6439999999993</v>
      </c>
      <c r="BF60" s="9">
        <f t="shared" si="31"/>
        <v>5836.6439999999993</v>
      </c>
      <c r="BG60" s="9">
        <f t="shared" si="31"/>
        <v>5836.6439999999993</v>
      </c>
      <c r="BH60" s="9">
        <f t="shared" si="31"/>
        <v>5836.6439999999993</v>
      </c>
    </row>
    <row r="61" spans="1:60" ht="16.2" x14ac:dyDescent="0.45">
      <c r="B61" s="21" t="s">
        <v>69</v>
      </c>
      <c r="E61" s="24">
        <v>0.04</v>
      </c>
      <c r="F61" s="34" t="s">
        <v>72</v>
      </c>
      <c r="H61" s="22">
        <f>$E$61*H56</f>
        <v>169200</v>
      </c>
      <c r="I61" s="22">
        <f>$E$61*I56</f>
        <v>192240</v>
      </c>
      <c r="M61" s="32">
        <f>$E$61*M56</f>
        <v>14180</v>
      </c>
      <c r="N61" s="32">
        <f t="shared" ref="N61:BH61" si="32">$E$61*N56</f>
        <v>14289.373265207958</v>
      </c>
      <c r="O61" s="32">
        <f t="shared" si="32"/>
        <v>14399.136947770166</v>
      </c>
      <c r="P61" s="32">
        <f t="shared" si="32"/>
        <v>14509.292192015664</v>
      </c>
      <c r="Q61" s="32">
        <f t="shared" si="32"/>
        <v>14619.840145331249</v>
      </c>
      <c r="R61" s="32">
        <f t="shared" si="32"/>
        <v>14730.7819581692</v>
      </c>
      <c r="S61" s="32">
        <f t="shared" si="32"/>
        <v>14842.118784055046</v>
      </c>
      <c r="T61" s="32">
        <f t="shared" si="32"/>
        <v>14953.851779595363</v>
      </c>
      <c r="U61" s="32">
        <f t="shared" si="32"/>
        <v>15065.982104485527</v>
      </c>
      <c r="V61" s="32">
        <f t="shared" si="32"/>
        <v>15178.510921517591</v>
      </c>
      <c r="W61" s="32">
        <f t="shared" si="32"/>
        <v>15291.439396588075</v>
      </c>
      <c r="X61" s="32">
        <f t="shared" si="32"/>
        <v>15404.768698705844</v>
      </c>
      <c r="Y61" s="32">
        <f t="shared" si="32"/>
        <v>15518.49999999998</v>
      </c>
      <c r="Z61" s="32">
        <f t="shared" si="32"/>
        <v>15632.634475727657</v>
      </c>
      <c r="AA61" s="32">
        <f t="shared" si="32"/>
        <v>15747.173304282096</v>
      </c>
      <c r="AB61" s="32">
        <f t="shared" si="32"/>
        <v>15862.117667200464</v>
      </c>
      <c r="AC61" s="32">
        <f t="shared" si="32"/>
        <v>15977.468749171818</v>
      </c>
      <c r="AD61" s="32">
        <f t="shared" si="32"/>
        <v>16093.227738045116</v>
      </c>
      <c r="AE61" s="32">
        <f t="shared" si="32"/>
        <v>16209.395824837175</v>
      </c>
      <c r="AF61" s="32">
        <f t="shared" si="32"/>
        <v>16325.974203740703</v>
      </c>
      <c r="AG61" s="32">
        <f t="shared" si="32"/>
        <v>16442.964072132312</v>
      </c>
      <c r="AH61" s="32">
        <f t="shared" si="32"/>
        <v>16560.36663058056</v>
      </c>
      <c r="AI61" s="32">
        <f t="shared" si="32"/>
        <v>16678.183082854066</v>
      </c>
      <c r="AJ61" s="32">
        <f t="shared" si="32"/>
        <v>16796.414635929548</v>
      </c>
      <c r="AK61" s="32">
        <f t="shared" si="32"/>
        <v>16831.012499999953</v>
      </c>
      <c r="AL61" s="32">
        <f t="shared" si="32"/>
        <v>16865.681630005631</v>
      </c>
      <c r="AM61" s="32">
        <f t="shared" si="32"/>
        <v>16900.422172742739</v>
      </c>
      <c r="AN61" s="32">
        <f t="shared" si="32"/>
        <v>16935.234275309806</v>
      </c>
      <c r="AO61" s="32">
        <f t="shared" si="32"/>
        <v>16970.118085108377</v>
      </c>
      <c r="AP61" s="32">
        <f t="shared" si="32"/>
        <v>17005.073749843592</v>
      </c>
      <c r="AQ61" s="32">
        <f t="shared" si="32"/>
        <v>17040.101417524871</v>
      </c>
      <c r="AR61" s="32">
        <f t="shared" si="32"/>
        <v>17075.201236466492</v>
      </c>
      <c r="AS61" s="32">
        <f t="shared" si="32"/>
        <v>17110.373355288222</v>
      </c>
      <c r="AT61" s="32">
        <f t="shared" si="32"/>
        <v>17145.617922915997</v>
      </c>
      <c r="AU61" s="32">
        <f t="shared" si="32"/>
        <v>17180.935088582486</v>
      </c>
      <c r="AV61" s="32">
        <f t="shared" si="32"/>
        <v>17216.325001827761</v>
      </c>
      <c r="AW61" s="32">
        <f t="shared" si="32"/>
        <v>17251.78781249993</v>
      </c>
      <c r="AX61" s="32">
        <f t="shared" si="32"/>
        <v>17287.323670755744</v>
      </c>
      <c r="AY61" s="32">
        <f t="shared" si="32"/>
        <v>17322.932727061278</v>
      </c>
      <c r="AZ61" s="32">
        <f t="shared" si="32"/>
        <v>17358.615132192528</v>
      </c>
      <c r="BA61" s="32">
        <f t="shared" si="32"/>
        <v>17394.371037236058</v>
      </c>
      <c r="BB61" s="32">
        <f t="shared" si="32"/>
        <v>17430.20059358966</v>
      </c>
      <c r="BC61" s="32">
        <f t="shared" si="32"/>
        <v>17466.103952962967</v>
      </c>
      <c r="BD61" s="32">
        <f t="shared" si="32"/>
        <v>17502.081267378126</v>
      </c>
      <c r="BE61" s="32">
        <f t="shared" si="32"/>
        <v>17538.132689170408</v>
      </c>
      <c r="BF61" s="32">
        <f t="shared" si="32"/>
        <v>17574.258370988871</v>
      </c>
      <c r="BG61" s="32">
        <f t="shared" si="32"/>
        <v>17610.458465797023</v>
      </c>
      <c r="BH61" s="32">
        <f t="shared" si="32"/>
        <v>17646.733126873434</v>
      </c>
    </row>
    <row r="62" spans="1:60" ht="16.2" x14ac:dyDescent="0.45">
      <c r="B62" t="s">
        <v>70</v>
      </c>
      <c r="E62" s="22" t="s">
        <v>74</v>
      </c>
      <c r="F62" s="22" t="s">
        <v>75</v>
      </c>
      <c r="H62" s="2">
        <f>SUM(H59:H61)</f>
        <v>4433475</v>
      </c>
      <c r="I62" s="2">
        <f>SUM(I59:I61)</f>
        <v>5028195</v>
      </c>
      <c r="M62" s="9">
        <f>SUM(M59:M61)</f>
        <v>356750.41666666669</v>
      </c>
      <c r="N62" s="9">
        <f t="shared" ref="N62:BH62" si="33">SUM(N59:N61)</f>
        <v>359459.68359025544</v>
      </c>
      <c r="O62" s="9">
        <f t="shared" si="33"/>
        <v>362178.62147705676</v>
      </c>
      <c r="P62" s="9">
        <f t="shared" si="33"/>
        <v>364907.25867305469</v>
      </c>
      <c r="Q62" s="9">
        <f t="shared" si="33"/>
        <v>367645.62359997613</v>
      </c>
      <c r="R62" s="9">
        <f t="shared" si="33"/>
        <v>370393.74475548282</v>
      </c>
      <c r="S62" s="9">
        <f t="shared" si="33"/>
        <v>373151.65071336355</v>
      </c>
      <c r="T62" s="9">
        <f t="shared" si="33"/>
        <v>375919.37012372678</v>
      </c>
      <c r="U62" s="9">
        <f t="shared" si="33"/>
        <v>378696.93171319354</v>
      </c>
      <c r="V62" s="9">
        <f t="shared" si="33"/>
        <v>381484.36428509199</v>
      </c>
      <c r="W62" s="9">
        <f t="shared" si="33"/>
        <v>384281.69671965047</v>
      </c>
      <c r="X62" s="9">
        <f t="shared" si="33"/>
        <v>387088.95797419263</v>
      </c>
      <c r="Y62" s="9">
        <f t="shared" si="33"/>
        <v>390016.17708333285</v>
      </c>
      <c r="Z62" s="9">
        <f t="shared" si="33"/>
        <v>392843.38315917051</v>
      </c>
      <c r="AA62" s="9">
        <f t="shared" si="33"/>
        <v>395680.60539148771</v>
      </c>
      <c r="AB62" s="9">
        <f t="shared" si="33"/>
        <v>398527.8730479448</v>
      </c>
      <c r="AC62" s="9">
        <f t="shared" si="33"/>
        <v>401385.21547427692</v>
      </c>
      <c r="AD62" s="9">
        <f t="shared" si="33"/>
        <v>404252.66209449252</v>
      </c>
      <c r="AE62" s="9">
        <f t="shared" si="33"/>
        <v>407130.24241107085</v>
      </c>
      <c r="AF62" s="9">
        <f t="shared" si="33"/>
        <v>410017.98600516038</v>
      </c>
      <c r="AG62" s="9">
        <f t="shared" si="33"/>
        <v>412915.92253677745</v>
      </c>
      <c r="AH62" s="9">
        <f t="shared" si="33"/>
        <v>415824.08174500597</v>
      </c>
      <c r="AI62" s="9">
        <f t="shared" si="33"/>
        <v>418742.49344819761</v>
      </c>
      <c r="AJ62" s="9">
        <f t="shared" si="33"/>
        <v>421671.18754417152</v>
      </c>
      <c r="AK62" s="9">
        <f t="shared" si="33"/>
        <v>440172.71015624882</v>
      </c>
      <c r="AL62" s="9">
        <f t="shared" si="33"/>
        <v>441067.60707452032</v>
      </c>
      <c r="AM62" s="9">
        <f t="shared" si="33"/>
        <v>441964.34733392193</v>
      </c>
      <c r="AN62" s="9">
        <f t="shared" si="33"/>
        <v>442862.93473143433</v>
      </c>
      <c r="AO62" s="9">
        <f t="shared" si="33"/>
        <v>443763.37307185994</v>
      </c>
      <c r="AP62" s="9">
        <f t="shared" si="33"/>
        <v>444665.66616783768</v>
      </c>
      <c r="AQ62" s="9">
        <f t="shared" si="33"/>
        <v>445569.81783986074</v>
      </c>
      <c r="AR62" s="9">
        <f t="shared" si="33"/>
        <v>446475.83191629127</v>
      </c>
      <c r="AS62" s="9">
        <f t="shared" si="33"/>
        <v>447383.71223337721</v>
      </c>
      <c r="AT62" s="9">
        <f t="shared" si="33"/>
        <v>448293.46263526921</v>
      </c>
      <c r="AU62" s="9">
        <f t="shared" si="33"/>
        <v>449205.08697403548</v>
      </c>
      <c r="AV62" s="9">
        <f t="shared" si="33"/>
        <v>450118.5891096791</v>
      </c>
      <c r="AW62" s="9">
        <f t="shared" si="33"/>
        <v>451148.41691015434</v>
      </c>
      <c r="AX62" s="9">
        <f t="shared" si="33"/>
        <v>452065.68625138263</v>
      </c>
      <c r="AY62" s="9">
        <f t="shared" si="33"/>
        <v>452984.8450172692</v>
      </c>
      <c r="AZ62" s="9">
        <f t="shared" si="33"/>
        <v>453905.89709971962</v>
      </c>
      <c r="BA62" s="9">
        <f t="shared" si="33"/>
        <v>454828.84639865567</v>
      </c>
      <c r="BB62" s="9">
        <f t="shared" si="33"/>
        <v>455753.69682203303</v>
      </c>
      <c r="BC62" s="9">
        <f t="shared" si="33"/>
        <v>456680.45228585653</v>
      </c>
      <c r="BD62" s="9">
        <f t="shared" si="33"/>
        <v>457609.11671419785</v>
      </c>
      <c r="BE62" s="9">
        <f t="shared" si="33"/>
        <v>458539.69403921108</v>
      </c>
      <c r="BF62" s="9">
        <f t="shared" si="33"/>
        <v>459472.18820115022</v>
      </c>
      <c r="BG62" s="9">
        <f t="shared" si="33"/>
        <v>460406.60314838565</v>
      </c>
      <c r="BH62" s="9">
        <f t="shared" si="33"/>
        <v>461342.94283742044</v>
      </c>
    </row>
    <row r="63" spans="1:60" ht="16.2" x14ac:dyDescent="0.45">
      <c r="B63" s="21" t="s">
        <v>73</v>
      </c>
      <c r="E63" s="24">
        <v>0.05</v>
      </c>
      <c r="F63" s="24">
        <v>0.01</v>
      </c>
      <c r="H63" s="22">
        <f>-SUM($E$63:$F$63)*H62</f>
        <v>-266008.5</v>
      </c>
      <c r="I63" s="22">
        <f>-SUM($E$63:$F$63)*I62</f>
        <v>-301691.7</v>
      </c>
      <c r="M63" s="32">
        <f>-SUM($E$63:$F$63)*M62</f>
        <v>-21405.025000000001</v>
      </c>
      <c r="N63" s="32">
        <f t="shared" ref="N63:BH63" si="34">-SUM($E$63:$F$63)*N62</f>
        <v>-21567.58101541533</v>
      </c>
      <c r="O63" s="32">
        <f t="shared" si="34"/>
        <v>-21730.717288623408</v>
      </c>
      <c r="P63" s="32">
        <f t="shared" si="34"/>
        <v>-21894.435520383282</v>
      </c>
      <c r="Q63" s="32">
        <f t="shared" si="34"/>
        <v>-22058.73741599857</v>
      </c>
      <c r="R63" s="32">
        <f t="shared" si="34"/>
        <v>-22223.62468532897</v>
      </c>
      <c r="S63" s="32">
        <f t="shared" si="34"/>
        <v>-22389.099042801816</v>
      </c>
      <c r="T63" s="32">
        <f t="shared" si="34"/>
        <v>-22555.162207423607</v>
      </c>
      <c r="U63" s="32">
        <f t="shared" si="34"/>
        <v>-22721.815902791615</v>
      </c>
      <c r="V63" s="32">
        <f t="shared" si="34"/>
        <v>-22889.06185710552</v>
      </c>
      <c r="W63" s="32">
        <f t="shared" si="34"/>
        <v>-23056.901803179029</v>
      </c>
      <c r="X63" s="32">
        <f t="shared" si="34"/>
        <v>-23225.337478451558</v>
      </c>
      <c r="Y63" s="32">
        <f t="shared" si="34"/>
        <v>-23400.970624999973</v>
      </c>
      <c r="Z63" s="32">
        <f t="shared" si="34"/>
        <v>-23570.602989550232</v>
      </c>
      <c r="AA63" s="32">
        <f t="shared" si="34"/>
        <v>-23740.836323489264</v>
      </c>
      <c r="AB63" s="32">
        <f t="shared" si="34"/>
        <v>-23911.672382876688</v>
      </c>
      <c r="AC63" s="32">
        <f t="shared" si="34"/>
        <v>-24083.112928456616</v>
      </c>
      <c r="AD63" s="32">
        <f t="shared" si="34"/>
        <v>-24255.159725669553</v>
      </c>
      <c r="AE63" s="32">
        <f t="shared" si="34"/>
        <v>-24427.814544664252</v>
      </c>
      <c r="AF63" s="32">
        <f t="shared" si="34"/>
        <v>-24601.079160309626</v>
      </c>
      <c r="AG63" s="32">
        <f t="shared" si="34"/>
        <v>-24774.955352206649</v>
      </c>
      <c r="AH63" s="32">
        <f t="shared" si="34"/>
        <v>-24949.444904700362</v>
      </c>
      <c r="AI63" s="32">
        <f t="shared" si="34"/>
        <v>-25124.549606891858</v>
      </c>
      <c r="AJ63" s="32">
        <f t="shared" si="34"/>
        <v>-25300.271252650295</v>
      </c>
      <c r="AK63" s="32">
        <f t="shared" si="34"/>
        <v>-26410.36260937493</v>
      </c>
      <c r="AL63" s="32">
        <f t="shared" si="34"/>
        <v>-26464.056424471222</v>
      </c>
      <c r="AM63" s="32">
        <f t="shared" si="34"/>
        <v>-26517.860840035319</v>
      </c>
      <c r="AN63" s="32">
        <f t="shared" si="34"/>
        <v>-26571.776083886063</v>
      </c>
      <c r="AO63" s="32">
        <f t="shared" si="34"/>
        <v>-26625.802384311599</v>
      </c>
      <c r="AP63" s="32">
        <f t="shared" si="34"/>
        <v>-26679.939970070263</v>
      </c>
      <c r="AQ63" s="32">
        <f t="shared" si="34"/>
        <v>-26734.189070391647</v>
      </c>
      <c r="AR63" s="32">
        <f t="shared" si="34"/>
        <v>-26788.549914977477</v>
      </c>
      <c r="AS63" s="32">
        <f t="shared" si="34"/>
        <v>-26843.022734002636</v>
      </c>
      <c r="AT63" s="32">
        <f t="shared" si="34"/>
        <v>-26897.607758116155</v>
      </c>
      <c r="AU63" s="32">
        <f t="shared" si="34"/>
        <v>-26952.305218442132</v>
      </c>
      <c r="AV63" s="32">
        <f t="shared" si="34"/>
        <v>-27007.115346580747</v>
      </c>
      <c r="AW63" s="32">
        <f t="shared" si="34"/>
        <v>-27068.905014609263</v>
      </c>
      <c r="AX63" s="32">
        <f t="shared" si="34"/>
        <v>-27123.94117508296</v>
      </c>
      <c r="AY63" s="32">
        <f t="shared" si="34"/>
        <v>-27179.090701036155</v>
      </c>
      <c r="AZ63" s="32">
        <f t="shared" si="34"/>
        <v>-27234.35382598318</v>
      </c>
      <c r="BA63" s="32">
        <f t="shared" si="34"/>
        <v>-27289.730783919342</v>
      </c>
      <c r="BB63" s="32">
        <f t="shared" si="34"/>
        <v>-27345.221809321985</v>
      </c>
      <c r="BC63" s="32">
        <f t="shared" si="34"/>
        <v>-27400.827137151395</v>
      </c>
      <c r="BD63" s="32">
        <f t="shared" si="34"/>
        <v>-27456.547002851872</v>
      </c>
      <c r="BE63" s="32">
        <f t="shared" si="34"/>
        <v>-27512.381642352666</v>
      </c>
      <c r="BF63" s="32">
        <f t="shared" si="34"/>
        <v>-27568.331292069015</v>
      </c>
      <c r="BG63" s="32">
        <f t="shared" si="34"/>
        <v>-27624.396188903142</v>
      </c>
      <c r="BH63" s="32">
        <f t="shared" si="34"/>
        <v>-27680.57657024523</v>
      </c>
    </row>
    <row r="64" spans="1:60" s="53" customFormat="1" x14ac:dyDescent="0.3">
      <c r="A64" s="20"/>
      <c r="B64" s="54" t="s">
        <v>76</v>
      </c>
      <c r="C64" s="50"/>
      <c r="D64" s="51"/>
      <c r="E64" s="51"/>
      <c r="F64" s="51"/>
      <c r="G64" s="51"/>
      <c r="H64" s="51">
        <f>SUM(H62:H63)</f>
        <v>4167466.5</v>
      </c>
      <c r="I64" s="51">
        <f>SUM(I62:I63)</f>
        <v>4726503.3</v>
      </c>
      <c r="J64" s="20"/>
      <c r="K64" s="52"/>
      <c r="M64" s="53">
        <f>SUM(M62:M63)</f>
        <v>335345.39166666666</v>
      </c>
      <c r="N64" s="53">
        <f t="shared" ref="N64:BH64" si="35">SUM(N62:N63)</f>
        <v>337892.10257484013</v>
      </c>
      <c r="O64" s="53">
        <f t="shared" si="35"/>
        <v>340447.90418843337</v>
      </c>
      <c r="P64" s="53">
        <f t="shared" si="35"/>
        <v>343012.82315267139</v>
      </c>
      <c r="Q64" s="53">
        <f t="shared" si="35"/>
        <v>345586.88618397753</v>
      </c>
      <c r="R64" s="53">
        <f t="shared" si="35"/>
        <v>348170.12007015385</v>
      </c>
      <c r="S64" s="53">
        <f t="shared" si="35"/>
        <v>350762.55167056172</v>
      </c>
      <c r="T64" s="53">
        <f t="shared" si="35"/>
        <v>353364.20791630319</v>
      </c>
      <c r="U64" s="53">
        <f t="shared" si="35"/>
        <v>355975.11581040191</v>
      </c>
      <c r="V64" s="53">
        <f t="shared" si="35"/>
        <v>358595.30242798646</v>
      </c>
      <c r="W64" s="53">
        <f t="shared" si="35"/>
        <v>361224.79491647147</v>
      </c>
      <c r="X64" s="53">
        <f t="shared" si="35"/>
        <v>363863.62049574108</v>
      </c>
      <c r="Y64" s="53">
        <f t="shared" si="35"/>
        <v>366615.20645833289</v>
      </c>
      <c r="Z64" s="53">
        <f t="shared" si="35"/>
        <v>369272.7801696203</v>
      </c>
      <c r="AA64" s="53">
        <f t="shared" si="35"/>
        <v>371939.76906799845</v>
      </c>
      <c r="AB64" s="53">
        <f t="shared" si="35"/>
        <v>374616.20066506811</v>
      </c>
      <c r="AC64" s="53">
        <f t="shared" si="35"/>
        <v>377302.10254582029</v>
      </c>
      <c r="AD64" s="53">
        <f t="shared" si="35"/>
        <v>379997.50236882298</v>
      </c>
      <c r="AE64" s="53">
        <f t="shared" si="35"/>
        <v>382702.42786640662</v>
      </c>
      <c r="AF64" s="53">
        <f t="shared" si="35"/>
        <v>385416.90684485075</v>
      </c>
      <c r="AG64" s="53">
        <f t="shared" si="35"/>
        <v>388140.96718457079</v>
      </c>
      <c r="AH64" s="53">
        <f t="shared" si="35"/>
        <v>390874.63684030558</v>
      </c>
      <c r="AI64" s="53">
        <f t="shared" si="35"/>
        <v>393617.94384130574</v>
      </c>
      <c r="AJ64" s="53">
        <f t="shared" si="35"/>
        <v>396370.91629152122</v>
      </c>
      <c r="AK64" s="53">
        <f t="shared" si="35"/>
        <v>413762.34754687391</v>
      </c>
      <c r="AL64" s="53">
        <f t="shared" si="35"/>
        <v>414603.55065004912</v>
      </c>
      <c r="AM64" s="53">
        <f t="shared" si="35"/>
        <v>415446.48649388662</v>
      </c>
      <c r="AN64" s="53">
        <f t="shared" si="35"/>
        <v>416291.15864754829</v>
      </c>
      <c r="AO64" s="53">
        <f t="shared" si="35"/>
        <v>417137.57068754832</v>
      </c>
      <c r="AP64" s="53">
        <f t="shared" si="35"/>
        <v>417985.72619776742</v>
      </c>
      <c r="AQ64" s="53">
        <f t="shared" si="35"/>
        <v>418835.6287694691</v>
      </c>
      <c r="AR64" s="53">
        <f t="shared" si="35"/>
        <v>419687.28200131381</v>
      </c>
      <c r="AS64" s="53">
        <f t="shared" si="35"/>
        <v>420540.6894993746</v>
      </c>
      <c r="AT64" s="53">
        <f t="shared" si="35"/>
        <v>421395.85487715306</v>
      </c>
      <c r="AU64" s="53">
        <f t="shared" si="35"/>
        <v>422252.78175559337</v>
      </c>
      <c r="AV64" s="53">
        <f t="shared" si="35"/>
        <v>423111.47376309836</v>
      </c>
      <c r="AW64" s="53">
        <f t="shared" si="35"/>
        <v>424079.51189554506</v>
      </c>
      <c r="AX64" s="53">
        <f t="shared" si="35"/>
        <v>424941.74507629965</v>
      </c>
      <c r="AY64" s="53">
        <f t="shared" si="35"/>
        <v>425805.75431623304</v>
      </c>
      <c r="AZ64" s="53">
        <f t="shared" si="35"/>
        <v>426671.54327373643</v>
      </c>
      <c r="BA64" s="53">
        <f t="shared" si="35"/>
        <v>427539.11561473634</v>
      </c>
      <c r="BB64" s="53">
        <f t="shared" si="35"/>
        <v>428408.47501271102</v>
      </c>
      <c r="BC64" s="53">
        <f t="shared" si="35"/>
        <v>429279.62514870515</v>
      </c>
      <c r="BD64" s="53">
        <f t="shared" si="35"/>
        <v>430152.569711346</v>
      </c>
      <c r="BE64" s="53">
        <f t="shared" si="35"/>
        <v>431027.31239685841</v>
      </c>
      <c r="BF64" s="53">
        <f t="shared" si="35"/>
        <v>431903.85690908122</v>
      </c>
      <c r="BG64" s="53">
        <f t="shared" si="35"/>
        <v>432782.20695948252</v>
      </c>
      <c r="BH64" s="53">
        <f t="shared" si="35"/>
        <v>433662.36626717524</v>
      </c>
    </row>
    <row r="65" spans="1:60" ht="16.2" x14ac:dyDescent="0.45">
      <c r="B65" s="55" t="s">
        <v>77</v>
      </c>
      <c r="F65" s="56" t="s">
        <v>93</v>
      </c>
    </row>
    <row r="66" spans="1:60" x14ac:dyDescent="0.3">
      <c r="B66" s="21" t="s">
        <v>78</v>
      </c>
      <c r="F66" s="19">
        <v>350</v>
      </c>
      <c r="H66" s="2">
        <f t="shared" ref="H66:I74" si="36">Units*$F66</f>
        <v>84000</v>
      </c>
      <c r="I66" s="2">
        <f t="shared" si="36"/>
        <v>84000</v>
      </c>
      <c r="M66" s="9">
        <f t="shared" ref="M66:V74" si="37">$F66*(1+$E$47)^(M$2-1)*Units/12</f>
        <v>7000</v>
      </c>
      <c r="N66" s="9">
        <f t="shared" si="37"/>
        <v>7000</v>
      </c>
      <c r="O66" s="9">
        <f t="shared" si="37"/>
        <v>7000</v>
      </c>
      <c r="P66" s="9">
        <f t="shared" si="37"/>
        <v>7000</v>
      </c>
      <c r="Q66" s="9">
        <f t="shared" si="37"/>
        <v>7000</v>
      </c>
      <c r="R66" s="9">
        <f t="shared" si="37"/>
        <v>7000</v>
      </c>
      <c r="S66" s="9">
        <f t="shared" si="37"/>
        <v>7000</v>
      </c>
      <c r="T66" s="9">
        <f t="shared" si="37"/>
        <v>7000</v>
      </c>
      <c r="U66" s="9">
        <f t="shared" si="37"/>
        <v>7000</v>
      </c>
      <c r="V66" s="9">
        <f t="shared" si="37"/>
        <v>7000</v>
      </c>
      <c r="W66" s="9">
        <f t="shared" ref="W66:AF74" si="38">$F66*(1+$E$47)^(W$2-1)*Units/12</f>
        <v>7000</v>
      </c>
      <c r="X66" s="9">
        <f t="shared" si="38"/>
        <v>7000</v>
      </c>
      <c r="Y66" s="9">
        <f t="shared" si="38"/>
        <v>7140</v>
      </c>
      <c r="Z66" s="9">
        <f t="shared" si="38"/>
        <v>7140</v>
      </c>
      <c r="AA66" s="9">
        <f t="shared" si="38"/>
        <v>7140</v>
      </c>
      <c r="AB66" s="9">
        <f t="shared" si="38"/>
        <v>7140</v>
      </c>
      <c r="AC66" s="9">
        <f t="shared" si="38"/>
        <v>7140</v>
      </c>
      <c r="AD66" s="9">
        <f t="shared" si="38"/>
        <v>7140</v>
      </c>
      <c r="AE66" s="9">
        <f t="shared" si="38"/>
        <v>7140</v>
      </c>
      <c r="AF66" s="9">
        <f t="shared" si="38"/>
        <v>7140</v>
      </c>
      <c r="AG66" s="9">
        <f t="shared" ref="AG66:AP74" si="39">$F66*(1+$E$47)^(AG$2-1)*Units/12</f>
        <v>7140</v>
      </c>
      <c r="AH66" s="9">
        <f t="shared" si="39"/>
        <v>7140</v>
      </c>
      <c r="AI66" s="9">
        <f t="shared" si="39"/>
        <v>7140</v>
      </c>
      <c r="AJ66" s="9">
        <f t="shared" si="39"/>
        <v>7140</v>
      </c>
      <c r="AK66" s="9">
        <f t="shared" si="39"/>
        <v>7282.7999999999993</v>
      </c>
      <c r="AL66" s="9">
        <f t="shared" si="39"/>
        <v>7282.7999999999993</v>
      </c>
      <c r="AM66" s="9">
        <f t="shared" si="39"/>
        <v>7282.7999999999993</v>
      </c>
      <c r="AN66" s="9">
        <f t="shared" si="39"/>
        <v>7282.7999999999993</v>
      </c>
      <c r="AO66" s="9">
        <f t="shared" si="39"/>
        <v>7282.7999999999993</v>
      </c>
      <c r="AP66" s="9">
        <f t="shared" si="39"/>
        <v>7282.7999999999993</v>
      </c>
      <c r="AQ66" s="9">
        <f t="shared" ref="AQ66:AZ74" si="40">$F66*(1+$E$47)^(AQ$2-1)*Units/12</f>
        <v>7282.7999999999993</v>
      </c>
      <c r="AR66" s="9">
        <f t="shared" si="40"/>
        <v>7282.7999999999993</v>
      </c>
      <c r="AS66" s="9">
        <f t="shared" si="40"/>
        <v>7282.7999999999993</v>
      </c>
      <c r="AT66" s="9">
        <f t="shared" si="40"/>
        <v>7282.7999999999993</v>
      </c>
      <c r="AU66" s="9">
        <f t="shared" si="40"/>
        <v>7282.7999999999993</v>
      </c>
      <c r="AV66" s="9">
        <f t="shared" si="40"/>
        <v>7282.7999999999993</v>
      </c>
      <c r="AW66" s="9">
        <f t="shared" si="40"/>
        <v>7428.4559999999992</v>
      </c>
      <c r="AX66" s="9">
        <f t="shared" si="40"/>
        <v>7428.4559999999992</v>
      </c>
      <c r="AY66" s="9">
        <f t="shared" si="40"/>
        <v>7428.4559999999992</v>
      </c>
      <c r="AZ66" s="9">
        <f t="shared" si="40"/>
        <v>7428.4559999999992</v>
      </c>
      <c r="BA66" s="9">
        <f t="shared" ref="BA66:BH74" si="41">$F66*(1+$E$47)^(BA$2-1)*Units/12</f>
        <v>7428.4559999999992</v>
      </c>
      <c r="BB66" s="9">
        <f t="shared" si="41"/>
        <v>7428.4559999999992</v>
      </c>
      <c r="BC66" s="9">
        <f t="shared" si="41"/>
        <v>7428.4559999999992</v>
      </c>
      <c r="BD66" s="9">
        <f t="shared" si="41"/>
        <v>7428.4559999999992</v>
      </c>
      <c r="BE66" s="9">
        <f t="shared" si="41"/>
        <v>7428.4559999999992</v>
      </c>
      <c r="BF66" s="9">
        <f t="shared" si="41"/>
        <v>7428.4559999999992</v>
      </c>
      <c r="BG66" s="9">
        <f t="shared" si="41"/>
        <v>7428.4559999999992</v>
      </c>
      <c r="BH66" s="9">
        <f t="shared" si="41"/>
        <v>7428.4559999999992</v>
      </c>
    </row>
    <row r="67" spans="1:60" x14ac:dyDescent="0.3">
      <c r="B67" s="21" t="s">
        <v>79</v>
      </c>
      <c r="F67" s="19">
        <v>200</v>
      </c>
      <c r="H67" s="2">
        <f t="shared" si="36"/>
        <v>48000</v>
      </c>
      <c r="I67" s="2">
        <f t="shared" si="36"/>
        <v>48000</v>
      </c>
      <c r="M67" s="9">
        <f t="shared" si="37"/>
        <v>4000</v>
      </c>
      <c r="N67" s="9">
        <f t="shared" si="37"/>
        <v>4000</v>
      </c>
      <c r="O67" s="9">
        <f t="shared" si="37"/>
        <v>4000</v>
      </c>
      <c r="P67" s="9">
        <f t="shared" si="37"/>
        <v>4000</v>
      </c>
      <c r="Q67" s="9">
        <f t="shared" si="37"/>
        <v>4000</v>
      </c>
      <c r="R67" s="9">
        <f t="shared" si="37"/>
        <v>4000</v>
      </c>
      <c r="S67" s="9">
        <f t="shared" si="37"/>
        <v>4000</v>
      </c>
      <c r="T67" s="9">
        <f t="shared" si="37"/>
        <v>4000</v>
      </c>
      <c r="U67" s="9">
        <f t="shared" si="37"/>
        <v>4000</v>
      </c>
      <c r="V67" s="9">
        <f t="shared" si="37"/>
        <v>4000</v>
      </c>
      <c r="W67" s="9">
        <f t="shared" si="38"/>
        <v>4000</v>
      </c>
      <c r="X67" s="9">
        <f t="shared" si="38"/>
        <v>4000</v>
      </c>
      <c r="Y67" s="9">
        <f t="shared" si="38"/>
        <v>4080</v>
      </c>
      <c r="Z67" s="9">
        <f t="shared" si="38"/>
        <v>4080</v>
      </c>
      <c r="AA67" s="9">
        <f t="shared" si="38"/>
        <v>4080</v>
      </c>
      <c r="AB67" s="9">
        <f t="shared" si="38"/>
        <v>4080</v>
      </c>
      <c r="AC67" s="9">
        <f t="shared" si="38"/>
        <v>4080</v>
      </c>
      <c r="AD67" s="9">
        <f t="shared" si="38"/>
        <v>4080</v>
      </c>
      <c r="AE67" s="9">
        <f t="shared" si="38"/>
        <v>4080</v>
      </c>
      <c r="AF67" s="9">
        <f t="shared" si="38"/>
        <v>4080</v>
      </c>
      <c r="AG67" s="9">
        <f t="shared" si="39"/>
        <v>4080</v>
      </c>
      <c r="AH67" s="9">
        <f t="shared" si="39"/>
        <v>4080</v>
      </c>
      <c r="AI67" s="9">
        <f t="shared" si="39"/>
        <v>4080</v>
      </c>
      <c r="AJ67" s="9">
        <f t="shared" si="39"/>
        <v>4080</v>
      </c>
      <c r="AK67" s="9">
        <f t="shared" si="39"/>
        <v>4161.5999999999995</v>
      </c>
      <c r="AL67" s="9">
        <f t="shared" si="39"/>
        <v>4161.5999999999995</v>
      </c>
      <c r="AM67" s="9">
        <f t="shared" si="39"/>
        <v>4161.5999999999995</v>
      </c>
      <c r="AN67" s="9">
        <f t="shared" si="39"/>
        <v>4161.5999999999995</v>
      </c>
      <c r="AO67" s="9">
        <f t="shared" si="39"/>
        <v>4161.5999999999995</v>
      </c>
      <c r="AP67" s="9">
        <f t="shared" si="39"/>
        <v>4161.5999999999995</v>
      </c>
      <c r="AQ67" s="9">
        <f t="shared" si="40"/>
        <v>4161.5999999999995</v>
      </c>
      <c r="AR67" s="9">
        <f t="shared" si="40"/>
        <v>4161.5999999999995</v>
      </c>
      <c r="AS67" s="9">
        <f t="shared" si="40"/>
        <v>4161.5999999999995</v>
      </c>
      <c r="AT67" s="9">
        <f t="shared" si="40"/>
        <v>4161.5999999999995</v>
      </c>
      <c r="AU67" s="9">
        <f t="shared" si="40"/>
        <v>4161.5999999999995</v>
      </c>
      <c r="AV67" s="9">
        <f t="shared" si="40"/>
        <v>4161.5999999999995</v>
      </c>
      <c r="AW67" s="9">
        <f t="shared" si="40"/>
        <v>4244.8319999999994</v>
      </c>
      <c r="AX67" s="9">
        <f t="shared" si="40"/>
        <v>4244.8319999999994</v>
      </c>
      <c r="AY67" s="9">
        <f t="shared" si="40"/>
        <v>4244.8319999999994</v>
      </c>
      <c r="AZ67" s="9">
        <f t="shared" si="40"/>
        <v>4244.8319999999994</v>
      </c>
      <c r="BA67" s="9">
        <f t="shared" si="41"/>
        <v>4244.8319999999994</v>
      </c>
      <c r="BB67" s="9">
        <f t="shared" si="41"/>
        <v>4244.8319999999994</v>
      </c>
      <c r="BC67" s="9">
        <f t="shared" si="41"/>
        <v>4244.8319999999994</v>
      </c>
      <c r="BD67" s="9">
        <f t="shared" si="41"/>
        <v>4244.8319999999994</v>
      </c>
      <c r="BE67" s="9">
        <f t="shared" si="41"/>
        <v>4244.8319999999994</v>
      </c>
      <c r="BF67" s="9">
        <f t="shared" si="41"/>
        <v>4244.8319999999994</v>
      </c>
      <c r="BG67" s="9">
        <f t="shared" si="41"/>
        <v>4244.8319999999994</v>
      </c>
      <c r="BH67" s="9">
        <f t="shared" si="41"/>
        <v>4244.8319999999994</v>
      </c>
    </row>
    <row r="68" spans="1:60" x14ac:dyDescent="0.3">
      <c r="B68" s="21" t="s">
        <v>80</v>
      </c>
      <c r="F68" s="19">
        <v>250</v>
      </c>
      <c r="H68" s="2">
        <f t="shared" si="36"/>
        <v>60000</v>
      </c>
      <c r="I68" s="2">
        <f t="shared" si="36"/>
        <v>60000</v>
      </c>
      <c r="M68" s="9">
        <f t="shared" si="37"/>
        <v>5000</v>
      </c>
      <c r="N68" s="9">
        <f t="shared" si="37"/>
        <v>5000</v>
      </c>
      <c r="O68" s="9">
        <f t="shared" si="37"/>
        <v>5000</v>
      </c>
      <c r="P68" s="9">
        <f t="shared" si="37"/>
        <v>5000</v>
      </c>
      <c r="Q68" s="9">
        <f t="shared" si="37"/>
        <v>5000</v>
      </c>
      <c r="R68" s="9">
        <f t="shared" si="37"/>
        <v>5000</v>
      </c>
      <c r="S68" s="9">
        <f t="shared" si="37"/>
        <v>5000</v>
      </c>
      <c r="T68" s="9">
        <f t="shared" si="37"/>
        <v>5000</v>
      </c>
      <c r="U68" s="9">
        <f t="shared" si="37"/>
        <v>5000</v>
      </c>
      <c r="V68" s="9">
        <f t="shared" si="37"/>
        <v>5000</v>
      </c>
      <c r="W68" s="9">
        <f t="shared" si="38"/>
        <v>5000</v>
      </c>
      <c r="X68" s="9">
        <f t="shared" si="38"/>
        <v>5000</v>
      </c>
      <c r="Y68" s="9">
        <f t="shared" si="38"/>
        <v>5100</v>
      </c>
      <c r="Z68" s="9">
        <f t="shared" si="38"/>
        <v>5100</v>
      </c>
      <c r="AA68" s="9">
        <f t="shared" si="38"/>
        <v>5100</v>
      </c>
      <c r="AB68" s="9">
        <f t="shared" si="38"/>
        <v>5100</v>
      </c>
      <c r="AC68" s="9">
        <f t="shared" si="38"/>
        <v>5100</v>
      </c>
      <c r="AD68" s="9">
        <f t="shared" si="38"/>
        <v>5100</v>
      </c>
      <c r="AE68" s="9">
        <f t="shared" si="38"/>
        <v>5100</v>
      </c>
      <c r="AF68" s="9">
        <f t="shared" si="38"/>
        <v>5100</v>
      </c>
      <c r="AG68" s="9">
        <f t="shared" si="39"/>
        <v>5100</v>
      </c>
      <c r="AH68" s="9">
        <f t="shared" si="39"/>
        <v>5100</v>
      </c>
      <c r="AI68" s="9">
        <f t="shared" si="39"/>
        <v>5100</v>
      </c>
      <c r="AJ68" s="9">
        <f t="shared" si="39"/>
        <v>5100</v>
      </c>
      <c r="AK68" s="9">
        <f t="shared" si="39"/>
        <v>5202.0000000000009</v>
      </c>
      <c r="AL68" s="9">
        <f t="shared" si="39"/>
        <v>5202.0000000000009</v>
      </c>
      <c r="AM68" s="9">
        <f t="shared" si="39"/>
        <v>5202.0000000000009</v>
      </c>
      <c r="AN68" s="9">
        <f t="shared" si="39"/>
        <v>5202.0000000000009</v>
      </c>
      <c r="AO68" s="9">
        <f t="shared" si="39"/>
        <v>5202.0000000000009</v>
      </c>
      <c r="AP68" s="9">
        <f t="shared" si="39"/>
        <v>5202.0000000000009</v>
      </c>
      <c r="AQ68" s="9">
        <f t="shared" si="40"/>
        <v>5202.0000000000009</v>
      </c>
      <c r="AR68" s="9">
        <f t="shared" si="40"/>
        <v>5202.0000000000009</v>
      </c>
      <c r="AS68" s="9">
        <f t="shared" si="40"/>
        <v>5202.0000000000009</v>
      </c>
      <c r="AT68" s="9">
        <f t="shared" si="40"/>
        <v>5202.0000000000009</v>
      </c>
      <c r="AU68" s="9">
        <f t="shared" si="40"/>
        <v>5202.0000000000009</v>
      </c>
      <c r="AV68" s="9">
        <f t="shared" si="40"/>
        <v>5202.0000000000009</v>
      </c>
      <c r="AW68" s="9">
        <f t="shared" si="40"/>
        <v>5306.0399999999991</v>
      </c>
      <c r="AX68" s="9">
        <f t="shared" si="40"/>
        <v>5306.0399999999991</v>
      </c>
      <c r="AY68" s="9">
        <f t="shared" si="40"/>
        <v>5306.0399999999991</v>
      </c>
      <c r="AZ68" s="9">
        <f t="shared" si="40"/>
        <v>5306.0399999999991</v>
      </c>
      <c r="BA68" s="9">
        <f t="shared" si="41"/>
        <v>5306.0399999999991</v>
      </c>
      <c r="BB68" s="9">
        <f t="shared" si="41"/>
        <v>5306.0399999999991</v>
      </c>
      <c r="BC68" s="9">
        <f t="shared" si="41"/>
        <v>5306.0399999999991</v>
      </c>
      <c r="BD68" s="9">
        <f t="shared" si="41"/>
        <v>5306.0399999999991</v>
      </c>
      <c r="BE68" s="9">
        <f t="shared" si="41"/>
        <v>5306.0399999999991</v>
      </c>
      <c r="BF68" s="9">
        <f t="shared" si="41"/>
        <v>5306.0399999999991</v>
      </c>
      <c r="BG68" s="9">
        <f t="shared" si="41"/>
        <v>5306.0399999999991</v>
      </c>
      <c r="BH68" s="9">
        <f t="shared" si="41"/>
        <v>5306.0399999999991</v>
      </c>
    </row>
    <row r="69" spans="1:60" x14ac:dyDescent="0.3">
      <c r="B69" s="21" t="s">
        <v>81</v>
      </c>
      <c r="F69" s="19">
        <v>150</v>
      </c>
      <c r="H69" s="2">
        <f t="shared" si="36"/>
        <v>36000</v>
      </c>
      <c r="I69" s="2">
        <f t="shared" si="36"/>
        <v>36000</v>
      </c>
      <c r="M69" s="9">
        <f t="shared" si="37"/>
        <v>3000</v>
      </c>
      <c r="N69" s="9">
        <f t="shared" si="37"/>
        <v>3000</v>
      </c>
      <c r="O69" s="9">
        <f t="shared" si="37"/>
        <v>3000</v>
      </c>
      <c r="P69" s="9">
        <f t="shared" si="37"/>
        <v>3000</v>
      </c>
      <c r="Q69" s="9">
        <f t="shared" si="37"/>
        <v>3000</v>
      </c>
      <c r="R69" s="9">
        <f t="shared" si="37"/>
        <v>3000</v>
      </c>
      <c r="S69" s="9">
        <f t="shared" si="37"/>
        <v>3000</v>
      </c>
      <c r="T69" s="9">
        <f t="shared" si="37"/>
        <v>3000</v>
      </c>
      <c r="U69" s="9">
        <f t="shared" si="37"/>
        <v>3000</v>
      </c>
      <c r="V69" s="9">
        <f t="shared" si="37"/>
        <v>3000</v>
      </c>
      <c r="W69" s="9">
        <f t="shared" si="38"/>
        <v>3000</v>
      </c>
      <c r="X69" s="9">
        <f t="shared" si="38"/>
        <v>3000</v>
      </c>
      <c r="Y69" s="9">
        <f t="shared" si="38"/>
        <v>3060</v>
      </c>
      <c r="Z69" s="9">
        <f t="shared" si="38"/>
        <v>3060</v>
      </c>
      <c r="AA69" s="9">
        <f t="shared" si="38"/>
        <v>3060</v>
      </c>
      <c r="AB69" s="9">
        <f t="shared" si="38"/>
        <v>3060</v>
      </c>
      <c r="AC69" s="9">
        <f t="shared" si="38"/>
        <v>3060</v>
      </c>
      <c r="AD69" s="9">
        <f t="shared" si="38"/>
        <v>3060</v>
      </c>
      <c r="AE69" s="9">
        <f t="shared" si="38"/>
        <v>3060</v>
      </c>
      <c r="AF69" s="9">
        <f t="shared" si="38"/>
        <v>3060</v>
      </c>
      <c r="AG69" s="9">
        <f t="shared" si="39"/>
        <v>3060</v>
      </c>
      <c r="AH69" s="9">
        <f t="shared" si="39"/>
        <v>3060</v>
      </c>
      <c r="AI69" s="9">
        <f t="shared" si="39"/>
        <v>3060</v>
      </c>
      <c r="AJ69" s="9">
        <f t="shared" si="39"/>
        <v>3060</v>
      </c>
      <c r="AK69" s="9">
        <f t="shared" si="39"/>
        <v>3121.2000000000003</v>
      </c>
      <c r="AL69" s="9">
        <f t="shared" si="39"/>
        <v>3121.2000000000003</v>
      </c>
      <c r="AM69" s="9">
        <f t="shared" si="39"/>
        <v>3121.2000000000003</v>
      </c>
      <c r="AN69" s="9">
        <f t="shared" si="39"/>
        <v>3121.2000000000003</v>
      </c>
      <c r="AO69" s="9">
        <f t="shared" si="39"/>
        <v>3121.2000000000003</v>
      </c>
      <c r="AP69" s="9">
        <f t="shared" si="39"/>
        <v>3121.2000000000003</v>
      </c>
      <c r="AQ69" s="9">
        <f t="shared" si="40"/>
        <v>3121.2000000000003</v>
      </c>
      <c r="AR69" s="9">
        <f t="shared" si="40"/>
        <v>3121.2000000000003</v>
      </c>
      <c r="AS69" s="9">
        <f t="shared" si="40"/>
        <v>3121.2000000000003</v>
      </c>
      <c r="AT69" s="9">
        <f t="shared" si="40"/>
        <v>3121.2000000000003</v>
      </c>
      <c r="AU69" s="9">
        <f t="shared" si="40"/>
        <v>3121.2000000000003</v>
      </c>
      <c r="AV69" s="9">
        <f t="shared" si="40"/>
        <v>3121.2000000000003</v>
      </c>
      <c r="AW69" s="9">
        <f t="shared" si="40"/>
        <v>3183.6239999999998</v>
      </c>
      <c r="AX69" s="9">
        <f t="shared" si="40"/>
        <v>3183.6239999999998</v>
      </c>
      <c r="AY69" s="9">
        <f t="shared" si="40"/>
        <v>3183.6239999999998</v>
      </c>
      <c r="AZ69" s="9">
        <f t="shared" si="40"/>
        <v>3183.6239999999998</v>
      </c>
      <c r="BA69" s="9">
        <f t="shared" si="41"/>
        <v>3183.6239999999998</v>
      </c>
      <c r="BB69" s="9">
        <f t="shared" si="41"/>
        <v>3183.6239999999998</v>
      </c>
      <c r="BC69" s="9">
        <f t="shared" si="41"/>
        <v>3183.6239999999998</v>
      </c>
      <c r="BD69" s="9">
        <f t="shared" si="41"/>
        <v>3183.6239999999998</v>
      </c>
      <c r="BE69" s="9">
        <f t="shared" si="41"/>
        <v>3183.6239999999998</v>
      </c>
      <c r="BF69" s="9">
        <f t="shared" si="41"/>
        <v>3183.6239999999998</v>
      </c>
      <c r="BG69" s="9">
        <f t="shared" si="41"/>
        <v>3183.6239999999998</v>
      </c>
      <c r="BH69" s="9">
        <f t="shared" si="41"/>
        <v>3183.6239999999998</v>
      </c>
    </row>
    <row r="70" spans="1:60" x14ac:dyDescent="0.3">
      <c r="B70" s="21" t="s">
        <v>82</v>
      </c>
      <c r="F70" s="19">
        <v>900</v>
      </c>
      <c r="H70" s="2">
        <f t="shared" si="36"/>
        <v>216000</v>
      </c>
      <c r="I70" s="2">
        <f t="shared" si="36"/>
        <v>216000</v>
      </c>
      <c r="M70" s="9">
        <f t="shared" si="37"/>
        <v>18000</v>
      </c>
      <c r="N70" s="9">
        <f t="shared" si="37"/>
        <v>18000</v>
      </c>
      <c r="O70" s="9">
        <f t="shared" si="37"/>
        <v>18000</v>
      </c>
      <c r="P70" s="9">
        <f t="shared" si="37"/>
        <v>18000</v>
      </c>
      <c r="Q70" s="9">
        <f t="shared" si="37"/>
        <v>18000</v>
      </c>
      <c r="R70" s="9">
        <f t="shared" si="37"/>
        <v>18000</v>
      </c>
      <c r="S70" s="9">
        <f t="shared" si="37"/>
        <v>18000</v>
      </c>
      <c r="T70" s="9">
        <f t="shared" si="37"/>
        <v>18000</v>
      </c>
      <c r="U70" s="9">
        <f t="shared" si="37"/>
        <v>18000</v>
      </c>
      <c r="V70" s="9">
        <f t="shared" si="37"/>
        <v>18000</v>
      </c>
      <c r="W70" s="9">
        <f t="shared" si="38"/>
        <v>18000</v>
      </c>
      <c r="X70" s="9">
        <f t="shared" si="38"/>
        <v>18000</v>
      </c>
      <c r="Y70" s="9">
        <f t="shared" si="38"/>
        <v>18360</v>
      </c>
      <c r="Z70" s="9">
        <f t="shared" si="38"/>
        <v>18360</v>
      </c>
      <c r="AA70" s="9">
        <f t="shared" si="38"/>
        <v>18360</v>
      </c>
      <c r="AB70" s="9">
        <f t="shared" si="38"/>
        <v>18360</v>
      </c>
      <c r="AC70" s="9">
        <f t="shared" si="38"/>
        <v>18360</v>
      </c>
      <c r="AD70" s="9">
        <f t="shared" si="38"/>
        <v>18360</v>
      </c>
      <c r="AE70" s="9">
        <f t="shared" si="38"/>
        <v>18360</v>
      </c>
      <c r="AF70" s="9">
        <f t="shared" si="38"/>
        <v>18360</v>
      </c>
      <c r="AG70" s="9">
        <f t="shared" si="39"/>
        <v>18360</v>
      </c>
      <c r="AH70" s="9">
        <f t="shared" si="39"/>
        <v>18360</v>
      </c>
      <c r="AI70" s="9">
        <f t="shared" si="39"/>
        <v>18360</v>
      </c>
      <c r="AJ70" s="9">
        <f t="shared" si="39"/>
        <v>18360</v>
      </c>
      <c r="AK70" s="9">
        <f t="shared" si="39"/>
        <v>18727.2</v>
      </c>
      <c r="AL70" s="9">
        <f t="shared" si="39"/>
        <v>18727.2</v>
      </c>
      <c r="AM70" s="9">
        <f t="shared" si="39"/>
        <v>18727.2</v>
      </c>
      <c r="AN70" s="9">
        <f t="shared" si="39"/>
        <v>18727.2</v>
      </c>
      <c r="AO70" s="9">
        <f t="shared" si="39"/>
        <v>18727.2</v>
      </c>
      <c r="AP70" s="9">
        <f t="shared" si="39"/>
        <v>18727.2</v>
      </c>
      <c r="AQ70" s="9">
        <f t="shared" si="40"/>
        <v>18727.2</v>
      </c>
      <c r="AR70" s="9">
        <f t="shared" si="40"/>
        <v>18727.2</v>
      </c>
      <c r="AS70" s="9">
        <f t="shared" si="40"/>
        <v>18727.2</v>
      </c>
      <c r="AT70" s="9">
        <f t="shared" si="40"/>
        <v>18727.2</v>
      </c>
      <c r="AU70" s="9">
        <f t="shared" si="40"/>
        <v>18727.2</v>
      </c>
      <c r="AV70" s="9">
        <f t="shared" si="40"/>
        <v>18727.2</v>
      </c>
      <c r="AW70" s="9">
        <f t="shared" si="40"/>
        <v>19101.743999999999</v>
      </c>
      <c r="AX70" s="9">
        <f t="shared" si="40"/>
        <v>19101.743999999999</v>
      </c>
      <c r="AY70" s="9">
        <f t="shared" si="40"/>
        <v>19101.743999999999</v>
      </c>
      <c r="AZ70" s="9">
        <f t="shared" si="40"/>
        <v>19101.743999999999</v>
      </c>
      <c r="BA70" s="9">
        <f t="shared" si="41"/>
        <v>19101.743999999999</v>
      </c>
      <c r="BB70" s="9">
        <f t="shared" si="41"/>
        <v>19101.743999999999</v>
      </c>
      <c r="BC70" s="9">
        <f t="shared" si="41"/>
        <v>19101.743999999999</v>
      </c>
      <c r="BD70" s="9">
        <f t="shared" si="41"/>
        <v>19101.743999999999</v>
      </c>
      <c r="BE70" s="9">
        <f t="shared" si="41"/>
        <v>19101.743999999999</v>
      </c>
      <c r="BF70" s="9">
        <f t="shared" si="41"/>
        <v>19101.743999999999</v>
      </c>
      <c r="BG70" s="9">
        <f t="shared" si="41"/>
        <v>19101.743999999999</v>
      </c>
      <c r="BH70" s="9">
        <f t="shared" si="41"/>
        <v>19101.743999999999</v>
      </c>
    </row>
    <row r="71" spans="1:60" x14ac:dyDescent="0.3">
      <c r="B71" s="21" t="s">
        <v>83</v>
      </c>
      <c r="F71" s="19">
        <v>350</v>
      </c>
      <c r="H71" s="2">
        <f t="shared" si="36"/>
        <v>84000</v>
      </c>
      <c r="I71" s="2">
        <f t="shared" si="36"/>
        <v>84000</v>
      </c>
      <c r="M71" s="9">
        <f t="shared" si="37"/>
        <v>7000</v>
      </c>
      <c r="N71" s="9">
        <f t="shared" si="37"/>
        <v>7000</v>
      </c>
      <c r="O71" s="9">
        <f t="shared" si="37"/>
        <v>7000</v>
      </c>
      <c r="P71" s="9">
        <f t="shared" si="37"/>
        <v>7000</v>
      </c>
      <c r="Q71" s="9">
        <f t="shared" si="37"/>
        <v>7000</v>
      </c>
      <c r="R71" s="9">
        <f t="shared" si="37"/>
        <v>7000</v>
      </c>
      <c r="S71" s="9">
        <f t="shared" si="37"/>
        <v>7000</v>
      </c>
      <c r="T71" s="9">
        <f t="shared" si="37"/>
        <v>7000</v>
      </c>
      <c r="U71" s="9">
        <f t="shared" si="37"/>
        <v>7000</v>
      </c>
      <c r="V71" s="9">
        <f t="shared" si="37"/>
        <v>7000</v>
      </c>
      <c r="W71" s="9">
        <f t="shared" si="38"/>
        <v>7000</v>
      </c>
      <c r="X71" s="9">
        <f t="shared" si="38"/>
        <v>7000</v>
      </c>
      <c r="Y71" s="9">
        <f t="shared" si="38"/>
        <v>7140</v>
      </c>
      <c r="Z71" s="9">
        <f t="shared" si="38"/>
        <v>7140</v>
      </c>
      <c r="AA71" s="9">
        <f t="shared" si="38"/>
        <v>7140</v>
      </c>
      <c r="AB71" s="9">
        <f t="shared" si="38"/>
        <v>7140</v>
      </c>
      <c r="AC71" s="9">
        <f t="shared" si="38"/>
        <v>7140</v>
      </c>
      <c r="AD71" s="9">
        <f t="shared" si="38"/>
        <v>7140</v>
      </c>
      <c r="AE71" s="9">
        <f t="shared" si="38"/>
        <v>7140</v>
      </c>
      <c r="AF71" s="9">
        <f t="shared" si="38"/>
        <v>7140</v>
      </c>
      <c r="AG71" s="9">
        <f t="shared" si="39"/>
        <v>7140</v>
      </c>
      <c r="AH71" s="9">
        <f t="shared" si="39"/>
        <v>7140</v>
      </c>
      <c r="AI71" s="9">
        <f t="shared" si="39"/>
        <v>7140</v>
      </c>
      <c r="AJ71" s="9">
        <f t="shared" si="39"/>
        <v>7140</v>
      </c>
      <c r="AK71" s="9">
        <f t="shared" si="39"/>
        <v>7282.7999999999993</v>
      </c>
      <c r="AL71" s="9">
        <f t="shared" si="39"/>
        <v>7282.7999999999993</v>
      </c>
      <c r="AM71" s="9">
        <f t="shared" si="39"/>
        <v>7282.7999999999993</v>
      </c>
      <c r="AN71" s="9">
        <f t="shared" si="39"/>
        <v>7282.7999999999993</v>
      </c>
      <c r="AO71" s="9">
        <f t="shared" si="39"/>
        <v>7282.7999999999993</v>
      </c>
      <c r="AP71" s="9">
        <f t="shared" si="39"/>
        <v>7282.7999999999993</v>
      </c>
      <c r="AQ71" s="9">
        <f t="shared" si="40"/>
        <v>7282.7999999999993</v>
      </c>
      <c r="AR71" s="9">
        <f t="shared" si="40"/>
        <v>7282.7999999999993</v>
      </c>
      <c r="AS71" s="9">
        <f t="shared" si="40"/>
        <v>7282.7999999999993</v>
      </c>
      <c r="AT71" s="9">
        <f t="shared" si="40"/>
        <v>7282.7999999999993</v>
      </c>
      <c r="AU71" s="9">
        <f t="shared" si="40"/>
        <v>7282.7999999999993</v>
      </c>
      <c r="AV71" s="9">
        <f t="shared" si="40"/>
        <v>7282.7999999999993</v>
      </c>
      <c r="AW71" s="9">
        <f t="shared" si="40"/>
        <v>7428.4559999999992</v>
      </c>
      <c r="AX71" s="9">
        <f t="shared" si="40"/>
        <v>7428.4559999999992</v>
      </c>
      <c r="AY71" s="9">
        <f t="shared" si="40"/>
        <v>7428.4559999999992</v>
      </c>
      <c r="AZ71" s="9">
        <f t="shared" si="40"/>
        <v>7428.4559999999992</v>
      </c>
      <c r="BA71" s="9">
        <f t="shared" si="41"/>
        <v>7428.4559999999992</v>
      </c>
      <c r="BB71" s="9">
        <f t="shared" si="41"/>
        <v>7428.4559999999992</v>
      </c>
      <c r="BC71" s="9">
        <f t="shared" si="41"/>
        <v>7428.4559999999992</v>
      </c>
      <c r="BD71" s="9">
        <f t="shared" si="41"/>
        <v>7428.4559999999992</v>
      </c>
      <c r="BE71" s="9">
        <f t="shared" si="41"/>
        <v>7428.4559999999992</v>
      </c>
      <c r="BF71" s="9">
        <f t="shared" si="41"/>
        <v>7428.4559999999992</v>
      </c>
      <c r="BG71" s="9">
        <f t="shared" si="41"/>
        <v>7428.4559999999992</v>
      </c>
      <c r="BH71" s="9">
        <f t="shared" si="41"/>
        <v>7428.4559999999992</v>
      </c>
    </row>
    <row r="72" spans="1:60" x14ac:dyDescent="0.3">
      <c r="B72" s="21" t="s">
        <v>84</v>
      </c>
      <c r="F72" s="19">
        <v>275</v>
      </c>
      <c r="H72" s="2">
        <f t="shared" si="36"/>
        <v>66000</v>
      </c>
      <c r="I72" s="2">
        <f t="shared" si="36"/>
        <v>66000</v>
      </c>
      <c r="M72" s="9">
        <f t="shared" si="37"/>
        <v>5500</v>
      </c>
      <c r="N72" s="9">
        <f t="shared" si="37"/>
        <v>5500</v>
      </c>
      <c r="O72" s="9">
        <f t="shared" si="37"/>
        <v>5500</v>
      </c>
      <c r="P72" s="9">
        <f t="shared" si="37"/>
        <v>5500</v>
      </c>
      <c r="Q72" s="9">
        <f t="shared" si="37"/>
        <v>5500</v>
      </c>
      <c r="R72" s="9">
        <f t="shared" si="37"/>
        <v>5500</v>
      </c>
      <c r="S72" s="9">
        <f t="shared" si="37"/>
        <v>5500</v>
      </c>
      <c r="T72" s="9">
        <f t="shared" si="37"/>
        <v>5500</v>
      </c>
      <c r="U72" s="9">
        <f t="shared" si="37"/>
        <v>5500</v>
      </c>
      <c r="V72" s="9">
        <f t="shared" si="37"/>
        <v>5500</v>
      </c>
      <c r="W72" s="9">
        <f t="shared" si="38"/>
        <v>5500</v>
      </c>
      <c r="X72" s="9">
        <f t="shared" si="38"/>
        <v>5500</v>
      </c>
      <c r="Y72" s="9">
        <f t="shared" si="38"/>
        <v>5610</v>
      </c>
      <c r="Z72" s="9">
        <f t="shared" si="38"/>
        <v>5610</v>
      </c>
      <c r="AA72" s="9">
        <f t="shared" si="38"/>
        <v>5610</v>
      </c>
      <c r="AB72" s="9">
        <f t="shared" si="38"/>
        <v>5610</v>
      </c>
      <c r="AC72" s="9">
        <f t="shared" si="38"/>
        <v>5610</v>
      </c>
      <c r="AD72" s="9">
        <f t="shared" si="38"/>
        <v>5610</v>
      </c>
      <c r="AE72" s="9">
        <f t="shared" si="38"/>
        <v>5610</v>
      </c>
      <c r="AF72" s="9">
        <f t="shared" si="38"/>
        <v>5610</v>
      </c>
      <c r="AG72" s="9">
        <f t="shared" si="39"/>
        <v>5610</v>
      </c>
      <c r="AH72" s="9">
        <f t="shared" si="39"/>
        <v>5610</v>
      </c>
      <c r="AI72" s="9">
        <f t="shared" si="39"/>
        <v>5610</v>
      </c>
      <c r="AJ72" s="9">
        <f t="shared" si="39"/>
        <v>5610</v>
      </c>
      <c r="AK72" s="9">
        <f t="shared" si="39"/>
        <v>5722.2000000000007</v>
      </c>
      <c r="AL72" s="9">
        <f t="shared" si="39"/>
        <v>5722.2000000000007</v>
      </c>
      <c r="AM72" s="9">
        <f t="shared" si="39"/>
        <v>5722.2000000000007</v>
      </c>
      <c r="AN72" s="9">
        <f t="shared" si="39"/>
        <v>5722.2000000000007</v>
      </c>
      <c r="AO72" s="9">
        <f t="shared" si="39"/>
        <v>5722.2000000000007</v>
      </c>
      <c r="AP72" s="9">
        <f t="shared" si="39"/>
        <v>5722.2000000000007</v>
      </c>
      <c r="AQ72" s="9">
        <f t="shared" si="40"/>
        <v>5722.2000000000007</v>
      </c>
      <c r="AR72" s="9">
        <f t="shared" si="40"/>
        <v>5722.2000000000007</v>
      </c>
      <c r="AS72" s="9">
        <f t="shared" si="40"/>
        <v>5722.2000000000007</v>
      </c>
      <c r="AT72" s="9">
        <f t="shared" si="40"/>
        <v>5722.2000000000007</v>
      </c>
      <c r="AU72" s="9">
        <f t="shared" si="40"/>
        <v>5722.2000000000007</v>
      </c>
      <c r="AV72" s="9">
        <f t="shared" si="40"/>
        <v>5722.2000000000007</v>
      </c>
      <c r="AW72" s="9">
        <f t="shared" si="40"/>
        <v>5836.6440000000002</v>
      </c>
      <c r="AX72" s="9">
        <f t="shared" si="40"/>
        <v>5836.6440000000002</v>
      </c>
      <c r="AY72" s="9">
        <f t="shared" si="40"/>
        <v>5836.6440000000002</v>
      </c>
      <c r="AZ72" s="9">
        <f t="shared" si="40"/>
        <v>5836.6440000000002</v>
      </c>
      <c r="BA72" s="9">
        <f t="shared" si="41"/>
        <v>5836.6440000000002</v>
      </c>
      <c r="BB72" s="9">
        <f t="shared" si="41"/>
        <v>5836.6440000000002</v>
      </c>
      <c r="BC72" s="9">
        <f t="shared" si="41"/>
        <v>5836.6440000000002</v>
      </c>
      <c r="BD72" s="9">
        <f t="shared" si="41"/>
        <v>5836.6440000000002</v>
      </c>
      <c r="BE72" s="9">
        <f t="shared" si="41"/>
        <v>5836.6440000000002</v>
      </c>
      <c r="BF72" s="9">
        <f t="shared" si="41"/>
        <v>5836.6440000000002</v>
      </c>
      <c r="BG72" s="9">
        <f t="shared" si="41"/>
        <v>5836.6440000000002</v>
      </c>
      <c r="BH72" s="9">
        <f t="shared" si="41"/>
        <v>5836.6440000000002</v>
      </c>
    </row>
    <row r="73" spans="1:60" x14ac:dyDescent="0.3">
      <c r="B73" s="21" t="s">
        <v>85</v>
      </c>
      <c r="F73" s="19">
        <v>250</v>
      </c>
      <c r="H73" s="2">
        <f t="shared" si="36"/>
        <v>60000</v>
      </c>
      <c r="I73" s="2">
        <f t="shared" si="36"/>
        <v>60000</v>
      </c>
      <c r="M73" s="9">
        <f t="shared" si="37"/>
        <v>5000</v>
      </c>
      <c r="N73" s="9">
        <f t="shared" si="37"/>
        <v>5000</v>
      </c>
      <c r="O73" s="9">
        <f t="shared" si="37"/>
        <v>5000</v>
      </c>
      <c r="P73" s="9">
        <f t="shared" si="37"/>
        <v>5000</v>
      </c>
      <c r="Q73" s="9">
        <f t="shared" si="37"/>
        <v>5000</v>
      </c>
      <c r="R73" s="9">
        <f t="shared" si="37"/>
        <v>5000</v>
      </c>
      <c r="S73" s="9">
        <f t="shared" si="37"/>
        <v>5000</v>
      </c>
      <c r="T73" s="9">
        <f t="shared" si="37"/>
        <v>5000</v>
      </c>
      <c r="U73" s="9">
        <f t="shared" si="37"/>
        <v>5000</v>
      </c>
      <c r="V73" s="9">
        <f t="shared" si="37"/>
        <v>5000</v>
      </c>
      <c r="W73" s="9">
        <f t="shared" si="38"/>
        <v>5000</v>
      </c>
      <c r="X73" s="9">
        <f t="shared" si="38"/>
        <v>5000</v>
      </c>
      <c r="Y73" s="9">
        <f t="shared" si="38"/>
        <v>5100</v>
      </c>
      <c r="Z73" s="9">
        <f t="shared" si="38"/>
        <v>5100</v>
      </c>
      <c r="AA73" s="9">
        <f t="shared" si="38"/>
        <v>5100</v>
      </c>
      <c r="AB73" s="9">
        <f t="shared" si="38"/>
        <v>5100</v>
      </c>
      <c r="AC73" s="9">
        <f t="shared" si="38"/>
        <v>5100</v>
      </c>
      <c r="AD73" s="9">
        <f t="shared" si="38"/>
        <v>5100</v>
      </c>
      <c r="AE73" s="9">
        <f t="shared" si="38"/>
        <v>5100</v>
      </c>
      <c r="AF73" s="9">
        <f t="shared" si="38"/>
        <v>5100</v>
      </c>
      <c r="AG73" s="9">
        <f t="shared" si="39"/>
        <v>5100</v>
      </c>
      <c r="AH73" s="9">
        <f t="shared" si="39"/>
        <v>5100</v>
      </c>
      <c r="AI73" s="9">
        <f t="shared" si="39"/>
        <v>5100</v>
      </c>
      <c r="AJ73" s="9">
        <f t="shared" si="39"/>
        <v>5100</v>
      </c>
      <c r="AK73" s="9">
        <f t="shared" si="39"/>
        <v>5202.0000000000009</v>
      </c>
      <c r="AL73" s="9">
        <f t="shared" si="39"/>
        <v>5202.0000000000009</v>
      </c>
      <c r="AM73" s="9">
        <f t="shared" si="39"/>
        <v>5202.0000000000009</v>
      </c>
      <c r="AN73" s="9">
        <f t="shared" si="39"/>
        <v>5202.0000000000009</v>
      </c>
      <c r="AO73" s="9">
        <f t="shared" si="39"/>
        <v>5202.0000000000009</v>
      </c>
      <c r="AP73" s="9">
        <f t="shared" si="39"/>
        <v>5202.0000000000009</v>
      </c>
      <c r="AQ73" s="9">
        <f t="shared" si="40"/>
        <v>5202.0000000000009</v>
      </c>
      <c r="AR73" s="9">
        <f t="shared" si="40"/>
        <v>5202.0000000000009</v>
      </c>
      <c r="AS73" s="9">
        <f t="shared" si="40"/>
        <v>5202.0000000000009</v>
      </c>
      <c r="AT73" s="9">
        <f t="shared" si="40"/>
        <v>5202.0000000000009</v>
      </c>
      <c r="AU73" s="9">
        <f t="shared" si="40"/>
        <v>5202.0000000000009</v>
      </c>
      <c r="AV73" s="9">
        <f t="shared" si="40"/>
        <v>5202.0000000000009</v>
      </c>
      <c r="AW73" s="9">
        <f t="shared" si="40"/>
        <v>5306.0399999999991</v>
      </c>
      <c r="AX73" s="9">
        <f t="shared" si="40"/>
        <v>5306.0399999999991</v>
      </c>
      <c r="AY73" s="9">
        <f t="shared" si="40"/>
        <v>5306.0399999999991</v>
      </c>
      <c r="AZ73" s="9">
        <f t="shared" si="40"/>
        <v>5306.0399999999991</v>
      </c>
      <c r="BA73" s="9">
        <f t="shared" si="41"/>
        <v>5306.0399999999991</v>
      </c>
      <c r="BB73" s="9">
        <f t="shared" si="41"/>
        <v>5306.0399999999991</v>
      </c>
      <c r="BC73" s="9">
        <f t="shared" si="41"/>
        <v>5306.0399999999991</v>
      </c>
      <c r="BD73" s="9">
        <f t="shared" si="41"/>
        <v>5306.0399999999991</v>
      </c>
      <c r="BE73" s="9">
        <f t="shared" si="41"/>
        <v>5306.0399999999991</v>
      </c>
      <c r="BF73" s="9">
        <f t="shared" si="41"/>
        <v>5306.0399999999991</v>
      </c>
      <c r="BG73" s="9">
        <f t="shared" si="41"/>
        <v>5306.0399999999991</v>
      </c>
      <c r="BH73" s="9">
        <f t="shared" si="41"/>
        <v>5306.0399999999991</v>
      </c>
    </row>
    <row r="74" spans="1:60" ht="16.2" x14ac:dyDescent="0.45">
      <c r="B74" s="21" t="s">
        <v>86</v>
      </c>
      <c r="D74" s="22" t="s">
        <v>56</v>
      </c>
      <c r="E74" s="22" t="s">
        <v>95</v>
      </c>
      <c r="F74" s="19">
        <v>1200</v>
      </c>
      <c r="H74" s="2">
        <f t="shared" si="36"/>
        <v>288000</v>
      </c>
      <c r="I74" s="2">
        <f t="shared" si="36"/>
        <v>288000</v>
      </c>
      <c r="M74" s="9">
        <f t="shared" si="37"/>
        <v>24000</v>
      </c>
      <c r="N74" s="9">
        <f t="shared" si="37"/>
        <v>24000</v>
      </c>
      <c r="O74" s="9">
        <f t="shared" si="37"/>
        <v>24000</v>
      </c>
      <c r="P74" s="9">
        <f t="shared" si="37"/>
        <v>24000</v>
      </c>
      <c r="Q74" s="9">
        <f t="shared" si="37"/>
        <v>24000</v>
      </c>
      <c r="R74" s="9">
        <f t="shared" si="37"/>
        <v>24000</v>
      </c>
      <c r="S74" s="9">
        <f t="shared" si="37"/>
        <v>24000</v>
      </c>
      <c r="T74" s="9">
        <f t="shared" si="37"/>
        <v>24000</v>
      </c>
      <c r="U74" s="9">
        <f t="shared" si="37"/>
        <v>24000</v>
      </c>
      <c r="V74" s="9">
        <f t="shared" si="37"/>
        <v>24000</v>
      </c>
      <c r="W74" s="9">
        <f t="shared" si="38"/>
        <v>24000</v>
      </c>
      <c r="X74" s="9">
        <f t="shared" si="38"/>
        <v>24000</v>
      </c>
      <c r="Y74" s="9">
        <f t="shared" si="38"/>
        <v>24480</v>
      </c>
      <c r="Z74" s="9">
        <f t="shared" si="38"/>
        <v>24480</v>
      </c>
      <c r="AA74" s="9">
        <f t="shared" si="38"/>
        <v>24480</v>
      </c>
      <c r="AB74" s="9">
        <f t="shared" si="38"/>
        <v>24480</v>
      </c>
      <c r="AC74" s="9">
        <f t="shared" si="38"/>
        <v>24480</v>
      </c>
      <c r="AD74" s="9">
        <f t="shared" si="38"/>
        <v>24480</v>
      </c>
      <c r="AE74" s="9">
        <f t="shared" si="38"/>
        <v>24480</v>
      </c>
      <c r="AF74" s="9">
        <f t="shared" si="38"/>
        <v>24480</v>
      </c>
      <c r="AG74" s="9">
        <f t="shared" si="39"/>
        <v>24480</v>
      </c>
      <c r="AH74" s="9">
        <f t="shared" si="39"/>
        <v>24480</v>
      </c>
      <c r="AI74" s="9">
        <f t="shared" si="39"/>
        <v>24480</v>
      </c>
      <c r="AJ74" s="9">
        <f t="shared" si="39"/>
        <v>24480</v>
      </c>
      <c r="AK74" s="9">
        <f t="shared" si="39"/>
        <v>24969.600000000002</v>
      </c>
      <c r="AL74" s="9">
        <f t="shared" si="39"/>
        <v>24969.600000000002</v>
      </c>
      <c r="AM74" s="9">
        <f t="shared" si="39"/>
        <v>24969.600000000002</v>
      </c>
      <c r="AN74" s="9">
        <f t="shared" si="39"/>
        <v>24969.600000000002</v>
      </c>
      <c r="AO74" s="9">
        <f t="shared" si="39"/>
        <v>24969.600000000002</v>
      </c>
      <c r="AP74" s="9">
        <f t="shared" si="39"/>
        <v>24969.600000000002</v>
      </c>
      <c r="AQ74" s="9">
        <f t="shared" si="40"/>
        <v>24969.600000000002</v>
      </c>
      <c r="AR74" s="9">
        <f t="shared" si="40"/>
        <v>24969.600000000002</v>
      </c>
      <c r="AS74" s="9">
        <f t="shared" si="40"/>
        <v>24969.600000000002</v>
      </c>
      <c r="AT74" s="9">
        <f t="shared" si="40"/>
        <v>24969.600000000002</v>
      </c>
      <c r="AU74" s="9">
        <f t="shared" si="40"/>
        <v>24969.600000000002</v>
      </c>
      <c r="AV74" s="9">
        <f t="shared" si="40"/>
        <v>24969.600000000002</v>
      </c>
      <c r="AW74" s="9">
        <f t="shared" si="40"/>
        <v>25468.991999999998</v>
      </c>
      <c r="AX74" s="9">
        <f t="shared" si="40"/>
        <v>25468.991999999998</v>
      </c>
      <c r="AY74" s="9">
        <f t="shared" si="40"/>
        <v>25468.991999999998</v>
      </c>
      <c r="AZ74" s="9">
        <f t="shared" si="40"/>
        <v>25468.991999999998</v>
      </c>
      <c r="BA74" s="9">
        <f t="shared" si="41"/>
        <v>25468.991999999998</v>
      </c>
      <c r="BB74" s="9">
        <f t="shared" si="41"/>
        <v>25468.991999999998</v>
      </c>
      <c r="BC74" s="9">
        <f t="shared" si="41"/>
        <v>25468.991999999998</v>
      </c>
      <c r="BD74" s="9">
        <f t="shared" si="41"/>
        <v>25468.991999999998</v>
      </c>
      <c r="BE74" s="9">
        <f t="shared" si="41"/>
        <v>25468.991999999998</v>
      </c>
      <c r="BF74" s="9">
        <f t="shared" si="41"/>
        <v>25468.991999999998</v>
      </c>
      <c r="BG74" s="9">
        <f t="shared" si="41"/>
        <v>25468.991999999998</v>
      </c>
      <c r="BH74" s="9">
        <f t="shared" si="41"/>
        <v>25468.991999999998</v>
      </c>
    </row>
    <row r="75" spans="1:60" x14ac:dyDescent="0.3">
      <c r="B75" s="21" t="s">
        <v>92</v>
      </c>
      <c r="D75" s="24">
        <v>0.03</v>
      </c>
      <c r="E75" s="24">
        <v>0.03</v>
      </c>
      <c r="F75" s="57" t="s">
        <v>94</v>
      </c>
      <c r="H75" s="2">
        <f>D75*H64</f>
        <v>125023.995</v>
      </c>
      <c r="I75" s="2">
        <f>E75*I64</f>
        <v>141795.09899999999</v>
      </c>
      <c r="M75" s="9">
        <f>$D$75*M64</f>
        <v>10060.36175</v>
      </c>
      <c r="N75" s="9">
        <f t="shared" ref="N75:BH75" si="42">$D$75*N64</f>
        <v>10136.763077245203</v>
      </c>
      <c r="O75" s="9">
        <f t="shared" si="42"/>
        <v>10213.437125653001</v>
      </c>
      <c r="P75" s="9">
        <f t="shared" si="42"/>
        <v>10290.384694580142</v>
      </c>
      <c r="Q75" s="9">
        <f t="shared" si="42"/>
        <v>10367.606585519326</v>
      </c>
      <c r="R75" s="9">
        <f t="shared" si="42"/>
        <v>10445.103602104615</v>
      </c>
      <c r="S75" s="9">
        <f t="shared" si="42"/>
        <v>10522.876550116851</v>
      </c>
      <c r="T75" s="9">
        <f t="shared" si="42"/>
        <v>10600.926237489095</v>
      </c>
      <c r="U75" s="9">
        <f t="shared" si="42"/>
        <v>10679.253474312058</v>
      </c>
      <c r="V75" s="9">
        <f t="shared" si="42"/>
        <v>10757.859072839594</v>
      </c>
      <c r="W75" s="9">
        <f t="shared" si="42"/>
        <v>10836.743847494143</v>
      </c>
      <c r="X75" s="9">
        <f t="shared" si="42"/>
        <v>10915.908614872233</v>
      </c>
      <c r="Y75" s="9">
        <f t="shared" si="42"/>
        <v>10998.456193749986</v>
      </c>
      <c r="Z75" s="9">
        <f t="shared" si="42"/>
        <v>11078.183405088608</v>
      </c>
      <c r="AA75" s="9">
        <f t="shared" si="42"/>
        <v>11158.193072039952</v>
      </c>
      <c r="AB75" s="9">
        <f t="shared" si="42"/>
        <v>11238.486019952043</v>
      </c>
      <c r="AC75" s="9">
        <f t="shared" si="42"/>
        <v>11319.063076374608</v>
      </c>
      <c r="AD75" s="9">
        <f t="shared" si="42"/>
        <v>11399.925071064688</v>
      </c>
      <c r="AE75" s="9">
        <f t="shared" si="42"/>
        <v>11481.072835992198</v>
      </c>
      <c r="AF75" s="9">
        <f t="shared" si="42"/>
        <v>11562.507205345522</v>
      </c>
      <c r="AG75" s="9">
        <f t="shared" si="42"/>
        <v>11644.229015537123</v>
      </c>
      <c r="AH75" s="9">
        <f t="shared" si="42"/>
        <v>11726.239105209166</v>
      </c>
      <c r="AI75" s="9">
        <f t="shared" si="42"/>
        <v>11808.538315239171</v>
      </c>
      <c r="AJ75" s="9">
        <f t="shared" si="42"/>
        <v>11891.127488745637</v>
      </c>
      <c r="AK75" s="9">
        <f t="shared" si="42"/>
        <v>12412.870426406216</v>
      </c>
      <c r="AL75" s="9">
        <f t="shared" si="42"/>
        <v>12438.106519501473</v>
      </c>
      <c r="AM75" s="9">
        <f t="shared" si="42"/>
        <v>12463.394594816598</v>
      </c>
      <c r="AN75" s="9">
        <f t="shared" si="42"/>
        <v>12488.734759426448</v>
      </c>
      <c r="AO75" s="9">
        <f t="shared" si="42"/>
        <v>12514.127120626448</v>
      </c>
      <c r="AP75" s="9">
        <f t="shared" si="42"/>
        <v>12539.571785933022</v>
      </c>
      <c r="AQ75" s="9">
        <f t="shared" si="42"/>
        <v>12565.068863084072</v>
      </c>
      <c r="AR75" s="9">
        <f t="shared" si="42"/>
        <v>12590.618460039414</v>
      </c>
      <c r="AS75" s="9">
        <f t="shared" si="42"/>
        <v>12616.220684981237</v>
      </c>
      <c r="AT75" s="9">
        <f t="shared" si="42"/>
        <v>12641.875646314591</v>
      </c>
      <c r="AU75" s="9">
        <f t="shared" si="42"/>
        <v>12667.583452667801</v>
      </c>
      <c r="AV75" s="9">
        <f t="shared" si="42"/>
        <v>12693.344212892951</v>
      </c>
      <c r="AW75" s="9">
        <f t="shared" si="42"/>
        <v>12722.385356866351</v>
      </c>
      <c r="AX75" s="9">
        <f t="shared" si="42"/>
        <v>12748.25235228899</v>
      </c>
      <c r="AY75" s="9">
        <f t="shared" si="42"/>
        <v>12774.172629486991</v>
      </c>
      <c r="AZ75" s="9">
        <f t="shared" si="42"/>
        <v>12800.146298212092</v>
      </c>
      <c r="BA75" s="9">
        <f t="shared" si="42"/>
        <v>12826.17346844209</v>
      </c>
      <c r="BB75" s="9">
        <f t="shared" si="42"/>
        <v>12852.254250381329</v>
      </c>
      <c r="BC75" s="9">
        <f t="shared" si="42"/>
        <v>12878.388754461153</v>
      </c>
      <c r="BD75" s="9">
        <f t="shared" si="42"/>
        <v>12904.577091340379</v>
      </c>
      <c r="BE75" s="9">
        <f t="shared" si="42"/>
        <v>12930.819371905753</v>
      </c>
      <c r="BF75" s="9">
        <f t="shared" si="42"/>
        <v>12957.115707272436</v>
      </c>
      <c r="BG75" s="9">
        <f t="shared" si="42"/>
        <v>12983.466208784475</v>
      </c>
      <c r="BH75" s="9">
        <f t="shared" si="42"/>
        <v>13009.870988015256</v>
      </c>
    </row>
    <row r="76" spans="1:60" x14ac:dyDescent="0.3">
      <c r="B76" s="21" t="s">
        <v>87</v>
      </c>
      <c r="D76" s="24">
        <v>0.01</v>
      </c>
      <c r="E76" s="24">
        <v>1.2500000000000001E-2</v>
      </c>
      <c r="F76" s="57" t="s">
        <v>96</v>
      </c>
      <c r="H76" s="2">
        <f>D76*$I$21</f>
        <v>425000</v>
      </c>
      <c r="I76" s="2">
        <f>E76*$I$21</f>
        <v>531250</v>
      </c>
      <c r="M76" s="9">
        <f>$H76*(1+$E$48)^(M2-1)/12</f>
        <v>35416.666666666664</v>
      </c>
      <c r="N76" s="9">
        <f t="shared" ref="N76:BH76" si="43">$H76*(1+$E$48)^(N2-1)/12</f>
        <v>35416.666666666664</v>
      </c>
      <c r="O76" s="9">
        <f t="shared" si="43"/>
        <v>35416.666666666664</v>
      </c>
      <c r="P76" s="9">
        <f t="shared" si="43"/>
        <v>35416.666666666664</v>
      </c>
      <c r="Q76" s="9">
        <f t="shared" si="43"/>
        <v>35416.666666666664</v>
      </c>
      <c r="R76" s="9">
        <f t="shared" si="43"/>
        <v>35416.666666666664</v>
      </c>
      <c r="S76" s="9">
        <f t="shared" si="43"/>
        <v>35416.666666666664</v>
      </c>
      <c r="T76" s="9">
        <f t="shared" si="43"/>
        <v>35416.666666666664</v>
      </c>
      <c r="U76" s="9">
        <f t="shared" si="43"/>
        <v>35416.666666666664</v>
      </c>
      <c r="V76" s="9">
        <f t="shared" si="43"/>
        <v>35416.666666666664</v>
      </c>
      <c r="W76" s="9">
        <f t="shared" si="43"/>
        <v>35416.666666666664</v>
      </c>
      <c r="X76" s="9">
        <f t="shared" si="43"/>
        <v>35416.666666666664</v>
      </c>
      <c r="Y76" s="9">
        <f t="shared" si="43"/>
        <v>38250.000000000007</v>
      </c>
      <c r="Z76" s="9">
        <f t="shared" si="43"/>
        <v>38250.000000000007</v>
      </c>
      <c r="AA76" s="9">
        <f t="shared" si="43"/>
        <v>38250.000000000007</v>
      </c>
      <c r="AB76" s="9">
        <f t="shared" si="43"/>
        <v>38250.000000000007</v>
      </c>
      <c r="AC76" s="9">
        <f t="shared" si="43"/>
        <v>38250.000000000007</v>
      </c>
      <c r="AD76" s="9">
        <f t="shared" si="43"/>
        <v>38250.000000000007</v>
      </c>
      <c r="AE76" s="9">
        <f t="shared" si="43"/>
        <v>38250.000000000007</v>
      </c>
      <c r="AF76" s="9">
        <f t="shared" si="43"/>
        <v>38250.000000000007</v>
      </c>
      <c r="AG76" s="9">
        <f t="shared" si="43"/>
        <v>38250.000000000007</v>
      </c>
      <c r="AH76" s="9">
        <f t="shared" si="43"/>
        <v>38250.000000000007</v>
      </c>
      <c r="AI76" s="9">
        <f t="shared" si="43"/>
        <v>38250.000000000007</v>
      </c>
      <c r="AJ76" s="9">
        <f t="shared" si="43"/>
        <v>38250.000000000007</v>
      </c>
      <c r="AK76" s="9">
        <f t="shared" si="43"/>
        <v>41310.000000000007</v>
      </c>
      <c r="AL76" s="9">
        <f t="shared" si="43"/>
        <v>41310.000000000007</v>
      </c>
      <c r="AM76" s="9">
        <f t="shared" si="43"/>
        <v>41310.000000000007</v>
      </c>
      <c r="AN76" s="9">
        <f t="shared" si="43"/>
        <v>41310.000000000007</v>
      </c>
      <c r="AO76" s="9">
        <f t="shared" si="43"/>
        <v>41310.000000000007</v>
      </c>
      <c r="AP76" s="9">
        <f t="shared" si="43"/>
        <v>41310.000000000007</v>
      </c>
      <c r="AQ76" s="9">
        <f t="shared" si="43"/>
        <v>41310.000000000007</v>
      </c>
      <c r="AR76" s="9">
        <f t="shared" si="43"/>
        <v>41310.000000000007</v>
      </c>
      <c r="AS76" s="9">
        <f t="shared" si="43"/>
        <v>41310.000000000007</v>
      </c>
      <c r="AT76" s="9">
        <f t="shared" si="43"/>
        <v>41310.000000000007</v>
      </c>
      <c r="AU76" s="9">
        <f t="shared" si="43"/>
        <v>41310.000000000007</v>
      </c>
      <c r="AV76" s="9">
        <f t="shared" si="43"/>
        <v>41310.000000000007</v>
      </c>
      <c r="AW76" s="9">
        <f t="shared" si="43"/>
        <v>44614.80000000001</v>
      </c>
      <c r="AX76" s="9">
        <f t="shared" si="43"/>
        <v>44614.80000000001</v>
      </c>
      <c r="AY76" s="9">
        <f t="shared" si="43"/>
        <v>44614.80000000001</v>
      </c>
      <c r="AZ76" s="9">
        <f t="shared" si="43"/>
        <v>44614.80000000001</v>
      </c>
      <c r="BA76" s="9">
        <f t="shared" si="43"/>
        <v>44614.80000000001</v>
      </c>
      <c r="BB76" s="9">
        <f t="shared" si="43"/>
        <v>44614.80000000001</v>
      </c>
      <c r="BC76" s="9">
        <f t="shared" si="43"/>
        <v>44614.80000000001</v>
      </c>
      <c r="BD76" s="9">
        <f t="shared" si="43"/>
        <v>44614.80000000001</v>
      </c>
      <c r="BE76" s="9">
        <f t="shared" si="43"/>
        <v>44614.80000000001</v>
      </c>
      <c r="BF76" s="9">
        <f t="shared" si="43"/>
        <v>44614.80000000001</v>
      </c>
      <c r="BG76" s="9">
        <f t="shared" si="43"/>
        <v>44614.80000000001</v>
      </c>
      <c r="BH76" s="9">
        <f t="shared" si="43"/>
        <v>44614.80000000001</v>
      </c>
    </row>
    <row r="77" spans="1:60" ht="16.2" x14ac:dyDescent="0.45">
      <c r="B77" s="21" t="s">
        <v>88</v>
      </c>
      <c r="F77" s="19">
        <v>200</v>
      </c>
      <c r="H77" s="22">
        <f>Units*$F77</f>
        <v>48000</v>
      </c>
      <c r="I77" s="22">
        <f>Units*$F77</f>
        <v>48000</v>
      </c>
      <c r="M77" s="32">
        <f t="shared" ref="M77:BH77" si="44">$F77*(1+$E$47)^(M$2-1)*Units/12</f>
        <v>4000</v>
      </c>
      <c r="N77" s="32">
        <f t="shared" si="44"/>
        <v>4000</v>
      </c>
      <c r="O77" s="32">
        <f t="shared" si="44"/>
        <v>4000</v>
      </c>
      <c r="P77" s="32">
        <f t="shared" si="44"/>
        <v>4000</v>
      </c>
      <c r="Q77" s="32">
        <f t="shared" si="44"/>
        <v>4000</v>
      </c>
      <c r="R77" s="32">
        <f t="shared" si="44"/>
        <v>4000</v>
      </c>
      <c r="S77" s="32">
        <f t="shared" si="44"/>
        <v>4000</v>
      </c>
      <c r="T77" s="32">
        <f t="shared" si="44"/>
        <v>4000</v>
      </c>
      <c r="U77" s="32">
        <f t="shared" si="44"/>
        <v>4000</v>
      </c>
      <c r="V77" s="32">
        <f t="shared" si="44"/>
        <v>4000</v>
      </c>
      <c r="W77" s="32">
        <f t="shared" si="44"/>
        <v>4000</v>
      </c>
      <c r="X77" s="32">
        <f t="shared" si="44"/>
        <v>4000</v>
      </c>
      <c r="Y77" s="32">
        <f t="shared" si="44"/>
        <v>4080</v>
      </c>
      <c r="Z77" s="32">
        <f t="shared" si="44"/>
        <v>4080</v>
      </c>
      <c r="AA77" s="32">
        <f t="shared" si="44"/>
        <v>4080</v>
      </c>
      <c r="AB77" s="32">
        <f t="shared" si="44"/>
        <v>4080</v>
      </c>
      <c r="AC77" s="32">
        <f t="shared" si="44"/>
        <v>4080</v>
      </c>
      <c r="AD77" s="32">
        <f t="shared" si="44"/>
        <v>4080</v>
      </c>
      <c r="AE77" s="32">
        <f t="shared" si="44"/>
        <v>4080</v>
      </c>
      <c r="AF77" s="32">
        <f t="shared" si="44"/>
        <v>4080</v>
      </c>
      <c r="AG77" s="32">
        <f t="shared" si="44"/>
        <v>4080</v>
      </c>
      <c r="AH77" s="32">
        <f t="shared" si="44"/>
        <v>4080</v>
      </c>
      <c r="AI77" s="32">
        <f t="shared" si="44"/>
        <v>4080</v>
      </c>
      <c r="AJ77" s="32">
        <f t="shared" si="44"/>
        <v>4080</v>
      </c>
      <c r="AK77" s="32">
        <f t="shared" si="44"/>
        <v>4161.5999999999995</v>
      </c>
      <c r="AL77" s="32">
        <f t="shared" si="44"/>
        <v>4161.5999999999995</v>
      </c>
      <c r="AM77" s="32">
        <f t="shared" si="44"/>
        <v>4161.5999999999995</v>
      </c>
      <c r="AN77" s="32">
        <f t="shared" si="44"/>
        <v>4161.5999999999995</v>
      </c>
      <c r="AO77" s="32">
        <f t="shared" si="44"/>
        <v>4161.5999999999995</v>
      </c>
      <c r="AP77" s="32">
        <f t="shared" si="44"/>
        <v>4161.5999999999995</v>
      </c>
      <c r="AQ77" s="32">
        <f t="shared" si="44"/>
        <v>4161.5999999999995</v>
      </c>
      <c r="AR77" s="32">
        <f t="shared" si="44"/>
        <v>4161.5999999999995</v>
      </c>
      <c r="AS77" s="32">
        <f t="shared" si="44"/>
        <v>4161.5999999999995</v>
      </c>
      <c r="AT77" s="32">
        <f t="shared" si="44"/>
        <v>4161.5999999999995</v>
      </c>
      <c r="AU77" s="32">
        <f t="shared" si="44"/>
        <v>4161.5999999999995</v>
      </c>
      <c r="AV77" s="32">
        <f t="shared" si="44"/>
        <v>4161.5999999999995</v>
      </c>
      <c r="AW77" s="32">
        <f t="shared" si="44"/>
        <v>4244.8319999999994</v>
      </c>
      <c r="AX77" s="32">
        <f t="shared" si="44"/>
        <v>4244.8319999999994</v>
      </c>
      <c r="AY77" s="32">
        <f t="shared" si="44"/>
        <v>4244.8319999999994</v>
      </c>
      <c r="AZ77" s="32">
        <f t="shared" si="44"/>
        <v>4244.8319999999994</v>
      </c>
      <c r="BA77" s="32">
        <f t="shared" si="44"/>
        <v>4244.8319999999994</v>
      </c>
      <c r="BB77" s="32">
        <f t="shared" si="44"/>
        <v>4244.8319999999994</v>
      </c>
      <c r="BC77" s="32">
        <f t="shared" si="44"/>
        <v>4244.8319999999994</v>
      </c>
      <c r="BD77" s="32">
        <f t="shared" si="44"/>
        <v>4244.8319999999994</v>
      </c>
      <c r="BE77" s="32">
        <f t="shared" si="44"/>
        <v>4244.8319999999994</v>
      </c>
      <c r="BF77" s="32">
        <f t="shared" si="44"/>
        <v>4244.8319999999994</v>
      </c>
      <c r="BG77" s="32">
        <f t="shared" si="44"/>
        <v>4244.8319999999994</v>
      </c>
      <c r="BH77" s="32">
        <f t="shared" si="44"/>
        <v>4244.8319999999994</v>
      </c>
    </row>
    <row r="78" spans="1:60" x14ac:dyDescent="0.3">
      <c r="B78" s="55" t="s">
        <v>89</v>
      </c>
      <c r="H78" s="2">
        <f>SUM(H66:H77)</f>
        <v>1540023.9950000001</v>
      </c>
      <c r="I78" s="2">
        <f>SUM(I66:I77)</f>
        <v>1663045.0989999999</v>
      </c>
      <c r="M78" s="9">
        <f>SUM(M66:M77)</f>
        <v>127977.02841666667</v>
      </c>
      <c r="N78" s="9">
        <f t="shared" ref="N78:BH78" si="45">SUM(N66:N77)</f>
        <v>128053.42974391187</v>
      </c>
      <c r="O78" s="9">
        <f t="shared" si="45"/>
        <v>128130.10379231966</v>
      </c>
      <c r="P78" s="9">
        <f t="shared" si="45"/>
        <v>128207.05136124679</v>
      </c>
      <c r="Q78" s="9">
        <f t="shared" si="45"/>
        <v>128284.27325218599</v>
      </c>
      <c r="R78" s="9">
        <f t="shared" si="45"/>
        <v>128361.77026877127</v>
      </c>
      <c r="S78" s="9">
        <f t="shared" si="45"/>
        <v>128439.54321678352</v>
      </c>
      <c r="T78" s="9">
        <f t="shared" si="45"/>
        <v>128517.59290415575</v>
      </c>
      <c r="U78" s="9">
        <f t="shared" si="45"/>
        <v>128595.92014097873</v>
      </c>
      <c r="V78" s="9">
        <f t="shared" si="45"/>
        <v>128674.52573950627</v>
      </c>
      <c r="W78" s="9">
        <f t="shared" si="45"/>
        <v>128753.41051416082</v>
      </c>
      <c r="X78" s="9">
        <f t="shared" si="45"/>
        <v>128832.57528153888</v>
      </c>
      <c r="Y78" s="9">
        <f t="shared" si="45"/>
        <v>133398.45619375</v>
      </c>
      <c r="Z78" s="9">
        <f t="shared" si="45"/>
        <v>133478.18340508861</v>
      </c>
      <c r="AA78" s="9">
        <f t="shared" si="45"/>
        <v>133558.19307203995</v>
      </c>
      <c r="AB78" s="9">
        <f t="shared" si="45"/>
        <v>133638.48601995205</v>
      </c>
      <c r="AC78" s="9">
        <f t="shared" si="45"/>
        <v>133719.06307637462</v>
      </c>
      <c r="AD78" s="9">
        <f t="shared" si="45"/>
        <v>133799.9250710647</v>
      </c>
      <c r="AE78" s="9">
        <f t="shared" si="45"/>
        <v>133881.07283599221</v>
      </c>
      <c r="AF78" s="9">
        <f t="shared" si="45"/>
        <v>133962.50720534552</v>
      </c>
      <c r="AG78" s="9">
        <f t="shared" si="45"/>
        <v>134044.22901553713</v>
      </c>
      <c r="AH78" s="9">
        <f t="shared" si="45"/>
        <v>134126.23910520918</v>
      </c>
      <c r="AI78" s="9">
        <f t="shared" si="45"/>
        <v>134208.53831523919</v>
      </c>
      <c r="AJ78" s="9">
        <f t="shared" si="45"/>
        <v>134291.12748874564</v>
      </c>
      <c r="AK78" s="9">
        <f t="shared" si="45"/>
        <v>139555.87042640624</v>
      </c>
      <c r="AL78" s="9">
        <f t="shared" si="45"/>
        <v>139581.10651950148</v>
      </c>
      <c r="AM78" s="9">
        <f t="shared" si="45"/>
        <v>139606.39459481661</v>
      </c>
      <c r="AN78" s="9">
        <f t="shared" si="45"/>
        <v>139631.73475942647</v>
      </c>
      <c r="AO78" s="9">
        <f t="shared" si="45"/>
        <v>139657.12712062648</v>
      </c>
      <c r="AP78" s="9">
        <f t="shared" si="45"/>
        <v>139682.57178593305</v>
      </c>
      <c r="AQ78" s="9">
        <f t="shared" si="45"/>
        <v>139708.0688630841</v>
      </c>
      <c r="AR78" s="9">
        <f t="shared" si="45"/>
        <v>139733.61846003943</v>
      </c>
      <c r="AS78" s="9">
        <f t="shared" si="45"/>
        <v>139759.22068498126</v>
      </c>
      <c r="AT78" s="9">
        <f t="shared" si="45"/>
        <v>139784.87564631461</v>
      </c>
      <c r="AU78" s="9">
        <f t="shared" si="45"/>
        <v>139810.58345266781</v>
      </c>
      <c r="AV78" s="9">
        <f t="shared" si="45"/>
        <v>139836.34421289296</v>
      </c>
      <c r="AW78" s="9">
        <f t="shared" si="45"/>
        <v>144886.84535686634</v>
      </c>
      <c r="AX78" s="9">
        <f t="shared" si="45"/>
        <v>144912.712352289</v>
      </c>
      <c r="AY78" s="9">
        <f t="shared" si="45"/>
        <v>144938.63262948699</v>
      </c>
      <c r="AZ78" s="9">
        <f t="shared" si="45"/>
        <v>144964.60629821208</v>
      </c>
      <c r="BA78" s="9">
        <f t="shared" si="45"/>
        <v>144990.6334684421</v>
      </c>
      <c r="BB78" s="9">
        <f t="shared" si="45"/>
        <v>145016.71425038134</v>
      </c>
      <c r="BC78" s="9">
        <f t="shared" si="45"/>
        <v>145042.84875446116</v>
      </c>
      <c r="BD78" s="9">
        <f t="shared" si="45"/>
        <v>145069.03709134037</v>
      </c>
      <c r="BE78" s="9">
        <f t="shared" si="45"/>
        <v>145095.27937190575</v>
      </c>
      <c r="BF78" s="9">
        <f t="shared" si="45"/>
        <v>145121.57570727242</v>
      </c>
      <c r="BG78" s="9">
        <f t="shared" si="45"/>
        <v>145147.92620878448</v>
      </c>
      <c r="BH78" s="9">
        <f t="shared" si="45"/>
        <v>145174.33098801525</v>
      </c>
    </row>
    <row r="79" spans="1:60" x14ac:dyDescent="0.3">
      <c r="B79" s="55"/>
    </row>
    <row r="80" spans="1:60" s="53" customFormat="1" x14ac:dyDescent="0.3">
      <c r="A80" s="20"/>
      <c r="B80" s="54" t="s">
        <v>90</v>
      </c>
      <c r="C80" s="50"/>
      <c r="D80" s="51"/>
      <c r="E80" s="51"/>
      <c r="F80" s="51"/>
      <c r="G80" s="51"/>
      <c r="H80" s="51">
        <f>H64-H78</f>
        <v>2627442.5049999999</v>
      </c>
      <c r="I80" s="51">
        <f>I64-I78</f>
        <v>3063458.2009999999</v>
      </c>
      <c r="J80" s="20"/>
      <c r="K80" s="52"/>
      <c r="M80" s="53">
        <f>M64-M78</f>
        <v>207368.36324999999</v>
      </c>
      <c r="N80" s="53">
        <f t="shared" ref="N80:BH80" si="46">N64-N78</f>
        <v>209838.67283092826</v>
      </c>
      <c r="O80" s="53">
        <f t="shared" si="46"/>
        <v>212317.80039611371</v>
      </c>
      <c r="P80" s="53">
        <f t="shared" si="46"/>
        <v>214805.7717914246</v>
      </c>
      <c r="Q80" s="53">
        <f t="shared" si="46"/>
        <v>217302.61293179155</v>
      </c>
      <c r="R80" s="53">
        <f t="shared" si="46"/>
        <v>219808.34980138257</v>
      </c>
      <c r="S80" s="53">
        <f t="shared" si="46"/>
        <v>222323.00845377819</v>
      </c>
      <c r="T80" s="53">
        <f t="shared" si="46"/>
        <v>224846.61501214743</v>
      </c>
      <c r="U80" s="53">
        <f t="shared" si="46"/>
        <v>227379.19566942318</v>
      </c>
      <c r="V80" s="53">
        <f t="shared" si="46"/>
        <v>229920.7766884802</v>
      </c>
      <c r="W80" s="53">
        <f t="shared" si="46"/>
        <v>232471.38440231065</v>
      </c>
      <c r="X80" s="53">
        <f t="shared" si="46"/>
        <v>235031.0452142022</v>
      </c>
      <c r="Y80" s="53">
        <f t="shared" si="46"/>
        <v>233216.75026458289</v>
      </c>
      <c r="Z80" s="53">
        <f t="shared" si="46"/>
        <v>235794.59676453169</v>
      </c>
      <c r="AA80" s="53">
        <f t="shared" si="46"/>
        <v>238381.5759959585</v>
      </c>
      <c r="AB80" s="53">
        <f t="shared" si="46"/>
        <v>240977.71464511607</v>
      </c>
      <c r="AC80" s="53">
        <f t="shared" si="46"/>
        <v>243583.03946944568</v>
      </c>
      <c r="AD80" s="53">
        <f t="shared" si="46"/>
        <v>246197.57729775828</v>
      </c>
      <c r="AE80" s="53">
        <f t="shared" si="46"/>
        <v>248821.35503041442</v>
      </c>
      <c r="AF80" s="53">
        <f t="shared" si="46"/>
        <v>251454.39963950522</v>
      </c>
      <c r="AG80" s="53">
        <f t="shared" si="46"/>
        <v>254096.73816903366</v>
      </c>
      <c r="AH80" s="53">
        <f t="shared" si="46"/>
        <v>256748.3977350964</v>
      </c>
      <c r="AI80" s="53">
        <f t="shared" si="46"/>
        <v>259409.40552606655</v>
      </c>
      <c r="AJ80" s="53">
        <f t="shared" si="46"/>
        <v>262079.78880277558</v>
      </c>
      <c r="AK80" s="53">
        <f t="shared" si="46"/>
        <v>274206.47712046769</v>
      </c>
      <c r="AL80" s="53">
        <f t="shared" si="46"/>
        <v>275022.44413054764</v>
      </c>
      <c r="AM80" s="53">
        <f t="shared" si="46"/>
        <v>275840.09189907002</v>
      </c>
      <c r="AN80" s="53">
        <f t="shared" si="46"/>
        <v>276659.42388812185</v>
      </c>
      <c r="AO80" s="53">
        <f t="shared" si="46"/>
        <v>277480.44356692187</v>
      </c>
      <c r="AP80" s="53">
        <f t="shared" si="46"/>
        <v>278303.15441183437</v>
      </c>
      <c r="AQ80" s="53">
        <f t="shared" si="46"/>
        <v>279127.55990638502</v>
      </c>
      <c r="AR80" s="53">
        <f t="shared" si="46"/>
        <v>279953.66354127438</v>
      </c>
      <c r="AS80" s="53">
        <f t="shared" si="46"/>
        <v>280781.46881439333</v>
      </c>
      <c r="AT80" s="53">
        <f t="shared" si="46"/>
        <v>281610.97923083848</v>
      </c>
      <c r="AU80" s="53">
        <f t="shared" si="46"/>
        <v>282442.19830292556</v>
      </c>
      <c r="AV80" s="53">
        <f t="shared" si="46"/>
        <v>283275.12955020543</v>
      </c>
      <c r="AW80" s="53">
        <f t="shared" si="46"/>
        <v>279192.66653867869</v>
      </c>
      <c r="AX80" s="53">
        <f t="shared" si="46"/>
        <v>280029.03272401064</v>
      </c>
      <c r="AY80" s="53">
        <f t="shared" si="46"/>
        <v>280867.12168674602</v>
      </c>
      <c r="AZ80" s="53">
        <f t="shared" si="46"/>
        <v>281706.93697552435</v>
      </c>
      <c r="BA80" s="53">
        <f t="shared" si="46"/>
        <v>282548.48214629421</v>
      </c>
      <c r="BB80" s="53">
        <f t="shared" si="46"/>
        <v>283391.76076232968</v>
      </c>
      <c r="BC80" s="53">
        <f t="shared" si="46"/>
        <v>284236.77639424399</v>
      </c>
      <c r="BD80" s="53">
        <f t="shared" si="46"/>
        <v>285083.53262000566</v>
      </c>
      <c r="BE80" s="53">
        <f t="shared" si="46"/>
        <v>285932.03302495263</v>
      </c>
      <c r="BF80" s="53">
        <f t="shared" si="46"/>
        <v>286782.28120180883</v>
      </c>
      <c r="BG80" s="53">
        <f t="shared" si="46"/>
        <v>287634.28075069806</v>
      </c>
      <c r="BH80" s="53">
        <f t="shared" si="46"/>
        <v>288488.03527916002</v>
      </c>
    </row>
    <row r="81" spans="2:60" x14ac:dyDescent="0.3">
      <c r="B81" s="55"/>
    </row>
    <row r="82" spans="2:60" ht="16.2" x14ac:dyDescent="0.45">
      <c r="B82" s="55" t="s">
        <v>91</v>
      </c>
      <c r="D82" s="22" t="s">
        <v>32</v>
      </c>
      <c r="E82" s="22" t="s">
        <v>34</v>
      </c>
      <c r="L82" s="58" t="s">
        <v>99</v>
      </c>
      <c r="M82" s="9">
        <f>M3-L3</f>
        <v>31</v>
      </c>
      <c r="N82" s="9">
        <f t="shared" ref="N82:BH82" si="47">N3-M3</f>
        <v>29</v>
      </c>
      <c r="O82" s="9">
        <f t="shared" si="47"/>
        <v>31</v>
      </c>
      <c r="P82" s="9">
        <f t="shared" si="47"/>
        <v>30</v>
      </c>
      <c r="Q82" s="9">
        <f t="shared" si="47"/>
        <v>31</v>
      </c>
      <c r="R82" s="9">
        <f t="shared" si="47"/>
        <v>30</v>
      </c>
      <c r="S82" s="9">
        <f t="shared" si="47"/>
        <v>31</v>
      </c>
      <c r="T82" s="9">
        <f t="shared" si="47"/>
        <v>31</v>
      </c>
      <c r="U82" s="9">
        <f t="shared" si="47"/>
        <v>30</v>
      </c>
      <c r="V82" s="9">
        <f t="shared" si="47"/>
        <v>31</v>
      </c>
      <c r="W82" s="9">
        <f t="shared" si="47"/>
        <v>30</v>
      </c>
      <c r="X82" s="9">
        <f t="shared" si="47"/>
        <v>31</v>
      </c>
      <c r="Y82" s="9">
        <f t="shared" si="47"/>
        <v>31</v>
      </c>
      <c r="Z82" s="9">
        <f t="shared" si="47"/>
        <v>28</v>
      </c>
      <c r="AA82" s="9">
        <f t="shared" si="47"/>
        <v>31</v>
      </c>
      <c r="AB82" s="9">
        <f t="shared" si="47"/>
        <v>30</v>
      </c>
      <c r="AC82" s="9">
        <f t="shared" si="47"/>
        <v>31</v>
      </c>
      <c r="AD82" s="9">
        <f t="shared" si="47"/>
        <v>30</v>
      </c>
      <c r="AE82" s="9">
        <f t="shared" si="47"/>
        <v>31</v>
      </c>
      <c r="AF82" s="9">
        <f t="shared" si="47"/>
        <v>31</v>
      </c>
      <c r="AG82" s="9">
        <f t="shared" si="47"/>
        <v>30</v>
      </c>
      <c r="AH82" s="9">
        <f t="shared" si="47"/>
        <v>31</v>
      </c>
      <c r="AI82" s="9">
        <f t="shared" si="47"/>
        <v>30</v>
      </c>
      <c r="AJ82" s="9">
        <f t="shared" si="47"/>
        <v>31</v>
      </c>
      <c r="AK82" s="9">
        <f t="shared" si="47"/>
        <v>31</v>
      </c>
      <c r="AL82" s="9">
        <f t="shared" si="47"/>
        <v>28</v>
      </c>
      <c r="AM82" s="9">
        <f t="shared" si="47"/>
        <v>31</v>
      </c>
      <c r="AN82" s="9">
        <f t="shared" si="47"/>
        <v>30</v>
      </c>
      <c r="AO82" s="9">
        <f t="shared" si="47"/>
        <v>31</v>
      </c>
      <c r="AP82" s="9">
        <f t="shared" si="47"/>
        <v>30</v>
      </c>
      <c r="AQ82" s="9">
        <f t="shared" si="47"/>
        <v>31</v>
      </c>
      <c r="AR82" s="9">
        <f t="shared" si="47"/>
        <v>31</v>
      </c>
      <c r="AS82" s="9">
        <f t="shared" si="47"/>
        <v>30</v>
      </c>
      <c r="AT82" s="9">
        <f t="shared" si="47"/>
        <v>31</v>
      </c>
      <c r="AU82" s="9">
        <f t="shared" si="47"/>
        <v>30</v>
      </c>
      <c r="AV82" s="9">
        <f t="shared" si="47"/>
        <v>31</v>
      </c>
      <c r="AW82" s="9">
        <f t="shared" si="47"/>
        <v>31</v>
      </c>
      <c r="AX82" s="9">
        <f t="shared" si="47"/>
        <v>28</v>
      </c>
      <c r="AY82" s="9">
        <f t="shared" si="47"/>
        <v>31</v>
      </c>
      <c r="AZ82" s="9">
        <f t="shared" si="47"/>
        <v>30</v>
      </c>
      <c r="BA82" s="9">
        <f t="shared" si="47"/>
        <v>31</v>
      </c>
      <c r="BB82" s="9">
        <f t="shared" si="47"/>
        <v>30</v>
      </c>
      <c r="BC82" s="9">
        <f t="shared" si="47"/>
        <v>31</v>
      </c>
      <c r="BD82" s="9">
        <f t="shared" si="47"/>
        <v>31</v>
      </c>
      <c r="BE82" s="9">
        <f t="shared" si="47"/>
        <v>30</v>
      </c>
      <c r="BF82" s="9">
        <f t="shared" si="47"/>
        <v>31</v>
      </c>
      <c r="BG82" s="9">
        <f t="shared" si="47"/>
        <v>30</v>
      </c>
      <c r="BH82" s="9">
        <f t="shared" si="47"/>
        <v>31</v>
      </c>
    </row>
    <row r="83" spans="2:60" x14ac:dyDescent="0.3">
      <c r="B83" s="21" t="s">
        <v>28</v>
      </c>
      <c r="D83" s="2">
        <f>I40</f>
        <v>27625000</v>
      </c>
      <c r="E83" s="23">
        <f>D40</f>
        <v>5.2499999999999998E-2</v>
      </c>
      <c r="H83" s="2">
        <f>$D83*$E83</f>
        <v>1450312.5</v>
      </c>
      <c r="I83" s="2">
        <f t="shared" ref="I83:I84" si="48">$D83*$E83</f>
        <v>1450312.5</v>
      </c>
      <c r="M83" s="9">
        <f>SUM($L40:M40)*$E83/12</f>
        <v>120859.375</v>
      </c>
      <c r="N83" s="9">
        <f>SUM($L40:N40)*$E83/12</f>
        <v>120859.375</v>
      </c>
      <c r="O83" s="9">
        <f>SUM($L40:O40)*$E83/12</f>
        <v>120859.375</v>
      </c>
      <c r="P83" s="9">
        <f>SUM($L40:P40)*$E83/12</f>
        <v>120859.375</v>
      </c>
      <c r="Q83" s="9">
        <f>SUM($L40:Q40)*$E83/12</f>
        <v>120859.375</v>
      </c>
      <c r="R83" s="9">
        <f>SUM($L40:R40)*$E83/12</f>
        <v>120859.375</v>
      </c>
      <c r="S83" s="9">
        <f>SUM($L40:S40)*$E83/12</f>
        <v>120859.375</v>
      </c>
      <c r="T83" s="9">
        <f>SUM($L40:T40)*$E83/12</f>
        <v>120859.375</v>
      </c>
      <c r="U83" s="9">
        <f>SUM($L40:U40)*$E83/12</f>
        <v>120859.375</v>
      </c>
      <c r="V83" s="9">
        <f>SUM($L40:V40)*$E83/12</f>
        <v>120859.375</v>
      </c>
      <c r="W83" s="9">
        <f>SUM($L40:W40)*$E83/12</f>
        <v>120859.375</v>
      </c>
      <c r="X83" s="9">
        <f>SUM($L40:X40)*$E83/12</f>
        <v>120859.375</v>
      </c>
      <c r="Y83" s="9">
        <f>SUM($L40:Y40)*$E83/12</f>
        <v>120859.375</v>
      </c>
      <c r="Z83" s="9">
        <f>SUM($L40:Z40)*$E83/12</f>
        <v>120859.375</v>
      </c>
      <c r="AA83" s="9">
        <f>SUM($L40:AA40)*$E83/12</f>
        <v>120859.375</v>
      </c>
      <c r="AB83" s="9">
        <f>SUM($L40:AB40)*$E83/12</f>
        <v>120859.375</v>
      </c>
      <c r="AC83" s="9">
        <f>SUM($L40:AC40)*$E83/12</f>
        <v>120859.375</v>
      </c>
      <c r="AD83" s="9">
        <f>SUM($L40:AD40)*$E83/12</f>
        <v>120859.375</v>
      </c>
      <c r="AE83" s="9">
        <f>SUM($L40:AE40)*$E83/12</f>
        <v>120859.375</v>
      </c>
      <c r="AF83" s="9">
        <f>SUM($L40:AF40)*$E83/12</f>
        <v>120859.375</v>
      </c>
      <c r="AG83" s="9">
        <f>SUM($L40:AG40)*$E83/12</f>
        <v>120859.375</v>
      </c>
      <c r="AH83" s="9">
        <f>SUM($L40:AH40)*$E83/12</f>
        <v>120859.375</v>
      </c>
      <c r="AI83" s="9">
        <f>SUM($L40:AI40)*$E83/12</f>
        <v>120859.375</v>
      </c>
      <c r="AJ83" s="9">
        <f>SUM($L40:AJ40)*$E83/12</f>
        <v>120859.375</v>
      </c>
      <c r="AK83" s="9">
        <f>SUM($L40:AK40)*$E83/12</f>
        <v>120859.375</v>
      </c>
      <c r="AL83" s="9">
        <f>SUM($L40:AL40)*$E83/12</f>
        <v>120859.375</v>
      </c>
      <c r="AM83" s="9">
        <f>SUM($L40:AM40)*$E83/12</f>
        <v>120859.375</v>
      </c>
      <c r="AN83" s="9">
        <f>SUM($L40:AN40)*$E83/12</f>
        <v>120859.375</v>
      </c>
      <c r="AO83" s="9">
        <f>SUM($L40:AO40)*$E83/12</f>
        <v>120859.375</v>
      </c>
      <c r="AP83" s="9">
        <f>SUM($L40:AP40)*$E83/12</f>
        <v>120859.375</v>
      </c>
      <c r="AQ83" s="9">
        <f>SUM($L40:AQ40)*$E83/12</f>
        <v>120859.375</v>
      </c>
      <c r="AR83" s="9">
        <f>SUM($L40:AR40)*$E83/12</f>
        <v>120859.375</v>
      </c>
      <c r="AS83" s="9">
        <f>SUM($L40:AS40)*$E83/12</f>
        <v>120859.375</v>
      </c>
      <c r="AT83" s="9">
        <f>SUM($L40:AT40)*$E83/12</f>
        <v>120859.375</v>
      </c>
      <c r="AU83" s="9">
        <f>SUM($L40:AU40)*$E83/12</f>
        <v>120859.375</v>
      </c>
      <c r="AV83" s="9">
        <f>SUM($L40:AV40)*$E83/12</f>
        <v>120859.375</v>
      </c>
      <c r="AW83" s="9">
        <f>SUM($L40:AW40)*$E83/12</f>
        <v>120859.375</v>
      </c>
      <c r="AX83" s="9">
        <f>SUM($L40:AX40)*$E83/12</f>
        <v>120859.375</v>
      </c>
      <c r="AY83" s="9">
        <f>SUM($L40:AY40)*$E83/12</f>
        <v>120859.375</v>
      </c>
      <c r="AZ83" s="9">
        <f>SUM($L40:AZ40)*$E83/12</f>
        <v>120859.375</v>
      </c>
      <c r="BA83" s="9">
        <f>SUM($L40:BA40)*$E83/12</f>
        <v>120859.375</v>
      </c>
      <c r="BB83" s="9">
        <f>SUM($L40:BB40)*$E83/12</f>
        <v>120859.375</v>
      </c>
      <c r="BC83" s="9">
        <f>SUM($L40:BC40)*$E83/12</f>
        <v>120859.375</v>
      </c>
      <c r="BD83" s="9">
        <f>SUM($L40:BD40)*$E83/12</f>
        <v>120859.375</v>
      </c>
      <c r="BE83" s="9">
        <f>SUM($L40:BE40)*$E83/12</f>
        <v>120859.375</v>
      </c>
      <c r="BF83" s="9">
        <f>SUM($L40:BF40)*$E83/12</f>
        <v>120859.375</v>
      </c>
      <c r="BG83" s="9">
        <f>SUM($L40:BG40)*$E83/12</f>
        <v>120859.375</v>
      </c>
      <c r="BH83" s="9">
        <f>SUM($L40:BH40)*$E83/12</f>
        <v>120859.375</v>
      </c>
    </row>
    <row r="84" spans="2:60" ht="16.2" x14ac:dyDescent="0.45">
      <c r="B84" s="21" t="s">
        <v>29</v>
      </c>
      <c r="D84" s="2">
        <f>I41</f>
        <v>8500000</v>
      </c>
      <c r="E84" s="23">
        <f>D41</f>
        <v>0.1</v>
      </c>
      <c r="H84" s="22">
        <v>0</v>
      </c>
      <c r="I84" s="22">
        <f t="shared" si="48"/>
        <v>850000</v>
      </c>
      <c r="M84" s="32">
        <f>SUM($L41:M41)*$E$84*(M82/365)</f>
        <v>36107.922374429232</v>
      </c>
      <c r="N84" s="32">
        <f>SUM($L41:N41)*$E$84*(N82/365)</f>
        <v>35911.004566210053</v>
      </c>
      <c r="O84" s="32">
        <f>SUM($L41:O41)*$E$84*(O82/365)</f>
        <v>40667.328767123297</v>
      </c>
      <c r="P84" s="32">
        <f>SUM($L41:P41)*$E$84*(P82/365)</f>
        <v>41561.643835616451</v>
      </c>
      <c r="Q84" s="32">
        <f>SUM($L41:Q41)*$E$84*(Q82/365)</f>
        <v>45226.735159817363</v>
      </c>
      <c r="R84" s="32">
        <f>SUM($L41:R41)*$E$84*(R82/365)</f>
        <v>45973.972602739741</v>
      </c>
      <c r="S84" s="32">
        <f>SUM($L41:S41)*$E$84*(S82/365)</f>
        <v>49786.141552511428</v>
      </c>
      <c r="T84" s="32">
        <f>SUM($L41:T41)*$E$84*(T82/365)</f>
        <v>52065.844748858472</v>
      </c>
      <c r="U84" s="32">
        <f>SUM($L41:U41)*$E$84*(U82/365)</f>
        <v>52592.46575342468</v>
      </c>
      <c r="V84" s="32">
        <f>SUM($L41:V41)*$E$84*(V82/365)</f>
        <v>56625.251141552537</v>
      </c>
      <c r="W84" s="32">
        <f>SUM($L41:W41)*$E$84*(W82/365)</f>
        <v>57004.794520547977</v>
      </c>
      <c r="X84" s="32">
        <f>SUM($L41:X41)*$E$84*(X82/365)</f>
        <v>61184.657534246617</v>
      </c>
      <c r="Y84" s="32">
        <f>SUM($L41:Y41)*$E$84*(Y82/365)</f>
        <v>62101.917808219216</v>
      </c>
      <c r="Z84" s="32">
        <f>SUM($L41:Z41)*$E$84*(Z82/365)</f>
        <v>56920.547945205515</v>
      </c>
      <c r="AA84" s="32">
        <f>SUM($L41:AA41)*$E$84*(AA82/365)</f>
        <v>63936.438356164421</v>
      </c>
      <c r="AB84" s="32">
        <f>SUM($L41:AB41)*$E$84*(AB82/365)</f>
        <v>62761.643835616473</v>
      </c>
      <c r="AC84" s="32">
        <f>SUM($L41:AC41)*$E$84*(AC82/365)</f>
        <v>65770.958904109633</v>
      </c>
      <c r="AD84" s="32">
        <f>SUM($L41:AD41)*$E$84*(AD82/365)</f>
        <v>64536.9863013699</v>
      </c>
      <c r="AE84" s="32">
        <f>SUM($L41:AE41)*$E$84*(AE82/365)</f>
        <v>67605.479452054831</v>
      </c>
      <c r="AF84" s="32">
        <f>SUM($L41:AF41)*$E$84*(AF82/365)</f>
        <v>68522.73972602743</v>
      </c>
      <c r="AG84" s="32">
        <f>SUM($L41:AG41)*$E$84*(AG82/365)</f>
        <v>67200.000000000029</v>
      </c>
      <c r="AH84" s="32">
        <f>SUM($L41:AH41)*$E$84*(AH82/365)</f>
        <v>70357.260273972643</v>
      </c>
      <c r="AI84" s="32">
        <f>SUM($L41:AI41)*$E$84*(AI82/365)</f>
        <v>68975.342465753463</v>
      </c>
      <c r="AJ84" s="32">
        <f>SUM($L41:AJ41)*$E$84*(AJ82/365)</f>
        <v>72191.780821917811</v>
      </c>
      <c r="AK84" s="32">
        <f>SUM($L41:AK41)*$E$84*(AK82/365)</f>
        <v>72191.780821917811</v>
      </c>
      <c r="AL84" s="32">
        <f>SUM($L41:AL41)*$E$84*(AL82/365)</f>
        <v>65205.479452054795</v>
      </c>
      <c r="AM84" s="32">
        <f>SUM($L41:AM41)*$E$84*(AM82/365)</f>
        <v>72191.780821917811</v>
      </c>
      <c r="AN84" s="32">
        <f>SUM($L41:AN41)*$E$84*(AN82/365)</f>
        <v>69863.013698630137</v>
      </c>
      <c r="AO84" s="32">
        <f>SUM($L41:AO41)*$E$84*(AO82/365)</f>
        <v>72191.780821917811</v>
      </c>
      <c r="AP84" s="32">
        <f>SUM($L41:AP41)*$E$84*(AP82/365)</f>
        <v>69863.013698630137</v>
      </c>
      <c r="AQ84" s="32">
        <f>SUM($L41:AQ41)*$E$84*(AQ82/365)</f>
        <v>72191.780821917811</v>
      </c>
      <c r="AR84" s="32">
        <f>SUM($L41:AR41)*$E$84*(AR82/365)</f>
        <v>72191.780821917811</v>
      </c>
      <c r="AS84" s="32">
        <f>SUM($L41:AS41)*$E$84*(AS82/365)</f>
        <v>69863.013698630137</v>
      </c>
      <c r="AT84" s="32">
        <f>SUM($L41:AT41)*$E$84*(AT82/365)</f>
        <v>72191.780821917811</v>
      </c>
      <c r="AU84" s="32">
        <f>SUM($L41:AU41)*$E$84*(AU82/365)</f>
        <v>69863.013698630137</v>
      </c>
      <c r="AV84" s="32">
        <f>SUM($L41:AV41)*$E$84*(AV82/365)</f>
        <v>72191.780821917811</v>
      </c>
      <c r="AW84" s="32">
        <f>SUM($L41:AW41)*$E$84*(AW82/365)</f>
        <v>72191.780821917811</v>
      </c>
      <c r="AX84" s="32">
        <f>SUM($L41:AX41)*$E$84*(AX82/365)</f>
        <v>65205.479452054795</v>
      </c>
      <c r="AY84" s="32">
        <f>SUM($L41:AY41)*$E$84*(AY82/365)</f>
        <v>72191.780821917811</v>
      </c>
      <c r="AZ84" s="32">
        <f>SUM($L41:AZ41)*$E$84*(AZ82/365)</f>
        <v>69863.013698630137</v>
      </c>
      <c r="BA84" s="32">
        <f>SUM($L41:BA41)*$E$84*(BA82/365)</f>
        <v>72191.780821917811</v>
      </c>
      <c r="BB84" s="32">
        <f>SUM($L41:BB41)*$E$84*(BB82/365)</f>
        <v>69863.013698630137</v>
      </c>
      <c r="BC84" s="32">
        <f>SUM($L41:BC41)*$E$84*(BC82/365)</f>
        <v>72191.780821917811</v>
      </c>
      <c r="BD84" s="32">
        <f>SUM($L41:BD41)*$E$84*(BD82/365)</f>
        <v>72191.780821917811</v>
      </c>
      <c r="BE84" s="32">
        <f>SUM($L41:BE41)*$E$84*(BE82/365)</f>
        <v>69863.013698630137</v>
      </c>
      <c r="BF84" s="32">
        <f>SUM($L41:BF41)*$E$84*(BF82/365)</f>
        <v>72191.780821917811</v>
      </c>
      <c r="BG84" s="32">
        <f>SUM($L41:BG41)*$E$84*(BG82/365)</f>
        <v>69863.013698630137</v>
      </c>
      <c r="BH84" s="32">
        <f>SUM($L41:BH41)*$E$84*(BH82/365)</f>
        <v>72191.780821917811</v>
      </c>
    </row>
    <row r="85" spans="2:60" x14ac:dyDescent="0.3">
      <c r="B85" s="55" t="s">
        <v>97</v>
      </c>
      <c r="H85" s="2">
        <f>SUM(H83:H84)</f>
        <v>1450312.5</v>
      </c>
      <c r="I85" s="2">
        <f>SUM(I83:I84)</f>
        <v>2300312.5</v>
      </c>
      <c r="M85" s="9">
        <f>SUM(M83:M84)</f>
        <v>156967.29737442924</v>
      </c>
      <c r="N85" s="9">
        <f t="shared" ref="N85:BH85" si="49">SUM(N83:N84)</f>
        <v>156770.37956621006</v>
      </c>
      <c r="O85" s="9">
        <f t="shared" si="49"/>
        <v>161526.70376712328</v>
      </c>
      <c r="P85" s="9">
        <f t="shared" si="49"/>
        <v>162421.01883561644</v>
      </c>
      <c r="Q85" s="9">
        <f t="shared" si="49"/>
        <v>166086.11015981736</v>
      </c>
      <c r="R85" s="9">
        <f t="shared" si="49"/>
        <v>166833.34760273976</v>
      </c>
      <c r="S85" s="9">
        <f t="shared" si="49"/>
        <v>170645.51655251143</v>
      </c>
      <c r="T85" s="9">
        <f t="shared" si="49"/>
        <v>172925.21974885848</v>
      </c>
      <c r="U85" s="9">
        <f t="shared" si="49"/>
        <v>173451.84075342468</v>
      </c>
      <c r="V85" s="9">
        <f t="shared" si="49"/>
        <v>177484.62614155252</v>
      </c>
      <c r="W85" s="9">
        <f t="shared" si="49"/>
        <v>177864.16952054796</v>
      </c>
      <c r="X85" s="9">
        <f t="shared" si="49"/>
        <v>182044.03253424662</v>
      </c>
      <c r="Y85" s="9">
        <f t="shared" si="49"/>
        <v>182961.29280821921</v>
      </c>
      <c r="Z85" s="9">
        <f t="shared" si="49"/>
        <v>177779.92294520553</v>
      </c>
      <c r="AA85" s="9">
        <f t="shared" si="49"/>
        <v>184795.81335616444</v>
      </c>
      <c r="AB85" s="9">
        <f t="shared" si="49"/>
        <v>183621.01883561647</v>
      </c>
      <c r="AC85" s="9">
        <f t="shared" si="49"/>
        <v>186630.33390410963</v>
      </c>
      <c r="AD85" s="9">
        <f t="shared" si="49"/>
        <v>185396.36130136991</v>
      </c>
      <c r="AE85" s="9">
        <f t="shared" si="49"/>
        <v>188464.85445205483</v>
      </c>
      <c r="AF85" s="9">
        <f t="shared" si="49"/>
        <v>189382.11472602742</v>
      </c>
      <c r="AG85" s="9">
        <f t="shared" si="49"/>
        <v>188059.37500000003</v>
      </c>
      <c r="AH85" s="9">
        <f t="shared" si="49"/>
        <v>191216.63527397264</v>
      </c>
      <c r="AI85" s="9">
        <f t="shared" si="49"/>
        <v>189834.71746575346</v>
      </c>
      <c r="AJ85" s="9">
        <f t="shared" si="49"/>
        <v>193051.15582191781</v>
      </c>
      <c r="AK85" s="9">
        <f t="shared" si="49"/>
        <v>193051.15582191781</v>
      </c>
      <c r="AL85" s="9">
        <f t="shared" si="49"/>
        <v>186064.8544520548</v>
      </c>
      <c r="AM85" s="9">
        <f t="shared" si="49"/>
        <v>193051.15582191781</v>
      </c>
      <c r="AN85" s="9">
        <f t="shared" si="49"/>
        <v>190722.38869863015</v>
      </c>
      <c r="AO85" s="9">
        <f t="shared" si="49"/>
        <v>193051.15582191781</v>
      </c>
      <c r="AP85" s="9">
        <f t="shared" si="49"/>
        <v>190722.38869863015</v>
      </c>
      <c r="AQ85" s="9">
        <f t="shared" si="49"/>
        <v>193051.15582191781</v>
      </c>
      <c r="AR85" s="9">
        <f t="shared" si="49"/>
        <v>193051.15582191781</v>
      </c>
      <c r="AS85" s="9">
        <f t="shared" si="49"/>
        <v>190722.38869863015</v>
      </c>
      <c r="AT85" s="9">
        <f t="shared" si="49"/>
        <v>193051.15582191781</v>
      </c>
      <c r="AU85" s="9">
        <f t="shared" si="49"/>
        <v>190722.38869863015</v>
      </c>
      <c r="AV85" s="9">
        <f t="shared" si="49"/>
        <v>193051.15582191781</v>
      </c>
      <c r="AW85" s="9">
        <f t="shared" si="49"/>
        <v>193051.15582191781</v>
      </c>
      <c r="AX85" s="9">
        <f t="shared" si="49"/>
        <v>186064.8544520548</v>
      </c>
      <c r="AY85" s="9">
        <f t="shared" si="49"/>
        <v>193051.15582191781</v>
      </c>
      <c r="AZ85" s="9">
        <f t="shared" si="49"/>
        <v>190722.38869863015</v>
      </c>
      <c r="BA85" s="9">
        <f t="shared" si="49"/>
        <v>193051.15582191781</v>
      </c>
      <c r="BB85" s="9">
        <f t="shared" si="49"/>
        <v>190722.38869863015</v>
      </c>
      <c r="BC85" s="9">
        <f t="shared" si="49"/>
        <v>193051.15582191781</v>
      </c>
      <c r="BD85" s="9">
        <f t="shared" si="49"/>
        <v>193051.15582191781</v>
      </c>
      <c r="BE85" s="9">
        <f t="shared" si="49"/>
        <v>190722.38869863015</v>
      </c>
      <c r="BF85" s="9">
        <f t="shared" si="49"/>
        <v>193051.15582191781</v>
      </c>
      <c r="BG85" s="9">
        <f t="shared" si="49"/>
        <v>190722.38869863015</v>
      </c>
      <c r="BH85" s="9">
        <f t="shared" si="49"/>
        <v>193051.15582191781</v>
      </c>
    </row>
    <row r="86" spans="2:60" x14ac:dyDescent="0.3">
      <c r="B86" s="55"/>
    </row>
    <row r="87" spans="2:60" x14ac:dyDescent="0.3">
      <c r="B87" s="55" t="s">
        <v>98</v>
      </c>
      <c r="H87" s="2">
        <f>H80-H85</f>
        <v>1177130.0049999999</v>
      </c>
      <c r="I87" s="2">
        <f>I80-I85</f>
        <v>763145.70099999988</v>
      </c>
      <c r="M87" s="9">
        <f>M80-M85</f>
        <v>50401.065875570755</v>
      </c>
      <c r="N87" s="9">
        <f t="shared" ref="N87:BH87" si="50">N80-N85</f>
        <v>53068.293264718202</v>
      </c>
      <c r="O87" s="9">
        <f t="shared" si="50"/>
        <v>50791.096628990432</v>
      </c>
      <c r="P87" s="9">
        <f t="shared" si="50"/>
        <v>52384.752955808159</v>
      </c>
      <c r="Q87" s="9">
        <f t="shared" si="50"/>
        <v>51216.502771974192</v>
      </c>
      <c r="R87" s="9">
        <f t="shared" si="50"/>
        <v>52975.002198642818</v>
      </c>
      <c r="S87" s="9">
        <f t="shared" si="50"/>
        <v>51677.491901266767</v>
      </c>
      <c r="T87" s="9">
        <f t="shared" si="50"/>
        <v>51921.395263288956</v>
      </c>
      <c r="U87" s="9">
        <f t="shared" si="50"/>
        <v>53927.354915998498</v>
      </c>
      <c r="V87" s="9">
        <f t="shared" si="50"/>
        <v>52436.150546927674</v>
      </c>
      <c r="W87" s="9">
        <f t="shared" si="50"/>
        <v>54607.214881762688</v>
      </c>
      <c r="X87" s="9">
        <f t="shared" si="50"/>
        <v>52987.012679955573</v>
      </c>
      <c r="Y87" s="9">
        <f t="shared" si="50"/>
        <v>50255.457456363685</v>
      </c>
      <c r="Z87" s="9">
        <f t="shared" si="50"/>
        <v>58014.673819326155</v>
      </c>
      <c r="AA87" s="9">
        <f t="shared" si="50"/>
        <v>53585.762639794062</v>
      </c>
      <c r="AB87" s="9">
        <f t="shared" si="50"/>
        <v>57356.695809499593</v>
      </c>
      <c r="AC87" s="9">
        <f t="shared" si="50"/>
        <v>56952.705565336044</v>
      </c>
      <c r="AD87" s="9">
        <f t="shared" si="50"/>
        <v>60801.215996388375</v>
      </c>
      <c r="AE87" s="9">
        <f t="shared" si="50"/>
        <v>60356.500578359584</v>
      </c>
      <c r="AF87" s="9">
        <f t="shared" si="50"/>
        <v>62072.284913477808</v>
      </c>
      <c r="AG87" s="9">
        <f t="shared" si="50"/>
        <v>66037.363169033633</v>
      </c>
      <c r="AH87" s="9">
        <f t="shared" si="50"/>
        <v>65531.762461123755</v>
      </c>
      <c r="AI87" s="9">
        <f t="shared" si="50"/>
        <v>69574.688060313085</v>
      </c>
      <c r="AJ87" s="9">
        <f t="shared" si="50"/>
        <v>69028.632980857772</v>
      </c>
      <c r="AK87" s="9">
        <f t="shared" si="50"/>
        <v>81155.321298549883</v>
      </c>
      <c r="AL87" s="9">
        <f t="shared" si="50"/>
        <v>88957.589678492834</v>
      </c>
      <c r="AM87" s="9">
        <f t="shared" si="50"/>
        <v>82788.936077152204</v>
      </c>
      <c r="AN87" s="9">
        <f t="shared" si="50"/>
        <v>85937.035189491697</v>
      </c>
      <c r="AO87" s="9">
        <f t="shared" si="50"/>
        <v>84429.287745004054</v>
      </c>
      <c r="AP87" s="9">
        <f t="shared" si="50"/>
        <v>87580.765713204222</v>
      </c>
      <c r="AQ87" s="9">
        <f t="shared" si="50"/>
        <v>86076.404084467213</v>
      </c>
      <c r="AR87" s="9">
        <f t="shared" si="50"/>
        <v>86902.507719356567</v>
      </c>
      <c r="AS87" s="9">
        <f t="shared" si="50"/>
        <v>90059.080115763179</v>
      </c>
      <c r="AT87" s="9">
        <f t="shared" si="50"/>
        <v>88559.823408920667</v>
      </c>
      <c r="AU87" s="9">
        <f t="shared" si="50"/>
        <v>91719.809604295413</v>
      </c>
      <c r="AV87" s="9">
        <f t="shared" si="50"/>
        <v>90223.973728287616</v>
      </c>
      <c r="AW87" s="9">
        <f t="shared" si="50"/>
        <v>86141.51071676088</v>
      </c>
      <c r="AX87" s="9">
        <f t="shared" si="50"/>
        <v>93964.17827195584</v>
      </c>
      <c r="AY87" s="9">
        <f t="shared" si="50"/>
        <v>87815.965864828206</v>
      </c>
      <c r="AZ87" s="9">
        <f t="shared" si="50"/>
        <v>90984.548276894202</v>
      </c>
      <c r="BA87" s="9">
        <f t="shared" si="50"/>
        <v>89497.326324376394</v>
      </c>
      <c r="BB87" s="9">
        <f t="shared" si="50"/>
        <v>92669.372063699528</v>
      </c>
      <c r="BC87" s="9">
        <f t="shared" si="50"/>
        <v>91185.620572326181</v>
      </c>
      <c r="BD87" s="9">
        <f t="shared" si="50"/>
        <v>92032.376798087847</v>
      </c>
      <c r="BE87" s="9">
        <f t="shared" si="50"/>
        <v>95209.644326322479</v>
      </c>
      <c r="BF87" s="9">
        <f t="shared" si="50"/>
        <v>93731.125379891018</v>
      </c>
      <c r="BG87" s="9">
        <f t="shared" si="50"/>
        <v>96911.892052067909</v>
      </c>
      <c r="BH87" s="9">
        <f t="shared" si="50"/>
        <v>95436.879457242205</v>
      </c>
    </row>
    <row r="88" spans="2:60" x14ac:dyDescent="0.3">
      <c r="B88" s="16" t="s">
        <v>7</v>
      </c>
      <c r="C88" s="17"/>
      <c r="D88" s="18"/>
      <c r="E88" s="18"/>
      <c r="F88" s="18"/>
      <c r="G88" s="18"/>
      <c r="H88" s="18"/>
      <c r="I88" s="18"/>
    </row>
    <row r="89" spans="2:60" ht="16.2" x14ac:dyDescent="0.45">
      <c r="B89" s="2"/>
      <c r="C89" s="2"/>
      <c r="I89" s="22" t="s">
        <v>100</v>
      </c>
    </row>
    <row r="90" spans="2:60" x14ac:dyDescent="0.3">
      <c r="B90" s="34" t="s">
        <v>64</v>
      </c>
      <c r="C90" s="2"/>
      <c r="I90" s="2">
        <f>SUM(AW56:BH56)</f>
        <v>5234574.9711626507</v>
      </c>
    </row>
    <row r="91" spans="2:60" x14ac:dyDescent="0.3">
      <c r="B91" s="47" t="s">
        <v>65</v>
      </c>
      <c r="I91" s="2">
        <f t="shared" ref="I91:I114" si="51">SUM(AW57:BH57)</f>
        <v>0</v>
      </c>
    </row>
    <row r="92" spans="2:60" ht="16.2" x14ac:dyDescent="0.45">
      <c r="B92" s="47" t="s">
        <v>66</v>
      </c>
      <c r="I92" s="22">
        <f t="shared" si="51"/>
        <v>-39259.312283719875</v>
      </c>
    </row>
    <row r="93" spans="2:60" x14ac:dyDescent="0.3">
      <c r="B93" t="s">
        <v>67</v>
      </c>
      <c r="I93" s="2">
        <f t="shared" si="51"/>
        <v>5195315.6588789318</v>
      </c>
    </row>
    <row r="94" spans="2:60" x14ac:dyDescent="0.3">
      <c r="B94" s="21" t="s">
        <v>68</v>
      </c>
      <c r="I94" s="2">
        <f t="shared" si="51"/>
        <v>70039.727999999988</v>
      </c>
    </row>
    <row r="95" spans="2:60" ht="16.2" x14ac:dyDescent="0.45">
      <c r="B95" s="21" t="s">
        <v>69</v>
      </c>
      <c r="I95" s="22">
        <f t="shared" si="51"/>
        <v>209382.99884650606</v>
      </c>
    </row>
    <row r="96" spans="2:60" x14ac:dyDescent="0.3">
      <c r="B96" t="s">
        <v>70</v>
      </c>
      <c r="I96" s="2">
        <f t="shared" si="51"/>
        <v>5474738.3857254367</v>
      </c>
    </row>
    <row r="97" spans="2:9" ht="16.2" x14ac:dyDescent="0.45">
      <c r="B97" s="21" t="s">
        <v>73</v>
      </c>
      <c r="I97" s="22">
        <f t="shared" si="51"/>
        <v>-328484.30314352619</v>
      </c>
    </row>
    <row r="98" spans="2:9" x14ac:dyDescent="0.3">
      <c r="B98" s="54" t="s">
        <v>76</v>
      </c>
      <c r="I98" s="2">
        <f t="shared" si="51"/>
        <v>5146254.0825819103</v>
      </c>
    </row>
    <row r="99" spans="2:9" x14ac:dyDescent="0.3">
      <c r="B99" s="55" t="s">
        <v>77</v>
      </c>
    </row>
    <row r="100" spans="2:9" x14ac:dyDescent="0.3">
      <c r="B100" s="21" t="s">
        <v>78</v>
      </c>
      <c r="I100" s="2">
        <f t="shared" si="51"/>
        <v>89141.472000000009</v>
      </c>
    </row>
    <row r="101" spans="2:9" x14ac:dyDescent="0.3">
      <c r="B101" s="21" t="s">
        <v>79</v>
      </c>
      <c r="I101" s="2">
        <f t="shared" si="51"/>
        <v>50937.984000000004</v>
      </c>
    </row>
    <row r="102" spans="2:9" x14ac:dyDescent="0.3">
      <c r="B102" s="21" t="s">
        <v>80</v>
      </c>
      <c r="I102" s="2">
        <f t="shared" si="51"/>
        <v>63672.480000000003</v>
      </c>
    </row>
    <row r="103" spans="2:9" x14ac:dyDescent="0.3">
      <c r="B103" s="21" t="s">
        <v>81</v>
      </c>
      <c r="I103" s="2">
        <f t="shared" si="51"/>
        <v>38203.487999999998</v>
      </c>
    </row>
    <row r="104" spans="2:9" x14ac:dyDescent="0.3">
      <c r="B104" s="21" t="s">
        <v>82</v>
      </c>
      <c r="I104" s="2">
        <f t="shared" si="51"/>
        <v>229220.92800000004</v>
      </c>
    </row>
    <row r="105" spans="2:9" x14ac:dyDescent="0.3">
      <c r="B105" s="21" t="s">
        <v>83</v>
      </c>
      <c r="I105" s="2">
        <f t="shared" si="51"/>
        <v>89141.472000000009</v>
      </c>
    </row>
    <row r="106" spans="2:9" x14ac:dyDescent="0.3">
      <c r="B106" s="21" t="s">
        <v>84</v>
      </c>
      <c r="I106" s="2">
        <f t="shared" si="51"/>
        <v>70039.728000000003</v>
      </c>
    </row>
    <row r="107" spans="2:9" x14ac:dyDescent="0.3">
      <c r="B107" s="21" t="s">
        <v>85</v>
      </c>
      <c r="I107" s="2">
        <f t="shared" si="51"/>
        <v>63672.480000000003</v>
      </c>
    </row>
    <row r="108" spans="2:9" x14ac:dyDescent="0.3">
      <c r="B108" s="21" t="s">
        <v>86</v>
      </c>
      <c r="I108" s="2">
        <f t="shared" si="51"/>
        <v>305627.90399999998</v>
      </c>
    </row>
    <row r="109" spans="2:9" x14ac:dyDescent="0.3">
      <c r="B109" s="21" t="s">
        <v>92</v>
      </c>
      <c r="I109" s="2">
        <f t="shared" si="51"/>
        <v>154387.62247745728</v>
      </c>
    </row>
    <row r="110" spans="2:9" x14ac:dyDescent="0.3">
      <c r="B110" s="21" t="s">
        <v>87</v>
      </c>
      <c r="I110" s="2">
        <f t="shared" si="51"/>
        <v>535377.6</v>
      </c>
    </row>
    <row r="111" spans="2:9" ht="16.2" x14ac:dyDescent="0.45">
      <c r="B111" s="21" t="s">
        <v>88</v>
      </c>
      <c r="D111" s="1"/>
      <c r="E111" s="1"/>
      <c r="F111" s="1"/>
      <c r="G111" s="1"/>
      <c r="H111" s="1"/>
      <c r="I111" s="22">
        <f t="shared" si="51"/>
        <v>50937.984000000004</v>
      </c>
    </row>
    <row r="112" spans="2:9" x14ac:dyDescent="0.3">
      <c r="B112" s="55" t="s">
        <v>89</v>
      </c>
      <c r="D112" s="1"/>
      <c r="E112" s="1"/>
      <c r="F112" s="1"/>
      <c r="G112" s="1"/>
      <c r="H112" s="1"/>
      <c r="I112" s="2">
        <f t="shared" si="51"/>
        <v>1740361.1424774574</v>
      </c>
    </row>
    <row r="113" spans="2:60" x14ac:dyDescent="0.3">
      <c r="B113" s="55"/>
      <c r="D113" s="1"/>
      <c r="E113" s="1"/>
      <c r="F113" s="1"/>
      <c r="G113" s="1"/>
      <c r="H113" s="1"/>
    </row>
    <row r="114" spans="2:60" x14ac:dyDescent="0.3">
      <c r="B114" s="54" t="s">
        <v>90</v>
      </c>
      <c r="I114" s="2">
        <f t="shared" si="51"/>
        <v>3405892.9401044524</v>
      </c>
    </row>
    <row r="115" spans="2:60" x14ac:dyDescent="0.3"/>
    <row r="116" spans="2:60" x14ac:dyDescent="0.3">
      <c r="B116" t="s">
        <v>101</v>
      </c>
      <c r="I116" s="24">
        <v>5.5E-2</v>
      </c>
    </row>
    <row r="117" spans="2:60" x14ac:dyDescent="0.3">
      <c r="B117" t="s">
        <v>102</v>
      </c>
      <c r="I117" s="2">
        <f>I114/I116</f>
        <v>61925326.183717318</v>
      </c>
      <c r="L117" s="9">
        <f>(L$4=36)*$I117</f>
        <v>0</v>
      </c>
      <c r="M117" s="9">
        <f t="shared" ref="M117:BH118" si="52">(M$4=36)*$I117</f>
        <v>0</v>
      </c>
      <c r="N117" s="9">
        <f t="shared" si="52"/>
        <v>0</v>
      </c>
      <c r="O117" s="9">
        <f t="shared" si="52"/>
        <v>0</v>
      </c>
      <c r="P117" s="9">
        <f t="shared" si="52"/>
        <v>0</v>
      </c>
      <c r="Q117" s="9">
        <f t="shared" si="52"/>
        <v>0</v>
      </c>
      <c r="R117" s="9">
        <f t="shared" si="52"/>
        <v>0</v>
      </c>
      <c r="S117" s="9">
        <f t="shared" si="52"/>
        <v>0</v>
      </c>
      <c r="T117" s="9">
        <f t="shared" si="52"/>
        <v>0</v>
      </c>
      <c r="U117" s="9">
        <f t="shared" si="52"/>
        <v>0</v>
      </c>
      <c r="V117" s="9">
        <f t="shared" si="52"/>
        <v>0</v>
      </c>
      <c r="W117" s="9">
        <f t="shared" si="52"/>
        <v>0</v>
      </c>
      <c r="X117" s="9">
        <f t="shared" si="52"/>
        <v>0</v>
      </c>
      <c r="Y117" s="9">
        <f t="shared" si="52"/>
        <v>0</v>
      </c>
      <c r="Z117" s="9">
        <f t="shared" si="52"/>
        <v>0</v>
      </c>
      <c r="AA117" s="9">
        <f t="shared" si="52"/>
        <v>0</v>
      </c>
      <c r="AB117" s="9">
        <f t="shared" si="52"/>
        <v>0</v>
      </c>
      <c r="AC117" s="9">
        <f t="shared" si="52"/>
        <v>0</v>
      </c>
      <c r="AD117" s="9">
        <f t="shared" si="52"/>
        <v>0</v>
      </c>
      <c r="AE117" s="9">
        <f t="shared" si="52"/>
        <v>0</v>
      </c>
      <c r="AF117" s="9">
        <f t="shared" si="52"/>
        <v>0</v>
      </c>
      <c r="AG117" s="9">
        <f t="shared" si="52"/>
        <v>0</v>
      </c>
      <c r="AH117" s="9">
        <f t="shared" si="52"/>
        <v>0</v>
      </c>
      <c r="AI117" s="9">
        <f t="shared" si="52"/>
        <v>0</v>
      </c>
      <c r="AJ117" s="9">
        <f t="shared" si="52"/>
        <v>0</v>
      </c>
      <c r="AK117" s="9">
        <f t="shared" si="52"/>
        <v>0</v>
      </c>
      <c r="AL117" s="9">
        <f t="shared" si="52"/>
        <v>0</v>
      </c>
      <c r="AM117" s="9">
        <f t="shared" si="52"/>
        <v>0</v>
      </c>
      <c r="AN117" s="9">
        <f t="shared" si="52"/>
        <v>0</v>
      </c>
      <c r="AO117" s="9">
        <f t="shared" si="52"/>
        <v>0</v>
      </c>
      <c r="AP117" s="9">
        <f t="shared" si="52"/>
        <v>0</v>
      </c>
      <c r="AQ117" s="9">
        <f t="shared" si="52"/>
        <v>0</v>
      </c>
      <c r="AR117" s="9">
        <f t="shared" si="52"/>
        <v>0</v>
      </c>
      <c r="AS117" s="9">
        <f t="shared" si="52"/>
        <v>0</v>
      </c>
      <c r="AT117" s="9">
        <f t="shared" si="52"/>
        <v>0</v>
      </c>
      <c r="AU117" s="9">
        <f t="shared" si="52"/>
        <v>0</v>
      </c>
      <c r="AV117" s="9">
        <f t="shared" si="52"/>
        <v>61925326.183717318</v>
      </c>
      <c r="AW117" s="9">
        <f t="shared" si="52"/>
        <v>0</v>
      </c>
      <c r="AX117" s="9">
        <f t="shared" si="52"/>
        <v>0</v>
      </c>
      <c r="AY117" s="9">
        <f t="shared" si="52"/>
        <v>0</v>
      </c>
      <c r="AZ117" s="9">
        <f t="shared" si="52"/>
        <v>0</v>
      </c>
      <c r="BA117" s="9">
        <f t="shared" si="52"/>
        <v>0</v>
      </c>
      <c r="BB117" s="9">
        <f t="shared" si="52"/>
        <v>0</v>
      </c>
      <c r="BC117" s="9">
        <f t="shared" si="52"/>
        <v>0</v>
      </c>
      <c r="BD117" s="9">
        <f t="shared" si="52"/>
        <v>0</v>
      </c>
      <c r="BE117" s="9">
        <f t="shared" si="52"/>
        <v>0</v>
      </c>
      <c r="BF117" s="9">
        <f t="shared" si="52"/>
        <v>0</v>
      </c>
      <c r="BG117" s="9">
        <f t="shared" si="52"/>
        <v>0</v>
      </c>
      <c r="BH117" s="9">
        <f t="shared" si="52"/>
        <v>0</v>
      </c>
    </row>
    <row r="118" spans="2:60" ht="16.2" x14ac:dyDescent="0.45">
      <c r="B118" s="21" t="s">
        <v>103</v>
      </c>
      <c r="H118" s="24">
        <v>0.02</v>
      </c>
      <c r="I118" s="22">
        <f>-H118*I117</f>
        <v>-1238506.5236743463</v>
      </c>
      <c r="L118" s="32">
        <f>(L$4=36)*$I118</f>
        <v>0</v>
      </c>
      <c r="M118" s="32">
        <f t="shared" si="52"/>
        <v>0</v>
      </c>
      <c r="N118" s="32">
        <f t="shared" si="52"/>
        <v>0</v>
      </c>
      <c r="O118" s="32">
        <f t="shared" si="52"/>
        <v>0</v>
      </c>
      <c r="P118" s="32">
        <f t="shared" si="52"/>
        <v>0</v>
      </c>
      <c r="Q118" s="32">
        <f t="shared" si="52"/>
        <v>0</v>
      </c>
      <c r="R118" s="32">
        <f t="shared" si="52"/>
        <v>0</v>
      </c>
      <c r="S118" s="32">
        <f t="shared" si="52"/>
        <v>0</v>
      </c>
      <c r="T118" s="32">
        <f t="shared" si="52"/>
        <v>0</v>
      </c>
      <c r="U118" s="32">
        <f t="shared" si="52"/>
        <v>0</v>
      </c>
      <c r="V118" s="32">
        <f t="shared" si="52"/>
        <v>0</v>
      </c>
      <c r="W118" s="32">
        <f t="shared" si="52"/>
        <v>0</v>
      </c>
      <c r="X118" s="32">
        <f t="shared" si="52"/>
        <v>0</v>
      </c>
      <c r="Y118" s="32">
        <f t="shared" si="52"/>
        <v>0</v>
      </c>
      <c r="Z118" s="32">
        <f t="shared" si="52"/>
        <v>0</v>
      </c>
      <c r="AA118" s="32">
        <f t="shared" si="52"/>
        <v>0</v>
      </c>
      <c r="AB118" s="32">
        <f t="shared" si="52"/>
        <v>0</v>
      </c>
      <c r="AC118" s="32">
        <f t="shared" si="52"/>
        <v>0</v>
      </c>
      <c r="AD118" s="32">
        <f t="shared" si="52"/>
        <v>0</v>
      </c>
      <c r="AE118" s="32">
        <f t="shared" si="52"/>
        <v>0</v>
      </c>
      <c r="AF118" s="32">
        <f t="shared" si="52"/>
        <v>0</v>
      </c>
      <c r="AG118" s="32">
        <f t="shared" si="52"/>
        <v>0</v>
      </c>
      <c r="AH118" s="32">
        <f t="shared" si="52"/>
        <v>0</v>
      </c>
      <c r="AI118" s="32">
        <f t="shared" si="52"/>
        <v>0</v>
      </c>
      <c r="AJ118" s="32">
        <f t="shared" si="52"/>
        <v>0</v>
      </c>
      <c r="AK118" s="32">
        <f t="shared" si="52"/>
        <v>0</v>
      </c>
      <c r="AL118" s="32">
        <f t="shared" si="52"/>
        <v>0</v>
      </c>
      <c r="AM118" s="32">
        <f t="shared" si="52"/>
        <v>0</v>
      </c>
      <c r="AN118" s="32">
        <f t="shared" si="52"/>
        <v>0</v>
      </c>
      <c r="AO118" s="32">
        <f t="shared" si="52"/>
        <v>0</v>
      </c>
      <c r="AP118" s="32">
        <f t="shared" si="52"/>
        <v>0</v>
      </c>
      <c r="AQ118" s="32">
        <f t="shared" si="52"/>
        <v>0</v>
      </c>
      <c r="AR118" s="32">
        <f t="shared" si="52"/>
        <v>0</v>
      </c>
      <c r="AS118" s="32">
        <f t="shared" si="52"/>
        <v>0</v>
      </c>
      <c r="AT118" s="32">
        <f t="shared" si="52"/>
        <v>0</v>
      </c>
      <c r="AU118" s="32">
        <f t="shared" si="52"/>
        <v>0</v>
      </c>
      <c r="AV118" s="32">
        <f t="shared" si="52"/>
        <v>-1238506.5236743463</v>
      </c>
      <c r="AW118" s="32">
        <f t="shared" si="52"/>
        <v>0</v>
      </c>
      <c r="AX118" s="32">
        <f t="shared" si="52"/>
        <v>0</v>
      </c>
      <c r="AY118" s="32">
        <f t="shared" si="52"/>
        <v>0</v>
      </c>
      <c r="AZ118" s="32">
        <f t="shared" si="52"/>
        <v>0</v>
      </c>
      <c r="BA118" s="32">
        <f t="shared" si="52"/>
        <v>0</v>
      </c>
      <c r="BB118" s="32">
        <f t="shared" si="52"/>
        <v>0</v>
      </c>
      <c r="BC118" s="32">
        <f t="shared" si="52"/>
        <v>0</v>
      </c>
      <c r="BD118" s="32">
        <f t="shared" si="52"/>
        <v>0</v>
      </c>
      <c r="BE118" s="32">
        <f t="shared" si="52"/>
        <v>0</v>
      </c>
      <c r="BF118" s="32">
        <f t="shared" si="52"/>
        <v>0</v>
      </c>
      <c r="BG118" s="32">
        <f t="shared" si="52"/>
        <v>0</v>
      </c>
      <c r="BH118" s="32">
        <f t="shared" si="52"/>
        <v>0</v>
      </c>
    </row>
    <row r="119" spans="2:60" x14ac:dyDescent="0.3">
      <c r="B119" t="s">
        <v>104</v>
      </c>
      <c r="I119" s="2">
        <f>SUM(I117:I118)</f>
        <v>60686819.660042971</v>
      </c>
      <c r="L119" s="9">
        <f>SUM(L117:L118)</f>
        <v>0</v>
      </c>
      <c r="M119" s="9">
        <f t="shared" ref="M119:BH119" si="53">SUM(M117:M118)</f>
        <v>0</v>
      </c>
      <c r="N119" s="9">
        <f t="shared" si="53"/>
        <v>0</v>
      </c>
      <c r="O119" s="9">
        <f t="shared" si="53"/>
        <v>0</v>
      </c>
      <c r="P119" s="9">
        <f t="shared" si="53"/>
        <v>0</v>
      </c>
      <c r="Q119" s="9">
        <f t="shared" si="53"/>
        <v>0</v>
      </c>
      <c r="R119" s="9">
        <f t="shared" si="53"/>
        <v>0</v>
      </c>
      <c r="S119" s="9">
        <f t="shared" si="53"/>
        <v>0</v>
      </c>
      <c r="T119" s="9">
        <f t="shared" si="53"/>
        <v>0</v>
      </c>
      <c r="U119" s="9">
        <f t="shared" si="53"/>
        <v>0</v>
      </c>
      <c r="V119" s="9">
        <f t="shared" si="53"/>
        <v>0</v>
      </c>
      <c r="W119" s="9">
        <f t="shared" si="53"/>
        <v>0</v>
      </c>
      <c r="X119" s="9">
        <f t="shared" si="53"/>
        <v>0</v>
      </c>
      <c r="Y119" s="9">
        <f t="shared" si="53"/>
        <v>0</v>
      </c>
      <c r="Z119" s="9">
        <f t="shared" si="53"/>
        <v>0</v>
      </c>
      <c r="AA119" s="9">
        <f t="shared" si="53"/>
        <v>0</v>
      </c>
      <c r="AB119" s="9">
        <f t="shared" si="53"/>
        <v>0</v>
      </c>
      <c r="AC119" s="9">
        <f t="shared" si="53"/>
        <v>0</v>
      </c>
      <c r="AD119" s="9">
        <f t="shared" si="53"/>
        <v>0</v>
      </c>
      <c r="AE119" s="9">
        <f t="shared" si="53"/>
        <v>0</v>
      </c>
      <c r="AF119" s="9">
        <f t="shared" si="53"/>
        <v>0</v>
      </c>
      <c r="AG119" s="9">
        <f t="shared" si="53"/>
        <v>0</v>
      </c>
      <c r="AH119" s="9">
        <f t="shared" si="53"/>
        <v>0</v>
      </c>
      <c r="AI119" s="9">
        <f t="shared" si="53"/>
        <v>0</v>
      </c>
      <c r="AJ119" s="9">
        <f t="shared" si="53"/>
        <v>0</v>
      </c>
      <c r="AK119" s="9">
        <f t="shared" si="53"/>
        <v>0</v>
      </c>
      <c r="AL119" s="9">
        <f t="shared" si="53"/>
        <v>0</v>
      </c>
      <c r="AM119" s="9">
        <f t="shared" si="53"/>
        <v>0</v>
      </c>
      <c r="AN119" s="9">
        <f t="shared" si="53"/>
        <v>0</v>
      </c>
      <c r="AO119" s="9">
        <f t="shared" si="53"/>
        <v>0</v>
      </c>
      <c r="AP119" s="9">
        <f t="shared" si="53"/>
        <v>0</v>
      </c>
      <c r="AQ119" s="9">
        <f t="shared" si="53"/>
        <v>0</v>
      </c>
      <c r="AR119" s="9">
        <f t="shared" si="53"/>
        <v>0</v>
      </c>
      <c r="AS119" s="9">
        <f t="shared" si="53"/>
        <v>0</v>
      </c>
      <c r="AT119" s="9">
        <f t="shared" si="53"/>
        <v>0</v>
      </c>
      <c r="AU119" s="9">
        <f t="shared" si="53"/>
        <v>0</v>
      </c>
      <c r="AV119" s="9">
        <f t="shared" si="53"/>
        <v>60686819.660042971</v>
      </c>
      <c r="AW119" s="9">
        <f t="shared" si="53"/>
        <v>0</v>
      </c>
      <c r="AX119" s="9">
        <f t="shared" si="53"/>
        <v>0</v>
      </c>
      <c r="AY119" s="9">
        <f t="shared" si="53"/>
        <v>0</v>
      </c>
      <c r="AZ119" s="9">
        <f t="shared" si="53"/>
        <v>0</v>
      </c>
      <c r="BA119" s="9">
        <f t="shared" si="53"/>
        <v>0</v>
      </c>
      <c r="BB119" s="9">
        <f t="shared" si="53"/>
        <v>0</v>
      </c>
      <c r="BC119" s="9">
        <f t="shared" si="53"/>
        <v>0</v>
      </c>
      <c r="BD119" s="9">
        <f t="shared" si="53"/>
        <v>0</v>
      </c>
      <c r="BE119" s="9">
        <f t="shared" si="53"/>
        <v>0</v>
      </c>
      <c r="BF119" s="9">
        <f t="shared" si="53"/>
        <v>0</v>
      </c>
      <c r="BG119" s="9">
        <f t="shared" si="53"/>
        <v>0</v>
      </c>
      <c r="BH119" s="9">
        <f t="shared" si="53"/>
        <v>0</v>
      </c>
    </row>
    <row r="120" spans="2:60" x14ac:dyDescent="0.3"/>
    <row r="121" spans="2:60" x14ac:dyDescent="0.3">
      <c r="B121" t="s">
        <v>105</v>
      </c>
    </row>
    <row r="122" spans="2:60" x14ac:dyDescent="0.3">
      <c r="B122" s="21" t="str">
        <f>B40</f>
        <v>Senior Debt</v>
      </c>
      <c r="I122" s="2">
        <f>D83</f>
        <v>27625000</v>
      </c>
      <c r="L122" s="9">
        <f>(L$4=36)*$I122</f>
        <v>0</v>
      </c>
      <c r="M122" s="9">
        <f t="shared" ref="M122:BH123" si="54">(M$4=36)*$I122</f>
        <v>0</v>
      </c>
      <c r="N122" s="9">
        <f t="shared" si="54"/>
        <v>0</v>
      </c>
      <c r="O122" s="9">
        <f t="shared" si="54"/>
        <v>0</v>
      </c>
      <c r="P122" s="9">
        <f t="shared" si="54"/>
        <v>0</v>
      </c>
      <c r="Q122" s="9">
        <f t="shared" si="54"/>
        <v>0</v>
      </c>
      <c r="R122" s="9">
        <f t="shared" si="54"/>
        <v>0</v>
      </c>
      <c r="S122" s="9">
        <f t="shared" si="54"/>
        <v>0</v>
      </c>
      <c r="T122" s="9">
        <f t="shared" si="54"/>
        <v>0</v>
      </c>
      <c r="U122" s="9">
        <f t="shared" si="54"/>
        <v>0</v>
      </c>
      <c r="V122" s="9">
        <f t="shared" si="54"/>
        <v>0</v>
      </c>
      <c r="W122" s="9">
        <f t="shared" si="54"/>
        <v>0</v>
      </c>
      <c r="X122" s="9">
        <f t="shared" si="54"/>
        <v>0</v>
      </c>
      <c r="Y122" s="9">
        <f t="shared" si="54"/>
        <v>0</v>
      </c>
      <c r="Z122" s="9">
        <f t="shared" si="54"/>
        <v>0</v>
      </c>
      <c r="AA122" s="9">
        <f t="shared" si="54"/>
        <v>0</v>
      </c>
      <c r="AB122" s="9">
        <f t="shared" si="54"/>
        <v>0</v>
      </c>
      <c r="AC122" s="9">
        <f t="shared" si="54"/>
        <v>0</v>
      </c>
      <c r="AD122" s="9">
        <f t="shared" si="54"/>
        <v>0</v>
      </c>
      <c r="AE122" s="9">
        <f t="shared" si="54"/>
        <v>0</v>
      </c>
      <c r="AF122" s="9">
        <f t="shared" si="54"/>
        <v>0</v>
      </c>
      <c r="AG122" s="9">
        <f t="shared" si="54"/>
        <v>0</v>
      </c>
      <c r="AH122" s="9">
        <f t="shared" si="54"/>
        <v>0</v>
      </c>
      <c r="AI122" s="9">
        <f t="shared" si="54"/>
        <v>0</v>
      </c>
      <c r="AJ122" s="9">
        <f t="shared" si="54"/>
        <v>0</v>
      </c>
      <c r="AK122" s="9">
        <f t="shared" si="54"/>
        <v>0</v>
      </c>
      <c r="AL122" s="9">
        <f t="shared" si="54"/>
        <v>0</v>
      </c>
      <c r="AM122" s="9">
        <f t="shared" si="54"/>
        <v>0</v>
      </c>
      <c r="AN122" s="9">
        <f t="shared" si="54"/>
        <v>0</v>
      </c>
      <c r="AO122" s="9">
        <f t="shared" si="54"/>
        <v>0</v>
      </c>
      <c r="AP122" s="9">
        <f t="shared" si="54"/>
        <v>0</v>
      </c>
      <c r="AQ122" s="9">
        <f t="shared" si="54"/>
        <v>0</v>
      </c>
      <c r="AR122" s="9">
        <f t="shared" si="54"/>
        <v>0</v>
      </c>
      <c r="AS122" s="9">
        <f t="shared" si="54"/>
        <v>0</v>
      </c>
      <c r="AT122" s="9">
        <f t="shared" si="54"/>
        <v>0</v>
      </c>
      <c r="AU122" s="9">
        <f t="shared" si="54"/>
        <v>0</v>
      </c>
      <c r="AV122" s="9">
        <f t="shared" si="54"/>
        <v>27625000</v>
      </c>
      <c r="AW122" s="9">
        <f t="shared" si="54"/>
        <v>0</v>
      </c>
      <c r="AX122" s="9">
        <f t="shared" si="54"/>
        <v>0</v>
      </c>
      <c r="AY122" s="9">
        <f t="shared" si="54"/>
        <v>0</v>
      </c>
      <c r="AZ122" s="9">
        <f t="shared" si="54"/>
        <v>0</v>
      </c>
      <c r="BA122" s="9">
        <f t="shared" si="54"/>
        <v>0</v>
      </c>
      <c r="BB122" s="9">
        <f t="shared" si="54"/>
        <v>0</v>
      </c>
      <c r="BC122" s="9">
        <f t="shared" si="54"/>
        <v>0</v>
      </c>
      <c r="BD122" s="9">
        <f t="shared" si="54"/>
        <v>0</v>
      </c>
      <c r="BE122" s="9">
        <f t="shared" si="54"/>
        <v>0</v>
      </c>
      <c r="BF122" s="9">
        <f t="shared" si="54"/>
        <v>0</v>
      </c>
      <c r="BG122" s="9">
        <f t="shared" si="54"/>
        <v>0</v>
      </c>
      <c r="BH122" s="9">
        <f t="shared" si="54"/>
        <v>0</v>
      </c>
    </row>
    <row r="123" spans="2:60" ht="16.2" x14ac:dyDescent="0.45">
      <c r="B123" s="21" t="str">
        <f>B41</f>
        <v>Mezzanine Debt</v>
      </c>
      <c r="I123" s="22">
        <f>D84</f>
        <v>8500000</v>
      </c>
      <c r="L123" s="32">
        <f>(L$4=36)*$I123</f>
        <v>0</v>
      </c>
      <c r="M123" s="32">
        <f t="shared" si="54"/>
        <v>0</v>
      </c>
      <c r="N123" s="32">
        <f t="shared" si="54"/>
        <v>0</v>
      </c>
      <c r="O123" s="32">
        <f t="shared" si="54"/>
        <v>0</v>
      </c>
      <c r="P123" s="32">
        <f t="shared" si="54"/>
        <v>0</v>
      </c>
      <c r="Q123" s="32">
        <f t="shared" si="54"/>
        <v>0</v>
      </c>
      <c r="R123" s="32">
        <f t="shared" si="54"/>
        <v>0</v>
      </c>
      <c r="S123" s="32">
        <f t="shared" si="54"/>
        <v>0</v>
      </c>
      <c r="T123" s="32">
        <f t="shared" si="54"/>
        <v>0</v>
      </c>
      <c r="U123" s="32">
        <f t="shared" si="54"/>
        <v>0</v>
      </c>
      <c r="V123" s="32">
        <f t="shared" si="54"/>
        <v>0</v>
      </c>
      <c r="W123" s="32">
        <f t="shared" si="54"/>
        <v>0</v>
      </c>
      <c r="X123" s="32">
        <f t="shared" si="54"/>
        <v>0</v>
      </c>
      <c r="Y123" s="32">
        <f t="shared" si="54"/>
        <v>0</v>
      </c>
      <c r="Z123" s="32">
        <f t="shared" si="54"/>
        <v>0</v>
      </c>
      <c r="AA123" s="32">
        <f t="shared" si="54"/>
        <v>0</v>
      </c>
      <c r="AB123" s="32">
        <f t="shared" si="54"/>
        <v>0</v>
      </c>
      <c r="AC123" s="32">
        <f t="shared" si="54"/>
        <v>0</v>
      </c>
      <c r="AD123" s="32">
        <f t="shared" si="54"/>
        <v>0</v>
      </c>
      <c r="AE123" s="32">
        <f t="shared" si="54"/>
        <v>0</v>
      </c>
      <c r="AF123" s="32">
        <f t="shared" si="54"/>
        <v>0</v>
      </c>
      <c r="AG123" s="32">
        <f t="shared" si="54"/>
        <v>0</v>
      </c>
      <c r="AH123" s="32">
        <f t="shared" si="54"/>
        <v>0</v>
      </c>
      <c r="AI123" s="32">
        <f t="shared" si="54"/>
        <v>0</v>
      </c>
      <c r="AJ123" s="32">
        <f t="shared" si="54"/>
        <v>0</v>
      </c>
      <c r="AK123" s="32">
        <f t="shared" si="54"/>
        <v>0</v>
      </c>
      <c r="AL123" s="32">
        <f t="shared" si="54"/>
        <v>0</v>
      </c>
      <c r="AM123" s="32">
        <f t="shared" si="54"/>
        <v>0</v>
      </c>
      <c r="AN123" s="32">
        <f t="shared" si="54"/>
        <v>0</v>
      </c>
      <c r="AO123" s="32">
        <f t="shared" si="54"/>
        <v>0</v>
      </c>
      <c r="AP123" s="32">
        <f t="shared" si="54"/>
        <v>0</v>
      </c>
      <c r="AQ123" s="32">
        <f t="shared" si="54"/>
        <v>0</v>
      </c>
      <c r="AR123" s="32">
        <f t="shared" si="54"/>
        <v>0</v>
      </c>
      <c r="AS123" s="32">
        <f t="shared" si="54"/>
        <v>0</v>
      </c>
      <c r="AT123" s="32">
        <f t="shared" si="54"/>
        <v>0</v>
      </c>
      <c r="AU123" s="32">
        <f t="shared" si="54"/>
        <v>0</v>
      </c>
      <c r="AV123" s="32">
        <f t="shared" si="54"/>
        <v>8500000</v>
      </c>
      <c r="AW123" s="32">
        <f t="shared" si="54"/>
        <v>0</v>
      </c>
      <c r="AX123" s="32">
        <f t="shared" si="54"/>
        <v>0</v>
      </c>
      <c r="AY123" s="32">
        <f t="shared" si="54"/>
        <v>0</v>
      </c>
      <c r="AZ123" s="32">
        <f t="shared" si="54"/>
        <v>0</v>
      </c>
      <c r="BA123" s="32">
        <f t="shared" si="54"/>
        <v>0</v>
      </c>
      <c r="BB123" s="32">
        <f t="shared" si="54"/>
        <v>0</v>
      </c>
      <c r="BC123" s="32">
        <f t="shared" si="54"/>
        <v>0</v>
      </c>
      <c r="BD123" s="32">
        <f t="shared" si="54"/>
        <v>0</v>
      </c>
      <c r="BE123" s="32">
        <f t="shared" si="54"/>
        <v>0</v>
      </c>
      <c r="BF123" s="32">
        <f t="shared" si="54"/>
        <v>0</v>
      </c>
      <c r="BG123" s="32">
        <f t="shared" si="54"/>
        <v>0</v>
      </c>
      <c r="BH123" s="32">
        <f t="shared" si="54"/>
        <v>0</v>
      </c>
    </row>
    <row r="124" spans="2:60" x14ac:dyDescent="0.3">
      <c r="B124" t="s">
        <v>106</v>
      </c>
      <c r="I124" s="2">
        <f>SUM(I122:I123)</f>
        <v>36125000</v>
      </c>
      <c r="L124" s="9">
        <f>SUM(L122:L123)</f>
        <v>0</v>
      </c>
      <c r="M124" s="9">
        <f t="shared" ref="M124:BH124" si="55">SUM(M122:M123)</f>
        <v>0</v>
      </c>
      <c r="N124" s="9">
        <f t="shared" si="55"/>
        <v>0</v>
      </c>
      <c r="O124" s="9">
        <f t="shared" si="55"/>
        <v>0</v>
      </c>
      <c r="P124" s="9">
        <f t="shared" si="55"/>
        <v>0</v>
      </c>
      <c r="Q124" s="9">
        <f t="shared" si="55"/>
        <v>0</v>
      </c>
      <c r="R124" s="9">
        <f t="shared" si="55"/>
        <v>0</v>
      </c>
      <c r="S124" s="9">
        <f t="shared" si="55"/>
        <v>0</v>
      </c>
      <c r="T124" s="9">
        <f t="shared" si="55"/>
        <v>0</v>
      </c>
      <c r="U124" s="9">
        <f t="shared" si="55"/>
        <v>0</v>
      </c>
      <c r="V124" s="9">
        <f t="shared" si="55"/>
        <v>0</v>
      </c>
      <c r="W124" s="9">
        <f t="shared" si="55"/>
        <v>0</v>
      </c>
      <c r="X124" s="9">
        <f t="shared" si="55"/>
        <v>0</v>
      </c>
      <c r="Y124" s="9">
        <f t="shared" si="55"/>
        <v>0</v>
      </c>
      <c r="Z124" s="9">
        <f t="shared" si="55"/>
        <v>0</v>
      </c>
      <c r="AA124" s="9">
        <f t="shared" si="55"/>
        <v>0</v>
      </c>
      <c r="AB124" s="9">
        <f t="shared" si="55"/>
        <v>0</v>
      </c>
      <c r="AC124" s="9">
        <f t="shared" si="55"/>
        <v>0</v>
      </c>
      <c r="AD124" s="9">
        <f t="shared" si="55"/>
        <v>0</v>
      </c>
      <c r="AE124" s="9">
        <f t="shared" si="55"/>
        <v>0</v>
      </c>
      <c r="AF124" s="9">
        <f t="shared" si="55"/>
        <v>0</v>
      </c>
      <c r="AG124" s="9">
        <f t="shared" si="55"/>
        <v>0</v>
      </c>
      <c r="AH124" s="9">
        <f t="shared" si="55"/>
        <v>0</v>
      </c>
      <c r="AI124" s="9">
        <f t="shared" si="55"/>
        <v>0</v>
      </c>
      <c r="AJ124" s="9">
        <f t="shared" si="55"/>
        <v>0</v>
      </c>
      <c r="AK124" s="9">
        <f t="shared" si="55"/>
        <v>0</v>
      </c>
      <c r="AL124" s="9">
        <f t="shared" si="55"/>
        <v>0</v>
      </c>
      <c r="AM124" s="9">
        <f t="shared" si="55"/>
        <v>0</v>
      </c>
      <c r="AN124" s="9">
        <f t="shared" si="55"/>
        <v>0</v>
      </c>
      <c r="AO124" s="9">
        <f t="shared" si="55"/>
        <v>0</v>
      </c>
      <c r="AP124" s="9">
        <f t="shared" si="55"/>
        <v>0</v>
      </c>
      <c r="AQ124" s="9">
        <f t="shared" si="55"/>
        <v>0</v>
      </c>
      <c r="AR124" s="9">
        <f t="shared" si="55"/>
        <v>0</v>
      </c>
      <c r="AS124" s="9">
        <f t="shared" si="55"/>
        <v>0</v>
      </c>
      <c r="AT124" s="9">
        <f t="shared" si="55"/>
        <v>0</v>
      </c>
      <c r="AU124" s="9">
        <f t="shared" si="55"/>
        <v>0</v>
      </c>
      <c r="AV124" s="9">
        <f t="shared" si="55"/>
        <v>36125000</v>
      </c>
      <c r="AW124" s="9">
        <f t="shared" si="55"/>
        <v>0</v>
      </c>
      <c r="AX124" s="9">
        <f t="shared" si="55"/>
        <v>0</v>
      </c>
      <c r="AY124" s="9">
        <f t="shared" si="55"/>
        <v>0</v>
      </c>
      <c r="AZ124" s="9">
        <f t="shared" si="55"/>
        <v>0</v>
      </c>
      <c r="BA124" s="9">
        <f t="shared" si="55"/>
        <v>0</v>
      </c>
      <c r="BB124" s="9">
        <f t="shared" si="55"/>
        <v>0</v>
      </c>
      <c r="BC124" s="9">
        <f t="shared" si="55"/>
        <v>0</v>
      </c>
      <c r="BD124" s="9">
        <f t="shared" si="55"/>
        <v>0</v>
      </c>
      <c r="BE124" s="9">
        <f t="shared" si="55"/>
        <v>0</v>
      </c>
      <c r="BF124" s="9">
        <f t="shared" si="55"/>
        <v>0</v>
      </c>
      <c r="BG124" s="9">
        <f t="shared" si="55"/>
        <v>0</v>
      </c>
      <c r="BH124" s="9">
        <f t="shared" si="55"/>
        <v>0</v>
      </c>
    </row>
    <row r="125" spans="2:60" x14ac:dyDescent="0.3"/>
    <row r="126" spans="2:60" x14ac:dyDescent="0.3">
      <c r="B126" s="20" t="s">
        <v>107</v>
      </c>
      <c r="I126" s="2">
        <f>I119-I124</f>
        <v>24561819.660042971</v>
      </c>
      <c r="L126" s="9">
        <f>L119-L124</f>
        <v>0</v>
      </c>
      <c r="M126" s="9">
        <f t="shared" ref="M126:BH126" si="56">M119-M124</f>
        <v>0</v>
      </c>
      <c r="N126" s="9">
        <f t="shared" si="56"/>
        <v>0</v>
      </c>
      <c r="O126" s="9">
        <f t="shared" si="56"/>
        <v>0</v>
      </c>
      <c r="P126" s="9">
        <f t="shared" si="56"/>
        <v>0</v>
      </c>
      <c r="Q126" s="9">
        <f t="shared" si="56"/>
        <v>0</v>
      </c>
      <c r="R126" s="9">
        <f t="shared" si="56"/>
        <v>0</v>
      </c>
      <c r="S126" s="9">
        <f t="shared" si="56"/>
        <v>0</v>
      </c>
      <c r="T126" s="9">
        <f t="shared" si="56"/>
        <v>0</v>
      </c>
      <c r="U126" s="9">
        <f t="shared" si="56"/>
        <v>0</v>
      </c>
      <c r="V126" s="9">
        <f t="shared" si="56"/>
        <v>0</v>
      </c>
      <c r="W126" s="9">
        <f t="shared" si="56"/>
        <v>0</v>
      </c>
      <c r="X126" s="9">
        <f t="shared" si="56"/>
        <v>0</v>
      </c>
      <c r="Y126" s="9">
        <f t="shared" si="56"/>
        <v>0</v>
      </c>
      <c r="Z126" s="9">
        <f t="shared" si="56"/>
        <v>0</v>
      </c>
      <c r="AA126" s="9">
        <f t="shared" si="56"/>
        <v>0</v>
      </c>
      <c r="AB126" s="9">
        <f t="shared" si="56"/>
        <v>0</v>
      </c>
      <c r="AC126" s="9">
        <f t="shared" si="56"/>
        <v>0</v>
      </c>
      <c r="AD126" s="9">
        <f t="shared" si="56"/>
        <v>0</v>
      </c>
      <c r="AE126" s="9">
        <f t="shared" si="56"/>
        <v>0</v>
      </c>
      <c r="AF126" s="9">
        <f t="shared" si="56"/>
        <v>0</v>
      </c>
      <c r="AG126" s="9">
        <f t="shared" si="56"/>
        <v>0</v>
      </c>
      <c r="AH126" s="9">
        <f t="shared" si="56"/>
        <v>0</v>
      </c>
      <c r="AI126" s="9">
        <f t="shared" si="56"/>
        <v>0</v>
      </c>
      <c r="AJ126" s="9">
        <f t="shared" si="56"/>
        <v>0</v>
      </c>
      <c r="AK126" s="9">
        <f t="shared" si="56"/>
        <v>0</v>
      </c>
      <c r="AL126" s="9">
        <f t="shared" si="56"/>
        <v>0</v>
      </c>
      <c r="AM126" s="9">
        <f t="shared" si="56"/>
        <v>0</v>
      </c>
      <c r="AN126" s="9">
        <f t="shared" si="56"/>
        <v>0</v>
      </c>
      <c r="AO126" s="9">
        <f t="shared" si="56"/>
        <v>0</v>
      </c>
      <c r="AP126" s="9">
        <f t="shared" si="56"/>
        <v>0</v>
      </c>
      <c r="AQ126" s="9">
        <f t="shared" si="56"/>
        <v>0</v>
      </c>
      <c r="AR126" s="9">
        <f t="shared" si="56"/>
        <v>0</v>
      </c>
      <c r="AS126" s="9">
        <f t="shared" si="56"/>
        <v>0</v>
      </c>
      <c r="AT126" s="9">
        <f t="shared" si="56"/>
        <v>0</v>
      </c>
      <c r="AU126" s="9">
        <f t="shared" si="56"/>
        <v>0</v>
      </c>
      <c r="AV126" s="9">
        <f t="shared" si="56"/>
        <v>24561819.660042971</v>
      </c>
      <c r="AW126" s="9">
        <f t="shared" si="56"/>
        <v>0</v>
      </c>
      <c r="AX126" s="9">
        <f t="shared" si="56"/>
        <v>0</v>
      </c>
      <c r="AY126" s="9">
        <f t="shared" si="56"/>
        <v>0</v>
      </c>
      <c r="AZ126" s="9">
        <f t="shared" si="56"/>
        <v>0</v>
      </c>
      <c r="BA126" s="9">
        <f t="shared" si="56"/>
        <v>0</v>
      </c>
      <c r="BB126" s="9">
        <f t="shared" si="56"/>
        <v>0</v>
      </c>
      <c r="BC126" s="9">
        <f t="shared" si="56"/>
        <v>0</v>
      </c>
      <c r="BD126" s="9">
        <f t="shared" si="56"/>
        <v>0</v>
      </c>
      <c r="BE126" s="9">
        <f t="shared" si="56"/>
        <v>0</v>
      </c>
      <c r="BF126" s="9">
        <f t="shared" si="56"/>
        <v>0</v>
      </c>
      <c r="BG126" s="9">
        <f t="shared" si="56"/>
        <v>0</v>
      </c>
      <c r="BH126" s="9">
        <f t="shared" si="56"/>
        <v>0</v>
      </c>
    </row>
    <row r="127" spans="2:60" x14ac:dyDescent="0.3">
      <c r="B127" s="16" t="s">
        <v>8</v>
      </c>
      <c r="C127" s="17"/>
      <c r="D127" s="18"/>
      <c r="E127" s="18"/>
      <c r="F127" s="18"/>
      <c r="G127" s="18"/>
      <c r="H127" s="18"/>
      <c r="I127" s="18"/>
    </row>
    <row r="128" spans="2:60" x14ac:dyDescent="0.3">
      <c r="B128" s="20" t="s">
        <v>108</v>
      </c>
    </row>
    <row r="129" spans="2:60" x14ac:dyDescent="0.3">
      <c r="B129" s="21" t="s">
        <v>109</v>
      </c>
      <c r="L129" s="9">
        <f>(L4&lt;=36)*-L35</f>
        <v>-42712500</v>
      </c>
      <c r="M129" s="9">
        <f t="shared" ref="M129:BH129" si="57">(M4&lt;=36)*-M35</f>
        <v>-268416.66666666669</v>
      </c>
      <c r="N129" s="9">
        <f t="shared" si="57"/>
        <v>-268416.66666666669</v>
      </c>
      <c r="O129" s="9">
        <f t="shared" si="57"/>
        <v>-268416.66666666669</v>
      </c>
      <c r="P129" s="9">
        <f t="shared" si="57"/>
        <v>-268416.66666666669</v>
      </c>
      <c r="Q129" s="9">
        <f t="shared" si="57"/>
        <v>-268416.66666666669</v>
      </c>
      <c r="R129" s="9">
        <f t="shared" si="57"/>
        <v>-268416.66666666669</v>
      </c>
      <c r="S129" s="9">
        <f t="shared" si="57"/>
        <v>-268416.66666666669</v>
      </c>
      <c r="T129" s="9">
        <f t="shared" si="57"/>
        <v>-268416.66666666669</v>
      </c>
      <c r="U129" s="9">
        <f t="shared" si="57"/>
        <v>-268416.66666666669</v>
      </c>
      <c r="V129" s="9">
        <f t="shared" si="57"/>
        <v>-268416.66666666669</v>
      </c>
      <c r="W129" s="9">
        <f t="shared" si="57"/>
        <v>-268416.66666666669</v>
      </c>
      <c r="X129" s="9">
        <f t="shared" si="57"/>
        <v>-268416.66666666669</v>
      </c>
      <c r="Y129" s="9">
        <f t="shared" si="57"/>
        <v>-108000</v>
      </c>
      <c r="Z129" s="9">
        <f t="shared" si="57"/>
        <v>-108000</v>
      </c>
      <c r="AA129" s="9">
        <f t="shared" si="57"/>
        <v>-108000</v>
      </c>
      <c r="AB129" s="9">
        <f t="shared" si="57"/>
        <v>-108000</v>
      </c>
      <c r="AC129" s="9">
        <f t="shared" si="57"/>
        <v>-108000</v>
      </c>
      <c r="AD129" s="9">
        <f t="shared" si="57"/>
        <v>-108000</v>
      </c>
      <c r="AE129" s="9">
        <f t="shared" si="57"/>
        <v>-108000</v>
      </c>
      <c r="AF129" s="9">
        <f t="shared" si="57"/>
        <v>-108000</v>
      </c>
      <c r="AG129" s="9">
        <f t="shared" si="57"/>
        <v>-108000</v>
      </c>
      <c r="AH129" s="9">
        <f t="shared" si="57"/>
        <v>-108000</v>
      </c>
      <c r="AI129" s="9">
        <f t="shared" si="57"/>
        <v>-108000</v>
      </c>
      <c r="AJ129" s="9">
        <f t="shared" si="57"/>
        <v>-108000</v>
      </c>
      <c r="AK129" s="9">
        <f t="shared" si="57"/>
        <v>0</v>
      </c>
      <c r="AL129" s="9">
        <f t="shared" si="57"/>
        <v>0</v>
      </c>
      <c r="AM129" s="9">
        <f t="shared" si="57"/>
        <v>0</v>
      </c>
      <c r="AN129" s="9">
        <f t="shared" si="57"/>
        <v>0</v>
      </c>
      <c r="AO129" s="9">
        <f t="shared" si="57"/>
        <v>0</v>
      </c>
      <c r="AP129" s="9">
        <f t="shared" si="57"/>
        <v>0</v>
      </c>
      <c r="AQ129" s="9">
        <f t="shared" si="57"/>
        <v>0</v>
      </c>
      <c r="AR129" s="9">
        <f t="shared" si="57"/>
        <v>0</v>
      </c>
      <c r="AS129" s="9">
        <f t="shared" si="57"/>
        <v>0</v>
      </c>
      <c r="AT129" s="9">
        <f t="shared" si="57"/>
        <v>0</v>
      </c>
      <c r="AU129" s="9">
        <f t="shared" si="57"/>
        <v>0</v>
      </c>
      <c r="AV129" s="9">
        <f t="shared" si="57"/>
        <v>0</v>
      </c>
      <c r="AW129" s="9">
        <f t="shared" si="57"/>
        <v>0</v>
      </c>
      <c r="AX129" s="9">
        <f t="shared" si="57"/>
        <v>0</v>
      </c>
      <c r="AY129" s="9">
        <f t="shared" si="57"/>
        <v>0</v>
      </c>
      <c r="AZ129" s="9">
        <f t="shared" si="57"/>
        <v>0</v>
      </c>
      <c r="BA129" s="9">
        <f t="shared" si="57"/>
        <v>0</v>
      </c>
      <c r="BB129" s="9">
        <f t="shared" si="57"/>
        <v>0</v>
      </c>
      <c r="BC129" s="9">
        <f t="shared" si="57"/>
        <v>0</v>
      </c>
      <c r="BD129" s="9">
        <f t="shared" si="57"/>
        <v>0</v>
      </c>
      <c r="BE129" s="9">
        <f t="shared" si="57"/>
        <v>0</v>
      </c>
      <c r="BF129" s="9">
        <f t="shared" si="57"/>
        <v>0</v>
      </c>
      <c r="BG129" s="9">
        <f t="shared" si="57"/>
        <v>0</v>
      </c>
      <c r="BH129" s="9">
        <f t="shared" si="57"/>
        <v>0</v>
      </c>
    </row>
    <row r="130" spans="2:60" x14ac:dyDescent="0.3">
      <c r="B130" s="21" t="s">
        <v>90</v>
      </c>
      <c r="L130" s="9">
        <f>(L4&lt;=36)*L80</f>
        <v>0</v>
      </c>
      <c r="M130" s="9">
        <f t="shared" ref="M130:BH130" si="58">(M4&lt;=36)*M80</f>
        <v>207368.36324999999</v>
      </c>
      <c r="N130" s="9">
        <f t="shared" si="58"/>
        <v>209838.67283092826</v>
      </c>
      <c r="O130" s="9">
        <f t="shared" si="58"/>
        <v>212317.80039611371</v>
      </c>
      <c r="P130" s="9">
        <f t="shared" si="58"/>
        <v>214805.7717914246</v>
      </c>
      <c r="Q130" s="9">
        <f t="shared" si="58"/>
        <v>217302.61293179155</v>
      </c>
      <c r="R130" s="9">
        <f t="shared" si="58"/>
        <v>219808.34980138257</v>
      </c>
      <c r="S130" s="9">
        <f t="shared" si="58"/>
        <v>222323.00845377819</v>
      </c>
      <c r="T130" s="9">
        <f t="shared" si="58"/>
        <v>224846.61501214743</v>
      </c>
      <c r="U130" s="9">
        <f t="shared" si="58"/>
        <v>227379.19566942318</v>
      </c>
      <c r="V130" s="9">
        <f t="shared" si="58"/>
        <v>229920.7766884802</v>
      </c>
      <c r="W130" s="9">
        <f t="shared" si="58"/>
        <v>232471.38440231065</v>
      </c>
      <c r="X130" s="9">
        <f t="shared" si="58"/>
        <v>235031.0452142022</v>
      </c>
      <c r="Y130" s="9">
        <f t="shared" si="58"/>
        <v>233216.75026458289</v>
      </c>
      <c r="Z130" s="9">
        <f t="shared" si="58"/>
        <v>235794.59676453169</v>
      </c>
      <c r="AA130" s="9">
        <f t="shared" si="58"/>
        <v>238381.5759959585</v>
      </c>
      <c r="AB130" s="9">
        <f t="shared" si="58"/>
        <v>240977.71464511607</v>
      </c>
      <c r="AC130" s="9">
        <f t="shared" si="58"/>
        <v>243583.03946944568</v>
      </c>
      <c r="AD130" s="9">
        <f t="shared" si="58"/>
        <v>246197.57729775828</v>
      </c>
      <c r="AE130" s="9">
        <f t="shared" si="58"/>
        <v>248821.35503041442</v>
      </c>
      <c r="AF130" s="9">
        <f t="shared" si="58"/>
        <v>251454.39963950522</v>
      </c>
      <c r="AG130" s="9">
        <f t="shared" si="58"/>
        <v>254096.73816903366</v>
      </c>
      <c r="AH130" s="9">
        <f t="shared" si="58"/>
        <v>256748.3977350964</v>
      </c>
      <c r="AI130" s="9">
        <f t="shared" si="58"/>
        <v>259409.40552606655</v>
      </c>
      <c r="AJ130" s="9">
        <f t="shared" si="58"/>
        <v>262079.78880277558</v>
      </c>
      <c r="AK130" s="9">
        <f t="shared" si="58"/>
        <v>274206.47712046769</v>
      </c>
      <c r="AL130" s="9">
        <f t="shared" si="58"/>
        <v>275022.44413054764</v>
      </c>
      <c r="AM130" s="9">
        <f t="shared" si="58"/>
        <v>275840.09189907002</v>
      </c>
      <c r="AN130" s="9">
        <f t="shared" si="58"/>
        <v>276659.42388812185</v>
      </c>
      <c r="AO130" s="9">
        <f t="shared" si="58"/>
        <v>277480.44356692187</v>
      </c>
      <c r="AP130" s="9">
        <f t="shared" si="58"/>
        <v>278303.15441183437</v>
      </c>
      <c r="AQ130" s="9">
        <f t="shared" si="58"/>
        <v>279127.55990638502</v>
      </c>
      <c r="AR130" s="9">
        <f t="shared" si="58"/>
        <v>279953.66354127438</v>
      </c>
      <c r="AS130" s="9">
        <f t="shared" si="58"/>
        <v>280781.46881439333</v>
      </c>
      <c r="AT130" s="9">
        <f t="shared" si="58"/>
        <v>281610.97923083848</v>
      </c>
      <c r="AU130" s="9">
        <f t="shared" si="58"/>
        <v>282442.19830292556</v>
      </c>
      <c r="AV130" s="9">
        <f t="shared" si="58"/>
        <v>283275.12955020543</v>
      </c>
      <c r="AW130" s="9">
        <f t="shared" si="58"/>
        <v>0</v>
      </c>
      <c r="AX130" s="9">
        <f t="shared" si="58"/>
        <v>0</v>
      </c>
      <c r="AY130" s="9">
        <f t="shared" si="58"/>
        <v>0</v>
      </c>
      <c r="AZ130" s="9">
        <f t="shared" si="58"/>
        <v>0</v>
      </c>
      <c r="BA130" s="9">
        <f t="shared" si="58"/>
        <v>0</v>
      </c>
      <c r="BB130" s="9">
        <f t="shared" si="58"/>
        <v>0</v>
      </c>
      <c r="BC130" s="9">
        <f t="shared" si="58"/>
        <v>0</v>
      </c>
      <c r="BD130" s="9">
        <f t="shared" si="58"/>
        <v>0</v>
      </c>
      <c r="BE130" s="9">
        <f t="shared" si="58"/>
        <v>0</v>
      </c>
      <c r="BF130" s="9">
        <f t="shared" si="58"/>
        <v>0</v>
      </c>
      <c r="BG130" s="9">
        <f t="shared" si="58"/>
        <v>0</v>
      </c>
      <c r="BH130" s="9">
        <f t="shared" si="58"/>
        <v>0</v>
      </c>
    </row>
    <row r="131" spans="2:60" ht="16.2" x14ac:dyDescent="0.45">
      <c r="B131" s="21" t="s">
        <v>104</v>
      </c>
      <c r="L131" s="32">
        <f>(L4&lt;=36)*L119</f>
        <v>0</v>
      </c>
      <c r="M131" s="32">
        <f t="shared" ref="M131:BH131" si="59">(M4&lt;=36)*M119</f>
        <v>0</v>
      </c>
      <c r="N131" s="32">
        <f t="shared" si="59"/>
        <v>0</v>
      </c>
      <c r="O131" s="32">
        <f t="shared" si="59"/>
        <v>0</v>
      </c>
      <c r="P131" s="32">
        <f t="shared" si="59"/>
        <v>0</v>
      </c>
      <c r="Q131" s="32">
        <f t="shared" si="59"/>
        <v>0</v>
      </c>
      <c r="R131" s="32">
        <f t="shared" si="59"/>
        <v>0</v>
      </c>
      <c r="S131" s="32">
        <f t="shared" si="59"/>
        <v>0</v>
      </c>
      <c r="T131" s="32">
        <f t="shared" si="59"/>
        <v>0</v>
      </c>
      <c r="U131" s="32">
        <f t="shared" si="59"/>
        <v>0</v>
      </c>
      <c r="V131" s="32">
        <f t="shared" si="59"/>
        <v>0</v>
      </c>
      <c r="W131" s="32">
        <f t="shared" si="59"/>
        <v>0</v>
      </c>
      <c r="X131" s="32">
        <f t="shared" si="59"/>
        <v>0</v>
      </c>
      <c r="Y131" s="32">
        <f t="shared" si="59"/>
        <v>0</v>
      </c>
      <c r="Z131" s="32">
        <f t="shared" si="59"/>
        <v>0</v>
      </c>
      <c r="AA131" s="32">
        <f t="shared" si="59"/>
        <v>0</v>
      </c>
      <c r="AB131" s="32">
        <f t="shared" si="59"/>
        <v>0</v>
      </c>
      <c r="AC131" s="32">
        <f t="shared" si="59"/>
        <v>0</v>
      </c>
      <c r="AD131" s="32">
        <f t="shared" si="59"/>
        <v>0</v>
      </c>
      <c r="AE131" s="32">
        <f t="shared" si="59"/>
        <v>0</v>
      </c>
      <c r="AF131" s="32">
        <f t="shared" si="59"/>
        <v>0</v>
      </c>
      <c r="AG131" s="32">
        <f t="shared" si="59"/>
        <v>0</v>
      </c>
      <c r="AH131" s="32">
        <f t="shared" si="59"/>
        <v>0</v>
      </c>
      <c r="AI131" s="32">
        <f t="shared" si="59"/>
        <v>0</v>
      </c>
      <c r="AJ131" s="32">
        <f t="shared" si="59"/>
        <v>0</v>
      </c>
      <c r="AK131" s="32">
        <f t="shared" si="59"/>
        <v>0</v>
      </c>
      <c r="AL131" s="32">
        <f t="shared" si="59"/>
        <v>0</v>
      </c>
      <c r="AM131" s="32">
        <f t="shared" si="59"/>
        <v>0</v>
      </c>
      <c r="AN131" s="32">
        <f t="shared" si="59"/>
        <v>0</v>
      </c>
      <c r="AO131" s="32">
        <f t="shared" si="59"/>
        <v>0</v>
      </c>
      <c r="AP131" s="32">
        <f t="shared" si="59"/>
        <v>0</v>
      </c>
      <c r="AQ131" s="32">
        <f t="shared" si="59"/>
        <v>0</v>
      </c>
      <c r="AR131" s="32">
        <f t="shared" si="59"/>
        <v>0</v>
      </c>
      <c r="AS131" s="32">
        <f t="shared" si="59"/>
        <v>0</v>
      </c>
      <c r="AT131" s="32">
        <f t="shared" si="59"/>
        <v>0</v>
      </c>
      <c r="AU131" s="32">
        <f t="shared" si="59"/>
        <v>0</v>
      </c>
      <c r="AV131" s="32">
        <f t="shared" si="59"/>
        <v>60686819.660042971</v>
      </c>
      <c r="AW131" s="32">
        <f t="shared" si="59"/>
        <v>0</v>
      </c>
      <c r="AX131" s="32">
        <f t="shared" si="59"/>
        <v>0</v>
      </c>
      <c r="AY131" s="32">
        <f t="shared" si="59"/>
        <v>0</v>
      </c>
      <c r="AZ131" s="32">
        <f t="shared" si="59"/>
        <v>0</v>
      </c>
      <c r="BA131" s="32">
        <f t="shared" si="59"/>
        <v>0</v>
      </c>
      <c r="BB131" s="32">
        <f t="shared" si="59"/>
        <v>0</v>
      </c>
      <c r="BC131" s="32">
        <f t="shared" si="59"/>
        <v>0</v>
      </c>
      <c r="BD131" s="32">
        <f t="shared" si="59"/>
        <v>0</v>
      </c>
      <c r="BE131" s="32">
        <f t="shared" si="59"/>
        <v>0</v>
      </c>
      <c r="BF131" s="32">
        <f t="shared" si="59"/>
        <v>0</v>
      </c>
      <c r="BG131" s="32">
        <f t="shared" si="59"/>
        <v>0</v>
      </c>
      <c r="BH131" s="32">
        <f t="shared" si="59"/>
        <v>0</v>
      </c>
    </row>
    <row r="132" spans="2:60" x14ac:dyDescent="0.3">
      <c r="B132" t="s">
        <v>110</v>
      </c>
      <c r="L132" s="9">
        <f>SUM(L129:L131)</f>
        <v>-42712500</v>
      </c>
      <c r="M132" s="9">
        <f t="shared" ref="M132:BH132" si="60">SUM(M129:M131)</f>
        <v>-61048.303416666691</v>
      </c>
      <c r="N132" s="9">
        <f t="shared" si="60"/>
        <v>-58577.993835738424</v>
      </c>
      <c r="O132" s="9">
        <f t="shared" si="60"/>
        <v>-56098.866270552971</v>
      </c>
      <c r="P132" s="9">
        <f t="shared" si="60"/>
        <v>-53610.894875242084</v>
      </c>
      <c r="Q132" s="9">
        <f t="shared" si="60"/>
        <v>-51114.053734875139</v>
      </c>
      <c r="R132" s="9">
        <f t="shared" si="60"/>
        <v>-48608.316865284112</v>
      </c>
      <c r="S132" s="9">
        <f t="shared" si="60"/>
        <v>-46093.658212888491</v>
      </c>
      <c r="T132" s="9">
        <f t="shared" si="60"/>
        <v>-43570.051654519251</v>
      </c>
      <c r="U132" s="9">
        <f t="shared" si="60"/>
        <v>-41037.470997243508</v>
      </c>
      <c r="V132" s="9">
        <f t="shared" si="60"/>
        <v>-38495.889978186489</v>
      </c>
      <c r="W132" s="9">
        <f t="shared" si="60"/>
        <v>-35945.282264356036</v>
      </c>
      <c r="X132" s="9">
        <f t="shared" si="60"/>
        <v>-33385.621452464489</v>
      </c>
      <c r="Y132" s="9">
        <f t="shared" si="60"/>
        <v>125216.75026458289</v>
      </c>
      <c r="Z132" s="9">
        <f t="shared" si="60"/>
        <v>127794.59676453169</v>
      </c>
      <c r="AA132" s="9">
        <f t="shared" si="60"/>
        <v>130381.5759959585</v>
      </c>
      <c r="AB132" s="9">
        <f t="shared" si="60"/>
        <v>132977.71464511607</v>
      </c>
      <c r="AC132" s="9">
        <f t="shared" si="60"/>
        <v>135583.03946944568</v>
      </c>
      <c r="AD132" s="9">
        <f t="shared" si="60"/>
        <v>138197.57729775828</v>
      </c>
      <c r="AE132" s="9">
        <f t="shared" si="60"/>
        <v>140821.35503041442</v>
      </c>
      <c r="AF132" s="9">
        <f t="shared" si="60"/>
        <v>143454.39963950522</v>
      </c>
      <c r="AG132" s="9">
        <f t="shared" si="60"/>
        <v>146096.73816903366</v>
      </c>
      <c r="AH132" s="9">
        <f t="shared" si="60"/>
        <v>148748.3977350964</v>
      </c>
      <c r="AI132" s="9">
        <f t="shared" si="60"/>
        <v>151409.40552606655</v>
      </c>
      <c r="AJ132" s="9">
        <f t="shared" si="60"/>
        <v>154079.78880277558</v>
      </c>
      <c r="AK132" s="9">
        <f t="shared" si="60"/>
        <v>274206.47712046769</v>
      </c>
      <c r="AL132" s="9">
        <f t="shared" si="60"/>
        <v>275022.44413054764</v>
      </c>
      <c r="AM132" s="9">
        <f t="shared" si="60"/>
        <v>275840.09189907002</v>
      </c>
      <c r="AN132" s="9">
        <f t="shared" si="60"/>
        <v>276659.42388812185</v>
      </c>
      <c r="AO132" s="9">
        <f t="shared" si="60"/>
        <v>277480.44356692187</v>
      </c>
      <c r="AP132" s="9">
        <f t="shared" si="60"/>
        <v>278303.15441183437</v>
      </c>
      <c r="AQ132" s="9">
        <f t="shared" si="60"/>
        <v>279127.55990638502</v>
      </c>
      <c r="AR132" s="9">
        <f t="shared" si="60"/>
        <v>279953.66354127438</v>
      </c>
      <c r="AS132" s="9">
        <f t="shared" si="60"/>
        <v>280781.46881439333</v>
      </c>
      <c r="AT132" s="9">
        <f t="shared" si="60"/>
        <v>281610.97923083848</v>
      </c>
      <c r="AU132" s="9">
        <f t="shared" si="60"/>
        <v>282442.19830292556</v>
      </c>
      <c r="AV132" s="9">
        <f t="shared" si="60"/>
        <v>60970094.789593175</v>
      </c>
      <c r="AW132" s="9">
        <f t="shared" si="60"/>
        <v>0</v>
      </c>
      <c r="AX132" s="9">
        <f t="shared" si="60"/>
        <v>0</v>
      </c>
      <c r="AY132" s="9">
        <f t="shared" si="60"/>
        <v>0</v>
      </c>
      <c r="AZ132" s="9">
        <f t="shared" si="60"/>
        <v>0</v>
      </c>
      <c r="BA132" s="9">
        <f t="shared" si="60"/>
        <v>0</v>
      </c>
      <c r="BB132" s="9">
        <f t="shared" si="60"/>
        <v>0</v>
      </c>
      <c r="BC132" s="9">
        <f t="shared" si="60"/>
        <v>0</v>
      </c>
      <c r="BD132" s="9">
        <f t="shared" si="60"/>
        <v>0</v>
      </c>
      <c r="BE132" s="9">
        <f t="shared" si="60"/>
        <v>0</v>
      </c>
      <c r="BF132" s="9">
        <f t="shared" si="60"/>
        <v>0</v>
      </c>
      <c r="BG132" s="9">
        <f t="shared" si="60"/>
        <v>0</v>
      </c>
      <c r="BH132" s="9">
        <f t="shared" si="60"/>
        <v>0</v>
      </c>
    </row>
    <row r="133" spans="2:60" x14ac:dyDescent="0.3">
      <c r="B133" s="21" t="s">
        <v>111</v>
      </c>
      <c r="I133" s="23">
        <f>XIRR(L132:BH132,$L$3:$BH$3)</f>
        <v>0.15305733084678649</v>
      </c>
    </row>
    <row r="134" spans="2:60" x14ac:dyDescent="0.3">
      <c r="B134" s="21" t="s">
        <v>112</v>
      </c>
      <c r="I134" s="59">
        <f>SUMIF(L132:BH132,"&gt;0")/-SUMIF(L132:BH132,"&lt;0")</f>
        <v>1.5181643451697124</v>
      </c>
    </row>
    <row r="135" spans="2:60" x14ac:dyDescent="0.3"/>
    <row r="136" spans="2:60" x14ac:dyDescent="0.3">
      <c r="B136" s="20" t="s">
        <v>113</v>
      </c>
    </row>
    <row r="137" spans="2:60" x14ac:dyDescent="0.3">
      <c r="B137" s="21" t="s">
        <v>114</v>
      </c>
      <c r="L137" s="9">
        <f>(L4&lt;=36)*-L37+L40+L41</f>
        <v>-11412625</v>
      </c>
      <c r="M137" s="9">
        <f t="shared" ref="M137:BH137" si="61">(M4&lt;=36)*-M37+M40+M41</f>
        <v>0</v>
      </c>
      <c r="N137" s="9">
        <f t="shared" si="61"/>
        <v>0</v>
      </c>
      <c r="O137" s="9">
        <f t="shared" si="61"/>
        <v>0</v>
      </c>
      <c r="P137" s="9">
        <f t="shared" si="61"/>
        <v>0</v>
      </c>
      <c r="Q137" s="9">
        <f t="shared" si="61"/>
        <v>0</v>
      </c>
      <c r="R137" s="9">
        <f t="shared" si="61"/>
        <v>0</v>
      </c>
      <c r="S137" s="9">
        <f t="shared" si="61"/>
        <v>0</v>
      </c>
      <c r="T137" s="9">
        <f t="shared" si="61"/>
        <v>0</v>
      </c>
      <c r="U137" s="9">
        <f t="shared" si="61"/>
        <v>0</v>
      </c>
      <c r="V137" s="9">
        <f t="shared" si="61"/>
        <v>0</v>
      </c>
      <c r="W137" s="9">
        <f t="shared" si="61"/>
        <v>0</v>
      </c>
      <c r="X137" s="9">
        <f t="shared" si="61"/>
        <v>0</v>
      </c>
      <c r="Y137" s="9">
        <f t="shared" si="61"/>
        <v>0</v>
      </c>
      <c r="Z137" s="9">
        <f t="shared" si="61"/>
        <v>0</v>
      </c>
      <c r="AA137" s="9">
        <f t="shared" si="61"/>
        <v>0</v>
      </c>
      <c r="AB137" s="9">
        <f t="shared" si="61"/>
        <v>0</v>
      </c>
      <c r="AC137" s="9">
        <f t="shared" si="61"/>
        <v>0</v>
      </c>
      <c r="AD137" s="9">
        <f t="shared" si="61"/>
        <v>0</v>
      </c>
      <c r="AE137" s="9">
        <f t="shared" si="61"/>
        <v>0</v>
      </c>
      <c r="AF137" s="9">
        <f t="shared" si="61"/>
        <v>0</v>
      </c>
      <c r="AG137" s="9">
        <f t="shared" si="61"/>
        <v>0</v>
      </c>
      <c r="AH137" s="9">
        <f t="shared" si="61"/>
        <v>0</v>
      </c>
      <c r="AI137" s="9">
        <f t="shared" si="61"/>
        <v>0</v>
      </c>
      <c r="AJ137" s="9">
        <f t="shared" si="61"/>
        <v>-3.7252902984619141E-9</v>
      </c>
      <c r="AK137" s="9">
        <f t="shared" si="61"/>
        <v>0</v>
      </c>
      <c r="AL137" s="9">
        <f t="shared" si="61"/>
        <v>0</v>
      </c>
      <c r="AM137" s="9">
        <f t="shared" si="61"/>
        <v>0</v>
      </c>
      <c r="AN137" s="9">
        <f t="shared" si="61"/>
        <v>0</v>
      </c>
      <c r="AO137" s="9">
        <f t="shared" si="61"/>
        <v>0</v>
      </c>
      <c r="AP137" s="9">
        <f t="shared" si="61"/>
        <v>0</v>
      </c>
      <c r="AQ137" s="9">
        <f t="shared" si="61"/>
        <v>0</v>
      </c>
      <c r="AR137" s="9">
        <f t="shared" si="61"/>
        <v>0</v>
      </c>
      <c r="AS137" s="9">
        <f t="shared" si="61"/>
        <v>0</v>
      </c>
      <c r="AT137" s="9">
        <f t="shared" si="61"/>
        <v>0</v>
      </c>
      <c r="AU137" s="9">
        <f t="shared" si="61"/>
        <v>0</v>
      </c>
      <c r="AV137" s="9">
        <f t="shared" si="61"/>
        <v>0</v>
      </c>
      <c r="AW137" s="9">
        <f t="shared" si="61"/>
        <v>0</v>
      </c>
      <c r="AX137" s="9">
        <f t="shared" si="61"/>
        <v>0</v>
      </c>
      <c r="AY137" s="9">
        <f t="shared" si="61"/>
        <v>0</v>
      </c>
      <c r="AZ137" s="9">
        <f t="shared" si="61"/>
        <v>0</v>
      </c>
      <c r="BA137" s="9">
        <f t="shared" si="61"/>
        <v>0</v>
      </c>
      <c r="BB137" s="9">
        <f t="shared" si="61"/>
        <v>0</v>
      </c>
      <c r="BC137" s="9">
        <f t="shared" si="61"/>
        <v>0</v>
      </c>
      <c r="BD137" s="9">
        <f t="shared" si="61"/>
        <v>0</v>
      </c>
      <c r="BE137" s="9">
        <f t="shared" si="61"/>
        <v>0</v>
      </c>
      <c r="BF137" s="9">
        <f t="shared" si="61"/>
        <v>0</v>
      </c>
      <c r="BG137" s="9">
        <f t="shared" si="61"/>
        <v>0</v>
      </c>
      <c r="BH137" s="9">
        <f t="shared" si="61"/>
        <v>0</v>
      </c>
    </row>
    <row r="138" spans="2:60" x14ac:dyDescent="0.3">
      <c r="B138" s="21" t="s">
        <v>98</v>
      </c>
      <c r="L138" s="9">
        <f>(L4&lt;=36)*L87</f>
        <v>0</v>
      </c>
      <c r="M138" s="9">
        <f t="shared" ref="M138:BH138" si="62">(M4&lt;=36)*M87</f>
        <v>50401.065875570755</v>
      </c>
      <c r="N138" s="9">
        <f t="shared" si="62"/>
        <v>53068.293264718202</v>
      </c>
      <c r="O138" s="9">
        <f t="shared" si="62"/>
        <v>50791.096628990432</v>
      </c>
      <c r="P138" s="9">
        <f t="shared" si="62"/>
        <v>52384.752955808159</v>
      </c>
      <c r="Q138" s="9">
        <f t="shared" si="62"/>
        <v>51216.502771974192</v>
      </c>
      <c r="R138" s="9">
        <f t="shared" si="62"/>
        <v>52975.002198642818</v>
      </c>
      <c r="S138" s="9">
        <f t="shared" si="62"/>
        <v>51677.491901266767</v>
      </c>
      <c r="T138" s="9">
        <f t="shared" si="62"/>
        <v>51921.395263288956</v>
      </c>
      <c r="U138" s="9">
        <f t="shared" si="62"/>
        <v>53927.354915998498</v>
      </c>
      <c r="V138" s="9">
        <f t="shared" si="62"/>
        <v>52436.150546927674</v>
      </c>
      <c r="W138" s="9">
        <f t="shared" si="62"/>
        <v>54607.214881762688</v>
      </c>
      <c r="X138" s="9">
        <f t="shared" si="62"/>
        <v>52987.012679955573</v>
      </c>
      <c r="Y138" s="9">
        <f t="shared" si="62"/>
        <v>50255.457456363685</v>
      </c>
      <c r="Z138" s="9">
        <f t="shared" si="62"/>
        <v>58014.673819326155</v>
      </c>
      <c r="AA138" s="9">
        <f t="shared" si="62"/>
        <v>53585.762639794062</v>
      </c>
      <c r="AB138" s="9">
        <f t="shared" si="62"/>
        <v>57356.695809499593</v>
      </c>
      <c r="AC138" s="9">
        <f t="shared" si="62"/>
        <v>56952.705565336044</v>
      </c>
      <c r="AD138" s="9">
        <f t="shared" si="62"/>
        <v>60801.215996388375</v>
      </c>
      <c r="AE138" s="9">
        <f t="shared" si="62"/>
        <v>60356.500578359584</v>
      </c>
      <c r="AF138" s="9">
        <f t="shared" si="62"/>
        <v>62072.284913477808</v>
      </c>
      <c r="AG138" s="9">
        <f t="shared" si="62"/>
        <v>66037.363169033633</v>
      </c>
      <c r="AH138" s="9">
        <f t="shared" si="62"/>
        <v>65531.762461123755</v>
      </c>
      <c r="AI138" s="9">
        <f t="shared" si="62"/>
        <v>69574.688060313085</v>
      </c>
      <c r="AJ138" s="9">
        <f t="shared" si="62"/>
        <v>69028.632980857772</v>
      </c>
      <c r="AK138" s="9">
        <f t="shared" si="62"/>
        <v>81155.321298549883</v>
      </c>
      <c r="AL138" s="9">
        <f t="shared" si="62"/>
        <v>88957.589678492834</v>
      </c>
      <c r="AM138" s="9">
        <f t="shared" si="62"/>
        <v>82788.936077152204</v>
      </c>
      <c r="AN138" s="9">
        <f t="shared" si="62"/>
        <v>85937.035189491697</v>
      </c>
      <c r="AO138" s="9">
        <f t="shared" si="62"/>
        <v>84429.287745004054</v>
      </c>
      <c r="AP138" s="9">
        <f t="shared" si="62"/>
        <v>87580.765713204222</v>
      </c>
      <c r="AQ138" s="9">
        <f t="shared" si="62"/>
        <v>86076.404084467213</v>
      </c>
      <c r="AR138" s="9">
        <f t="shared" si="62"/>
        <v>86902.507719356567</v>
      </c>
      <c r="AS138" s="9">
        <f t="shared" si="62"/>
        <v>90059.080115763179</v>
      </c>
      <c r="AT138" s="9">
        <f t="shared" si="62"/>
        <v>88559.823408920667</v>
      </c>
      <c r="AU138" s="9">
        <f t="shared" si="62"/>
        <v>91719.809604295413</v>
      </c>
      <c r="AV138" s="9">
        <f t="shared" si="62"/>
        <v>90223.973728287616</v>
      </c>
      <c r="AW138" s="9">
        <f t="shared" si="62"/>
        <v>0</v>
      </c>
      <c r="AX138" s="9">
        <f t="shared" si="62"/>
        <v>0</v>
      </c>
      <c r="AY138" s="9">
        <f t="shared" si="62"/>
        <v>0</v>
      </c>
      <c r="AZ138" s="9">
        <f t="shared" si="62"/>
        <v>0</v>
      </c>
      <c r="BA138" s="9">
        <f t="shared" si="62"/>
        <v>0</v>
      </c>
      <c r="BB138" s="9">
        <f t="shared" si="62"/>
        <v>0</v>
      </c>
      <c r="BC138" s="9">
        <f t="shared" si="62"/>
        <v>0</v>
      </c>
      <c r="BD138" s="9">
        <f t="shared" si="62"/>
        <v>0</v>
      </c>
      <c r="BE138" s="9">
        <f t="shared" si="62"/>
        <v>0</v>
      </c>
      <c r="BF138" s="9">
        <f t="shared" si="62"/>
        <v>0</v>
      </c>
      <c r="BG138" s="9">
        <f t="shared" si="62"/>
        <v>0</v>
      </c>
      <c r="BH138" s="9">
        <f t="shared" si="62"/>
        <v>0</v>
      </c>
    </row>
    <row r="139" spans="2:60" ht="16.2" x14ac:dyDescent="0.45">
      <c r="B139" s="21" t="s">
        <v>107</v>
      </c>
      <c r="L139" s="32">
        <f>(L4&lt;=36)*L126</f>
        <v>0</v>
      </c>
      <c r="M139" s="32">
        <f t="shared" ref="M139:BH139" si="63">(M4&lt;=36)*M126</f>
        <v>0</v>
      </c>
      <c r="N139" s="32">
        <f t="shared" si="63"/>
        <v>0</v>
      </c>
      <c r="O139" s="32">
        <f t="shared" si="63"/>
        <v>0</v>
      </c>
      <c r="P139" s="32">
        <f t="shared" si="63"/>
        <v>0</v>
      </c>
      <c r="Q139" s="32">
        <f t="shared" si="63"/>
        <v>0</v>
      </c>
      <c r="R139" s="32">
        <f t="shared" si="63"/>
        <v>0</v>
      </c>
      <c r="S139" s="32">
        <f t="shared" si="63"/>
        <v>0</v>
      </c>
      <c r="T139" s="32">
        <f t="shared" si="63"/>
        <v>0</v>
      </c>
      <c r="U139" s="32">
        <f t="shared" si="63"/>
        <v>0</v>
      </c>
      <c r="V139" s="32">
        <f t="shared" si="63"/>
        <v>0</v>
      </c>
      <c r="W139" s="32">
        <f t="shared" si="63"/>
        <v>0</v>
      </c>
      <c r="X139" s="32">
        <f t="shared" si="63"/>
        <v>0</v>
      </c>
      <c r="Y139" s="32">
        <f t="shared" si="63"/>
        <v>0</v>
      </c>
      <c r="Z139" s="32">
        <f t="shared" si="63"/>
        <v>0</v>
      </c>
      <c r="AA139" s="32">
        <f t="shared" si="63"/>
        <v>0</v>
      </c>
      <c r="AB139" s="32">
        <f t="shared" si="63"/>
        <v>0</v>
      </c>
      <c r="AC139" s="32">
        <f t="shared" si="63"/>
        <v>0</v>
      </c>
      <c r="AD139" s="32">
        <f t="shared" si="63"/>
        <v>0</v>
      </c>
      <c r="AE139" s="32">
        <f t="shared" si="63"/>
        <v>0</v>
      </c>
      <c r="AF139" s="32">
        <f t="shared" si="63"/>
        <v>0</v>
      </c>
      <c r="AG139" s="32">
        <f t="shared" si="63"/>
        <v>0</v>
      </c>
      <c r="AH139" s="32">
        <f t="shared" si="63"/>
        <v>0</v>
      </c>
      <c r="AI139" s="32">
        <f t="shared" si="63"/>
        <v>0</v>
      </c>
      <c r="AJ139" s="32">
        <f t="shared" si="63"/>
        <v>0</v>
      </c>
      <c r="AK139" s="32">
        <f t="shared" si="63"/>
        <v>0</v>
      </c>
      <c r="AL139" s="32">
        <f t="shared" si="63"/>
        <v>0</v>
      </c>
      <c r="AM139" s="32">
        <f t="shared" si="63"/>
        <v>0</v>
      </c>
      <c r="AN139" s="32">
        <f t="shared" si="63"/>
        <v>0</v>
      </c>
      <c r="AO139" s="32">
        <f t="shared" si="63"/>
        <v>0</v>
      </c>
      <c r="AP139" s="32">
        <f t="shared" si="63"/>
        <v>0</v>
      </c>
      <c r="AQ139" s="32">
        <f t="shared" si="63"/>
        <v>0</v>
      </c>
      <c r="AR139" s="32">
        <f t="shared" si="63"/>
        <v>0</v>
      </c>
      <c r="AS139" s="32">
        <f t="shared" si="63"/>
        <v>0</v>
      </c>
      <c r="AT139" s="32">
        <f t="shared" si="63"/>
        <v>0</v>
      </c>
      <c r="AU139" s="32">
        <f t="shared" si="63"/>
        <v>0</v>
      </c>
      <c r="AV139" s="32">
        <f t="shared" si="63"/>
        <v>24561819.660042971</v>
      </c>
      <c r="AW139" s="32">
        <f t="shared" si="63"/>
        <v>0</v>
      </c>
      <c r="AX139" s="32">
        <f t="shared" si="63"/>
        <v>0</v>
      </c>
      <c r="AY139" s="32">
        <f t="shared" si="63"/>
        <v>0</v>
      </c>
      <c r="AZ139" s="32">
        <f t="shared" si="63"/>
        <v>0</v>
      </c>
      <c r="BA139" s="32">
        <f t="shared" si="63"/>
        <v>0</v>
      </c>
      <c r="BB139" s="32">
        <f t="shared" si="63"/>
        <v>0</v>
      </c>
      <c r="BC139" s="32">
        <f t="shared" si="63"/>
        <v>0</v>
      </c>
      <c r="BD139" s="32">
        <f t="shared" si="63"/>
        <v>0</v>
      </c>
      <c r="BE139" s="32">
        <f t="shared" si="63"/>
        <v>0</v>
      </c>
      <c r="BF139" s="32">
        <f t="shared" si="63"/>
        <v>0</v>
      </c>
      <c r="BG139" s="32">
        <f t="shared" si="63"/>
        <v>0</v>
      </c>
      <c r="BH139" s="32">
        <f t="shared" si="63"/>
        <v>0</v>
      </c>
    </row>
    <row r="140" spans="2:60" x14ac:dyDescent="0.3">
      <c r="B140" t="s">
        <v>115</v>
      </c>
      <c r="L140" s="9">
        <f>SUM(L137:L139)</f>
        <v>-11412625</v>
      </c>
      <c r="M140" s="9">
        <f t="shared" ref="M140:BH140" si="64">SUM(M137:M139)</f>
        <v>50401.065875570755</v>
      </c>
      <c r="N140" s="9">
        <f t="shared" si="64"/>
        <v>53068.293264718202</v>
      </c>
      <c r="O140" s="9">
        <f t="shared" si="64"/>
        <v>50791.096628990432</v>
      </c>
      <c r="P140" s="9">
        <f t="shared" si="64"/>
        <v>52384.752955808159</v>
      </c>
      <c r="Q140" s="9">
        <f t="shared" si="64"/>
        <v>51216.502771974192</v>
      </c>
      <c r="R140" s="9">
        <f t="shared" si="64"/>
        <v>52975.002198642818</v>
      </c>
      <c r="S140" s="9">
        <f t="shared" si="64"/>
        <v>51677.491901266767</v>
      </c>
      <c r="T140" s="9">
        <f t="shared" si="64"/>
        <v>51921.395263288956</v>
      </c>
      <c r="U140" s="9">
        <f t="shared" si="64"/>
        <v>53927.354915998498</v>
      </c>
      <c r="V140" s="9">
        <f t="shared" si="64"/>
        <v>52436.150546927674</v>
      </c>
      <c r="W140" s="9">
        <f t="shared" si="64"/>
        <v>54607.214881762688</v>
      </c>
      <c r="X140" s="9">
        <f t="shared" si="64"/>
        <v>52987.012679955573</v>
      </c>
      <c r="Y140" s="9">
        <f t="shared" si="64"/>
        <v>50255.457456363685</v>
      </c>
      <c r="Z140" s="9">
        <f t="shared" si="64"/>
        <v>58014.673819326155</v>
      </c>
      <c r="AA140" s="9">
        <f t="shared" si="64"/>
        <v>53585.762639794062</v>
      </c>
      <c r="AB140" s="9">
        <f t="shared" si="64"/>
        <v>57356.695809499593</v>
      </c>
      <c r="AC140" s="9">
        <f t="shared" si="64"/>
        <v>56952.705565336044</v>
      </c>
      <c r="AD140" s="9">
        <f t="shared" si="64"/>
        <v>60801.215996388375</v>
      </c>
      <c r="AE140" s="9">
        <f t="shared" si="64"/>
        <v>60356.500578359584</v>
      </c>
      <c r="AF140" s="9">
        <f t="shared" si="64"/>
        <v>62072.284913477808</v>
      </c>
      <c r="AG140" s="9">
        <f t="shared" si="64"/>
        <v>66037.363169033633</v>
      </c>
      <c r="AH140" s="9">
        <f t="shared" si="64"/>
        <v>65531.762461123755</v>
      </c>
      <c r="AI140" s="9">
        <f t="shared" si="64"/>
        <v>69574.688060313085</v>
      </c>
      <c r="AJ140" s="9">
        <f t="shared" si="64"/>
        <v>69028.632980854047</v>
      </c>
      <c r="AK140" s="9">
        <f t="shared" si="64"/>
        <v>81155.321298549883</v>
      </c>
      <c r="AL140" s="9">
        <f t="shared" si="64"/>
        <v>88957.589678492834</v>
      </c>
      <c r="AM140" s="9">
        <f t="shared" si="64"/>
        <v>82788.936077152204</v>
      </c>
      <c r="AN140" s="9">
        <f t="shared" si="64"/>
        <v>85937.035189491697</v>
      </c>
      <c r="AO140" s="9">
        <f t="shared" si="64"/>
        <v>84429.287745004054</v>
      </c>
      <c r="AP140" s="9">
        <f t="shared" si="64"/>
        <v>87580.765713204222</v>
      </c>
      <c r="AQ140" s="9">
        <f t="shared" si="64"/>
        <v>86076.404084467213</v>
      </c>
      <c r="AR140" s="9">
        <f t="shared" si="64"/>
        <v>86902.507719356567</v>
      </c>
      <c r="AS140" s="9">
        <f t="shared" si="64"/>
        <v>90059.080115763179</v>
      </c>
      <c r="AT140" s="9">
        <f t="shared" si="64"/>
        <v>88559.823408920667</v>
      </c>
      <c r="AU140" s="9">
        <f t="shared" si="64"/>
        <v>91719.809604295413</v>
      </c>
      <c r="AV140" s="9">
        <f t="shared" si="64"/>
        <v>24652043.633771259</v>
      </c>
      <c r="AW140" s="9">
        <f t="shared" si="64"/>
        <v>0</v>
      </c>
      <c r="AX140" s="9">
        <f t="shared" si="64"/>
        <v>0</v>
      </c>
      <c r="AY140" s="9">
        <f t="shared" si="64"/>
        <v>0</v>
      </c>
      <c r="AZ140" s="9">
        <f t="shared" si="64"/>
        <v>0</v>
      </c>
      <c r="BA140" s="9">
        <f t="shared" si="64"/>
        <v>0</v>
      </c>
      <c r="BB140" s="9">
        <f t="shared" si="64"/>
        <v>0</v>
      </c>
      <c r="BC140" s="9">
        <f t="shared" si="64"/>
        <v>0</v>
      </c>
      <c r="BD140" s="9">
        <f t="shared" si="64"/>
        <v>0</v>
      </c>
      <c r="BE140" s="9">
        <f t="shared" si="64"/>
        <v>0</v>
      </c>
      <c r="BF140" s="9">
        <f t="shared" si="64"/>
        <v>0</v>
      </c>
      <c r="BG140" s="9">
        <f t="shared" si="64"/>
        <v>0</v>
      </c>
      <c r="BH140" s="9">
        <f t="shared" si="64"/>
        <v>0</v>
      </c>
    </row>
    <row r="141" spans="2:60" x14ac:dyDescent="0.3">
      <c r="B141" s="21" t="s">
        <v>111</v>
      </c>
      <c r="I141" s="23">
        <f>XIRR(L140:BH140,$L$3:$BH$3)</f>
        <v>0.35179463028907776</v>
      </c>
    </row>
    <row r="142" spans="2:60" x14ac:dyDescent="0.3">
      <c r="B142" s="21" t="s">
        <v>112</v>
      </c>
      <c r="I142" s="59">
        <f>SUMIF(L140:BH140,"&gt;0")/-SUMIF(L140:BH140,"&lt;0")</f>
        <v>2.3626616375935185</v>
      </c>
    </row>
    <row r="143" spans="2:60" x14ac:dyDescent="0.3">
      <c r="B143" s="16" t="s">
        <v>9</v>
      </c>
      <c r="C143" s="17"/>
      <c r="D143" s="18"/>
      <c r="E143" s="18"/>
      <c r="F143" s="18"/>
      <c r="G143" s="18"/>
      <c r="H143" s="18"/>
      <c r="I143" s="18"/>
    </row>
    <row r="144" spans="2:60" x14ac:dyDescent="0.3">
      <c r="B144" s="55" t="s">
        <v>116</v>
      </c>
      <c r="E144" s="34" t="s">
        <v>120</v>
      </c>
      <c r="H144" s="34" t="s">
        <v>121</v>
      </c>
      <c r="L144" s="71" t="s">
        <v>40</v>
      </c>
      <c r="M144" s="72"/>
    </row>
    <row r="145" spans="2:60" ht="16.2" x14ac:dyDescent="0.45">
      <c r="B145" s="55" t="s">
        <v>117</v>
      </c>
      <c r="C145" s="23">
        <f>1-C146</f>
        <v>0.95</v>
      </c>
      <c r="D145" s="2">
        <f>-D151</f>
        <v>10841993.75</v>
      </c>
      <c r="E145" s="22" t="s">
        <v>122</v>
      </c>
      <c r="F145" s="22" t="s">
        <v>123</v>
      </c>
      <c r="G145" s="22" t="s">
        <v>124</v>
      </c>
      <c r="H145" s="22" t="s">
        <v>125</v>
      </c>
      <c r="I145" s="22" t="s">
        <v>126</v>
      </c>
      <c r="L145" s="63" t="s">
        <v>150</v>
      </c>
      <c r="M145" s="64">
        <f>SUM(L165:BH165)</f>
        <v>15551546.271740723</v>
      </c>
    </row>
    <row r="146" spans="2:60" ht="16.2" x14ac:dyDescent="0.45">
      <c r="B146" s="55" t="s">
        <v>118</v>
      </c>
      <c r="C146" s="60">
        <v>0.05</v>
      </c>
      <c r="D146" s="22">
        <f>-D158</f>
        <v>570631.25</v>
      </c>
      <c r="E146" s="2" t="s">
        <v>127</v>
      </c>
      <c r="F146" s="24">
        <v>0.1</v>
      </c>
      <c r="G146" s="24">
        <v>0</v>
      </c>
      <c r="H146" s="23">
        <f>1-I146</f>
        <v>0.95</v>
      </c>
      <c r="I146" s="23">
        <f>G146+$C$146*(1-G146)</f>
        <v>0.05</v>
      </c>
      <c r="L146" s="65" t="s">
        <v>151</v>
      </c>
      <c r="M146" s="66">
        <f>SUM(L153:BH153,L160:BH160)</f>
        <v>15551546.271740735</v>
      </c>
    </row>
    <row r="147" spans="2:60" x14ac:dyDescent="0.3">
      <c r="B147" s="55" t="s">
        <v>119</v>
      </c>
      <c r="C147" s="23">
        <f>SUM(C145:C146)</f>
        <v>1</v>
      </c>
      <c r="D147" s="2">
        <f>SUM(D145:D146)</f>
        <v>11412625</v>
      </c>
      <c r="E147" s="2" t="s">
        <v>124</v>
      </c>
      <c r="F147" s="24"/>
      <c r="G147" s="24">
        <v>0.25</v>
      </c>
      <c r="H147" s="23">
        <f>1-I147</f>
        <v>0.71250000000000002</v>
      </c>
      <c r="I147" s="23">
        <f>G147+$C$146*(1-G147)</f>
        <v>0.28749999999999998</v>
      </c>
    </row>
    <row r="148" spans="2:60" x14ac:dyDescent="0.3"/>
    <row r="149" spans="2:60" x14ac:dyDescent="0.3">
      <c r="B149" s="54" t="s">
        <v>128</v>
      </c>
    </row>
    <row r="150" spans="2:60" x14ac:dyDescent="0.3">
      <c r="B150" s="55" t="s">
        <v>117</v>
      </c>
    </row>
    <row r="151" spans="2:60" x14ac:dyDescent="0.3">
      <c r="B151" s="21" t="s">
        <v>145</v>
      </c>
      <c r="D151" s="2">
        <f>SUM(L151:BH151)</f>
        <v>-10841993.75</v>
      </c>
      <c r="L151" s="9">
        <f>-L172</f>
        <v>-10841993.75</v>
      </c>
      <c r="M151" s="9">
        <f t="shared" ref="M151:BH151" si="65">-M172</f>
        <v>0</v>
      </c>
      <c r="N151" s="9">
        <f t="shared" si="65"/>
        <v>0</v>
      </c>
      <c r="O151" s="9">
        <f t="shared" si="65"/>
        <v>0</v>
      </c>
      <c r="P151" s="9">
        <f t="shared" si="65"/>
        <v>0</v>
      </c>
      <c r="Q151" s="9">
        <f t="shared" si="65"/>
        <v>0</v>
      </c>
      <c r="R151" s="9">
        <f t="shared" si="65"/>
        <v>0</v>
      </c>
      <c r="S151" s="9">
        <f t="shared" si="65"/>
        <v>0</v>
      </c>
      <c r="T151" s="9">
        <f t="shared" si="65"/>
        <v>0</v>
      </c>
      <c r="U151" s="9">
        <f t="shared" si="65"/>
        <v>0</v>
      </c>
      <c r="V151" s="9">
        <f t="shared" si="65"/>
        <v>0</v>
      </c>
      <c r="W151" s="9">
        <f t="shared" si="65"/>
        <v>0</v>
      </c>
      <c r="X151" s="9">
        <f t="shared" si="65"/>
        <v>0</v>
      </c>
      <c r="Y151" s="9">
        <f t="shared" si="65"/>
        <v>0</v>
      </c>
      <c r="Z151" s="9">
        <f t="shared" si="65"/>
        <v>0</v>
      </c>
      <c r="AA151" s="9">
        <f t="shared" si="65"/>
        <v>0</v>
      </c>
      <c r="AB151" s="9">
        <f t="shared" si="65"/>
        <v>0</v>
      </c>
      <c r="AC151" s="9">
        <f t="shared" si="65"/>
        <v>0</v>
      </c>
      <c r="AD151" s="9">
        <f t="shared" si="65"/>
        <v>0</v>
      </c>
      <c r="AE151" s="9">
        <f t="shared" si="65"/>
        <v>0</v>
      </c>
      <c r="AF151" s="9">
        <f t="shared" si="65"/>
        <v>0</v>
      </c>
      <c r="AG151" s="9">
        <f t="shared" si="65"/>
        <v>0</v>
      </c>
      <c r="AH151" s="9">
        <f t="shared" si="65"/>
        <v>0</v>
      </c>
      <c r="AI151" s="9">
        <f t="shared" si="65"/>
        <v>0</v>
      </c>
      <c r="AJ151" s="9">
        <f t="shared" si="65"/>
        <v>0</v>
      </c>
      <c r="AK151" s="9">
        <f t="shared" si="65"/>
        <v>0</v>
      </c>
      <c r="AL151" s="9">
        <f t="shared" si="65"/>
        <v>0</v>
      </c>
      <c r="AM151" s="9">
        <f t="shared" si="65"/>
        <v>0</v>
      </c>
      <c r="AN151" s="9">
        <f t="shared" si="65"/>
        <v>0</v>
      </c>
      <c r="AO151" s="9">
        <f t="shared" si="65"/>
        <v>0</v>
      </c>
      <c r="AP151" s="9">
        <f t="shared" si="65"/>
        <v>0</v>
      </c>
      <c r="AQ151" s="9">
        <f t="shared" si="65"/>
        <v>0</v>
      </c>
      <c r="AR151" s="9">
        <f t="shared" si="65"/>
        <v>0</v>
      </c>
      <c r="AS151" s="9">
        <f t="shared" si="65"/>
        <v>0</v>
      </c>
      <c r="AT151" s="9">
        <f t="shared" si="65"/>
        <v>0</v>
      </c>
      <c r="AU151" s="9">
        <f t="shared" si="65"/>
        <v>0</v>
      </c>
      <c r="AV151" s="9">
        <f t="shared" si="65"/>
        <v>0</v>
      </c>
      <c r="AW151" s="9">
        <f t="shared" si="65"/>
        <v>0</v>
      </c>
      <c r="AX151" s="9">
        <f t="shared" si="65"/>
        <v>0</v>
      </c>
      <c r="AY151" s="9">
        <f t="shared" si="65"/>
        <v>0</v>
      </c>
      <c r="AZ151" s="9">
        <f t="shared" si="65"/>
        <v>0</v>
      </c>
      <c r="BA151" s="9">
        <f t="shared" si="65"/>
        <v>0</v>
      </c>
      <c r="BB151" s="9">
        <f t="shared" si="65"/>
        <v>0</v>
      </c>
      <c r="BC151" s="9">
        <f t="shared" si="65"/>
        <v>0</v>
      </c>
      <c r="BD151" s="9">
        <f t="shared" si="65"/>
        <v>0</v>
      </c>
      <c r="BE151" s="9">
        <f t="shared" si="65"/>
        <v>0</v>
      </c>
      <c r="BF151" s="9">
        <f t="shared" si="65"/>
        <v>0</v>
      </c>
      <c r="BG151" s="9">
        <f t="shared" si="65"/>
        <v>0</v>
      </c>
      <c r="BH151" s="9">
        <f t="shared" si="65"/>
        <v>0</v>
      </c>
    </row>
    <row r="152" spans="2:60" ht="16.2" x14ac:dyDescent="0.45">
      <c r="B152" s="21" t="s">
        <v>146</v>
      </c>
      <c r="D152" s="22">
        <f>SUM(L152:BH152)</f>
        <v>22743837.334198494</v>
      </c>
      <c r="L152" s="32">
        <f>L173+L186</f>
        <v>0</v>
      </c>
      <c r="M152" s="32">
        <f t="shared" ref="M152:BH152" si="66">M173+M186</f>
        <v>47881.012581792216</v>
      </c>
      <c r="N152" s="32">
        <f t="shared" si="66"/>
        <v>50414.878601482291</v>
      </c>
      <c r="O152" s="32">
        <f t="shared" si="66"/>
        <v>48251.541797540907</v>
      </c>
      <c r="P152" s="32">
        <f t="shared" si="66"/>
        <v>49765.515308017748</v>
      </c>
      <c r="Q152" s="32">
        <f t="shared" si="66"/>
        <v>48655.677633375482</v>
      </c>
      <c r="R152" s="32">
        <f t="shared" si="66"/>
        <v>50326.252088710673</v>
      </c>
      <c r="S152" s="32">
        <f t="shared" si="66"/>
        <v>49093.617306203429</v>
      </c>
      <c r="T152" s="32">
        <f t="shared" si="66"/>
        <v>49325.325500124505</v>
      </c>
      <c r="U152" s="32">
        <f t="shared" si="66"/>
        <v>51230.987170198568</v>
      </c>
      <c r="V152" s="32">
        <f t="shared" si="66"/>
        <v>49814.343019581291</v>
      </c>
      <c r="W152" s="32">
        <f t="shared" si="66"/>
        <v>51876.854137674549</v>
      </c>
      <c r="X152" s="32">
        <f t="shared" si="66"/>
        <v>50337.66204595779</v>
      </c>
      <c r="Y152" s="32">
        <f t="shared" si="66"/>
        <v>47742.684583545502</v>
      </c>
      <c r="Z152" s="32">
        <f t="shared" si="66"/>
        <v>55113.940128359849</v>
      </c>
      <c r="AA152" s="32">
        <f t="shared" si="66"/>
        <v>50906.474507804356</v>
      </c>
      <c r="AB152" s="32">
        <f t="shared" si="66"/>
        <v>54488.861019024611</v>
      </c>
      <c r="AC152" s="32">
        <f t="shared" si="66"/>
        <v>54105.07028706924</v>
      </c>
      <c r="AD152" s="32">
        <f t="shared" si="66"/>
        <v>57761.155196568958</v>
      </c>
      <c r="AE152" s="32">
        <f t="shared" si="66"/>
        <v>57338.675549441607</v>
      </c>
      <c r="AF152" s="32">
        <f t="shared" si="66"/>
        <v>58968.670667803919</v>
      </c>
      <c r="AG152" s="32">
        <f t="shared" si="66"/>
        <v>62735.495010581952</v>
      </c>
      <c r="AH152" s="32">
        <f t="shared" si="66"/>
        <v>62255.174338067569</v>
      </c>
      <c r="AI152" s="32">
        <f t="shared" si="66"/>
        <v>66095.953657297432</v>
      </c>
      <c r="AJ152" s="32">
        <f t="shared" si="66"/>
        <v>65577.201331811346</v>
      </c>
      <c r="AK152" s="32">
        <f t="shared" si="66"/>
        <v>77097.555233622392</v>
      </c>
      <c r="AL152" s="32">
        <f t="shared" si="66"/>
        <v>84509.710194568193</v>
      </c>
      <c r="AM152" s="32">
        <f t="shared" si="66"/>
        <v>78649.489273294588</v>
      </c>
      <c r="AN152" s="32">
        <f t="shared" si="66"/>
        <v>81640.183430017103</v>
      </c>
      <c r="AO152" s="32">
        <f t="shared" si="66"/>
        <v>80207.823357753849</v>
      </c>
      <c r="AP152" s="32">
        <f t="shared" si="66"/>
        <v>83201.727427544014</v>
      </c>
      <c r="AQ152" s="32">
        <f t="shared" si="66"/>
        <v>81772.583880243852</v>
      </c>
      <c r="AR152" s="32">
        <f t="shared" si="66"/>
        <v>82557.382333388741</v>
      </c>
      <c r="AS152" s="32">
        <f t="shared" si="66"/>
        <v>85556.126109975012</v>
      </c>
      <c r="AT152" s="32">
        <f t="shared" si="66"/>
        <v>84131.832238474628</v>
      </c>
      <c r="AU152" s="32">
        <f t="shared" si="66"/>
        <v>87133.819124080634</v>
      </c>
      <c r="AV152" s="32">
        <f t="shared" si="66"/>
        <v>20547316.078127496</v>
      </c>
      <c r="AW152" s="32">
        <f t="shared" si="66"/>
        <v>0</v>
      </c>
      <c r="AX152" s="32">
        <f t="shared" si="66"/>
        <v>0</v>
      </c>
      <c r="AY152" s="32">
        <f t="shared" si="66"/>
        <v>0</v>
      </c>
      <c r="AZ152" s="32">
        <f t="shared" si="66"/>
        <v>0</v>
      </c>
      <c r="BA152" s="32">
        <f t="shared" si="66"/>
        <v>0</v>
      </c>
      <c r="BB152" s="32">
        <f t="shared" si="66"/>
        <v>0</v>
      </c>
      <c r="BC152" s="32">
        <f t="shared" si="66"/>
        <v>0</v>
      </c>
      <c r="BD152" s="32">
        <f t="shared" si="66"/>
        <v>0</v>
      </c>
      <c r="BE152" s="32">
        <f t="shared" si="66"/>
        <v>0</v>
      </c>
      <c r="BF152" s="32">
        <f t="shared" si="66"/>
        <v>0</v>
      </c>
      <c r="BG152" s="32">
        <f t="shared" si="66"/>
        <v>0</v>
      </c>
      <c r="BH152" s="32">
        <f t="shared" si="66"/>
        <v>0</v>
      </c>
    </row>
    <row r="153" spans="2:60" x14ac:dyDescent="0.3">
      <c r="B153" s="21" t="s">
        <v>147</v>
      </c>
      <c r="D153" s="2">
        <f>SUM(D151:D152)</f>
        <v>11901843.584198494</v>
      </c>
      <c r="L153" s="9">
        <f>SUM(L151:L152)</f>
        <v>-10841993.75</v>
      </c>
      <c r="M153" s="9">
        <f t="shared" ref="M153:BH153" si="67">SUM(M151:M152)</f>
        <v>47881.012581792216</v>
      </c>
      <c r="N153" s="9">
        <f t="shared" si="67"/>
        <v>50414.878601482291</v>
      </c>
      <c r="O153" s="9">
        <f t="shared" si="67"/>
        <v>48251.541797540907</v>
      </c>
      <c r="P153" s="9">
        <f t="shared" si="67"/>
        <v>49765.515308017748</v>
      </c>
      <c r="Q153" s="9">
        <f t="shared" si="67"/>
        <v>48655.677633375482</v>
      </c>
      <c r="R153" s="9">
        <f t="shared" si="67"/>
        <v>50326.252088710673</v>
      </c>
      <c r="S153" s="9">
        <f t="shared" si="67"/>
        <v>49093.617306203429</v>
      </c>
      <c r="T153" s="9">
        <f t="shared" si="67"/>
        <v>49325.325500124505</v>
      </c>
      <c r="U153" s="9">
        <f t="shared" si="67"/>
        <v>51230.987170198568</v>
      </c>
      <c r="V153" s="9">
        <f t="shared" si="67"/>
        <v>49814.343019581291</v>
      </c>
      <c r="W153" s="9">
        <f t="shared" si="67"/>
        <v>51876.854137674549</v>
      </c>
      <c r="X153" s="9">
        <f t="shared" si="67"/>
        <v>50337.66204595779</v>
      </c>
      <c r="Y153" s="9">
        <f t="shared" si="67"/>
        <v>47742.684583545502</v>
      </c>
      <c r="Z153" s="9">
        <f t="shared" si="67"/>
        <v>55113.940128359849</v>
      </c>
      <c r="AA153" s="9">
        <f t="shared" si="67"/>
        <v>50906.474507804356</v>
      </c>
      <c r="AB153" s="9">
        <f t="shared" si="67"/>
        <v>54488.861019024611</v>
      </c>
      <c r="AC153" s="9">
        <f t="shared" si="67"/>
        <v>54105.07028706924</v>
      </c>
      <c r="AD153" s="9">
        <f t="shared" si="67"/>
        <v>57761.155196568958</v>
      </c>
      <c r="AE153" s="9">
        <f t="shared" si="67"/>
        <v>57338.675549441607</v>
      </c>
      <c r="AF153" s="9">
        <f t="shared" si="67"/>
        <v>58968.670667803919</v>
      </c>
      <c r="AG153" s="9">
        <f t="shared" si="67"/>
        <v>62735.495010581952</v>
      </c>
      <c r="AH153" s="9">
        <f t="shared" si="67"/>
        <v>62255.174338067569</v>
      </c>
      <c r="AI153" s="9">
        <f t="shared" si="67"/>
        <v>66095.953657297432</v>
      </c>
      <c r="AJ153" s="9">
        <f t="shared" si="67"/>
        <v>65577.201331811346</v>
      </c>
      <c r="AK153" s="9">
        <f t="shared" si="67"/>
        <v>77097.555233622392</v>
      </c>
      <c r="AL153" s="9">
        <f t="shared" si="67"/>
        <v>84509.710194568193</v>
      </c>
      <c r="AM153" s="9">
        <f t="shared" si="67"/>
        <v>78649.489273294588</v>
      </c>
      <c r="AN153" s="9">
        <f t="shared" si="67"/>
        <v>81640.183430017103</v>
      </c>
      <c r="AO153" s="9">
        <f t="shared" si="67"/>
        <v>80207.823357753849</v>
      </c>
      <c r="AP153" s="9">
        <f t="shared" si="67"/>
        <v>83201.727427544014</v>
      </c>
      <c r="AQ153" s="9">
        <f t="shared" si="67"/>
        <v>81772.583880243852</v>
      </c>
      <c r="AR153" s="9">
        <f t="shared" si="67"/>
        <v>82557.382333388741</v>
      </c>
      <c r="AS153" s="9">
        <f t="shared" si="67"/>
        <v>85556.126109975012</v>
      </c>
      <c r="AT153" s="9">
        <f t="shared" si="67"/>
        <v>84131.832238474628</v>
      </c>
      <c r="AU153" s="9">
        <f t="shared" si="67"/>
        <v>87133.819124080634</v>
      </c>
      <c r="AV153" s="9">
        <f t="shared" si="67"/>
        <v>20547316.078127496</v>
      </c>
      <c r="AW153" s="9">
        <f t="shared" si="67"/>
        <v>0</v>
      </c>
      <c r="AX153" s="9">
        <f t="shared" si="67"/>
        <v>0</v>
      </c>
      <c r="AY153" s="9">
        <f t="shared" si="67"/>
        <v>0</v>
      </c>
      <c r="AZ153" s="9">
        <f t="shared" si="67"/>
        <v>0</v>
      </c>
      <c r="BA153" s="9">
        <f t="shared" si="67"/>
        <v>0</v>
      </c>
      <c r="BB153" s="9">
        <f t="shared" si="67"/>
        <v>0</v>
      </c>
      <c r="BC153" s="9">
        <f t="shared" si="67"/>
        <v>0</v>
      </c>
      <c r="BD153" s="9">
        <f t="shared" si="67"/>
        <v>0</v>
      </c>
      <c r="BE153" s="9">
        <f t="shared" si="67"/>
        <v>0</v>
      </c>
      <c r="BF153" s="9">
        <f t="shared" si="67"/>
        <v>0</v>
      </c>
      <c r="BG153" s="9">
        <f t="shared" si="67"/>
        <v>0</v>
      </c>
      <c r="BH153" s="9">
        <f t="shared" si="67"/>
        <v>0</v>
      </c>
    </row>
    <row r="154" spans="2:60" x14ac:dyDescent="0.3">
      <c r="B154" s="21" t="s">
        <v>148</v>
      </c>
      <c r="D154" s="23">
        <f>XIRR(L153:BH153,$L$3:$BH$3)</f>
        <v>0.29801895022392288</v>
      </c>
    </row>
    <row r="155" spans="2:60" x14ac:dyDescent="0.3">
      <c r="B155" s="21" t="s">
        <v>149</v>
      </c>
      <c r="D155" s="59">
        <f>SUMIF(L153:BH153,"&gt;0")/-SUMIF(L153:BH153,"&lt;0")</f>
        <v>2.0977541454678015</v>
      </c>
    </row>
    <row r="156" spans="2:60" x14ac:dyDescent="0.3"/>
    <row r="157" spans="2:60" x14ac:dyDescent="0.3">
      <c r="B157" s="55" t="s">
        <v>118</v>
      </c>
    </row>
    <row r="158" spans="2:60" x14ac:dyDescent="0.3">
      <c r="B158" s="21" t="s">
        <v>145</v>
      </c>
      <c r="D158" s="2">
        <f>SUM(L158:BH158)</f>
        <v>-570631.25</v>
      </c>
      <c r="L158" s="9">
        <f>-L179</f>
        <v>-570631.25</v>
      </c>
      <c r="M158" s="9">
        <f t="shared" ref="M158:BH158" si="68">-M179</f>
        <v>0</v>
      </c>
      <c r="N158" s="9">
        <f t="shared" si="68"/>
        <v>0</v>
      </c>
      <c r="O158" s="9">
        <f t="shared" si="68"/>
        <v>0</v>
      </c>
      <c r="P158" s="9">
        <f t="shared" si="68"/>
        <v>0</v>
      </c>
      <c r="Q158" s="9">
        <f t="shared" si="68"/>
        <v>0</v>
      </c>
      <c r="R158" s="9">
        <f t="shared" si="68"/>
        <v>0</v>
      </c>
      <c r="S158" s="9">
        <f t="shared" si="68"/>
        <v>0</v>
      </c>
      <c r="T158" s="9">
        <f t="shared" si="68"/>
        <v>0</v>
      </c>
      <c r="U158" s="9">
        <f t="shared" si="68"/>
        <v>0</v>
      </c>
      <c r="V158" s="9">
        <f t="shared" si="68"/>
        <v>0</v>
      </c>
      <c r="W158" s="9">
        <f t="shared" si="68"/>
        <v>0</v>
      </c>
      <c r="X158" s="9">
        <f t="shared" si="68"/>
        <v>0</v>
      </c>
      <c r="Y158" s="9">
        <f t="shared" si="68"/>
        <v>0</v>
      </c>
      <c r="Z158" s="9">
        <f t="shared" si="68"/>
        <v>0</v>
      </c>
      <c r="AA158" s="9">
        <f t="shared" si="68"/>
        <v>0</v>
      </c>
      <c r="AB158" s="9">
        <f t="shared" si="68"/>
        <v>0</v>
      </c>
      <c r="AC158" s="9">
        <f t="shared" si="68"/>
        <v>0</v>
      </c>
      <c r="AD158" s="9">
        <f t="shared" si="68"/>
        <v>0</v>
      </c>
      <c r="AE158" s="9">
        <f t="shared" si="68"/>
        <v>0</v>
      </c>
      <c r="AF158" s="9">
        <f t="shared" si="68"/>
        <v>0</v>
      </c>
      <c r="AG158" s="9">
        <f t="shared" si="68"/>
        <v>0</v>
      </c>
      <c r="AH158" s="9">
        <f t="shared" si="68"/>
        <v>0</v>
      </c>
      <c r="AI158" s="9">
        <f t="shared" si="68"/>
        <v>0</v>
      </c>
      <c r="AJ158" s="9">
        <f t="shared" si="68"/>
        <v>0</v>
      </c>
      <c r="AK158" s="9">
        <f t="shared" si="68"/>
        <v>0</v>
      </c>
      <c r="AL158" s="9">
        <f t="shared" si="68"/>
        <v>0</v>
      </c>
      <c r="AM158" s="9">
        <f t="shared" si="68"/>
        <v>0</v>
      </c>
      <c r="AN158" s="9">
        <f t="shared" si="68"/>
        <v>0</v>
      </c>
      <c r="AO158" s="9">
        <f t="shared" si="68"/>
        <v>0</v>
      </c>
      <c r="AP158" s="9">
        <f t="shared" si="68"/>
        <v>0</v>
      </c>
      <c r="AQ158" s="9">
        <f t="shared" si="68"/>
        <v>0</v>
      </c>
      <c r="AR158" s="9">
        <f t="shared" si="68"/>
        <v>0</v>
      </c>
      <c r="AS158" s="9">
        <f t="shared" si="68"/>
        <v>0</v>
      </c>
      <c r="AT158" s="9">
        <f t="shared" si="68"/>
        <v>0</v>
      </c>
      <c r="AU158" s="9">
        <f t="shared" si="68"/>
        <v>0</v>
      </c>
      <c r="AV158" s="9">
        <f t="shared" si="68"/>
        <v>0</v>
      </c>
      <c r="AW158" s="9">
        <f t="shared" si="68"/>
        <v>0</v>
      </c>
      <c r="AX158" s="9">
        <f t="shared" si="68"/>
        <v>0</v>
      </c>
      <c r="AY158" s="9">
        <f t="shared" si="68"/>
        <v>0</v>
      </c>
      <c r="AZ158" s="9">
        <f t="shared" si="68"/>
        <v>0</v>
      </c>
      <c r="BA158" s="9">
        <f t="shared" si="68"/>
        <v>0</v>
      </c>
      <c r="BB158" s="9">
        <f t="shared" si="68"/>
        <v>0</v>
      </c>
      <c r="BC158" s="9">
        <f t="shared" si="68"/>
        <v>0</v>
      </c>
      <c r="BD158" s="9">
        <f t="shared" si="68"/>
        <v>0</v>
      </c>
      <c r="BE158" s="9">
        <f t="shared" si="68"/>
        <v>0</v>
      </c>
      <c r="BF158" s="9">
        <f t="shared" si="68"/>
        <v>0</v>
      </c>
      <c r="BG158" s="9">
        <f t="shared" si="68"/>
        <v>0</v>
      </c>
      <c r="BH158" s="9">
        <f t="shared" si="68"/>
        <v>0</v>
      </c>
    </row>
    <row r="159" spans="2:60" ht="16.2" x14ac:dyDescent="0.45">
      <c r="B159" s="21" t="s">
        <v>146</v>
      </c>
      <c r="D159" s="22">
        <f>SUM(L159:BH159)</f>
        <v>4220333.9375422401</v>
      </c>
      <c r="L159" s="32">
        <f>L180+L187</f>
        <v>0</v>
      </c>
      <c r="M159" s="32">
        <f t="shared" ref="M159:BH159" si="69">M180+M187</f>
        <v>2520.0532937785379</v>
      </c>
      <c r="N159" s="32">
        <f t="shared" si="69"/>
        <v>2653.4146632359102</v>
      </c>
      <c r="O159" s="32">
        <f t="shared" si="69"/>
        <v>2539.5548314495218</v>
      </c>
      <c r="P159" s="32">
        <f t="shared" si="69"/>
        <v>2619.2376477904081</v>
      </c>
      <c r="Q159" s="32">
        <f t="shared" si="69"/>
        <v>2560.8251385987096</v>
      </c>
      <c r="R159" s="32">
        <f t="shared" si="69"/>
        <v>2648.7501099321425</v>
      </c>
      <c r="S159" s="32">
        <f t="shared" si="69"/>
        <v>2583.8745950633383</v>
      </c>
      <c r="T159" s="32">
        <f t="shared" si="69"/>
        <v>2596.069763164448</v>
      </c>
      <c r="U159" s="32">
        <f t="shared" si="69"/>
        <v>2696.3677457999265</v>
      </c>
      <c r="V159" s="32">
        <f t="shared" si="69"/>
        <v>2621.8075273463837</v>
      </c>
      <c r="W159" s="32">
        <f t="shared" si="69"/>
        <v>2730.360744088136</v>
      </c>
      <c r="X159" s="32">
        <f t="shared" si="69"/>
        <v>2649.3506339977803</v>
      </c>
      <c r="Y159" s="32">
        <f t="shared" si="69"/>
        <v>2512.772872818186</v>
      </c>
      <c r="Z159" s="32">
        <f t="shared" si="69"/>
        <v>2900.7336909663095</v>
      </c>
      <c r="AA159" s="32">
        <f t="shared" si="69"/>
        <v>2679.2881319897033</v>
      </c>
      <c r="AB159" s="32">
        <f t="shared" si="69"/>
        <v>2867.8347904749799</v>
      </c>
      <c r="AC159" s="32">
        <f t="shared" si="69"/>
        <v>2847.6352782668023</v>
      </c>
      <c r="AD159" s="32">
        <f t="shared" si="69"/>
        <v>3040.0607998194205</v>
      </c>
      <c r="AE159" s="32">
        <f t="shared" si="69"/>
        <v>3017.8250289179809</v>
      </c>
      <c r="AF159" s="32">
        <f t="shared" si="69"/>
        <v>3103.6142456738921</v>
      </c>
      <c r="AG159" s="32">
        <f t="shared" si="69"/>
        <v>3301.8681584516817</v>
      </c>
      <c r="AH159" s="32">
        <f t="shared" si="69"/>
        <v>3276.5881230561895</v>
      </c>
      <c r="AI159" s="32">
        <f t="shared" si="69"/>
        <v>3478.7344030156546</v>
      </c>
      <c r="AJ159" s="32">
        <f t="shared" si="69"/>
        <v>3451.4316490427027</v>
      </c>
      <c r="AK159" s="32">
        <f t="shared" si="69"/>
        <v>4057.7660649274944</v>
      </c>
      <c r="AL159" s="32">
        <f t="shared" si="69"/>
        <v>4447.879483924642</v>
      </c>
      <c r="AM159" s="32">
        <f t="shared" si="69"/>
        <v>4139.4468038576106</v>
      </c>
      <c r="AN159" s="32">
        <f t="shared" si="69"/>
        <v>4296.8517594745881</v>
      </c>
      <c r="AO159" s="32">
        <f t="shared" si="69"/>
        <v>4221.4643872502029</v>
      </c>
      <c r="AP159" s="32">
        <f t="shared" si="69"/>
        <v>4379.0382856602109</v>
      </c>
      <c r="AQ159" s="32">
        <f t="shared" si="69"/>
        <v>4303.8202042233606</v>
      </c>
      <c r="AR159" s="32">
        <f t="shared" si="69"/>
        <v>4345.1253859678282</v>
      </c>
      <c r="AS159" s="32">
        <f t="shared" si="69"/>
        <v>4502.9540057881622</v>
      </c>
      <c r="AT159" s="32">
        <f t="shared" si="69"/>
        <v>4427.9911704460337</v>
      </c>
      <c r="AU159" s="32">
        <f t="shared" si="69"/>
        <v>4585.9904802147739</v>
      </c>
      <c r="AV159" s="32">
        <f t="shared" si="69"/>
        <v>4104727.5556437662</v>
      </c>
      <c r="AW159" s="32">
        <f t="shared" si="69"/>
        <v>0</v>
      </c>
      <c r="AX159" s="32">
        <f t="shared" si="69"/>
        <v>0</v>
      </c>
      <c r="AY159" s="32">
        <f t="shared" si="69"/>
        <v>0</v>
      </c>
      <c r="AZ159" s="32">
        <f t="shared" si="69"/>
        <v>0</v>
      </c>
      <c r="BA159" s="32">
        <f t="shared" si="69"/>
        <v>0</v>
      </c>
      <c r="BB159" s="32">
        <f t="shared" si="69"/>
        <v>0</v>
      </c>
      <c r="BC159" s="32">
        <f t="shared" si="69"/>
        <v>0</v>
      </c>
      <c r="BD159" s="32">
        <f t="shared" si="69"/>
        <v>0</v>
      </c>
      <c r="BE159" s="32">
        <f t="shared" si="69"/>
        <v>0</v>
      </c>
      <c r="BF159" s="32">
        <f t="shared" si="69"/>
        <v>0</v>
      </c>
      <c r="BG159" s="32">
        <f t="shared" si="69"/>
        <v>0</v>
      </c>
      <c r="BH159" s="32">
        <f t="shared" si="69"/>
        <v>0</v>
      </c>
    </row>
    <row r="160" spans="2:60" x14ac:dyDescent="0.3">
      <c r="B160" s="21" t="s">
        <v>147</v>
      </c>
      <c r="D160" s="2">
        <f>SUM(D158:D159)</f>
        <v>3649702.6875422401</v>
      </c>
      <c r="L160" s="9">
        <f>SUM(L158:L159)</f>
        <v>-570631.25</v>
      </c>
      <c r="M160" s="9">
        <f t="shared" ref="M160:BH160" si="70">SUM(M158:M159)</f>
        <v>2520.0532937785379</v>
      </c>
      <c r="N160" s="9">
        <f t="shared" si="70"/>
        <v>2653.4146632359102</v>
      </c>
      <c r="O160" s="9">
        <f t="shared" si="70"/>
        <v>2539.5548314495218</v>
      </c>
      <c r="P160" s="9">
        <f t="shared" si="70"/>
        <v>2619.2376477904081</v>
      </c>
      <c r="Q160" s="9">
        <f t="shared" si="70"/>
        <v>2560.8251385987096</v>
      </c>
      <c r="R160" s="9">
        <f t="shared" si="70"/>
        <v>2648.7501099321425</v>
      </c>
      <c r="S160" s="9">
        <f t="shared" si="70"/>
        <v>2583.8745950633383</v>
      </c>
      <c r="T160" s="9">
        <f t="shared" si="70"/>
        <v>2596.069763164448</v>
      </c>
      <c r="U160" s="9">
        <f t="shared" si="70"/>
        <v>2696.3677457999265</v>
      </c>
      <c r="V160" s="9">
        <f t="shared" si="70"/>
        <v>2621.8075273463837</v>
      </c>
      <c r="W160" s="9">
        <f t="shared" si="70"/>
        <v>2730.360744088136</v>
      </c>
      <c r="X160" s="9">
        <f t="shared" si="70"/>
        <v>2649.3506339977803</v>
      </c>
      <c r="Y160" s="9">
        <f t="shared" si="70"/>
        <v>2512.772872818186</v>
      </c>
      <c r="Z160" s="9">
        <f t="shared" si="70"/>
        <v>2900.7336909663095</v>
      </c>
      <c r="AA160" s="9">
        <f t="shared" si="70"/>
        <v>2679.2881319897033</v>
      </c>
      <c r="AB160" s="9">
        <f t="shared" si="70"/>
        <v>2867.8347904749799</v>
      </c>
      <c r="AC160" s="9">
        <f t="shared" si="70"/>
        <v>2847.6352782668023</v>
      </c>
      <c r="AD160" s="9">
        <f t="shared" si="70"/>
        <v>3040.0607998194205</v>
      </c>
      <c r="AE160" s="9">
        <f t="shared" si="70"/>
        <v>3017.8250289179809</v>
      </c>
      <c r="AF160" s="9">
        <f t="shared" si="70"/>
        <v>3103.6142456738921</v>
      </c>
      <c r="AG160" s="9">
        <f t="shared" si="70"/>
        <v>3301.8681584516817</v>
      </c>
      <c r="AH160" s="9">
        <f t="shared" si="70"/>
        <v>3276.5881230561895</v>
      </c>
      <c r="AI160" s="9">
        <f t="shared" si="70"/>
        <v>3478.7344030156546</v>
      </c>
      <c r="AJ160" s="9">
        <f t="shared" si="70"/>
        <v>3451.4316490427027</v>
      </c>
      <c r="AK160" s="9">
        <f t="shared" si="70"/>
        <v>4057.7660649274944</v>
      </c>
      <c r="AL160" s="9">
        <f t="shared" si="70"/>
        <v>4447.879483924642</v>
      </c>
      <c r="AM160" s="9">
        <f t="shared" si="70"/>
        <v>4139.4468038576106</v>
      </c>
      <c r="AN160" s="9">
        <f t="shared" si="70"/>
        <v>4296.8517594745881</v>
      </c>
      <c r="AO160" s="9">
        <f t="shared" si="70"/>
        <v>4221.4643872502029</v>
      </c>
      <c r="AP160" s="9">
        <f t="shared" si="70"/>
        <v>4379.0382856602109</v>
      </c>
      <c r="AQ160" s="9">
        <f t="shared" si="70"/>
        <v>4303.8202042233606</v>
      </c>
      <c r="AR160" s="9">
        <f t="shared" si="70"/>
        <v>4345.1253859678282</v>
      </c>
      <c r="AS160" s="9">
        <f t="shared" si="70"/>
        <v>4502.9540057881622</v>
      </c>
      <c r="AT160" s="9">
        <f t="shared" si="70"/>
        <v>4427.9911704460337</v>
      </c>
      <c r="AU160" s="9">
        <f t="shared" si="70"/>
        <v>4585.9904802147739</v>
      </c>
      <c r="AV160" s="9">
        <f t="shared" si="70"/>
        <v>4104727.5556437662</v>
      </c>
      <c r="AW160" s="9">
        <f t="shared" si="70"/>
        <v>0</v>
      </c>
      <c r="AX160" s="9">
        <f t="shared" si="70"/>
        <v>0</v>
      </c>
      <c r="AY160" s="9">
        <f t="shared" si="70"/>
        <v>0</v>
      </c>
      <c r="AZ160" s="9">
        <f t="shared" si="70"/>
        <v>0</v>
      </c>
      <c r="BA160" s="9">
        <f t="shared" si="70"/>
        <v>0</v>
      </c>
      <c r="BB160" s="9">
        <f t="shared" si="70"/>
        <v>0</v>
      </c>
      <c r="BC160" s="9">
        <f t="shared" si="70"/>
        <v>0</v>
      </c>
      <c r="BD160" s="9">
        <f t="shared" si="70"/>
        <v>0</v>
      </c>
      <c r="BE160" s="9">
        <f t="shared" si="70"/>
        <v>0</v>
      </c>
      <c r="BF160" s="9">
        <f t="shared" si="70"/>
        <v>0</v>
      </c>
      <c r="BG160" s="9">
        <f t="shared" si="70"/>
        <v>0</v>
      </c>
      <c r="BH160" s="9">
        <f t="shared" si="70"/>
        <v>0</v>
      </c>
    </row>
    <row r="161" spans="2:60" x14ac:dyDescent="0.3">
      <c r="B161" s="21" t="s">
        <v>148</v>
      </c>
      <c r="D161" s="23">
        <f>XIRR(L160:BH160,$L$3:$BH$3)</f>
        <v>0.98088020086288452</v>
      </c>
    </row>
    <row r="162" spans="2:60" x14ac:dyDescent="0.3">
      <c r="B162" s="21" t="s">
        <v>149</v>
      </c>
      <c r="D162" s="59">
        <f>SUMIF(L160:BH160,"&gt;0")/-SUMIF(L160:BH160,"&lt;0")</f>
        <v>7.3959039879821518</v>
      </c>
    </row>
    <row r="163" spans="2:60" x14ac:dyDescent="0.3"/>
    <row r="164" spans="2:60" x14ac:dyDescent="0.3">
      <c r="B164" s="54" t="s">
        <v>129</v>
      </c>
    </row>
    <row r="165" spans="2:60" x14ac:dyDescent="0.3">
      <c r="B165" t="s">
        <v>115</v>
      </c>
      <c r="L165" s="9">
        <f>L140</f>
        <v>-11412625</v>
      </c>
      <c r="M165" s="9">
        <f t="shared" ref="M165:BH165" si="71">M140</f>
        <v>50401.065875570755</v>
      </c>
      <c r="N165" s="9">
        <f t="shared" si="71"/>
        <v>53068.293264718202</v>
      </c>
      <c r="O165" s="9">
        <f t="shared" si="71"/>
        <v>50791.096628990432</v>
      </c>
      <c r="P165" s="9">
        <f t="shared" si="71"/>
        <v>52384.752955808159</v>
      </c>
      <c r="Q165" s="9">
        <f t="shared" si="71"/>
        <v>51216.502771974192</v>
      </c>
      <c r="R165" s="9">
        <f t="shared" si="71"/>
        <v>52975.002198642818</v>
      </c>
      <c r="S165" s="9">
        <f t="shared" si="71"/>
        <v>51677.491901266767</v>
      </c>
      <c r="T165" s="9">
        <f t="shared" si="71"/>
        <v>51921.395263288956</v>
      </c>
      <c r="U165" s="9">
        <f t="shared" si="71"/>
        <v>53927.354915998498</v>
      </c>
      <c r="V165" s="9">
        <f t="shared" si="71"/>
        <v>52436.150546927674</v>
      </c>
      <c r="W165" s="9">
        <f t="shared" si="71"/>
        <v>54607.214881762688</v>
      </c>
      <c r="X165" s="9">
        <f t="shared" si="71"/>
        <v>52987.012679955573</v>
      </c>
      <c r="Y165" s="9">
        <f t="shared" si="71"/>
        <v>50255.457456363685</v>
      </c>
      <c r="Z165" s="9">
        <f t="shared" si="71"/>
        <v>58014.673819326155</v>
      </c>
      <c r="AA165" s="9">
        <f t="shared" si="71"/>
        <v>53585.762639794062</v>
      </c>
      <c r="AB165" s="9">
        <f t="shared" si="71"/>
        <v>57356.695809499593</v>
      </c>
      <c r="AC165" s="9">
        <f t="shared" si="71"/>
        <v>56952.705565336044</v>
      </c>
      <c r="AD165" s="9">
        <f t="shared" si="71"/>
        <v>60801.215996388375</v>
      </c>
      <c r="AE165" s="9">
        <f t="shared" si="71"/>
        <v>60356.500578359584</v>
      </c>
      <c r="AF165" s="9">
        <f t="shared" si="71"/>
        <v>62072.284913477808</v>
      </c>
      <c r="AG165" s="9">
        <f t="shared" si="71"/>
        <v>66037.363169033633</v>
      </c>
      <c r="AH165" s="9">
        <f t="shared" si="71"/>
        <v>65531.762461123755</v>
      </c>
      <c r="AI165" s="9">
        <f t="shared" si="71"/>
        <v>69574.688060313085</v>
      </c>
      <c r="AJ165" s="9">
        <f t="shared" si="71"/>
        <v>69028.632980854047</v>
      </c>
      <c r="AK165" s="9">
        <f t="shared" si="71"/>
        <v>81155.321298549883</v>
      </c>
      <c r="AL165" s="9">
        <f t="shared" si="71"/>
        <v>88957.589678492834</v>
      </c>
      <c r="AM165" s="9">
        <f t="shared" si="71"/>
        <v>82788.936077152204</v>
      </c>
      <c r="AN165" s="9">
        <f t="shared" si="71"/>
        <v>85937.035189491697</v>
      </c>
      <c r="AO165" s="9">
        <f t="shared" si="71"/>
        <v>84429.287745004054</v>
      </c>
      <c r="AP165" s="9">
        <f t="shared" si="71"/>
        <v>87580.765713204222</v>
      </c>
      <c r="AQ165" s="9">
        <f t="shared" si="71"/>
        <v>86076.404084467213</v>
      </c>
      <c r="AR165" s="9">
        <f t="shared" si="71"/>
        <v>86902.507719356567</v>
      </c>
      <c r="AS165" s="9">
        <f t="shared" si="71"/>
        <v>90059.080115763179</v>
      </c>
      <c r="AT165" s="9">
        <f t="shared" si="71"/>
        <v>88559.823408920667</v>
      </c>
      <c r="AU165" s="9">
        <f t="shared" si="71"/>
        <v>91719.809604295413</v>
      </c>
      <c r="AV165" s="9">
        <f t="shared" si="71"/>
        <v>24652043.633771259</v>
      </c>
      <c r="AW165" s="9">
        <f t="shared" si="71"/>
        <v>0</v>
      </c>
      <c r="AX165" s="9">
        <f t="shared" si="71"/>
        <v>0</v>
      </c>
      <c r="AY165" s="9">
        <f t="shared" si="71"/>
        <v>0</v>
      </c>
      <c r="AZ165" s="9">
        <f t="shared" si="71"/>
        <v>0</v>
      </c>
      <c r="BA165" s="9">
        <f t="shared" si="71"/>
        <v>0</v>
      </c>
      <c r="BB165" s="9">
        <f t="shared" si="71"/>
        <v>0</v>
      </c>
      <c r="BC165" s="9">
        <f t="shared" si="71"/>
        <v>0</v>
      </c>
      <c r="BD165" s="9">
        <f t="shared" si="71"/>
        <v>0</v>
      </c>
      <c r="BE165" s="9">
        <f t="shared" si="71"/>
        <v>0</v>
      </c>
      <c r="BF165" s="9">
        <f t="shared" si="71"/>
        <v>0</v>
      </c>
      <c r="BG165" s="9">
        <f t="shared" si="71"/>
        <v>0</v>
      </c>
      <c r="BH165" s="9">
        <f t="shared" si="71"/>
        <v>0</v>
      </c>
    </row>
    <row r="166" spans="2:60" x14ac:dyDescent="0.3">
      <c r="B166" s="21" t="s">
        <v>111</v>
      </c>
      <c r="I166" s="23">
        <f>XIRR(L165:BH165,$L$3:$BH$3)</f>
        <v>0.35179463028907776</v>
      </c>
    </row>
    <row r="167" spans="2:60" x14ac:dyDescent="0.3">
      <c r="B167" s="21" t="s">
        <v>112</v>
      </c>
      <c r="I167" s="59">
        <f>SUMIF(L165:BH165,"&gt;0")/-SUMIF(L165:BH165,"&lt;0")</f>
        <v>2.3626616375935185</v>
      </c>
    </row>
    <row r="168" spans="2:60" x14ac:dyDescent="0.3"/>
    <row r="169" spans="2:60" x14ac:dyDescent="0.3">
      <c r="B169" s="20" t="s">
        <v>130</v>
      </c>
      <c r="C169"/>
      <c r="D169" s="40"/>
      <c r="E169" s="40"/>
      <c r="F169" s="40"/>
      <c r="G169" s="40"/>
      <c r="H169" s="40"/>
      <c r="I169" s="62">
        <f>(1+F146)^(1/12)-1</f>
        <v>7.9741404289037643E-3</v>
      </c>
    </row>
    <row r="170" spans="2:60" x14ac:dyDescent="0.3">
      <c r="B170" s="21" t="s">
        <v>132</v>
      </c>
      <c r="C170"/>
      <c r="D170" s="40"/>
      <c r="E170" s="40"/>
      <c r="F170" s="40"/>
      <c r="G170" s="40"/>
      <c r="H170" s="40"/>
      <c r="I170" s="40"/>
      <c r="L170" s="9">
        <f>K174</f>
        <v>0</v>
      </c>
      <c r="M170" s="9">
        <f t="shared" ref="M170:BH170" si="72">L174</f>
        <v>10841993.75</v>
      </c>
      <c r="N170" s="9">
        <f t="shared" si="72"/>
        <v>10880568.318110006</v>
      </c>
      <c r="O170" s="9">
        <f t="shared" si="72"/>
        <v>10916916.619223414</v>
      </c>
      <c r="P170" s="9">
        <f t="shared" si="72"/>
        <v>10955718.103598194</v>
      </c>
      <c r="Q170" s="9">
        <f t="shared" si="72"/>
        <v>10993315.022947753</v>
      </c>
      <c r="R170" s="9">
        <f t="shared" si="72"/>
        <v>11032321.583086541</v>
      </c>
      <c r="S170" s="9">
        <f t="shared" si="72"/>
        <v>11069968.612558188</v>
      </c>
      <c r="T170" s="9">
        <f t="shared" si="72"/>
        <v>11109148.479512081</v>
      </c>
      <c r="U170" s="9">
        <f t="shared" si="72"/>
        <v>11148409.064033128</v>
      </c>
      <c r="V170" s="9">
        <f t="shared" si="72"/>
        <v>11186077.056298394</v>
      </c>
      <c r="W170" s="9">
        <f t="shared" si="72"/>
        <v>11225462.062574275</v>
      </c>
      <c r="X170" s="9">
        <f t="shared" si="72"/>
        <v>11263098.619302901</v>
      </c>
      <c r="Y170" s="9">
        <f t="shared" si="72"/>
        <v>11302574.487311857</v>
      </c>
      <c r="Z170" s="9">
        <f t="shared" si="72"/>
        <v>11344960.118898282</v>
      </c>
      <c r="AA170" s="9">
        <f t="shared" si="72"/>
        <v>11380312.48391833</v>
      </c>
      <c r="AB170" s="9">
        <f t="shared" si="72"/>
        <v>11420154.219282096</v>
      </c>
      <c r="AC170" s="9">
        <f t="shared" si="72"/>
        <v>11456731.271727365</v>
      </c>
      <c r="AD170" s="9">
        <f t="shared" si="72"/>
        <v>11493983.785457263</v>
      </c>
      <c r="AE170" s="9">
        <f t="shared" si="72"/>
        <v>11527877.271053473</v>
      </c>
      <c r="AF170" s="9">
        <f t="shared" si="72"/>
        <v>11562463.50771058</v>
      </c>
      <c r="AG170" s="9">
        <f t="shared" si="72"/>
        <v>11595695.544757335</v>
      </c>
      <c r="AH170" s="9">
        <f t="shared" si="72"/>
        <v>11625425.75439146</v>
      </c>
      <c r="AI170" s="9">
        <f t="shared" si="72"/>
        <v>11655873.357564704</v>
      </c>
      <c r="AJ170" s="9">
        <f t="shared" si="72"/>
        <v>11682722.974882146</v>
      </c>
      <c r="AK170" s="9">
        <f t="shared" si="72"/>
        <v>11710305.447144026</v>
      </c>
      <c r="AL170" s="9">
        <f t="shared" si="72"/>
        <v>11726587.512011288</v>
      </c>
      <c r="AM170" s="9">
        <f t="shared" si="72"/>
        <v>11735587.257389326</v>
      </c>
      <c r="AN170" s="9">
        <f t="shared" si="72"/>
        <v>11750518.988922106</v>
      </c>
      <c r="AO170" s="9">
        <f t="shared" si="72"/>
        <v>11762579.094022254</v>
      </c>
      <c r="AP170" s="9">
        <f t="shared" si="72"/>
        <v>11776167.728166321</v>
      </c>
      <c r="AQ170" s="9">
        <f t="shared" si="72"/>
        <v>11786870.815917499</v>
      </c>
      <c r="AR170" s="9">
        <f t="shared" si="72"/>
        <v>11799088.39514073</v>
      </c>
      <c r="AS170" s="9">
        <f t="shared" si="72"/>
        <v>11810618.600603241</v>
      </c>
      <c r="AT170" s="9">
        <f t="shared" si="72"/>
        <v>11819242.005766701</v>
      </c>
      <c r="AU170" s="9">
        <f t="shared" si="72"/>
        <v>11829358.469045408</v>
      </c>
      <c r="AV170" s="9">
        <f t="shared" si="72"/>
        <v>11836553.615537338</v>
      </c>
      <c r="AW170" s="9">
        <f t="shared" si="72"/>
        <v>0</v>
      </c>
      <c r="AX170" s="9">
        <f t="shared" si="72"/>
        <v>0</v>
      </c>
      <c r="AY170" s="9">
        <f t="shared" si="72"/>
        <v>0</v>
      </c>
      <c r="AZ170" s="9">
        <f t="shared" si="72"/>
        <v>0</v>
      </c>
      <c r="BA170" s="9">
        <f t="shared" si="72"/>
        <v>0</v>
      </c>
      <c r="BB170" s="9">
        <f t="shared" si="72"/>
        <v>0</v>
      </c>
      <c r="BC170" s="9">
        <f t="shared" si="72"/>
        <v>0</v>
      </c>
      <c r="BD170" s="9">
        <f t="shared" si="72"/>
        <v>0</v>
      </c>
      <c r="BE170" s="9">
        <f t="shared" si="72"/>
        <v>0</v>
      </c>
      <c r="BF170" s="9">
        <f t="shared" si="72"/>
        <v>0</v>
      </c>
      <c r="BG170" s="9">
        <f t="shared" si="72"/>
        <v>0</v>
      </c>
      <c r="BH170" s="9">
        <f t="shared" si="72"/>
        <v>0</v>
      </c>
    </row>
    <row r="171" spans="2:60" x14ac:dyDescent="0.3">
      <c r="B171" s="21" t="s">
        <v>133</v>
      </c>
      <c r="C171"/>
      <c r="D171" s="40"/>
      <c r="E171" s="40"/>
      <c r="F171" s="40"/>
      <c r="G171" s="40"/>
      <c r="H171" s="40"/>
      <c r="I171" s="40"/>
      <c r="L171" s="9">
        <f>L170*$I$169</f>
        <v>0</v>
      </c>
      <c r="M171" s="9">
        <f t="shared" ref="M171:BH171" si="73">M170*$I$169</f>
        <v>86455.580691796931</v>
      </c>
      <c r="N171" s="9">
        <f t="shared" si="73"/>
        <v>86763.17971489043</v>
      </c>
      <c r="O171" s="9">
        <f t="shared" si="73"/>
        <v>87053.026172320824</v>
      </c>
      <c r="P171" s="9">
        <f t="shared" si="73"/>
        <v>87362.434657575242</v>
      </c>
      <c r="Q171" s="9">
        <f t="shared" si="73"/>
        <v>87662.237772162785</v>
      </c>
      <c r="R171" s="9">
        <f t="shared" si="73"/>
        <v>87973.281560357966</v>
      </c>
      <c r="S171" s="9">
        <f t="shared" si="73"/>
        <v>88273.484260095953</v>
      </c>
      <c r="T171" s="9">
        <f t="shared" si="73"/>
        <v>88585.910021172065</v>
      </c>
      <c r="U171" s="9">
        <f t="shared" si="73"/>
        <v>88898.979435463742</v>
      </c>
      <c r="V171" s="9">
        <f t="shared" si="73"/>
        <v>89199.349295461827</v>
      </c>
      <c r="W171" s="9">
        <f t="shared" si="73"/>
        <v>89513.41086629896</v>
      </c>
      <c r="X171" s="9">
        <f t="shared" si="73"/>
        <v>89813.530054913426</v>
      </c>
      <c r="Y171" s="9">
        <f t="shared" si="73"/>
        <v>90128.316169969708</v>
      </c>
      <c r="Z171" s="9">
        <f t="shared" si="73"/>
        <v>90466.305148407642</v>
      </c>
      <c r="AA171" s="9">
        <f t="shared" si="73"/>
        <v>90748.209871571366</v>
      </c>
      <c r="AB171" s="9">
        <f t="shared" si="73"/>
        <v>91065.913464293262</v>
      </c>
      <c r="AC171" s="9">
        <f t="shared" si="73"/>
        <v>91357.584016967216</v>
      </c>
      <c r="AD171" s="9">
        <f t="shared" si="73"/>
        <v>91654.640792779086</v>
      </c>
      <c r="AE171" s="9">
        <f t="shared" si="73"/>
        <v>91924.912206548295</v>
      </c>
      <c r="AF171" s="9">
        <f t="shared" si="73"/>
        <v>92200.707714559365</v>
      </c>
      <c r="AG171" s="9">
        <f t="shared" si="73"/>
        <v>92465.70464470872</v>
      </c>
      <c r="AH171" s="9">
        <f t="shared" si="73"/>
        <v>92702.777511311986</v>
      </c>
      <c r="AI171" s="9">
        <f t="shared" si="73"/>
        <v>92945.570974738977</v>
      </c>
      <c r="AJ171" s="9">
        <f t="shared" si="73"/>
        <v>93159.673593690575</v>
      </c>
      <c r="AK171" s="9">
        <f t="shared" si="73"/>
        <v>93379.620100883156</v>
      </c>
      <c r="AL171" s="9">
        <f t="shared" si="73"/>
        <v>93509.455572607214</v>
      </c>
      <c r="AM171" s="9">
        <f t="shared" si="73"/>
        <v>93581.220806076075</v>
      </c>
      <c r="AN171" s="9">
        <f t="shared" si="73"/>
        <v>93700.288530165155</v>
      </c>
      <c r="AO171" s="9">
        <f t="shared" si="73"/>
        <v>93796.45750182106</v>
      </c>
      <c r="AP171" s="9">
        <f t="shared" si="73"/>
        <v>93904.815178722856</v>
      </c>
      <c r="AQ171" s="9">
        <f t="shared" si="73"/>
        <v>93990.163103473635</v>
      </c>
      <c r="AR171" s="9">
        <f t="shared" si="73"/>
        <v>94087.587795900923</v>
      </c>
      <c r="AS171" s="9">
        <f t="shared" si="73"/>
        <v>94179.531273433109</v>
      </c>
      <c r="AT171" s="9">
        <f t="shared" si="73"/>
        <v>94248.295517181861</v>
      </c>
      <c r="AU171" s="9">
        <f t="shared" si="73"/>
        <v>94328.965616010129</v>
      </c>
      <c r="AV171" s="9">
        <f t="shared" si="73"/>
        <v>94386.340724543305</v>
      </c>
      <c r="AW171" s="9">
        <f t="shared" si="73"/>
        <v>0</v>
      </c>
      <c r="AX171" s="9">
        <f t="shared" si="73"/>
        <v>0</v>
      </c>
      <c r="AY171" s="9">
        <f t="shared" si="73"/>
        <v>0</v>
      </c>
      <c r="AZ171" s="9">
        <f t="shared" si="73"/>
        <v>0</v>
      </c>
      <c r="BA171" s="9">
        <f t="shared" si="73"/>
        <v>0</v>
      </c>
      <c r="BB171" s="9">
        <f t="shared" si="73"/>
        <v>0</v>
      </c>
      <c r="BC171" s="9">
        <f t="shared" si="73"/>
        <v>0</v>
      </c>
      <c r="BD171" s="9">
        <f t="shared" si="73"/>
        <v>0</v>
      </c>
      <c r="BE171" s="9">
        <f t="shared" si="73"/>
        <v>0</v>
      </c>
      <c r="BF171" s="9">
        <f t="shared" si="73"/>
        <v>0</v>
      </c>
      <c r="BG171" s="9">
        <f t="shared" si="73"/>
        <v>0</v>
      </c>
      <c r="BH171" s="9">
        <f t="shared" si="73"/>
        <v>0</v>
      </c>
    </row>
    <row r="172" spans="2:60" x14ac:dyDescent="0.3">
      <c r="B172" s="21" t="s">
        <v>134</v>
      </c>
      <c r="C172"/>
      <c r="D172" s="40"/>
      <c r="E172" s="40"/>
      <c r="F172" s="40"/>
      <c r="G172" s="40"/>
      <c r="H172" s="40"/>
      <c r="I172" s="40"/>
      <c r="L172" s="9">
        <f>-MIN(L$165,0)*$C$145</f>
        <v>10841993.75</v>
      </c>
      <c r="M172" s="9">
        <f t="shared" ref="M172:BH172" si="74">-MIN(M$165,0)*$C$145</f>
        <v>0</v>
      </c>
      <c r="N172" s="9">
        <f t="shared" si="74"/>
        <v>0</v>
      </c>
      <c r="O172" s="9">
        <f t="shared" si="74"/>
        <v>0</v>
      </c>
      <c r="P172" s="9">
        <f t="shared" si="74"/>
        <v>0</v>
      </c>
      <c r="Q172" s="9">
        <f t="shared" si="74"/>
        <v>0</v>
      </c>
      <c r="R172" s="9">
        <f t="shared" si="74"/>
        <v>0</v>
      </c>
      <c r="S172" s="9">
        <f t="shared" si="74"/>
        <v>0</v>
      </c>
      <c r="T172" s="9">
        <f t="shared" si="74"/>
        <v>0</v>
      </c>
      <c r="U172" s="9">
        <f t="shared" si="74"/>
        <v>0</v>
      </c>
      <c r="V172" s="9">
        <f t="shared" si="74"/>
        <v>0</v>
      </c>
      <c r="W172" s="9">
        <f t="shared" si="74"/>
        <v>0</v>
      </c>
      <c r="X172" s="9">
        <f t="shared" si="74"/>
        <v>0</v>
      </c>
      <c r="Y172" s="9">
        <f t="shared" si="74"/>
        <v>0</v>
      </c>
      <c r="Z172" s="9">
        <f t="shared" si="74"/>
        <v>0</v>
      </c>
      <c r="AA172" s="9">
        <f t="shared" si="74"/>
        <v>0</v>
      </c>
      <c r="AB172" s="9">
        <f t="shared" si="74"/>
        <v>0</v>
      </c>
      <c r="AC172" s="9">
        <f t="shared" si="74"/>
        <v>0</v>
      </c>
      <c r="AD172" s="9">
        <f t="shared" si="74"/>
        <v>0</v>
      </c>
      <c r="AE172" s="9">
        <f t="shared" si="74"/>
        <v>0</v>
      </c>
      <c r="AF172" s="9">
        <f t="shared" si="74"/>
        <v>0</v>
      </c>
      <c r="AG172" s="9">
        <f t="shared" si="74"/>
        <v>0</v>
      </c>
      <c r="AH172" s="9">
        <f t="shared" si="74"/>
        <v>0</v>
      </c>
      <c r="AI172" s="9">
        <f t="shared" si="74"/>
        <v>0</v>
      </c>
      <c r="AJ172" s="9">
        <f t="shared" si="74"/>
        <v>0</v>
      </c>
      <c r="AK172" s="9">
        <f t="shared" si="74"/>
        <v>0</v>
      </c>
      <c r="AL172" s="9">
        <f t="shared" si="74"/>
        <v>0</v>
      </c>
      <c r="AM172" s="9">
        <f t="shared" si="74"/>
        <v>0</v>
      </c>
      <c r="AN172" s="9">
        <f t="shared" si="74"/>
        <v>0</v>
      </c>
      <c r="AO172" s="9">
        <f t="shared" si="74"/>
        <v>0</v>
      </c>
      <c r="AP172" s="9">
        <f t="shared" si="74"/>
        <v>0</v>
      </c>
      <c r="AQ172" s="9">
        <f t="shared" si="74"/>
        <v>0</v>
      </c>
      <c r="AR172" s="9">
        <f t="shared" si="74"/>
        <v>0</v>
      </c>
      <c r="AS172" s="9">
        <f t="shared" si="74"/>
        <v>0</v>
      </c>
      <c r="AT172" s="9">
        <f t="shared" si="74"/>
        <v>0</v>
      </c>
      <c r="AU172" s="9">
        <f t="shared" si="74"/>
        <v>0</v>
      </c>
      <c r="AV172" s="9">
        <f t="shared" si="74"/>
        <v>0</v>
      </c>
      <c r="AW172" s="9">
        <f t="shared" si="74"/>
        <v>0</v>
      </c>
      <c r="AX172" s="9">
        <f t="shared" si="74"/>
        <v>0</v>
      </c>
      <c r="AY172" s="9">
        <f t="shared" si="74"/>
        <v>0</v>
      </c>
      <c r="AZ172" s="9">
        <f t="shared" si="74"/>
        <v>0</v>
      </c>
      <c r="BA172" s="9">
        <f t="shared" si="74"/>
        <v>0</v>
      </c>
      <c r="BB172" s="9">
        <f t="shared" si="74"/>
        <v>0</v>
      </c>
      <c r="BC172" s="9">
        <f t="shared" si="74"/>
        <v>0</v>
      </c>
      <c r="BD172" s="9">
        <f t="shared" si="74"/>
        <v>0</v>
      </c>
      <c r="BE172" s="9">
        <f t="shared" si="74"/>
        <v>0</v>
      </c>
      <c r="BF172" s="9">
        <f t="shared" si="74"/>
        <v>0</v>
      </c>
      <c r="BG172" s="9">
        <f t="shared" si="74"/>
        <v>0</v>
      </c>
      <c r="BH172" s="9">
        <f t="shared" si="74"/>
        <v>0</v>
      </c>
    </row>
    <row r="173" spans="2:60" x14ac:dyDescent="0.3">
      <c r="B173" s="21" t="s">
        <v>135</v>
      </c>
      <c r="C173"/>
      <c r="D173" s="40"/>
      <c r="E173" s="40"/>
      <c r="F173" s="40"/>
      <c r="G173" s="40"/>
      <c r="H173" s="40"/>
      <c r="I173" s="40"/>
      <c r="L173" s="9">
        <f>MIN(MAX(L$165,0)*$H$146,L170+L171+L172)</f>
        <v>0</v>
      </c>
      <c r="M173" s="9">
        <f t="shared" ref="M173:BH173" si="75">MIN(MAX(M$165,0)*$H$146,M170+M171+M172)</f>
        <v>47881.012581792216</v>
      </c>
      <c r="N173" s="9">
        <f t="shared" si="75"/>
        <v>50414.878601482291</v>
      </c>
      <c r="O173" s="9">
        <f t="shared" si="75"/>
        <v>48251.541797540907</v>
      </c>
      <c r="P173" s="9">
        <f t="shared" si="75"/>
        <v>49765.515308017748</v>
      </c>
      <c r="Q173" s="9">
        <f t="shared" si="75"/>
        <v>48655.677633375482</v>
      </c>
      <c r="R173" s="9">
        <f t="shared" si="75"/>
        <v>50326.252088710673</v>
      </c>
      <c r="S173" s="9">
        <f t="shared" si="75"/>
        <v>49093.617306203429</v>
      </c>
      <c r="T173" s="9">
        <f t="shared" si="75"/>
        <v>49325.325500124505</v>
      </c>
      <c r="U173" s="9">
        <f t="shared" si="75"/>
        <v>51230.987170198568</v>
      </c>
      <c r="V173" s="9">
        <f t="shared" si="75"/>
        <v>49814.343019581291</v>
      </c>
      <c r="W173" s="9">
        <f t="shared" si="75"/>
        <v>51876.854137674549</v>
      </c>
      <c r="X173" s="9">
        <f t="shared" si="75"/>
        <v>50337.66204595779</v>
      </c>
      <c r="Y173" s="9">
        <f t="shared" si="75"/>
        <v>47742.684583545495</v>
      </c>
      <c r="Z173" s="9">
        <f t="shared" si="75"/>
        <v>55113.940128359842</v>
      </c>
      <c r="AA173" s="9">
        <f t="shared" si="75"/>
        <v>50906.474507804356</v>
      </c>
      <c r="AB173" s="9">
        <f t="shared" si="75"/>
        <v>54488.861019024611</v>
      </c>
      <c r="AC173" s="9">
        <f t="shared" si="75"/>
        <v>54105.07028706924</v>
      </c>
      <c r="AD173" s="9">
        <f t="shared" si="75"/>
        <v>57761.15519656895</v>
      </c>
      <c r="AE173" s="9">
        <f t="shared" si="75"/>
        <v>57338.675549441599</v>
      </c>
      <c r="AF173" s="9">
        <f t="shared" si="75"/>
        <v>58968.670667803912</v>
      </c>
      <c r="AG173" s="9">
        <f t="shared" si="75"/>
        <v>62735.495010581952</v>
      </c>
      <c r="AH173" s="9">
        <f t="shared" si="75"/>
        <v>62255.174338067562</v>
      </c>
      <c r="AI173" s="9">
        <f t="shared" si="75"/>
        <v>66095.953657297432</v>
      </c>
      <c r="AJ173" s="9">
        <f t="shared" si="75"/>
        <v>65577.201331811346</v>
      </c>
      <c r="AK173" s="9">
        <f t="shared" si="75"/>
        <v>77097.555233622392</v>
      </c>
      <c r="AL173" s="9">
        <f t="shared" si="75"/>
        <v>84509.710194568193</v>
      </c>
      <c r="AM173" s="9">
        <f t="shared" si="75"/>
        <v>78649.489273294588</v>
      </c>
      <c r="AN173" s="9">
        <f t="shared" si="75"/>
        <v>81640.183430017103</v>
      </c>
      <c r="AO173" s="9">
        <f t="shared" si="75"/>
        <v>80207.823357753849</v>
      </c>
      <c r="AP173" s="9">
        <f t="shared" si="75"/>
        <v>83201.727427544014</v>
      </c>
      <c r="AQ173" s="9">
        <f t="shared" si="75"/>
        <v>81772.583880243852</v>
      </c>
      <c r="AR173" s="9">
        <f t="shared" si="75"/>
        <v>82557.382333388741</v>
      </c>
      <c r="AS173" s="9">
        <f t="shared" si="75"/>
        <v>85556.126109975012</v>
      </c>
      <c r="AT173" s="9">
        <f t="shared" si="75"/>
        <v>84131.832238474628</v>
      </c>
      <c r="AU173" s="9">
        <f t="shared" si="75"/>
        <v>87133.819124080634</v>
      </c>
      <c r="AV173" s="9">
        <f t="shared" si="75"/>
        <v>11930939.956261881</v>
      </c>
      <c r="AW173" s="9">
        <f t="shared" si="75"/>
        <v>0</v>
      </c>
      <c r="AX173" s="9">
        <f t="shared" si="75"/>
        <v>0</v>
      </c>
      <c r="AY173" s="9">
        <f t="shared" si="75"/>
        <v>0</v>
      </c>
      <c r="AZ173" s="9">
        <f t="shared" si="75"/>
        <v>0</v>
      </c>
      <c r="BA173" s="9">
        <f t="shared" si="75"/>
        <v>0</v>
      </c>
      <c r="BB173" s="9">
        <f t="shared" si="75"/>
        <v>0</v>
      </c>
      <c r="BC173" s="9">
        <f t="shared" si="75"/>
        <v>0</v>
      </c>
      <c r="BD173" s="9">
        <f t="shared" si="75"/>
        <v>0</v>
      </c>
      <c r="BE173" s="9">
        <f t="shared" si="75"/>
        <v>0</v>
      </c>
      <c r="BF173" s="9">
        <f t="shared" si="75"/>
        <v>0</v>
      </c>
      <c r="BG173" s="9">
        <f t="shared" si="75"/>
        <v>0</v>
      </c>
      <c r="BH173" s="9">
        <f t="shared" si="75"/>
        <v>0</v>
      </c>
    </row>
    <row r="174" spans="2:60" x14ac:dyDescent="0.3">
      <c r="B174" s="21" t="s">
        <v>136</v>
      </c>
      <c r="C174"/>
      <c r="D174" s="40"/>
      <c r="E174" s="40"/>
      <c r="F174" s="40"/>
      <c r="G174" s="40"/>
      <c r="H174" s="40"/>
      <c r="I174" s="40"/>
      <c r="L174" s="9">
        <f>L170+L171+L172-L173</f>
        <v>10841993.75</v>
      </c>
      <c r="M174" s="9">
        <f t="shared" ref="M174:BH174" si="76">M170+M171+M172-M173</f>
        <v>10880568.318110006</v>
      </c>
      <c r="N174" s="9">
        <f t="shared" si="76"/>
        <v>10916916.619223414</v>
      </c>
      <c r="O174" s="9">
        <f t="shared" si="76"/>
        <v>10955718.103598194</v>
      </c>
      <c r="P174" s="9">
        <f t="shared" si="76"/>
        <v>10993315.022947753</v>
      </c>
      <c r="Q174" s="9">
        <f t="shared" si="76"/>
        <v>11032321.583086541</v>
      </c>
      <c r="R174" s="9">
        <f t="shared" si="76"/>
        <v>11069968.612558188</v>
      </c>
      <c r="S174" s="9">
        <f t="shared" si="76"/>
        <v>11109148.479512081</v>
      </c>
      <c r="T174" s="9">
        <f t="shared" si="76"/>
        <v>11148409.064033128</v>
      </c>
      <c r="U174" s="9">
        <f t="shared" si="76"/>
        <v>11186077.056298394</v>
      </c>
      <c r="V174" s="9">
        <f t="shared" si="76"/>
        <v>11225462.062574275</v>
      </c>
      <c r="W174" s="9">
        <f t="shared" si="76"/>
        <v>11263098.619302901</v>
      </c>
      <c r="X174" s="9">
        <f t="shared" si="76"/>
        <v>11302574.487311857</v>
      </c>
      <c r="Y174" s="9">
        <f t="shared" si="76"/>
        <v>11344960.118898282</v>
      </c>
      <c r="Z174" s="9">
        <f t="shared" si="76"/>
        <v>11380312.48391833</v>
      </c>
      <c r="AA174" s="9">
        <f t="shared" si="76"/>
        <v>11420154.219282096</v>
      </c>
      <c r="AB174" s="9">
        <f t="shared" si="76"/>
        <v>11456731.271727365</v>
      </c>
      <c r="AC174" s="9">
        <f t="shared" si="76"/>
        <v>11493983.785457263</v>
      </c>
      <c r="AD174" s="9">
        <f t="shared" si="76"/>
        <v>11527877.271053473</v>
      </c>
      <c r="AE174" s="9">
        <f t="shared" si="76"/>
        <v>11562463.50771058</v>
      </c>
      <c r="AF174" s="9">
        <f t="shared" si="76"/>
        <v>11595695.544757335</v>
      </c>
      <c r="AG174" s="9">
        <f t="shared" si="76"/>
        <v>11625425.75439146</v>
      </c>
      <c r="AH174" s="9">
        <f t="shared" si="76"/>
        <v>11655873.357564704</v>
      </c>
      <c r="AI174" s="9">
        <f t="shared" si="76"/>
        <v>11682722.974882146</v>
      </c>
      <c r="AJ174" s="9">
        <f t="shared" si="76"/>
        <v>11710305.447144026</v>
      </c>
      <c r="AK174" s="9">
        <f t="shared" si="76"/>
        <v>11726587.512011288</v>
      </c>
      <c r="AL174" s="9">
        <f t="shared" si="76"/>
        <v>11735587.257389326</v>
      </c>
      <c r="AM174" s="9">
        <f t="shared" si="76"/>
        <v>11750518.988922106</v>
      </c>
      <c r="AN174" s="9">
        <f t="shared" si="76"/>
        <v>11762579.094022254</v>
      </c>
      <c r="AO174" s="9">
        <f t="shared" si="76"/>
        <v>11776167.728166321</v>
      </c>
      <c r="AP174" s="9">
        <f t="shared" si="76"/>
        <v>11786870.815917499</v>
      </c>
      <c r="AQ174" s="9">
        <f t="shared" si="76"/>
        <v>11799088.39514073</v>
      </c>
      <c r="AR174" s="9">
        <f t="shared" si="76"/>
        <v>11810618.600603241</v>
      </c>
      <c r="AS174" s="9">
        <f t="shared" si="76"/>
        <v>11819242.005766701</v>
      </c>
      <c r="AT174" s="9">
        <f t="shared" si="76"/>
        <v>11829358.469045408</v>
      </c>
      <c r="AU174" s="9">
        <f t="shared" si="76"/>
        <v>11836553.615537338</v>
      </c>
      <c r="AV174" s="9">
        <f t="shared" si="76"/>
        <v>0</v>
      </c>
      <c r="AW174" s="9">
        <f t="shared" si="76"/>
        <v>0</v>
      </c>
      <c r="AX174" s="9">
        <f t="shared" si="76"/>
        <v>0</v>
      </c>
      <c r="AY174" s="9">
        <f t="shared" si="76"/>
        <v>0</v>
      </c>
      <c r="AZ174" s="9">
        <f t="shared" si="76"/>
        <v>0</v>
      </c>
      <c r="BA174" s="9">
        <f t="shared" si="76"/>
        <v>0</v>
      </c>
      <c r="BB174" s="9">
        <f t="shared" si="76"/>
        <v>0</v>
      </c>
      <c r="BC174" s="9">
        <f t="shared" si="76"/>
        <v>0</v>
      </c>
      <c r="BD174" s="9">
        <f t="shared" si="76"/>
        <v>0</v>
      </c>
      <c r="BE174" s="9">
        <f t="shared" si="76"/>
        <v>0</v>
      </c>
      <c r="BF174" s="9">
        <f t="shared" si="76"/>
        <v>0</v>
      </c>
      <c r="BG174" s="9">
        <f t="shared" si="76"/>
        <v>0</v>
      </c>
      <c r="BH174" s="9">
        <f t="shared" si="76"/>
        <v>0</v>
      </c>
    </row>
    <row r="175" spans="2:60" x14ac:dyDescent="0.3">
      <c r="B175" t="s">
        <v>137</v>
      </c>
      <c r="C175"/>
      <c r="D175" s="40"/>
      <c r="E175" s="40"/>
      <c r="F175" s="40"/>
      <c r="G175" s="40"/>
      <c r="H175" s="40"/>
      <c r="I175" s="61">
        <f>XIRR(L175:BH175,$L$3:$BH$3)</f>
        <v>9.9911290407180803E-2</v>
      </c>
      <c r="L175" s="9">
        <f>-L172+L173</f>
        <v>-10841993.75</v>
      </c>
      <c r="M175" s="9">
        <f t="shared" ref="M175:BH175" si="77">-M172+M173</f>
        <v>47881.012581792216</v>
      </c>
      <c r="N175" s="9">
        <f t="shared" si="77"/>
        <v>50414.878601482291</v>
      </c>
      <c r="O175" s="9">
        <f t="shared" si="77"/>
        <v>48251.541797540907</v>
      </c>
      <c r="P175" s="9">
        <f t="shared" si="77"/>
        <v>49765.515308017748</v>
      </c>
      <c r="Q175" s="9">
        <f t="shared" si="77"/>
        <v>48655.677633375482</v>
      </c>
      <c r="R175" s="9">
        <f t="shared" si="77"/>
        <v>50326.252088710673</v>
      </c>
      <c r="S175" s="9">
        <f t="shared" si="77"/>
        <v>49093.617306203429</v>
      </c>
      <c r="T175" s="9">
        <f t="shared" si="77"/>
        <v>49325.325500124505</v>
      </c>
      <c r="U175" s="9">
        <f t="shared" si="77"/>
        <v>51230.987170198568</v>
      </c>
      <c r="V175" s="9">
        <f t="shared" si="77"/>
        <v>49814.343019581291</v>
      </c>
      <c r="W175" s="9">
        <f t="shared" si="77"/>
        <v>51876.854137674549</v>
      </c>
      <c r="X175" s="9">
        <f t="shared" si="77"/>
        <v>50337.66204595779</v>
      </c>
      <c r="Y175" s="9">
        <f t="shared" si="77"/>
        <v>47742.684583545495</v>
      </c>
      <c r="Z175" s="9">
        <f t="shared" si="77"/>
        <v>55113.940128359842</v>
      </c>
      <c r="AA175" s="9">
        <f t="shared" si="77"/>
        <v>50906.474507804356</v>
      </c>
      <c r="AB175" s="9">
        <f t="shared" si="77"/>
        <v>54488.861019024611</v>
      </c>
      <c r="AC175" s="9">
        <f t="shared" si="77"/>
        <v>54105.07028706924</v>
      </c>
      <c r="AD175" s="9">
        <f t="shared" si="77"/>
        <v>57761.15519656895</v>
      </c>
      <c r="AE175" s="9">
        <f t="shared" si="77"/>
        <v>57338.675549441599</v>
      </c>
      <c r="AF175" s="9">
        <f t="shared" si="77"/>
        <v>58968.670667803912</v>
      </c>
      <c r="AG175" s="9">
        <f t="shared" si="77"/>
        <v>62735.495010581952</v>
      </c>
      <c r="AH175" s="9">
        <f t="shared" si="77"/>
        <v>62255.174338067562</v>
      </c>
      <c r="AI175" s="9">
        <f t="shared" si="77"/>
        <v>66095.953657297432</v>
      </c>
      <c r="AJ175" s="9">
        <f t="shared" si="77"/>
        <v>65577.201331811346</v>
      </c>
      <c r="AK175" s="9">
        <f t="shared" si="77"/>
        <v>77097.555233622392</v>
      </c>
      <c r="AL175" s="9">
        <f t="shared" si="77"/>
        <v>84509.710194568193</v>
      </c>
      <c r="AM175" s="9">
        <f t="shared" si="77"/>
        <v>78649.489273294588</v>
      </c>
      <c r="AN175" s="9">
        <f t="shared" si="77"/>
        <v>81640.183430017103</v>
      </c>
      <c r="AO175" s="9">
        <f t="shared" si="77"/>
        <v>80207.823357753849</v>
      </c>
      <c r="AP175" s="9">
        <f t="shared" si="77"/>
        <v>83201.727427544014</v>
      </c>
      <c r="AQ175" s="9">
        <f t="shared" si="77"/>
        <v>81772.583880243852</v>
      </c>
      <c r="AR175" s="9">
        <f t="shared" si="77"/>
        <v>82557.382333388741</v>
      </c>
      <c r="AS175" s="9">
        <f t="shared" si="77"/>
        <v>85556.126109975012</v>
      </c>
      <c r="AT175" s="9">
        <f t="shared" si="77"/>
        <v>84131.832238474628</v>
      </c>
      <c r="AU175" s="9">
        <f t="shared" si="77"/>
        <v>87133.819124080634</v>
      </c>
      <c r="AV175" s="9">
        <f t="shared" si="77"/>
        <v>11930939.956261881</v>
      </c>
      <c r="AW175" s="9">
        <f t="shared" si="77"/>
        <v>0</v>
      </c>
      <c r="AX175" s="9">
        <f t="shared" si="77"/>
        <v>0</v>
      </c>
      <c r="AY175" s="9">
        <f t="shared" si="77"/>
        <v>0</v>
      </c>
      <c r="AZ175" s="9">
        <f t="shared" si="77"/>
        <v>0</v>
      </c>
      <c r="BA175" s="9">
        <f t="shared" si="77"/>
        <v>0</v>
      </c>
      <c r="BB175" s="9">
        <f t="shared" si="77"/>
        <v>0</v>
      </c>
      <c r="BC175" s="9">
        <f t="shared" si="77"/>
        <v>0</v>
      </c>
      <c r="BD175" s="9">
        <f t="shared" si="77"/>
        <v>0</v>
      </c>
      <c r="BE175" s="9">
        <f t="shared" si="77"/>
        <v>0</v>
      </c>
      <c r="BF175" s="9">
        <f t="shared" si="77"/>
        <v>0</v>
      </c>
      <c r="BG175" s="9">
        <f t="shared" si="77"/>
        <v>0</v>
      </c>
      <c r="BH175" s="9">
        <f t="shared" si="77"/>
        <v>0</v>
      </c>
    </row>
    <row r="176" spans="2:60" x14ac:dyDescent="0.3">
      <c r="C176"/>
      <c r="D176" s="40"/>
      <c r="E176" s="40"/>
      <c r="F176" s="40"/>
      <c r="G176" s="40"/>
      <c r="H176" s="40"/>
      <c r="I176" s="40"/>
    </row>
    <row r="177" spans="2:60" x14ac:dyDescent="0.3">
      <c r="B177" s="21" t="s">
        <v>138</v>
      </c>
      <c r="C177"/>
      <c r="D177" s="40"/>
      <c r="E177" s="40"/>
      <c r="F177" s="40"/>
      <c r="G177" s="40"/>
      <c r="H177" s="40"/>
      <c r="I177" s="40"/>
      <c r="L177" s="9">
        <f>K181</f>
        <v>0</v>
      </c>
      <c r="M177" s="9">
        <f t="shared" ref="M177:BH177" si="78">L181</f>
        <v>570631.25</v>
      </c>
      <c r="N177" s="9">
        <f t="shared" si="78"/>
        <v>572661.49042684236</v>
      </c>
      <c r="O177" s="9">
        <f t="shared" si="78"/>
        <v>574574.55890649545</v>
      </c>
      <c r="P177" s="9">
        <f t="shared" si="78"/>
        <v>576616.74229464179</v>
      </c>
      <c r="Q177" s="9">
        <f t="shared" si="78"/>
        <v>578595.5275235658</v>
      </c>
      <c r="R177" s="9">
        <f t="shared" si="78"/>
        <v>580648.50437297567</v>
      </c>
      <c r="S177" s="9">
        <f t="shared" si="78"/>
        <v>582629.92697674653</v>
      </c>
      <c r="T177" s="9">
        <f t="shared" si="78"/>
        <v>584692.02523747762</v>
      </c>
      <c r="U177" s="9">
        <f t="shared" si="78"/>
        <v>586758.37179121689</v>
      </c>
      <c r="V177" s="9">
        <f t="shared" si="78"/>
        <v>588740.89769991499</v>
      </c>
      <c r="W177" s="9">
        <f t="shared" si="78"/>
        <v>590813.79276706651</v>
      </c>
      <c r="X177" s="9">
        <f t="shared" si="78"/>
        <v>592794.66417383612</v>
      </c>
      <c r="Y177" s="9">
        <f t="shared" si="78"/>
        <v>594872.34143746528</v>
      </c>
      <c r="Z177" s="9">
        <f t="shared" si="78"/>
        <v>597103.16415254027</v>
      </c>
      <c r="AA177" s="9">
        <f t="shared" si="78"/>
        <v>598963.81494306913</v>
      </c>
      <c r="AB177" s="9">
        <f t="shared" si="78"/>
        <v>601060.74838326743</v>
      </c>
      <c r="AC177" s="9">
        <f t="shared" si="78"/>
        <v>602985.85640670266</v>
      </c>
      <c r="AD177" s="9">
        <f t="shared" si="78"/>
        <v>604946.51502406562</v>
      </c>
      <c r="AE177" s="9">
        <f t="shared" si="78"/>
        <v>606730.38268702407</v>
      </c>
      <c r="AF177" s="9">
        <f t="shared" si="78"/>
        <v>608550.71093213488</v>
      </c>
      <c r="AG177" s="9">
        <f t="shared" si="78"/>
        <v>610299.76551354304</v>
      </c>
      <c r="AH177" s="9">
        <f t="shared" si="78"/>
        <v>611864.51338902349</v>
      </c>
      <c r="AI177" s="9">
        <f t="shared" si="78"/>
        <v>613467.01881919417</v>
      </c>
      <c r="AJ177" s="9">
        <f t="shared" si="78"/>
        <v>614880.15657274367</v>
      </c>
      <c r="AK177" s="9">
        <f t="shared" si="78"/>
        <v>616331.86563915829</v>
      </c>
      <c r="AL177" s="9">
        <f t="shared" si="78"/>
        <v>617188.81642164569</v>
      </c>
      <c r="AM177" s="9">
        <f t="shared" si="78"/>
        <v>617662.48723101616</v>
      </c>
      <c r="AN177" s="9">
        <f t="shared" si="78"/>
        <v>618448.36783800472</v>
      </c>
      <c r="AO177" s="9">
        <f t="shared" si="78"/>
        <v>619083.11021169671</v>
      </c>
      <c r="AP177" s="9">
        <f t="shared" si="78"/>
        <v>619798.30148243706</v>
      </c>
      <c r="AQ177" s="9">
        <f t="shared" si="78"/>
        <v>620361.62189039378</v>
      </c>
      <c r="AR177" s="9">
        <f t="shared" si="78"/>
        <v>621004.65237582684</v>
      </c>
      <c r="AS177" s="9">
        <f t="shared" si="78"/>
        <v>621611.50529490644</v>
      </c>
      <c r="AT177" s="9">
        <f t="shared" si="78"/>
        <v>622065.36872456211</v>
      </c>
      <c r="AU177" s="9">
        <f t="shared" si="78"/>
        <v>622597.81416028354</v>
      </c>
      <c r="AV177" s="9">
        <f t="shared" si="78"/>
        <v>622976.50608091138</v>
      </c>
      <c r="AW177" s="9">
        <f t="shared" si="78"/>
        <v>0</v>
      </c>
      <c r="AX177" s="9">
        <f t="shared" si="78"/>
        <v>0</v>
      </c>
      <c r="AY177" s="9">
        <f t="shared" si="78"/>
        <v>0</v>
      </c>
      <c r="AZ177" s="9">
        <f t="shared" si="78"/>
        <v>0</v>
      </c>
      <c r="BA177" s="9">
        <f t="shared" si="78"/>
        <v>0</v>
      </c>
      <c r="BB177" s="9">
        <f t="shared" si="78"/>
        <v>0</v>
      </c>
      <c r="BC177" s="9">
        <f t="shared" si="78"/>
        <v>0</v>
      </c>
      <c r="BD177" s="9">
        <f t="shared" si="78"/>
        <v>0</v>
      </c>
      <c r="BE177" s="9">
        <f t="shared" si="78"/>
        <v>0</v>
      </c>
      <c r="BF177" s="9">
        <f t="shared" si="78"/>
        <v>0</v>
      </c>
      <c r="BG177" s="9">
        <f t="shared" si="78"/>
        <v>0</v>
      </c>
      <c r="BH177" s="9">
        <f t="shared" si="78"/>
        <v>0</v>
      </c>
    </row>
    <row r="178" spans="2:60" x14ac:dyDescent="0.3">
      <c r="B178" s="21" t="s">
        <v>139</v>
      </c>
      <c r="C178"/>
      <c r="D178" s="40"/>
      <c r="E178" s="40"/>
      <c r="F178" s="40"/>
      <c r="G178" s="40"/>
      <c r="H178" s="40"/>
      <c r="I178" s="40"/>
      <c r="L178" s="9">
        <f>L177*$I$169</f>
        <v>0</v>
      </c>
      <c r="M178" s="9">
        <f t="shared" ref="M178:BH178" si="79">M177*$I$169</f>
        <v>4550.2937206208908</v>
      </c>
      <c r="N178" s="9">
        <f t="shared" si="79"/>
        <v>4566.4831428889693</v>
      </c>
      <c r="O178" s="9">
        <f t="shared" si="79"/>
        <v>4581.7382195958326</v>
      </c>
      <c r="P178" s="9">
        <f t="shared" si="79"/>
        <v>4598.0228767144863</v>
      </c>
      <c r="Q178" s="9">
        <f t="shared" si="79"/>
        <v>4613.8019880085667</v>
      </c>
      <c r="R178" s="9">
        <f t="shared" si="79"/>
        <v>4630.1727137030493</v>
      </c>
      <c r="S178" s="9">
        <f t="shared" si="79"/>
        <v>4645.9728557945227</v>
      </c>
      <c r="T178" s="9">
        <f t="shared" si="79"/>
        <v>4662.4163169037902</v>
      </c>
      <c r="U178" s="9">
        <f t="shared" si="79"/>
        <v>4678.8936544980888</v>
      </c>
      <c r="V178" s="9">
        <f t="shared" si="79"/>
        <v>4694.7025944979878</v>
      </c>
      <c r="W178" s="9">
        <f t="shared" si="79"/>
        <v>4711.2321508578352</v>
      </c>
      <c r="X178" s="9">
        <f t="shared" si="79"/>
        <v>4727.0278976270165</v>
      </c>
      <c r="Y178" s="9">
        <f t="shared" si="79"/>
        <v>4743.5955878931363</v>
      </c>
      <c r="Z178" s="9">
        <f t="shared" si="79"/>
        <v>4761.3844814951326</v>
      </c>
      <c r="AA178" s="9">
        <f t="shared" si="79"/>
        <v>4776.2215721879602</v>
      </c>
      <c r="AB178" s="9">
        <f t="shared" si="79"/>
        <v>4792.9428139101656</v>
      </c>
      <c r="AC178" s="9">
        <f t="shared" si="79"/>
        <v>4808.2938956298476</v>
      </c>
      <c r="AD178" s="9">
        <f t="shared" si="79"/>
        <v>4823.9284627778397</v>
      </c>
      <c r="AE178" s="9">
        <f t="shared" si="79"/>
        <v>4838.1532740288512</v>
      </c>
      <c r="AF178" s="9">
        <f t="shared" si="79"/>
        <v>4852.668827082065</v>
      </c>
      <c r="AG178" s="9">
        <f t="shared" si="79"/>
        <v>4866.6160339320313</v>
      </c>
      <c r="AH178" s="9">
        <f t="shared" si="79"/>
        <v>4879.0935532269405</v>
      </c>
      <c r="AI178" s="9">
        <f t="shared" si="79"/>
        <v>4891.8721565652022</v>
      </c>
      <c r="AJ178" s="9">
        <f t="shared" si="79"/>
        <v>4903.1407154573917</v>
      </c>
      <c r="AK178" s="9">
        <f t="shared" si="79"/>
        <v>4914.7168474148948</v>
      </c>
      <c r="AL178" s="9">
        <f t="shared" si="79"/>
        <v>4921.5502932951085</v>
      </c>
      <c r="AM178" s="9">
        <f t="shared" si="79"/>
        <v>4925.327410846101</v>
      </c>
      <c r="AN178" s="9">
        <f t="shared" si="79"/>
        <v>4931.5941331665799</v>
      </c>
      <c r="AO178" s="9">
        <f t="shared" si="79"/>
        <v>4936.6556579905755</v>
      </c>
      <c r="AP178" s="9">
        <f t="shared" si="79"/>
        <v>4942.358693616985</v>
      </c>
      <c r="AQ178" s="9">
        <f t="shared" si="79"/>
        <v>4946.8506896564995</v>
      </c>
      <c r="AR178" s="9">
        <f t="shared" si="79"/>
        <v>4951.9783050474089</v>
      </c>
      <c r="AS178" s="9">
        <f t="shared" si="79"/>
        <v>4956.8174354438397</v>
      </c>
      <c r="AT178" s="9">
        <f t="shared" si="79"/>
        <v>4960.4366061674582</v>
      </c>
      <c r="AU178" s="9">
        <f t="shared" si="79"/>
        <v>4964.6824008426292</v>
      </c>
      <c r="AV178" s="9">
        <f t="shared" si="79"/>
        <v>4967.7021433970076</v>
      </c>
      <c r="AW178" s="9">
        <f t="shared" si="79"/>
        <v>0</v>
      </c>
      <c r="AX178" s="9">
        <f t="shared" si="79"/>
        <v>0</v>
      </c>
      <c r="AY178" s="9">
        <f t="shared" si="79"/>
        <v>0</v>
      </c>
      <c r="AZ178" s="9">
        <f t="shared" si="79"/>
        <v>0</v>
      </c>
      <c r="BA178" s="9">
        <f t="shared" si="79"/>
        <v>0</v>
      </c>
      <c r="BB178" s="9">
        <f t="shared" si="79"/>
        <v>0</v>
      </c>
      <c r="BC178" s="9">
        <f t="shared" si="79"/>
        <v>0</v>
      </c>
      <c r="BD178" s="9">
        <f t="shared" si="79"/>
        <v>0</v>
      </c>
      <c r="BE178" s="9">
        <f t="shared" si="79"/>
        <v>0</v>
      </c>
      <c r="BF178" s="9">
        <f t="shared" si="79"/>
        <v>0</v>
      </c>
      <c r="BG178" s="9">
        <f t="shared" si="79"/>
        <v>0</v>
      </c>
      <c r="BH178" s="9">
        <f t="shared" si="79"/>
        <v>0</v>
      </c>
    </row>
    <row r="179" spans="2:60" x14ac:dyDescent="0.3">
      <c r="B179" s="21" t="s">
        <v>140</v>
      </c>
      <c r="C179"/>
      <c r="D179" s="40"/>
      <c r="E179" s="40"/>
      <c r="F179" s="40"/>
      <c r="G179" s="40"/>
      <c r="H179" s="40"/>
      <c r="I179" s="40"/>
      <c r="L179" s="9">
        <f>-MIN(L$165,0)*$C$146</f>
        <v>570631.25</v>
      </c>
      <c r="M179" s="9">
        <f t="shared" ref="M179:BH179" si="80">-MIN(M$165,0)*$C$146</f>
        <v>0</v>
      </c>
      <c r="N179" s="9">
        <f t="shared" si="80"/>
        <v>0</v>
      </c>
      <c r="O179" s="9">
        <f t="shared" si="80"/>
        <v>0</v>
      </c>
      <c r="P179" s="9">
        <f t="shared" si="80"/>
        <v>0</v>
      </c>
      <c r="Q179" s="9">
        <f t="shared" si="80"/>
        <v>0</v>
      </c>
      <c r="R179" s="9">
        <f t="shared" si="80"/>
        <v>0</v>
      </c>
      <c r="S179" s="9">
        <f t="shared" si="80"/>
        <v>0</v>
      </c>
      <c r="T179" s="9">
        <f t="shared" si="80"/>
        <v>0</v>
      </c>
      <c r="U179" s="9">
        <f t="shared" si="80"/>
        <v>0</v>
      </c>
      <c r="V179" s="9">
        <f t="shared" si="80"/>
        <v>0</v>
      </c>
      <c r="W179" s="9">
        <f t="shared" si="80"/>
        <v>0</v>
      </c>
      <c r="X179" s="9">
        <f t="shared" si="80"/>
        <v>0</v>
      </c>
      <c r="Y179" s="9">
        <f t="shared" si="80"/>
        <v>0</v>
      </c>
      <c r="Z179" s="9">
        <f t="shared" si="80"/>
        <v>0</v>
      </c>
      <c r="AA179" s="9">
        <f t="shared" si="80"/>
        <v>0</v>
      </c>
      <c r="AB179" s="9">
        <f t="shared" si="80"/>
        <v>0</v>
      </c>
      <c r="AC179" s="9">
        <f t="shared" si="80"/>
        <v>0</v>
      </c>
      <c r="AD179" s="9">
        <f t="shared" si="80"/>
        <v>0</v>
      </c>
      <c r="AE179" s="9">
        <f t="shared" si="80"/>
        <v>0</v>
      </c>
      <c r="AF179" s="9">
        <f t="shared" si="80"/>
        <v>0</v>
      </c>
      <c r="AG179" s="9">
        <f t="shared" si="80"/>
        <v>0</v>
      </c>
      <c r="AH179" s="9">
        <f t="shared" si="80"/>
        <v>0</v>
      </c>
      <c r="AI179" s="9">
        <f t="shared" si="80"/>
        <v>0</v>
      </c>
      <c r="AJ179" s="9">
        <f t="shared" si="80"/>
        <v>0</v>
      </c>
      <c r="AK179" s="9">
        <f t="shared" si="80"/>
        <v>0</v>
      </c>
      <c r="AL179" s="9">
        <f t="shared" si="80"/>
        <v>0</v>
      </c>
      <c r="AM179" s="9">
        <f t="shared" si="80"/>
        <v>0</v>
      </c>
      <c r="AN179" s="9">
        <f t="shared" si="80"/>
        <v>0</v>
      </c>
      <c r="AO179" s="9">
        <f t="shared" si="80"/>
        <v>0</v>
      </c>
      <c r="AP179" s="9">
        <f t="shared" si="80"/>
        <v>0</v>
      </c>
      <c r="AQ179" s="9">
        <f t="shared" si="80"/>
        <v>0</v>
      </c>
      <c r="AR179" s="9">
        <f t="shared" si="80"/>
        <v>0</v>
      </c>
      <c r="AS179" s="9">
        <f t="shared" si="80"/>
        <v>0</v>
      </c>
      <c r="AT179" s="9">
        <f t="shared" si="80"/>
        <v>0</v>
      </c>
      <c r="AU179" s="9">
        <f t="shared" si="80"/>
        <v>0</v>
      </c>
      <c r="AV179" s="9">
        <f t="shared" si="80"/>
        <v>0</v>
      </c>
      <c r="AW179" s="9">
        <f t="shared" si="80"/>
        <v>0</v>
      </c>
      <c r="AX179" s="9">
        <f t="shared" si="80"/>
        <v>0</v>
      </c>
      <c r="AY179" s="9">
        <f t="shared" si="80"/>
        <v>0</v>
      </c>
      <c r="AZ179" s="9">
        <f t="shared" si="80"/>
        <v>0</v>
      </c>
      <c r="BA179" s="9">
        <f t="shared" si="80"/>
        <v>0</v>
      </c>
      <c r="BB179" s="9">
        <f t="shared" si="80"/>
        <v>0</v>
      </c>
      <c r="BC179" s="9">
        <f t="shared" si="80"/>
        <v>0</v>
      </c>
      <c r="BD179" s="9">
        <f t="shared" si="80"/>
        <v>0</v>
      </c>
      <c r="BE179" s="9">
        <f t="shared" si="80"/>
        <v>0</v>
      </c>
      <c r="BF179" s="9">
        <f t="shared" si="80"/>
        <v>0</v>
      </c>
      <c r="BG179" s="9">
        <f t="shared" si="80"/>
        <v>0</v>
      </c>
      <c r="BH179" s="9">
        <f t="shared" si="80"/>
        <v>0</v>
      </c>
    </row>
    <row r="180" spans="2:60" x14ac:dyDescent="0.3">
      <c r="B180" s="21" t="s">
        <v>141</v>
      </c>
      <c r="C180"/>
      <c r="D180" s="40"/>
      <c r="E180" s="40"/>
      <c r="F180" s="40"/>
      <c r="G180" s="40"/>
      <c r="H180" s="40"/>
      <c r="I180" s="40"/>
      <c r="L180" s="9">
        <f>MIN(MAX(L$165,0)*$I$146,L177+L178+L179)</f>
        <v>0</v>
      </c>
      <c r="M180" s="9">
        <f t="shared" ref="M180:BH180" si="81">MIN(MAX(M$165,0)*$I$146,M177+M178+M179)</f>
        <v>2520.0532937785379</v>
      </c>
      <c r="N180" s="9">
        <f t="shared" si="81"/>
        <v>2653.4146632359102</v>
      </c>
      <c r="O180" s="9">
        <f t="shared" si="81"/>
        <v>2539.5548314495218</v>
      </c>
      <c r="P180" s="9">
        <f t="shared" si="81"/>
        <v>2619.2376477904081</v>
      </c>
      <c r="Q180" s="9">
        <f t="shared" si="81"/>
        <v>2560.8251385987096</v>
      </c>
      <c r="R180" s="9">
        <f t="shared" si="81"/>
        <v>2648.7501099321412</v>
      </c>
      <c r="S180" s="9">
        <f t="shared" si="81"/>
        <v>2583.8745950633383</v>
      </c>
      <c r="T180" s="9">
        <f t="shared" si="81"/>
        <v>2596.069763164448</v>
      </c>
      <c r="U180" s="9">
        <f t="shared" si="81"/>
        <v>2696.3677457999252</v>
      </c>
      <c r="V180" s="9">
        <f t="shared" si="81"/>
        <v>2621.8075273463837</v>
      </c>
      <c r="W180" s="9">
        <f t="shared" si="81"/>
        <v>2730.3607440881347</v>
      </c>
      <c r="X180" s="9">
        <f t="shared" si="81"/>
        <v>2649.3506339977789</v>
      </c>
      <c r="Y180" s="9">
        <f t="shared" si="81"/>
        <v>2512.7728728181846</v>
      </c>
      <c r="Z180" s="9">
        <f t="shared" si="81"/>
        <v>2900.7336909663081</v>
      </c>
      <c r="AA180" s="9">
        <f t="shared" si="81"/>
        <v>2679.2881319897033</v>
      </c>
      <c r="AB180" s="9">
        <f t="shared" si="81"/>
        <v>2867.8347904749799</v>
      </c>
      <c r="AC180" s="9">
        <f t="shared" si="81"/>
        <v>2847.6352782668023</v>
      </c>
      <c r="AD180" s="9">
        <f t="shared" si="81"/>
        <v>3040.0607998194191</v>
      </c>
      <c r="AE180" s="9">
        <f t="shared" si="81"/>
        <v>3017.8250289179796</v>
      </c>
      <c r="AF180" s="9">
        <f t="shared" si="81"/>
        <v>3103.6142456738908</v>
      </c>
      <c r="AG180" s="9">
        <f t="shared" si="81"/>
        <v>3301.8681584516817</v>
      </c>
      <c r="AH180" s="9">
        <f t="shared" si="81"/>
        <v>3276.5881230561881</v>
      </c>
      <c r="AI180" s="9">
        <f t="shared" si="81"/>
        <v>3478.7344030156546</v>
      </c>
      <c r="AJ180" s="9">
        <f t="shared" si="81"/>
        <v>3451.4316490427027</v>
      </c>
      <c r="AK180" s="9">
        <f t="shared" si="81"/>
        <v>4057.7660649274944</v>
      </c>
      <c r="AL180" s="9">
        <f t="shared" si="81"/>
        <v>4447.879483924642</v>
      </c>
      <c r="AM180" s="9">
        <f t="shared" si="81"/>
        <v>4139.4468038576106</v>
      </c>
      <c r="AN180" s="9">
        <f t="shared" si="81"/>
        <v>4296.8517594745854</v>
      </c>
      <c r="AO180" s="9">
        <f t="shared" si="81"/>
        <v>4221.4643872502029</v>
      </c>
      <c r="AP180" s="9">
        <f t="shared" si="81"/>
        <v>4379.0382856602109</v>
      </c>
      <c r="AQ180" s="9">
        <f t="shared" si="81"/>
        <v>4303.8202042233606</v>
      </c>
      <c r="AR180" s="9">
        <f t="shared" si="81"/>
        <v>4345.1253859678282</v>
      </c>
      <c r="AS180" s="9">
        <f t="shared" si="81"/>
        <v>4502.9540057881595</v>
      </c>
      <c r="AT180" s="9">
        <f t="shared" si="81"/>
        <v>4427.9911704460337</v>
      </c>
      <c r="AU180" s="9">
        <f t="shared" si="81"/>
        <v>4585.9904802147712</v>
      </c>
      <c r="AV180" s="9">
        <f t="shared" si="81"/>
        <v>627944.20822430844</v>
      </c>
      <c r="AW180" s="9">
        <f t="shared" si="81"/>
        <v>0</v>
      </c>
      <c r="AX180" s="9">
        <f t="shared" si="81"/>
        <v>0</v>
      </c>
      <c r="AY180" s="9">
        <f t="shared" si="81"/>
        <v>0</v>
      </c>
      <c r="AZ180" s="9">
        <f t="shared" si="81"/>
        <v>0</v>
      </c>
      <c r="BA180" s="9">
        <f t="shared" si="81"/>
        <v>0</v>
      </c>
      <c r="BB180" s="9">
        <f t="shared" si="81"/>
        <v>0</v>
      </c>
      <c r="BC180" s="9">
        <f t="shared" si="81"/>
        <v>0</v>
      </c>
      <c r="BD180" s="9">
        <f t="shared" si="81"/>
        <v>0</v>
      </c>
      <c r="BE180" s="9">
        <f t="shared" si="81"/>
        <v>0</v>
      </c>
      <c r="BF180" s="9">
        <f t="shared" si="81"/>
        <v>0</v>
      </c>
      <c r="BG180" s="9">
        <f t="shared" si="81"/>
        <v>0</v>
      </c>
      <c r="BH180" s="9">
        <f t="shared" si="81"/>
        <v>0</v>
      </c>
    </row>
    <row r="181" spans="2:60" x14ac:dyDescent="0.3">
      <c r="B181" s="21" t="s">
        <v>142</v>
      </c>
      <c r="C181"/>
      <c r="D181" s="40"/>
      <c r="E181" s="40"/>
      <c r="F181" s="40"/>
      <c r="G181" s="40"/>
      <c r="H181" s="40"/>
      <c r="I181" s="40"/>
      <c r="L181" s="9">
        <f>L177+L178+L179-L180</f>
        <v>570631.25</v>
      </c>
      <c r="M181" s="9">
        <f t="shared" ref="M181:BH181" si="82">M177+M178+M179-M180</f>
        <v>572661.49042684236</v>
      </c>
      <c r="N181" s="9">
        <f t="shared" si="82"/>
        <v>574574.55890649545</v>
      </c>
      <c r="O181" s="9">
        <f t="shared" si="82"/>
        <v>576616.74229464179</v>
      </c>
      <c r="P181" s="9">
        <f t="shared" si="82"/>
        <v>578595.5275235658</v>
      </c>
      <c r="Q181" s="9">
        <f t="shared" si="82"/>
        <v>580648.50437297567</v>
      </c>
      <c r="R181" s="9">
        <f t="shared" si="82"/>
        <v>582629.92697674653</v>
      </c>
      <c r="S181" s="9">
        <f t="shared" si="82"/>
        <v>584692.02523747762</v>
      </c>
      <c r="T181" s="9">
        <f t="shared" si="82"/>
        <v>586758.37179121689</v>
      </c>
      <c r="U181" s="9">
        <f t="shared" si="82"/>
        <v>588740.89769991499</v>
      </c>
      <c r="V181" s="9">
        <f t="shared" si="82"/>
        <v>590813.79276706651</v>
      </c>
      <c r="W181" s="9">
        <f t="shared" si="82"/>
        <v>592794.66417383612</v>
      </c>
      <c r="X181" s="9">
        <f t="shared" si="82"/>
        <v>594872.34143746528</v>
      </c>
      <c r="Y181" s="9">
        <f t="shared" si="82"/>
        <v>597103.16415254027</v>
      </c>
      <c r="Z181" s="9">
        <f t="shared" si="82"/>
        <v>598963.81494306913</v>
      </c>
      <c r="AA181" s="9">
        <f t="shared" si="82"/>
        <v>601060.74838326743</v>
      </c>
      <c r="AB181" s="9">
        <f t="shared" si="82"/>
        <v>602985.85640670266</v>
      </c>
      <c r="AC181" s="9">
        <f t="shared" si="82"/>
        <v>604946.51502406562</v>
      </c>
      <c r="AD181" s="9">
        <f t="shared" si="82"/>
        <v>606730.38268702407</v>
      </c>
      <c r="AE181" s="9">
        <f t="shared" si="82"/>
        <v>608550.71093213488</v>
      </c>
      <c r="AF181" s="9">
        <f t="shared" si="82"/>
        <v>610299.76551354304</v>
      </c>
      <c r="AG181" s="9">
        <f t="shared" si="82"/>
        <v>611864.51338902349</v>
      </c>
      <c r="AH181" s="9">
        <f t="shared" si="82"/>
        <v>613467.01881919417</v>
      </c>
      <c r="AI181" s="9">
        <f t="shared" si="82"/>
        <v>614880.15657274367</v>
      </c>
      <c r="AJ181" s="9">
        <f t="shared" si="82"/>
        <v>616331.86563915829</v>
      </c>
      <c r="AK181" s="9">
        <f t="shared" si="82"/>
        <v>617188.81642164569</v>
      </c>
      <c r="AL181" s="9">
        <f t="shared" si="82"/>
        <v>617662.48723101616</v>
      </c>
      <c r="AM181" s="9">
        <f t="shared" si="82"/>
        <v>618448.36783800472</v>
      </c>
      <c r="AN181" s="9">
        <f t="shared" si="82"/>
        <v>619083.11021169671</v>
      </c>
      <c r="AO181" s="9">
        <f t="shared" si="82"/>
        <v>619798.30148243706</v>
      </c>
      <c r="AP181" s="9">
        <f t="shared" si="82"/>
        <v>620361.62189039378</v>
      </c>
      <c r="AQ181" s="9">
        <f t="shared" si="82"/>
        <v>621004.65237582684</v>
      </c>
      <c r="AR181" s="9">
        <f t="shared" si="82"/>
        <v>621611.50529490644</v>
      </c>
      <c r="AS181" s="9">
        <f t="shared" si="82"/>
        <v>622065.36872456211</v>
      </c>
      <c r="AT181" s="9">
        <f t="shared" si="82"/>
        <v>622597.81416028354</v>
      </c>
      <c r="AU181" s="9">
        <f t="shared" si="82"/>
        <v>622976.50608091138</v>
      </c>
      <c r="AV181" s="9">
        <f t="shared" si="82"/>
        <v>0</v>
      </c>
      <c r="AW181" s="9">
        <f t="shared" si="82"/>
        <v>0</v>
      </c>
      <c r="AX181" s="9">
        <f t="shared" si="82"/>
        <v>0</v>
      </c>
      <c r="AY181" s="9">
        <f t="shared" si="82"/>
        <v>0</v>
      </c>
      <c r="AZ181" s="9">
        <f t="shared" si="82"/>
        <v>0</v>
      </c>
      <c r="BA181" s="9">
        <f t="shared" si="82"/>
        <v>0</v>
      </c>
      <c r="BB181" s="9">
        <f t="shared" si="82"/>
        <v>0</v>
      </c>
      <c r="BC181" s="9">
        <f t="shared" si="82"/>
        <v>0</v>
      </c>
      <c r="BD181" s="9">
        <f t="shared" si="82"/>
        <v>0</v>
      </c>
      <c r="BE181" s="9">
        <f t="shared" si="82"/>
        <v>0</v>
      </c>
      <c r="BF181" s="9">
        <f t="shared" si="82"/>
        <v>0</v>
      </c>
      <c r="BG181" s="9">
        <f t="shared" si="82"/>
        <v>0</v>
      </c>
      <c r="BH181" s="9">
        <f t="shared" si="82"/>
        <v>0</v>
      </c>
    </row>
    <row r="182" spans="2:60" x14ac:dyDescent="0.3">
      <c r="B182" t="s">
        <v>143</v>
      </c>
      <c r="C182"/>
      <c r="D182" s="40"/>
      <c r="E182" s="40"/>
      <c r="F182" s="40"/>
      <c r="G182" s="40"/>
      <c r="H182" s="40"/>
      <c r="I182" s="61">
        <f>XIRR(L182:BH182,$L$3:$BH$3)</f>
        <v>9.9911290407180803E-2</v>
      </c>
      <c r="L182" s="9">
        <f>-L179+L180</f>
        <v>-570631.25</v>
      </c>
      <c r="M182" s="9">
        <f t="shared" ref="M182:BH182" si="83">-M179+M180</f>
        <v>2520.0532937785379</v>
      </c>
      <c r="N182" s="9">
        <f t="shared" si="83"/>
        <v>2653.4146632359102</v>
      </c>
      <c r="O182" s="9">
        <f t="shared" si="83"/>
        <v>2539.5548314495218</v>
      </c>
      <c r="P182" s="9">
        <f t="shared" si="83"/>
        <v>2619.2376477904081</v>
      </c>
      <c r="Q182" s="9">
        <f t="shared" si="83"/>
        <v>2560.8251385987096</v>
      </c>
      <c r="R182" s="9">
        <f t="shared" si="83"/>
        <v>2648.7501099321412</v>
      </c>
      <c r="S182" s="9">
        <f t="shared" si="83"/>
        <v>2583.8745950633383</v>
      </c>
      <c r="T182" s="9">
        <f t="shared" si="83"/>
        <v>2596.069763164448</v>
      </c>
      <c r="U182" s="9">
        <f t="shared" si="83"/>
        <v>2696.3677457999252</v>
      </c>
      <c r="V182" s="9">
        <f t="shared" si="83"/>
        <v>2621.8075273463837</v>
      </c>
      <c r="W182" s="9">
        <f t="shared" si="83"/>
        <v>2730.3607440881347</v>
      </c>
      <c r="X182" s="9">
        <f t="shared" si="83"/>
        <v>2649.3506339977789</v>
      </c>
      <c r="Y182" s="9">
        <f t="shared" si="83"/>
        <v>2512.7728728181846</v>
      </c>
      <c r="Z182" s="9">
        <f t="shared" si="83"/>
        <v>2900.7336909663081</v>
      </c>
      <c r="AA182" s="9">
        <f t="shared" si="83"/>
        <v>2679.2881319897033</v>
      </c>
      <c r="AB182" s="9">
        <f t="shared" si="83"/>
        <v>2867.8347904749799</v>
      </c>
      <c r="AC182" s="9">
        <f t="shared" si="83"/>
        <v>2847.6352782668023</v>
      </c>
      <c r="AD182" s="9">
        <f t="shared" si="83"/>
        <v>3040.0607998194191</v>
      </c>
      <c r="AE182" s="9">
        <f t="shared" si="83"/>
        <v>3017.8250289179796</v>
      </c>
      <c r="AF182" s="9">
        <f t="shared" si="83"/>
        <v>3103.6142456738908</v>
      </c>
      <c r="AG182" s="9">
        <f t="shared" si="83"/>
        <v>3301.8681584516817</v>
      </c>
      <c r="AH182" s="9">
        <f t="shared" si="83"/>
        <v>3276.5881230561881</v>
      </c>
      <c r="AI182" s="9">
        <f t="shared" si="83"/>
        <v>3478.7344030156546</v>
      </c>
      <c r="AJ182" s="9">
        <f t="shared" si="83"/>
        <v>3451.4316490427027</v>
      </c>
      <c r="AK182" s="9">
        <f t="shared" si="83"/>
        <v>4057.7660649274944</v>
      </c>
      <c r="AL182" s="9">
        <f t="shared" si="83"/>
        <v>4447.879483924642</v>
      </c>
      <c r="AM182" s="9">
        <f t="shared" si="83"/>
        <v>4139.4468038576106</v>
      </c>
      <c r="AN182" s="9">
        <f t="shared" si="83"/>
        <v>4296.8517594745854</v>
      </c>
      <c r="AO182" s="9">
        <f t="shared" si="83"/>
        <v>4221.4643872502029</v>
      </c>
      <c r="AP182" s="9">
        <f t="shared" si="83"/>
        <v>4379.0382856602109</v>
      </c>
      <c r="AQ182" s="9">
        <f t="shared" si="83"/>
        <v>4303.8202042233606</v>
      </c>
      <c r="AR182" s="9">
        <f t="shared" si="83"/>
        <v>4345.1253859678282</v>
      </c>
      <c r="AS182" s="9">
        <f t="shared" si="83"/>
        <v>4502.9540057881595</v>
      </c>
      <c r="AT182" s="9">
        <f t="shared" si="83"/>
        <v>4427.9911704460337</v>
      </c>
      <c r="AU182" s="9">
        <f t="shared" si="83"/>
        <v>4585.9904802147712</v>
      </c>
      <c r="AV182" s="9">
        <f t="shared" si="83"/>
        <v>627944.20822430844</v>
      </c>
      <c r="AW182" s="9">
        <f t="shared" si="83"/>
        <v>0</v>
      </c>
      <c r="AX182" s="9">
        <f t="shared" si="83"/>
        <v>0</v>
      </c>
      <c r="AY182" s="9">
        <f t="shared" si="83"/>
        <v>0</v>
      </c>
      <c r="AZ182" s="9">
        <f t="shared" si="83"/>
        <v>0</v>
      </c>
      <c r="BA182" s="9">
        <f t="shared" si="83"/>
        <v>0</v>
      </c>
      <c r="BB182" s="9">
        <f t="shared" si="83"/>
        <v>0</v>
      </c>
      <c r="BC182" s="9">
        <f t="shared" si="83"/>
        <v>0</v>
      </c>
      <c r="BD182" s="9">
        <f t="shared" si="83"/>
        <v>0</v>
      </c>
      <c r="BE182" s="9">
        <f t="shared" si="83"/>
        <v>0</v>
      </c>
      <c r="BF182" s="9">
        <f t="shared" si="83"/>
        <v>0</v>
      </c>
      <c r="BG182" s="9">
        <f t="shared" si="83"/>
        <v>0</v>
      </c>
      <c r="BH182" s="9">
        <f t="shared" si="83"/>
        <v>0</v>
      </c>
    </row>
    <row r="183" spans="2:60" x14ac:dyDescent="0.3">
      <c r="C183"/>
      <c r="D183" s="40"/>
      <c r="E183" s="40"/>
      <c r="F183" s="40"/>
      <c r="G183" s="40"/>
      <c r="H183" s="40"/>
      <c r="I183" s="40"/>
    </row>
    <row r="184" spans="2:60" x14ac:dyDescent="0.3">
      <c r="B184" s="21" t="s">
        <v>144</v>
      </c>
      <c r="C184"/>
      <c r="D184" s="40"/>
      <c r="E184" s="40"/>
      <c r="F184" s="40"/>
      <c r="G184" s="40"/>
      <c r="H184" s="40"/>
      <c r="I184" s="40"/>
      <c r="L184" s="9">
        <f>MAX(L165,0)-L173-L180</f>
        <v>0</v>
      </c>
      <c r="M184" s="9">
        <f t="shared" ref="M184:BH184" si="84">MAX(M165,0)-M173-M180</f>
        <v>0</v>
      </c>
      <c r="N184" s="9">
        <f t="shared" si="84"/>
        <v>0</v>
      </c>
      <c r="O184" s="9">
        <f t="shared" si="84"/>
        <v>0</v>
      </c>
      <c r="P184" s="9">
        <f t="shared" si="84"/>
        <v>0</v>
      </c>
      <c r="Q184" s="9">
        <f t="shared" si="84"/>
        <v>0</v>
      </c>
      <c r="R184" s="9">
        <f t="shared" si="84"/>
        <v>4.0927261579781771E-12</v>
      </c>
      <c r="S184" s="9">
        <f t="shared" si="84"/>
        <v>0</v>
      </c>
      <c r="T184" s="9">
        <f t="shared" si="84"/>
        <v>0</v>
      </c>
      <c r="U184" s="9">
        <f t="shared" si="84"/>
        <v>4.0927261579781771E-12</v>
      </c>
      <c r="V184" s="9">
        <f t="shared" si="84"/>
        <v>0</v>
      </c>
      <c r="W184" s="9">
        <f t="shared" si="84"/>
        <v>4.0927261579781771E-12</v>
      </c>
      <c r="X184" s="9">
        <f t="shared" si="84"/>
        <v>4.0927261579781771E-12</v>
      </c>
      <c r="Y184" s="9">
        <f t="shared" si="84"/>
        <v>5.4569682106375694E-12</v>
      </c>
      <c r="Z184" s="9">
        <f t="shared" si="84"/>
        <v>5.4569682106375694E-12</v>
      </c>
      <c r="AA184" s="9">
        <f t="shared" si="84"/>
        <v>0</v>
      </c>
      <c r="AB184" s="9">
        <f t="shared" si="84"/>
        <v>0</v>
      </c>
      <c r="AC184" s="9">
        <f t="shared" si="84"/>
        <v>0</v>
      </c>
      <c r="AD184" s="9">
        <f t="shared" si="84"/>
        <v>5.4569682106375694E-12</v>
      </c>
      <c r="AE184" s="9">
        <f t="shared" si="84"/>
        <v>5.4569682106375694E-12</v>
      </c>
      <c r="AF184" s="9">
        <f t="shared" si="84"/>
        <v>5.4569682106375694E-12</v>
      </c>
      <c r="AG184" s="9">
        <f t="shared" si="84"/>
        <v>0</v>
      </c>
      <c r="AH184" s="9">
        <f t="shared" si="84"/>
        <v>5.4569682106375694E-12</v>
      </c>
      <c r="AI184" s="9">
        <f t="shared" si="84"/>
        <v>0</v>
      </c>
      <c r="AJ184" s="9">
        <f t="shared" si="84"/>
        <v>0</v>
      </c>
      <c r="AK184" s="9">
        <f t="shared" si="84"/>
        <v>0</v>
      </c>
      <c r="AL184" s="9">
        <f t="shared" si="84"/>
        <v>0</v>
      </c>
      <c r="AM184" s="9">
        <f t="shared" si="84"/>
        <v>0</v>
      </c>
      <c r="AN184" s="9">
        <f t="shared" si="84"/>
        <v>8.1854523159563541E-12</v>
      </c>
      <c r="AO184" s="9">
        <f t="shared" si="84"/>
        <v>0</v>
      </c>
      <c r="AP184" s="9">
        <f t="shared" si="84"/>
        <v>0</v>
      </c>
      <c r="AQ184" s="9">
        <f t="shared" si="84"/>
        <v>0</v>
      </c>
      <c r="AR184" s="9">
        <f t="shared" si="84"/>
        <v>0</v>
      </c>
      <c r="AS184" s="9">
        <f t="shared" si="84"/>
        <v>8.1854523159563541E-12</v>
      </c>
      <c r="AT184" s="9">
        <f t="shared" si="84"/>
        <v>0</v>
      </c>
      <c r="AU184" s="9">
        <f t="shared" si="84"/>
        <v>8.1854523159563541E-12</v>
      </c>
      <c r="AV184" s="9">
        <f t="shared" si="84"/>
        <v>12093159.469285071</v>
      </c>
      <c r="AW184" s="9">
        <f t="shared" si="84"/>
        <v>0</v>
      </c>
      <c r="AX184" s="9">
        <f t="shared" si="84"/>
        <v>0</v>
      </c>
      <c r="AY184" s="9">
        <f t="shared" si="84"/>
        <v>0</v>
      </c>
      <c r="AZ184" s="9">
        <f t="shared" si="84"/>
        <v>0</v>
      </c>
      <c r="BA184" s="9">
        <f t="shared" si="84"/>
        <v>0</v>
      </c>
      <c r="BB184" s="9">
        <f t="shared" si="84"/>
        <v>0</v>
      </c>
      <c r="BC184" s="9">
        <f t="shared" si="84"/>
        <v>0</v>
      </c>
      <c r="BD184" s="9">
        <f t="shared" si="84"/>
        <v>0</v>
      </c>
      <c r="BE184" s="9">
        <f t="shared" si="84"/>
        <v>0</v>
      </c>
      <c r="BF184" s="9">
        <f t="shared" si="84"/>
        <v>0</v>
      </c>
      <c r="BG184" s="9">
        <f t="shared" si="84"/>
        <v>0</v>
      </c>
      <c r="BH184" s="9">
        <f t="shared" si="84"/>
        <v>0</v>
      </c>
    </row>
    <row r="185" spans="2:60" x14ac:dyDescent="0.3">
      <c r="B185" s="20" t="s">
        <v>131</v>
      </c>
      <c r="C185"/>
      <c r="D185" s="40"/>
      <c r="E185" s="40"/>
      <c r="F185" s="40"/>
      <c r="G185" s="40"/>
      <c r="H185" s="40"/>
      <c r="I185" s="40"/>
    </row>
    <row r="186" spans="2:60" x14ac:dyDescent="0.3">
      <c r="B186" t="s">
        <v>135</v>
      </c>
      <c r="C186"/>
      <c r="D186" s="40"/>
      <c r="E186" s="40"/>
      <c r="F186" s="40"/>
      <c r="G186" s="40"/>
      <c r="H186" s="40"/>
      <c r="I186" s="40"/>
      <c r="L186" s="9">
        <f>L184*$H$147</f>
        <v>0</v>
      </c>
      <c r="M186" s="9">
        <f t="shared" ref="M186:BH186" si="85">M184*$H$147</f>
        <v>0</v>
      </c>
      <c r="N186" s="9">
        <f t="shared" si="85"/>
        <v>0</v>
      </c>
      <c r="O186" s="9">
        <f t="shared" si="85"/>
        <v>0</v>
      </c>
      <c r="P186" s="9">
        <f t="shared" si="85"/>
        <v>0</v>
      </c>
      <c r="Q186" s="9">
        <f t="shared" si="85"/>
        <v>0</v>
      </c>
      <c r="R186" s="9">
        <f t="shared" si="85"/>
        <v>2.9160673875594514E-12</v>
      </c>
      <c r="S186" s="9">
        <f t="shared" si="85"/>
        <v>0</v>
      </c>
      <c r="T186" s="9">
        <f t="shared" si="85"/>
        <v>0</v>
      </c>
      <c r="U186" s="9">
        <f t="shared" si="85"/>
        <v>2.9160673875594514E-12</v>
      </c>
      <c r="V186" s="9">
        <f t="shared" si="85"/>
        <v>0</v>
      </c>
      <c r="W186" s="9">
        <f t="shared" si="85"/>
        <v>2.9160673875594514E-12</v>
      </c>
      <c r="X186" s="9">
        <f t="shared" si="85"/>
        <v>2.9160673875594514E-12</v>
      </c>
      <c r="Y186" s="9">
        <f t="shared" si="85"/>
        <v>3.8880898500792685E-12</v>
      </c>
      <c r="Z186" s="9">
        <f t="shared" si="85"/>
        <v>3.8880898500792685E-12</v>
      </c>
      <c r="AA186" s="9">
        <f t="shared" si="85"/>
        <v>0</v>
      </c>
      <c r="AB186" s="9">
        <f t="shared" si="85"/>
        <v>0</v>
      </c>
      <c r="AC186" s="9">
        <f t="shared" si="85"/>
        <v>0</v>
      </c>
      <c r="AD186" s="9">
        <f t="shared" si="85"/>
        <v>3.8880898500792685E-12</v>
      </c>
      <c r="AE186" s="9">
        <f t="shared" si="85"/>
        <v>3.8880898500792685E-12</v>
      </c>
      <c r="AF186" s="9">
        <f t="shared" si="85"/>
        <v>3.8880898500792685E-12</v>
      </c>
      <c r="AG186" s="9">
        <f t="shared" si="85"/>
        <v>0</v>
      </c>
      <c r="AH186" s="9">
        <f t="shared" si="85"/>
        <v>3.8880898500792685E-12</v>
      </c>
      <c r="AI186" s="9">
        <f t="shared" si="85"/>
        <v>0</v>
      </c>
      <c r="AJ186" s="9">
        <f t="shared" si="85"/>
        <v>0</v>
      </c>
      <c r="AK186" s="9">
        <f t="shared" si="85"/>
        <v>0</v>
      </c>
      <c r="AL186" s="9">
        <f t="shared" si="85"/>
        <v>0</v>
      </c>
      <c r="AM186" s="9">
        <f t="shared" si="85"/>
        <v>0</v>
      </c>
      <c r="AN186" s="9">
        <f t="shared" si="85"/>
        <v>5.8321347751189028E-12</v>
      </c>
      <c r="AO186" s="9">
        <f t="shared" si="85"/>
        <v>0</v>
      </c>
      <c r="AP186" s="9">
        <f t="shared" si="85"/>
        <v>0</v>
      </c>
      <c r="AQ186" s="9">
        <f t="shared" si="85"/>
        <v>0</v>
      </c>
      <c r="AR186" s="9">
        <f t="shared" si="85"/>
        <v>0</v>
      </c>
      <c r="AS186" s="9">
        <f t="shared" si="85"/>
        <v>5.8321347751189028E-12</v>
      </c>
      <c r="AT186" s="9">
        <f t="shared" si="85"/>
        <v>0</v>
      </c>
      <c r="AU186" s="9">
        <f t="shared" si="85"/>
        <v>5.8321347751189028E-12</v>
      </c>
      <c r="AV186" s="9">
        <f t="shared" si="85"/>
        <v>8616376.1218656134</v>
      </c>
      <c r="AW186" s="9">
        <f t="shared" si="85"/>
        <v>0</v>
      </c>
      <c r="AX186" s="9">
        <f t="shared" si="85"/>
        <v>0</v>
      </c>
      <c r="AY186" s="9">
        <f t="shared" si="85"/>
        <v>0</v>
      </c>
      <c r="AZ186" s="9">
        <f t="shared" si="85"/>
        <v>0</v>
      </c>
      <c r="BA186" s="9">
        <f t="shared" si="85"/>
        <v>0</v>
      </c>
      <c r="BB186" s="9">
        <f t="shared" si="85"/>
        <v>0</v>
      </c>
      <c r="BC186" s="9">
        <f t="shared" si="85"/>
        <v>0</v>
      </c>
      <c r="BD186" s="9">
        <f t="shared" si="85"/>
        <v>0</v>
      </c>
      <c r="BE186" s="9">
        <f t="shared" si="85"/>
        <v>0</v>
      </c>
      <c r="BF186" s="9">
        <f t="shared" si="85"/>
        <v>0</v>
      </c>
      <c r="BG186" s="9">
        <f t="shared" si="85"/>
        <v>0</v>
      </c>
      <c r="BH186" s="9">
        <f t="shared" si="85"/>
        <v>0</v>
      </c>
    </row>
    <row r="187" spans="2:60" x14ac:dyDescent="0.3">
      <c r="B187" t="s">
        <v>141</v>
      </c>
      <c r="L187" s="9">
        <f>L184*$I$147</f>
        <v>0</v>
      </c>
      <c r="M187" s="9">
        <f t="shared" ref="M187:BH187" si="86">M184*$I$147</f>
        <v>0</v>
      </c>
      <c r="N187" s="9">
        <f t="shared" si="86"/>
        <v>0</v>
      </c>
      <c r="O187" s="9">
        <f t="shared" si="86"/>
        <v>0</v>
      </c>
      <c r="P187" s="9">
        <f t="shared" si="86"/>
        <v>0</v>
      </c>
      <c r="Q187" s="9">
        <f t="shared" si="86"/>
        <v>0</v>
      </c>
      <c r="R187" s="9">
        <f t="shared" si="86"/>
        <v>1.1766587704187259E-12</v>
      </c>
      <c r="S187" s="9">
        <f t="shared" si="86"/>
        <v>0</v>
      </c>
      <c r="T187" s="9">
        <f t="shared" si="86"/>
        <v>0</v>
      </c>
      <c r="U187" s="9">
        <f t="shared" si="86"/>
        <v>1.1766587704187259E-12</v>
      </c>
      <c r="V187" s="9">
        <f t="shared" si="86"/>
        <v>0</v>
      </c>
      <c r="W187" s="9">
        <f t="shared" si="86"/>
        <v>1.1766587704187259E-12</v>
      </c>
      <c r="X187" s="9">
        <f t="shared" si="86"/>
        <v>1.1766587704187259E-12</v>
      </c>
      <c r="Y187" s="9">
        <f t="shared" si="86"/>
        <v>1.5688783605583011E-12</v>
      </c>
      <c r="Z187" s="9">
        <f t="shared" si="86"/>
        <v>1.5688783605583011E-12</v>
      </c>
      <c r="AA187" s="9">
        <f t="shared" si="86"/>
        <v>0</v>
      </c>
      <c r="AB187" s="9">
        <f t="shared" si="86"/>
        <v>0</v>
      </c>
      <c r="AC187" s="9">
        <f t="shared" si="86"/>
        <v>0</v>
      </c>
      <c r="AD187" s="9">
        <f t="shared" si="86"/>
        <v>1.5688783605583011E-12</v>
      </c>
      <c r="AE187" s="9">
        <f t="shared" si="86"/>
        <v>1.5688783605583011E-12</v>
      </c>
      <c r="AF187" s="9">
        <f t="shared" si="86"/>
        <v>1.5688783605583011E-12</v>
      </c>
      <c r="AG187" s="9">
        <f t="shared" si="86"/>
        <v>0</v>
      </c>
      <c r="AH187" s="9">
        <f t="shared" si="86"/>
        <v>1.5688783605583011E-12</v>
      </c>
      <c r="AI187" s="9">
        <f t="shared" si="86"/>
        <v>0</v>
      </c>
      <c r="AJ187" s="9">
        <f t="shared" si="86"/>
        <v>0</v>
      </c>
      <c r="AK187" s="9">
        <f t="shared" si="86"/>
        <v>0</v>
      </c>
      <c r="AL187" s="9">
        <f t="shared" si="86"/>
        <v>0</v>
      </c>
      <c r="AM187" s="9">
        <f t="shared" si="86"/>
        <v>0</v>
      </c>
      <c r="AN187" s="9">
        <f t="shared" si="86"/>
        <v>2.3533175408374517E-12</v>
      </c>
      <c r="AO187" s="9">
        <f t="shared" si="86"/>
        <v>0</v>
      </c>
      <c r="AP187" s="9">
        <f t="shared" si="86"/>
        <v>0</v>
      </c>
      <c r="AQ187" s="9">
        <f t="shared" si="86"/>
        <v>0</v>
      </c>
      <c r="AR187" s="9">
        <f t="shared" si="86"/>
        <v>0</v>
      </c>
      <c r="AS187" s="9">
        <f t="shared" si="86"/>
        <v>2.3533175408374517E-12</v>
      </c>
      <c r="AT187" s="9">
        <f t="shared" si="86"/>
        <v>0</v>
      </c>
      <c r="AU187" s="9">
        <f t="shared" si="86"/>
        <v>2.3533175408374517E-12</v>
      </c>
      <c r="AV187" s="9">
        <f t="shared" si="86"/>
        <v>3476783.3474194575</v>
      </c>
      <c r="AW187" s="9">
        <f t="shared" si="86"/>
        <v>0</v>
      </c>
      <c r="AX187" s="9">
        <f t="shared" si="86"/>
        <v>0</v>
      </c>
      <c r="AY187" s="9">
        <f t="shared" si="86"/>
        <v>0</v>
      </c>
      <c r="AZ187" s="9">
        <f t="shared" si="86"/>
        <v>0</v>
      </c>
      <c r="BA187" s="9">
        <f t="shared" si="86"/>
        <v>0</v>
      </c>
      <c r="BB187" s="9">
        <f t="shared" si="86"/>
        <v>0</v>
      </c>
      <c r="BC187" s="9">
        <f t="shared" si="86"/>
        <v>0</v>
      </c>
      <c r="BD187" s="9">
        <f t="shared" si="86"/>
        <v>0</v>
      </c>
      <c r="BE187" s="9">
        <f t="shared" si="86"/>
        <v>0</v>
      </c>
      <c r="BF187" s="9">
        <f t="shared" si="86"/>
        <v>0</v>
      </c>
      <c r="BG187" s="9">
        <f t="shared" si="86"/>
        <v>0</v>
      </c>
      <c r="BH187" s="9">
        <f t="shared" si="86"/>
        <v>0</v>
      </c>
    </row>
    <row r="188" spans="2:60" x14ac:dyDescent="0.3"/>
    <row r="189" spans="2:60" x14ac:dyDescent="0.3"/>
    <row r="190" spans="2:60" x14ac:dyDescent="0.3"/>
    <row r="191" spans="2:60" x14ac:dyDescent="0.3"/>
    <row r="192" spans="2:60" x14ac:dyDescent="0.3"/>
    <row r="193" x14ac:dyDescent="0.3"/>
    <row r="194" x14ac:dyDescent="0.3"/>
    <row r="195" x14ac:dyDescent="0.3"/>
    <row r="196" x14ac:dyDescent="0.3"/>
    <row r="197" x14ac:dyDescent="0.3"/>
    <row r="198" x14ac:dyDescent="0.3"/>
    <row r="199" x14ac:dyDescent="0.3"/>
    <row r="200" x14ac:dyDescent="0.3"/>
    <row r="201" x14ac:dyDescent="0.3"/>
    <row r="202" x14ac:dyDescent="0.3"/>
    <row r="203" x14ac:dyDescent="0.3"/>
    <row r="204" x14ac:dyDescent="0.3"/>
    <row r="205" x14ac:dyDescent="0.3"/>
    <row r="206" x14ac:dyDescent="0.3"/>
    <row r="207" x14ac:dyDescent="0.3"/>
    <row r="208" x14ac:dyDescent="0.3"/>
    <row r="209" x14ac:dyDescent="0.3"/>
    <row r="210" x14ac:dyDescent="0.3"/>
    <row r="211" x14ac:dyDescent="0.3"/>
  </sheetData>
  <mergeCells count="2">
    <mergeCell ref="H50:I50"/>
    <mergeCell ref="L144:M1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Underwriting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Burton</dc:creator>
  <cp:lastModifiedBy>David Polnick</cp:lastModifiedBy>
  <dcterms:created xsi:type="dcterms:W3CDTF">2019-03-30T16:28:26Z</dcterms:created>
  <dcterms:modified xsi:type="dcterms:W3CDTF">2026-10-19T19:23:37Z</dcterms:modified>
</cp:coreProperties>
</file>