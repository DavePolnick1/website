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veP\Downloads\CRE Analyst Portfolio\9. Acquisitions Model\"/>
    </mc:Choice>
  </mc:AlternateContent>
  <xr:revisionPtr revIDLastSave="0" documentId="8_{AF3C9A35-93F8-478F-ABA7-D51A3A790D2A}" xr6:coauthVersionLast="47" xr6:coauthVersionMax="47" xr10:uidLastSave="{00000000-0000-0000-0000-000000000000}"/>
  <bookViews>
    <workbookView xWindow="-108" yWindow="-108" windowWidth="23256" windowHeight="12456" tabRatio="812" xr2:uid="{72747775-3C56-4E0B-917C-3A0F0C5A3A73}"/>
  </bookViews>
  <sheets>
    <sheet name="Summary" sheetId="1" r:id="rId1"/>
    <sheet name="Acquisition" sheetId="4" r:id="rId2"/>
    <sheet name="10-Yr OpSt" sheetId="2" r:id="rId3"/>
    <sheet name="Perm. Debt" sheetId="3" r:id="rId4"/>
    <sheet name="Reversion" sheetId="5" r:id="rId5"/>
    <sheet name="Property Returns" sheetId="6" r:id="rId6"/>
    <sheet name="Partnership Returns" sheetId="7" r:id="rId7"/>
  </sheets>
  <definedNames>
    <definedName name="GLA">Summary!$N$4</definedName>
    <definedName name="_xlnm.Print_Area" localSheetId="0">Summary!$1:$50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J33" i="1"/>
  <c r="I33" i="1"/>
  <c r="H33" i="1"/>
  <c r="G33" i="1"/>
  <c r="F33" i="1"/>
  <c r="E33" i="1"/>
  <c r="D33" i="1"/>
  <c r="C33" i="1"/>
  <c r="B33" i="1"/>
  <c r="D32" i="1"/>
  <c r="E32" i="1" s="1"/>
  <c r="F32" i="1" s="1"/>
  <c r="G32" i="1" s="1"/>
  <c r="H32" i="1" s="1"/>
  <c r="I32" i="1" s="1"/>
  <c r="J32" i="1" s="1"/>
  <c r="K32" i="1" s="1"/>
  <c r="C32" i="1"/>
  <c r="N12" i="1"/>
  <c r="K12" i="1"/>
  <c r="G25" i="1"/>
  <c r="G22" i="1"/>
  <c r="G21" i="1"/>
  <c r="G23" i="1" s="1"/>
  <c r="F25" i="1"/>
  <c r="F22" i="1"/>
  <c r="F21" i="1"/>
  <c r="F19" i="1"/>
  <c r="F17" i="1"/>
  <c r="F16" i="1"/>
  <c r="H25" i="7"/>
  <c r="H23" i="7"/>
  <c r="H22" i="7"/>
  <c r="H18" i="7"/>
  <c r="H16" i="7"/>
  <c r="H15" i="7"/>
  <c r="H33" i="7"/>
  <c r="H34" i="7" s="1"/>
  <c r="H28" i="7"/>
  <c r="I11" i="7"/>
  <c r="J11" i="7" s="1"/>
  <c r="I10" i="7"/>
  <c r="J10" i="7" s="1"/>
  <c r="F6" i="7"/>
  <c r="H35" i="7" s="1"/>
  <c r="I43" i="7"/>
  <c r="J43" i="7" s="1"/>
  <c r="K43" i="7" s="1"/>
  <c r="L43" i="7" s="1"/>
  <c r="M43" i="7" s="1"/>
  <c r="N43" i="7" s="1"/>
  <c r="O43" i="7" s="1"/>
  <c r="P43" i="7" s="1"/>
  <c r="Q43" i="7" s="1"/>
  <c r="R43" i="7" s="1"/>
  <c r="I32" i="7"/>
  <c r="J32" i="7" s="1"/>
  <c r="K32" i="7" s="1"/>
  <c r="L32" i="7" s="1"/>
  <c r="M32" i="7" s="1"/>
  <c r="N32" i="7" s="1"/>
  <c r="O32" i="7" s="1"/>
  <c r="P32" i="7" s="1"/>
  <c r="Q32" i="7" s="1"/>
  <c r="R32" i="7" s="1"/>
  <c r="I27" i="7"/>
  <c r="J27" i="7" s="1"/>
  <c r="K27" i="7" s="1"/>
  <c r="L27" i="7" s="1"/>
  <c r="M27" i="7" s="1"/>
  <c r="N27" i="7" s="1"/>
  <c r="O27" i="7" s="1"/>
  <c r="P27" i="7" s="1"/>
  <c r="Q27" i="7" s="1"/>
  <c r="R27" i="7" s="1"/>
  <c r="I13" i="7"/>
  <c r="J13" i="7" s="1"/>
  <c r="K13" i="7" s="1"/>
  <c r="L13" i="7" s="1"/>
  <c r="M13" i="7" s="1"/>
  <c r="N13" i="7" s="1"/>
  <c r="O13" i="7" s="1"/>
  <c r="P13" i="7" s="1"/>
  <c r="Q13" i="7" s="1"/>
  <c r="R13" i="7" s="1"/>
  <c r="P44" i="6"/>
  <c r="O44" i="6"/>
  <c r="P38" i="6"/>
  <c r="O38" i="6"/>
  <c r="N38" i="6"/>
  <c r="M38" i="6"/>
  <c r="L38" i="6"/>
  <c r="K38" i="6"/>
  <c r="J38" i="6"/>
  <c r="I38" i="6"/>
  <c r="H38" i="6"/>
  <c r="G38" i="6"/>
  <c r="F38" i="6"/>
  <c r="F37" i="6"/>
  <c r="F39" i="6" s="1"/>
  <c r="O33" i="6"/>
  <c r="N33" i="6"/>
  <c r="M33" i="6"/>
  <c r="P32" i="6"/>
  <c r="O32" i="6"/>
  <c r="N32" i="6"/>
  <c r="M32" i="6"/>
  <c r="L32" i="6"/>
  <c r="K32" i="6"/>
  <c r="J32" i="6"/>
  <c r="I32" i="6"/>
  <c r="H32" i="6"/>
  <c r="G32" i="6"/>
  <c r="F33" i="6"/>
  <c r="P15" i="6"/>
  <c r="O15" i="6"/>
  <c r="N15" i="6"/>
  <c r="M15" i="6"/>
  <c r="L15" i="6"/>
  <c r="K15" i="6"/>
  <c r="J15" i="6"/>
  <c r="I15" i="6"/>
  <c r="H15" i="6"/>
  <c r="P13" i="6"/>
  <c r="O13" i="6"/>
  <c r="N13" i="6"/>
  <c r="M13" i="6"/>
  <c r="L13" i="6"/>
  <c r="K13" i="6"/>
  <c r="J13" i="6"/>
  <c r="I13" i="6"/>
  <c r="H13" i="6"/>
  <c r="G15" i="6"/>
  <c r="G13" i="6"/>
  <c r="F8" i="6"/>
  <c r="F7" i="6"/>
  <c r="F9" i="6" s="1"/>
  <c r="F32" i="6" s="1"/>
  <c r="F34" i="6" s="1"/>
  <c r="F47" i="6" s="1"/>
  <c r="F6" i="6"/>
  <c r="F5" i="6"/>
  <c r="G30" i="6"/>
  <c r="H30" i="6" s="1"/>
  <c r="I30" i="6" s="1"/>
  <c r="J30" i="6" s="1"/>
  <c r="K30" i="6" s="1"/>
  <c r="L30" i="6" s="1"/>
  <c r="M30" i="6" s="1"/>
  <c r="N30" i="6" s="1"/>
  <c r="O30" i="6" s="1"/>
  <c r="P30" i="6" s="1"/>
  <c r="P33" i="6" s="1"/>
  <c r="G3" i="6"/>
  <c r="I46" i="5"/>
  <c r="F21" i="6" s="1"/>
  <c r="I42" i="5"/>
  <c r="I6" i="5"/>
  <c r="F35" i="5"/>
  <c r="F34" i="5"/>
  <c r="F31" i="5"/>
  <c r="F30" i="5"/>
  <c r="F29" i="5"/>
  <c r="I29" i="5" s="1"/>
  <c r="H29" i="5" s="1"/>
  <c r="F28" i="5"/>
  <c r="F27" i="5"/>
  <c r="F26" i="5"/>
  <c r="I26" i="5" s="1"/>
  <c r="H26" i="5" s="1"/>
  <c r="F25" i="5"/>
  <c r="I25" i="5" s="1"/>
  <c r="H25" i="5" s="1"/>
  <c r="F24" i="5"/>
  <c r="I24" i="5" s="1"/>
  <c r="H24" i="5" s="1"/>
  <c r="F23" i="5"/>
  <c r="F32" i="5" s="1"/>
  <c r="F13" i="5"/>
  <c r="I13" i="5" s="1"/>
  <c r="H13" i="5" s="1"/>
  <c r="F12" i="5"/>
  <c r="I12" i="5" s="1"/>
  <c r="H12" i="5" s="1"/>
  <c r="F11" i="5"/>
  <c r="I11" i="5" s="1"/>
  <c r="I14" i="5" s="1"/>
  <c r="G17" i="1" s="1"/>
  <c r="F7" i="5"/>
  <c r="F8" i="5" s="1"/>
  <c r="I30" i="5"/>
  <c r="H30" i="5" s="1"/>
  <c r="F6" i="5"/>
  <c r="F36" i="5"/>
  <c r="I35" i="5"/>
  <c r="H35" i="5"/>
  <c r="I34" i="5"/>
  <c r="H34" i="5" s="1"/>
  <c r="I31" i="5"/>
  <c r="H31" i="5" s="1"/>
  <c r="I28" i="5"/>
  <c r="H28" i="5"/>
  <c r="O50" i="2"/>
  <c r="N50" i="2"/>
  <c r="M50" i="2"/>
  <c r="L50" i="2"/>
  <c r="K50" i="2"/>
  <c r="J50" i="2"/>
  <c r="I50" i="2"/>
  <c r="H50" i="2"/>
  <c r="G50" i="2"/>
  <c r="F50" i="2"/>
  <c r="P15" i="2"/>
  <c r="O15" i="2"/>
  <c r="N15" i="2"/>
  <c r="M15" i="2"/>
  <c r="L15" i="2"/>
  <c r="K15" i="2"/>
  <c r="J15" i="2"/>
  <c r="I15" i="2"/>
  <c r="H15" i="2"/>
  <c r="P14" i="2"/>
  <c r="O14" i="2"/>
  <c r="N14" i="2"/>
  <c r="M14" i="2"/>
  <c r="L14" i="2"/>
  <c r="K14" i="2"/>
  <c r="J14" i="2"/>
  <c r="I14" i="2"/>
  <c r="H14" i="2"/>
  <c r="G15" i="2"/>
  <c r="G14" i="2"/>
  <c r="Q7" i="3"/>
  <c r="P7" i="3"/>
  <c r="O7" i="3"/>
  <c r="N7" i="3"/>
  <c r="M7" i="3"/>
  <c r="L7" i="3"/>
  <c r="K7" i="3"/>
  <c r="J7" i="3"/>
  <c r="I7" i="3"/>
  <c r="H7" i="3"/>
  <c r="Q6" i="3"/>
  <c r="P6" i="3"/>
  <c r="O6" i="3"/>
  <c r="N6" i="3"/>
  <c r="M6" i="3"/>
  <c r="L6" i="3"/>
  <c r="K6" i="3"/>
  <c r="J6" i="3"/>
  <c r="I6" i="3"/>
  <c r="H6" i="3"/>
  <c r="J4" i="3"/>
  <c r="K4" i="3" s="1"/>
  <c r="L4" i="3" s="1"/>
  <c r="M4" i="3" s="1"/>
  <c r="N4" i="3" s="1"/>
  <c r="O4" i="3" s="1"/>
  <c r="P4" i="3" s="1"/>
  <c r="Q4" i="3" s="1"/>
  <c r="I4" i="3"/>
  <c r="E12" i="3"/>
  <c r="E11" i="3"/>
  <c r="E6" i="3"/>
  <c r="E5" i="3"/>
  <c r="E4" i="3"/>
  <c r="O46" i="2"/>
  <c r="N46" i="2"/>
  <c r="M46" i="2"/>
  <c r="L46" i="2"/>
  <c r="K46" i="2"/>
  <c r="J46" i="2"/>
  <c r="I46" i="2"/>
  <c r="H46" i="2"/>
  <c r="G46" i="2"/>
  <c r="P18" i="2"/>
  <c r="O18" i="2"/>
  <c r="N18" i="2"/>
  <c r="M18" i="2"/>
  <c r="L18" i="2"/>
  <c r="G16" i="2"/>
  <c r="G19" i="2" s="1"/>
  <c r="P40" i="2"/>
  <c r="O40" i="2"/>
  <c r="N40" i="2"/>
  <c r="M40" i="2"/>
  <c r="M13" i="2" s="1"/>
  <c r="L40" i="2"/>
  <c r="L13" i="2" s="1"/>
  <c r="K40" i="2"/>
  <c r="K13" i="2" s="1"/>
  <c r="J40" i="2"/>
  <c r="J13" i="2" s="1"/>
  <c r="I40" i="2"/>
  <c r="I13" i="2" s="1"/>
  <c r="H40" i="2"/>
  <c r="H13" i="2" s="1"/>
  <c r="G40" i="2"/>
  <c r="P38" i="2"/>
  <c r="O38" i="2"/>
  <c r="N38" i="2"/>
  <c r="M38" i="2"/>
  <c r="L38" i="2"/>
  <c r="K38" i="2"/>
  <c r="J38" i="2"/>
  <c r="I38" i="2"/>
  <c r="H38" i="2"/>
  <c r="G38" i="2"/>
  <c r="P34" i="2"/>
  <c r="O34" i="2"/>
  <c r="N34" i="2"/>
  <c r="M34" i="2"/>
  <c r="L34" i="2"/>
  <c r="K34" i="2"/>
  <c r="J34" i="2"/>
  <c r="I34" i="2"/>
  <c r="H34" i="2"/>
  <c r="G34" i="2"/>
  <c r="G37" i="2"/>
  <c r="H37" i="2" s="1"/>
  <c r="I37" i="2" s="1"/>
  <c r="J37" i="2" s="1"/>
  <c r="K37" i="2" s="1"/>
  <c r="L37" i="2" s="1"/>
  <c r="M37" i="2" s="1"/>
  <c r="N37" i="2" s="1"/>
  <c r="O37" i="2" s="1"/>
  <c r="P37" i="2" s="1"/>
  <c r="G36" i="2"/>
  <c r="H36" i="2" s="1"/>
  <c r="I36" i="2" s="1"/>
  <c r="J36" i="2" s="1"/>
  <c r="K36" i="2" s="1"/>
  <c r="L36" i="2" s="1"/>
  <c r="M36" i="2" s="1"/>
  <c r="N36" i="2" s="1"/>
  <c r="O36" i="2" s="1"/>
  <c r="P36" i="2" s="1"/>
  <c r="G33" i="2"/>
  <c r="H33" i="2" s="1"/>
  <c r="I33" i="2" s="1"/>
  <c r="J33" i="2" s="1"/>
  <c r="K33" i="2" s="1"/>
  <c r="L33" i="2" s="1"/>
  <c r="M33" i="2" s="1"/>
  <c r="N33" i="2" s="1"/>
  <c r="O33" i="2" s="1"/>
  <c r="P33" i="2" s="1"/>
  <c r="G32" i="2"/>
  <c r="H32" i="2" s="1"/>
  <c r="I32" i="2" s="1"/>
  <c r="J32" i="2" s="1"/>
  <c r="K32" i="2" s="1"/>
  <c r="L32" i="2" s="1"/>
  <c r="M32" i="2" s="1"/>
  <c r="N32" i="2" s="1"/>
  <c r="O32" i="2" s="1"/>
  <c r="P32" i="2" s="1"/>
  <c r="G31" i="2"/>
  <c r="H31" i="2" s="1"/>
  <c r="I31" i="2" s="1"/>
  <c r="J31" i="2" s="1"/>
  <c r="K31" i="2" s="1"/>
  <c r="L31" i="2" s="1"/>
  <c r="M31" i="2" s="1"/>
  <c r="N31" i="2" s="1"/>
  <c r="O31" i="2" s="1"/>
  <c r="P31" i="2" s="1"/>
  <c r="H30" i="2"/>
  <c r="I30" i="2" s="1"/>
  <c r="J30" i="2" s="1"/>
  <c r="K30" i="2" s="1"/>
  <c r="L30" i="2" s="1"/>
  <c r="M30" i="2" s="1"/>
  <c r="N30" i="2" s="1"/>
  <c r="O30" i="2" s="1"/>
  <c r="P30" i="2" s="1"/>
  <c r="G30" i="2"/>
  <c r="I29" i="2"/>
  <c r="J29" i="2" s="1"/>
  <c r="K29" i="2" s="1"/>
  <c r="L29" i="2" s="1"/>
  <c r="M29" i="2" s="1"/>
  <c r="N29" i="2" s="1"/>
  <c r="O29" i="2" s="1"/>
  <c r="P29" i="2" s="1"/>
  <c r="H29" i="2"/>
  <c r="G29" i="2"/>
  <c r="G28" i="2"/>
  <c r="H28" i="2" s="1"/>
  <c r="I28" i="2" s="1"/>
  <c r="J28" i="2" s="1"/>
  <c r="K28" i="2" s="1"/>
  <c r="L28" i="2" s="1"/>
  <c r="M28" i="2" s="1"/>
  <c r="N28" i="2" s="1"/>
  <c r="O28" i="2" s="1"/>
  <c r="P28" i="2" s="1"/>
  <c r="G27" i="2"/>
  <c r="H27" i="2" s="1"/>
  <c r="I27" i="2" s="1"/>
  <c r="J27" i="2" s="1"/>
  <c r="K27" i="2" s="1"/>
  <c r="L27" i="2" s="1"/>
  <c r="M27" i="2" s="1"/>
  <c r="N27" i="2" s="1"/>
  <c r="O27" i="2" s="1"/>
  <c r="P27" i="2" s="1"/>
  <c r="G26" i="2"/>
  <c r="H26" i="2" s="1"/>
  <c r="I26" i="2" s="1"/>
  <c r="J26" i="2" s="1"/>
  <c r="K26" i="2" s="1"/>
  <c r="L26" i="2" s="1"/>
  <c r="M26" i="2" s="1"/>
  <c r="N26" i="2" s="1"/>
  <c r="O26" i="2" s="1"/>
  <c r="P26" i="2" s="1"/>
  <c r="H25" i="2"/>
  <c r="I25" i="2" s="1"/>
  <c r="J25" i="2" s="1"/>
  <c r="K25" i="2" s="1"/>
  <c r="L25" i="2" s="1"/>
  <c r="M25" i="2" s="1"/>
  <c r="N25" i="2" s="1"/>
  <c r="O25" i="2" s="1"/>
  <c r="P25" i="2" s="1"/>
  <c r="G25" i="2"/>
  <c r="P13" i="2"/>
  <c r="O13" i="2"/>
  <c r="N13" i="2"/>
  <c r="G13" i="2"/>
  <c r="F9" i="2"/>
  <c r="F46" i="2"/>
  <c r="F40" i="2"/>
  <c r="F12" i="2" s="1"/>
  <c r="F38" i="2"/>
  <c r="F34" i="2"/>
  <c r="F16" i="2"/>
  <c r="F19" i="2" s="1"/>
  <c r="F37" i="2"/>
  <c r="F36" i="2"/>
  <c r="F33" i="2"/>
  <c r="F32" i="2"/>
  <c r="F31" i="2"/>
  <c r="F30" i="2"/>
  <c r="F29" i="2"/>
  <c r="F28" i="2"/>
  <c r="F27" i="2"/>
  <c r="F26" i="2"/>
  <c r="F25" i="2"/>
  <c r="F13" i="2"/>
  <c r="F8" i="2"/>
  <c r="P10" i="2"/>
  <c r="O10" i="2"/>
  <c r="N10" i="2"/>
  <c r="M10" i="2"/>
  <c r="L10" i="2"/>
  <c r="K10" i="2"/>
  <c r="J10" i="2"/>
  <c r="I10" i="2"/>
  <c r="H10" i="2"/>
  <c r="G10" i="2"/>
  <c r="F10" i="2"/>
  <c r="F5" i="2"/>
  <c r="G5" i="2" s="1"/>
  <c r="H4" i="2"/>
  <c r="I4" i="2" s="1"/>
  <c r="J4" i="2" s="1"/>
  <c r="K4" i="2" s="1"/>
  <c r="L4" i="2" s="1"/>
  <c r="M4" i="2" s="1"/>
  <c r="N4" i="2" s="1"/>
  <c r="O4" i="2" s="1"/>
  <c r="P4" i="2" s="1"/>
  <c r="G4" i="2"/>
  <c r="I47" i="4"/>
  <c r="I49" i="4"/>
  <c r="I45" i="4"/>
  <c r="I43" i="4"/>
  <c r="I35" i="4"/>
  <c r="I34" i="4"/>
  <c r="H34" i="4" s="1"/>
  <c r="I31" i="4"/>
  <c r="H31" i="4" s="1"/>
  <c r="I30" i="4"/>
  <c r="H30" i="4" s="1"/>
  <c r="I29" i="4"/>
  <c r="H29" i="4" s="1"/>
  <c r="I28" i="4"/>
  <c r="H28" i="4" s="1"/>
  <c r="I27" i="4"/>
  <c r="H27" i="4" s="1"/>
  <c r="I26" i="4"/>
  <c r="H26" i="4" s="1"/>
  <c r="I25" i="4"/>
  <c r="H25" i="4" s="1"/>
  <c r="I24" i="4"/>
  <c r="H24" i="4" s="1"/>
  <c r="I23" i="4"/>
  <c r="H23" i="4" s="1"/>
  <c r="I18" i="4"/>
  <c r="H18" i="4" s="1"/>
  <c r="I13" i="4"/>
  <c r="H13" i="4" s="1"/>
  <c r="I12" i="4"/>
  <c r="H12" i="4" s="1"/>
  <c r="I11" i="4"/>
  <c r="I14" i="4" s="1"/>
  <c r="H14" i="4" s="1"/>
  <c r="I7" i="4"/>
  <c r="I6" i="4"/>
  <c r="F27" i="4"/>
  <c r="F24" i="4"/>
  <c r="F8" i="4"/>
  <c r="H43" i="4"/>
  <c r="H35" i="4"/>
  <c r="H7" i="4"/>
  <c r="H6" i="4"/>
  <c r="I36" i="4"/>
  <c r="I8" i="4"/>
  <c r="H8" i="4" s="1"/>
  <c r="F36" i="4"/>
  <c r="F14" i="4"/>
  <c r="F17" i="4" s="1"/>
  <c r="F19" i="4" s="1"/>
  <c r="N8" i="1"/>
  <c r="N7" i="1"/>
  <c r="F18" i="1" l="1"/>
  <c r="F20" i="1" s="1"/>
  <c r="F23" i="1"/>
  <c r="G27" i="1"/>
  <c r="H5" i="2"/>
  <c r="I5" i="3"/>
  <c r="H5" i="3"/>
  <c r="H6" i="5"/>
  <c r="F7" i="7"/>
  <c r="H40" i="7"/>
  <c r="H36" i="7"/>
  <c r="M34" i="6"/>
  <c r="N34" i="6"/>
  <c r="O34" i="6"/>
  <c r="G7" i="6"/>
  <c r="P34" i="6"/>
  <c r="H44" i="6"/>
  <c r="H34" i="6"/>
  <c r="K34" i="6"/>
  <c r="G33" i="6"/>
  <c r="G34" i="6" s="1"/>
  <c r="I44" i="6"/>
  <c r="G21" i="6"/>
  <c r="H33" i="6"/>
  <c r="J44" i="6"/>
  <c r="I33" i="6"/>
  <c r="K44" i="6"/>
  <c r="I34" i="6"/>
  <c r="J33" i="6"/>
  <c r="J34" i="6" s="1"/>
  <c r="L44" i="6"/>
  <c r="K33" i="6"/>
  <c r="G44" i="6"/>
  <c r="M44" i="6"/>
  <c r="L33" i="6"/>
  <c r="L34" i="6" s="1"/>
  <c r="N44" i="6"/>
  <c r="G6" i="6"/>
  <c r="H3" i="6"/>
  <c r="G8" i="6"/>
  <c r="G5" i="6"/>
  <c r="I23" i="5"/>
  <c r="H23" i="5" s="1"/>
  <c r="I7" i="5"/>
  <c r="H7" i="5" s="1"/>
  <c r="F14" i="5"/>
  <c r="I36" i="5"/>
  <c r="F17" i="5"/>
  <c r="H14" i="5"/>
  <c r="H36" i="5"/>
  <c r="F38" i="5"/>
  <c r="I27" i="5"/>
  <c r="H27" i="5" s="1"/>
  <c r="H11" i="5"/>
  <c r="I32" i="4"/>
  <c r="H32" i="4" s="1"/>
  <c r="I38" i="4"/>
  <c r="H38" i="4" s="1"/>
  <c r="H36" i="4"/>
  <c r="H11" i="4"/>
  <c r="I17" i="4"/>
  <c r="I19" i="4"/>
  <c r="H17" i="4"/>
  <c r="F32" i="4"/>
  <c r="F38" i="4" s="1"/>
  <c r="F40" i="4" s="1"/>
  <c r="F42" i="4" s="1"/>
  <c r="F24" i="1" l="1"/>
  <c r="F26" i="1" s="1"/>
  <c r="F28" i="1" s="1"/>
  <c r="I8" i="5"/>
  <c r="J5" i="3"/>
  <c r="I5" i="2"/>
  <c r="H37" i="7"/>
  <c r="I33" i="7" s="1"/>
  <c r="H41" i="7"/>
  <c r="H44" i="7" s="1"/>
  <c r="H38" i="7"/>
  <c r="I34" i="7"/>
  <c r="I3" i="6"/>
  <c r="H6" i="6"/>
  <c r="H7" i="6"/>
  <c r="H8" i="6"/>
  <c r="H21" i="6"/>
  <c r="H5" i="6"/>
  <c r="I32" i="5"/>
  <c r="I17" i="5"/>
  <c r="I18" i="5" s="1"/>
  <c r="H16" i="2"/>
  <c r="H19" i="2" s="1"/>
  <c r="I40" i="4"/>
  <c r="H19" i="4"/>
  <c r="H18" i="5" l="1"/>
  <c r="G19" i="1"/>
  <c r="H8" i="5"/>
  <c r="G16" i="1"/>
  <c r="G18" i="1" s="1"/>
  <c r="G20" i="1" s="1"/>
  <c r="G24" i="1" s="1"/>
  <c r="G26" i="1" s="1"/>
  <c r="G28" i="1" s="1"/>
  <c r="J5" i="2"/>
  <c r="K5" i="3"/>
  <c r="H42" i="7"/>
  <c r="H46" i="7"/>
  <c r="H45" i="7"/>
  <c r="J3" i="6"/>
  <c r="I8" i="6"/>
  <c r="I5" i="6"/>
  <c r="I6" i="6"/>
  <c r="I21" i="6"/>
  <c r="I7" i="6"/>
  <c r="H17" i="5"/>
  <c r="I19" i="5"/>
  <c r="H32" i="5"/>
  <c r="I38" i="5"/>
  <c r="H38" i="5" s="1"/>
  <c r="I16" i="2"/>
  <c r="I19" i="2" s="1"/>
  <c r="I42" i="4"/>
  <c r="H42" i="4" s="1"/>
  <c r="H40" i="4"/>
  <c r="K5" i="2" l="1"/>
  <c r="L5" i="3"/>
  <c r="H47" i="7"/>
  <c r="K3" i="6"/>
  <c r="J8" i="6"/>
  <c r="J6" i="6"/>
  <c r="J5" i="6"/>
  <c r="J7" i="6"/>
  <c r="J21" i="6"/>
  <c r="I40" i="5"/>
  <c r="I43" i="5" s="1"/>
  <c r="H19" i="5"/>
  <c r="F18" i="2"/>
  <c r="F20" i="2" s="1"/>
  <c r="F21" i="2" s="1"/>
  <c r="J16" i="2"/>
  <c r="J19" i="2" s="1"/>
  <c r="F42" i="2" l="1"/>
  <c r="G12" i="6"/>
  <c r="G14" i="6" s="1"/>
  <c r="G16" i="6" s="1"/>
  <c r="L5" i="2"/>
  <c r="M5" i="3"/>
  <c r="L3" i="6"/>
  <c r="K5" i="6"/>
  <c r="K6" i="6"/>
  <c r="K21" i="6"/>
  <c r="K7" i="6"/>
  <c r="K8" i="6"/>
  <c r="I45" i="5"/>
  <c r="H43" i="5"/>
  <c r="H40" i="5"/>
  <c r="H9" i="3"/>
  <c r="F48" i="2"/>
  <c r="F52" i="2" s="1"/>
  <c r="G18" i="2"/>
  <c r="G20" i="2" s="1"/>
  <c r="G21" i="2" s="1"/>
  <c r="K16" i="2"/>
  <c r="K19" i="2" s="1"/>
  <c r="G42" i="2" l="1"/>
  <c r="H12" i="6"/>
  <c r="H14" i="6" s="1"/>
  <c r="H16" i="6" s="1"/>
  <c r="M5" i="2"/>
  <c r="N5" i="3"/>
  <c r="G37" i="6"/>
  <c r="G39" i="6" s="1"/>
  <c r="G40" i="6" s="1"/>
  <c r="G17" i="6"/>
  <c r="I47" i="5"/>
  <c r="L22" i="6" s="1"/>
  <c r="F20" i="6"/>
  <c r="G20" i="6"/>
  <c r="H20" i="6"/>
  <c r="I20" i="6"/>
  <c r="J20" i="6"/>
  <c r="K20" i="6"/>
  <c r="M3" i="6"/>
  <c r="L6" i="6"/>
  <c r="L21" i="6"/>
  <c r="L7" i="6"/>
  <c r="L8" i="6"/>
  <c r="L20" i="6"/>
  <c r="L5" i="6"/>
  <c r="G48" i="2"/>
  <c r="G52" i="2" s="1"/>
  <c r="I9" i="3"/>
  <c r="H10" i="3"/>
  <c r="H11" i="3"/>
  <c r="H18" i="2"/>
  <c r="H20" i="2" s="1"/>
  <c r="H21" i="2" s="1"/>
  <c r="L16" i="2"/>
  <c r="L19" i="2" s="1"/>
  <c r="L20" i="2" s="1"/>
  <c r="L21" i="2" s="1"/>
  <c r="I48" i="5" l="1"/>
  <c r="L23" i="6"/>
  <c r="L43" i="6" s="1"/>
  <c r="L45" i="6" s="1"/>
  <c r="N5" i="2"/>
  <c r="O5" i="3"/>
  <c r="F22" i="6"/>
  <c r="F23" i="6" s="1"/>
  <c r="F25" i="6" s="1"/>
  <c r="G22" i="6"/>
  <c r="G23" i="6" s="1"/>
  <c r="H22" i="6"/>
  <c r="H23" i="6" s="1"/>
  <c r="I22" i="6"/>
  <c r="I23" i="6" s="1"/>
  <c r="I43" i="6" s="1"/>
  <c r="I45" i="6" s="1"/>
  <c r="J22" i="6"/>
  <c r="J23" i="6" s="1"/>
  <c r="J43" i="6" s="1"/>
  <c r="J45" i="6" s="1"/>
  <c r="K22" i="6"/>
  <c r="K23" i="6" s="1"/>
  <c r="K43" i="6" s="1"/>
  <c r="K45" i="6" s="1"/>
  <c r="H17" i="6"/>
  <c r="H37" i="6"/>
  <c r="H39" i="6" s="1"/>
  <c r="H40" i="6" s="1"/>
  <c r="L42" i="2"/>
  <c r="N9" i="3" s="1"/>
  <c r="M12" i="6"/>
  <c r="M14" i="6" s="1"/>
  <c r="M16" i="6" s="1"/>
  <c r="H42" i="2"/>
  <c r="J9" i="3" s="1"/>
  <c r="I12" i="6"/>
  <c r="I14" i="6" s="1"/>
  <c r="I16" i="6" s="1"/>
  <c r="N3" i="6"/>
  <c r="M22" i="6"/>
  <c r="M8" i="6"/>
  <c r="M20" i="6"/>
  <c r="M21" i="6"/>
  <c r="M7" i="6"/>
  <c r="M5" i="6"/>
  <c r="M6" i="6"/>
  <c r="I10" i="3"/>
  <c r="I11" i="3"/>
  <c r="I18" i="2"/>
  <c r="I20" i="2" s="1"/>
  <c r="I21" i="2" s="1"/>
  <c r="M16" i="2"/>
  <c r="M19" i="2" s="1"/>
  <c r="H48" i="2" l="1"/>
  <c r="H52" i="2" s="1"/>
  <c r="H43" i="6"/>
  <c r="H45" i="6" s="1"/>
  <c r="H47" i="6" s="1"/>
  <c r="J28" i="7" s="1"/>
  <c r="H25" i="6"/>
  <c r="G43" i="6"/>
  <c r="G45" i="6" s="1"/>
  <c r="G47" i="6" s="1"/>
  <c r="I28" i="7" s="1"/>
  <c r="G25" i="6"/>
  <c r="I42" i="2"/>
  <c r="J12" i="6"/>
  <c r="J14" i="6" s="1"/>
  <c r="J16" i="6" s="1"/>
  <c r="O5" i="2"/>
  <c r="P5" i="3"/>
  <c r="L48" i="2"/>
  <c r="L52" i="2" s="1"/>
  <c r="I37" i="6"/>
  <c r="I39" i="6" s="1"/>
  <c r="I40" i="6" s="1"/>
  <c r="I17" i="6"/>
  <c r="I25" i="6"/>
  <c r="M17" i="6"/>
  <c r="M37" i="6"/>
  <c r="M39" i="6" s="1"/>
  <c r="M40" i="6" s="1"/>
  <c r="M23" i="6"/>
  <c r="O3" i="6"/>
  <c r="N21" i="6"/>
  <c r="N20" i="6"/>
  <c r="N22" i="6"/>
  <c r="N8" i="6"/>
  <c r="N6" i="6"/>
  <c r="N5" i="6"/>
  <c r="N7" i="6"/>
  <c r="M20" i="2"/>
  <c r="M21" i="2" s="1"/>
  <c r="I48" i="2"/>
  <c r="I52" i="2" s="1"/>
  <c r="K9" i="3"/>
  <c r="J10" i="3"/>
  <c r="J11" i="3"/>
  <c r="N11" i="3"/>
  <c r="N10" i="3"/>
  <c r="J18" i="2"/>
  <c r="J20" i="2" s="1"/>
  <c r="J21" i="2" s="1"/>
  <c r="N16" i="2"/>
  <c r="N19" i="2" s="1"/>
  <c r="M42" i="2" l="1"/>
  <c r="N12" i="6"/>
  <c r="N14" i="6" s="1"/>
  <c r="N16" i="6" s="1"/>
  <c r="J17" i="6"/>
  <c r="J37" i="6"/>
  <c r="J39" i="6" s="1"/>
  <c r="J25" i="6"/>
  <c r="P5" i="2"/>
  <c r="N3" i="5" s="1"/>
  <c r="Q5" i="3"/>
  <c r="J42" i="2"/>
  <c r="J48" i="2" s="1"/>
  <c r="J52" i="2" s="1"/>
  <c r="K12" i="6"/>
  <c r="K14" i="6" s="1"/>
  <c r="K16" i="6" s="1"/>
  <c r="J35" i="7"/>
  <c r="I47" i="6"/>
  <c r="K28" i="7" s="1"/>
  <c r="I35" i="7"/>
  <c r="I40" i="7" s="1"/>
  <c r="I22" i="7" s="1"/>
  <c r="I36" i="7"/>
  <c r="M25" i="6"/>
  <c r="M43" i="6"/>
  <c r="M45" i="6" s="1"/>
  <c r="M47" i="6" s="1"/>
  <c r="O28" i="7" s="1"/>
  <c r="O35" i="7" s="1"/>
  <c r="N23" i="6"/>
  <c r="P3" i="6"/>
  <c r="O20" i="6"/>
  <c r="O21" i="6"/>
  <c r="O6" i="6"/>
  <c r="O22" i="6"/>
  <c r="O5" i="6"/>
  <c r="O8" i="6"/>
  <c r="O7" i="6"/>
  <c r="M48" i="2"/>
  <c r="M52" i="2" s="1"/>
  <c r="O9" i="3"/>
  <c r="N20" i="2"/>
  <c r="N21" i="2" s="1"/>
  <c r="K10" i="3"/>
  <c r="K11" i="3"/>
  <c r="O16" i="2"/>
  <c r="O19" i="2" s="1"/>
  <c r="L9" i="3" l="1"/>
  <c r="K35" i="7"/>
  <c r="J15" i="7"/>
  <c r="N42" i="2"/>
  <c r="P9" i="3" s="1"/>
  <c r="O12" i="6"/>
  <c r="O14" i="6" s="1"/>
  <c r="O16" i="6" s="1"/>
  <c r="J40" i="7"/>
  <c r="J22" i="7" s="1"/>
  <c r="J40" i="6"/>
  <c r="J47" i="6"/>
  <c r="L28" i="7" s="1"/>
  <c r="O40" i="7"/>
  <c r="O22" i="7" s="1"/>
  <c r="O15" i="7"/>
  <c r="K17" i="6"/>
  <c r="K37" i="6"/>
  <c r="K39" i="6" s="1"/>
  <c r="K25" i="6"/>
  <c r="N17" i="6"/>
  <c r="N37" i="6"/>
  <c r="N39" i="6" s="1"/>
  <c r="N40" i="6" s="1"/>
  <c r="I41" i="7"/>
  <c r="I15" i="7"/>
  <c r="I38" i="7"/>
  <c r="I37" i="7"/>
  <c r="J33" i="7" s="1"/>
  <c r="N25" i="6"/>
  <c r="N43" i="6"/>
  <c r="N45" i="6" s="1"/>
  <c r="P6" i="6"/>
  <c r="P7" i="6"/>
  <c r="P22" i="6"/>
  <c r="P8" i="6"/>
  <c r="P5" i="6"/>
  <c r="P21" i="6"/>
  <c r="P20" i="6"/>
  <c r="O23" i="6"/>
  <c r="O20" i="2"/>
  <c r="O21" i="2" s="1"/>
  <c r="L10" i="3"/>
  <c r="L11" i="3"/>
  <c r="P16" i="2"/>
  <c r="P19" i="2" s="1"/>
  <c r="K18" i="2"/>
  <c r="K20" i="2" s="1"/>
  <c r="K21" i="2" s="1"/>
  <c r="O10" i="3"/>
  <c r="O11" i="3"/>
  <c r="N48" i="2" l="1"/>
  <c r="N52" i="2" s="1"/>
  <c r="P23" i="6"/>
  <c r="P43" i="6" s="1"/>
  <c r="P45" i="6" s="1"/>
  <c r="N47" i="6"/>
  <c r="P28" i="7" s="1"/>
  <c r="P35" i="7" s="1"/>
  <c r="P15" i="7" s="1"/>
  <c r="O42" i="2"/>
  <c r="Q9" i="3" s="1"/>
  <c r="P12" i="6"/>
  <c r="P14" i="6" s="1"/>
  <c r="P16" i="6" s="1"/>
  <c r="P25" i="6" s="1"/>
  <c r="K40" i="6"/>
  <c r="K47" i="6"/>
  <c r="M28" i="7" s="1"/>
  <c r="J34" i="7"/>
  <c r="J36" i="7" s="1"/>
  <c r="J37" i="7" s="1"/>
  <c r="K33" i="7" s="1"/>
  <c r="L35" i="7"/>
  <c r="O17" i="6"/>
  <c r="O37" i="6"/>
  <c r="O39" i="6" s="1"/>
  <c r="O40" i="6" s="1"/>
  <c r="K42" i="2"/>
  <c r="K48" i="2" s="1"/>
  <c r="K52" i="2" s="1"/>
  <c r="L12" i="6"/>
  <c r="L14" i="6" s="1"/>
  <c r="L16" i="6" s="1"/>
  <c r="I42" i="7"/>
  <c r="I44" i="7"/>
  <c r="K40" i="7"/>
  <c r="K22" i="7" s="1"/>
  <c r="K15" i="7"/>
  <c r="O25" i="6"/>
  <c r="O43" i="6"/>
  <c r="O45" i="6" s="1"/>
  <c r="P10" i="3"/>
  <c r="P11" i="3"/>
  <c r="P20" i="2"/>
  <c r="M9" i="3" l="1"/>
  <c r="O47" i="6"/>
  <c r="Q28" i="7" s="1"/>
  <c r="Q35" i="7" s="1"/>
  <c r="Q15" i="7" s="1"/>
  <c r="P40" i="7"/>
  <c r="P22" i="7" s="1"/>
  <c r="M35" i="7"/>
  <c r="K34" i="7"/>
  <c r="K36" i="7" s="1"/>
  <c r="L17" i="6"/>
  <c r="L37" i="6"/>
  <c r="L39" i="6" s="1"/>
  <c r="L25" i="6"/>
  <c r="I45" i="7"/>
  <c r="I16" i="7" s="1"/>
  <c r="I46" i="7"/>
  <c r="I23" i="7" s="1"/>
  <c r="L40" i="7"/>
  <c r="L22" i="7" s="1"/>
  <c r="L15" i="7"/>
  <c r="J41" i="7"/>
  <c r="J44" i="7"/>
  <c r="J38" i="7"/>
  <c r="P17" i="6"/>
  <c r="K19" i="1" s="1"/>
  <c r="P37" i="6"/>
  <c r="P39" i="6" s="1"/>
  <c r="P40" i="6" s="1"/>
  <c r="O48" i="2"/>
  <c r="O52" i="2" s="1"/>
  <c r="P21" i="2"/>
  <c r="P42" i="2" s="1"/>
  <c r="F18" i="5"/>
  <c r="F19" i="5" s="1"/>
  <c r="F40" i="5" s="1"/>
  <c r="Q11" i="3"/>
  <c r="Q10" i="3"/>
  <c r="M11" i="3"/>
  <c r="M10" i="3"/>
  <c r="K22" i="1" l="1"/>
  <c r="K23" i="1"/>
  <c r="N23" i="1"/>
  <c r="N22" i="1"/>
  <c r="Q40" i="7"/>
  <c r="Q22" i="7" s="1"/>
  <c r="I47" i="7"/>
  <c r="F28" i="6"/>
  <c r="K20" i="1" s="1"/>
  <c r="F26" i="6"/>
  <c r="K17" i="1" s="1"/>
  <c r="F27" i="6"/>
  <c r="K18" i="1" s="1"/>
  <c r="I18" i="7"/>
  <c r="L40" i="6"/>
  <c r="N19" i="1" s="1"/>
  <c r="L47" i="6"/>
  <c r="K41" i="7"/>
  <c r="K44" i="7" s="1"/>
  <c r="K38" i="7"/>
  <c r="K37" i="7"/>
  <c r="L33" i="7" s="1"/>
  <c r="J42" i="7"/>
  <c r="I25" i="7"/>
  <c r="P47" i="6"/>
  <c r="R28" i="7" s="1"/>
  <c r="R35" i="7" s="1"/>
  <c r="J45" i="7"/>
  <c r="J16" i="7" s="1"/>
  <c r="J18" i="7" s="1"/>
  <c r="J46" i="7"/>
  <c r="J23" i="7" s="1"/>
  <c r="M40" i="7"/>
  <c r="M22" i="7" s="1"/>
  <c r="M15" i="7"/>
  <c r="J47" i="7" l="1"/>
  <c r="J25" i="7"/>
  <c r="K45" i="7"/>
  <c r="K16" i="7" s="1"/>
  <c r="K18" i="7" s="1"/>
  <c r="K46" i="7"/>
  <c r="K47" i="7" s="1"/>
  <c r="N28" i="7"/>
  <c r="F48" i="6"/>
  <c r="N17" i="1" s="1"/>
  <c r="F50" i="6"/>
  <c r="N20" i="1" s="1"/>
  <c r="F49" i="6"/>
  <c r="N18" i="1" s="1"/>
  <c r="R40" i="7"/>
  <c r="R22" i="7" s="1"/>
  <c r="R15" i="7"/>
  <c r="L34" i="7"/>
  <c r="L36" i="7" s="1"/>
  <c r="L37" i="7" s="1"/>
  <c r="M33" i="7" s="1"/>
  <c r="K42" i="7"/>
  <c r="K23" i="7"/>
  <c r="K25" i="7" s="1"/>
  <c r="M34" i="7" l="1"/>
  <c r="M36" i="7" s="1"/>
  <c r="M37" i="7" s="1"/>
  <c r="N33" i="7" s="1"/>
  <c r="N35" i="7"/>
  <c r="H30" i="7"/>
  <c r="H29" i="7"/>
  <c r="L41" i="7"/>
  <c r="L44" i="7"/>
  <c r="L38" i="7"/>
  <c r="L45" i="7" l="1"/>
  <c r="L16" i="7" s="1"/>
  <c r="L46" i="7"/>
  <c r="L42" i="7"/>
  <c r="L23" i="7"/>
  <c r="N40" i="7"/>
  <c r="N22" i="7" s="1"/>
  <c r="N15" i="7"/>
  <c r="N34" i="7"/>
  <c r="N36" i="7" s="1"/>
  <c r="M41" i="7"/>
  <c r="M44" i="7"/>
  <c r="M38" i="7"/>
  <c r="L47" i="7" l="1"/>
  <c r="N41" i="7"/>
  <c r="N44" i="7"/>
  <c r="N38" i="7"/>
  <c r="F15" i="7"/>
  <c r="E6" i="7" s="1"/>
  <c r="L25" i="7"/>
  <c r="M45" i="7"/>
  <c r="M16" i="7" s="1"/>
  <c r="M18" i="7" s="1"/>
  <c r="M46" i="7"/>
  <c r="M42" i="7"/>
  <c r="M23" i="7"/>
  <c r="M25" i="7" s="1"/>
  <c r="N37" i="7"/>
  <c r="O33" i="7" s="1"/>
  <c r="F22" i="7"/>
  <c r="E5" i="7" s="1"/>
  <c r="E7" i="7" s="1"/>
  <c r="L18" i="7"/>
  <c r="O34" i="7" l="1"/>
  <c r="O36" i="7" s="1"/>
  <c r="M47" i="7"/>
  <c r="N46" i="7"/>
  <c r="N45" i="7"/>
  <c r="N16" i="7" s="1"/>
  <c r="N18" i="7" s="1"/>
  <c r="N42" i="7"/>
  <c r="N23" i="7"/>
  <c r="N25" i="7" s="1"/>
  <c r="O37" i="7" l="1"/>
  <c r="P33" i="7" s="1"/>
  <c r="N47" i="7"/>
  <c r="P34" i="7"/>
  <c r="P36" i="7" s="1"/>
  <c r="O41" i="7"/>
  <c r="O38" i="7"/>
  <c r="O44" i="7"/>
  <c r="O46" i="7" l="1"/>
  <c r="O45" i="7"/>
  <c r="O16" i="7" s="1"/>
  <c r="O47" i="7"/>
  <c r="P38" i="7"/>
  <c r="P41" i="7"/>
  <c r="P44" i="7"/>
  <c r="O42" i="7"/>
  <c r="O23" i="7"/>
  <c r="O25" i="7" s="1"/>
  <c r="P37" i="7"/>
  <c r="Q33" i="7" s="1"/>
  <c r="Q34" i="7" l="1"/>
  <c r="Q36" i="7" s="1"/>
  <c r="Q37" i="7" s="1"/>
  <c r="R33" i="7" s="1"/>
  <c r="P45" i="7"/>
  <c r="P16" i="7" s="1"/>
  <c r="P18" i="7" s="1"/>
  <c r="P46" i="7"/>
  <c r="P47" i="7" s="1"/>
  <c r="P42" i="7"/>
  <c r="O18" i="7"/>
  <c r="P23" i="7" l="1"/>
  <c r="P25" i="7" s="1"/>
  <c r="R34" i="7"/>
  <c r="R36" i="7" s="1"/>
  <c r="R37" i="7" s="1"/>
  <c r="Q38" i="7"/>
  <c r="Q41" i="7"/>
  <c r="Q44" i="7"/>
  <c r="Q45" i="7" l="1"/>
  <c r="Q16" i="7" s="1"/>
  <c r="Q18" i="7" s="1"/>
  <c r="Q46" i="7"/>
  <c r="Q47" i="7" s="1"/>
  <c r="Q42" i="7"/>
  <c r="Q23" i="7"/>
  <c r="Q25" i="7" s="1"/>
  <c r="R41" i="7"/>
  <c r="R38" i="7"/>
  <c r="G38" i="7" s="1"/>
  <c r="R44" i="7"/>
  <c r="R46" i="7" l="1"/>
  <c r="R45" i="7"/>
  <c r="R16" i="7" s="1"/>
  <c r="R42" i="7"/>
  <c r="G42" i="7" s="1"/>
  <c r="R23" i="7"/>
  <c r="R47" i="7" l="1"/>
  <c r="R25" i="7"/>
  <c r="F23" i="7"/>
  <c r="R18" i="7"/>
  <c r="F16" i="7"/>
  <c r="F19" i="7" l="1"/>
  <c r="N28" i="1" s="1"/>
  <c r="F18" i="7"/>
  <c r="N27" i="1" s="1"/>
  <c r="F17" i="7"/>
  <c r="N29" i="1" s="1"/>
  <c r="F25" i="7"/>
  <c r="K27" i="1" s="1"/>
  <c r="F24" i="7"/>
  <c r="K29" i="1" s="1"/>
  <c r="F26" i="7"/>
  <c r="K28" i="1" s="1"/>
</calcChain>
</file>

<file path=xl/sharedStrings.xml><?xml version="1.0" encoding="utf-8"?>
<sst xmlns="http://schemas.openxmlformats.org/spreadsheetml/2006/main" count="336" uniqueCount="213">
  <si>
    <t>INVESTMENT SUMMARY</t>
  </si>
  <si>
    <t>ACQUISITION ASSUMPTIONS</t>
  </si>
  <si>
    <t>10-YEAR OPERATING STATEMENT</t>
  </si>
  <si>
    <t>PERMANENT DEBT</t>
  </si>
  <si>
    <t>REVERSION ASSUMPTIONS</t>
  </si>
  <si>
    <t>PROPERTY-LEVEL RETURNS</t>
  </si>
  <si>
    <t>PARTNERSHIP-LEVEL RETURNS</t>
  </si>
  <si>
    <t>SINGLE-TENANT ACQUISITION MODEL</t>
  </si>
  <si>
    <t>Physical Description</t>
  </si>
  <si>
    <t>Property Name</t>
  </si>
  <si>
    <t>Address</t>
  </si>
  <si>
    <t>City</t>
  </si>
  <si>
    <t>State/Province</t>
  </si>
  <si>
    <t>Zip Code</t>
  </si>
  <si>
    <t>Country</t>
  </si>
  <si>
    <t>Bronze Gym 10000 Fitness</t>
  </si>
  <si>
    <t>10000 Fitness</t>
  </si>
  <si>
    <t>Everytown</t>
  </si>
  <si>
    <t>NA</t>
  </si>
  <si>
    <t>USA</t>
  </si>
  <si>
    <t>Gross Leasable Area (GLA)</t>
  </si>
  <si>
    <t>Buildings</t>
  </si>
  <si>
    <t>Year Built</t>
  </si>
  <si>
    <t>Floors</t>
  </si>
  <si>
    <t>Year Renovated</t>
  </si>
  <si>
    <t>Parking Ratio</t>
  </si>
  <si>
    <t>Parking Stalls</t>
  </si>
  <si>
    <t>Lot Size</t>
  </si>
  <si>
    <t>LOCATION</t>
  </si>
  <si>
    <t>INVESTMENT ASSUMPTIONS</t>
  </si>
  <si>
    <t>Analysis Start Date</t>
  </si>
  <si>
    <t>Analysis Period</t>
  </si>
  <si>
    <t>Reversion Year Ending</t>
  </si>
  <si>
    <t>TENANT DESCRIPTION</t>
  </si>
  <si>
    <t>Tenant Name</t>
  </si>
  <si>
    <t>Lease Length (Yrs)</t>
  </si>
  <si>
    <t>Current Rent/SF</t>
  </si>
  <si>
    <t>Ann. Revenue ($M)</t>
  </si>
  <si>
    <t>Year 1 Default Prob</t>
  </si>
  <si>
    <t>Years Remaining</t>
  </si>
  <si>
    <t>Reversion Rent/SF</t>
  </si>
  <si>
    <t>Credit Rating</t>
  </si>
  <si>
    <t>Reversion Default Prob</t>
  </si>
  <si>
    <t>Bronze Gym Corporation</t>
  </si>
  <si>
    <t>VALUATION SUMMARY</t>
  </si>
  <si>
    <t>PROPERTY-LEVEL RISK AND RETURN METRICS</t>
  </si>
  <si>
    <t>PARTNERSHIP-LEVEL RETURN METRICS</t>
  </si>
  <si>
    <t>OPERATING CASH FLOW SUMMARY</t>
  </si>
  <si>
    <t>ACQUISITION PRO FORMA</t>
  </si>
  <si>
    <t>NOTES</t>
  </si>
  <si>
    <t>ACQUISITION COSTS</t>
  </si>
  <si>
    <t>REVENUE</t>
  </si>
  <si>
    <t>Rental Revenue</t>
  </si>
  <si>
    <t>Potential Base Rent</t>
  </si>
  <si>
    <t>Concessions</t>
  </si>
  <si>
    <t>Total Rental Revenue</t>
  </si>
  <si>
    <t>Other Income</t>
  </si>
  <si>
    <t>Expense Reimbursement</t>
  </si>
  <si>
    <t>Parking Income</t>
  </si>
  <si>
    <t>Total Other Income</t>
  </si>
  <si>
    <t>Effective Gross Revenue</t>
  </si>
  <si>
    <t>Gross Revenue</t>
  </si>
  <si>
    <t>General Vacancy &amp; Credit Loss</t>
  </si>
  <si>
    <t>Total Effective Gross Revenue</t>
  </si>
  <si>
    <t>OPERATING EXPENSES</t>
  </si>
  <si>
    <t>Variable Operating Expenses</t>
  </si>
  <si>
    <t>Cleaning</t>
  </si>
  <si>
    <t>Repairs and Maintenance</t>
  </si>
  <si>
    <t>Security</t>
  </si>
  <si>
    <t>Landscaping</t>
  </si>
  <si>
    <t>Utilities</t>
  </si>
  <si>
    <t>Property Management</t>
  </si>
  <si>
    <t>Marketing</t>
  </si>
  <si>
    <t>Other Variable Expenses</t>
  </si>
  <si>
    <t>Total Variable Expenses</t>
  </si>
  <si>
    <t>Fixed Expenses</t>
  </si>
  <si>
    <t>Real Estate Taxes</t>
  </si>
  <si>
    <t>Insurance</t>
  </si>
  <si>
    <t>Total Fixed Operating Income</t>
  </si>
  <si>
    <t>Total Operating Expenses</t>
  </si>
  <si>
    <t>Net Operating Income</t>
  </si>
  <si>
    <t>Going-in Cap Rate</t>
  </si>
  <si>
    <t>Purchase Price</t>
  </si>
  <si>
    <t>Broker</t>
  </si>
  <si>
    <t>Pro Forma</t>
  </si>
  <si>
    <t>PSF</t>
  </si>
  <si>
    <t>Payroll &amp; Administration</t>
  </si>
  <si>
    <t>Due Diligence</t>
  </si>
  <si>
    <t>Closing Cost (Excluding Financing Cost)</t>
  </si>
  <si>
    <t>Other Acquisition Cost</t>
  </si>
  <si>
    <t>Total Acquisition Cost</t>
  </si>
  <si>
    <t>0.5% of Purchase Price</t>
  </si>
  <si>
    <t>3 months free rent remaining: excluded from Pro Forma</t>
  </si>
  <si>
    <t>OPERATING CASH FLOW</t>
  </si>
  <si>
    <t>Year</t>
  </si>
  <si>
    <t>Month Ending</t>
  </si>
  <si>
    <t>Leasing Costs</t>
  </si>
  <si>
    <t>Other Closing Costs</t>
  </si>
  <si>
    <t>Capital Expenditures</t>
  </si>
  <si>
    <t>Cash Flow from Operations</t>
  </si>
  <si>
    <t>Debt Service</t>
  </si>
  <si>
    <t>Cash Flow from after Financing</t>
  </si>
  <si>
    <t>Total Capital Expenditures</t>
  </si>
  <si>
    <t>Reimb. %</t>
  </si>
  <si>
    <t>Expense Growth %</t>
  </si>
  <si>
    <t>BBB</t>
  </si>
  <si>
    <t>Default Risk</t>
  </si>
  <si>
    <t>LOAN ASSUMPTIONS</t>
  </si>
  <si>
    <t>DEBT SERVICE PAYOFF</t>
  </si>
  <si>
    <t>Loan Amount</t>
  </si>
  <si>
    <t>Loan Fees</t>
  </si>
  <si>
    <t>Loan Proceeds</t>
  </si>
  <si>
    <t>Interest Rate</t>
  </si>
  <si>
    <t>Interest Only (Years)</t>
  </si>
  <si>
    <t>Loan Amortization (Years)</t>
  </si>
  <si>
    <t>Amortizing Pmt (Monthly)</t>
  </si>
  <si>
    <t>Interest-Only Pmt (Monthly)</t>
  </si>
  <si>
    <t>Loan Payoff</t>
  </si>
  <si>
    <t>NOI</t>
  </si>
  <si>
    <t>DSCR</t>
  </si>
  <si>
    <t>Debt Yield</t>
  </si>
  <si>
    <t>REVERSION PRO FORMA</t>
  </si>
  <si>
    <t>Year Ending</t>
  </si>
  <si>
    <t>Projected</t>
  </si>
  <si>
    <t>Year 11</t>
  </si>
  <si>
    <t>Reversion</t>
  </si>
  <si>
    <t>Reversion Cap Rate</t>
  </si>
  <si>
    <t>Reversion Value</t>
  </si>
  <si>
    <t>-Adustment to Reversion Value</t>
  </si>
  <si>
    <t>-Selling Costs</t>
  </si>
  <si>
    <t>Net from Reversion</t>
  </si>
  <si>
    <t>Assuming market rent at $10 today, grown by 3%</t>
  </si>
  <si>
    <t>Assuming 100% reimbursement</t>
  </si>
  <si>
    <t>Grow cap rate by 5 bps per year</t>
  </si>
  <si>
    <t>Adjustment for leasing costs of $10/SF during hold</t>
  </si>
  <si>
    <t>Credit risk + 6/10 years are speculative; assuming 10% vacancy</t>
  </si>
  <si>
    <t>UNLEVERED RETURNS</t>
  </si>
  <si>
    <t>LEVERED RETURNS</t>
  </si>
  <si>
    <t>INVESTMENT CASH FLOWS</t>
  </si>
  <si>
    <t>Due Diligence Cost</t>
  </si>
  <si>
    <t>OPERATING CASH FLOWS</t>
  </si>
  <si>
    <t>Operating Expenses</t>
  </si>
  <si>
    <t>Adjustment to Reversion Value</t>
  </si>
  <si>
    <t>Selling Costs</t>
  </si>
  <si>
    <t>REVERSION CASH FLOWS</t>
  </si>
  <si>
    <t>NET UNLEVERED CASH FLOW</t>
  </si>
  <si>
    <t>Unlevered IRR</t>
  </si>
  <si>
    <t>Unlevered Equity Multiple</t>
  </si>
  <si>
    <t>Net Profit</t>
  </si>
  <si>
    <t>Free and Clear Return</t>
  </si>
  <si>
    <t>Equity Required</t>
  </si>
  <si>
    <t>Cash Flow after Financing</t>
  </si>
  <si>
    <t>Net from Revesion</t>
  </si>
  <si>
    <t>Net Proceeds from Sale</t>
  </si>
  <si>
    <t>NET LEVERED CASH FLOW</t>
  </si>
  <si>
    <t>Levered IRR</t>
  </si>
  <si>
    <t>Levered Equity Multiple</t>
  </si>
  <si>
    <t>Cash-on-Cash Return</t>
  </si>
  <si>
    <t>PARTNERSHIP ASSUMPTIONS</t>
  </si>
  <si>
    <t>PARTNERSHIP CASH FLOW AND RETURN SUMMARY</t>
  </si>
  <si>
    <t>PROPERTY CASH FLOW AND RETURNS</t>
  </si>
  <si>
    <t>TIER 1 - PREFERRED RETURN AND RETURN OF CAPITAL</t>
  </si>
  <si>
    <t>TIER 2 - PROMOTE</t>
  </si>
  <si>
    <t>OWNERSHIP SHARE</t>
  </si>
  <si>
    <t>General Partner</t>
  </si>
  <si>
    <t>Limited Partner</t>
  </si>
  <si>
    <t>Total</t>
  </si>
  <si>
    <t>Pct</t>
  </si>
  <si>
    <t>Amount</t>
  </si>
  <si>
    <t>DISTRIBUTION STRUCTURE</t>
  </si>
  <si>
    <t>Tier 1</t>
  </si>
  <si>
    <t>Tier 2</t>
  </si>
  <si>
    <t>GP Promote</t>
  </si>
  <si>
    <t>IRR Hurdle</t>
  </si>
  <si>
    <t>% GP</t>
  </si>
  <si>
    <t>% LP</t>
  </si>
  <si>
    <t>Net Levered Cash Flow</t>
  </si>
  <si>
    <t>LP Starting Balance</t>
  </si>
  <si>
    <t>LP Required Return</t>
  </si>
  <si>
    <t>LP Contribution</t>
  </si>
  <si>
    <t>LP Distribution- Tier 1</t>
  </si>
  <si>
    <t>LP Ending Balance</t>
  </si>
  <si>
    <t>LP IRR</t>
  </si>
  <si>
    <t>GP Contribution</t>
  </si>
  <si>
    <t>GP Distribution</t>
  </si>
  <si>
    <t>GP IRR</t>
  </si>
  <si>
    <t>Remaining Cash Flow</t>
  </si>
  <si>
    <t>LP Distribution</t>
  </si>
  <si>
    <t>LP RETURNS</t>
  </si>
  <si>
    <t>GP RETURNS</t>
  </si>
  <si>
    <t>Contributions</t>
  </si>
  <si>
    <t>Distributions</t>
  </si>
  <si>
    <t>IRR</t>
  </si>
  <si>
    <t>Equity Multiple</t>
  </si>
  <si>
    <t>Total Fixed Expenses</t>
  </si>
  <si>
    <t>Cap Rate</t>
  </si>
  <si>
    <t>Direct Cap Value</t>
  </si>
  <si>
    <t>Adjustment</t>
  </si>
  <si>
    <t>Property Value</t>
  </si>
  <si>
    <t>Acquisition</t>
  </si>
  <si>
    <t>Total Fixed Operating Expenses</t>
  </si>
  <si>
    <t>UNLEVERED</t>
  </si>
  <si>
    <t>LEVERED</t>
  </si>
  <si>
    <t>Avg. Free and Clear</t>
  </si>
  <si>
    <t>Avg. Rate of Return</t>
  </si>
  <si>
    <t>DEBT METRICS</t>
  </si>
  <si>
    <t>Min. DSCR</t>
  </si>
  <si>
    <t>Avg. DSCR</t>
  </si>
  <si>
    <t>Avg.Cash-on-Cash</t>
  </si>
  <si>
    <t>Min. Debt Yield</t>
  </si>
  <si>
    <t>Avg. Debt Yield</t>
  </si>
  <si>
    <t>GENERAL PARTNER</t>
  </si>
  <si>
    <t>LIMITED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</si>
</sst>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00000"/>
    <numFmt numFmtId="165" formatCode="0.0&quot;/1,000 SF&quot;"/>
    <numFmt numFmtId="166" formatCode="&quot;Year&quot;\ 00"/>
    <numFmt numFmtId="167" formatCode="0.0"/>
    <numFmt numFmtId="168" formatCode="0.0%"/>
    <numFmt numFmtId="170" formatCode="_(* #,##0.00_);_(* \(#,##0.00\);_(* &quot;-&quot;_);_(@_)"/>
    <numFmt numFmtId="172" formatCode="mmm\-yyyy"/>
    <numFmt numFmtId="174" formatCode="0\ &quot;Years&quot;"/>
    <numFmt numFmtId="176" formatCode="_(* #,##0_);_(* \(#,##0\);_(* &quot;-&quot;??_);_(@_)"/>
    <numFmt numFmtId="185" formatCode="&quot;Year&quot;\ 0"/>
    <numFmt numFmtId="186" formatCode="0.00&quot;x&quot;"/>
  </numFmts>
  <fonts count="13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rgb="FF0000FF"/>
      <name val="Century Gothic"/>
      <family val="2"/>
      <scheme val="minor"/>
    </font>
    <font>
      <sz val="11"/>
      <color rgb="FF000000"/>
      <name val="Century Gothic"/>
      <family val="2"/>
      <scheme val="minor"/>
    </font>
    <font>
      <u val="singleAccounting"/>
      <sz val="11"/>
      <color theme="1"/>
      <name val="Century Gothic"/>
      <family val="2"/>
      <scheme val="minor"/>
    </font>
    <font>
      <u val="singleAccounting"/>
      <sz val="11"/>
      <color rgb="FF0000FF"/>
      <name val="Century Gothic"/>
      <family val="2"/>
      <scheme val="minor"/>
    </font>
    <font>
      <sz val="11"/>
      <name val="Century Gothic"/>
      <family val="2"/>
      <scheme val="minor"/>
    </font>
    <font>
      <sz val="11"/>
      <color rgb="FF00B050"/>
      <name val="Century Gothic"/>
      <family val="2"/>
      <scheme val="minor"/>
    </font>
    <font>
      <u/>
      <sz val="11"/>
      <color theme="1"/>
      <name val="Century Gothic"/>
      <family val="2"/>
      <scheme val="minor"/>
    </font>
    <font>
      <u/>
      <sz val="11"/>
      <name val="Century Gothic"/>
      <family val="2"/>
      <scheme val="minor"/>
    </font>
    <font>
      <u val="singleAccounting"/>
      <sz val="11"/>
      <color rgb="FF00B050"/>
      <name val="Century Gothic"/>
      <family val="2"/>
      <scheme val="minor"/>
    </font>
    <font>
      <i/>
      <sz val="10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7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42" fontId="0" fillId="0" borderId="0" xfId="0" applyNumberFormat="1"/>
    <xf numFmtId="42" fontId="0" fillId="0" borderId="0" xfId="0" applyNumberFormat="1" applyAlignment="1">
      <alignment horizontal="right"/>
    </xf>
    <xf numFmtId="41" fontId="0" fillId="0" borderId="0" xfId="0" applyNumberFormat="1"/>
    <xf numFmtId="41" fontId="0" fillId="0" borderId="0" xfId="0" applyNumberFormat="1" applyAlignment="1">
      <alignment horizontal="right"/>
    </xf>
    <xf numFmtId="41" fontId="0" fillId="3" borderId="0" xfId="0" applyNumberFormat="1" applyFill="1"/>
    <xf numFmtId="41" fontId="0" fillId="3" borderId="0" xfId="0" applyNumberFormat="1" applyFill="1" applyAlignment="1">
      <alignment horizontal="right"/>
    </xf>
    <xf numFmtId="41" fontId="5" fillId="0" borderId="0" xfId="0" applyNumberFormat="1" applyFont="1"/>
    <xf numFmtId="41" fontId="3" fillId="0" borderId="0" xfId="0" applyNumberFormat="1" applyFont="1"/>
    <xf numFmtId="41" fontId="6" fillId="0" borderId="0" xfId="0" applyNumberFormat="1" applyFont="1"/>
    <xf numFmtId="41" fontId="7" fillId="0" borderId="0" xfId="0" applyNumberFormat="1" applyFont="1"/>
    <xf numFmtId="41" fontId="2" fillId="0" borderId="0" xfId="0" applyNumberFormat="1" applyFont="1"/>
    <xf numFmtId="41" fontId="0" fillId="0" borderId="0" xfId="0" applyNumberFormat="1" applyFont="1"/>
    <xf numFmtId="9" fontId="0" fillId="0" borderId="0" xfId="0" applyNumberFormat="1"/>
    <xf numFmtId="10" fontId="0" fillId="0" borderId="0" xfId="0" applyNumberFormat="1"/>
    <xf numFmtId="170" fontId="0" fillId="0" borderId="0" xfId="0" applyNumberFormat="1" applyAlignment="1">
      <alignment horizontal="right"/>
    </xf>
    <xf numFmtId="170" fontId="5" fillId="0" borderId="0" xfId="0" applyNumberFormat="1" applyFont="1" applyAlignment="1">
      <alignment horizontal="right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172" fontId="0" fillId="0" borderId="0" xfId="0" applyNumberFormat="1"/>
    <xf numFmtId="9" fontId="3" fillId="0" borderId="0" xfId="0" applyNumberFormat="1" applyFont="1"/>
    <xf numFmtId="168" fontId="3" fillId="0" borderId="0" xfId="0" applyNumberFormat="1" applyFont="1"/>
    <xf numFmtId="41" fontId="0" fillId="4" borderId="0" xfId="0" applyNumberFormat="1" applyFill="1"/>
    <xf numFmtId="10" fontId="3" fillId="0" borderId="0" xfId="0" applyNumberFormat="1" applyFont="1"/>
    <xf numFmtId="174" fontId="3" fillId="0" borderId="0" xfId="0" applyNumberFormat="1" applyFont="1"/>
    <xf numFmtId="176" fontId="7" fillId="0" borderId="0" xfId="0" applyNumberFormat="1" applyFont="1"/>
    <xf numFmtId="176" fontId="0" fillId="0" borderId="0" xfId="0" applyNumberFormat="1"/>
    <xf numFmtId="41" fontId="8" fillId="0" borderId="0" xfId="0" applyNumberFormat="1" applyFont="1"/>
    <xf numFmtId="172" fontId="8" fillId="0" borderId="0" xfId="0" applyNumberFormat="1" applyFont="1"/>
    <xf numFmtId="2" fontId="0" fillId="0" borderId="0" xfId="0" applyNumberFormat="1"/>
    <xf numFmtId="41" fontId="8" fillId="4" borderId="0" xfId="0" applyNumberFormat="1" applyFont="1" applyFill="1"/>
    <xf numFmtId="172" fontId="0" fillId="3" borderId="0" xfId="0" applyNumberFormat="1" applyFill="1"/>
    <xf numFmtId="0" fontId="9" fillId="0" borderId="0" xfId="0" applyFont="1"/>
    <xf numFmtId="0" fontId="9" fillId="0" borderId="0" xfId="0" applyFont="1" applyAlignment="1">
      <alignment horizontal="right"/>
    </xf>
    <xf numFmtId="41" fontId="10" fillId="0" borderId="0" xfId="0" applyNumberFormat="1" applyFont="1"/>
    <xf numFmtId="41" fontId="10" fillId="0" borderId="0" xfId="0" applyNumberFormat="1" applyFont="1" applyAlignment="1">
      <alignment horizontal="right"/>
    </xf>
    <xf numFmtId="41" fontId="11" fillId="0" borderId="0" xfId="0" applyNumberFormat="1" applyFont="1"/>
    <xf numFmtId="0" fontId="0" fillId="0" borderId="0" xfId="0" quotePrefix="1" applyFont="1" applyAlignment="1">
      <alignment horizontal="left" indent="1"/>
    </xf>
    <xf numFmtId="185" fontId="0" fillId="3" borderId="0" xfId="0" applyNumberFormat="1" applyFill="1"/>
    <xf numFmtId="186" fontId="0" fillId="0" borderId="0" xfId="0" applyNumberFormat="1"/>
    <xf numFmtId="41" fontId="12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10" fontId="12" fillId="0" borderId="0" xfId="0" applyNumberFormat="1" applyFont="1"/>
    <xf numFmtId="168" fontId="0" fillId="0" borderId="0" xfId="0" applyNumberFormat="1" applyAlignment="1">
      <alignment horizontal="right"/>
    </xf>
    <xf numFmtId="168" fontId="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3" fillId="0" borderId="0" xfId="0" applyNumberFormat="1" applyFont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 indent="1"/>
    </xf>
    <xf numFmtId="41" fontId="5" fillId="4" borderId="0" xfId="0" applyNumberFormat="1" applyFont="1" applyFill="1"/>
    <xf numFmtId="0" fontId="0" fillId="4" borderId="0" xfId="0" applyFill="1" applyAlignment="1">
      <alignment horizontal="right"/>
    </xf>
    <xf numFmtId="10" fontId="0" fillId="4" borderId="0" xfId="0" applyNumberFormat="1" applyFill="1"/>
    <xf numFmtId="10" fontId="0" fillId="4" borderId="0" xfId="0" applyNumberFormat="1" applyFill="1" applyAlignment="1">
      <alignment horizontal="right"/>
    </xf>
    <xf numFmtId="41" fontId="8" fillId="4" borderId="0" xfId="0" applyNumberFormat="1" applyFont="1" applyFill="1" applyAlignment="1">
      <alignment horizontal="right"/>
    </xf>
    <xf numFmtId="41" fontId="11" fillId="4" borderId="0" xfId="0" applyNumberFormat="1" applyFont="1" applyFill="1"/>
    <xf numFmtId="41" fontId="11" fillId="4" borderId="0" xfId="0" applyNumberFormat="1" applyFont="1" applyFill="1" applyAlignment="1">
      <alignment horizontal="right"/>
    </xf>
    <xf numFmtId="10" fontId="8" fillId="4" borderId="0" xfId="0" applyNumberFormat="1" applyFont="1" applyFill="1"/>
    <xf numFmtId="10" fontId="8" fillId="4" borderId="0" xfId="0" applyNumberFormat="1" applyFont="1" applyFill="1" applyAlignment="1">
      <alignment horizontal="right"/>
    </xf>
    <xf numFmtId="0" fontId="2" fillId="4" borderId="0" xfId="0" applyFont="1" applyFill="1"/>
    <xf numFmtId="41" fontId="2" fillId="4" borderId="0" xfId="0" applyNumberFormat="1" applyFont="1" applyFill="1"/>
    <xf numFmtId="186" fontId="0" fillId="4" borderId="0" xfId="0" applyNumberFormat="1" applyFill="1"/>
    <xf numFmtId="2" fontId="0" fillId="4" borderId="0" xfId="0" applyNumberFormat="1" applyFill="1"/>
    <xf numFmtId="2" fontId="8" fillId="4" borderId="0" xfId="0" applyNumberFormat="1" applyFont="1" applyFill="1" applyAlignment="1">
      <alignment horizontal="right"/>
    </xf>
    <xf numFmtId="43" fontId="8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Net Operating Income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Summary!$B$32:$K$32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Summary!$B$33:$K$33</c:f>
              <c:numCache>
                <c:formatCode>General</c:formatCode>
                <c:ptCount val="10"/>
                <c:pt idx="0" formatCode="_(* #,##0_);_(* \(#,##0\);_(* &quot;-&quot;_);_(@_)">
                  <c:v>275400</c:v>
                </c:pt>
                <c:pt idx="1">
                  <c:v>370859.02049999998</c:v>
                </c:pt>
                <c:pt idx="2">
                  <c:v>374517.64061999996</c:v>
                </c:pt>
                <c:pt idx="3">
                  <c:v>378174.43564859993</c:v>
                </c:pt>
                <c:pt idx="4">
                  <c:v>381826.88288209605</c:v>
                </c:pt>
                <c:pt idx="5">
                  <c:v>385474.31017467246</c:v>
                </c:pt>
                <c:pt idx="6">
                  <c:v>389115.90445379901</c:v>
                </c:pt>
                <c:pt idx="7">
                  <c:v>392747.81520002079</c:v>
                </c:pt>
                <c:pt idx="8">
                  <c:v>396369.94789030997</c:v>
                </c:pt>
                <c:pt idx="9">
                  <c:v>399980.13240413071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6-4F97-8CFF-F05283E3B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147776815"/>
        <c:axId val="891116559"/>
      </c:barChart>
      <c:catAx>
        <c:axId val="114777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16559"/>
        <c:crosses val="autoZero"/>
        <c:auto val="1"/>
        <c:lblAlgn val="ctr"/>
        <c:lblOffset val="100"/>
        <c:noMultiLvlLbl val="0"/>
      </c:catAx>
      <c:valAx>
        <c:axId val="89111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768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30</xdr:row>
      <xdr:rowOff>41564</xdr:rowOff>
    </xdr:from>
    <xdr:to>
      <xdr:col>14</xdr:col>
      <xdr:colOff>0</xdr:colOff>
      <xdr:row>49</xdr:row>
      <xdr:rowOff>131618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F0839-1180-3151-D3F5-BBE0B961E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4696-96D7-47D6-8759-C06B08099E78}">
  <sheetPr>
    <tabColor theme="4"/>
    <pageSetUpPr fitToPage="1"/>
  </sheetPr>
  <dimension ref="B1:N50"/>
  <sheetViews>
    <sheetView showGridLines="0" tabSelected="1" topLeftCell="A10" zoomScale="110" zoomScaleNormal="110" workbookViewId="0">
      <selection activeCell="J23" sqref="J23"/>
    </sheetView>
  </sheetViews>
  <sheetFormatPr defaultColWidth="0" defaultRowHeight="13.8" zeroHeight="1" x14ac:dyDescent="0.25"/>
  <cols>
    <col min="1" max="1" width="1.59765625" customWidth="1"/>
    <col min="2" max="5" width="8.796875" customWidth="1"/>
    <col min="6" max="6" width="10.5" bestFit="1" customWidth="1"/>
    <col min="7" max="7" width="10.8984375" style="4" customWidth="1"/>
    <col min="8" max="8" width="1.69921875" customWidth="1"/>
    <col min="9" max="9" width="8.796875" customWidth="1"/>
    <col min="10" max="10" width="10.8984375" customWidth="1"/>
    <col min="11" max="11" width="11" customWidth="1"/>
    <col min="12" max="12" width="12.3984375" bestFit="1" customWidth="1"/>
    <col min="13" max="13" width="10" bestFit="1" customWidth="1"/>
    <col min="14" max="14" width="11" style="4" bestFit="1" customWidth="1"/>
    <col min="15" max="15" width="1.69921875" customWidth="1"/>
    <col min="16" max="16384" width="8.796875" hidden="1"/>
  </cols>
  <sheetData>
    <row r="1" spans="2:14" ht="5.0999999999999996" customHeight="1" x14ac:dyDescent="0.25"/>
    <row r="2" spans="2:14" s="3" customFormat="1" x14ac:dyDescent="0.25">
      <c r="B2" s="2" t="s">
        <v>0</v>
      </c>
      <c r="C2" s="2"/>
      <c r="D2" s="2"/>
      <c r="E2" s="2"/>
      <c r="F2" s="2"/>
      <c r="G2" s="5"/>
      <c r="H2" s="2"/>
      <c r="I2" s="2"/>
      <c r="J2" s="2"/>
      <c r="K2" s="2"/>
      <c r="L2" s="2"/>
      <c r="M2" s="2"/>
      <c r="N2" s="5" t="s">
        <v>7</v>
      </c>
    </row>
    <row r="3" spans="2:14" x14ac:dyDescent="0.25">
      <c r="B3" s="1" t="s">
        <v>28</v>
      </c>
      <c r="C3" s="1"/>
      <c r="D3" s="1"/>
      <c r="E3" s="1"/>
      <c r="F3" s="1"/>
      <c r="G3" s="6"/>
      <c r="H3" s="1"/>
      <c r="I3" s="1" t="s">
        <v>8</v>
      </c>
      <c r="J3" s="1"/>
      <c r="K3" s="1"/>
      <c r="L3" s="1"/>
      <c r="M3" s="1"/>
      <c r="N3" s="6"/>
    </row>
    <row r="4" spans="2:14" x14ac:dyDescent="0.25">
      <c r="B4" t="s">
        <v>9</v>
      </c>
      <c r="G4" s="7" t="s">
        <v>15</v>
      </c>
      <c r="I4" t="s">
        <v>20</v>
      </c>
      <c r="N4" s="10">
        <v>41376</v>
      </c>
    </row>
    <row r="5" spans="2:14" x14ac:dyDescent="0.25">
      <c r="B5" t="s">
        <v>10</v>
      </c>
      <c r="G5" s="7" t="s">
        <v>16</v>
      </c>
      <c r="I5" t="s">
        <v>21</v>
      </c>
      <c r="K5" s="9">
        <v>1</v>
      </c>
      <c r="L5" t="s">
        <v>23</v>
      </c>
      <c r="N5" s="7">
        <v>2</v>
      </c>
    </row>
    <row r="6" spans="2:14" x14ac:dyDescent="0.25">
      <c r="B6" t="s">
        <v>11</v>
      </c>
      <c r="G6" s="7" t="s">
        <v>17</v>
      </c>
      <c r="I6" t="s">
        <v>22</v>
      </c>
      <c r="K6" s="9">
        <v>2008</v>
      </c>
      <c r="L6" t="s">
        <v>24</v>
      </c>
      <c r="N6" s="7" t="s">
        <v>18</v>
      </c>
    </row>
    <row r="7" spans="2:14" x14ac:dyDescent="0.25">
      <c r="B7" t="s">
        <v>12</v>
      </c>
      <c r="D7" s="7" t="s">
        <v>18</v>
      </c>
      <c r="E7" t="s">
        <v>13</v>
      </c>
      <c r="G7" s="8">
        <v>0</v>
      </c>
      <c r="I7" t="s">
        <v>26</v>
      </c>
      <c r="K7" s="9">
        <v>180</v>
      </c>
      <c r="L7" t="s">
        <v>25</v>
      </c>
      <c r="N7" s="11">
        <f>K7/(N4/1000)</f>
        <v>4.3503480278422275</v>
      </c>
    </row>
    <row r="8" spans="2:14" x14ac:dyDescent="0.25">
      <c r="B8" t="s">
        <v>14</v>
      </c>
      <c r="G8" s="7" t="s">
        <v>19</v>
      </c>
      <c r="I8" t="s">
        <v>27</v>
      </c>
      <c r="N8" s="10">
        <f>2*43560</f>
        <v>87120</v>
      </c>
    </row>
    <row r="9" spans="2:14" x14ac:dyDescent="0.25">
      <c r="B9" s="1" t="s">
        <v>29</v>
      </c>
      <c r="C9" s="1"/>
      <c r="D9" s="1"/>
      <c r="E9" s="1"/>
      <c r="F9" s="1"/>
      <c r="G9" s="6"/>
      <c r="H9" s="1"/>
      <c r="I9" s="1" t="s">
        <v>33</v>
      </c>
      <c r="J9" s="1"/>
      <c r="K9" s="1"/>
      <c r="L9" s="1"/>
      <c r="M9" s="1"/>
      <c r="N9" s="6"/>
    </row>
    <row r="10" spans="2:14" x14ac:dyDescent="0.25">
      <c r="B10" t="s">
        <v>30</v>
      </c>
      <c r="G10" s="12">
        <v>43525</v>
      </c>
      <c r="I10" t="s">
        <v>34</v>
      </c>
      <c r="K10" s="7"/>
      <c r="N10" s="7" t="s">
        <v>43</v>
      </c>
    </row>
    <row r="11" spans="2:14" x14ac:dyDescent="0.25">
      <c r="B11" t="s">
        <v>31</v>
      </c>
      <c r="G11" s="13">
        <v>10</v>
      </c>
      <c r="I11" t="s">
        <v>35</v>
      </c>
      <c r="K11" s="14">
        <v>15</v>
      </c>
      <c r="L11" t="s">
        <v>39</v>
      </c>
      <c r="N11" s="14">
        <v>14</v>
      </c>
    </row>
    <row r="12" spans="2:14" x14ac:dyDescent="0.25">
      <c r="B12" t="s">
        <v>32</v>
      </c>
      <c r="G12" s="13">
        <v>11</v>
      </c>
      <c r="I12" t="s">
        <v>36</v>
      </c>
      <c r="K12" s="81">
        <f>Acquisition!H6</f>
        <v>8.8747099767981439</v>
      </c>
      <c r="L12" t="s">
        <v>40</v>
      </c>
      <c r="N12" s="82">
        <f>Reversion!F6/GLA</f>
        <v>10.818227958236658</v>
      </c>
    </row>
    <row r="13" spans="2:14" x14ac:dyDescent="0.25">
      <c r="I13" t="s">
        <v>37</v>
      </c>
      <c r="K13" s="14">
        <v>500</v>
      </c>
      <c r="L13" t="s">
        <v>41</v>
      </c>
      <c r="N13" s="7" t="s">
        <v>105</v>
      </c>
    </row>
    <row r="14" spans="2:14" x14ac:dyDescent="0.25">
      <c r="I14" t="s">
        <v>38</v>
      </c>
      <c r="K14" s="15">
        <v>0</v>
      </c>
      <c r="L14" t="s">
        <v>42</v>
      </c>
      <c r="N14" s="15">
        <v>0.05</v>
      </c>
    </row>
    <row r="15" spans="2:14" x14ac:dyDescent="0.25">
      <c r="B15" s="1" t="s">
        <v>44</v>
      </c>
      <c r="C15" s="1"/>
      <c r="D15" s="1"/>
      <c r="E15" s="1"/>
      <c r="F15" s="6" t="s">
        <v>199</v>
      </c>
      <c r="G15" s="6" t="s">
        <v>125</v>
      </c>
      <c r="H15" s="1"/>
      <c r="I15" s="1" t="s">
        <v>45</v>
      </c>
      <c r="J15" s="1"/>
      <c r="K15" s="1"/>
      <c r="L15" s="1"/>
      <c r="M15" s="1"/>
      <c r="N15" s="6"/>
    </row>
    <row r="16" spans="2:14" x14ac:dyDescent="0.25">
      <c r="B16" s="67" t="s">
        <v>55</v>
      </c>
      <c r="C16" s="66"/>
      <c r="D16" s="66"/>
      <c r="E16" s="66"/>
      <c r="F16" s="49">
        <f>Acquisition!I8</f>
        <v>367200</v>
      </c>
      <c r="G16" s="72">
        <f>Reversion!I8</f>
        <v>556058.84111742384</v>
      </c>
      <c r="H16" s="66"/>
      <c r="I16" s="66" t="s">
        <v>201</v>
      </c>
      <c r="J16" s="66"/>
      <c r="K16" s="66"/>
      <c r="L16" s="66" t="s">
        <v>202</v>
      </c>
      <c r="M16" s="66"/>
      <c r="N16" s="66"/>
    </row>
    <row r="17" spans="2:14" ht="15.6" x14ac:dyDescent="0.4">
      <c r="B17" s="67" t="s">
        <v>59</v>
      </c>
      <c r="C17" s="66"/>
      <c r="D17" s="66"/>
      <c r="E17" s="66"/>
      <c r="F17" s="73">
        <f>Acquisition!I14</f>
        <v>355345</v>
      </c>
      <c r="G17" s="74">
        <f>Reversion!I14</f>
        <v>433163.5721730371</v>
      </c>
      <c r="H17" s="66"/>
      <c r="I17" s="67" t="s">
        <v>192</v>
      </c>
      <c r="J17" s="66"/>
      <c r="K17" s="70">
        <f>'Property Returns'!F26</f>
        <v>7.0179857500040077E-2</v>
      </c>
      <c r="L17" s="67" t="s">
        <v>192</v>
      </c>
      <c r="M17" s="66"/>
      <c r="N17" s="70">
        <f>'Property Returns'!F48</f>
        <v>0.11151216718990664</v>
      </c>
    </row>
    <row r="18" spans="2:14" x14ac:dyDescent="0.25">
      <c r="B18" s="66" t="s">
        <v>61</v>
      </c>
      <c r="C18" s="66"/>
      <c r="D18" s="66"/>
      <c r="E18" s="66"/>
      <c r="F18" s="41">
        <f>SUM(F16:F17)</f>
        <v>722545</v>
      </c>
      <c r="G18" s="41">
        <f>SUM(G16:G17)</f>
        <v>989222.41329046094</v>
      </c>
      <c r="H18" s="66"/>
      <c r="I18" s="67" t="s">
        <v>193</v>
      </c>
      <c r="J18" s="66"/>
      <c r="K18" s="79">
        <f>'Property Returns'!F27</f>
        <v>1.7229051816314984</v>
      </c>
      <c r="L18" s="67" t="s">
        <v>193</v>
      </c>
      <c r="M18" s="66"/>
      <c r="N18" s="79">
        <f>'Property Returns'!F49</f>
        <v>2.2839727783317474</v>
      </c>
    </row>
    <row r="19" spans="2:14" ht="15.6" x14ac:dyDescent="0.4">
      <c r="B19" s="67" t="s">
        <v>62</v>
      </c>
      <c r="C19" s="66"/>
      <c r="D19" s="66"/>
      <c r="E19" s="66"/>
      <c r="F19" s="73">
        <f>Acquisition!I18</f>
        <v>0</v>
      </c>
      <c r="G19" s="74">
        <f>Reversion!I18</f>
        <v>-98922.241329046097</v>
      </c>
      <c r="H19" s="66"/>
      <c r="I19" s="67" t="s">
        <v>203</v>
      </c>
      <c r="J19" s="66"/>
      <c r="K19" s="70">
        <f>AVERAGE('Property Returns'!G17:P17)</f>
        <v>6.7989724548310065E-2</v>
      </c>
      <c r="L19" s="67" t="s">
        <v>208</v>
      </c>
      <c r="M19" s="66"/>
      <c r="N19" s="70">
        <f>AVERAGE('Property Returns'!G40:P40)</f>
        <v>8.8723749309835551E-2</v>
      </c>
    </row>
    <row r="20" spans="2:14" x14ac:dyDescent="0.25">
      <c r="B20" s="66" t="s">
        <v>63</v>
      </c>
      <c r="C20" s="66"/>
      <c r="D20" s="66"/>
      <c r="E20" s="66"/>
      <c r="F20" s="41">
        <f>SUM(F18:F19)</f>
        <v>722545</v>
      </c>
      <c r="G20" s="41">
        <f>SUM(G18:G19)</f>
        <v>890300.17196141486</v>
      </c>
      <c r="H20" s="66"/>
      <c r="I20" s="67" t="s">
        <v>204</v>
      </c>
      <c r="J20" s="66"/>
      <c r="K20" s="70">
        <f>'Property Returns'!F28/Summary!$G$11/SUM('Property Returns'!F9:P9)</f>
        <v>7.2290518163149825E-2</v>
      </c>
      <c r="L20" s="67" t="s">
        <v>204</v>
      </c>
      <c r="M20" s="66"/>
      <c r="N20" s="70">
        <f>'Property Returns'!$F$50/Summary!$G$11/SUM('Property Returns'!F34:P34)</f>
        <v>0.12839727783317473</v>
      </c>
    </row>
    <row r="21" spans="2:14" x14ac:dyDescent="0.25">
      <c r="B21" s="67" t="s">
        <v>74</v>
      </c>
      <c r="C21" s="66"/>
      <c r="D21" s="66"/>
      <c r="E21" s="66"/>
      <c r="F21" s="49">
        <f>Acquisition!I32</f>
        <v>288859</v>
      </c>
      <c r="G21" s="72">
        <f>Reversion!I32</f>
        <v>352117.50916526566</v>
      </c>
      <c r="H21" s="66"/>
      <c r="I21" s="66" t="s">
        <v>205</v>
      </c>
      <c r="J21" s="66"/>
      <c r="K21" s="66"/>
      <c r="L21" s="66"/>
      <c r="M21" s="66"/>
      <c r="N21" s="66"/>
    </row>
    <row r="22" spans="2:14" ht="15.6" x14ac:dyDescent="0.4">
      <c r="B22" s="67" t="s">
        <v>194</v>
      </c>
      <c r="C22" s="66"/>
      <c r="D22" s="66"/>
      <c r="E22" s="66"/>
      <c r="F22" s="73">
        <f>Acquisition!I36</f>
        <v>66486</v>
      </c>
      <c r="G22" s="74">
        <f>Reversion!I36</f>
        <v>81046.06300777143</v>
      </c>
      <c r="H22" s="66"/>
      <c r="I22" s="67" t="s">
        <v>206</v>
      </c>
      <c r="J22" s="66"/>
      <c r="K22" s="80">
        <f>MIN('Perm. Debt'!H10:Q10)</f>
        <v>1.5114428406783382</v>
      </c>
      <c r="L22" s="67" t="s">
        <v>209</v>
      </c>
      <c r="M22" s="66"/>
      <c r="N22" s="71">
        <f>MIN('Perm. Debt'!H11:Q11)</f>
        <v>7.179353493222107E-2</v>
      </c>
    </row>
    <row r="23" spans="2:14" x14ac:dyDescent="0.25">
      <c r="B23" s="66" t="s">
        <v>79</v>
      </c>
      <c r="C23" s="66"/>
      <c r="D23" s="66"/>
      <c r="E23" s="66"/>
      <c r="F23" s="41">
        <f>SUM(F21:F22)</f>
        <v>355345</v>
      </c>
      <c r="G23" s="41">
        <f>SUM(G21:G22)</f>
        <v>433163.5721730371</v>
      </c>
      <c r="H23" s="66"/>
      <c r="I23" s="67" t="s">
        <v>207</v>
      </c>
      <c r="J23" s="66"/>
      <c r="K23" s="80">
        <f>AVERAGE('Perm. Debt'!H10:Q10)</f>
        <v>1.6945011222376387</v>
      </c>
      <c r="L23" s="67" t="s">
        <v>210</v>
      </c>
      <c r="M23" s="66"/>
      <c r="N23" s="70">
        <f>AVERAGE('Perm. Debt'!H11:Q11)</f>
        <v>9.7613818815788039E-2</v>
      </c>
    </row>
    <row r="24" spans="2:14" x14ac:dyDescent="0.25">
      <c r="B24" s="66" t="s">
        <v>80</v>
      </c>
      <c r="C24" s="66"/>
      <c r="D24" s="66"/>
      <c r="E24" s="66"/>
      <c r="F24" s="41">
        <f>F20-F23</f>
        <v>367200</v>
      </c>
      <c r="G24" s="41">
        <f>G20-G23</f>
        <v>457136.59978837776</v>
      </c>
      <c r="H24" s="66"/>
      <c r="J24" s="66"/>
      <c r="K24" s="66"/>
      <c r="L24" s="66"/>
      <c r="M24" s="66"/>
      <c r="N24" s="66"/>
    </row>
    <row r="25" spans="2:14" x14ac:dyDescent="0.25">
      <c r="B25" s="67" t="s">
        <v>195</v>
      </c>
      <c r="C25" s="66"/>
      <c r="D25" s="66"/>
      <c r="E25" s="66"/>
      <c r="F25" s="75">
        <f>Acquisition!I42</f>
        <v>6.7007299270072998E-2</v>
      </c>
      <c r="G25" s="76">
        <f>Reversion!I42</f>
        <v>7.2007299270073002E-2</v>
      </c>
      <c r="H25" s="66"/>
      <c r="I25" s="1" t="s">
        <v>46</v>
      </c>
      <c r="J25" s="1"/>
      <c r="K25" s="1"/>
      <c r="L25" s="1"/>
      <c r="M25" s="1"/>
      <c r="N25" s="6"/>
    </row>
    <row r="26" spans="2:14" x14ac:dyDescent="0.25">
      <c r="B26" s="66" t="s">
        <v>196</v>
      </c>
      <c r="C26" s="66"/>
      <c r="D26" s="66"/>
      <c r="E26" s="66"/>
      <c r="F26" s="41">
        <f>F24/F25</f>
        <v>5480000</v>
      </c>
      <c r="G26" s="41">
        <f>G24/G25</f>
        <v>6348475.840953649</v>
      </c>
      <c r="H26" s="66"/>
      <c r="I26" s="66" t="s">
        <v>211</v>
      </c>
      <c r="J26" s="66"/>
      <c r="K26" s="66"/>
      <c r="L26" s="66" t="s">
        <v>212</v>
      </c>
      <c r="M26" s="66"/>
      <c r="N26" s="66"/>
    </row>
    <row r="27" spans="2:14" ht="15.6" x14ac:dyDescent="0.4">
      <c r="B27" s="67" t="s">
        <v>197</v>
      </c>
      <c r="C27" s="66"/>
      <c r="D27" s="66"/>
      <c r="E27" s="66"/>
      <c r="F27" s="73">
        <v>0</v>
      </c>
      <c r="G27" s="74">
        <f>Reversion!I46</f>
        <v>-413760</v>
      </c>
      <c r="H27" s="66"/>
      <c r="I27" s="67" t="s">
        <v>192</v>
      </c>
      <c r="J27" s="66"/>
      <c r="K27" s="70">
        <f>'Partnership Returns'!F25</f>
        <v>0.14330672626208663</v>
      </c>
      <c r="L27" s="67" t="s">
        <v>192</v>
      </c>
      <c r="M27" s="66"/>
      <c r="N27" s="70">
        <f>'Partnership Returns'!F18</f>
        <v>0.10733888935845926</v>
      </c>
    </row>
    <row r="28" spans="2:14" x14ac:dyDescent="0.25">
      <c r="B28" s="77" t="s">
        <v>198</v>
      </c>
      <c r="C28" s="77"/>
      <c r="D28" s="77"/>
      <c r="E28" s="77"/>
      <c r="F28" s="78">
        <f>SUM(F26:F27)</f>
        <v>5480000</v>
      </c>
      <c r="G28" s="78">
        <f>SUM(G26:G27)</f>
        <v>5934715.840953649</v>
      </c>
      <c r="H28" s="66"/>
      <c r="I28" s="67" t="s">
        <v>193</v>
      </c>
      <c r="J28" s="66"/>
      <c r="K28" s="79">
        <f>'Partnership Returns'!F26</f>
        <v>2.9797628865491954</v>
      </c>
      <c r="L28" s="67" t="s">
        <v>193</v>
      </c>
      <c r="M28" s="66"/>
      <c r="N28" s="79">
        <f>'Partnership Returns'!F19</f>
        <v>2.2066627663075864</v>
      </c>
    </row>
    <row r="29" spans="2:14" x14ac:dyDescent="0.25">
      <c r="B29" s="77"/>
      <c r="C29" s="77"/>
      <c r="D29" s="77"/>
      <c r="E29" s="77"/>
      <c r="F29" s="78"/>
      <c r="G29" s="78"/>
      <c r="H29" s="66"/>
      <c r="I29" s="67" t="s">
        <v>204</v>
      </c>
      <c r="J29" s="66"/>
      <c r="K29" s="70">
        <f>'Partnership Returns'!F24/Summary!G11/'Partnership Returns'!F22</f>
        <v>0.19797628865491951</v>
      </c>
      <c r="L29" s="67" t="s">
        <v>204</v>
      </c>
      <c r="M29" s="66"/>
      <c r="N29" s="70">
        <f>'Partnership Returns'!F17/Summary!G11/'Partnership Returns'!F15</f>
        <v>0.12066627663075863</v>
      </c>
    </row>
    <row r="30" spans="2:14" x14ac:dyDescent="0.25">
      <c r="B30" s="1" t="s">
        <v>47</v>
      </c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6"/>
    </row>
    <row r="31" spans="2:14" x14ac:dyDescent="0.25">
      <c r="B31" s="66"/>
      <c r="C31" s="66"/>
      <c r="D31" s="66"/>
      <c r="E31" s="66"/>
      <c r="F31" s="66"/>
      <c r="G31" s="69"/>
      <c r="H31" s="66"/>
      <c r="I31" s="66"/>
      <c r="J31" s="66"/>
      <c r="K31" s="66"/>
      <c r="L31" s="66"/>
      <c r="M31" s="66"/>
      <c r="N31" s="66"/>
    </row>
    <row r="32" spans="2:14" x14ac:dyDescent="0.25">
      <c r="B32" s="66">
        <v>1</v>
      </c>
      <c r="C32" s="66">
        <f>B32+1</f>
        <v>2</v>
      </c>
      <c r="D32" s="66">
        <f t="shared" ref="D32:K32" si="0">C32+1</f>
        <v>3</v>
      </c>
      <c r="E32" s="66">
        <f t="shared" si="0"/>
        <v>4</v>
      </c>
      <c r="F32" s="66">
        <f t="shared" si="0"/>
        <v>5</v>
      </c>
      <c r="G32" s="69">
        <f t="shared" si="0"/>
        <v>6</v>
      </c>
      <c r="H32" s="66">
        <f t="shared" si="0"/>
        <v>7</v>
      </c>
      <c r="I32" s="66">
        <f t="shared" si="0"/>
        <v>8</v>
      </c>
      <c r="J32" s="66">
        <f t="shared" si="0"/>
        <v>9</v>
      </c>
      <c r="K32" s="66">
        <f t="shared" si="0"/>
        <v>10</v>
      </c>
      <c r="L32" s="66"/>
      <c r="M32" s="66"/>
      <c r="N32" s="66"/>
    </row>
    <row r="33" spans="2:14" x14ac:dyDescent="0.25">
      <c r="B33" s="41">
        <f>'10-Yr OpSt'!F42</f>
        <v>275400</v>
      </c>
      <c r="C33" s="66">
        <f>'10-Yr OpSt'!G42</f>
        <v>370859.02049999998</v>
      </c>
      <c r="D33" s="66">
        <f>'10-Yr OpSt'!H42</f>
        <v>374517.64061999996</v>
      </c>
      <c r="E33" s="66">
        <f>'10-Yr OpSt'!I42</f>
        <v>378174.43564859993</v>
      </c>
      <c r="F33" s="66">
        <f>'10-Yr OpSt'!J42</f>
        <v>381826.88288209605</v>
      </c>
      <c r="G33" s="69">
        <f>'10-Yr OpSt'!K42</f>
        <v>385474.31017467246</v>
      </c>
      <c r="H33" s="66">
        <f>'10-Yr OpSt'!L42</f>
        <v>389115.90445379901</v>
      </c>
      <c r="I33" s="66">
        <f>'10-Yr OpSt'!M42</f>
        <v>392747.81520002079</v>
      </c>
      <c r="J33" s="66">
        <f>'10-Yr OpSt'!N42</f>
        <v>396369.94789030997</v>
      </c>
      <c r="K33" s="66">
        <f>'10-Yr OpSt'!O42</f>
        <v>399980.13240413071</v>
      </c>
      <c r="L33" s="66"/>
      <c r="M33" s="66"/>
      <c r="N33" s="66"/>
    </row>
    <row r="34" spans="2:14" x14ac:dyDescent="0.25">
      <c r="B34" s="66"/>
      <c r="C34" s="66"/>
      <c r="D34" s="66"/>
      <c r="E34" s="66"/>
      <c r="F34" s="66"/>
      <c r="G34" s="69"/>
      <c r="H34" s="66"/>
      <c r="I34" s="66"/>
      <c r="J34" s="66"/>
      <c r="K34" s="66"/>
      <c r="L34" s="66"/>
      <c r="M34" s="66"/>
      <c r="N34" s="66"/>
    </row>
    <row r="35" spans="2:14" x14ac:dyDescent="0.25">
      <c r="B35" s="66"/>
      <c r="C35" s="66"/>
      <c r="D35" s="66"/>
      <c r="E35" s="66"/>
      <c r="F35" s="66"/>
      <c r="G35" s="69"/>
      <c r="H35" s="66"/>
      <c r="I35" s="66"/>
      <c r="J35" s="66"/>
      <c r="K35" s="66"/>
      <c r="L35" s="66"/>
      <c r="M35" s="66"/>
      <c r="N35" s="69"/>
    </row>
    <row r="36" spans="2:14" x14ac:dyDescent="0.25">
      <c r="B36" s="66"/>
      <c r="C36" s="66"/>
      <c r="D36" s="66"/>
      <c r="E36" s="66"/>
      <c r="F36" s="66"/>
      <c r="G36" s="69"/>
      <c r="H36" s="66"/>
      <c r="I36" s="66"/>
      <c r="J36" s="66"/>
      <c r="K36" s="66"/>
      <c r="L36" s="66"/>
      <c r="M36" s="66"/>
      <c r="N36" s="69"/>
    </row>
    <row r="37" spans="2:14" x14ac:dyDescent="0.25">
      <c r="B37" s="66"/>
      <c r="C37" s="66"/>
      <c r="D37" s="66"/>
      <c r="E37" s="66"/>
      <c r="F37" s="66"/>
      <c r="G37" s="69"/>
      <c r="H37" s="66"/>
      <c r="I37" s="66"/>
      <c r="J37" s="66"/>
      <c r="K37" s="66"/>
      <c r="L37" s="66"/>
      <c r="M37" s="66"/>
      <c r="N37" s="69"/>
    </row>
    <row r="38" spans="2:14" x14ac:dyDescent="0.25">
      <c r="B38" s="66"/>
      <c r="C38" s="66"/>
      <c r="D38" s="66"/>
      <c r="E38" s="66"/>
      <c r="F38" s="66"/>
      <c r="G38" s="69"/>
      <c r="H38" s="66"/>
      <c r="I38" s="66"/>
      <c r="J38" s="66"/>
      <c r="K38" s="66"/>
      <c r="L38" s="66"/>
      <c r="M38" s="66"/>
      <c r="N38" s="69"/>
    </row>
    <row r="39" spans="2:14" x14ac:dyDescent="0.25">
      <c r="B39" s="66"/>
      <c r="C39" s="66"/>
      <c r="D39" s="66"/>
      <c r="E39" s="66"/>
      <c r="F39" s="66"/>
      <c r="G39" s="69"/>
      <c r="H39" s="66"/>
      <c r="I39" s="66"/>
      <c r="J39" s="66"/>
      <c r="K39" s="66"/>
      <c r="L39" s="66"/>
      <c r="M39" s="66"/>
      <c r="N39" s="69"/>
    </row>
    <row r="40" spans="2:14" x14ac:dyDescent="0.25">
      <c r="B40" s="66"/>
      <c r="C40" s="66"/>
      <c r="D40" s="66"/>
      <c r="E40" s="66"/>
      <c r="F40" s="66"/>
      <c r="G40" s="69"/>
      <c r="H40" s="66"/>
      <c r="I40" s="66"/>
      <c r="J40" s="66"/>
      <c r="K40" s="66"/>
      <c r="L40" s="66"/>
      <c r="M40" s="66"/>
      <c r="N40" s="69"/>
    </row>
    <row r="41" spans="2:14" x14ac:dyDescent="0.25">
      <c r="B41" s="66"/>
      <c r="C41" s="66"/>
      <c r="D41" s="66"/>
      <c r="E41" s="66"/>
      <c r="F41" s="66"/>
      <c r="G41" s="69"/>
      <c r="H41" s="66"/>
      <c r="I41" s="66"/>
      <c r="J41" s="66"/>
      <c r="K41" s="66"/>
      <c r="L41" s="66"/>
      <c r="M41" s="66"/>
      <c r="N41" s="69"/>
    </row>
    <row r="42" spans="2:14" x14ac:dyDescent="0.25">
      <c r="B42" s="66"/>
      <c r="C42" s="66"/>
      <c r="D42" s="66"/>
      <c r="E42" s="66"/>
      <c r="F42" s="66"/>
      <c r="G42" s="69"/>
      <c r="H42" s="66"/>
      <c r="I42" s="66"/>
      <c r="J42" s="66"/>
      <c r="K42" s="66"/>
      <c r="L42" s="66"/>
      <c r="M42" s="66"/>
      <c r="N42" s="69"/>
    </row>
    <row r="43" spans="2:14" x14ac:dyDescent="0.25">
      <c r="B43" s="66"/>
      <c r="C43" s="66"/>
      <c r="D43" s="66"/>
      <c r="E43" s="66"/>
      <c r="F43" s="66"/>
      <c r="G43" s="69"/>
      <c r="H43" s="66"/>
      <c r="I43" s="66"/>
      <c r="J43" s="66"/>
      <c r="K43" s="66"/>
      <c r="L43" s="66"/>
      <c r="M43" s="66"/>
      <c r="N43" s="69"/>
    </row>
    <row r="44" spans="2:14" x14ac:dyDescent="0.25">
      <c r="B44" s="66"/>
      <c r="C44" s="66"/>
      <c r="D44" s="66"/>
      <c r="E44" s="66"/>
      <c r="F44" s="66"/>
      <c r="G44" s="69"/>
      <c r="H44" s="66"/>
      <c r="I44" s="66"/>
      <c r="J44" s="66"/>
      <c r="K44" s="66"/>
      <c r="L44" s="66"/>
      <c r="M44" s="66"/>
      <c r="N44" s="69"/>
    </row>
    <row r="45" spans="2:14" x14ac:dyDescent="0.25">
      <c r="B45" s="66"/>
      <c r="C45" s="66"/>
      <c r="D45" s="66"/>
      <c r="E45" s="66"/>
      <c r="F45" s="66"/>
      <c r="G45" s="69"/>
      <c r="H45" s="66"/>
      <c r="I45" s="66"/>
      <c r="J45" s="66"/>
      <c r="K45" s="66"/>
      <c r="L45" s="66"/>
      <c r="M45" s="66"/>
      <c r="N45" s="69"/>
    </row>
    <row r="46" spans="2:14" x14ac:dyDescent="0.25">
      <c r="B46" s="66"/>
      <c r="C46" s="66"/>
      <c r="D46" s="66"/>
      <c r="E46" s="66"/>
      <c r="F46" s="66"/>
      <c r="G46" s="69"/>
      <c r="H46" s="66"/>
      <c r="I46" s="66"/>
      <c r="J46" s="66"/>
      <c r="K46" s="66"/>
      <c r="L46" s="66"/>
      <c r="M46" s="66"/>
      <c r="N46" s="69"/>
    </row>
    <row r="47" spans="2:14" x14ac:dyDescent="0.25">
      <c r="B47" s="66"/>
      <c r="C47" s="66"/>
      <c r="D47" s="66"/>
      <c r="E47" s="66"/>
      <c r="F47" s="66"/>
      <c r="G47" s="69"/>
      <c r="H47" s="66"/>
      <c r="I47" s="66"/>
      <c r="J47" s="66"/>
      <c r="K47" s="66"/>
      <c r="L47" s="66"/>
      <c r="M47" s="66"/>
      <c r="N47" s="69"/>
    </row>
    <row r="48" spans="2:14" x14ac:dyDescent="0.25"/>
    <row r="49" x14ac:dyDescent="0.25"/>
    <row r="50" x14ac:dyDescent="0.25"/>
  </sheetData>
  <pageMargins left="0.7" right="0.7" top="0.75" bottom="0.75" header="0.3" footer="0.3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30DF-880F-4BA6-A723-32A360BF8880}">
  <sheetPr>
    <tabColor theme="3" tint="0.79998168889431442"/>
  </sheetPr>
  <dimension ref="B1:N133"/>
  <sheetViews>
    <sheetView showGridLines="0" topLeftCell="A28" zoomScale="115" zoomScaleNormal="115" workbookViewId="0">
      <selection activeCell="B37" sqref="B37"/>
    </sheetView>
  </sheetViews>
  <sheetFormatPr defaultColWidth="0" defaultRowHeight="13.8" zeroHeight="1" x14ac:dyDescent="0.25"/>
  <cols>
    <col min="1" max="1" width="1.59765625" customWidth="1"/>
    <col min="2" max="5" width="8.796875" customWidth="1"/>
    <col min="6" max="6" width="10.09765625" bestFit="1" customWidth="1"/>
    <col min="7" max="7" width="1.69921875" customWidth="1"/>
    <col min="8" max="8" width="8.796875" style="4" customWidth="1"/>
    <col min="9" max="9" width="10.296875" bestFit="1" customWidth="1"/>
    <col min="10" max="13" width="8.796875" customWidth="1"/>
    <col min="14" max="14" width="14.3984375" customWidth="1"/>
    <col min="15" max="15" width="1.69921875" customWidth="1"/>
    <col min="16" max="16384" width="8.796875" hidden="1"/>
  </cols>
  <sheetData>
    <row r="1" spans="2:14" ht="5.0999999999999996" customHeight="1" x14ac:dyDescent="0.25"/>
    <row r="2" spans="2:14" s="3" customFormat="1" x14ac:dyDescent="0.25">
      <c r="B2" s="2" t="s">
        <v>1</v>
      </c>
      <c r="C2" s="2"/>
      <c r="D2" s="2"/>
      <c r="E2" s="2"/>
      <c r="F2" s="2"/>
      <c r="G2" s="2"/>
      <c r="H2" s="5"/>
      <c r="I2" s="2"/>
      <c r="J2" s="2"/>
      <c r="K2" s="2"/>
      <c r="L2" s="2"/>
      <c r="M2" s="2"/>
      <c r="N2" s="2"/>
    </row>
    <row r="3" spans="2:14" x14ac:dyDescent="0.25">
      <c r="B3" s="1" t="s">
        <v>48</v>
      </c>
      <c r="C3" s="1"/>
      <c r="D3" s="1"/>
      <c r="E3" s="1"/>
      <c r="F3" s="1"/>
      <c r="G3" s="1"/>
      <c r="H3" s="6"/>
      <c r="I3" s="1"/>
      <c r="J3" s="1" t="s">
        <v>49</v>
      </c>
      <c r="K3" s="1"/>
      <c r="L3" s="1"/>
      <c r="M3" s="1"/>
      <c r="N3" s="1"/>
    </row>
    <row r="4" spans="2:14" x14ac:dyDescent="0.25">
      <c r="B4" t="s">
        <v>51</v>
      </c>
    </row>
    <row r="5" spans="2:14" x14ac:dyDescent="0.25">
      <c r="B5" t="s">
        <v>52</v>
      </c>
      <c r="F5" s="52" t="s">
        <v>83</v>
      </c>
      <c r="G5" s="51"/>
      <c r="H5" s="52" t="s">
        <v>85</v>
      </c>
      <c r="I5" s="53" t="s">
        <v>84</v>
      </c>
    </row>
    <row r="6" spans="2:14" x14ac:dyDescent="0.25">
      <c r="B6" s="16" t="s">
        <v>53</v>
      </c>
      <c r="F6" s="27">
        <v>367200</v>
      </c>
      <c r="G6" s="22"/>
      <c r="H6" s="34">
        <f>I6/GLA</f>
        <v>8.8747099767981439</v>
      </c>
      <c r="I6" s="27">
        <f>F6</f>
        <v>367200</v>
      </c>
    </row>
    <row r="7" spans="2:14" ht="15.6" x14ac:dyDescent="0.4">
      <c r="B7" s="16" t="s">
        <v>54</v>
      </c>
      <c r="F7" s="28">
        <v>0</v>
      </c>
      <c r="G7" s="22"/>
      <c r="H7" s="35">
        <f>I7/GLA</f>
        <v>0</v>
      </c>
      <c r="I7" s="28">
        <f>F7</f>
        <v>0</v>
      </c>
      <c r="J7" t="s">
        <v>92</v>
      </c>
    </row>
    <row r="8" spans="2:14" x14ac:dyDescent="0.25">
      <c r="B8" t="s">
        <v>55</v>
      </c>
      <c r="F8" s="22">
        <f>SUM(F6:F7)</f>
        <v>367200</v>
      </c>
      <c r="G8" s="22"/>
      <c r="H8" s="34">
        <f>I8/GLA</f>
        <v>8.8747099767981439</v>
      </c>
      <c r="I8" s="22">
        <f>SUM(I6:I7)</f>
        <v>367200</v>
      </c>
    </row>
    <row r="9" spans="2:14" x14ac:dyDescent="0.25">
      <c r="F9" s="22"/>
      <c r="G9" s="22"/>
      <c r="H9" s="34"/>
      <c r="I9" s="22"/>
    </row>
    <row r="10" spans="2:14" x14ac:dyDescent="0.25">
      <c r="B10" t="s">
        <v>56</v>
      </c>
      <c r="F10" s="22"/>
      <c r="G10" s="22"/>
      <c r="H10" s="34"/>
      <c r="I10" s="22"/>
    </row>
    <row r="11" spans="2:14" x14ac:dyDescent="0.25">
      <c r="B11" s="16" t="s">
        <v>57</v>
      </c>
      <c r="F11" s="27">
        <v>355345</v>
      </c>
      <c r="G11" s="22"/>
      <c r="H11" s="34">
        <f>I11/GLA</f>
        <v>8.5881912219644239</v>
      </c>
      <c r="I11" s="27">
        <f t="shared" ref="I11:I13" si="0">F11</f>
        <v>355345</v>
      </c>
    </row>
    <row r="12" spans="2:14" x14ac:dyDescent="0.25">
      <c r="B12" s="16" t="s">
        <v>58</v>
      </c>
      <c r="F12" s="27">
        <v>0</v>
      </c>
      <c r="G12" s="22"/>
      <c r="H12" s="34">
        <f>I12/GLA</f>
        <v>0</v>
      </c>
      <c r="I12" s="27">
        <f t="shared" si="0"/>
        <v>0</v>
      </c>
    </row>
    <row r="13" spans="2:14" ht="15.6" x14ac:dyDescent="0.4">
      <c r="B13" s="16" t="s">
        <v>56</v>
      </c>
      <c r="F13" s="28">
        <v>0</v>
      </c>
      <c r="G13" s="22"/>
      <c r="H13" s="35">
        <f>I13/GLA</f>
        <v>0</v>
      </c>
      <c r="I13" s="27">
        <f t="shared" si="0"/>
        <v>0</v>
      </c>
    </row>
    <row r="14" spans="2:14" x14ac:dyDescent="0.25">
      <c r="B14" t="s">
        <v>59</v>
      </c>
      <c r="F14" s="22">
        <f>SUM(F11:F13)</f>
        <v>355345</v>
      </c>
      <c r="G14" s="22"/>
      <c r="H14" s="34">
        <f>I14/GLA</f>
        <v>8.5881912219644239</v>
      </c>
      <c r="I14" s="22">
        <f>SUM(I11:I13)</f>
        <v>355345</v>
      </c>
    </row>
    <row r="15" spans="2:14" x14ac:dyDescent="0.25">
      <c r="F15" s="22"/>
      <c r="G15" s="22"/>
      <c r="H15" s="34"/>
      <c r="I15" s="22"/>
    </row>
    <row r="16" spans="2:14" x14ac:dyDescent="0.25">
      <c r="B16" t="s">
        <v>60</v>
      </c>
      <c r="F16" s="22"/>
      <c r="G16" s="22"/>
      <c r="H16" s="34"/>
      <c r="I16" s="22"/>
    </row>
    <row r="17" spans="2:9" x14ac:dyDescent="0.25">
      <c r="B17" t="s">
        <v>61</v>
      </c>
      <c r="F17" s="22">
        <f>+F14+F8</f>
        <v>722545</v>
      </c>
      <c r="G17" s="22"/>
      <c r="H17" s="34">
        <f>I17/GLA</f>
        <v>17.462901198762566</v>
      </c>
      <c r="I17" s="22">
        <f>+I14+I8</f>
        <v>722545</v>
      </c>
    </row>
    <row r="18" spans="2:9" ht="15.6" x14ac:dyDescent="0.4">
      <c r="B18" s="16" t="s">
        <v>62</v>
      </c>
      <c r="F18" s="28">
        <v>0</v>
      </c>
      <c r="G18" s="26"/>
      <c r="H18" s="35">
        <f>I18/GLA</f>
        <v>0</v>
      </c>
      <c r="I18" s="27">
        <f>F18</f>
        <v>0</v>
      </c>
    </row>
    <row r="19" spans="2:9" x14ac:dyDescent="0.25">
      <c r="B19" s="17" t="s">
        <v>63</v>
      </c>
      <c r="F19" s="22">
        <f>SUM(F17:F18)</f>
        <v>722545</v>
      </c>
      <c r="G19" s="22"/>
      <c r="H19" s="34">
        <f>I19/GLA</f>
        <v>17.462901198762566</v>
      </c>
      <c r="I19" s="22">
        <f>SUM(I17:I18)</f>
        <v>722545</v>
      </c>
    </row>
    <row r="20" spans="2:9" x14ac:dyDescent="0.25">
      <c r="F20" s="22"/>
      <c r="G20" s="22"/>
      <c r="H20" s="34"/>
      <c r="I20" s="22"/>
    </row>
    <row r="21" spans="2:9" x14ac:dyDescent="0.25">
      <c r="B21" t="s">
        <v>64</v>
      </c>
      <c r="F21" s="22"/>
      <c r="G21" s="22"/>
      <c r="H21" s="34"/>
      <c r="I21" s="22"/>
    </row>
    <row r="22" spans="2:9" x14ac:dyDescent="0.25">
      <c r="B22" t="s">
        <v>65</v>
      </c>
      <c r="F22" s="22"/>
      <c r="G22" s="22"/>
      <c r="H22" s="34"/>
      <c r="I22" s="22"/>
    </row>
    <row r="23" spans="2:9" x14ac:dyDescent="0.25">
      <c r="B23" s="16" t="s">
        <v>66</v>
      </c>
      <c r="F23" s="27">
        <v>0</v>
      </c>
      <c r="G23" s="22"/>
      <c r="H23" s="34">
        <f>I23/GLA</f>
        <v>0</v>
      </c>
      <c r="I23" s="27">
        <f t="shared" ref="I23:I31" si="1">F23</f>
        <v>0</v>
      </c>
    </row>
    <row r="24" spans="2:9" x14ac:dyDescent="0.25">
      <c r="B24" s="16" t="s">
        <v>67</v>
      </c>
      <c r="F24" s="27">
        <f>166583+5140</f>
        <v>171723</v>
      </c>
      <c r="G24" s="22"/>
      <c r="H24" s="34">
        <f>I24/GLA</f>
        <v>4.1503045243619487</v>
      </c>
      <c r="I24" s="27">
        <f t="shared" si="1"/>
        <v>171723</v>
      </c>
    </row>
    <row r="25" spans="2:9" x14ac:dyDescent="0.25">
      <c r="B25" s="16" t="s">
        <v>68</v>
      </c>
      <c r="F25" s="27">
        <v>0</v>
      </c>
      <c r="G25" s="22"/>
      <c r="H25" s="34">
        <f>I25/GLA</f>
        <v>0</v>
      </c>
      <c r="I25" s="27">
        <f t="shared" si="1"/>
        <v>0</v>
      </c>
    </row>
    <row r="26" spans="2:9" x14ac:dyDescent="0.25">
      <c r="B26" s="16" t="s">
        <v>69</v>
      </c>
      <c r="F26" s="27">
        <v>7615</v>
      </c>
      <c r="G26" s="22"/>
      <c r="H26" s="34">
        <f>I26/GLA</f>
        <v>0.18404389017788089</v>
      </c>
      <c r="I26" s="27">
        <f t="shared" si="1"/>
        <v>7615</v>
      </c>
    </row>
    <row r="27" spans="2:9" x14ac:dyDescent="0.25">
      <c r="B27" s="16" t="s">
        <v>70</v>
      </c>
      <c r="F27" s="27">
        <f>36527+14850+4188+15804+1523</f>
        <v>72892</v>
      </c>
      <c r="G27" s="22"/>
      <c r="H27" s="34">
        <f>I27/GLA</f>
        <v>1.7616976024748647</v>
      </c>
      <c r="I27" s="27">
        <f t="shared" si="1"/>
        <v>72892</v>
      </c>
    </row>
    <row r="28" spans="2:9" x14ac:dyDescent="0.25">
      <c r="B28" s="16" t="s">
        <v>86</v>
      </c>
      <c r="F28" s="27">
        <v>22275</v>
      </c>
      <c r="G28" s="22"/>
      <c r="H28" s="34">
        <f>I28/GLA</f>
        <v>0.53835556844547561</v>
      </c>
      <c r="I28" s="27">
        <f t="shared" si="1"/>
        <v>22275</v>
      </c>
    </row>
    <row r="29" spans="2:9" x14ac:dyDescent="0.25">
      <c r="B29" s="16" t="s">
        <v>71</v>
      </c>
      <c r="F29" s="27">
        <v>14354</v>
      </c>
      <c r="G29" s="22"/>
      <c r="H29" s="34">
        <f>I29/GLA</f>
        <v>0.34691608662026296</v>
      </c>
      <c r="I29" s="27">
        <f t="shared" si="1"/>
        <v>14354</v>
      </c>
    </row>
    <row r="30" spans="2:9" x14ac:dyDescent="0.25">
      <c r="B30" s="16" t="s">
        <v>72</v>
      </c>
      <c r="F30" s="27">
        <v>0</v>
      </c>
      <c r="G30" s="22"/>
      <c r="H30" s="34">
        <f>I30/GLA</f>
        <v>0</v>
      </c>
      <c r="I30" s="27">
        <f t="shared" si="1"/>
        <v>0</v>
      </c>
    </row>
    <row r="31" spans="2:9" ht="15.6" x14ac:dyDescent="0.4">
      <c r="B31" s="16" t="s">
        <v>73</v>
      </c>
      <c r="F31" s="28">
        <v>0</v>
      </c>
      <c r="G31" s="22"/>
      <c r="H31" s="35">
        <f>I31/GLA</f>
        <v>0</v>
      </c>
      <c r="I31" s="27">
        <f t="shared" si="1"/>
        <v>0</v>
      </c>
    </row>
    <row r="32" spans="2:9" x14ac:dyDescent="0.25">
      <c r="B32" t="s">
        <v>74</v>
      </c>
      <c r="F32" s="29">
        <f>SUM(F23:F31)</f>
        <v>288859</v>
      </c>
      <c r="G32" s="22"/>
      <c r="H32" s="34">
        <f>I32/GLA</f>
        <v>6.9813176720804329</v>
      </c>
      <c r="I32" s="29">
        <f>SUM(I23:I31)</f>
        <v>288859</v>
      </c>
    </row>
    <row r="33" spans="2:14" x14ac:dyDescent="0.25">
      <c r="B33" t="s">
        <v>75</v>
      </c>
      <c r="F33" s="22"/>
      <c r="G33" s="22"/>
      <c r="H33" s="34"/>
      <c r="I33" s="22"/>
    </row>
    <row r="34" spans="2:14" x14ac:dyDescent="0.25">
      <c r="B34" s="16" t="s">
        <v>76</v>
      </c>
      <c r="F34" s="27">
        <v>60280</v>
      </c>
      <c r="G34" s="22"/>
      <c r="H34" s="34">
        <f>I34/GLA</f>
        <v>1.4568832173240527</v>
      </c>
      <c r="I34" s="27">
        <f t="shared" ref="I34:I35" si="2">F34</f>
        <v>60280</v>
      </c>
    </row>
    <row r="35" spans="2:14" ht="15.6" x14ac:dyDescent="0.4">
      <c r="B35" s="16" t="s">
        <v>77</v>
      </c>
      <c r="F35" s="28">
        <v>6206</v>
      </c>
      <c r="G35" s="22"/>
      <c r="H35" s="35">
        <f>I35/GLA</f>
        <v>0.14999033255993813</v>
      </c>
      <c r="I35" s="27">
        <f t="shared" si="2"/>
        <v>6206</v>
      </c>
    </row>
    <row r="36" spans="2:14" x14ac:dyDescent="0.25">
      <c r="B36" s="18" t="s">
        <v>200</v>
      </c>
      <c r="F36" s="22">
        <f>SUM(F34:F35)</f>
        <v>66486</v>
      </c>
      <c r="G36" s="22"/>
      <c r="H36" s="34">
        <f>I36/GLA</f>
        <v>1.6068735498839908</v>
      </c>
      <c r="I36" s="22">
        <f>SUM(I34:I35)</f>
        <v>66486</v>
      </c>
    </row>
    <row r="37" spans="2:14" x14ac:dyDescent="0.25">
      <c r="F37" s="22"/>
      <c r="G37" s="22"/>
      <c r="H37" s="34"/>
      <c r="I37" s="22"/>
    </row>
    <row r="38" spans="2:14" x14ac:dyDescent="0.25">
      <c r="B38" s="17" t="s">
        <v>79</v>
      </c>
      <c r="F38" s="22">
        <f>+F36+F32</f>
        <v>355345</v>
      </c>
      <c r="G38" s="22"/>
      <c r="H38" s="34">
        <f>I38/GLA</f>
        <v>8.5881912219644239</v>
      </c>
      <c r="I38" s="22">
        <f>+I36+I32</f>
        <v>355345</v>
      </c>
    </row>
    <row r="39" spans="2:14" x14ac:dyDescent="0.25">
      <c r="F39" s="22"/>
      <c r="G39" s="22"/>
      <c r="H39" s="34"/>
      <c r="I39" s="22"/>
    </row>
    <row r="40" spans="2:14" x14ac:dyDescent="0.25">
      <c r="B40" s="17" t="s">
        <v>80</v>
      </c>
      <c r="F40" s="30">
        <f>F19-F38</f>
        <v>367200</v>
      </c>
      <c r="G40" s="22"/>
      <c r="H40" s="34">
        <f>I40/GLA</f>
        <v>8.8747099767981439</v>
      </c>
      <c r="I40" s="30">
        <f>I19-I38</f>
        <v>367200</v>
      </c>
    </row>
    <row r="41" spans="2:14" x14ac:dyDescent="0.25">
      <c r="B41" s="17"/>
      <c r="F41" s="22"/>
      <c r="G41" s="22"/>
      <c r="H41" s="34"/>
      <c r="I41" s="22"/>
    </row>
    <row r="42" spans="2:14" x14ac:dyDescent="0.25">
      <c r="B42" s="17" t="s">
        <v>81</v>
      </c>
      <c r="F42" s="33">
        <f>F40/F43</f>
        <v>6.7007299270072998E-2</v>
      </c>
      <c r="G42" s="22"/>
      <c r="H42" s="34">
        <f>I42/GLA</f>
        <v>1.619472623503311E-6</v>
      </c>
      <c r="I42" s="33">
        <f>I40/I43</f>
        <v>6.7007299270072998E-2</v>
      </c>
    </row>
    <row r="43" spans="2:14" x14ac:dyDescent="0.25">
      <c r="B43" s="17" t="s">
        <v>82</v>
      </c>
      <c r="F43" s="27">
        <v>5480000</v>
      </c>
      <c r="G43" s="22"/>
      <c r="H43" s="34">
        <f>I43/GLA</f>
        <v>132.44392884764113</v>
      </c>
      <c r="I43" s="27">
        <f>F43</f>
        <v>5480000</v>
      </c>
    </row>
    <row r="44" spans="2:14" x14ac:dyDescent="0.25">
      <c r="B44" s="1" t="s">
        <v>50</v>
      </c>
      <c r="C44" s="1"/>
      <c r="D44" s="1"/>
      <c r="E44" s="1"/>
      <c r="F44" s="24"/>
      <c r="G44" s="24"/>
      <c r="H44" s="25"/>
      <c r="I44" s="24"/>
      <c r="J44" s="1" t="s">
        <v>49</v>
      </c>
      <c r="K44" s="1"/>
      <c r="L44" s="1"/>
      <c r="M44" s="1"/>
      <c r="N44" s="1"/>
    </row>
    <row r="45" spans="2:14" x14ac:dyDescent="0.25">
      <c r="B45" s="19" t="s">
        <v>82</v>
      </c>
      <c r="F45" s="22"/>
      <c r="G45" s="22"/>
      <c r="H45" s="23"/>
      <c r="I45" s="22">
        <f>I43</f>
        <v>5480000</v>
      </c>
    </row>
    <row r="46" spans="2:14" x14ac:dyDescent="0.25">
      <c r="B46" s="36" t="s">
        <v>87</v>
      </c>
      <c r="F46" s="22"/>
      <c r="G46" s="22"/>
      <c r="H46" s="23"/>
      <c r="I46" s="27">
        <v>0</v>
      </c>
    </row>
    <row r="47" spans="2:14" x14ac:dyDescent="0.25">
      <c r="B47" s="36" t="s">
        <v>88</v>
      </c>
      <c r="F47" s="22"/>
      <c r="G47" s="22"/>
      <c r="H47" s="23"/>
      <c r="I47" s="27">
        <f>I45*0.005</f>
        <v>27400</v>
      </c>
      <c r="J47" t="s">
        <v>91</v>
      </c>
    </row>
    <row r="48" spans="2:14" ht="15.6" x14ac:dyDescent="0.4">
      <c r="B48" s="36" t="s">
        <v>89</v>
      </c>
      <c r="F48" s="22"/>
      <c r="G48" s="22"/>
      <c r="H48" s="23"/>
      <c r="I48" s="28">
        <v>0</v>
      </c>
    </row>
    <row r="49" spans="2:9" x14ac:dyDescent="0.25">
      <c r="B49" s="37" t="s">
        <v>90</v>
      </c>
      <c r="F49" s="22"/>
      <c r="G49" s="22"/>
      <c r="H49" s="23"/>
      <c r="I49" s="22">
        <f>SUM(I45:I48)</f>
        <v>5507400</v>
      </c>
    </row>
    <row r="50" spans="2:9" x14ac:dyDescent="0.25">
      <c r="F50" s="22"/>
      <c r="G50" s="22"/>
      <c r="H50" s="23"/>
      <c r="I50" s="22"/>
    </row>
    <row r="51" spans="2:9" hidden="1" x14ac:dyDescent="0.25">
      <c r="F51" s="22"/>
      <c r="G51" s="22"/>
      <c r="H51" s="23"/>
      <c r="I51" s="22"/>
    </row>
    <row r="52" spans="2:9" hidden="1" x14ac:dyDescent="0.25">
      <c r="F52" s="22"/>
      <c r="G52" s="22"/>
      <c r="H52" s="23"/>
      <c r="I52" s="22"/>
    </row>
    <row r="53" spans="2:9" hidden="1" x14ac:dyDescent="0.25">
      <c r="F53" s="22"/>
      <c r="G53" s="22"/>
      <c r="H53" s="23"/>
      <c r="I53" s="22"/>
    </row>
    <row r="54" spans="2:9" hidden="1" x14ac:dyDescent="0.25">
      <c r="F54" s="22"/>
      <c r="G54" s="22"/>
      <c r="H54" s="23"/>
      <c r="I54" s="22"/>
    </row>
    <row r="55" spans="2:9" hidden="1" x14ac:dyDescent="0.25">
      <c r="F55" s="22"/>
      <c r="G55" s="22"/>
      <c r="H55" s="23"/>
      <c r="I55" s="22"/>
    </row>
    <row r="56" spans="2:9" hidden="1" x14ac:dyDescent="0.25">
      <c r="F56" s="22"/>
      <c r="G56" s="22"/>
      <c r="H56" s="23"/>
      <c r="I56" s="22"/>
    </row>
    <row r="57" spans="2:9" hidden="1" x14ac:dyDescent="0.25">
      <c r="F57" s="22"/>
      <c r="G57" s="22"/>
      <c r="H57" s="23"/>
      <c r="I57" s="22"/>
    </row>
    <row r="58" spans="2:9" hidden="1" x14ac:dyDescent="0.25">
      <c r="F58" s="22"/>
      <c r="G58" s="22"/>
      <c r="H58" s="23"/>
      <c r="I58" s="22"/>
    </row>
    <row r="59" spans="2:9" hidden="1" x14ac:dyDescent="0.25">
      <c r="F59" s="22"/>
      <c r="G59" s="22"/>
      <c r="H59" s="23"/>
      <c r="I59" s="22"/>
    </row>
    <row r="60" spans="2:9" hidden="1" x14ac:dyDescent="0.25">
      <c r="F60" s="22"/>
      <c r="G60" s="22"/>
      <c r="H60" s="23"/>
      <c r="I60" s="22"/>
    </row>
    <row r="61" spans="2:9" hidden="1" x14ac:dyDescent="0.25">
      <c r="F61" s="22"/>
      <c r="G61" s="22"/>
      <c r="H61" s="23"/>
      <c r="I61" s="22"/>
    </row>
    <row r="62" spans="2:9" hidden="1" x14ac:dyDescent="0.25">
      <c r="F62" s="22"/>
      <c r="G62" s="22"/>
      <c r="H62" s="23"/>
      <c r="I62" s="22"/>
    </row>
    <row r="63" spans="2:9" hidden="1" x14ac:dyDescent="0.25">
      <c r="F63" s="22"/>
      <c r="G63" s="22"/>
      <c r="H63" s="23"/>
      <c r="I63" s="22"/>
    </row>
    <row r="64" spans="2:9" hidden="1" x14ac:dyDescent="0.25">
      <c r="F64" s="22"/>
      <c r="G64" s="22"/>
      <c r="H64" s="23"/>
      <c r="I64" s="22"/>
    </row>
    <row r="65" spans="6:9" hidden="1" x14ac:dyDescent="0.25">
      <c r="F65" s="22"/>
      <c r="G65" s="22"/>
      <c r="H65" s="23"/>
      <c r="I65" s="22"/>
    </row>
    <row r="66" spans="6:9" hidden="1" x14ac:dyDescent="0.25">
      <c r="F66" s="22"/>
      <c r="G66" s="22"/>
      <c r="H66" s="23"/>
      <c r="I66" s="22"/>
    </row>
    <row r="67" spans="6:9" hidden="1" x14ac:dyDescent="0.25">
      <c r="F67" s="22"/>
      <c r="G67" s="22"/>
      <c r="H67" s="23"/>
      <c r="I67" s="22"/>
    </row>
    <row r="68" spans="6:9" hidden="1" x14ac:dyDescent="0.25">
      <c r="F68" s="22"/>
      <c r="G68" s="22"/>
      <c r="H68" s="23"/>
      <c r="I68" s="22"/>
    </row>
    <row r="69" spans="6:9" hidden="1" x14ac:dyDescent="0.25">
      <c r="F69" s="22"/>
      <c r="G69" s="22"/>
      <c r="H69" s="23"/>
      <c r="I69" s="22"/>
    </row>
    <row r="70" spans="6:9" hidden="1" x14ac:dyDescent="0.25">
      <c r="F70" s="22"/>
      <c r="G70" s="22"/>
      <c r="H70" s="23"/>
      <c r="I70" s="22"/>
    </row>
    <row r="71" spans="6:9" hidden="1" x14ac:dyDescent="0.25">
      <c r="F71" s="22"/>
      <c r="G71" s="22"/>
      <c r="H71" s="23"/>
      <c r="I71" s="22"/>
    </row>
    <row r="72" spans="6:9" hidden="1" x14ac:dyDescent="0.25">
      <c r="F72" s="22"/>
      <c r="G72" s="22"/>
      <c r="H72" s="23"/>
      <c r="I72" s="22"/>
    </row>
    <row r="73" spans="6:9" hidden="1" x14ac:dyDescent="0.25">
      <c r="F73" s="22"/>
      <c r="G73" s="22"/>
      <c r="H73" s="23"/>
      <c r="I73" s="22"/>
    </row>
    <row r="74" spans="6:9" hidden="1" x14ac:dyDescent="0.25">
      <c r="F74" s="22"/>
      <c r="G74" s="22"/>
      <c r="H74" s="23"/>
      <c r="I74" s="22"/>
    </row>
    <row r="75" spans="6:9" hidden="1" x14ac:dyDescent="0.25">
      <c r="F75" s="22"/>
      <c r="G75" s="22"/>
      <c r="H75" s="23"/>
      <c r="I75" s="22"/>
    </row>
    <row r="76" spans="6:9" hidden="1" x14ac:dyDescent="0.25">
      <c r="F76" s="22"/>
      <c r="G76" s="22"/>
      <c r="H76" s="23"/>
      <c r="I76" s="22"/>
    </row>
    <row r="77" spans="6:9" hidden="1" x14ac:dyDescent="0.25">
      <c r="F77" s="22"/>
      <c r="G77" s="22"/>
      <c r="H77" s="23"/>
      <c r="I77" s="22"/>
    </row>
    <row r="78" spans="6:9" hidden="1" x14ac:dyDescent="0.25">
      <c r="F78" s="22"/>
      <c r="G78" s="22"/>
      <c r="H78" s="23"/>
      <c r="I78" s="22"/>
    </row>
    <row r="79" spans="6:9" hidden="1" x14ac:dyDescent="0.25">
      <c r="F79" s="22"/>
      <c r="G79" s="22"/>
      <c r="H79" s="23"/>
      <c r="I79" s="22"/>
    </row>
    <row r="80" spans="6:9" hidden="1" x14ac:dyDescent="0.25">
      <c r="F80" s="22"/>
      <c r="G80" s="22"/>
      <c r="H80" s="23"/>
      <c r="I80" s="22"/>
    </row>
    <row r="81" spans="6:9" hidden="1" x14ac:dyDescent="0.25">
      <c r="F81" s="22"/>
      <c r="G81" s="22"/>
      <c r="H81" s="23"/>
      <c r="I81" s="22"/>
    </row>
    <row r="82" spans="6:9" hidden="1" x14ac:dyDescent="0.25">
      <c r="F82" s="22"/>
      <c r="G82" s="22"/>
      <c r="H82" s="23"/>
      <c r="I82" s="22"/>
    </row>
    <row r="83" spans="6:9" hidden="1" x14ac:dyDescent="0.25">
      <c r="F83" s="22"/>
      <c r="G83" s="22"/>
      <c r="H83" s="23"/>
      <c r="I83" s="22"/>
    </row>
    <row r="84" spans="6:9" hidden="1" x14ac:dyDescent="0.25">
      <c r="F84" s="22"/>
      <c r="G84" s="22"/>
      <c r="H84" s="23"/>
      <c r="I84" s="22"/>
    </row>
    <row r="85" spans="6:9" hidden="1" x14ac:dyDescent="0.25">
      <c r="F85" s="22"/>
      <c r="G85" s="22"/>
      <c r="H85" s="23"/>
      <c r="I85" s="22"/>
    </row>
    <row r="86" spans="6:9" hidden="1" x14ac:dyDescent="0.25">
      <c r="F86" s="22"/>
      <c r="G86" s="22"/>
      <c r="H86" s="23"/>
      <c r="I86" s="22"/>
    </row>
    <row r="87" spans="6:9" hidden="1" x14ac:dyDescent="0.25">
      <c r="F87" s="22"/>
      <c r="G87" s="22"/>
      <c r="H87" s="23"/>
      <c r="I87" s="22"/>
    </row>
    <row r="88" spans="6:9" hidden="1" x14ac:dyDescent="0.25">
      <c r="F88" s="22"/>
      <c r="G88" s="22"/>
      <c r="H88" s="23"/>
      <c r="I88" s="22"/>
    </row>
    <row r="89" spans="6:9" hidden="1" x14ac:dyDescent="0.25">
      <c r="F89" s="22"/>
      <c r="G89" s="22"/>
      <c r="H89" s="23"/>
      <c r="I89" s="22"/>
    </row>
    <row r="90" spans="6:9" hidden="1" x14ac:dyDescent="0.25">
      <c r="F90" s="22"/>
      <c r="G90" s="22"/>
      <c r="H90" s="23"/>
      <c r="I90" s="22"/>
    </row>
    <row r="91" spans="6:9" hidden="1" x14ac:dyDescent="0.25">
      <c r="F91" s="22"/>
      <c r="G91" s="22"/>
      <c r="H91" s="23"/>
      <c r="I91" s="22"/>
    </row>
    <row r="92" spans="6:9" hidden="1" x14ac:dyDescent="0.25">
      <c r="F92" s="22"/>
      <c r="G92" s="22"/>
      <c r="H92" s="23"/>
      <c r="I92" s="22"/>
    </row>
    <row r="93" spans="6:9" hidden="1" x14ac:dyDescent="0.25">
      <c r="F93" s="22"/>
      <c r="G93" s="22"/>
      <c r="H93" s="23"/>
      <c r="I93" s="22"/>
    </row>
    <row r="94" spans="6:9" hidden="1" x14ac:dyDescent="0.25">
      <c r="F94" s="22"/>
      <c r="G94" s="22"/>
      <c r="H94" s="23"/>
      <c r="I94" s="22"/>
    </row>
    <row r="95" spans="6:9" hidden="1" x14ac:dyDescent="0.25">
      <c r="F95" s="22"/>
      <c r="G95" s="22"/>
      <c r="H95" s="23"/>
      <c r="I95" s="22"/>
    </row>
    <row r="96" spans="6:9" hidden="1" x14ac:dyDescent="0.25">
      <c r="F96" s="22"/>
      <c r="G96" s="22"/>
      <c r="H96" s="23"/>
      <c r="I96" s="22"/>
    </row>
    <row r="97" spans="6:9" hidden="1" x14ac:dyDescent="0.25">
      <c r="F97" s="22"/>
      <c r="G97" s="22"/>
      <c r="H97" s="23"/>
      <c r="I97" s="22"/>
    </row>
    <row r="98" spans="6:9" hidden="1" x14ac:dyDescent="0.25">
      <c r="F98" s="22"/>
      <c r="G98" s="22"/>
      <c r="H98" s="23"/>
      <c r="I98" s="22"/>
    </row>
    <row r="99" spans="6:9" hidden="1" x14ac:dyDescent="0.25">
      <c r="F99" s="22"/>
      <c r="G99" s="22"/>
      <c r="H99" s="23"/>
      <c r="I99" s="22"/>
    </row>
    <row r="100" spans="6:9" hidden="1" x14ac:dyDescent="0.25">
      <c r="F100" s="22"/>
      <c r="G100" s="22"/>
      <c r="H100" s="23"/>
      <c r="I100" s="22"/>
    </row>
    <row r="101" spans="6:9" hidden="1" x14ac:dyDescent="0.25">
      <c r="F101" s="22"/>
      <c r="G101" s="22"/>
      <c r="H101" s="23"/>
      <c r="I101" s="22"/>
    </row>
    <row r="102" spans="6:9" hidden="1" x14ac:dyDescent="0.25">
      <c r="F102" s="22"/>
      <c r="G102" s="22"/>
      <c r="H102" s="23"/>
      <c r="I102" s="22"/>
    </row>
    <row r="103" spans="6:9" hidden="1" x14ac:dyDescent="0.25">
      <c r="F103" s="22"/>
      <c r="G103" s="22"/>
      <c r="H103" s="23"/>
      <c r="I103" s="22"/>
    </row>
    <row r="104" spans="6:9" hidden="1" x14ac:dyDescent="0.25">
      <c r="F104" s="22"/>
      <c r="G104" s="22"/>
      <c r="H104" s="23"/>
      <c r="I104" s="22"/>
    </row>
    <row r="105" spans="6:9" hidden="1" x14ac:dyDescent="0.25">
      <c r="F105" s="22"/>
      <c r="G105" s="22"/>
      <c r="H105" s="23"/>
      <c r="I105" s="22"/>
    </row>
    <row r="106" spans="6:9" hidden="1" x14ac:dyDescent="0.25">
      <c r="F106" s="22"/>
      <c r="G106" s="22"/>
      <c r="H106" s="23"/>
      <c r="I106" s="22"/>
    </row>
    <row r="107" spans="6:9" hidden="1" x14ac:dyDescent="0.25">
      <c r="F107" s="22"/>
      <c r="G107" s="22"/>
      <c r="H107" s="23"/>
      <c r="I107" s="22"/>
    </row>
    <row r="108" spans="6:9" hidden="1" x14ac:dyDescent="0.25">
      <c r="F108" s="22"/>
      <c r="G108" s="22"/>
      <c r="H108" s="23"/>
      <c r="I108" s="22"/>
    </row>
    <row r="109" spans="6:9" hidden="1" x14ac:dyDescent="0.25">
      <c r="F109" s="22"/>
      <c r="G109" s="22"/>
      <c r="H109" s="23"/>
      <c r="I109" s="22"/>
    </row>
    <row r="110" spans="6:9" hidden="1" x14ac:dyDescent="0.25">
      <c r="F110" s="22"/>
      <c r="G110" s="22"/>
      <c r="H110" s="23"/>
      <c r="I110" s="22"/>
    </row>
    <row r="111" spans="6:9" hidden="1" x14ac:dyDescent="0.25">
      <c r="F111" s="22"/>
      <c r="G111" s="22"/>
      <c r="H111" s="23"/>
      <c r="I111" s="22"/>
    </row>
    <row r="112" spans="6:9" hidden="1" x14ac:dyDescent="0.25">
      <c r="F112" s="22"/>
      <c r="G112" s="22"/>
      <c r="H112" s="23"/>
      <c r="I112" s="22"/>
    </row>
    <row r="113" spans="6:9" hidden="1" x14ac:dyDescent="0.25">
      <c r="F113" s="22"/>
      <c r="G113" s="22"/>
      <c r="H113" s="23"/>
      <c r="I113" s="22"/>
    </row>
    <row r="114" spans="6:9" hidden="1" x14ac:dyDescent="0.25">
      <c r="F114" s="22"/>
      <c r="G114" s="22"/>
      <c r="H114" s="23"/>
      <c r="I114" s="22"/>
    </row>
    <row r="115" spans="6:9" hidden="1" x14ac:dyDescent="0.25">
      <c r="F115" s="22"/>
      <c r="G115" s="22"/>
      <c r="H115" s="23"/>
      <c r="I115" s="22"/>
    </row>
    <row r="116" spans="6:9" hidden="1" x14ac:dyDescent="0.25">
      <c r="F116" s="22"/>
      <c r="G116" s="22"/>
      <c r="H116" s="23"/>
      <c r="I116" s="22"/>
    </row>
    <row r="117" spans="6:9" hidden="1" x14ac:dyDescent="0.25">
      <c r="F117" s="22"/>
      <c r="G117" s="22"/>
      <c r="H117" s="23"/>
      <c r="I117" s="22"/>
    </row>
    <row r="118" spans="6:9" hidden="1" x14ac:dyDescent="0.25">
      <c r="F118" s="22"/>
      <c r="G118" s="22"/>
      <c r="H118" s="23"/>
      <c r="I118" s="22"/>
    </row>
    <row r="119" spans="6:9" hidden="1" x14ac:dyDescent="0.25">
      <c r="F119" s="22"/>
      <c r="G119" s="22"/>
      <c r="H119" s="23"/>
      <c r="I119" s="22"/>
    </row>
    <row r="120" spans="6:9" hidden="1" x14ac:dyDescent="0.25">
      <c r="F120" s="22"/>
      <c r="G120" s="22"/>
      <c r="H120" s="23"/>
      <c r="I120" s="22"/>
    </row>
    <row r="121" spans="6:9" hidden="1" x14ac:dyDescent="0.25">
      <c r="F121" s="22"/>
      <c r="G121" s="22"/>
      <c r="H121" s="23"/>
      <c r="I121" s="22"/>
    </row>
    <row r="122" spans="6:9" hidden="1" x14ac:dyDescent="0.25">
      <c r="F122" s="22"/>
      <c r="G122" s="22"/>
      <c r="H122" s="23"/>
      <c r="I122" s="22"/>
    </row>
    <row r="123" spans="6:9" hidden="1" x14ac:dyDescent="0.25">
      <c r="F123" s="22"/>
      <c r="G123" s="22"/>
      <c r="H123" s="23"/>
      <c r="I123" s="22"/>
    </row>
    <row r="124" spans="6:9" hidden="1" x14ac:dyDescent="0.25">
      <c r="F124" s="22"/>
      <c r="G124" s="22"/>
      <c r="H124" s="23"/>
      <c r="I124" s="22"/>
    </row>
    <row r="125" spans="6:9" hidden="1" x14ac:dyDescent="0.25">
      <c r="F125" s="22"/>
      <c r="G125" s="22"/>
      <c r="H125" s="23"/>
      <c r="I125" s="22"/>
    </row>
    <row r="126" spans="6:9" hidden="1" x14ac:dyDescent="0.25">
      <c r="F126" s="22"/>
      <c r="G126" s="22"/>
      <c r="H126" s="23"/>
      <c r="I126" s="22"/>
    </row>
    <row r="127" spans="6:9" hidden="1" x14ac:dyDescent="0.25">
      <c r="F127" s="22"/>
      <c r="G127" s="22"/>
      <c r="H127" s="23"/>
      <c r="I127" s="22"/>
    </row>
    <row r="128" spans="6:9" hidden="1" x14ac:dyDescent="0.25">
      <c r="F128" s="22"/>
      <c r="G128" s="22"/>
      <c r="H128" s="23"/>
      <c r="I128" s="22"/>
    </row>
    <row r="129" spans="6:9" hidden="1" x14ac:dyDescent="0.25">
      <c r="F129" s="22"/>
      <c r="G129" s="22"/>
      <c r="H129" s="23"/>
      <c r="I129" s="22"/>
    </row>
    <row r="130" spans="6:9" hidden="1" x14ac:dyDescent="0.25">
      <c r="F130" s="20"/>
      <c r="G130" s="20"/>
      <c r="H130" s="21"/>
      <c r="I130" s="20"/>
    </row>
    <row r="131" spans="6:9" hidden="1" x14ac:dyDescent="0.25">
      <c r="F131" s="20"/>
      <c r="G131" s="20"/>
      <c r="H131" s="21"/>
      <c r="I131" s="20"/>
    </row>
    <row r="132" spans="6:9" hidden="1" x14ac:dyDescent="0.25">
      <c r="F132" s="20"/>
      <c r="G132" s="20"/>
      <c r="H132" s="21"/>
      <c r="I132" s="20"/>
    </row>
    <row r="133" spans="6:9" hidden="1" x14ac:dyDescent="0.25">
      <c r="F133" s="20"/>
      <c r="G133" s="20"/>
      <c r="H133" s="21"/>
      <c r="I13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149D-4C6F-4C77-8FC5-C5A4CDD1FE66}">
  <sheetPr>
    <tabColor theme="3" tint="0.79998168889431442"/>
  </sheetPr>
  <dimension ref="B1:Y60"/>
  <sheetViews>
    <sheetView showGridLines="0" topLeftCell="A30" zoomScale="110" zoomScaleNormal="110" workbookViewId="0">
      <selection activeCell="F50" sqref="F50:O50"/>
    </sheetView>
  </sheetViews>
  <sheetFormatPr defaultColWidth="0" defaultRowHeight="13.8" zeroHeight="1" x14ac:dyDescent="0.25"/>
  <cols>
    <col min="1" max="1" width="1.59765625" customWidth="1"/>
    <col min="2" max="4" width="8.796875" customWidth="1"/>
    <col min="5" max="5" width="19.19921875" customWidth="1"/>
    <col min="6" max="12" width="9.5" bestFit="1" customWidth="1"/>
    <col min="13" max="14" width="8.796875" customWidth="1"/>
    <col min="15" max="16" width="9.5" bestFit="1" customWidth="1"/>
    <col min="17" max="25" width="8.796875" customWidth="1"/>
    <col min="26" max="26" width="1.69921875" customWidth="1"/>
    <col min="27" max="16384" width="8.796875" hidden="1"/>
  </cols>
  <sheetData>
    <row r="1" spans="2:25" ht="5.0999999999999996" customHeight="1" x14ac:dyDescent="0.25"/>
    <row r="2" spans="2:25" s="3" customFormat="1" x14ac:dyDescent="0.25"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5">
      <c r="B3" s="1" t="s">
        <v>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x14ac:dyDescent="0.25">
      <c r="E4" s="4" t="s">
        <v>94</v>
      </c>
      <c r="F4">
        <v>1</v>
      </c>
      <c r="G4">
        <f>+F4+1</f>
        <v>2</v>
      </c>
      <c r="H4">
        <f t="shared" ref="H4:P4" si="0">+G4+1</f>
        <v>3</v>
      </c>
      <c r="I4">
        <f t="shared" si="0"/>
        <v>4</v>
      </c>
      <c r="J4">
        <f t="shared" si="0"/>
        <v>5</v>
      </c>
      <c r="K4">
        <f t="shared" si="0"/>
        <v>6</v>
      </c>
      <c r="L4">
        <f t="shared" si="0"/>
        <v>7</v>
      </c>
      <c r="M4">
        <f t="shared" si="0"/>
        <v>8</v>
      </c>
      <c r="N4">
        <f t="shared" si="0"/>
        <v>9</v>
      </c>
      <c r="O4">
        <f t="shared" si="0"/>
        <v>10</v>
      </c>
      <c r="P4">
        <f t="shared" si="0"/>
        <v>11</v>
      </c>
    </row>
    <row r="5" spans="2:25" x14ac:dyDescent="0.25">
      <c r="E5" s="4" t="s">
        <v>95</v>
      </c>
      <c r="F5" s="38">
        <f>EOMONTH(Summary!G10,11)</f>
        <v>43890</v>
      </c>
      <c r="G5" s="38">
        <f>EOMONTH(F5,12)</f>
        <v>44255</v>
      </c>
      <c r="H5" s="38">
        <f t="shared" ref="H5:P5" si="1">EOMONTH(G5,12)</f>
        <v>44620</v>
      </c>
      <c r="I5" s="38">
        <f t="shared" si="1"/>
        <v>44985</v>
      </c>
      <c r="J5" s="38">
        <f t="shared" si="1"/>
        <v>45351</v>
      </c>
      <c r="K5" s="38">
        <f t="shared" si="1"/>
        <v>45716</v>
      </c>
      <c r="L5" s="38">
        <f t="shared" si="1"/>
        <v>46081</v>
      </c>
      <c r="M5" s="38">
        <f t="shared" si="1"/>
        <v>46446</v>
      </c>
      <c r="N5" s="38">
        <f t="shared" si="1"/>
        <v>46812</v>
      </c>
      <c r="O5" s="38">
        <f t="shared" si="1"/>
        <v>47177</v>
      </c>
      <c r="P5" s="38">
        <f t="shared" si="1"/>
        <v>47542</v>
      </c>
    </row>
    <row r="6" spans="2:25" x14ac:dyDescent="0.25">
      <c r="B6" t="s">
        <v>51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2:25" x14ac:dyDescent="0.25">
      <c r="B7" t="s">
        <v>52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2:25" x14ac:dyDescent="0.25">
      <c r="B8" s="16" t="s">
        <v>53</v>
      </c>
      <c r="F8" s="27">
        <f>Acquisition!F6</f>
        <v>367200</v>
      </c>
      <c r="G8" s="27">
        <v>374544</v>
      </c>
      <c r="H8" s="27">
        <v>382035</v>
      </c>
      <c r="I8" s="27">
        <v>389676</v>
      </c>
      <c r="J8" s="27">
        <v>397469</v>
      </c>
      <c r="K8" s="27">
        <v>405418</v>
      </c>
      <c r="L8" s="27">
        <v>413527</v>
      </c>
      <c r="M8" s="27">
        <v>421797</v>
      </c>
      <c r="N8" s="27">
        <v>430233</v>
      </c>
      <c r="O8" s="27">
        <v>438838</v>
      </c>
      <c r="P8" s="27">
        <v>447615</v>
      </c>
    </row>
    <row r="9" spans="2:25" ht="15.6" x14ac:dyDescent="0.4">
      <c r="B9" s="16" t="s">
        <v>54</v>
      </c>
      <c r="F9" s="28">
        <f>-F8*0.25</f>
        <v>-91800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</row>
    <row r="10" spans="2:25" x14ac:dyDescent="0.25">
      <c r="B10" t="s">
        <v>55</v>
      </c>
      <c r="F10" s="22">
        <f>SUM(F8:F9)</f>
        <v>275400</v>
      </c>
      <c r="G10" s="22">
        <f t="shared" ref="G10:P10" si="2">SUM(G8:G9)</f>
        <v>374544</v>
      </c>
      <c r="H10" s="22">
        <f t="shared" si="2"/>
        <v>382035</v>
      </c>
      <c r="I10" s="22">
        <f t="shared" si="2"/>
        <v>389676</v>
      </c>
      <c r="J10" s="22">
        <f t="shared" si="2"/>
        <v>397469</v>
      </c>
      <c r="K10" s="22">
        <f t="shared" si="2"/>
        <v>405418</v>
      </c>
      <c r="L10" s="22">
        <f t="shared" si="2"/>
        <v>413527</v>
      </c>
      <c r="M10" s="22">
        <f t="shared" si="2"/>
        <v>421797</v>
      </c>
      <c r="N10" s="22">
        <f t="shared" si="2"/>
        <v>430233</v>
      </c>
      <c r="O10" s="22">
        <f t="shared" si="2"/>
        <v>438838</v>
      </c>
      <c r="P10" s="22">
        <f t="shared" si="2"/>
        <v>447615</v>
      </c>
    </row>
    <row r="11" spans="2:25" x14ac:dyDescent="0.25"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2:25" x14ac:dyDescent="0.25">
      <c r="B12" t="s">
        <v>56</v>
      </c>
      <c r="E12" s="4" t="s">
        <v>103</v>
      </c>
      <c r="F12" s="32">
        <f>F13/F40</f>
        <v>1</v>
      </c>
      <c r="G12" s="39">
        <v>1</v>
      </c>
      <c r="H12" s="39">
        <v>1</v>
      </c>
      <c r="I12" s="39">
        <v>1</v>
      </c>
      <c r="J12" s="39">
        <v>1</v>
      </c>
      <c r="K12" s="39">
        <v>1</v>
      </c>
      <c r="L12" s="39">
        <v>1</v>
      </c>
      <c r="M12" s="39">
        <v>1</v>
      </c>
      <c r="N12" s="39">
        <v>1</v>
      </c>
      <c r="O12" s="39">
        <v>1</v>
      </c>
      <c r="P12" s="39">
        <v>1</v>
      </c>
    </row>
    <row r="13" spans="2:25" x14ac:dyDescent="0.25">
      <c r="B13" s="16" t="s">
        <v>57</v>
      </c>
      <c r="F13" s="27">
        <f>Acquisition!F11</f>
        <v>355345</v>
      </c>
      <c r="G13" s="29">
        <f>G12*G40</f>
        <v>362451.9</v>
      </c>
      <c r="H13" s="29">
        <f t="shared" ref="H13:P13" si="3">H12*H40</f>
        <v>369700.93799999997</v>
      </c>
      <c r="I13" s="29">
        <f t="shared" si="3"/>
        <v>377094.95676000003</v>
      </c>
      <c r="J13" s="29">
        <f t="shared" si="3"/>
        <v>384636.85589519999</v>
      </c>
      <c r="K13" s="29">
        <f t="shared" si="3"/>
        <v>392329.59301310399</v>
      </c>
      <c r="L13" s="29">
        <f t="shared" si="3"/>
        <v>400176.18487336615</v>
      </c>
      <c r="M13" s="29">
        <f t="shared" si="3"/>
        <v>408179.70857083343</v>
      </c>
      <c r="N13" s="29">
        <f t="shared" si="3"/>
        <v>416343.30274225015</v>
      </c>
      <c r="O13" s="29">
        <f t="shared" si="3"/>
        <v>424670.16879709513</v>
      </c>
      <c r="P13" s="29">
        <f t="shared" si="3"/>
        <v>433163.5721730371</v>
      </c>
    </row>
    <row r="14" spans="2:25" x14ac:dyDescent="0.25">
      <c r="B14" s="16" t="s">
        <v>58</v>
      </c>
      <c r="E14" s="40">
        <v>0.02</v>
      </c>
      <c r="F14" s="27">
        <v>0</v>
      </c>
      <c r="G14" s="22">
        <f>$F$14*(1+$E14)^(G$4-1)</f>
        <v>0</v>
      </c>
      <c r="H14" s="22">
        <f t="shared" ref="H14:P14" si="4">$F$14*(1+$E14)^(H$4-1)</f>
        <v>0</v>
      </c>
      <c r="I14" s="22">
        <f t="shared" si="4"/>
        <v>0</v>
      </c>
      <c r="J14" s="22">
        <f t="shared" si="4"/>
        <v>0</v>
      </c>
      <c r="K14" s="22">
        <f t="shared" si="4"/>
        <v>0</v>
      </c>
      <c r="L14" s="22">
        <f t="shared" si="4"/>
        <v>0</v>
      </c>
      <c r="M14" s="22">
        <f t="shared" si="4"/>
        <v>0</v>
      </c>
      <c r="N14" s="22">
        <f t="shared" si="4"/>
        <v>0</v>
      </c>
      <c r="O14" s="22">
        <f t="shared" si="4"/>
        <v>0</v>
      </c>
      <c r="P14" s="22">
        <f t="shared" si="4"/>
        <v>0</v>
      </c>
    </row>
    <row r="15" spans="2:25" ht="15.6" x14ac:dyDescent="0.4">
      <c r="B15" s="16" t="s">
        <v>56</v>
      </c>
      <c r="E15" s="40">
        <v>0.02</v>
      </c>
      <c r="F15" s="28">
        <v>0</v>
      </c>
      <c r="G15" s="26">
        <f>$F$15*(1+$E15)^(G$4-1)</f>
        <v>0</v>
      </c>
      <c r="H15" s="26">
        <f t="shared" ref="H15:P15" si="5">$F$15*(1+$E15)^(H$4-1)</f>
        <v>0</v>
      </c>
      <c r="I15" s="26">
        <f t="shared" si="5"/>
        <v>0</v>
      </c>
      <c r="J15" s="26">
        <f t="shared" si="5"/>
        <v>0</v>
      </c>
      <c r="K15" s="26">
        <f t="shared" si="5"/>
        <v>0</v>
      </c>
      <c r="L15" s="26">
        <f t="shared" si="5"/>
        <v>0</v>
      </c>
      <c r="M15" s="26">
        <f t="shared" si="5"/>
        <v>0</v>
      </c>
      <c r="N15" s="26">
        <f t="shared" si="5"/>
        <v>0</v>
      </c>
      <c r="O15" s="26">
        <f t="shared" si="5"/>
        <v>0</v>
      </c>
      <c r="P15" s="26">
        <f t="shared" si="5"/>
        <v>0</v>
      </c>
    </row>
    <row r="16" spans="2:25" x14ac:dyDescent="0.25">
      <c r="B16" t="s">
        <v>59</v>
      </c>
      <c r="F16" s="22">
        <f>SUM(F13:F15)</f>
        <v>355345</v>
      </c>
      <c r="G16" s="22">
        <f t="shared" ref="G16:P16" si="6">SUM(G13:G15)</f>
        <v>362451.9</v>
      </c>
      <c r="H16" s="22">
        <f t="shared" si="6"/>
        <v>369700.93799999997</v>
      </c>
      <c r="I16" s="22">
        <f t="shared" si="6"/>
        <v>377094.95676000003</v>
      </c>
      <c r="J16" s="22">
        <f t="shared" si="6"/>
        <v>384636.85589519999</v>
      </c>
      <c r="K16" s="22">
        <f t="shared" si="6"/>
        <v>392329.59301310399</v>
      </c>
      <c r="L16" s="22">
        <f t="shared" si="6"/>
        <v>400176.18487336615</v>
      </c>
      <c r="M16" s="22">
        <f t="shared" si="6"/>
        <v>408179.70857083343</v>
      </c>
      <c r="N16" s="22">
        <f t="shared" si="6"/>
        <v>416343.30274225015</v>
      </c>
      <c r="O16" s="22">
        <f t="shared" si="6"/>
        <v>424670.16879709513</v>
      </c>
      <c r="P16" s="22">
        <f t="shared" si="6"/>
        <v>433163.5721730371</v>
      </c>
    </row>
    <row r="17" spans="2:16" x14ac:dyDescent="0.25"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x14ac:dyDescent="0.25">
      <c r="B18" t="s">
        <v>60</v>
      </c>
      <c r="E18" s="4" t="s">
        <v>106</v>
      </c>
      <c r="F18" s="40">
        <f>'10-Yr OpSt'!K14+((Summary!$N$14-Summary!$K$14)/Summary!$G$11)*('10-Yr OpSt'!F4-1)</f>
        <v>0</v>
      </c>
      <c r="G18" s="40">
        <f>'10-Yr OpSt'!L14+((Summary!$N$14-Summary!$K$14)/Summary!$G$11)*('10-Yr OpSt'!G4-1)</f>
        <v>5.0000000000000001E-3</v>
      </c>
      <c r="H18" s="40">
        <f>'10-Yr OpSt'!M14+((Summary!$N$14-Summary!$K$14)/Summary!$G$11)*('10-Yr OpSt'!H4-1)</f>
        <v>0.01</v>
      </c>
      <c r="I18" s="40">
        <f>'10-Yr OpSt'!N14+((Summary!$N$14-Summary!$K$14)/Summary!$G$11)*('10-Yr OpSt'!I4-1)</f>
        <v>1.4999999999999999E-2</v>
      </c>
      <c r="J18" s="40">
        <f>'10-Yr OpSt'!O14+((Summary!$N$14-Summary!$K$14)/Summary!$G$11)*('10-Yr OpSt'!J4-1)</f>
        <v>0.02</v>
      </c>
      <c r="K18" s="40">
        <f>'10-Yr OpSt'!P14+((Summary!$N$14-Summary!$K$14)/Summary!$G$11)*('10-Yr OpSt'!K4-1)</f>
        <v>2.5000000000000001E-2</v>
      </c>
      <c r="L18" s="40">
        <f>'10-Yr OpSt'!Q14+((Summary!$N$14-Summary!$K$14)/Summary!$G$11)*('10-Yr OpSt'!L4-1)</f>
        <v>0.03</v>
      </c>
      <c r="M18" s="40">
        <f>'10-Yr OpSt'!R14+((Summary!$N$14-Summary!$K$14)/Summary!$G$11)*('10-Yr OpSt'!M4-1)</f>
        <v>3.5000000000000003E-2</v>
      </c>
      <c r="N18" s="40">
        <f>'10-Yr OpSt'!S14+((Summary!$N$14-Summary!$K$14)/Summary!$G$11)*('10-Yr OpSt'!N4-1)</f>
        <v>0.04</v>
      </c>
      <c r="O18" s="40">
        <f>'10-Yr OpSt'!T14+((Summary!$N$14-Summary!$K$14)/Summary!$G$11)*('10-Yr OpSt'!O4-1)</f>
        <v>4.4999999999999998E-2</v>
      </c>
      <c r="P18" s="40">
        <f>'10-Yr OpSt'!U14+((Summary!$N$14-Summary!$K$14)/Summary!$G$11)*('10-Yr OpSt'!P4-1)</f>
        <v>0.05</v>
      </c>
    </row>
    <row r="19" spans="2:16" x14ac:dyDescent="0.25">
      <c r="B19" t="s">
        <v>61</v>
      </c>
      <c r="F19" s="27">
        <f>F16+F10</f>
        <v>630745</v>
      </c>
      <c r="G19" s="27">
        <f t="shared" ref="G19:P19" si="7">G16+G10</f>
        <v>736995.9</v>
      </c>
      <c r="H19" s="27">
        <f t="shared" si="7"/>
        <v>751735.93799999997</v>
      </c>
      <c r="I19" s="27">
        <f t="shared" si="7"/>
        <v>766770.95675999997</v>
      </c>
      <c r="J19" s="27">
        <f t="shared" si="7"/>
        <v>782105.85589520005</v>
      </c>
      <c r="K19" s="27">
        <f t="shared" si="7"/>
        <v>797747.59301310405</v>
      </c>
      <c r="L19" s="27">
        <f t="shared" si="7"/>
        <v>813703.18487336615</v>
      </c>
      <c r="M19" s="27">
        <f t="shared" si="7"/>
        <v>829976.70857083343</v>
      </c>
      <c r="N19" s="27">
        <f t="shared" si="7"/>
        <v>846576.30274225015</v>
      </c>
      <c r="O19" s="27">
        <f t="shared" si="7"/>
        <v>863508.16879709507</v>
      </c>
      <c r="P19" s="27">
        <f t="shared" si="7"/>
        <v>880778.5721730371</v>
      </c>
    </row>
    <row r="20" spans="2:16" ht="15.6" x14ac:dyDescent="0.4">
      <c r="B20" s="16" t="s">
        <v>62</v>
      </c>
      <c r="F20" s="28">
        <f>-F18*F19</f>
        <v>0</v>
      </c>
      <c r="G20" s="26">
        <f t="shared" ref="G20:P20" si="8">-G18*G19</f>
        <v>-3684.9795000000004</v>
      </c>
      <c r="H20" s="26">
        <f t="shared" si="8"/>
        <v>-7517.3593799999999</v>
      </c>
      <c r="I20" s="26">
        <f t="shared" si="8"/>
        <v>-11501.564351399998</v>
      </c>
      <c r="J20" s="26">
        <f t="shared" si="8"/>
        <v>-15642.117117904001</v>
      </c>
      <c r="K20" s="26">
        <f t="shared" si="8"/>
        <v>-19943.689825327601</v>
      </c>
      <c r="L20" s="26">
        <f t="shared" si="8"/>
        <v>-24411.095546200984</v>
      </c>
      <c r="M20" s="26">
        <f t="shared" si="8"/>
        <v>-29049.184799979172</v>
      </c>
      <c r="N20" s="26">
        <f t="shared" si="8"/>
        <v>-33863.052109690005</v>
      </c>
      <c r="O20" s="26">
        <f t="shared" si="8"/>
        <v>-38857.867595869277</v>
      </c>
      <c r="P20" s="26">
        <f t="shared" si="8"/>
        <v>-44038.928608651855</v>
      </c>
    </row>
    <row r="21" spans="2:16" x14ac:dyDescent="0.25">
      <c r="B21" s="17" t="s">
        <v>63</v>
      </c>
      <c r="F21" s="30">
        <f>SUM(F19:F20)</f>
        <v>630745</v>
      </c>
      <c r="G21" s="30">
        <f t="shared" ref="G21:P21" si="9">SUM(G19:G20)</f>
        <v>733310.92050000001</v>
      </c>
      <c r="H21" s="30">
        <f t="shared" si="9"/>
        <v>744218.57861999993</v>
      </c>
      <c r="I21" s="30">
        <f t="shared" si="9"/>
        <v>755269.39240859996</v>
      </c>
      <c r="J21" s="30">
        <f t="shared" si="9"/>
        <v>766463.73877729604</v>
      </c>
      <c r="K21" s="30">
        <f t="shared" si="9"/>
        <v>777803.90318777645</v>
      </c>
      <c r="L21" s="30">
        <f t="shared" si="9"/>
        <v>789292.08932716516</v>
      </c>
      <c r="M21" s="30">
        <f t="shared" si="9"/>
        <v>800927.52377085423</v>
      </c>
      <c r="N21" s="30">
        <f t="shared" si="9"/>
        <v>812713.25063256011</v>
      </c>
      <c r="O21" s="30">
        <f t="shared" si="9"/>
        <v>824650.30120122584</v>
      </c>
      <c r="P21" s="30">
        <f t="shared" si="9"/>
        <v>836739.64356438525</v>
      </c>
    </row>
    <row r="22" spans="2:16" x14ac:dyDescent="0.25"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2:16" x14ac:dyDescent="0.25">
      <c r="B23" t="s">
        <v>64</v>
      </c>
      <c r="E23" s="23" t="s">
        <v>104</v>
      </c>
      <c r="F23" s="4" t="s">
        <v>18</v>
      </c>
      <c r="G23" s="40">
        <v>0.02</v>
      </c>
      <c r="H23" s="40">
        <v>0.02</v>
      </c>
      <c r="I23" s="40">
        <v>0.02</v>
      </c>
      <c r="J23" s="40">
        <v>0.02</v>
      </c>
      <c r="K23" s="40">
        <v>0.02</v>
      </c>
      <c r="L23" s="40">
        <v>0.02</v>
      </c>
      <c r="M23" s="40">
        <v>0.02</v>
      </c>
      <c r="N23" s="40">
        <v>0.02</v>
      </c>
      <c r="O23" s="40">
        <v>0.02</v>
      </c>
      <c r="P23" s="40">
        <v>0.02</v>
      </c>
    </row>
    <row r="24" spans="2:16" x14ac:dyDescent="0.25">
      <c r="B24" t="s">
        <v>65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x14ac:dyDescent="0.25">
      <c r="B25" s="16" t="s">
        <v>66</v>
      </c>
      <c r="F25" s="27">
        <f>Acquisition!F23</f>
        <v>0</v>
      </c>
      <c r="G25" s="22">
        <f>F25*(1+G$23)</f>
        <v>0</v>
      </c>
      <c r="H25" s="22">
        <f t="shared" ref="H25:P25" si="10">G25*(1+H$23)</f>
        <v>0</v>
      </c>
      <c r="I25" s="22">
        <f t="shared" si="10"/>
        <v>0</v>
      </c>
      <c r="J25" s="22">
        <f t="shared" si="10"/>
        <v>0</v>
      </c>
      <c r="K25" s="22">
        <f t="shared" si="10"/>
        <v>0</v>
      </c>
      <c r="L25" s="22">
        <f t="shared" si="10"/>
        <v>0</v>
      </c>
      <c r="M25" s="22">
        <f t="shared" si="10"/>
        <v>0</v>
      </c>
      <c r="N25" s="22">
        <f t="shared" si="10"/>
        <v>0</v>
      </c>
      <c r="O25" s="22">
        <f t="shared" si="10"/>
        <v>0</v>
      </c>
      <c r="P25" s="22">
        <f t="shared" si="10"/>
        <v>0</v>
      </c>
    </row>
    <row r="26" spans="2:16" x14ac:dyDescent="0.25">
      <c r="B26" s="16" t="s">
        <v>67</v>
      </c>
      <c r="F26" s="27">
        <f>Acquisition!F24</f>
        <v>171723</v>
      </c>
      <c r="G26" s="22">
        <f t="shared" ref="G26:P26" si="11">F26*(1+G$23)</f>
        <v>175157.46</v>
      </c>
      <c r="H26" s="22">
        <f t="shared" si="11"/>
        <v>178660.60920000001</v>
      </c>
      <c r="I26" s="22">
        <f t="shared" si="11"/>
        <v>182233.82138400001</v>
      </c>
      <c r="J26" s="22">
        <f t="shared" si="11"/>
        <v>185878.49781168002</v>
      </c>
      <c r="K26" s="22">
        <f t="shared" si="11"/>
        <v>189596.06776791363</v>
      </c>
      <c r="L26" s="22">
        <f t="shared" si="11"/>
        <v>193387.98912327189</v>
      </c>
      <c r="M26" s="22">
        <f t="shared" si="11"/>
        <v>197255.74890573733</v>
      </c>
      <c r="N26" s="22">
        <f t="shared" si="11"/>
        <v>201200.86388385209</v>
      </c>
      <c r="O26" s="22">
        <f t="shared" si="11"/>
        <v>205224.88116152913</v>
      </c>
      <c r="P26" s="22">
        <f t="shared" si="11"/>
        <v>209329.37878475973</v>
      </c>
    </row>
    <row r="27" spans="2:16" x14ac:dyDescent="0.25">
      <c r="B27" s="16" t="s">
        <v>68</v>
      </c>
      <c r="F27" s="27">
        <f>Acquisition!F25</f>
        <v>0</v>
      </c>
      <c r="G27" s="22">
        <f t="shared" ref="G27:P27" si="12">F27*(1+G$23)</f>
        <v>0</v>
      </c>
      <c r="H27" s="22">
        <f t="shared" si="12"/>
        <v>0</v>
      </c>
      <c r="I27" s="22">
        <f t="shared" si="12"/>
        <v>0</v>
      </c>
      <c r="J27" s="22">
        <f t="shared" si="12"/>
        <v>0</v>
      </c>
      <c r="K27" s="22">
        <f t="shared" si="12"/>
        <v>0</v>
      </c>
      <c r="L27" s="22">
        <f t="shared" si="12"/>
        <v>0</v>
      </c>
      <c r="M27" s="22">
        <f t="shared" si="12"/>
        <v>0</v>
      </c>
      <c r="N27" s="22">
        <f t="shared" si="12"/>
        <v>0</v>
      </c>
      <c r="O27" s="22">
        <f t="shared" si="12"/>
        <v>0</v>
      </c>
      <c r="P27" s="22">
        <f t="shared" si="12"/>
        <v>0</v>
      </c>
    </row>
    <row r="28" spans="2:16" x14ac:dyDescent="0.25">
      <c r="B28" s="16" t="s">
        <v>69</v>
      </c>
      <c r="F28" s="27">
        <f>Acquisition!F26</f>
        <v>7615</v>
      </c>
      <c r="G28" s="22">
        <f t="shared" ref="G28:P28" si="13">F28*(1+G$23)</f>
        <v>7767.3</v>
      </c>
      <c r="H28" s="22">
        <f t="shared" si="13"/>
        <v>7922.6460000000006</v>
      </c>
      <c r="I28" s="22">
        <f t="shared" si="13"/>
        <v>8081.0989200000004</v>
      </c>
      <c r="J28" s="22">
        <f t="shared" si="13"/>
        <v>8242.7208984000008</v>
      </c>
      <c r="K28" s="22">
        <f t="shared" si="13"/>
        <v>8407.5753163680001</v>
      </c>
      <c r="L28" s="22">
        <f t="shared" si="13"/>
        <v>8575.7268226953602</v>
      </c>
      <c r="M28" s="22">
        <f t="shared" si="13"/>
        <v>8747.2413591492677</v>
      </c>
      <c r="N28" s="22">
        <f t="shared" si="13"/>
        <v>8922.1861863322538</v>
      </c>
      <c r="O28" s="22">
        <f t="shared" si="13"/>
        <v>9100.6299100588985</v>
      </c>
      <c r="P28" s="22">
        <f t="shared" si="13"/>
        <v>9282.6425082600763</v>
      </c>
    </row>
    <row r="29" spans="2:16" x14ac:dyDescent="0.25">
      <c r="B29" s="16" t="s">
        <v>70</v>
      </c>
      <c r="F29" s="27">
        <f>Acquisition!F27</f>
        <v>72892</v>
      </c>
      <c r="G29" s="22">
        <f t="shared" ref="G29:P29" si="14">F29*(1+G$23)</f>
        <v>74349.84</v>
      </c>
      <c r="H29" s="22">
        <f t="shared" si="14"/>
        <v>75836.836800000005</v>
      </c>
      <c r="I29" s="22">
        <f t="shared" si="14"/>
        <v>77353.573536000011</v>
      </c>
      <c r="J29" s="22">
        <f t="shared" si="14"/>
        <v>78900.645006720006</v>
      </c>
      <c r="K29" s="22">
        <f t="shared" si="14"/>
        <v>80478.657906854409</v>
      </c>
      <c r="L29" s="22">
        <f t="shared" si="14"/>
        <v>82088.231064991502</v>
      </c>
      <c r="M29" s="22">
        <f t="shared" si="14"/>
        <v>83729.995686291339</v>
      </c>
      <c r="N29" s="22">
        <f t="shared" si="14"/>
        <v>85404.595600017172</v>
      </c>
      <c r="O29" s="22">
        <f t="shared" si="14"/>
        <v>87112.68751201751</v>
      </c>
      <c r="P29" s="22">
        <f t="shared" si="14"/>
        <v>88854.941262257867</v>
      </c>
    </row>
    <row r="30" spans="2:16" x14ac:dyDescent="0.25">
      <c r="B30" s="16" t="s">
        <v>86</v>
      </c>
      <c r="F30" s="27">
        <f>Acquisition!F28</f>
        <v>22275</v>
      </c>
      <c r="G30" s="22">
        <f t="shared" ref="G30:P30" si="15">F30*(1+G$23)</f>
        <v>22720.5</v>
      </c>
      <c r="H30" s="22">
        <f t="shared" si="15"/>
        <v>23174.91</v>
      </c>
      <c r="I30" s="22">
        <f t="shared" si="15"/>
        <v>23638.408200000002</v>
      </c>
      <c r="J30" s="22">
        <f t="shared" si="15"/>
        <v>24111.176364000003</v>
      </c>
      <c r="K30" s="22">
        <f t="shared" si="15"/>
        <v>24593.399891280002</v>
      </c>
      <c r="L30" s="22">
        <f t="shared" si="15"/>
        <v>25085.267889105602</v>
      </c>
      <c r="M30" s="22">
        <f t="shared" si="15"/>
        <v>25586.973246887716</v>
      </c>
      <c r="N30" s="22">
        <f t="shared" si="15"/>
        <v>26098.712711825472</v>
      </c>
      <c r="O30" s="22">
        <f t="shared" si="15"/>
        <v>26620.686966061981</v>
      </c>
      <c r="P30" s="22">
        <f t="shared" si="15"/>
        <v>27153.100705383222</v>
      </c>
    </row>
    <row r="31" spans="2:16" x14ac:dyDescent="0.25">
      <c r="B31" s="16" t="s">
        <v>71</v>
      </c>
      <c r="F31" s="27">
        <f>Acquisition!F29</f>
        <v>14354</v>
      </c>
      <c r="G31" s="22">
        <f t="shared" ref="G31:P31" si="16">F31*(1+G$23)</f>
        <v>14641.08</v>
      </c>
      <c r="H31" s="22">
        <f t="shared" si="16"/>
        <v>14933.901600000001</v>
      </c>
      <c r="I31" s="22">
        <f t="shared" si="16"/>
        <v>15232.579632000001</v>
      </c>
      <c r="J31" s="22">
        <f t="shared" si="16"/>
        <v>15537.231224640002</v>
      </c>
      <c r="K31" s="22">
        <f t="shared" si="16"/>
        <v>15847.975849132801</v>
      </c>
      <c r="L31" s="22">
        <f t="shared" si="16"/>
        <v>16164.935366115458</v>
      </c>
      <c r="M31" s="22">
        <f t="shared" si="16"/>
        <v>16488.234073437769</v>
      </c>
      <c r="N31" s="22">
        <f t="shared" si="16"/>
        <v>16817.998754906523</v>
      </c>
      <c r="O31" s="22">
        <f t="shared" si="16"/>
        <v>17154.358730004653</v>
      </c>
      <c r="P31" s="22">
        <f t="shared" si="16"/>
        <v>17497.445904604745</v>
      </c>
    </row>
    <row r="32" spans="2:16" x14ac:dyDescent="0.25">
      <c r="B32" s="16" t="s">
        <v>72</v>
      </c>
      <c r="F32" s="27">
        <f>Acquisition!F30</f>
        <v>0</v>
      </c>
      <c r="G32" s="22">
        <f t="shared" ref="G32:P32" si="17">F32*(1+G$23)</f>
        <v>0</v>
      </c>
      <c r="H32" s="22">
        <f t="shared" si="17"/>
        <v>0</v>
      </c>
      <c r="I32" s="22">
        <f t="shared" si="17"/>
        <v>0</v>
      </c>
      <c r="J32" s="22">
        <f t="shared" si="17"/>
        <v>0</v>
      </c>
      <c r="K32" s="22">
        <f t="shared" si="17"/>
        <v>0</v>
      </c>
      <c r="L32" s="22">
        <f t="shared" si="17"/>
        <v>0</v>
      </c>
      <c r="M32" s="22">
        <f t="shared" si="17"/>
        <v>0</v>
      </c>
      <c r="N32" s="22">
        <f t="shared" si="17"/>
        <v>0</v>
      </c>
      <c r="O32" s="22">
        <f t="shared" si="17"/>
        <v>0</v>
      </c>
      <c r="P32" s="22">
        <f t="shared" si="17"/>
        <v>0</v>
      </c>
    </row>
    <row r="33" spans="2:16" ht="15.6" x14ac:dyDescent="0.4">
      <c r="B33" s="16" t="s">
        <v>73</v>
      </c>
      <c r="F33" s="28">
        <f>Acquisition!F31</f>
        <v>0</v>
      </c>
      <c r="G33" s="26">
        <f t="shared" ref="G33:P33" si="18">F33*(1+G$23)</f>
        <v>0</v>
      </c>
      <c r="H33" s="26">
        <f t="shared" si="18"/>
        <v>0</v>
      </c>
      <c r="I33" s="26">
        <f t="shared" si="18"/>
        <v>0</v>
      </c>
      <c r="J33" s="26">
        <f t="shared" si="18"/>
        <v>0</v>
      </c>
      <c r="K33" s="26">
        <f t="shared" si="18"/>
        <v>0</v>
      </c>
      <c r="L33" s="26">
        <f t="shared" si="18"/>
        <v>0</v>
      </c>
      <c r="M33" s="26">
        <f t="shared" si="18"/>
        <v>0</v>
      </c>
      <c r="N33" s="26">
        <f t="shared" si="18"/>
        <v>0</v>
      </c>
      <c r="O33" s="26">
        <f t="shared" si="18"/>
        <v>0</v>
      </c>
      <c r="P33" s="26">
        <f t="shared" si="18"/>
        <v>0</v>
      </c>
    </row>
    <row r="34" spans="2:16" x14ac:dyDescent="0.25">
      <c r="B34" t="s">
        <v>74</v>
      </c>
      <c r="F34" s="22">
        <f>SUM(F25:F33)</f>
        <v>288859</v>
      </c>
      <c r="G34" s="22">
        <f t="shared" ref="G34:P34" si="19">SUM(G25:G33)</f>
        <v>294636.18</v>
      </c>
      <c r="H34" s="22">
        <f t="shared" si="19"/>
        <v>300528.90359999996</v>
      </c>
      <c r="I34" s="22">
        <f t="shared" si="19"/>
        <v>306539.48167200002</v>
      </c>
      <c r="J34" s="22">
        <f t="shared" si="19"/>
        <v>312670.27130543999</v>
      </c>
      <c r="K34" s="22">
        <f t="shared" si="19"/>
        <v>318923.6767315488</v>
      </c>
      <c r="L34" s="22">
        <f t="shared" si="19"/>
        <v>325302.15026617981</v>
      </c>
      <c r="M34" s="22">
        <f t="shared" si="19"/>
        <v>331808.19327150343</v>
      </c>
      <c r="N34" s="22">
        <f t="shared" si="19"/>
        <v>338444.35713693354</v>
      </c>
      <c r="O34" s="22">
        <f t="shared" si="19"/>
        <v>345213.24427967216</v>
      </c>
      <c r="P34" s="22">
        <f t="shared" si="19"/>
        <v>352117.50916526566</v>
      </c>
    </row>
    <row r="35" spans="2:16" x14ac:dyDescent="0.25">
      <c r="B35" t="s">
        <v>75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2:16" x14ac:dyDescent="0.25">
      <c r="B36" s="16" t="s">
        <v>76</v>
      </c>
      <c r="F36" s="27">
        <f>Acquisition!F34</f>
        <v>60280</v>
      </c>
      <c r="G36" s="22">
        <f t="shared" ref="G36:P36" si="20">F36*(1+G$23)</f>
        <v>61485.599999999999</v>
      </c>
      <c r="H36" s="22">
        <f t="shared" si="20"/>
        <v>62715.311999999998</v>
      </c>
      <c r="I36" s="22">
        <f t="shared" si="20"/>
        <v>63969.618239999996</v>
      </c>
      <c r="J36" s="22">
        <f t="shared" si="20"/>
        <v>65249.010604799994</v>
      </c>
      <c r="K36" s="22">
        <f t="shared" si="20"/>
        <v>66553.990816895996</v>
      </c>
      <c r="L36" s="22">
        <f t="shared" si="20"/>
        <v>67885.070633233918</v>
      </c>
      <c r="M36" s="22">
        <f t="shared" si="20"/>
        <v>69242.7720458986</v>
      </c>
      <c r="N36" s="22">
        <f t="shared" si="20"/>
        <v>70627.627486816578</v>
      </c>
      <c r="O36" s="22">
        <f t="shared" si="20"/>
        <v>72040.180036552905</v>
      </c>
      <c r="P36" s="22">
        <f t="shared" si="20"/>
        <v>73480.983637283964</v>
      </c>
    </row>
    <row r="37" spans="2:16" ht="15.6" x14ac:dyDescent="0.4">
      <c r="B37" s="16" t="s">
        <v>77</v>
      </c>
      <c r="F37" s="28">
        <f>Acquisition!F35</f>
        <v>6206</v>
      </c>
      <c r="G37" s="26">
        <f t="shared" ref="G37:P37" si="21">F37*(1+G$23)</f>
        <v>6330.12</v>
      </c>
      <c r="H37" s="26">
        <f t="shared" si="21"/>
        <v>6456.7223999999997</v>
      </c>
      <c r="I37" s="26">
        <f t="shared" si="21"/>
        <v>6585.8568479999994</v>
      </c>
      <c r="J37" s="26">
        <f t="shared" si="21"/>
        <v>6717.5739849599995</v>
      </c>
      <c r="K37" s="26">
        <f t="shared" si="21"/>
        <v>6851.9254646591999</v>
      </c>
      <c r="L37" s="26">
        <f t="shared" si="21"/>
        <v>6988.9639739523836</v>
      </c>
      <c r="M37" s="26">
        <f t="shared" si="21"/>
        <v>7128.7432534314312</v>
      </c>
      <c r="N37" s="26">
        <f t="shared" si="21"/>
        <v>7271.3181185000603</v>
      </c>
      <c r="O37" s="26">
        <f t="shared" si="21"/>
        <v>7416.744480870062</v>
      </c>
      <c r="P37" s="26">
        <f t="shared" si="21"/>
        <v>7565.0793704874632</v>
      </c>
    </row>
    <row r="38" spans="2:16" x14ac:dyDescent="0.25">
      <c r="B38" s="18" t="s">
        <v>78</v>
      </c>
      <c r="F38" s="22">
        <f>SUM(F36:F37)</f>
        <v>66486</v>
      </c>
      <c r="G38" s="22">
        <f t="shared" ref="G38:P38" si="22">SUM(G36:G37)</f>
        <v>67815.72</v>
      </c>
      <c r="H38" s="22">
        <f t="shared" si="22"/>
        <v>69172.034400000004</v>
      </c>
      <c r="I38" s="22">
        <f t="shared" si="22"/>
        <v>70555.475087999992</v>
      </c>
      <c r="J38" s="22">
        <f t="shared" si="22"/>
        <v>71966.584589759994</v>
      </c>
      <c r="K38" s="22">
        <f t="shared" si="22"/>
        <v>73405.916281555197</v>
      </c>
      <c r="L38" s="22">
        <f t="shared" si="22"/>
        <v>74874.034607186302</v>
      </c>
      <c r="M38" s="22">
        <f t="shared" si="22"/>
        <v>76371.515299330029</v>
      </c>
      <c r="N38" s="22">
        <f t="shared" si="22"/>
        <v>77898.945605316636</v>
      </c>
      <c r="O38" s="22">
        <f t="shared" si="22"/>
        <v>79456.924517422973</v>
      </c>
      <c r="P38" s="22">
        <f t="shared" si="22"/>
        <v>81046.06300777143</v>
      </c>
    </row>
    <row r="39" spans="2:16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2:16" x14ac:dyDescent="0.25">
      <c r="B40" s="17" t="s">
        <v>79</v>
      </c>
      <c r="F40" s="30">
        <f>F38+F34</f>
        <v>355345</v>
      </c>
      <c r="G40" s="30">
        <f>G38+G34</f>
        <v>362451.9</v>
      </c>
      <c r="H40" s="30">
        <f t="shared" ref="H40:P40" si="23">H38+H34</f>
        <v>369700.93799999997</v>
      </c>
      <c r="I40" s="30">
        <f t="shared" si="23"/>
        <v>377094.95676000003</v>
      </c>
      <c r="J40" s="30">
        <f t="shared" si="23"/>
        <v>384636.85589519999</v>
      </c>
      <c r="K40" s="30">
        <f t="shared" si="23"/>
        <v>392329.59301310399</v>
      </c>
      <c r="L40" s="30">
        <f t="shared" si="23"/>
        <v>400176.18487336615</v>
      </c>
      <c r="M40" s="30">
        <f t="shared" si="23"/>
        <v>408179.70857083343</v>
      </c>
      <c r="N40" s="30">
        <f t="shared" si="23"/>
        <v>416343.30274225015</v>
      </c>
      <c r="O40" s="30">
        <f t="shared" si="23"/>
        <v>424670.16879709513</v>
      </c>
      <c r="P40" s="30">
        <f t="shared" si="23"/>
        <v>433163.5721730371</v>
      </c>
    </row>
    <row r="41" spans="2:1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2:16" x14ac:dyDescent="0.25">
      <c r="B42" s="17" t="s">
        <v>80</v>
      </c>
      <c r="F42" s="30">
        <f>F21-F40</f>
        <v>275400</v>
      </c>
      <c r="G42" s="30">
        <f t="shared" ref="G42:P42" si="24">G21-G40</f>
        <v>370859.02049999998</v>
      </c>
      <c r="H42" s="30">
        <f t="shared" si="24"/>
        <v>374517.64061999996</v>
      </c>
      <c r="I42" s="30">
        <f t="shared" si="24"/>
        <v>378174.43564859993</v>
      </c>
      <c r="J42" s="30">
        <f t="shared" si="24"/>
        <v>381826.88288209605</v>
      </c>
      <c r="K42" s="30">
        <f t="shared" si="24"/>
        <v>385474.31017467246</v>
      </c>
      <c r="L42" s="30">
        <f t="shared" si="24"/>
        <v>389115.90445379901</v>
      </c>
      <c r="M42" s="30">
        <f t="shared" si="24"/>
        <v>392747.81520002079</v>
      </c>
      <c r="N42" s="30">
        <f t="shared" si="24"/>
        <v>396369.94789030997</v>
      </c>
      <c r="O42" s="30">
        <f t="shared" si="24"/>
        <v>399980.13240413071</v>
      </c>
      <c r="P42" s="30">
        <f t="shared" si="24"/>
        <v>403576.07139134814</v>
      </c>
    </row>
    <row r="43" spans="2:16" x14ac:dyDescent="0.25"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2:16" x14ac:dyDescent="0.25">
      <c r="B44" s="16" t="s">
        <v>96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/>
    </row>
    <row r="45" spans="2:16" ht="15.6" x14ac:dyDescent="0.4">
      <c r="B45" s="16" t="s">
        <v>97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/>
    </row>
    <row r="46" spans="2:16" x14ac:dyDescent="0.25">
      <c r="B46" t="s">
        <v>102</v>
      </c>
      <c r="F46" s="22">
        <f>SUM(F44:F45)</f>
        <v>0</v>
      </c>
      <c r="G46" s="22">
        <f t="shared" ref="G46:P46" si="25">SUM(G44:G45)</f>
        <v>0</v>
      </c>
      <c r="H46" s="22">
        <f t="shared" si="25"/>
        <v>0</v>
      </c>
      <c r="I46" s="22">
        <f t="shared" si="25"/>
        <v>0</v>
      </c>
      <c r="J46" s="22">
        <f t="shared" si="25"/>
        <v>0</v>
      </c>
      <c r="K46" s="22">
        <f t="shared" si="25"/>
        <v>0</v>
      </c>
      <c r="L46" s="22">
        <f t="shared" si="25"/>
        <v>0</v>
      </c>
      <c r="M46" s="22">
        <f t="shared" si="25"/>
        <v>0</v>
      </c>
      <c r="N46" s="22">
        <f t="shared" si="25"/>
        <v>0</v>
      </c>
      <c r="O46" s="22">
        <f t="shared" si="25"/>
        <v>0</v>
      </c>
      <c r="P46" s="22"/>
    </row>
    <row r="47" spans="2:16" x14ac:dyDescent="0.25"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2:16" x14ac:dyDescent="0.25">
      <c r="B48" t="s">
        <v>99</v>
      </c>
      <c r="F48" s="22">
        <f>F42-F46</f>
        <v>275400</v>
      </c>
      <c r="G48" s="22">
        <f t="shared" ref="G48:P48" si="26">G42-G46</f>
        <v>370859.02049999998</v>
      </c>
      <c r="H48" s="22">
        <f t="shared" si="26"/>
        <v>374517.64061999996</v>
      </c>
      <c r="I48" s="22">
        <f t="shared" si="26"/>
        <v>378174.43564859993</v>
      </c>
      <c r="J48" s="22">
        <f t="shared" si="26"/>
        <v>381826.88288209605</v>
      </c>
      <c r="K48" s="22">
        <f t="shared" si="26"/>
        <v>385474.31017467246</v>
      </c>
      <c r="L48" s="22">
        <f t="shared" si="26"/>
        <v>389115.90445379901</v>
      </c>
      <c r="M48" s="22">
        <f t="shared" si="26"/>
        <v>392747.81520002079</v>
      </c>
      <c r="N48" s="22">
        <f t="shared" si="26"/>
        <v>396369.94789030997</v>
      </c>
      <c r="O48" s="22">
        <f t="shared" si="26"/>
        <v>399980.13240413071</v>
      </c>
      <c r="P48" s="22"/>
    </row>
    <row r="49" spans="2:16" x14ac:dyDescent="0.25"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2:16" x14ac:dyDescent="0.25">
      <c r="B50" t="s">
        <v>100</v>
      </c>
      <c r="F50" s="49">
        <f>'Perm. Debt'!H6</f>
        <v>182210</v>
      </c>
      <c r="G50" s="49">
        <f>'Perm. Debt'!I6</f>
        <v>182210</v>
      </c>
      <c r="H50" s="49">
        <f>'Perm. Debt'!J6</f>
        <v>182210</v>
      </c>
      <c r="I50" s="49">
        <f>'Perm. Debt'!K6</f>
        <v>240124.70193911198</v>
      </c>
      <c r="J50" s="49">
        <f>'Perm. Debt'!L6</f>
        <v>240124.70193911198</v>
      </c>
      <c r="K50" s="49">
        <f>'Perm. Debt'!M6</f>
        <v>240124.70193911198</v>
      </c>
      <c r="L50" s="49">
        <f>'Perm. Debt'!N6</f>
        <v>240124.70193911198</v>
      </c>
      <c r="M50" s="49">
        <f>'Perm. Debt'!O6</f>
        <v>240124.70193911198</v>
      </c>
      <c r="N50" s="49">
        <f>'Perm. Debt'!P6</f>
        <v>240124.70193911198</v>
      </c>
      <c r="O50" s="49">
        <f>'Perm. Debt'!Q6</f>
        <v>240124.70193911198</v>
      </c>
      <c r="P50" s="41"/>
    </row>
    <row r="51" spans="2:1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2:16" x14ac:dyDescent="0.25">
      <c r="B52" t="s">
        <v>101</v>
      </c>
      <c r="F52" s="22">
        <f>F48-F50</f>
        <v>93190</v>
      </c>
      <c r="G52" s="22">
        <f t="shared" ref="G52:P52" si="27">G48-G50</f>
        <v>188649.02049999998</v>
      </c>
      <c r="H52" s="22">
        <f t="shared" si="27"/>
        <v>192307.64061999996</v>
      </c>
      <c r="I52" s="22">
        <f t="shared" si="27"/>
        <v>138049.73370948795</v>
      </c>
      <c r="J52" s="22">
        <f t="shared" si="27"/>
        <v>141702.18094298407</v>
      </c>
      <c r="K52" s="22">
        <f t="shared" si="27"/>
        <v>145349.60823556047</v>
      </c>
      <c r="L52" s="22">
        <f t="shared" si="27"/>
        <v>148991.20251468703</v>
      </c>
      <c r="M52" s="22">
        <f t="shared" si="27"/>
        <v>152623.11326090881</v>
      </c>
      <c r="N52" s="22">
        <f t="shared" si="27"/>
        <v>156245.24595119798</v>
      </c>
      <c r="O52" s="22">
        <f t="shared" si="27"/>
        <v>159855.43046501873</v>
      </c>
      <c r="P52" s="22"/>
    </row>
    <row r="53" spans="2:16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2:16" x14ac:dyDescent="0.25"/>
    <row r="55" spans="2:16" x14ac:dyDescent="0.25"/>
    <row r="56" spans="2:16" x14ac:dyDescent="0.25"/>
    <row r="57" spans="2:16" x14ac:dyDescent="0.25"/>
    <row r="58" spans="2:16" x14ac:dyDescent="0.25"/>
    <row r="59" spans="2:16" x14ac:dyDescent="0.25"/>
    <row r="60" spans="2:16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6177-D750-444B-822F-4D544544C394}">
  <sheetPr>
    <tabColor theme="3" tint="0.79998168889431442"/>
  </sheetPr>
  <dimension ref="B1:Q20"/>
  <sheetViews>
    <sheetView showGridLines="0" zoomScale="110" zoomScaleNormal="110" workbookViewId="0">
      <selection activeCell="P18" sqref="P18"/>
    </sheetView>
  </sheetViews>
  <sheetFormatPr defaultColWidth="0" defaultRowHeight="13.8" zeroHeight="1" x14ac:dyDescent="0.25"/>
  <cols>
    <col min="1" max="1" width="1.59765625" customWidth="1"/>
    <col min="2" max="4" width="8.796875" customWidth="1"/>
    <col min="5" max="5" width="10.3984375" bestFit="1" customWidth="1"/>
    <col min="6" max="6" width="8.796875" customWidth="1"/>
    <col min="7" max="7" width="12.296875" style="4" bestFit="1" customWidth="1"/>
    <col min="8" max="8" width="12.3984375" bestFit="1" customWidth="1"/>
    <col min="9" max="17" width="11.59765625" bestFit="1" customWidth="1"/>
    <col min="18" max="18" width="1.69921875" customWidth="1"/>
    <col min="19" max="16384" width="8.796875" hidden="1"/>
  </cols>
  <sheetData>
    <row r="1" spans="2:17" ht="5.0999999999999996" customHeight="1" x14ac:dyDescent="0.25"/>
    <row r="2" spans="2:17" s="3" customFormat="1" x14ac:dyDescent="0.25">
      <c r="B2" s="2" t="s">
        <v>3</v>
      </c>
      <c r="C2" s="2"/>
      <c r="D2" s="2"/>
      <c r="E2" s="2"/>
      <c r="F2" s="2"/>
      <c r="G2" s="5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B3" s="1" t="s">
        <v>107</v>
      </c>
      <c r="C3" s="1"/>
      <c r="D3" s="1"/>
      <c r="E3" s="1"/>
      <c r="F3" s="1"/>
      <c r="G3" s="6"/>
      <c r="H3" s="1" t="s">
        <v>108</v>
      </c>
      <c r="I3" s="1"/>
      <c r="J3" s="1"/>
      <c r="K3" s="1"/>
      <c r="L3" s="1"/>
      <c r="M3" s="1"/>
      <c r="N3" s="1"/>
      <c r="O3" s="1"/>
      <c r="P3" s="1"/>
      <c r="Q3" s="1"/>
    </row>
    <row r="4" spans="2:17" x14ac:dyDescent="0.25">
      <c r="B4" t="s">
        <v>109</v>
      </c>
      <c r="D4" s="39">
        <v>0.7</v>
      </c>
      <c r="E4" s="22">
        <f>D4*Acquisition!I43</f>
        <v>3835999.9999999995</v>
      </c>
      <c r="H4">
        <v>1</v>
      </c>
      <c r="I4">
        <f>H4+1</f>
        <v>2</v>
      </c>
      <c r="J4">
        <f t="shared" ref="J4:Q4" si="0">I4+1</f>
        <v>3</v>
      </c>
      <c r="K4">
        <f t="shared" si="0"/>
        <v>4</v>
      </c>
      <c r="L4">
        <f t="shared" si="0"/>
        <v>5</v>
      </c>
      <c r="M4">
        <f t="shared" si="0"/>
        <v>6</v>
      </c>
      <c r="N4">
        <f t="shared" si="0"/>
        <v>7</v>
      </c>
      <c r="O4">
        <f t="shared" si="0"/>
        <v>8</v>
      </c>
      <c r="P4">
        <f t="shared" si="0"/>
        <v>9</v>
      </c>
      <c r="Q4">
        <f t="shared" si="0"/>
        <v>10</v>
      </c>
    </row>
    <row r="5" spans="2:17" ht="15.6" x14ac:dyDescent="0.4">
      <c r="B5" s="16" t="s">
        <v>110</v>
      </c>
      <c r="D5" s="39">
        <v>0.01</v>
      </c>
      <c r="E5" s="26">
        <f>-D5*E4</f>
        <v>-38359.999999999993</v>
      </c>
      <c r="H5" s="47">
        <f>'10-Yr OpSt'!F5</f>
        <v>43890</v>
      </c>
      <c r="I5" s="47">
        <f>'10-Yr OpSt'!G5</f>
        <v>44255</v>
      </c>
      <c r="J5" s="47">
        <f>'10-Yr OpSt'!H5</f>
        <v>44620</v>
      </c>
      <c r="K5" s="47">
        <f>'10-Yr OpSt'!I5</f>
        <v>44985</v>
      </c>
      <c r="L5" s="47">
        <f>'10-Yr OpSt'!J5</f>
        <v>45351</v>
      </c>
      <c r="M5" s="47">
        <f>'10-Yr OpSt'!K5</f>
        <v>45716</v>
      </c>
      <c r="N5" s="47">
        <f>'10-Yr OpSt'!L5</f>
        <v>46081</v>
      </c>
      <c r="O5" s="47">
        <f>'10-Yr OpSt'!M5</f>
        <v>46446</v>
      </c>
      <c r="P5" s="47">
        <f>'10-Yr OpSt'!N5</f>
        <v>46812</v>
      </c>
      <c r="Q5" s="47">
        <f>'10-Yr OpSt'!O5</f>
        <v>47177</v>
      </c>
    </row>
    <row r="6" spans="2:17" x14ac:dyDescent="0.25">
      <c r="B6" t="s">
        <v>111</v>
      </c>
      <c r="E6" s="22">
        <f>SUM(E4:E5)</f>
        <v>3797639.9999999995</v>
      </c>
      <c r="G6" s="4" t="s">
        <v>100</v>
      </c>
      <c r="H6" s="45">
        <f>(H4&lt;=$E$10)*$E$12*12+(H4&gt;$E$10)*$E$11*12</f>
        <v>182210</v>
      </c>
      <c r="I6" s="45">
        <f t="shared" ref="I6:Q6" si="1">(I4&lt;=$E$10)*$E$12*12+(I4&gt;$E$10)*$E$11*12</f>
        <v>182210</v>
      </c>
      <c r="J6" s="45">
        <f t="shared" si="1"/>
        <v>182210</v>
      </c>
      <c r="K6" s="45">
        <f t="shared" si="1"/>
        <v>240124.70193911198</v>
      </c>
      <c r="L6" s="45">
        <f t="shared" si="1"/>
        <v>240124.70193911198</v>
      </c>
      <c r="M6" s="45">
        <f t="shared" si="1"/>
        <v>240124.70193911198</v>
      </c>
      <c r="N6" s="45">
        <f t="shared" si="1"/>
        <v>240124.70193911198</v>
      </c>
      <c r="O6" s="45">
        <f t="shared" si="1"/>
        <v>240124.70193911198</v>
      </c>
      <c r="P6" s="45">
        <f t="shared" si="1"/>
        <v>240124.70193911198</v>
      </c>
      <c r="Q6" s="45">
        <f t="shared" si="1"/>
        <v>240124.70193911198</v>
      </c>
    </row>
    <row r="7" spans="2:17" x14ac:dyDescent="0.25">
      <c r="G7" s="4" t="s">
        <v>117</v>
      </c>
      <c r="H7" s="22">
        <f>PV($E$8/12,$E$9*12-H4*12+MIN(H4,$E$10)*12,-$E$11)</f>
        <v>3835999.9999999525</v>
      </c>
      <c r="I7" s="22">
        <f t="shared" ref="I7:Q7" si="2">PV($E$8/12,$E$9*12-I4*12+MIN(I4,$E$10)*12,-$E$11)</f>
        <v>3835999.9999999525</v>
      </c>
      <c r="J7" s="22">
        <f t="shared" si="2"/>
        <v>3835999.9999999525</v>
      </c>
      <c r="K7" s="22">
        <f t="shared" si="2"/>
        <v>3776807.6613954501</v>
      </c>
      <c r="L7" s="22">
        <f t="shared" si="2"/>
        <v>3714741.6601538719</v>
      </c>
      <c r="M7" s="22">
        <f t="shared" si="2"/>
        <v>3649662.4860421973</v>
      </c>
      <c r="N7" s="22">
        <f t="shared" si="2"/>
        <v>3581423.8559011524</v>
      </c>
      <c r="O7" s="22">
        <f t="shared" si="2"/>
        <v>3509872.3848339911</v>
      </c>
      <c r="P7" s="22">
        <f t="shared" si="2"/>
        <v>3434847.241432182</v>
      </c>
      <c r="Q7" s="22">
        <f t="shared" si="2"/>
        <v>3356179.7862630412</v>
      </c>
    </row>
    <row r="8" spans="2:17" x14ac:dyDescent="0.25">
      <c r="B8" t="s">
        <v>112</v>
      </c>
      <c r="E8" s="42">
        <v>4.7500000000000001E-2</v>
      </c>
    </row>
    <row r="9" spans="2:17" x14ac:dyDescent="0.25">
      <c r="B9" t="s">
        <v>114</v>
      </c>
      <c r="E9" s="43">
        <v>30</v>
      </c>
      <c r="G9" s="4" t="s">
        <v>118</v>
      </c>
      <c r="H9" s="46">
        <f>'10-Yr OpSt'!F42</f>
        <v>275400</v>
      </c>
      <c r="I9" s="46">
        <f>'10-Yr OpSt'!G42</f>
        <v>370859.02049999998</v>
      </c>
      <c r="J9" s="46">
        <f>'10-Yr OpSt'!H42</f>
        <v>374517.64061999996</v>
      </c>
      <c r="K9" s="46">
        <f>'10-Yr OpSt'!I42</f>
        <v>378174.43564859993</v>
      </c>
      <c r="L9" s="46">
        <f>'10-Yr OpSt'!J42</f>
        <v>381826.88288209605</v>
      </c>
      <c r="M9" s="46">
        <f>'10-Yr OpSt'!K42</f>
        <v>385474.31017467246</v>
      </c>
      <c r="N9" s="46">
        <f>'10-Yr OpSt'!L42</f>
        <v>389115.90445379901</v>
      </c>
      <c r="O9" s="46">
        <f>'10-Yr OpSt'!M42</f>
        <v>392747.81520002079</v>
      </c>
      <c r="P9" s="46">
        <f>'10-Yr OpSt'!N42</f>
        <v>396369.94789030997</v>
      </c>
      <c r="Q9" s="46">
        <f>'10-Yr OpSt'!O42</f>
        <v>399980.13240413071</v>
      </c>
    </row>
    <row r="10" spans="2:17" x14ac:dyDescent="0.25">
      <c r="B10" t="s">
        <v>113</v>
      </c>
      <c r="E10" s="43">
        <v>3</v>
      </c>
      <c r="G10" s="4" t="s">
        <v>119</v>
      </c>
      <c r="H10" s="48">
        <f>H9/H6</f>
        <v>1.5114428406783382</v>
      </c>
      <c r="I10" s="48">
        <f t="shared" ref="I10:Q10" si="3">I9/I6</f>
        <v>2.0353384583722076</v>
      </c>
      <c r="J10" s="48">
        <f t="shared" si="3"/>
        <v>2.0554175984852638</v>
      </c>
      <c r="K10" s="48">
        <f t="shared" si="3"/>
        <v>1.5749085062664356</v>
      </c>
      <c r="L10" s="48">
        <f t="shared" si="3"/>
        <v>1.5901191330949169</v>
      </c>
      <c r="M10" s="48">
        <f t="shared" si="3"/>
        <v>1.6053088543652478</v>
      </c>
      <c r="N10" s="48">
        <f t="shared" si="3"/>
        <v>1.6204742840345783</v>
      </c>
      <c r="O10" s="48">
        <f t="shared" si="3"/>
        <v>1.6355993866037539</v>
      </c>
      <c r="P10" s="48">
        <f t="shared" si="3"/>
        <v>1.650683768431358</v>
      </c>
      <c r="Q10" s="48">
        <f t="shared" si="3"/>
        <v>1.6657183920442846</v>
      </c>
    </row>
    <row r="11" spans="2:17" x14ac:dyDescent="0.25">
      <c r="B11" t="s">
        <v>115</v>
      </c>
      <c r="E11" s="29">
        <f>PMT(E8/12,E9*12,-E4)</f>
        <v>20010.391828259333</v>
      </c>
      <c r="G11" s="4" t="s">
        <v>120</v>
      </c>
      <c r="H11" s="33">
        <f>H9/$E$4</f>
        <v>7.179353493222107E-2</v>
      </c>
      <c r="I11" s="33">
        <f t="shared" ref="I11:Q11" si="4">I9/$E$4</f>
        <v>9.6678576772679881E-2</v>
      </c>
      <c r="J11" s="33">
        <f t="shared" si="4"/>
        <v>9.7632335928050054E-2</v>
      </c>
      <c r="K11" s="33">
        <f t="shared" si="4"/>
        <v>9.8585619303597494E-2</v>
      </c>
      <c r="L11" s="33">
        <f t="shared" si="4"/>
        <v>9.9537769260191894E-2</v>
      </c>
      <c r="M11" s="33">
        <f t="shared" si="4"/>
        <v>0.10048861057733903</v>
      </c>
      <c r="N11" s="33">
        <f t="shared" si="4"/>
        <v>0.10143793129661081</v>
      </c>
      <c r="O11" s="33">
        <f t="shared" si="4"/>
        <v>0.10238472763295642</v>
      </c>
      <c r="P11" s="33">
        <f t="shared" si="4"/>
        <v>0.10332897494533629</v>
      </c>
      <c r="Q11" s="33">
        <f t="shared" si="4"/>
        <v>0.10427010750889748</v>
      </c>
    </row>
    <row r="12" spans="2:17" x14ac:dyDescent="0.25">
      <c r="B12" t="s">
        <v>116</v>
      </c>
      <c r="E12" s="44">
        <f>E8/12*E4</f>
        <v>15184.166666666666</v>
      </c>
    </row>
    <row r="13" spans="2:17" x14ac:dyDescent="0.25"/>
    <row r="14" spans="2:17" x14ac:dyDescent="0.25"/>
    <row r="15" spans="2:17" x14ac:dyDescent="0.25"/>
    <row r="16" spans="2:17" x14ac:dyDescent="0.25"/>
    <row r="17" x14ac:dyDescent="0.25"/>
    <row r="18" x14ac:dyDescent="0.25"/>
    <row r="19" x14ac:dyDescent="0.25"/>
    <row r="20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5CE-9B9B-4165-914C-721DAC611A54}">
  <sheetPr>
    <tabColor theme="3" tint="0.79998168889431442"/>
  </sheetPr>
  <dimension ref="B1:N58"/>
  <sheetViews>
    <sheetView showGridLines="0" topLeftCell="A13" zoomScaleNormal="100" workbookViewId="0">
      <selection activeCell="B37" sqref="B37"/>
    </sheetView>
  </sheetViews>
  <sheetFormatPr defaultColWidth="0" defaultRowHeight="13.8" zeroHeight="1" x14ac:dyDescent="0.25"/>
  <cols>
    <col min="1" max="1" width="1.59765625" customWidth="1"/>
    <col min="2" max="5" width="8.796875" customWidth="1"/>
    <col min="6" max="6" width="10.09765625" bestFit="1" customWidth="1"/>
    <col min="7" max="7" width="1.69921875" customWidth="1"/>
    <col min="8" max="8" width="7.59765625" bestFit="1" customWidth="1"/>
    <col min="9" max="9" width="12.59765625" bestFit="1" customWidth="1"/>
    <col min="10" max="11" width="8.796875" customWidth="1"/>
    <col min="12" max="12" width="25.19921875" customWidth="1"/>
    <col min="13" max="14" width="8.796875" customWidth="1"/>
    <col min="15" max="15" width="1.69921875" customWidth="1"/>
    <col min="16" max="16384" width="8.796875" hidden="1"/>
  </cols>
  <sheetData>
    <row r="1" spans="2:14" ht="5.0999999999999996" customHeight="1" x14ac:dyDescent="0.25"/>
    <row r="2" spans="2:14" s="3" customFormat="1" x14ac:dyDescent="0.25"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1" t="s">
        <v>121</v>
      </c>
      <c r="C3" s="1"/>
      <c r="D3" s="1"/>
      <c r="E3" s="1"/>
      <c r="F3" s="1"/>
      <c r="G3" s="1"/>
      <c r="H3" s="1"/>
      <c r="I3" s="1"/>
      <c r="J3" s="1" t="s">
        <v>49</v>
      </c>
      <c r="K3" s="1"/>
      <c r="L3" s="1"/>
      <c r="M3" s="6" t="s">
        <v>122</v>
      </c>
      <c r="N3" s="50">
        <f>'10-Yr OpSt'!P5</f>
        <v>47542</v>
      </c>
    </row>
    <row r="4" spans="2:14" x14ac:dyDescent="0.25">
      <c r="B4" t="s">
        <v>51</v>
      </c>
      <c r="F4" s="4" t="s">
        <v>123</v>
      </c>
      <c r="H4" s="4"/>
      <c r="I4" s="4" t="s">
        <v>125</v>
      </c>
    </row>
    <row r="5" spans="2:14" x14ac:dyDescent="0.25">
      <c r="B5" t="s">
        <v>52</v>
      </c>
      <c r="F5" s="52" t="s">
        <v>124</v>
      </c>
      <c r="G5" s="52"/>
      <c r="H5" s="52" t="s">
        <v>85</v>
      </c>
      <c r="I5" s="54" t="s">
        <v>84</v>
      </c>
    </row>
    <row r="6" spans="2:14" x14ac:dyDescent="0.25">
      <c r="B6" s="16" t="s">
        <v>53</v>
      </c>
      <c r="F6" s="46">
        <f>'10-Yr OpSt'!P8</f>
        <v>447615</v>
      </c>
      <c r="G6" s="22"/>
      <c r="H6" s="34">
        <f>I6/GLA</f>
        <v>13.439163793441217</v>
      </c>
      <c r="I6" s="27">
        <f>10*GLA*1.03^10</f>
        <v>556058.84111742384</v>
      </c>
      <c r="J6" t="s">
        <v>131</v>
      </c>
    </row>
    <row r="7" spans="2:14" ht="15.6" x14ac:dyDescent="0.4">
      <c r="B7" s="16" t="s">
        <v>54</v>
      </c>
      <c r="F7" s="55">
        <f>'10-Yr OpSt'!P9</f>
        <v>0</v>
      </c>
      <c r="G7" s="22"/>
      <c r="H7" s="35">
        <f>I7/GLA</f>
        <v>0</v>
      </c>
      <c r="I7" s="28">
        <f>F7</f>
        <v>0</v>
      </c>
    </row>
    <row r="8" spans="2:14" x14ac:dyDescent="0.25">
      <c r="B8" t="s">
        <v>55</v>
      </c>
      <c r="F8" s="22">
        <f>SUM(F6:F7)</f>
        <v>447615</v>
      </c>
      <c r="G8" s="22"/>
      <c r="H8" s="34">
        <f>I8/GLA</f>
        <v>13.439163793441217</v>
      </c>
      <c r="I8" s="22">
        <f>SUM(I6:I7)</f>
        <v>556058.84111742384</v>
      </c>
    </row>
    <row r="9" spans="2:14" x14ac:dyDescent="0.25">
      <c r="F9" s="22"/>
      <c r="G9" s="22"/>
      <c r="H9" s="34"/>
      <c r="I9" s="22"/>
    </row>
    <row r="10" spans="2:14" x14ac:dyDescent="0.25">
      <c r="B10" t="s">
        <v>56</v>
      </c>
      <c r="F10" s="22"/>
      <c r="G10" s="22"/>
      <c r="H10" s="34"/>
      <c r="I10" s="22"/>
    </row>
    <row r="11" spans="2:14" x14ac:dyDescent="0.25">
      <c r="B11" s="16" t="s">
        <v>57</v>
      </c>
      <c r="F11" s="46">
        <f>'10-Yr OpSt'!P13</f>
        <v>433163.5721730371</v>
      </c>
      <c r="G11" s="22"/>
      <c r="H11" s="34">
        <f>I11/GLA</f>
        <v>10.46895717742259</v>
      </c>
      <c r="I11" s="27">
        <f t="shared" ref="I11:I13" si="0">F11</f>
        <v>433163.5721730371</v>
      </c>
      <c r="J11" t="s">
        <v>132</v>
      </c>
    </row>
    <row r="12" spans="2:14" x14ac:dyDescent="0.25">
      <c r="B12" s="16" t="s">
        <v>58</v>
      </c>
      <c r="F12" s="46">
        <f>'10-Yr OpSt'!P14</f>
        <v>0</v>
      </c>
      <c r="G12" s="22"/>
      <c r="H12" s="34">
        <f>I12/GLA</f>
        <v>0</v>
      </c>
      <c r="I12" s="27">
        <f t="shared" si="0"/>
        <v>0</v>
      </c>
    </row>
    <row r="13" spans="2:14" ht="15.6" x14ac:dyDescent="0.4">
      <c r="B13" s="16" t="s">
        <v>56</v>
      </c>
      <c r="F13" s="55">
        <f>'10-Yr OpSt'!P15</f>
        <v>0</v>
      </c>
      <c r="G13" s="22"/>
      <c r="H13" s="35">
        <f>I13/GLA</f>
        <v>0</v>
      </c>
      <c r="I13" s="27">
        <f t="shared" si="0"/>
        <v>0</v>
      </c>
    </row>
    <row r="14" spans="2:14" x14ac:dyDescent="0.25">
      <c r="B14" t="s">
        <v>59</v>
      </c>
      <c r="F14" s="22">
        <f>SUM(F11:F13)</f>
        <v>433163.5721730371</v>
      </c>
      <c r="G14" s="22"/>
      <c r="H14" s="34">
        <f>I14/GLA</f>
        <v>10.46895717742259</v>
      </c>
      <c r="I14" s="22">
        <f>SUM(I11:I13)</f>
        <v>433163.5721730371</v>
      </c>
    </row>
    <row r="15" spans="2:14" x14ac:dyDescent="0.25">
      <c r="F15" s="22"/>
      <c r="G15" s="22"/>
      <c r="H15" s="34"/>
      <c r="I15" s="22"/>
    </row>
    <row r="16" spans="2:14" x14ac:dyDescent="0.25">
      <c r="B16" t="s">
        <v>60</v>
      </c>
      <c r="F16" s="22"/>
      <c r="G16" s="22"/>
      <c r="H16" s="34"/>
      <c r="I16" s="22"/>
    </row>
    <row r="17" spans="2:10" x14ac:dyDescent="0.25">
      <c r="B17" t="s">
        <v>61</v>
      </c>
      <c r="F17" s="22">
        <f>+F14+F8</f>
        <v>880778.5721730371</v>
      </c>
      <c r="G17" s="22"/>
      <c r="H17" s="34">
        <f>I17/GLA</f>
        <v>23.908120970863809</v>
      </c>
      <c r="I17" s="22">
        <f>+I14+I8</f>
        <v>989222.41329046094</v>
      </c>
    </row>
    <row r="18" spans="2:10" ht="15.6" x14ac:dyDescent="0.4">
      <c r="B18" s="16" t="s">
        <v>62</v>
      </c>
      <c r="F18" s="55">
        <f>'10-Yr OpSt'!P20</f>
        <v>-44038.928608651855</v>
      </c>
      <c r="G18" s="26"/>
      <c r="H18" s="35">
        <f>I18/GLA</f>
        <v>-2.3908120970863811</v>
      </c>
      <c r="I18" s="28">
        <f>I17*-10%</f>
        <v>-98922.241329046097</v>
      </c>
      <c r="J18" t="s">
        <v>135</v>
      </c>
    </row>
    <row r="19" spans="2:10" x14ac:dyDescent="0.25">
      <c r="B19" s="17" t="s">
        <v>63</v>
      </c>
      <c r="F19" s="22">
        <f>SUM(F17:F18)</f>
        <v>836739.64356438525</v>
      </c>
      <c r="G19" s="22"/>
      <c r="H19" s="34">
        <f>I19/GLA</f>
        <v>21.517308873777427</v>
      </c>
      <c r="I19" s="22">
        <f>SUM(I17:I18)</f>
        <v>890300.17196141486</v>
      </c>
    </row>
    <row r="20" spans="2:10" x14ac:dyDescent="0.25">
      <c r="F20" s="22"/>
      <c r="G20" s="22"/>
      <c r="H20" s="34"/>
      <c r="I20" s="22"/>
    </row>
    <row r="21" spans="2:10" x14ac:dyDescent="0.25">
      <c r="B21" t="s">
        <v>64</v>
      </c>
      <c r="F21" s="22"/>
      <c r="G21" s="22"/>
      <c r="H21" s="34"/>
      <c r="I21" s="22"/>
    </row>
    <row r="22" spans="2:10" x14ac:dyDescent="0.25">
      <c r="B22" t="s">
        <v>65</v>
      </c>
      <c r="F22" s="22"/>
      <c r="G22" s="22"/>
      <c r="H22" s="34"/>
      <c r="I22" s="22"/>
    </row>
    <row r="23" spans="2:10" x14ac:dyDescent="0.25">
      <c r="B23" s="16" t="s">
        <v>66</v>
      </c>
      <c r="F23" s="46">
        <f>'10-Yr OpSt'!P25</f>
        <v>0</v>
      </c>
      <c r="G23" s="22"/>
      <c r="H23" s="34">
        <f>I23/GLA</f>
        <v>0</v>
      </c>
      <c r="I23" s="27">
        <f t="shared" ref="I23:I31" si="1">F23</f>
        <v>0</v>
      </c>
    </row>
    <row r="24" spans="2:10" x14ac:dyDescent="0.25">
      <c r="B24" s="16" t="s">
        <v>67</v>
      </c>
      <c r="F24" s="46">
        <f>'10-Yr OpSt'!P26</f>
        <v>209329.37878475973</v>
      </c>
      <c r="G24" s="22"/>
      <c r="H24" s="34">
        <f>I24/GLA</f>
        <v>5.0591980564762116</v>
      </c>
      <c r="I24" s="27">
        <f t="shared" si="1"/>
        <v>209329.37878475973</v>
      </c>
    </row>
    <row r="25" spans="2:10" x14ac:dyDescent="0.25">
      <c r="B25" s="16" t="s">
        <v>68</v>
      </c>
      <c r="F25" s="46">
        <f>'10-Yr OpSt'!P27</f>
        <v>0</v>
      </c>
      <c r="G25" s="22"/>
      <c r="H25" s="34">
        <f>I25/GLA</f>
        <v>0</v>
      </c>
      <c r="I25" s="27">
        <f t="shared" si="1"/>
        <v>0</v>
      </c>
    </row>
    <row r="26" spans="2:10" x14ac:dyDescent="0.25">
      <c r="B26" s="16" t="s">
        <v>69</v>
      </c>
      <c r="F26" s="46">
        <f>'10-Yr OpSt'!P28</f>
        <v>9282.6425082600763</v>
      </c>
      <c r="G26" s="22"/>
      <c r="H26" s="34">
        <f>I26/GLA</f>
        <v>0.22434847516096473</v>
      </c>
      <c r="I26" s="27">
        <f t="shared" si="1"/>
        <v>9282.6425082600763</v>
      </c>
    </row>
    <row r="27" spans="2:10" x14ac:dyDescent="0.25">
      <c r="B27" s="16" t="s">
        <v>70</v>
      </c>
      <c r="F27" s="46">
        <f>'10-Yr OpSt'!P29</f>
        <v>88854.941262257867</v>
      </c>
      <c r="G27" s="22"/>
      <c r="H27" s="34">
        <f>I27/GLA</f>
        <v>2.1474995471350025</v>
      </c>
      <c r="I27" s="27">
        <f t="shared" si="1"/>
        <v>88854.941262257867</v>
      </c>
    </row>
    <row r="28" spans="2:10" x14ac:dyDescent="0.25">
      <c r="B28" s="16" t="s">
        <v>86</v>
      </c>
      <c r="F28" s="46">
        <f>'10-Yr OpSt'!P30</f>
        <v>27153.100705383222</v>
      </c>
      <c r="G28" s="22"/>
      <c r="H28" s="34">
        <f>I28/GLA</f>
        <v>0.65625243390814048</v>
      </c>
      <c r="I28" s="27">
        <f t="shared" si="1"/>
        <v>27153.100705383222</v>
      </c>
    </row>
    <row r="29" spans="2:10" x14ac:dyDescent="0.25">
      <c r="B29" s="16" t="s">
        <v>71</v>
      </c>
      <c r="F29" s="46">
        <f>'10-Yr OpSt'!P31</f>
        <v>17497.445904604745</v>
      </c>
      <c r="G29" s="22"/>
      <c r="H29" s="34">
        <f>I29/GLA</f>
        <v>0.4228887737965184</v>
      </c>
      <c r="I29" s="27">
        <f t="shared" si="1"/>
        <v>17497.445904604745</v>
      </c>
    </row>
    <row r="30" spans="2:10" x14ac:dyDescent="0.25">
      <c r="B30" s="16" t="s">
        <v>72</v>
      </c>
      <c r="F30" s="46">
        <f>'10-Yr OpSt'!P32</f>
        <v>0</v>
      </c>
      <c r="G30" s="22"/>
      <c r="H30" s="34">
        <f>I30/GLA</f>
        <v>0</v>
      </c>
      <c r="I30" s="27">
        <f t="shared" si="1"/>
        <v>0</v>
      </c>
    </row>
    <row r="31" spans="2:10" ht="15.6" x14ac:dyDescent="0.4">
      <c r="B31" s="16" t="s">
        <v>73</v>
      </c>
      <c r="F31" s="55">
        <f>'10-Yr OpSt'!P33</f>
        <v>0</v>
      </c>
      <c r="G31" s="22"/>
      <c r="H31" s="35">
        <f>I31/GLA</f>
        <v>0</v>
      </c>
      <c r="I31" s="27">
        <f t="shared" si="1"/>
        <v>0</v>
      </c>
    </row>
    <row r="32" spans="2:10" x14ac:dyDescent="0.25">
      <c r="B32" t="s">
        <v>74</v>
      </c>
      <c r="F32" s="29">
        <f>SUM(F23:F31)</f>
        <v>352117.50916526566</v>
      </c>
      <c r="G32" s="22"/>
      <c r="H32" s="34">
        <f>I32/GLA</f>
        <v>8.5101872864768389</v>
      </c>
      <c r="I32" s="29">
        <f>SUM(I23:I31)</f>
        <v>352117.50916526566</v>
      </c>
    </row>
    <row r="33" spans="2:14" x14ac:dyDescent="0.25">
      <c r="B33" t="s">
        <v>75</v>
      </c>
      <c r="F33" s="22"/>
      <c r="G33" s="22"/>
      <c r="H33" s="34"/>
      <c r="I33" s="22"/>
    </row>
    <row r="34" spans="2:14" x14ac:dyDescent="0.25">
      <c r="B34" s="16" t="s">
        <v>76</v>
      </c>
      <c r="F34" s="46">
        <f>'10-Yr OpSt'!P36</f>
        <v>73480.983637283964</v>
      </c>
      <c r="G34" s="22"/>
      <c r="H34" s="34">
        <f>I34/GLA</f>
        <v>1.7759325125020293</v>
      </c>
      <c r="I34" s="27">
        <f t="shared" ref="I34:I35" si="2">F34</f>
        <v>73480.983637283964</v>
      </c>
    </row>
    <row r="35" spans="2:14" ht="15.6" x14ac:dyDescent="0.4">
      <c r="B35" s="16" t="s">
        <v>77</v>
      </c>
      <c r="F35" s="55">
        <f>'10-Yr OpSt'!P37</f>
        <v>7565.0793704874632</v>
      </c>
      <c r="G35" s="22"/>
      <c r="H35" s="35">
        <f>I35/GLA</f>
        <v>0.18283737844372253</v>
      </c>
      <c r="I35" s="27">
        <f t="shared" si="2"/>
        <v>7565.0793704874632</v>
      </c>
    </row>
    <row r="36" spans="2:14" x14ac:dyDescent="0.25">
      <c r="B36" s="18" t="s">
        <v>200</v>
      </c>
      <c r="F36" s="22">
        <f>SUM(F34:F35)</f>
        <v>81046.06300777143</v>
      </c>
      <c r="G36" s="22"/>
      <c r="H36" s="34">
        <f>I36/GLA</f>
        <v>1.9587698909457518</v>
      </c>
      <c r="I36" s="22">
        <f>SUM(I34:I35)</f>
        <v>81046.06300777143</v>
      </c>
    </row>
    <row r="37" spans="2:14" x14ac:dyDescent="0.25">
      <c r="F37" s="22"/>
      <c r="G37" s="22"/>
      <c r="H37" s="34"/>
      <c r="I37" s="22"/>
    </row>
    <row r="38" spans="2:14" x14ac:dyDescent="0.25">
      <c r="B38" s="17" t="s">
        <v>79</v>
      </c>
      <c r="F38" s="22">
        <f>+F36+F32</f>
        <v>433163.5721730371</v>
      </c>
      <c r="G38" s="22"/>
      <c r="H38" s="34">
        <f>I38/GLA</f>
        <v>10.46895717742259</v>
      </c>
      <c r="I38" s="22">
        <f>+I36+I32</f>
        <v>433163.5721730371</v>
      </c>
    </row>
    <row r="39" spans="2:14" x14ac:dyDescent="0.25">
      <c r="F39" s="22"/>
      <c r="G39" s="22"/>
      <c r="H39" s="34"/>
      <c r="I39" s="22"/>
    </row>
    <row r="40" spans="2:14" x14ac:dyDescent="0.25">
      <c r="B40" s="17" t="s">
        <v>80</v>
      </c>
      <c r="F40" s="30">
        <f>F19-F38</f>
        <v>403576.07139134814</v>
      </c>
      <c r="G40" s="22"/>
      <c r="H40" s="34">
        <f>I40/GLA</f>
        <v>11.048351696354837</v>
      </c>
      <c r="I40" s="30">
        <f>I19-I38</f>
        <v>457136.59978837776</v>
      </c>
    </row>
    <row r="41" spans="2:14" x14ac:dyDescent="0.25">
      <c r="B41" s="17"/>
      <c r="F41" s="22"/>
      <c r="G41" s="22"/>
      <c r="H41" s="34"/>
      <c r="I41" s="22"/>
    </row>
    <row r="42" spans="2:14" x14ac:dyDescent="0.25">
      <c r="B42" s="17" t="s">
        <v>126</v>
      </c>
      <c r="F42" s="33"/>
      <c r="G42" s="22"/>
      <c r="H42" s="34"/>
      <c r="I42" s="42">
        <f>+Acquisition!I42+0.5%</f>
        <v>7.2007299270073002E-2</v>
      </c>
      <c r="J42" t="s">
        <v>133</v>
      </c>
    </row>
    <row r="43" spans="2:14" x14ac:dyDescent="0.25">
      <c r="B43" s="17" t="s">
        <v>127</v>
      </c>
      <c r="F43" s="27"/>
      <c r="G43" s="22"/>
      <c r="H43" s="34">
        <f>I43/GLA</f>
        <v>153.43377419164852</v>
      </c>
      <c r="I43" s="29">
        <f>I40/I42</f>
        <v>6348475.840953649</v>
      </c>
    </row>
    <row r="44" spans="2:14" x14ac:dyDescent="0.25">
      <c r="B44" s="1" t="s">
        <v>121</v>
      </c>
      <c r="C44" s="1"/>
      <c r="D44" s="1"/>
      <c r="E44" s="1"/>
      <c r="F44" s="1"/>
      <c r="G44" s="1"/>
      <c r="H44" s="1"/>
      <c r="I44" s="1"/>
      <c r="J44" s="1" t="s">
        <v>49</v>
      </c>
      <c r="K44" s="1"/>
      <c r="L44" s="1"/>
      <c r="M44" s="6"/>
      <c r="N44" s="50"/>
    </row>
    <row r="45" spans="2:14" x14ac:dyDescent="0.25">
      <c r="B45" s="19" t="s">
        <v>127</v>
      </c>
      <c r="C45" s="19"/>
      <c r="D45" s="19"/>
      <c r="E45" s="19"/>
      <c r="F45" s="19"/>
      <c r="G45" s="19"/>
      <c r="H45" s="19"/>
      <c r="I45" s="31">
        <f>I43</f>
        <v>6348475.840953649</v>
      </c>
      <c r="J45" s="19"/>
      <c r="K45" s="19"/>
      <c r="L45" s="19"/>
      <c r="M45" s="19"/>
      <c r="N45" s="19"/>
    </row>
    <row r="46" spans="2:14" x14ac:dyDescent="0.25">
      <c r="B46" s="56" t="s">
        <v>128</v>
      </c>
      <c r="C46" s="19"/>
      <c r="D46" s="19"/>
      <c r="E46" s="19"/>
      <c r="F46" s="19"/>
      <c r="G46" s="19"/>
      <c r="H46" s="19"/>
      <c r="I46" s="27">
        <f>GLA*-10</f>
        <v>-413760</v>
      </c>
      <c r="J46" s="19" t="s">
        <v>134</v>
      </c>
      <c r="K46" s="19"/>
      <c r="L46" s="19"/>
      <c r="M46" s="19"/>
      <c r="N46" s="19"/>
    </row>
    <row r="47" spans="2:14" ht="15.6" x14ac:dyDescent="0.4">
      <c r="B47" s="56" t="s">
        <v>129</v>
      </c>
      <c r="C47" s="19"/>
      <c r="D47" s="19"/>
      <c r="E47" s="19"/>
      <c r="F47" s="19"/>
      <c r="G47" s="19"/>
      <c r="H47" s="42">
        <v>3.2091500000000002E-2</v>
      </c>
      <c r="I47" s="26">
        <f>H47*-(I45+I46)</f>
        <v>-190453.93340996403</v>
      </c>
      <c r="J47" s="19"/>
      <c r="K47" s="19"/>
      <c r="L47" s="19"/>
      <c r="M47" s="19"/>
      <c r="N47" s="19"/>
    </row>
    <row r="48" spans="2:14" x14ac:dyDescent="0.25">
      <c r="B48" s="19" t="s">
        <v>130</v>
      </c>
      <c r="C48" s="19"/>
      <c r="D48" s="19"/>
      <c r="E48" s="19"/>
      <c r="F48" s="19"/>
      <c r="G48" s="19"/>
      <c r="H48" s="19"/>
      <c r="I48" s="31">
        <f>SUM(I45:I47)</f>
        <v>5744261.9075436853</v>
      </c>
      <c r="J48" s="19"/>
      <c r="K48" s="19"/>
      <c r="L48" s="19"/>
      <c r="M48" s="19"/>
      <c r="N48" s="19"/>
    </row>
    <row r="49" spans="2:14" x14ac:dyDescent="0.25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2:14" x14ac:dyDescent="0.2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2:14" hidden="1" x14ac:dyDescent="0.25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2:14" hidden="1" x14ac:dyDescent="0.25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2:14" hidden="1" x14ac:dyDescent="0.2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2:14" hidden="1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2:14" hidden="1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2:14" hidden="1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2:14" hidden="1" x14ac:dyDescent="0.25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2:14" hidden="1" x14ac:dyDescent="0.25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3D1A-2AF4-4BF6-A21A-B785A65DD5BD}">
  <sheetPr>
    <tabColor theme="7" tint="0.79998168889431442"/>
  </sheetPr>
  <dimension ref="B1:P213"/>
  <sheetViews>
    <sheetView showGridLines="0" topLeftCell="A25" zoomScale="110" zoomScaleNormal="110" workbookViewId="0">
      <selection activeCell="A52" sqref="A52"/>
    </sheetView>
  </sheetViews>
  <sheetFormatPr defaultColWidth="0" defaultRowHeight="13.8" zeroHeight="1" x14ac:dyDescent="0.25"/>
  <cols>
    <col min="1" max="1" width="1.59765625" customWidth="1"/>
    <col min="2" max="2" width="10.3984375" customWidth="1"/>
    <col min="3" max="4" width="10.09765625" customWidth="1"/>
    <col min="5" max="5" width="8.19921875" customWidth="1"/>
    <col min="6" max="6" width="10.796875" bestFit="1" customWidth="1"/>
    <col min="7" max="15" width="9.296875" bestFit="1" customWidth="1"/>
    <col min="16" max="16" width="10.796875" bestFit="1" customWidth="1"/>
    <col min="17" max="17" width="1.69921875" customWidth="1"/>
    <col min="18" max="16384" width="8.796875" hidden="1"/>
  </cols>
  <sheetData>
    <row r="1" spans="2:16" ht="5.0999999999999996" customHeight="1" x14ac:dyDescent="0.25"/>
    <row r="2" spans="2:16" s="3" customFormat="1" x14ac:dyDescent="0.25">
      <c r="B2" s="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B3" s="1" t="s">
        <v>136</v>
      </c>
      <c r="C3" s="1"/>
      <c r="D3" s="1"/>
      <c r="E3" s="1"/>
      <c r="F3" s="57">
        <v>0</v>
      </c>
      <c r="G3" s="57">
        <f>F3+1</f>
        <v>1</v>
      </c>
      <c r="H3" s="57">
        <f t="shared" ref="H3:P3" si="0">G3+1</f>
        <v>2</v>
      </c>
      <c r="I3" s="57">
        <f t="shared" si="0"/>
        <v>3</v>
      </c>
      <c r="J3" s="57">
        <f t="shared" si="0"/>
        <v>4</v>
      </c>
      <c r="K3" s="57">
        <f t="shared" si="0"/>
        <v>5</v>
      </c>
      <c r="L3" s="57">
        <f t="shared" si="0"/>
        <v>6</v>
      </c>
      <c r="M3" s="57">
        <f t="shared" si="0"/>
        <v>7</v>
      </c>
      <c r="N3" s="57">
        <f t="shared" si="0"/>
        <v>8</v>
      </c>
      <c r="O3" s="57">
        <f t="shared" si="0"/>
        <v>9</v>
      </c>
      <c r="P3" s="57">
        <f t="shared" si="0"/>
        <v>10</v>
      </c>
    </row>
    <row r="4" spans="2:16" x14ac:dyDescent="0.25">
      <c r="B4" t="s">
        <v>138</v>
      </c>
    </row>
    <row r="5" spans="2:16" x14ac:dyDescent="0.25">
      <c r="B5" t="s">
        <v>82</v>
      </c>
      <c r="F5" s="46">
        <f>(F$3=0)*Acquisition!$I45</f>
        <v>5480000</v>
      </c>
      <c r="G5" s="46">
        <f>(G$3=0)*Acquisition!$I45</f>
        <v>0</v>
      </c>
      <c r="H5" s="46">
        <f>(H$3=0)*Acquisition!$I45</f>
        <v>0</v>
      </c>
      <c r="I5" s="46">
        <f>(I$3=0)*Acquisition!$I45</f>
        <v>0</v>
      </c>
      <c r="J5" s="46">
        <f>(J$3=0)*Acquisition!$I45</f>
        <v>0</v>
      </c>
      <c r="K5" s="46">
        <f>(K$3=0)*Acquisition!$I45</f>
        <v>0</v>
      </c>
      <c r="L5" s="46">
        <f>(L$3=0)*Acquisition!$I45</f>
        <v>0</v>
      </c>
      <c r="M5" s="46">
        <f>(M$3=0)*Acquisition!$I45</f>
        <v>0</v>
      </c>
      <c r="N5" s="46">
        <f>(N$3=0)*Acquisition!$I45</f>
        <v>0</v>
      </c>
      <c r="O5" s="46">
        <f>(O$3=0)*Acquisition!$I45</f>
        <v>0</v>
      </c>
      <c r="P5" s="46">
        <f>(P$3=0)*Acquisition!$I45</f>
        <v>0</v>
      </c>
    </row>
    <row r="6" spans="2:16" x14ac:dyDescent="0.25">
      <c r="B6" s="16" t="s">
        <v>139</v>
      </c>
      <c r="F6" s="46">
        <f>(F$3=0)*Acquisition!$I46</f>
        <v>0</v>
      </c>
      <c r="G6" s="46">
        <f>(G$3=0)*Acquisition!$I46</f>
        <v>0</v>
      </c>
      <c r="H6" s="46">
        <f>(H$3=0)*Acquisition!$I46</f>
        <v>0</v>
      </c>
      <c r="I6" s="46">
        <f>(I$3=0)*Acquisition!$I46</f>
        <v>0</v>
      </c>
      <c r="J6" s="46">
        <f>(J$3=0)*Acquisition!$I46</f>
        <v>0</v>
      </c>
      <c r="K6" s="46">
        <f>(K$3=0)*Acquisition!$I46</f>
        <v>0</v>
      </c>
      <c r="L6" s="46">
        <f>(L$3=0)*Acquisition!$I46</f>
        <v>0</v>
      </c>
      <c r="M6" s="46">
        <f>(M$3=0)*Acquisition!$I46</f>
        <v>0</v>
      </c>
      <c r="N6" s="46">
        <f>(N$3=0)*Acquisition!$I46</f>
        <v>0</v>
      </c>
      <c r="O6" s="46">
        <f>(O$3=0)*Acquisition!$I46</f>
        <v>0</v>
      </c>
      <c r="P6" s="46">
        <f>(P$3=0)*Acquisition!$I46</f>
        <v>0</v>
      </c>
    </row>
    <row r="7" spans="2:16" x14ac:dyDescent="0.25">
      <c r="B7" s="16" t="s">
        <v>88</v>
      </c>
      <c r="F7" s="46">
        <f>(F$3=0)*Acquisition!$I47</f>
        <v>27400</v>
      </c>
      <c r="G7" s="46">
        <f>(G$3=0)*Acquisition!$I47</f>
        <v>0</v>
      </c>
      <c r="H7" s="46">
        <f>(H$3=0)*Acquisition!$I47</f>
        <v>0</v>
      </c>
      <c r="I7" s="46">
        <f>(I$3=0)*Acquisition!$I47</f>
        <v>0</v>
      </c>
      <c r="J7" s="46">
        <f>(J$3=0)*Acquisition!$I47</f>
        <v>0</v>
      </c>
      <c r="K7" s="46">
        <f>(K$3=0)*Acquisition!$I47</f>
        <v>0</v>
      </c>
      <c r="L7" s="46">
        <f>(L$3=0)*Acquisition!$I47</f>
        <v>0</v>
      </c>
      <c r="M7" s="46">
        <f>(M$3=0)*Acquisition!$I47</f>
        <v>0</v>
      </c>
      <c r="N7" s="46">
        <f>(N$3=0)*Acquisition!$I47</f>
        <v>0</v>
      </c>
      <c r="O7" s="46">
        <f>(O$3=0)*Acquisition!$I47</f>
        <v>0</v>
      </c>
      <c r="P7" s="46">
        <f>(P$3=0)*Acquisition!$I47</f>
        <v>0</v>
      </c>
    </row>
    <row r="8" spans="2:16" ht="15.6" x14ac:dyDescent="0.4">
      <c r="B8" s="16" t="s">
        <v>89</v>
      </c>
      <c r="F8" s="55">
        <f>(F$3=0)*Acquisition!$I48</f>
        <v>0</v>
      </c>
      <c r="G8" s="55">
        <f>(G$3=0)*Acquisition!$I48</f>
        <v>0</v>
      </c>
      <c r="H8" s="55">
        <f>(H$3=0)*Acquisition!$I48</f>
        <v>0</v>
      </c>
      <c r="I8" s="55">
        <f>(I$3=0)*Acquisition!$I48</f>
        <v>0</v>
      </c>
      <c r="J8" s="55">
        <f>(J$3=0)*Acquisition!$I48</f>
        <v>0</v>
      </c>
      <c r="K8" s="55">
        <f>(K$3=0)*Acquisition!$I48</f>
        <v>0</v>
      </c>
      <c r="L8" s="55">
        <f>(L$3=0)*Acquisition!$I48</f>
        <v>0</v>
      </c>
      <c r="M8" s="55">
        <f>(M$3=0)*Acquisition!$I48</f>
        <v>0</v>
      </c>
      <c r="N8" s="55">
        <f>(N$3=0)*Acquisition!$I48</f>
        <v>0</v>
      </c>
      <c r="O8" s="55">
        <f>(O$3=0)*Acquisition!$I48</f>
        <v>0</v>
      </c>
      <c r="P8" s="55">
        <f>(P$3=0)*Acquisition!$I48</f>
        <v>0</v>
      </c>
    </row>
    <row r="9" spans="2:16" x14ac:dyDescent="0.25">
      <c r="B9" t="s">
        <v>90</v>
      </c>
      <c r="F9" s="22">
        <f>SUM(F5:F8)</f>
        <v>5507400</v>
      </c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2:16" x14ac:dyDescent="0.25"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2:16" x14ac:dyDescent="0.25">
      <c r="B11" s="18" t="s">
        <v>140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2:16" x14ac:dyDescent="0.25">
      <c r="B12" t="s">
        <v>60</v>
      </c>
      <c r="F12" s="22">
        <v>0</v>
      </c>
      <c r="G12" s="46">
        <f>'10-Yr OpSt'!F21</f>
        <v>630745</v>
      </c>
      <c r="H12" s="46">
        <f>'10-Yr OpSt'!G21</f>
        <v>733310.92050000001</v>
      </c>
      <c r="I12" s="46">
        <f>'10-Yr OpSt'!H21</f>
        <v>744218.57861999993</v>
      </c>
      <c r="J12" s="46">
        <f>'10-Yr OpSt'!I21</f>
        <v>755269.39240859996</v>
      </c>
      <c r="K12" s="46">
        <f>'10-Yr OpSt'!J21</f>
        <v>766463.73877729604</v>
      </c>
      <c r="L12" s="46">
        <f>'10-Yr OpSt'!K21</f>
        <v>777803.90318777645</v>
      </c>
      <c r="M12" s="46">
        <f>'10-Yr OpSt'!L21</f>
        <v>789292.08932716516</v>
      </c>
      <c r="N12" s="46">
        <f>'10-Yr OpSt'!M21</f>
        <v>800927.52377085423</v>
      </c>
      <c r="O12" s="46">
        <f>'10-Yr OpSt'!N21</f>
        <v>812713.25063256011</v>
      </c>
      <c r="P12" s="46">
        <f>'10-Yr OpSt'!O21</f>
        <v>824650.30120122584</v>
      </c>
    </row>
    <row r="13" spans="2:16" ht="15.6" x14ac:dyDescent="0.4">
      <c r="B13" s="16" t="s">
        <v>141</v>
      </c>
      <c r="F13" s="22">
        <v>0</v>
      </c>
      <c r="G13" s="55">
        <f>-'10-Yr OpSt'!F40</f>
        <v>-355345</v>
      </c>
      <c r="H13" s="55">
        <f>-'10-Yr OpSt'!G40</f>
        <v>-362451.9</v>
      </c>
      <c r="I13" s="55">
        <f>-'10-Yr OpSt'!H40</f>
        <v>-369700.93799999997</v>
      </c>
      <c r="J13" s="55">
        <f>-'10-Yr OpSt'!I40</f>
        <v>-377094.95676000003</v>
      </c>
      <c r="K13" s="55">
        <f>-'10-Yr OpSt'!J40</f>
        <v>-384636.85589519999</v>
      </c>
      <c r="L13" s="55">
        <f>-'10-Yr OpSt'!K40</f>
        <v>-392329.59301310399</v>
      </c>
      <c r="M13" s="55">
        <f>-'10-Yr OpSt'!L40</f>
        <v>-400176.18487336615</v>
      </c>
      <c r="N13" s="55">
        <f>-'10-Yr OpSt'!M40</f>
        <v>-408179.70857083343</v>
      </c>
      <c r="O13" s="55">
        <f>-'10-Yr OpSt'!N40</f>
        <v>-416343.30274225015</v>
      </c>
      <c r="P13" s="55">
        <f>-'10-Yr OpSt'!O40</f>
        <v>-424670.16879709513</v>
      </c>
    </row>
    <row r="14" spans="2:16" x14ac:dyDescent="0.25">
      <c r="B14" t="s">
        <v>80</v>
      </c>
      <c r="F14" s="22">
        <v>0</v>
      </c>
      <c r="G14" s="22">
        <f>SUM(G12:G13)</f>
        <v>275400</v>
      </c>
      <c r="H14" s="22">
        <f t="shared" ref="H14:P14" si="1">SUM(H12:H13)</f>
        <v>370859.02049999998</v>
      </c>
      <c r="I14" s="22">
        <f t="shared" si="1"/>
        <v>374517.64061999996</v>
      </c>
      <c r="J14" s="22">
        <f t="shared" si="1"/>
        <v>378174.43564859993</v>
      </c>
      <c r="K14" s="22">
        <f t="shared" si="1"/>
        <v>381826.88288209605</v>
      </c>
      <c r="L14" s="22">
        <f t="shared" si="1"/>
        <v>385474.31017467246</v>
      </c>
      <c r="M14" s="22">
        <f t="shared" si="1"/>
        <v>389115.90445379901</v>
      </c>
      <c r="N14" s="22">
        <f t="shared" si="1"/>
        <v>392747.81520002079</v>
      </c>
      <c r="O14" s="22">
        <f t="shared" si="1"/>
        <v>396369.94789030997</v>
      </c>
      <c r="P14" s="22">
        <f t="shared" si="1"/>
        <v>399980.13240413071</v>
      </c>
    </row>
    <row r="15" spans="2:16" ht="15.6" x14ac:dyDescent="0.4">
      <c r="B15" s="16" t="s">
        <v>98</v>
      </c>
      <c r="F15" s="22">
        <v>0</v>
      </c>
      <c r="G15" s="55">
        <f>-'10-Yr OpSt'!F46</f>
        <v>0</v>
      </c>
      <c r="H15" s="55">
        <f>-'10-Yr OpSt'!G46</f>
        <v>0</v>
      </c>
      <c r="I15" s="55">
        <f>-'10-Yr OpSt'!H46</f>
        <v>0</v>
      </c>
      <c r="J15" s="55">
        <f>-'10-Yr OpSt'!I46</f>
        <v>0</v>
      </c>
      <c r="K15" s="55">
        <f>-'10-Yr OpSt'!J46</f>
        <v>0</v>
      </c>
      <c r="L15" s="55">
        <f>-'10-Yr OpSt'!K46</f>
        <v>0</v>
      </c>
      <c r="M15" s="55">
        <f>-'10-Yr OpSt'!L46</f>
        <v>0</v>
      </c>
      <c r="N15" s="55">
        <f>-'10-Yr OpSt'!M46</f>
        <v>0</v>
      </c>
      <c r="O15" s="55">
        <f>-'10-Yr OpSt'!N46</f>
        <v>0</v>
      </c>
      <c r="P15" s="55">
        <f>-'10-Yr OpSt'!O46</f>
        <v>0</v>
      </c>
    </row>
    <row r="16" spans="2:16" x14ac:dyDescent="0.25">
      <c r="B16" t="s">
        <v>99</v>
      </c>
      <c r="F16" s="22">
        <v>0</v>
      </c>
      <c r="G16" s="22">
        <f>SUM(G14:G15)</f>
        <v>275400</v>
      </c>
      <c r="H16" s="22">
        <f t="shared" ref="H16:P16" si="2">SUM(H14:H15)</f>
        <v>370859.02049999998</v>
      </c>
      <c r="I16" s="22">
        <f t="shared" si="2"/>
        <v>374517.64061999996</v>
      </c>
      <c r="J16" s="22">
        <f t="shared" si="2"/>
        <v>378174.43564859993</v>
      </c>
      <c r="K16" s="22">
        <f t="shared" si="2"/>
        <v>381826.88288209605</v>
      </c>
      <c r="L16" s="22">
        <f t="shared" si="2"/>
        <v>385474.31017467246</v>
      </c>
      <c r="M16" s="22">
        <f t="shared" si="2"/>
        <v>389115.90445379901</v>
      </c>
      <c r="N16" s="22">
        <f t="shared" si="2"/>
        <v>392747.81520002079</v>
      </c>
      <c r="O16" s="22">
        <f t="shared" si="2"/>
        <v>396369.94789030997</v>
      </c>
      <c r="P16" s="22">
        <f t="shared" si="2"/>
        <v>399980.13240413071</v>
      </c>
    </row>
    <row r="17" spans="2:16" x14ac:dyDescent="0.25">
      <c r="F17" s="59" t="s">
        <v>149</v>
      </c>
      <c r="G17" s="60">
        <f>G16/SUM($F$9:G9)</f>
        <v>5.0005447216472383E-2</v>
      </c>
      <c r="H17" s="60">
        <f>H16/SUM($F$9:H9)</f>
        <v>6.7338312179976031E-2</v>
      </c>
      <c r="I17" s="60">
        <f>I16/SUM($F$9:I9)</f>
        <v>6.8002622039437841E-2</v>
      </c>
      <c r="J17" s="60">
        <f>J16/SUM($F$9:J9)</f>
        <v>6.8666600509968395E-2</v>
      </c>
      <c r="K17" s="60">
        <f>K16/SUM($F$9:K9)</f>
        <v>6.9329789534462005E-2</v>
      </c>
      <c r="L17" s="60">
        <f>L16/SUM($F$9:L9)</f>
        <v>6.9992067068793337E-2</v>
      </c>
      <c r="M17" s="60">
        <f>M16/SUM($F$9:M9)</f>
        <v>7.0653285480226424E-2</v>
      </c>
      <c r="N17" s="60">
        <f>N16/SUM($F$9:N9)</f>
        <v>7.131274561499451E-2</v>
      </c>
      <c r="O17" s="60">
        <f>O16/SUM($F$9:O9)</f>
        <v>7.1970430310184477E-2</v>
      </c>
      <c r="P17" s="60">
        <f>P16/SUM($F$9:P9)</f>
        <v>7.2625945528585312E-2</v>
      </c>
    </row>
    <row r="18" spans="2:16" x14ac:dyDescent="0.25"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x14ac:dyDescent="0.25">
      <c r="B19" s="18" t="s">
        <v>144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2:16" x14ac:dyDescent="0.25">
      <c r="B20" t="s">
        <v>127</v>
      </c>
      <c r="F20" s="46">
        <f>(F$3=Summary!$G$11)*Reversion!$I45</f>
        <v>0</v>
      </c>
      <c r="G20" s="46">
        <f>(G$3=Summary!$G$11)*Reversion!$I45</f>
        <v>0</v>
      </c>
      <c r="H20" s="46">
        <f>(H$3=Summary!$G$11)*Reversion!$I45</f>
        <v>0</v>
      </c>
      <c r="I20" s="46">
        <f>(I$3=Summary!$G$11)*Reversion!$I45</f>
        <v>0</v>
      </c>
      <c r="J20" s="46">
        <f>(J$3=Summary!$G$11)*Reversion!$I45</f>
        <v>0</v>
      </c>
      <c r="K20" s="46">
        <f>(K$3=Summary!$G$11)*Reversion!$I45</f>
        <v>0</v>
      </c>
      <c r="L20" s="46">
        <f>(L$3=Summary!$G$11)*Reversion!$I45</f>
        <v>0</v>
      </c>
      <c r="M20" s="46">
        <f>(M$3=Summary!$G$11)*Reversion!$I45</f>
        <v>0</v>
      </c>
      <c r="N20" s="46">
        <f>(N$3=Summary!$G$11)*Reversion!$I45</f>
        <v>0</v>
      </c>
      <c r="O20" s="46">
        <f>(O$3=Summary!$G$11)*Reversion!$I45</f>
        <v>0</v>
      </c>
      <c r="P20" s="46">
        <f>(P$3=Summary!$G$11)*Reversion!$I45</f>
        <v>6348475.840953649</v>
      </c>
    </row>
    <row r="21" spans="2:16" x14ac:dyDescent="0.25">
      <c r="B21" s="16" t="s">
        <v>142</v>
      </c>
      <c r="F21" s="46">
        <f>(F$3=Summary!$G$11)*Reversion!$I46</f>
        <v>0</v>
      </c>
      <c r="G21" s="46">
        <f>(G$3=Summary!$G$11)*Reversion!$I46</f>
        <v>0</v>
      </c>
      <c r="H21" s="46">
        <f>(H$3=Summary!$G$11)*Reversion!$I46</f>
        <v>0</v>
      </c>
      <c r="I21" s="46">
        <f>(I$3=Summary!$G$11)*Reversion!$I46</f>
        <v>0</v>
      </c>
      <c r="J21" s="46">
        <f>(J$3=Summary!$G$11)*Reversion!$I46</f>
        <v>0</v>
      </c>
      <c r="K21" s="46">
        <f>(K$3=Summary!$G$11)*Reversion!$I46</f>
        <v>0</v>
      </c>
      <c r="L21" s="46">
        <f>(L$3=Summary!$G$11)*Reversion!$I46</f>
        <v>0</v>
      </c>
      <c r="M21" s="46">
        <f>(M$3=Summary!$G$11)*Reversion!$I46</f>
        <v>0</v>
      </c>
      <c r="N21" s="46">
        <f>(N$3=Summary!$G$11)*Reversion!$I46</f>
        <v>0</v>
      </c>
      <c r="O21" s="46">
        <f>(O$3=Summary!$G$11)*Reversion!$I46</f>
        <v>0</v>
      </c>
      <c r="P21" s="46">
        <f>(P$3=Summary!$G$11)*Reversion!$I46</f>
        <v>-413760</v>
      </c>
    </row>
    <row r="22" spans="2:16" ht="15.6" x14ac:dyDescent="0.4">
      <c r="B22" s="16" t="s">
        <v>143</v>
      </c>
      <c r="F22" s="55">
        <f>(F$3=Summary!$G$11)*Reversion!$I47</f>
        <v>0</v>
      </c>
      <c r="G22" s="55">
        <f>(G$3=Summary!$G$11)*Reversion!$I47</f>
        <v>0</v>
      </c>
      <c r="H22" s="55">
        <f>(H$3=Summary!$G$11)*Reversion!$I47</f>
        <v>0</v>
      </c>
      <c r="I22" s="55">
        <f>(I$3=Summary!$G$11)*Reversion!$I47</f>
        <v>0</v>
      </c>
      <c r="J22" s="55">
        <f>(J$3=Summary!$G$11)*Reversion!$I47</f>
        <v>0</v>
      </c>
      <c r="K22" s="55">
        <f>(K$3=Summary!$G$11)*Reversion!$I47</f>
        <v>0</v>
      </c>
      <c r="L22" s="55">
        <f>(L$3=Summary!$G$11)*Reversion!$I47</f>
        <v>0</v>
      </c>
      <c r="M22" s="55">
        <f>(M$3=Summary!$G$11)*Reversion!$I47</f>
        <v>0</v>
      </c>
      <c r="N22" s="55">
        <f>(N$3=Summary!$G$11)*Reversion!$I47</f>
        <v>0</v>
      </c>
      <c r="O22" s="55">
        <f>(O$3=Summary!$G$11)*Reversion!$I47</f>
        <v>0</v>
      </c>
      <c r="P22" s="55">
        <f>(P$3=Summary!$G$11)*Reversion!$I47</f>
        <v>-190453.93340996403</v>
      </c>
    </row>
    <row r="23" spans="2:16" x14ac:dyDescent="0.25">
      <c r="B23" t="s">
        <v>130</v>
      </c>
      <c r="F23" s="29">
        <f t="shared" ref="F23:O23" si="3">SUM(F20:F22)</f>
        <v>0</v>
      </c>
      <c r="G23" s="29">
        <f t="shared" si="3"/>
        <v>0</v>
      </c>
      <c r="H23" s="29">
        <f t="shared" si="3"/>
        <v>0</v>
      </c>
      <c r="I23" s="29">
        <f t="shared" si="3"/>
        <v>0</v>
      </c>
      <c r="J23" s="29">
        <f t="shared" si="3"/>
        <v>0</v>
      </c>
      <c r="K23" s="29">
        <f t="shared" si="3"/>
        <v>0</v>
      </c>
      <c r="L23" s="29">
        <f t="shared" si="3"/>
        <v>0</v>
      </c>
      <c r="M23" s="29">
        <f t="shared" si="3"/>
        <v>0</v>
      </c>
      <c r="N23" s="29">
        <f t="shared" si="3"/>
        <v>0</v>
      </c>
      <c r="O23" s="29">
        <f t="shared" si="3"/>
        <v>0</v>
      </c>
      <c r="P23" s="29">
        <f>SUM(P20:P22)</f>
        <v>5744261.9075436853</v>
      </c>
    </row>
    <row r="24" spans="2:16" x14ac:dyDescent="0.25"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x14ac:dyDescent="0.25">
      <c r="B25" t="s">
        <v>145</v>
      </c>
      <c r="F25" s="22">
        <f>-F9+F16+F23</f>
        <v>-5507400</v>
      </c>
      <c r="G25" s="22">
        <f t="shared" ref="G25:P25" si="4">-G9+G16+G23</f>
        <v>275400</v>
      </c>
      <c r="H25" s="22">
        <f t="shared" si="4"/>
        <v>370859.02049999998</v>
      </c>
      <c r="I25" s="22">
        <f t="shared" si="4"/>
        <v>374517.64061999996</v>
      </c>
      <c r="J25" s="22">
        <f t="shared" si="4"/>
        <v>378174.43564859993</v>
      </c>
      <c r="K25" s="22">
        <f t="shared" si="4"/>
        <v>381826.88288209605</v>
      </c>
      <c r="L25" s="22">
        <f t="shared" si="4"/>
        <v>385474.31017467246</v>
      </c>
      <c r="M25" s="22">
        <f t="shared" si="4"/>
        <v>389115.90445379901</v>
      </c>
      <c r="N25" s="22">
        <f t="shared" si="4"/>
        <v>392747.81520002079</v>
      </c>
      <c r="O25" s="22">
        <f t="shared" si="4"/>
        <v>396369.94789030997</v>
      </c>
      <c r="P25" s="22">
        <f t="shared" si="4"/>
        <v>6144242.0399478162</v>
      </c>
    </row>
    <row r="26" spans="2:16" x14ac:dyDescent="0.25">
      <c r="B26" t="s">
        <v>146</v>
      </c>
      <c r="F26" s="33">
        <f>IRR(F25:P25)</f>
        <v>7.0179857500040077E-2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2:16" x14ac:dyDescent="0.25">
      <c r="B27" t="s">
        <v>147</v>
      </c>
      <c r="F27" s="58">
        <f>SUMIF(F25:P25,"&gt;0")/-SUMIF(F25:P25,"&lt;0")</f>
        <v>1.7229051816314984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x14ac:dyDescent="0.25">
      <c r="B28" t="s">
        <v>148</v>
      </c>
      <c r="F28" s="22">
        <f>SUM(F25:P25)</f>
        <v>3981327.9973173137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2:16" x14ac:dyDescent="0.25"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2:16" x14ac:dyDescent="0.25">
      <c r="B30" s="1" t="s">
        <v>137</v>
      </c>
      <c r="C30" s="1"/>
      <c r="D30" s="1"/>
      <c r="E30" s="1"/>
      <c r="F30" s="57">
        <v>0</v>
      </c>
      <c r="G30" s="57">
        <f>F30+1</f>
        <v>1</v>
      </c>
      <c r="H30" s="57">
        <f t="shared" ref="H30:P30" si="5">G30+1</f>
        <v>2</v>
      </c>
      <c r="I30" s="57">
        <f t="shared" si="5"/>
        <v>3</v>
      </c>
      <c r="J30" s="57">
        <f t="shared" si="5"/>
        <v>4</v>
      </c>
      <c r="K30" s="57">
        <f t="shared" si="5"/>
        <v>5</v>
      </c>
      <c r="L30" s="57">
        <f t="shared" si="5"/>
        <v>6</v>
      </c>
      <c r="M30" s="57">
        <f t="shared" si="5"/>
        <v>7</v>
      </c>
      <c r="N30" s="57">
        <f t="shared" si="5"/>
        <v>8</v>
      </c>
      <c r="O30" s="57">
        <f t="shared" si="5"/>
        <v>9</v>
      </c>
      <c r="P30" s="57">
        <f t="shared" si="5"/>
        <v>10</v>
      </c>
    </row>
    <row r="31" spans="2:16" x14ac:dyDescent="0.25">
      <c r="B31" t="s">
        <v>138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x14ac:dyDescent="0.25">
      <c r="B32" t="s">
        <v>90</v>
      </c>
      <c r="F32" s="22">
        <f>F9</f>
        <v>5507400</v>
      </c>
      <c r="G32" s="22">
        <f t="shared" ref="G32:P32" si="6">G9</f>
        <v>0</v>
      </c>
      <c r="H32" s="22">
        <f t="shared" si="6"/>
        <v>0</v>
      </c>
      <c r="I32" s="22">
        <f t="shared" si="6"/>
        <v>0</v>
      </c>
      <c r="J32" s="22">
        <f t="shared" si="6"/>
        <v>0</v>
      </c>
      <c r="K32" s="22">
        <f t="shared" si="6"/>
        <v>0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0</v>
      </c>
      <c r="P32" s="22">
        <f t="shared" si="6"/>
        <v>0</v>
      </c>
    </row>
    <row r="33" spans="2:16" ht="15.6" x14ac:dyDescent="0.4">
      <c r="B33" s="16" t="s">
        <v>111</v>
      </c>
      <c r="F33" s="55">
        <f>(F30=0)*-'Perm. Debt'!$E$6</f>
        <v>-3797639.9999999995</v>
      </c>
      <c r="G33" s="55">
        <f>(G30=0)*-'Perm. Debt'!$E$6</f>
        <v>0</v>
      </c>
      <c r="H33" s="55">
        <f>(H30=0)*-'Perm. Debt'!$E$6</f>
        <v>0</v>
      </c>
      <c r="I33" s="55">
        <f>(I30=0)*-'Perm. Debt'!$E$6</f>
        <v>0</v>
      </c>
      <c r="J33" s="55">
        <f>(J30=0)*-'Perm. Debt'!$E$6</f>
        <v>0</v>
      </c>
      <c r="K33" s="55">
        <f>(K30=0)*-'Perm. Debt'!$E$6</f>
        <v>0</v>
      </c>
      <c r="L33" s="55">
        <f>(L30=0)*-'Perm. Debt'!$E$6</f>
        <v>0</v>
      </c>
      <c r="M33" s="55">
        <f>(M30=0)*-'Perm. Debt'!$E$6</f>
        <v>0</v>
      </c>
      <c r="N33" s="55">
        <f>(N30=0)*-'Perm. Debt'!$E$6</f>
        <v>0</v>
      </c>
      <c r="O33" s="55">
        <f>(O30=0)*-'Perm. Debt'!$E$6</f>
        <v>0</v>
      </c>
      <c r="P33" s="55">
        <f>(P30=0)*-'Perm. Debt'!$E$6</f>
        <v>0</v>
      </c>
    </row>
    <row r="34" spans="2:16" x14ac:dyDescent="0.25">
      <c r="B34" t="s">
        <v>150</v>
      </c>
      <c r="F34" s="22">
        <f>SUM(F32:F33)</f>
        <v>1709760.0000000005</v>
      </c>
      <c r="G34" s="22">
        <f t="shared" ref="G34:P34" si="7">SUM(G32:G33)</f>
        <v>0</v>
      </c>
      <c r="H34" s="22">
        <f t="shared" si="7"/>
        <v>0</v>
      </c>
      <c r="I34" s="22">
        <f t="shared" si="7"/>
        <v>0</v>
      </c>
      <c r="J34" s="22">
        <f t="shared" si="7"/>
        <v>0</v>
      </c>
      <c r="K34" s="22">
        <f t="shared" si="7"/>
        <v>0</v>
      </c>
      <c r="L34" s="22">
        <f t="shared" si="7"/>
        <v>0</v>
      </c>
      <c r="M34" s="22">
        <f t="shared" si="7"/>
        <v>0</v>
      </c>
      <c r="N34" s="22">
        <f t="shared" si="7"/>
        <v>0</v>
      </c>
      <c r="O34" s="22">
        <f t="shared" si="7"/>
        <v>0</v>
      </c>
      <c r="P34" s="22">
        <f t="shared" si="7"/>
        <v>0</v>
      </c>
    </row>
    <row r="35" spans="2:16" x14ac:dyDescent="0.25"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2:16" x14ac:dyDescent="0.25">
      <c r="B36" t="s">
        <v>140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2:16" x14ac:dyDescent="0.25">
      <c r="B37" t="s">
        <v>99</v>
      </c>
      <c r="F37" s="22">
        <f>F16</f>
        <v>0</v>
      </c>
      <c r="G37" s="22">
        <f t="shared" ref="G37:P37" si="8">G16</f>
        <v>275400</v>
      </c>
      <c r="H37" s="22">
        <f t="shared" si="8"/>
        <v>370859.02049999998</v>
      </c>
      <c r="I37" s="22">
        <f t="shared" si="8"/>
        <v>374517.64061999996</v>
      </c>
      <c r="J37" s="22">
        <f t="shared" si="8"/>
        <v>378174.43564859993</v>
      </c>
      <c r="K37" s="22">
        <f t="shared" si="8"/>
        <v>381826.88288209605</v>
      </c>
      <c r="L37" s="22">
        <f t="shared" si="8"/>
        <v>385474.31017467246</v>
      </c>
      <c r="M37" s="22">
        <f t="shared" si="8"/>
        <v>389115.90445379901</v>
      </c>
      <c r="N37" s="22">
        <f t="shared" si="8"/>
        <v>392747.81520002079</v>
      </c>
      <c r="O37" s="22">
        <f t="shared" si="8"/>
        <v>396369.94789030997</v>
      </c>
      <c r="P37" s="22">
        <f t="shared" si="8"/>
        <v>399980.13240413071</v>
      </c>
    </row>
    <row r="38" spans="2:16" ht="15.6" x14ac:dyDescent="0.4">
      <c r="B38" s="16" t="s">
        <v>100</v>
      </c>
      <c r="F38" s="55">
        <f>-'10-Yr OpSt'!E50</f>
        <v>0</v>
      </c>
      <c r="G38" s="55">
        <f>-'10-Yr OpSt'!F50</f>
        <v>-182210</v>
      </c>
      <c r="H38" s="55">
        <f>-'10-Yr OpSt'!G50</f>
        <v>-182210</v>
      </c>
      <c r="I38" s="55">
        <f>-'10-Yr OpSt'!H50</f>
        <v>-182210</v>
      </c>
      <c r="J38" s="55">
        <f>-'10-Yr OpSt'!I50</f>
        <v>-240124.70193911198</v>
      </c>
      <c r="K38" s="55">
        <f>-'10-Yr OpSt'!J50</f>
        <v>-240124.70193911198</v>
      </c>
      <c r="L38" s="55">
        <f>-'10-Yr OpSt'!K50</f>
        <v>-240124.70193911198</v>
      </c>
      <c r="M38" s="55">
        <f>-'10-Yr OpSt'!L50</f>
        <v>-240124.70193911198</v>
      </c>
      <c r="N38" s="55">
        <f>-'10-Yr OpSt'!M50</f>
        <v>-240124.70193911198</v>
      </c>
      <c r="O38" s="55">
        <f>-'10-Yr OpSt'!N50</f>
        <v>-240124.70193911198</v>
      </c>
      <c r="P38" s="55">
        <f>-'10-Yr OpSt'!O50</f>
        <v>-240124.70193911198</v>
      </c>
    </row>
    <row r="39" spans="2:16" x14ac:dyDescent="0.25">
      <c r="B39" t="s">
        <v>151</v>
      </c>
      <c r="F39" s="22">
        <f>SUM(F37:F38)</f>
        <v>0</v>
      </c>
      <c r="G39" s="22">
        <f t="shared" ref="G39:P39" si="9">SUM(G37:G38)</f>
        <v>93190</v>
      </c>
      <c r="H39" s="22">
        <f t="shared" si="9"/>
        <v>188649.02049999998</v>
      </c>
      <c r="I39" s="22">
        <f t="shared" si="9"/>
        <v>192307.64061999996</v>
      </c>
      <c r="J39" s="22">
        <f t="shared" si="9"/>
        <v>138049.73370948795</v>
      </c>
      <c r="K39" s="22">
        <f t="shared" si="9"/>
        <v>141702.18094298407</v>
      </c>
      <c r="L39" s="22">
        <f t="shared" si="9"/>
        <v>145349.60823556047</v>
      </c>
      <c r="M39" s="22">
        <f t="shared" si="9"/>
        <v>148991.20251468703</v>
      </c>
      <c r="N39" s="22">
        <f t="shared" si="9"/>
        <v>152623.11326090881</v>
      </c>
      <c r="O39" s="22">
        <f t="shared" si="9"/>
        <v>156245.24595119798</v>
      </c>
      <c r="P39" s="22">
        <f t="shared" si="9"/>
        <v>159855.43046501873</v>
      </c>
    </row>
    <row r="40" spans="2:16" x14ac:dyDescent="0.25">
      <c r="F40" s="59" t="s">
        <v>157</v>
      </c>
      <c r="G40" s="61">
        <f>G39/SUM($F$34:G34)</f>
        <v>5.4504725809470321E-2</v>
      </c>
      <c r="H40" s="61">
        <f>H39/SUM($F$34:H34)</f>
        <v>0.11033655045152532</v>
      </c>
      <c r="I40" s="61">
        <f>I39/SUM($F$34:I34)</f>
        <v>0.11247639471036866</v>
      </c>
      <c r="J40" s="61">
        <f>J39/SUM($F$34:J34)</f>
        <v>8.074217066107986E-2</v>
      </c>
      <c r="K40" s="61">
        <f>K39/SUM($F$34:K34)</f>
        <v>8.2878404538054479E-2</v>
      </c>
      <c r="L40" s="61">
        <f>L39/SUM($F$34:L34)</f>
        <v>8.5011702364987146E-2</v>
      </c>
      <c r="M40" s="61">
        <f>M39/SUM($F$34:M34)</f>
        <v>8.7141588594122563E-2</v>
      </c>
      <c r="N40" s="61">
        <f>N39/SUM($F$34:N34)</f>
        <v>8.9265811143615925E-2</v>
      </c>
      <c r="O40" s="61">
        <f>O39/SUM($F$34:O34)</f>
        <v>9.1384314729083579E-2</v>
      </c>
      <c r="P40" s="61">
        <f>P39/SUM($F$34:P34)</f>
        <v>9.3495830096047797E-2</v>
      </c>
    </row>
    <row r="41" spans="2:16" x14ac:dyDescent="0.25"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2:16" x14ac:dyDescent="0.25">
      <c r="B42" t="s">
        <v>144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2:16" x14ac:dyDescent="0.25">
      <c r="B43" t="s">
        <v>152</v>
      </c>
      <c r="F43" s="22">
        <v>0</v>
      </c>
      <c r="G43" s="22">
        <f>G23</f>
        <v>0</v>
      </c>
      <c r="H43" s="22">
        <f t="shared" ref="H43:P43" si="10">H23</f>
        <v>0</v>
      </c>
      <c r="I43" s="22">
        <f t="shared" si="10"/>
        <v>0</v>
      </c>
      <c r="J43" s="22">
        <f t="shared" si="10"/>
        <v>0</v>
      </c>
      <c r="K43" s="22">
        <f t="shared" si="10"/>
        <v>0</v>
      </c>
      <c r="L43" s="22">
        <f t="shared" si="10"/>
        <v>0</v>
      </c>
      <c r="M43" s="22">
        <f t="shared" si="10"/>
        <v>0</v>
      </c>
      <c r="N43" s="22">
        <f t="shared" si="10"/>
        <v>0</v>
      </c>
      <c r="O43" s="22">
        <f t="shared" si="10"/>
        <v>0</v>
      </c>
      <c r="P43" s="22">
        <f t="shared" si="10"/>
        <v>5744261.9075436853</v>
      </c>
    </row>
    <row r="44" spans="2:16" ht="15.6" x14ac:dyDescent="0.4">
      <c r="B44" s="16" t="s">
        <v>117</v>
      </c>
      <c r="F44" s="26">
        <v>0</v>
      </c>
      <c r="G44" s="26">
        <f>(G30=Summary!$G$11)*-'Perm. Debt'!H7</f>
        <v>0</v>
      </c>
      <c r="H44" s="26">
        <f>(H30=Summary!$G$11)*-'Perm. Debt'!I7</f>
        <v>0</v>
      </c>
      <c r="I44" s="26">
        <f>(I30=Summary!$G$11)*-'Perm. Debt'!J7</f>
        <v>0</v>
      </c>
      <c r="J44" s="26">
        <f>(J30=Summary!$G$11)*-'Perm. Debt'!K7</f>
        <v>0</v>
      </c>
      <c r="K44" s="26">
        <f>(K30=Summary!$G$11)*-'Perm. Debt'!L7</f>
        <v>0</v>
      </c>
      <c r="L44" s="26">
        <f>(L30=Summary!$G$11)*-'Perm. Debt'!M7</f>
        <v>0</v>
      </c>
      <c r="M44" s="26">
        <f>(M30=Summary!$G$11)*-'Perm. Debt'!N7</f>
        <v>0</v>
      </c>
      <c r="N44" s="26">
        <f>(N30=Summary!$G$11)*-'Perm. Debt'!O7</f>
        <v>0</v>
      </c>
      <c r="O44" s="26">
        <f>(O30=Summary!$G$11)*-'Perm. Debt'!P7</f>
        <v>0</v>
      </c>
      <c r="P44" s="26">
        <f>(P30=Summary!$G$11)*-'Perm. Debt'!Q7</f>
        <v>-3356179.7862630412</v>
      </c>
    </row>
    <row r="45" spans="2:16" x14ac:dyDescent="0.25">
      <c r="B45" t="s">
        <v>153</v>
      </c>
      <c r="F45" s="22">
        <v>0</v>
      </c>
      <c r="G45" s="22">
        <f>SUM(G43:G44)</f>
        <v>0</v>
      </c>
      <c r="H45" s="22">
        <f t="shared" ref="H45:P45" si="11">SUM(H43:H44)</f>
        <v>0</v>
      </c>
      <c r="I45" s="22">
        <f t="shared" si="11"/>
        <v>0</v>
      </c>
      <c r="J45" s="22">
        <f t="shared" si="11"/>
        <v>0</v>
      </c>
      <c r="K45" s="22">
        <f t="shared" si="11"/>
        <v>0</v>
      </c>
      <c r="L45" s="22">
        <f t="shared" si="11"/>
        <v>0</v>
      </c>
      <c r="M45" s="22">
        <f t="shared" si="11"/>
        <v>0</v>
      </c>
      <c r="N45" s="22">
        <f t="shared" si="11"/>
        <v>0</v>
      </c>
      <c r="O45" s="22">
        <f t="shared" si="11"/>
        <v>0</v>
      </c>
      <c r="P45" s="22">
        <f t="shared" si="11"/>
        <v>2388082.1212806441</v>
      </c>
    </row>
    <row r="46" spans="2:16" x14ac:dyDescent="0.25"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2:16" x14ac:dyDescent="0.25">
      <c r="B47" t="s">
        <v>154</v>
      </c>
      <c r="F47" s="22">
        <f>-F34+F39+F45</f>
        <v>-1709760.0000000005</v>
      </c>
      <c r="G47" s="22">
        <f t="shared" ref="G47:P47" si="12">-G34+G39+G45</f>
        <v>93190</v>
      </c>
      <c r="H47" s="22">
        <f t="shared" si="12"/>
        <v>188649.02049999998</v>
      </c>
      <c r="I47" s="22">
        <f t="shared" si="12"/>
        <v>192307.64061999996</v>
      </c>
      <c r="J47" s="22">
        <f t="shared" si="12"/>
        <v>138049.73370948795</v>
      </c>
      <c r="K47" s="22">
        <f t="shared" si="12"/>
        <v>141702.18094298407</v>
      </c>
      <c r="L47" s="22">
        <f t="shared" si="12"/>
        <v>145349.60823556047</v>
      </c>
      <c r="M47" s="22">
        <f t="shared" si="12"/>
        <v>148991.20251468703</v>
      </c>
      <c r="N47" s="22">
        <f t="shared" si="12"/>
        <v>152623.11326090881</v>
      </c>
      <c r="O47" s="22">
        <f t="shared" si="12"/>
        <v>156245.24595119798</v>
      </c>
      <c r="P47" s="22">
        <f t="shared" si="12"/>
        <v>2547937.5517456629</v>
      </c>
    </row>
    <row r="48" spans="2:16" x14ac:dyDescent="0.25">
      <c r="B48" t="s">
        <v>155</v>
      </c>
      <c r="F48" s="33">
        <f>IRR(F47:P47)</f>
        <v>0.11151216718990664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2:16" x14ac:dyDescent="0.25">
      <c r="B49" t="s">
        <v>156</v>
      </c>
      <c r="F49" s="58">
        <f>SUMIF(F47:P47,"&gt;0")/-SUMIF(F47:P47,"&lt;0")</f>
        <v>2.2839727783317474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2:16" x14ac:dyDescent="0.25">
      <c r="B50" t="s">
        <v>148</v>
      </c>
      <c r="F50" s="22">
        <f>SUM(F47:P47)</f>
        <v>2195285.2974804887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2:16" x14ac:dyDescent="0.25"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2:16" hidden="1" x14ac:dyDescent="0.25"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2:16" hidden="1" x14ac:dyDescent="0.25"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2:16" hidden="1" x14ac:dyDescent="0.25"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2:16" hidden="1" x14ac:dyDescent="0.25"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2:16" hidden="1" x14ac:dyDescent="0.25"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2:16" hidden="1" x14ac:dyDescent="0.25"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2:16" hidden="1" x14ac:dyDescent="0.25"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2:16" hidden="1" x14ac:dyDescent="0.25"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2:16" hidden="1" x14ac:dyDescent="0.25"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2:16" hidden="1" x14ac:dyDescent="0.25"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2:16" hidden="1" x14ac:dyDescent="0.25"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2:16" hidden="1" x14ac:dyDescent="0.25"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2:16" hidden="1" x14ac:dyDescent="0.25"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6:16" hidden="1" x14ac:dyDescent="0.25"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6:16" hidden="1" x14ac:dyDescent="0.25"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6:16" hidden="1" x14ac:dyDescent="0.25"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6:16" hidden="1" x14ac:dyDescent="0.25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6:16" hidden="1" x14ac:dyDescent="0.25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6:16" hidden="1" x14ac:dyDescent="0.25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6:16" hidden="1" x14ac:dyDescent="0.25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6:16" hidden="1" x14ac:dyDescent="0.25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6:16" hidden="1" x14ac:dyDescent="0.25"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6:16" hidden="1" x14ac:dyDescent="0.25"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6:16" hidden="1" x14ac:dyDescent="0.25"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6:16" hidden="1" x14ac:dyDescent="0.25"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6:16" hidden="1" x14ac:dyDescent="0.25"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6:16" hidden="1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6:16" hidden="1" x14ac:dyDescent="0.25"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6:16" hidden="1" x14ac:dyDescent="0.25"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6:16" hidden="1" x14ac:dyDescent="0.25"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6:16" hidden="1" x14ac:dyDescent="0.25"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6:16" hidden="1" x14ac:dyDescent="0.25"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6:16" hidden="1" x14ac:dyDescent="0.25"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6:16" hidden="1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6:16" hidden="1" x14ac:dyDescent="0.25"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6:16" hidden="1" x14ac:dyDescent="0.25"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6:16" hidden="1" x14ac:dyDescent="0.25"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6:16" hidden="1" x14ac:dyDescent="0.25"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6:16" hidden="1" x14ac:dyDescent="0.25"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6:16" hidden="1" x14ac:dyDescent="0.25"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6:16" hidden="1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6:16" hidden="1" x14ac:dyDescent="0.25"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6:16" hidden="1" x14ac:dyDescent="0.25"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6:16" hidden="1" x14ac:dyDescent="0.25"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6:16" hidden="1" x14ac:dyDescent="0.25"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6:16" hidden="1" x14ac:dyDescent="0.25"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6:16" hidden="1" x14ac:dyDescent="0.25"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6:16" hidden="1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6:16" hidden="1" x14ac:dyDescent="0.25"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6:16" hidden="1" x14ac:dyDescent="0.25"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6:16" hidden="1" x14ac:dyDescent="0.25"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6:16" hidden="1" x14ac:dyDescent="0.25"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6:16" hidden="1" x14ac:dyDescent="0.25"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6:16" hidden="1" x14ac:dyDescent="0.25"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6:16" hidden="1" x14ac:dyDescent="0.25"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6:16" hidden="1" x14ac:dyDescent="0.25"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6:16" hidden="1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6:16" hidden="1" x14ac:dyDescent="0.25"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6:16" hidden="1" x14ac:dyDescent="0.25"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6:16" hidden="1" x14ac:dyDescent="0.25"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6:16" hidden="1" x14ac:dyDescent="0.25"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6:16" hidden="1" x14ac:dyDescent="0.25"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6:16" hidden="1" x14ac:dyDescent="0.25"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6:16" hidden="1" x14ac:dyDescent="0.25"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6:16" hidden="1" x14ac:dyDescent="0.25"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6:16" hidden="1" x14ac:dyDescent="0.25"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6:16" hidden="1" x14ac:dyDescent="0.25"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6:16" hidden="1" x14ac:dyDescent="0.25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6:16" hidden="1" x14ac:dyDescent="0.25"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6:16" hidden="1" x14ac:dyDescent="0.25"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6:16" hidden="1" x14ac:dyDescent="0.25"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6:16" hidden="1" x14ac:dyDescent="0.25"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6:16" hidden="1" x14ac:dyDescent="0.25"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6:16" hidden="1" x14ac:dyDescent="0.25"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6:16" hidden="1" x14ac:dyDescent="0.25"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6:16" hidden="1" x14ac:dyDescent="0.25"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6:16" hidden="1" x14ac:dyDescent="0.25"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6:16" hidden="1" x14ac:dyDescent="0.25"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6:16" hidden="1" x14ac:dyDescent="0.25"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6:16" hidden="1" x14ac:dyDescent="0.25"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6:16" hidden="1" x14ac:dyDescent="0.25"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6:16" hidden="1" x14ac:dyDescent="0.25"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6:16" hidden="1" x14ac:dyDescent="0.25"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6:16" hidden="1" x14ac:dyDescent="0.25"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6:16" hidden="1" x14ac:dyDescent="0.25"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6:16" hidden="1" x14ac:dyDescent="0.25"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6:16" hidden="1" x14ac:dyDescent="0.25"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6:16" hidden="1" x14ac:dyDescent="0.25"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6:16" hidden="1" x14ac:dyDescent="0.25"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6:16" hidden="1" x14ac:dyDescent="0.25"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6:16" hidden="1" x14ac:dyDescent="0.25"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6:16" hidden="1" x14ac:dyDescent="0.25"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6:16" hidden="1" x14ac:dyDescent="0.25"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6:16" hidden="1" x14ac:dyDescent="0.25"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6:16" hidden="1" x14ac:dyDescent="0.25"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6:16" hidden="1" x14ac:dyDescent="0.25"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6:16" hidden="1" x14ac:dyDescent="0.25"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6:16" hidden="1" x14ac:dyDescent="0.25"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6:16" hidden="1" x14ac:dyDescent="0.25"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6:16" hidden="1" x14ac:dyDescent="0.25"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6:16" hidden="1" x14ac:dyDescent="0.25"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6:16" hidden="1" x14ac:dyDescent="0.25"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6:16" hidden="1" x14ac:dyDescent="0.25"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6:16" hidden="1" x14ac:dyDescent="0.25"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6:16" hidden="1" x14ac:dyDescent="0.25"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6:16" hidden="1" x14ac:dyDescent="0.25"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6:16" hidden="1" x14ac:dyDescent="0.25"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6:16" hidden="1" x14ac:dyDescent="0.25"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6:16" hidden="1" x14ac:dyDescent="0.25"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6:16" hidden="1" x14ac:dyDescent="0.25"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6:16" hidden="1" x14ac:dyDescent="0.25"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6:16" hidden="1" x14ac:dyDescent="0.25"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6:16" hidden="1" x14ac:dyDescent="0.25"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6:16" hidden="1" x14ac:dyDescent="0.25"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6:16" hidden="1" x14ac:dyDescent="0.25"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6:16" hidden="1" x14ac:dyDescent="0.25"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6:16" hidden="1" x14ac:dyDescent="0.25"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6:16" hidden="1" x14ac:dyDescent="0.25"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6:16" hidden="1" x14ac:dyDescent="0.25"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6:16" hidden="1" x14ac:dyDescent="0.25"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6:16" hidden="1" x14ac:dyDescent="0.25"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6:16" hidden="1" x14ac:dyDescent="0.25"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6:16" hidden="1" x14ac:dyDescent="0.25"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6:16" hidden="1" x14ac:dyDescent="0.25"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6:16" hidden="1" x14ac:dyDescent="0.25"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6:16" hidden="1" x14ac:dyDescent="0.25"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6:16" hidden="1" x14ac:dyDescent="0.25"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6:16" hidden="1" x14ac:dyDescent="0.25"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6:16" hidden="1" x14ac:dyDescent="0.25"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6:16" hidden="1" x14ac:dyDescent="0.25"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6:16" hidden="1" x14ac:dyDescent="0.25"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6:16" hidden="1" x14ac:dyDescent="0.25"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6:16" hidden="1" x14ac:dyDescent="0.25"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6:16" hidden="1" x14ac:dyDescent="0.25"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6:16" hidden="1" x14ac:dyDescent="0.25"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6:16" hidden="1" x14ac:dyDescent="0.25"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6:16" hidden="1" x14ac:dyDescent="0.25"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6:16" hidden="1" x14ac:dyDescent="0.25"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6:16" hidden="1" x14ac:dyDescent="0.25"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6:16" hidden="1" x14ac:dyDescent="0.25"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6:16" hidden="1" x14ac:dyDescent="0.25"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6:16" hidden="1" x14ac:dyDescent="0.25"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6:16" hidden="1" x14ac:dyDescent="0.25"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6:16" hidden="1" x14ac:dyDescent="0.25"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6:16" hidden="1" x14ac:dyDescent="0.25"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6:16" hidden="1" x14ac:dyDescent="0.25"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6:16" hidden="1" x14ac:dyDescent="0.25"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6:16" hidden="1" x14ac:dyDescent="0.25"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6:16" hidden="1" x14ac:dyDescent="0.25"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6:16" hidden="1" x14ac:dyDescent="0.25"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6:16" hidden="1" x14ac:dyDescent="0.25"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6:16" hidden="1" x14ac:dyDescent="0.25"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6:16" hidden="1" x14ac:dyDescent="0.25"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6:16" hidden="1" x14ac:dyDescent="0.25"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6:16" hidden="1" x14ac:dyDescent="0.25"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6:16" hidden="1" x14ac:dyDescent="0.25"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6:16" hidden="1" x14ac:dyDescent="0.25"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6:16" hidden="1" x14ac:dyDescent="0.25"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6:16" hidden="1" x14ac:dyDescent="0.25"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6:16" hidden="1" x14ac:dyDescent="0.25"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6:16" hidden="1" x14ac:dyDescent="0.25"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6:16" hidden="1" x14ac:dyDescent="0.25"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7148-4565-41F4-AF24-9DE9BBB1B688}">
  <sheetPr>
    <tabColor theme="7" tint="0.79998168889431442"/>
  </sheetPr>
  <dimension ref="B1:R106"/>
  <sheetViews>
    <sheetView showGridLines="0" topLeftCell="A7" zoomScale="120" zoomScaleNormal="120" workbookViewId="0">
      <selection activeCell="F11" sqref="F11"/>
    </sheetView>
  </sheetViews>
  <sheetFormatPr defaultColWidth="0" defaultRowHeight="13.8" zeroHeight="1" x14ac:dyDescent="0.25"/>
  <cols>
    <col min="1" max="1" width="1.59765625" customWidth="1"/>
    <col min="2" max="4" width="8.796875" customWidth="1"/>
    <col min="5" max="6" width="10.19921875" bestFit="1" customWidth="1"/>
    <col min="7" max="7" width="11.69921875" bestFit="1" customWidth="1"/>
    <col min="8" max="8" width="10.8984375" bestFit="1" customWidth="1"/>
    <col min="9" max="18" width="10.19921875" bestFit="1" customWidth="1"/>
    <col min="19" max="19" width="1.69921875" customWidth="1"/>
    <col min="20" max="16384" width="8.796875" hidden="1"/>
  </cols>
  <sheetData>
    <row r="1" spans="2:18" ht="5.0999999999999996" customHeight="1" x14ac:dyDescent="0.25"/>
    <row r="2" spans="2:18" s="3" customFormat="1" x14ac:dyDescent="0.25"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B3" s="1" t="s">
        <v>158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t="s">
        <v>163</v>
      </c>
      <c r="E4" s="52" t="s">
        <v>168</v>
      </c>
      <c r="F4" s="52" t="s">
        <v>167</v>
      </c>
    </row>
    <row r="5" spans="2:18" x14ac:dyDescent="0.25">
      <c r="B5" s="16" t="s">
        <v>164</v>
      </c>
      <c r="E5" s="41">
        <f>F22</f>
        <v>170976</v>
      </c>
      <c r="F5" s="15">
        <v>0.1</v>
      </c>
    </row>
    <row r="6" spans="2:18" ht="15.6" x14ac:dyDescent="0.4">
      <c r="B6" s="16" t="s">
        <v>165</v>
      </c>
      <c r="E6" s="68">
        <f>F15</f>
        <v>1538784.0000000005</v>
      </c>
      <c r="F6" s="63">
        <f>1-F5</f>
        <v>0.9</v>
      </c>
    </row>
    <row r="7" spans="2:18" x14ac:dyDescent="0.25">
      <c r="B7" t="s">
        <v>166</v>
      </c>
      <c r="E7" s="41">
        <f>SUM(E5:E6)</f>
        <v>1709760.0000000005</v>
      </c>
      <c r="F7" s="62">
        <f>SUM(F5:F6)</f>
        <v>1</v>
      </c>
    </row>
    <row r="8" spans="2:18" x14ac:dyDescent="0.25"/>
    <row r="9" spans="2:18" x14ac:dyDescent="0.25">
      <c r="B9" t="s">
        <v>169</v>
      </c>
      <c r="G9" s="52" t="s">
        <v>172</v>
      </c>
      <c r="H9" s="52" t="s">
        <v>173</v>
      </c>
      <c r="I9" s="52" t="s">
        <v>174</v>
      </c>
      <c r="J9" s="52" t="s">
        <v>175</v>
      </c>
    </row>
    <row r="10" spans="2:18" x14ac:dyDescent="0.25">
      <c r="B10" t="s">
        <v>170</v>
      </c>
      <c r="G10" s="65">
        <v>0</v>
      </c>
      <c r="H10" s="65">
        <v>0.08</v>
      </c>
      <c r="I10" s="64">
        <f>G10+(1-G10)*$F$5</f>
        <v>0.1</v>
      </c>
      <c r="J10" s="64">
        <f>1-I10</f>
        <v>0.9</v>
      </c>
    </row>
    <row r="11" spans="2:18" x14ac:dyDescent="0.25">
      <c r="B11" t="s">
        <v>171</v>
      </c>
      <c r="G11" s="65">
        <v>0.15</v>
      </c>
      <c r="H11" s="64"/>
      <c r="I11" s="64">
        <f>G11+(1-G11)*$F$5</f>
        <v>0.23499999999999999</v>
      </c>
      <c r="J11" s="64">
        <f>1-I11</f>
        <v>0.76500000000000001</v>
      </c>
    </row>
    <row r="12" spans="2:18" x14ac:dyDescent="0.25">
      <c r="G12" s="4"/>
      <c r="H12" s="4"/>
      <c r="I12" s="4"/>
      <c r="J12" s="4"/>
    </row>
    <row r="13" spans="2:18" x14ac:dyDescent="0.25">
      <c r="B13" s="1" t="s">
        <v>159</v>
      </c>
      <c r="C13" s="1"/>
      <c r="D13" s="1"/>
      <c r="E13" s="1"/>
      <c r="F13" s="1"/>
      <c r="G13" s="1"/>
      <c r="H13" s="57">
        <v>0</v>
      </c>
      <c r="I13" s="57">
        <f>H13+1</f>
        <v>1</v>
      </c>
      <c r="J13" s="57">
        <f t="shared" ref="J13:R13" si="0">I13+1</f>
        <v>2</v>
      </c>
      <c r="K13" s="57">
        <f t="shared" si="0"/>
        <v>3</v>
      </c>
      <c r="L13" s="57">
        <f t="shared" si="0"/>
        <v>4</v>
      </c>
      <c r="M13" s="57">
        <f t="shared" si="0"/>
        <v>5</v>
      </c>
      <c r="N13" s="57">
        <f t="shared" si="0"/>
        <v>6</v>
      </c>
      <c r="O13" s="57">
        <f t="shared" si="0"/>
        <v>7</v>
      </c>
      <c r="P13" s="57">
        <f t="shared" si="0"/>
        <v>8</v>
      </c>
      <c r="Q13" s="57">
        <f t="shared" si="0"/>
        <v>9</v>
      </c>
      <c r="R13" s="57">
        <f t="shared" si="0"/>
        <v>10</v>
      </c>
    </row>
    <row r="14" spans="2:18" x14ac:dyDescent="0.25">
      <c r="B14" s="66" t="s">
        <v>188</v>
      </c>
      <c r="C14" s="66"/>
    </row>
    <row r="15" spans="2:18" x14ac:dyDescent="0.25">
      <c r="B15" s="67" t="s">
        <v>190</v>
      </c>
      <c r="C15" s="66"/>
      <c r="F15" s="22">
        <f>SUM(H15:R15)</f>
        <v>1538784.0000000005</v>
      </c>
      <c r="H15" s="22">
        <f>H35</f>
        <v>1538784.0000000005</v>
      </c>
      <c r="I15" s="22">
        <f t="shared" ref="I15:R15" si="1">I35</f>
        <v>0</v>
      </c>
      <c r="J15" s="22">
        <f t="shared" si="1"/>
        <v>0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0</v>
      </c>
      <c r="P15" s="22">
        <f t="shared" si="1"/>
        <v>0</v>
      </c>
      <c r="Q15" s="22">
        <f t="shared" si="1"/>
        <v>0</v>
      </c>
      <c r="R15" s="22">
        <f t="shared" si="1"/>
        <v>0</v>
      </c>
    </row>
    <row r="16" spans="2:18" x14ac:dyDescent="0.25">
      <c r="B16" s="16" t="s">
        <v>191</v>
      </c>
      <c r="F16" s="22">
        <f>SUM(H16:R16)</f>
        <v>3395577.3581898538</v>
      </c>
      <c r="H16" s="22">
        <f>H36+H45</f>
        <v>0</v>
      </c>
      <c r="I16" s="22">
        <f t="shared" ref="I16:R16" si="2">I36+I45</f>
        <v>83871</v>
      </c>
      <c r="J16" s="22">
        <f t="shared" si="2"/>
        <v>169784.11844999998</v>
      </c>
      <c r="K16" s="22">
        <f t="shared" si="2"/>
        <v>173076.87655799996</v>
      </c>
      <c r="L16" s="22">
        <f t="shared" si="2"/>
        <v>124244.76033853916</v>
      </c>
      <c r="M16" s="22">
        <f t="shared" si="2"/>
        <v>127531.96284868567</v>
      </c>
      <c r="N16" s="22">
        <f t="shared" si="2"/>
        <v>130814.64741200443</v>
      </c>
      <c r="O16" s="22">
        <f t="shared" si="2"/>
        <v>134092.08226321833</v>
      </c>
      <c r="P16" s="22">
        <f t="shared" si="2"/>
        <v>137360.80193481792</v>
      </c>
      <c r="Q16" s="22">
        <f t="shared" si="2"/>
        <v>140620.7213560782</v>
      </c>
      <c r="R16" s="22">
        <f t="shared" si="2"/>
        <v>2174180.3870285102</v>
      </c>
    </row>
    <row r="17" spans="2:18" x14ac:dyDescent="0.25">
      <c r="B17" s="16" t="s">
        <v>148</v>
      </c>
      <c r="F17" s="22">
        <f>SUM(H18:R18)</f>
        <v>1856793.3581898534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2:18" x14ac:dyDescent="0.25">
      <c r="B18" s="16" t="s">
        <v>192</v>
      </c>
      <c r="F18" s="33">
        <f>IRR(H18:R18)</f>
        <v>0.10733888935845926</v>
      </c>
      <c r="H18" s="22">
        <f>-H15+H16</f>
        <v>-1538784.0000000005</v>
      </c>
      <c r="I18" s="22">
        <f t="shared" ref="I18:R18" si="3">-I15+I16</f>
        <v>83871</v>
      </c>
      <c r="J18" s="22">
        <f t="shared" si="3"/>
        <v>169784.11844999998</v>
      </c>
      <c r="K18" s="22">
        <f t="shared" si="3"/>
        <v>173076.87655799996</v>
      </c>
      <c r="L18" s="22">
        <f t="shared" si="3"/>
        <v>124244.76033853916</v>
      </c>
      <c r="M18" s="22">
        <f t="shared" si="3"/>
        <v>127531.96284868567</v>
      </c>
      <c r="N18" s="22">
        <f t="shared" si="3"/>
        <v>130814.64741200443</v>
      </c>
      <c r="O18" s="22">
        <f t="shared" si="3"/>
        <v>134092.08226321833</v>
      </c>
      <c r="P18" s="22">
        <f t="shared" si="3"/>
        <v>137360.80193481792</v>
      </c>
      <c r="Q18" s="22">
        <f t="shared" si="3"/>
        <v>140620.7213560782</v>
      </c>
      <c r="R18" s="22">
        <f t="shared" si="3"/>
        <v>2174180.3870285102</v>
      </c>
    </row>
    <row r="19" spans="2:18" x14ac:dyDescent="0.25">
      <c r="B19" s="16" t="s">
        <v>193</v>
      </c>
      <c r="F19" s="58">
        <f>SUMIF(H18:R18,"&gt;0")/-SUMIF(H18:R18,"&lt;0")</f>
        <v>2.2066627663075864</v>
      </c>
    </row>
    <row r="20" spans="2:18" x14ac:dyDescent="0.25"/>
    <row r="21" spans="2:18" x14ac:dyDescent="0.25">
      <c r="B21" t="s">
        <v>189</v>
      </c>
    </row>
    <row r="22" spans="2:18" x14ac:dyDescent="0.25">
      <c r="B22" s="67" t="s">
        <v>190</v>
      </c>
      <c r="F22" s="22">
        <f>SUM(H22:R22)</f>
        <v>170976</v>
      </c>
      <c r="H22" s="22">
        <f>H40</f>
        <v>170976</v>
      </c>
      <c r="I22">
        <f t="shared" ref="I22:R22" si="4">I40</f>
        <v>0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0</v>
      </c>
    </row>
    <row r="23" spans="2:18" x14ac:dyDescent="0.25">
      <c r="B23" s="16" t="s">
        <v>191</v>
      </c>
      <c r="F23" s="22">
        <f>SUM(H23:R23)</f>
        <v>509467.93929063523</v>
      </c>
      <c r="H23" s="22">
        <f>H41+H46</f>
        <v>0</v>
      </c>
      <c r="I23">
        <f t="shared" ref="I23:R23" si="5">I41+I46</f>
        <v>9319</v>
      </c>
      <c r="J23">
        <f t="shared" si="5"/>
        <v>18864.902050000001</v>
      </c>
      <c r="K23">
        <f t="shared" si="5"/>
        <v>19230.764061999998</v>
      </c>
      <c r="L23">
        <f t="shared" si="5"/>
        <v>13804.973370948795</v>
      </c>
      <c r="M23">
        <f t="shared" si="5"/>
        <v>14170.218094298407</v>
      </c>
      <c r="N23">
        <f t="shared" si="5"/>
        <v>14534.960823556048</v>
      </c>
      <c r="O23">
        <f t="shared" si="5"/>
        <v>14899.120251468703</v>
      </c>
      <c r="P23">
        <f t="shared" si="5"/>
        <v>15262.311326090883</v>
      </c>
      <c r="Q23">
        <f t="shared" si="5"/>
        <v>15624.524595119799</v>
      </c>
      <c r="R23">
        <f t="shared" si="5"/>
        <v>373757.1647171526</v>
      </c>
    </row>
    <row r="24" spans="2:18" x14ac:dyDescent="0.25">
      <c r="B24" s="16" t="s">
        <v>148</v>
      </c>
      <c r="F24" s="22">
        <f>SUM(H25:R25)</f>
        <v>338491.93929063523</v>
      </c>
    </row>
    <row r="25" spans="2:18" x14ac:dyDescent="0.25">
      <c r="B25" s="16" t="s">
        <v>192</v>
      </c>
      <c r="F25" s="33">
        <f>IRR(H25:R25)</f>
        <v>0.14330672626208663</v>
      </c>
      <c r="H25" s="22">
        <f>-H22+H23</f>
        <v>-170976</v>
      </c>
      <c r="I25">
        <f t="shared" ref="I25:R25" si="6">-I22+I23</f>
        <v>9319</v>
      </c>
      <c r="J25">
        <f t="shared" si="6"/>
        <v>18864.902050000001</v>
      </c>
      <c r="K25">
        <f t="shared" si="6"/>
        <v>19230.764061999998</v>
      </c>
      <c r="L25">
        <f t="shared" si="6"/>
        <v>13804.973370948795</v>
      </c>
      <c r="M25">
        <f t="shared" si="6"/>
        <v>14170.218094298407</v>
      </c>
      <c r="N25">
        <f t="shared" si="6"/>
        <v>14534.960823556048</v>
      </c>
      <c r="O25">
        <f t="shared" si="6"/>
        <v>14899.120251468703</v>
      </c>
      <c r="P25">
        <f t="shared" si="6"/>
        <v>15262.311326090883</v>
      </c>
      <c r="Q25">
        <f t="shared" si="6"/>
        <v>15624.524595119799</v>
      </c>
      <c r="R25">
        <f t="shared" si="6"/>
        <v>373757.1647171526</v>
      </c>
    </row>
    <row r="26" spans="2:18" x14ac:dyDescent="0.25">
      <c r="B26" s="16" t="s">
        <v>193</v>
      </c>
      <c r="F26" s="58">
        <f>SUMIF(H25:R25,"&gt;0")/-SUMIF(H25:R25,"&lt;0")</f>
        <v>2.9797628865491954</v>
      </c>
    </row>
    <row r="27" spans="2:18" x14ac:dyDescent="0.25">
      <c r="B27" s="1" t="s">
        <v>160</v>
      </c>
      <c r="C27" s="1"/>
      <c r="D27" s="1"/>
      <c r="E27" s="1"/>
      <c r="F27" s="1"/>
      <c r="G27" s="1"/>
      <c r="H27" s="57">
        <v>0</v>
      </c>
      <c r="I27" s="57">
        <f>H27+1</f>
        <v>1</v>
      </c>
      <c r="J27" s="57">
        <f t="shared" ref="J27:R27" si="7">I27+1</f>
        <v>2</v>
      </c>
      <c r="K27" s="57">
        <f t="shared" si="7"/>
        <v>3</v>
      </c>
      <c r="L27" s="57">
        <f t="shared" si="7"/>
        <v>4</v>
      </c>
      <c r="M27" s="57">
        <f t="shared" si="7"/>
        <v>5</v>
      </c>
      <c r="N27" s="57">
        <f t="shared" si="7"/>
        <v>6</v>
      </c>
      <c r="O27" s="57">
        <f t="shared" si="7"/>
        <v>7</v>
      </c>
      <c r="P27" s="57">
        <f t="shared" si="7"/>
        <v>8</v>
      </c>
      <c r="Q27" s="57">
        <f t="shared" si="7"/>
        <v>9</v>
      </c>
      <c r="R27" s="57">
        <f t="shared" si="7"/>
        <v>10</v>
      </c>
    </row>
    <row r="28" spans="2:18" x14ac:dyDescent="0.25">
      <c r="B28" t="s">
        <v>176</v>
      </c>
      <c r="H28" s="46">
        <f>'Property Returns'!F47</f>
        <v>-1709760.0000000005</v>
      </c>
      <c r="I28" s="46">
        <f>'Property Returns'!G47</f>
        <v>93190</v>
      </c>
      <c r="J28" s="46">
        <f>'Property Returns'!H47</f>
        <v>188649.02049999998</v>
      </c>
      <c r="K28" s="46">
        <f>'Property Returns'!I47</f>
        <v>192307.64061999996</v>
      </c>
      <c r="L28" s="46">
        <f>'Property Returns'!J47</f>
        <v>138049.73370948795</v>
      </c>
      <c r="M28" s="46">
        <f>'Property Returns'!K47</f>
        <v>141702.18094298407</v>
      </c>
      <c r="N28" s="46">
        <f>'Property Returns'!L47</f>
        <v>145349.60823556047</v>
      </c>
      <c r="O28" s="46">
        <f>'Property Returns'!M47</f>
        <v>148991.20251468703</v>
      </c>
      <c r="P28" s="46">
        <f>'Property Returns'!N47</f>
        <v>152623.11326090881</v>
      </c>
      <c r="Q28" s="46">
        <f>'Property Returns'!O47</f>
        <v>156245.24595119798</v>
      </c>
      <c r="R28" s="46">
        <f>'Property Returns'!P47</f>
        <v>2547937.5517456629</v>
      </c>
    </row>
    <row r="29" spans="2:18" x14ac:dyDescent="0.25">
      <c r="B29" s="16" t="s">
        <v>155</v>
      </c>
      <c r="H29" s="33">
        <f>IRR(H28:R28)</f>
        <v>0.11151216718990664</v>
      </c>
    </row>
    <row r="30" spans="2:18" x14ac:dyDescent="0.25">
      <c r="B30" s="16" t="s">
        <v>156</v>
      </c>
      <c r="H30" s="58">
        <f>SUMIF(H28:R28,"&gt;0")/-SUMIF(H28:R28,"&lt;0")</f>
        <v>2.2839727783317474</v>
      </c>
    </row>
    <row r="31" spans="2:18" x14ac:dyDescent="0.25"/>
    <row r="32" spans="2:18" x14ac:dyDescent="0.25">
      <c r="B32" s="1" t="s">
        <v>161</v>
      </c>
      <c r="C32" s="1"/>
      <c r="D32" s="1"/>
      <c r="E32" s="1"/>
      <c r="F32" s="1"/>
      <c r="G32" s="1"/>
      <c r="H32" s="57">
        <v>0</v>
      </c>
      <c r="I32" s="57">
        <f>H32+1</f>
        <v>1</v>
      </c>
      <c r="J32" s="57">
        <f t="shared" ref="J32:R32" si="8">I32+1</f>
        <v>2</v>
      </c>
      <c r="K32" s="57">
        <f t="shared" si="8"/>
        <v>3</v>
      </c>
      <c r="L32" s="57">
        <f t="shared" si="8"/>
        <v>4</v>
      </c>
      <c r="M32" s="57">
        <f t="shared" si="8"/>
        <v>5</v>
      </c>
      <c r="N32" s="57">
        <f t="shared" si="8"/>
        <v>6</v>
      </c>
      <c r="O32" s="57">
        <f t="shared" si="8"/>
        <v>7</v>
      </c>
      <c r="P32" s="57">
        <f t="shared" si="8"/>
        <v>8</v>
      </c>
      <c r="Q32" s="57">
        <f t="shared" si="8"/>
        <v>9</v>
      </c>
      <c r="R32" s="57">
        <f t="shared" si="8"/>
        <v>10</v>
      </c>
    </row>
    <row r="33" spans="2:18" x14ac:dyDescent="0.25">
      <c r="B33" t="s">
        <v>177</v>
      </c>
      <c r="G33" s="22"/>
      <c r="H33" s="22">
        <f>G37</f>
        <v>0</v>
      </c>
      <c r="I33" s="22">
        <f t="shared" ref="I33:R33" si="9">H37</f>
        <v>1538784.0000000005</v>
      </c>
      <c r="J33" s="22">
        <f t="shared" si="9"/>
        <v>1578015.7200000004</v>
      </c>
      <c r="K33" s="22">
        <f t="shared" si="9"/>
        <v>1534472.8591500006</v>
      </c>
      <c r="L33" s="22">
        <f t="shared" si="9"/>
        <v>1484153.8113240006</v>
      </c>
      <c r="M33" s="22">
        <f t="shared" si="9"/>
        <v>1478641.3558913814</v>
      </c>
      <c r="N33" s="22">
        <f t="shared" si="9"/>
        <v>1469400.7015140061</v>
      </c>
      <c r="O33" s="22">
        <f t="shared" si="9"/>
        <v>1456138.1102231222</v>
      </c>
      <c r="P33" s="22">
        <f t="shared" si="9"/>
        <v>1438537.0767777537</v>
      </c>
      <c r="Q33" s="22">
        <f t="shared" si="9"/>
        <v>1416259.240985156</v>
      </c>
      <c r="R33" s="22">
        <f t="shared" si="9"/>
        <v>1388939.2589078902</v>
      </c>
    </row>
    <row r="34" spans="2:18" x14ac:dyDescent="0.25">
      <c r="B34" t="s">
        <v>178</v>
      </c>
      <c r="G34" s="22"/>
      <c r="H34" s="22">
        <f>H33*$H$10</f>
        <v>0</v>
      </c>
      <c r="I34" s="22">
        <f t="shared" ref="I34:R34" si="10">I33*$H$10</f>
        <v>123102.72000000004</v>
      </c>
      <c r="J34" s="22">
        <f t="shared" si="10"/>
        <v>126241.25760000004</v>
      </c>
      <c r="K34" s="22">
        <f t="shared" si="10"/>
        <v>122757.82873200005</v>
      </c>
      <c r="L34" s="22">
        <f t="shared" si="10"/>
        <v>118732.30490592006</v>
      </c>
      <c r="M34" s="22">
        <f t="shared" si="10"/>
        <v>118291.30847131052</v>
      </c>
      <c r="N34" s="22">
        <f t="shared" si="10"/>
        <v>117552.05612112049</v>
      </c>
      <c r="O34" s="22">
        <f t="shared" si="10"/>
        <v>116491.04881784978</v>
      </c>
      <c r="P34" s="22">
        <f t="shared" si="10"/>
        <v>115082.96614222029</v>
      </c>
      <c r="Q34" s="22">
        <f t="shared" si="10"/>
        <v>113300.73927881249</v>
      </c>
      <c r="R34" s="22">
        <f t="shared" si="10"/>
        <v>111115.14071263121</v>
      </c>
    </row>
    <row r="35" spans="2:18" x14ac:dyDescent="0.25">
      <c r="B35" t="s">
        <v>179</v>
      </c>
      <c r="G35" s="22"/>
      <c r="H35" s="22">
        <f>MIN(H28,0)*-$F$6</f>
        <v>1538784.0000000005</v>
      </c>
      <c r="I35" s="22">
        <f t="shared" ref="I35:R35" si="11">MIN(I28,0)*-$F$6</f>
        <v>0</v>
      </c>
      <c r="J35" s="22">
        <f t="shared" si="11"/>
        <v>0</v>
      </c>
      <c r="K35" s="22">
        <f t="shared" si="11"/>
        <v>0</v>
      </c>
      <c r="L35" s="22">
        <f t="shared" si="11"/>
        <v>0</v>
      </c>
      <c r="M35" s="22">
        <f t="shared" si="11"/>
        <v>0</v>
      </c>
      <c r="N35" s="22">
        <f t="shared" si="11"/>
        <v>0</v>
      </c>
      <c r="O35" s="22">
        <f t="shared" si="11"/>
        <v>0</v>
      </c>
      <c r="P35" s="22">
        <f t="shared" si="11"/>
        <v>0</v>
      </c>
      <c r="Q35" s="22">
        <f t="shared" si="11"/>
        <v>0</v>
      </c>
      <c r="R35" s="22">
        <f t="shared" si="11"/>
        <v>0</v>
      </c>
    </row>
    <row r="36" spans="2:18" x14ac:dyDescent="0.25">
      <c r="B36" t="s">
        <v>180</v>
      </c>
      <c r="G36" s="22"/>
      <c r="H36" s="22">
        <f>MIN(H33+H34,MAX(H28,0)*$J$10)</f>
        <v>0</v>
      </c>
      <c r="I36" s="22">
        <f t="shared" ref="I36:R36" si="12">MIN(I33+I34,MAX(I28,0)*$J$10)</f>
        <v>83871</v>
      </c>
      <c r="J36" s="22">
        <f t="shared" si="12"/>
        <v>169784.11844999998</v>
      </c>
      <c r="K36" s="22">
        <f t="shared" si="12"/>
        <v>173076.87655799996</v>
      </c>
      <c r="L36" s="22">
        <f t="shared" si="12"/>
        <v>124244.76033853916</v>
      </c>
      <c r="M36" s="22">
        <f t="shared" si="12"/>
        <v>127531.96284868567</v>
      </c>
      <c r="N36" s="22">
        <f t="shared" si="12"/>
        <v>130814.64741200443</v>
      </c>
      <c r="O36" s="22">
        <f t="shared" si="12"/>
        <v>134092.08226321833</v>
      </c>
      <c r="P36" s="22">
        <f t="shared" si="12"/>
        <v>137360.80193481792</v>
      </c>
      <c r="Q36" s="22">
        <f t="shared" si="12"/>
        <v>140620.7213560782</v>
      </c>
      <c r="R36" s="22">
        <f t="shared" si="12"/>
        <v>1500054.3996205213</v>
      </c>
    </row>
    <row r="37" spans="2:18" x14ac:dyDescent="0.25">
      <c r="B37" t="s">
        <v>181</v>
      </c>
      <c r="G37" s="22"/>
      <c r="H37" s="22">
        <f>H33+H34+H35-H36</f>
        <v>1538784.0000000005</v>
      </c>
      <c r="I37" s="22">
        <f t="shared" ref="I37:R37" si="13">I33+I34+I35-I36</f>
        <v>1578015.7200000004</v>
      </c>
      <c r="J37" s="22">
        <f t="shared" si="13"/>
        <v>1534472.8591500006</v>
      </c>
      <c r="K37" s="22">
        <f t="shared" si="13"/>
        <v>1484153.8113240006</v>
      </c>
      <c r="L37" s="22">
        <f t="shared" si="13"/>
        <v>1478641.3558913814</v>
      </c>
      <c r="M37" s="22">
        <f t="shared" si="13"/>
        <v>1469400.7015140061</v>
      </c>
      <c r="N37" s="22">
        <f t="shared" si="13"/>
        <v>1456138.1102231222</v>
      </c>
      <c r="O37" s="22">
        <f t="shared" si="13"/>
        <v>1438537.0767777537</v>
      </c>
      <c r="P37" s="22">
        <f t="shared" si="13"/>
        <v>1416259.240985156</v>
      </c>
      <c r="Q37" s="22">
        <f t="shared" si="13"/>
        <v>1388939.2589078902</v>
      </c>
      <c r="R37" s="22">
        <f t="shared" si="13"/>
        <v>0</v>
      </c>
    </row>
    <row r="38" spans="2:18" x14ac:dyDescent="0.25">
      <c r="B38" t="s">
        <v>182</v>
      </c>
      <c r="G38" s="33">
        <f>IRR(H38:R38)</f>
        <v>8.0000000000000515E-2</v>
      </c>
      <c r="H38" s="22">
        <f>-H35+H36</f>
        <v>-1538784.0000000005</v>
      </c>
      <c r="I38" s="22">
        <f t="shared" ref="I38:R38" si="14">-I35+I36</f>
        <v>83871</v>
      </c>
      <c r="J38" s="22">
        <f t="shared" si="14"/>
        <v>169784.11844999998</v>
      </c>
      <c r="K38" s="22">
        <f t="shared" si="14"/>
        <v>173076.87655799996</v>
      </c>
      <c r="L38" s="22">
        <f t="shared" si="14"/>
        <v>124244.76033853916</v>
      </c>
      <c r="M38" s="22">
        <f t="shared" si="14"/>
        <v>127531.96284868567</v>
      </c>
      <c r="N38" s="22">
        <f t="shared" si="14"/>
        <v>130814.64741200443</v>
      </c>
      <c r="O38" s="22">
        <f t="shared" si="14"/>
        <v>134092.08226321833</v>
      </c>
      <c r="P38" s="22">
        <f t="shared" si="14"/>
        <v>137360.80193481792</v>
      </c>
      <c r="Q38" s="22">
        <f t="shared" si="14"/>
        <v>140620.7213560782</v>
      </c>
      <c r="R38" s="22">
        <f t="shared" si="14"/>
        <v>1500054.3996205213</v>
      </c>
    </row>
    <row r="39" spans="2:18" x14ac:dyDescent="0.25"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2:18" x14ac:dyDescent="0.25">
      <c r="B40" t="s">
        <v>183</v>
      </c>
      <c r="G40" s="22"/>
      <c r="H40" s="22">
        <f>-MIN(H28,0)-H35</f>
        <v>170976</v>
      </c>
      <c r="I40" s="22">
        <f t="shared" ref="I40:R40" si="15">-MIN(I28,0)-I35</f>
        <v>0</v>
      </c>
      <c r="J40" s="22">
        <f t="shared" si="15"/>
        <v>0</v>
      </c>
      <c r="K40" s="22">
        <f t="shared" si="15"/>
        <v>0</v>
      </c>
      <c r="L40" s="22">
        <f t="shared" si="15"/>
        <v>0</v>
      </c>
      <c r="M40" s="22">
        <f t="shared" si="15"/>
        <v>0</v>
      </c>
      <c r="N40" s="22">
        <f t="shared" si="15"/>
        <v>0</v>
      </c>
      <c r="O40" s="22">
        <f t="shared" si="15"/>
        <v>0</v>
      </c>
      <c r="P40" s="22">
        <f t="shared" si="15"/>
        <v>0</v>
      </c>
      <c r="Q40" s="22">
        <f t="shared" si="15"/>
        <v>0</v>
      </c>
      <c r="R40" s="22">
        <f t="shared" si="15"/>
        <v>0</v>
      </c>
    </row>
    <row r="41" spans="2:18" x14ac:dyDescent="0.25">
      <c r="B41" t="s">
        <v>184</v>
      </c>
      <c r="G41" s="22"/>
      <c r="H41" s="22">
        <f>H36/$J$10*$I$10</f>
        <v>0</v>
      </c>
      <c r="I41" s="22">
        <f t="shared" ref="I41:R41" si="16">I36/$J$10*$I$10</f>
        <v>9319</v>
      </c>
      <c r="J41" s="22">
        <f t="shared" si="16"/>
        <v>18864.902050000001</v>
      </c>
      <c r="K41" s="22">
        <f t="shared" si="16"/>
        <v>19230.764061999998</v>
      </c>
      <c r="L41" s="22">
        <f t="shared" si="16"/>
        <v>13804.973370948795</v>
      </c>
      <c r="M41" s="22">
        <f t="shared" si="16"/>
        <v>14170.218094298407</v>
      </c>
      <c r="N41" s="22">
        <f t="shared" si="16"/>
        <v>14534.960823556048</v>
      </c>
      <c r="O41" s="22">
        <f t="shared" si="16"/>
        <v>14899.120251468703</v>
      </c>
      <c r="P41" s="22">
        <f t="shared" si="16"/>
        <v>15262.311326090881</v>
      </c>
      <c r="Q41" s="22">
        <f t="shared" si="16"/>
        <v>15624.524595119799</v>
      </c>
      <c r="R41" s="22">
        <f t="shared" si="16"/>
        <v>166672.71106894684</v>
      </c>
    </row>
    <row r="42" spans="2:18" x14ac:dyDescent="0.25">
      <c r="B42" t="s">
        <v>185</v>
      </c>
      <c r="G42" s="33">
        <f>IRR(H42:R42)</f>
        <v>8.0000000000000515E-2</v>
      </c>
      <c r="H42" s="22">
        <f>-H40+H41</f>
        <v>-170976</v>
      </c>
      <c r="I42" s="22">
        <f t="shared" ref="I42:R42" si="17">-I40+I41</f>
        <v>9319</v>
      </c>
      <c r="J42" s="22">
        <f t="shared" si="17"/>
        <v>18864.902050000001</v>
      </c>
      <c r="K42" s="22">
        <f t="shared" si="17"/>
        <v>19230.764061999998</v>
      </c>
      <c r="L42" s="22">
        <f t="shared" si="17"/>
        <v>13804.973370948795</v>
      </c>
      <c r="M42" s="22">
        <f t="shared" si="17"/>
        <v>14170.218094298407</v>
      </c>
      <c r="N42" s="22">
        <f t="shared" si="17"/>
        <v>14534.960823556048</v>
      </c>
      <c r="O42" s="22">
        <f t="shared" si="17"/>
        <v>14899.120251468703</v>
      </c>
      <c r="P42" s="22">
        <f t="shared" si="17"/>
        <v>15262.311326090881</v>
      </c>
      <c r="Q42" s="22">
        <f t="shared" si="17"/>
        <v>15624.524595119799</v>
      </c>
      <c r="R42" s="22">
        <f t="shared" si="17"/>
        <v>166672.71106894684</v>
      </c>
    </row>
    <row r="43" spans="2:18" x14ac:dyDescent="0.25">
      <c r="B43" s="1" t="s">
        <v>162</v>
      </c>
      <c r="C43" s="1"/>
      <c r="D43" s="1"/>
      <c r="E43" s="1"/>
      <c r="F43" s="1"/>
      <c r="G43" s="1"/>
      <c r="H43" s="57">
        <v>0</v>
      </c>
      <c r="I43" s="57">
        <f>H43+1</f>
        <v>1</v>
      </c>
      <c r="J43" s="57">
        <f t="shared" ref="J43:R43" si="18">I43+1</f>
        <v>2</v>
      </c>
      <c r="K43" s="57">
        <f t="shared" si="18"/>
        <v>3</v>
      </c>
      <c r="L43" s="57">
        <f t="shared" si="18"/>
        <v>4</v>
      </c>
      <c r="M43" s="57">
        <f t="shared" si="18"/>
        <v>5</v>
      </c>
      <c r="N43" s="57">
        <f t="shared" si="18"/>
        <v>6</v>
      </c>
      <c r="O43" s="57">
        <f t="shared" si="18"/>
        <v>7</v>
      </c>
      <c r="P43" s="57">
        <f t="shared" si="18"/>
        <v>8</v>
      </c>
      <c r="Q43" s="57">
        <f t="shared" si="18"/>
        <v>9</v>
      </c>
      <c r="R43" s="57">
        <f t="shared" si="18"/>
        <v>10</v>
      </c>
    </row>
    <row r="44" spans="2:18" x14ac:dyDescent="0.25">
      <c r="B44" t="s">
        <v>186</v>
      </c>
      <c r="G44" s="22"/>
      <c r="H44" s="22">
        <f>MAX(H28-H36-H41,0)</f>
        <v>0</v>
      </c>
      <c r="I44" s="22">
        <f>MAX(I28-I36-I41,0)</f>
        <v>0</v>
      </c>
      <c r="J44" s="22">
        <f>MAX(J28-J36-J41,0)</f>
        <v>3.637978807091713E-12</v>
      </c>
      <c r="K44" s="22">
        <f>MAX(K28-K36-K41,0)</f>
        <v>3.637978807091713E-12</v>
      </c>
      <c r="L44" s="22">
        <f>MAX(L28-L36-L41,0)</f>
        <v>0</v>
      </c>
      <c r="M44" s="22">
        <f>MAX(M28-M36-M41,0)</f>
        <v>0</v>
      </c>
      <c r="N44" s="22">
        <f>MAX(N28-N36-N41,0)</f>
        <v>0</v>
      </c>
      <c r="O44" s="22">
        <f>MAX(O28-O36-O41,0)</f>
        <v>0</v>
      </c>
      <c r="P44" s="22">
        <f>MAX(P28-P36-P41,0)</f>
        <v>5.4569682106375694E-12</v>
      </c>
      <c r="Q44" s="22">
        <f>MAX(Q28-Q36-Q41,0)</f>
        <v>0</v>
      </c>
      <c r="R44" s="22">
        <f>MAX(R28-R36-R41,0)</f>
        <v>881210.44105619472</v>
      </c>
    </row>
    <row r="45" spans="2:18" x14ac:dyDescent="0.25">
      <c r="B45" t="s">
        <v>187</v>
      </c>
      <c r="G45" s="22"/>
      <c r="H45" s="22">
        <f>H44*$J$11</f>
        <v>0</v>
      </c>
      <c r="I45" s="22">
        <f t="shared" ref="I45:R45" si="19">I44*$J$11</f>
        <v>0</v>
      </c>
      <c r="J45" s="22">
        <f t="shared" si="19"/>
        <v>2.7830537874251605E-12</v>
      </c>
      <c r="K45" s="22">
        <f t="shared" si="19"/>
        <v>2.7830537874251605E-12</v>
      </c>
      <c r="L45" s="22">
        <f t="shared" si="19"/>
        <v>0</v>
      </c>
      <c r="M45" s="22">
        <f t="shared" si="19"/>
        <v>0</v>
      </c>
      <c r="N45" s="22">
        <f t="shared" si="19"/>
        <v>0</v>
      </c>
      <c r="O45" s="22">
        <f t="shared" si="19"/>
        <v>0</v>
      </c>
      <c r="P45" s="22">
        <f t="shared" si="19"/>
        <v>4.1745806811377405E-12</v>
      </c>
      <c r="Q45" s="22">
        <f t="shared" si="19"/>
        <v>0</v>
      </c>
      <c r="R45" s="22">
        <f t="shared" si="19"/>
        <v>674125.98740798899</v>
      </c>
    </row>
    <row r="46" spans="2:18" x14ac:dyDescent="0.25">
      <c r="B46" t="s">
        <v>184</v>
      </c>
      <c r="G46" s="22"/>
      <c r="H46" s="22">
        <f>H44*$I$11</f>
        <v>0</v>
      </c>
      <c r="I46" s="22">
        <f t="shared" ref="I46:R46" si="20">I44*$I$11</f>
        <v>0</v>
      </c>
      <c r="J46" s="22">
        <f t="shared" si="20"/>
        <v>8.549250196665525E-13</v>
      </c>
      <c r="K46" s="22">
        <f t="shared" si="20"/>
        <v>8.549250196665525E-13</v>
      </c>
      <c r="L46" s="22">
        <f t="shared" si="20"/>
        <v>0</v>
      </c>
      <c r="M46" s="22">
        <f t="shared" si="20"/>
        <v>0</v>
      </c>
      <c r="N46" s="22">
        <f t="shared" si="20"/>
        <v>0</v>
      </c>
      <c r="O46" s="22">
        <f t="shared" si="20"/>
        <v>0</v>
      </c>
      <c r="P46" s="22">
        <f t="shared" si="20"/>
        <v>1.2823875294998287E-12</v>
      </c>
      <c r="Q46" s="22">
        <f t="shared" si="20"/>
        <v>0</v>
      </c>
      <c r="R46" s="22">
        <f t="shared" si="20"/>
        <v>207084.45364820576</v>
      </c>
    </row>
    <row r="47" spans="2:18" x14ac:dyDescent="0.25">
      <c r="B47" t="s">
        <v>186</v>
      </c>
      <c r="G47" s="22"/>
      <c r="H47" s="22">
        <f>H44-H45-H46</f>
        <v>0</v>
      </c>
      <c r="I47" s="22">
        <f t="shared" ref="I47:R47" si="21">I44-I45-I46</f>
        <v>0</v>
      </c>
      <c r="J47" s="22">
        <f t="shared" si="21"/>
        <v>0</v>
      </c>
      <c r="K47" s="22">
        <f t="shared" si="21"/>
        <v>0</v>
      </c>
      <c r="L47" s="22">
        <f t="shared" si="21"/>
        <v>0</v>
      </c>
      <c r="M47" s="22">
        <f t="shared" si="21"/>
        <v>0</v>
      </c>
      <c r="N47" s="22">
        <f t="shared" si="21"/>
        <v>0</v>
      </c>
      <c r="O47" s="22">
        <f t="shared" si="21"/>
        <v>0</v>
      </c>
      <c r="P47" s="22">
        <f t="shared" si="21"/>
        <v>0</v>
      </c>
      <c r="Q47" s="22">
        <f t="shared" si="21"/>
        <v>0</v>
      </c>
      <c r="R47" s="22">
        <f t="shared" si="21"/>
        <v>0</v>
      </c>
    </row>
    <row r="48" spans="2:18" x14ac:dyDescent="0.25"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7:18" x14ac:dyDescent="0.25"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7:18" x14ac:dyDescent="0.25"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7:18" hidden="1" x14ac:dyDescent="0.25"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7:18" hidden="1" x14ac:dyDescent="0.25"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7:18" hidden="1" x14ac:dyDescent="0.25"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7:18" hidden="1" x14ac:dyDescent="0.25"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7:18" hidden="1" x14ac:dyDescent="0.25"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7:18" hidden="1" x14ac:dyDescent="0.25"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</row>
    <row r="57" spans="7:18" hidden="1" x14ac:dyDescent="0.25"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7:18" hidden="1" x14ac:dyDescent="0.25"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7:18" hidden="1" x14ac:dyDescent="0.25"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7:18" hidden="1" x14ac:dyDescent="0.25"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</row>
    <row r="61" spans="7:18" hidden="1" x14ac:dyDescent="0.25"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</row>
    <row r="62" spans="7:18" hidden="1" x14ac:dyDescent="0.25"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</row>
    <row r="63" spans="7:18" hidden="1" x14ac:dyDescent="0.25"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7:18" hidden="1" x14ac:dyDescent="0.25"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7:18" hidden="1" x14ac:dyDescent="0.25"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</row>
    <row r="66" spans="7:18" hidden="1" x14ac:dyDescent="0.25"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7:18" hidden="1" x14ac:dyDescent="0.25"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spans="7:18" hidden="1" x14ac:dyDescent="0.25"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</row>
    <row r="69" spans="7:18" hidden="1" x14ac:dyDescent="0.25"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</row>
    <row r="70" spans="7:18" hidden="1" x14ac:dyDescent="0.25"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</row>
    <row r="71" spans="7:18" hidden="1" x14ac:dyDescent="0.25"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</row>
    <row r="72" spans="7:18" hidden="1" x14ac:dyDescent="0.25"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</row>
    <row r="73" spans="7:18" hidden="1" x14ac:dyDescent="0.25"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</row>
    <row r="74" spans="7:18" hidden="1" x14ac:dyDescent="0.25"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7:18" hidden="1" x14ac:dyDescent="0.25"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</row>
    <row r="76" spans="7:18" hidden="1" x14ac:dyDescent="0.25"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</row>
    <row r="77" spans="7:18" hidden="1" x14ac:dyDescent="0.25"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</row>
    <row r="78" spans="7:18" hidden="1" x14ac:dyDescent="0.25"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</row>
    <row r="79" spans="7:18" hidden="1" x14ac:dyDescent="0.25"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</row>
    <row r="80" spans="7:18" hidden="1" x14ac:dyDescent="0.25"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</row>
    <row r="81" spans="7:18" hidden="1" x14ac:dyDescent="0.25"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</row>
    <row r="82" spans="7:18" hidden="1" x14ac:dyDescent="0.25"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</row>
    <row r="83" spans="7:18" hidden="1" x14ac:dyDescent="0.25"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</row>
    <row r="84" spans="7:18" hidden="1" x14ac:dyDescent="0.25"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</row>
    <row r="85" spans="7:18" hidden="1" x14ac:dyDescent="0.25"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7:18" hidden="1" x14ac:dyDescent="0.25"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</row>
    <row r="87" spans="7:18" hidden="1" x14ac:dyDescent="0.25"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</row>
    <row r="88" spans="7:18" hidden="1" x14ac:dyDescent="0.25"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</row>
    <row r="89" spans="7:18" hidden="1" x14ac:dyDescent="0.25"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</row>
    <row r="90" spans="7:18" hidden="1" x14ac:dyDescent="0.25"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</row>
    <row r="91" spans="7:18" hidden="1" x14ac:dyDescent="0.25"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</row>
    <row r="92" spans="7:18" hidden="1" x14ac:dyDescent="0.25"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</row>
    <row r="93" spans="7:18" hidden="1" x14ac:dyDescent="0.25"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</row>
    <row r="94" spans="7:18" hidden="1" x14ac:dyDescent="0.25"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</row>
    <row r="95" spans="7:18" hidden="1" x14ac:dyDescent="0.25"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</row>
    <row r="96" spans="7:18" hidden="1" x14ac:dyDescent="0.25"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</row>
    <row r="97" spans="7:18" hidden="1" x14ac:dyDescent="0.25"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</row>
    <row r="98" spans="7:18" hidden="1" x14ac:dyDescent="0.25"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</row>
    <row r="99" spans="7:18" hidden="1" x14ac:dyDescent="0.25"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</row>
    <row r="100" spans="7:18" hidden="1" x14ac:dyDescent="0.25"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</row>
    <row r="101" spans="7:18" hidden="1" x14ac:dyDescent="0.25"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</row>
    <row r="102" spans="7:18" hidden="1" x14ac:dyDescent="0.25"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</row>
    <row r="103" spans="7:18" hidden="1" x14ac:dyDescent="0.25"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</row>
    <row r="104" spans="7:18" hidden="1" x14ac:dyDescent="0.25"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</row>
    <row r="105" spans="7:18" hidden="1" x14ac:dyDescent="0.25"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</row>
    <row r="106" spans="7:18" hidden="1" x14ac:dyDescent="0.25"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Acquisition</vt:lpstr>
      <vt:lpstr>10-Yr OpSt</vt:lpstr>
      <vt:lpstr>Perm. Debt</vt:lpstr>
      <vt:lpstr>Reversion</vt:lpstr>
      <vt:lpstr>Property Returns</vt:lpstr>
      <vt:lpstr>Partnership Returns</vt:lpstr>
      <vt:lpstr>GLA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2019-03-14T17:43:10Z</dcterms:created>
  <dcterms:modified xsi:type="dcterms:W3CDTF">2026-10-17T19:06:39Z</dcterms:modified>
</cp:coreProperties>
</file>